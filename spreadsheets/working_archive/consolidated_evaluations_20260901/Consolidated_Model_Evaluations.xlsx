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defc7f1f1584b3c" /></Relationships>
</file>

<file path=xl/workbook.xml><?xml version="1.0" encoding="utf-8"?>
<x:workbook xmlns:x="http://schemas.openxmlformats.org/spreadsheetml/2006/main">
  <x:sheets>
    <x:sheet xmlns:r="http://schemas.openxmlformats.org/officeDocument/2006/relationships" name="Results" sheetId="1" r:id="Reba850708f6e41ec"/>
    <x:sheet xmlns:r="http://schemas.openxmlformats.org/officeDocument/2006/relationships" name="Read Me" sheetId="2" r:id="Rc00b5ead412840be"/>
    <x:sheet xmlns:r="http://schemas.openxmlformats.org/officeDocument/2006/relationships" name="VLA-0" sheetId="3" r:id="Rc5014ed782854e7a"/>
    <x:sheet xmlns:r="http://schemas.openxmlformats.org/officeDocument/2006/relationships" name="GR00T Vision" sheetId="4" r:id="R3ca9adfe20804d16"/>
    <x:sheet xmlns:r="http://schemas.openxmlformats.org/officeDocument/2006/relationships" name="GR00T Full" sheetId="5" r:id="Rbd4ee88b163c44e4"/>
    <x:sheet xmlns:r="http://schemas.openxmlformats.org/officeDocument/2006/relationships" name="MolmoAct2" sheetId="6" r:id="Rebfd2f9f967a4b9a"/>
    <x:sheet xmlns:r="http://schemas.openxmlformats.org/officeDocument/2006/relationships" name="Pi0.5" sheetId="7" r:id="R8bc08b0e065248fe"/>
    <x:sheet xmlns:r="http://schemas.openxmlformats.org/officeDocument/2006/relationships" name="GR00T Action-Only" sheetId="8" r:id="R73c5e784ce024b0f"/>
    <x:sheet xmlns:r="http://schemas.openxmlformats.org/officeDocument/2006/relationships" name="Analysis Data" sheetId="9" r:id="R8cf7010590764579"/>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
    <x:numFmt numFmtId="202" formatCode="0.0%"/>
  </x:numFmts>
  <x:fonts count="13">
    <x:font>
      <x:sz val="11"/>
      <x:name val="Carlito"/>
    </x:font>
    <x:font>
      <x:b/>
      <x:sz val="10"/>
      <x:color rgb="FFFFFFFF"/>
      <x:name val="Carlito"/>
    </x:font>
    <x:font>
      <x:sz val="9"/>
      <x:color rgb="FF26323D"/>
      <x:name val="Carlito"/>
    </x:font>
    <x:font>
      <x:b/>
      <x:sz val="11"/>
      <x:color rgb="FFFFFFFF"/>
      <x:name val="Carlito"/>
    </x:font>
    <x:font>
      <x:b/>
      <x:sz val="18"/>
      <x:color rgb="FFFFFFFF"/>
      <x:name val="Carlito"/>
    </x:font>
    <x:font>
      <x:i/>
      <x:sz val="11"/>
      <x:color rgb="FF26323D"/>
      <x:name val="Carlito"/>
    </x:font>
    <x:font>
      <x:b/>
      <x:sz val="9"/>
      <x:color rgb="FFFFFFFF"/>
      <x:name val="Carlito"/>
    </x:font>
    <x:font>
      <x:sz val="8"/>
      <x:color rgb="FF26323D"/>
      <x:name val="Carlito"/>
    </x:font>
    <x:font>
      <x:i/>
      <x:sz val="9"/>
      <x:color rgb="FF26323D"/>
      <x:name val="Carlito"/>
    </x:font>
    <x:font>
      <x:b/>
      <x:sz val="17"/>
      <x:color rgb="FFFFFFFF"/>
      <x:name val="Carlito"/>
    </x:font>
    <x:font>
      <x:sz val="10"/>
      <x:color rgb="FF26323D"/>
      <x:name val="Carlito"/>
    </x:font>
    <x:font>
      <x:b/>
      <x:sz val="10"/>
      <x:color rgb="FF173B5E"/>
      <x:name val="Carlito"/>
    </x:font>
    <x:font>
      <x:b/>
      <x:sz val="10"/>
      <x:color rgb="FF7A4B00"/>
      <x:name val="Carlito"/>
    </x:font>
  </x:fonts>
  <x:fills count="12">
    <x:fill>
      <x:patternFill patternType="none"/>
    </x:fill>
    <x:fill>
      <x:patternFill patternType="gray125"/>
    </x:fill>
    <x:fill>
      <x:patternFill patternType="solid">
        <x:fgColor rgb="FF245D83"/>
      </x:patternFill>
    </x:fill>
    <x:fill>
      <x:patternFill patternType="solid">
        <x:fgColor rgb="FF173B5E"/>
      </x:patternFill>
    </x:fill>
    <x:fill>
      <x:patternFill patternType="solid">
        <x:fgColor rgb="FFEAF3F8"/>
      </x:patternFill>
    </x:fill>
    <x:fill>
      <x:patternFill patternType="solid">
        <x:fgColor rgb="FF6B7280"/>
      </x:patternFill>
    </x:fill>
    <x:fill>
      <x:patternFill patternType="solid">
        <x:fgColor rgb="FF2563EB"/>
      </x:patternFill>
    </x:fill>
    <x:fill>
      <x:patternFill patternType="solid">
        <x:fgColor rgb="FF7C3AED"/>
      </x:patternFill>
    </x:fill>
    <x:fill>
      <x:patternFill patternType="solid">
        <x:fgColor rgb="FFD97706"/>
      </x:patternFill>
    </x:fill>
    <x:fill>
      <x:patternFill patternType="solid">
        <x:fgColor rgb="FF059669"/>
      </x:patternFill>
    </x:fill>
    <x:fill>
      <x:patternFill patternType="solid">
        <x:fgColor rgb="FFFFFFFF"/>
      </x:patternFill>
    </x:fill>
    <x:fill>
      <x:patternFill patternType="solid">
        <x:fgColor rgb="FFFFF4CE"/>
      </x:patternFill>
    </x:fill>
  </x:fills>
  <x:borders count="9">
    <x:border/>
    <x:border>
      <x:left style="thin">
        <x:color rgb="FFB8CBD9"/>
      </x:left>
      <x:right style="thin">
        <x:color rgb="FFB8CBD9"/>
      </x:right>
      <x:top style="thin">
        <x:color rgb="FFB8CBD9"/>
      </x:top>
      <x:bottom style="thin">
        <x:color rgb="FFB8CBD9"/>
      </x:bottom>
    </x:border>
    <x:border>
      <x:left style="thin">
        <x:color rgb="FFC9D8E4"/>
      </x:left>
      <x:right style="thin">
        <x:color rgb="FFC9D8E4"/>
      </x:right>
      <x:top style="thin">
        <x:color rgb="FFC9D8E4"/>
      </x:top>
      <x:bottom style="thin">
        <x:color rgb="FFC9D8E4"/>
      </x:bottom>
    </x:border>
    <x:border>
      <x:left style="thin">
        <x:color rgb="FFFFFFFF"/>
      </x:left>
      <x:top style="thin">
        <x:color rgb="FFFFFFFF"/>
      </x:top>
      <x:bottom style="thin">
        <x:color rgb="FFFFFFFF"/>
      </x:bottom>
    </x:border>
    <x:border>
      <x:top style="thin">
        <x:color rgb="FFFFFFFF"/>
      </x:top>
      <x:bottom style="thin">
        <x:color rgb="FFFFFFFF"/>
      </x:bottom>
    </x:border>
    <x:border>
      <x:right style="thin">
        <x:color rgb="FFFFFFFF"/>
      </x:right>
      <x:top style="thin">
        <x:color rgb="FFFFFFFF"/>
      </x:top>
      <x:bottom style="thin">
        <x:color rgb="FFFFFFFF"/>
      </x:bottom>
    </x:border>
    <x:border>
      <x:left style="thin">
        <x:color rgb="FF173B5E"/>
      </x:left>
      <x:top style="thin">
        <x:color rgb="FF173B5E"/>
      </x:top>
      <x:bottom style="thin">
        <x:color rgb="FF173B5E"/>
      </x:bottom>
    </x:border>
    <x:border>
      <x:top style="thin">
        <x:color rgb="FF173B5E"/>
      </x:top>
      <x:bottom style="thin">
        <x:color rgb="FF173B5E"/>
      </x:bottom>
    </x:border>
    <x:border>
      <x:right style="thin">
        <x:color rgb="FF173B5E"/>
      </x:right>
      <x:top style="thin">
        <x:color rgb="FF173B5E"/>
      </x:top>
      <x:bottom style="thin">
        <x:color rgb="FF173B5E"/>
      </x:bottom>
    </x:border>
  </x:borders>
  <x:cellStyleXfs count="1">
    <x:xf numFmtId="0" fontId="0" fillId="0" borderId="0"/>
  </x:cellStyleXfs>
  <x:cellXfs count="11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1" fontId="2" fillId="0" borderId="0" xfId="0" applyNumberFormat="1" applyFont="1" applyFill="1" applyBorder="1" applyAlignment="1">
      <x:alignment vertical="top" wrapText="1"/>
    </x:xf>
    <x:xf numFmtId="200" fontId="0" fillId="0" borderId="0" xfId="0" applyNumberFormat="1" applyFont="1" applyFill="1" applyBorder="1"/>
    <x:xf numFmtId="202" fontId="0" fillId="0" borderId="0" xfId="0" applyNumberFormat="1" applyFont="1" applyFill="1" applyBorder="1"/>
    <x:xf numFmtId="0" fontId="1" fillId="2" borderId="1" xfId="0" applyNumberFormat="1" applyFont="1" applyFill="1" applyBorder="1" applyAlignment="1">
      <x:alignment horizontal="center" vertical="top" wrapText="1"/>
    </x:xf>
    <x:xf numFmtId="0"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202"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0" fontId="0" fillId="0" borderId="2" xfId="0" applyNumberFormat="1" applyFont="1" applyFill="1" applyBorder="1"/>
    <x:xf numFmtId="0" fontId="0" fillId="2" borderId="2" xfId="0" applyNumberFormat="1" applyFont="1" applyFill="1" applyBorder="1"/>
    <x:xf numFmtId="0" fontId="3" fillId="2" borderId="2" xfId="0" applyNumberFormat="1" applyFont="1" applyFill="1" applyBorder="1"/>
    <x:xf numFmtId="202" fontId="0" fillId="0" borderId="2" xfId="0" applyNumberFormat="1" applyFont="1" applyFill="1" applyBorder="1"/>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horizontal="left"/>
    </x:xf>
    <x:xf numFmtId="0" fontId="4" fillId="3" borderId="0" xfId="0" applyNumberFormat="1" applyFont="1" applyFill="1" applyBorder="1" applyAlignment="1">
      <x:alignment horizontal="left" vertical="center"/>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vertical="center"/>
    </x:xf>
    <x:xf numFmtId="0" fontId="0" fillId="5" borderId="0" xfId="0" applyNumberFormat="1" applyFont="1" applyFill="1" applyBorder="1"/>
    <x:xf numFmtId="0" fontId="6" fillId="5" borderId="0" xfId="0" applyNumberFormat="1" applyFont="1" applyFill="1" applyBorder="1"/>
    <x:xf numFmtId="0" fontId="6" fillId="5" borderId="3" xfId="0" applyNumberFormat="1" applyFont="1" applyFill="1" applyBorder="1"/>
    <x:xf numFmtId="0" fontId="6" fillId="5" borderId="4" xfId="0" applyNumberFormat="1" applyFont="1" applyFill="1" applyBorder="1"/>
    <x:xf numFmtId="0" fontId="6" fillId="5" borderId="5" xfId="0" applyNumberFormat="1" applyFont="1" applyFill="1" applyBorder="1"/>
    <x:xf numFmtId="0" fontId="6" fillId="5" borderId="3" xfId="0" applyNumberFormat="1" applyFont="1" applyFill="1" applyBorder="1" applyAlignment="1">
      <x:alignment horizontal="center"/>
    </x:xf>
    <x:xf numFmtId="0" fontId="6" fillId="5" borderId="4" xfId="0" applyNumberFormat="1" applyFont="1" applyFill="1" applyBorder="1" applyAlignment="1">
      <x:alignment horizontal="center"/>
    </x:xf>
    <x:xf numFmtId="0" fontId="6" fillId="5" borderId="5" xfId="0" applyNumberFormat="1" applyFont="1" applyFill="1" applyBorder="1" applyAlignment="1">
      <x:alignment horizontal="center"/>
    </x:xf>
    <x:xf numFmtId="0" fontId="6" fillId="5" borderId="3" xfId="0" applyNumberFormat="1" applyFont="1" applyFill="1" applyBorder="1" applyAlignment="1">
      <x:alignment horizontal="center" vertical="center"/>
    </x:xf>
    <x:xf numFmtId="0" fontId="6" fillId="5" borderId="4" xfId="0" applyNumberFormat="1" applyFont="1" applyFill="1" applyBorder="1" applyAlignment="1">
      <x:alignment horizontal="center" vertical="center"/>
    </x:xf>
    <x:xf numFmtId="0" fontId="6" fillId="5" borderId="5" xfId="0" applyNumberFormat="1" applyFont="1" applyFill="1" applyBorder="1" applyAlignment="1">
      <x:alignment horizontal="center" vertical="center"/>
    </x:xf>
    <x:xf numFmtId="0" fontId="0" fillId="6" borderId="0" xfId="0" applyNumberFormat="1" applyFont="1" applyFill="1" applyBorder="1"/>
    <x:xf numFmtId="0" fontId="6" fillId="6" borderId="0" xfId="0" applyNumberFormat="1" applyFont="1" applyFill="1" applyBorder="1"/>
    <x:xf numFmtId="0" fontId="6" fillId="6" borderId="3" xfId="0" applyNumberFormat="1" applyFont="1" applyFill="1" applyBorder="1"/>
    <x:xf numFmtId="0" fontId="6" fillId="6" borderId="4" xfId="0" applyNumberFormat="1" applyFont="1" applyFill="1" applyBorder="1"/>
    <x:xf numFmtId="0" fontId="6" fillId="6" borderId="5" xfId="0" applyNumberFormat="1" applyFont="1" applyFill="1" applyBorder="1"/>
    <x:xf numFmtId="0" fontId="6" fillId="6" borderId="3" xfId="0" applyNumberFormat="1" applyFont="1" applyFill="1" applyBorder="1" applyAlignment="1">
      <x:alignment horizontal="center"/>
    </x:xf>
    <x:xf numFmtId="0" fontId="6" fillId="6" borderId="4" xfId="0" applyNumberFormat="1" applyFont="1" applyFill="1" applyBorder="1" applyAlignment="1">
      <x:alignment horizontal="center"/>
    </x:xf>
    <x:xf numFmtId="0" fontId="6" fillId="6" borderId="5" xfId="0" applyNumberFormat="1" applyFont="1" applyFill="1" applyBorder="1" applyAlignment="1">
      <x:alignment horizontal="center"/>
    </x:xf>
    <x:xf numFmtId="0" fontId="6" fillId="6" borderId="3" xfId="0" applyNumberFormat="1" applyFont="1" applyFill="1" applyBorder="1" applyAlignment="1">
      <x:alignment horizontal="center" vertical="center"/>
    </x:xf>
    <x:xf numFmtId="0" fontId="6" fillId="6" borderId="4" xfId="0" applyNumberFormat="1" applyFont="1" applyFill="1" applyBorder="1" applyAlignment="1">
      <x:alignment horizontal="center" vertical="center"/>
    </x:xf>
    <x:xf numFmtId="0" fontId="6" fillId="6" borderId="5" xfId="0" applyNumberFormat="1" applyFont="1" applyFill="1" applyBorder="1" applyAlignment="1">
      <x:alignment horizontal="center" vertical="center"/>
    </x:xf>
    <x:xf numFmtId="0" fontId="0" fillId="7" borderId="0" xfId="0" applyNumberFormat="1" applyFont="1" applyFill="1" applyBorder="1"/>
    <x:xf numFmtId="0" fontId="6" fillId="7" borderId="0" xfId="0" applyNumberFormat="1" applyFont="1" applyFill="1" applyBorder="1"/>
    <x:xf numFmtId="0" fontId="6" fillId="7" borderId="3" xfId="0" applyNumberFormat="1" applyFont="1" applyFill="1" applyBorder="1"/>
    <x:xf numFmtId="0" fontId="6" fillId="7" borderId="4" xfId="0" applyNumberFormat="1" applyFont="1" applyFill="1" applyBorder="1"/>
    <x:xf numFmtId="0" fontId="6" fillId="7" borderId="5" xfId="0" applyNumberFormat="1" applyFont="1" applyFill="1" applyBorder="1"/>
    <x:xf numFmtId="0" fontId="6" fillId="7" borderId="3" xfId="0" applyNumberFormat="1" applyFont="1" applyFill="1" applyBorder="1" applyAlignment="1">
      <x:alignment horizontal="center"/>
    </x:xf>
    <x:xf numFmtId="0" fontId="6" fillId="7" borderId="4" xfId="0" applyNumberFormat="1" applyFont="1" applyFill="1" applyBorder="1" applyAlignment="1">
      <x:alignment horizontal="center"/>
    </x:xf>
    <x:xf numFmtId="0" fontId="6" fillId="7" borderId="5" xfId="0" applyNumberFormat="1" applyFont="1" applyFill="1" applyBorder="1" applyAlignment="1">
      <x:alignment horizontal="center"/>
    </x:xf>
    <x:xf numFmtId="0" fontId="6" fillId="7" borderId="3" xfId="0" applyNumberFormat="1" applyFont="1" applyFill="1" applyBorder="1" applyAlignment="1">
      <x:alignment horizontal="center" vertical="center"/>
    </x:xf>
    <x:xf numFmtId="0" fontId="6" fillId="7" borderId="4" xfId="0" applyNumberFormat="1" applyFont="1" applyFill="1" applyBorder="1" applyAlignment="1">
      <x:alignment horizontal="center" vertical="center"/>
    </x:xf>
    <x:xf numFmtId="0" fontId="6" fillId="7" borderId="5" xfId="0" applyNumberFormat="1" applyFont="1" applyFill="1" applyBorder="1" applyAlignment="1">
      <x:alignment horizontal="center" vertical="center"/>
    </x:xf>
    <x:xf numFmtId="0" fontId="0" fillId="8" borderId="0" xfId="0" applyNumberFormat="1" applyFont="1" applyFill="1" applyBorder="1"/>
    <x:xf numFmtId="0" fontId="6" fillId="8" borderId="0" xfId="0" applyNumberFormat="1" applyFont="1" applyFill="1" applyBorder="1"/>
    <x:xf numFmtId="0" fontId="6" fillId="8" borderId="3" xfId="0" applyNumberFormat="1" applyFont="1" applyFill="1" applyBorder="1"/>
    <x:xf numFmtId="0" fontId="6" fillId="8" borderId="4" xfId="0" applyNumberFormat="1" applyFont="1" applyFill="1" applyBorder="1"/>
    <x:xf numFmtId="0" fontId="6" fillId="8" borderId="5" xfId="0" applyNumberFormat="1" applyFont="1" applyFill="1" applyBorder="1"/>
    <x:xf numFmtId="0" fontId="6" fillId="8" borderId="3" xfId="0" applyNumberFormat="1" applyFont="1" applyFill="1" applyBorder="1" applyAlignment="1">
      <x:alignment horizontal="center"/>
    </x:xf>
    <x:xf numFmtId="0" fontId="6" fillId="8" borderId="4" xfId="0" applyNumberFormat="1" applyFont="1" applyFill="1" applyBorder="1" applyAlignment="1">
      <x:alignment horizontal="center"/>
    </x:xf>
    <x:xf numFmtId="0" fontId="6" fillId="8" borderId="5" xfId="0" applyNumberFormat="1" applyFont="1" applyFill="1" applyBorder="1" applyAlignment="1">
      <x:alignment horizontal="center"/>
    </x:xf>
    <x:xf numFmtId="0" fontId="6" fillId="8" borderId="3" xfId="0" applyNumberFormat="1" applyFont="1" applyFill="1" applyBorder="1" applyAlignment="1">
      <x:alignment horizontal="center" vertical="center"/>
    </x:xf>
    <x:xf numFmtId="0" fontId="6" fillId="8" borderId="4" xfId="0" applyNumberFormat="1" applyFont="1" applyFill="1" applyBorder="1" applyAlignment="1">
      <x:alignment horizontal="center" vertical="center"/>
    </x:xf>
    <x:xf numFmtId="0" fontId="6" fillId="8" borderId="5" xfId="0" applyNumberFormat="1" applyFont="1" applyFill="1" applyBorder="1" applyAlignment="1">
      <x:alignment horizontal="center" vertical="center"/>
    </x:xf>
    <x:xf numFmtId="0" fontId="0" fillId="9" borderId="0" xfId="0" applyNumberFormat="1" applyFont="1" applyFill="1" applyBorder="1"/>
    <x:xf numFmtId="0" fontId="6" fillId="9" borderId="0" xfId="0" applyNumberFormat="1" applyFont="1" applyFill="1" applyBorder="1"/>
    <x:xf numFmtId="0" fontId="6" fillId="9" borderId="3" xfId="0" applyNumberFormat="1" applyFont="1" applyFill="1" applyBorder="1"/>
    <x:xf numFmtId="0" fontId="6" fillId="9" borderId="4" xfId="0" applyNumberFormat="1" applyFont="1" applyFill="1" applyBorder="1"/>
    <x:xf numFmtId="0" fontId="6" fillId="9" borderId="5" xfId="0" applyNumberFormat="1" applyFont="1" applyFill="1" applyBorder="1"/>
    <x:xf numFmtId="0" fontId="6" fillId="9" borderId="3" xfId="0" applyNumberFormat="1" applyFont="1" applyFill="1" applyBorder="1" applyAlignment="1">
      <x:alignment horizontal="center"/>
    </x:xf>
    <x:xf numFmtId="0" fontId="6" fillId="9" borderId="4" xfId="0" applyNumberFormat="1" applyFont="1" applyFill="1" applyBorder="1" applyAlignment="1">
      <x:alignment horizontal="center"/>
    </x:xf>
    <x:xf numFmtId="0" fontId="6" fillId="9" borderId="5" xfId="0" applyNumberFormat="1" applyFont="1" applyFill="1" applyBorder="1" applyAlignment="1">
      <x:alignment horizontal="center"/>
    </x:xf>
    <x:xf numFmtId="0" fontId="6" fillId="9" borderId="3" xfId="0" applyNumberFormat="1" applyFont="1" applyFill="1" applyBorder="1" applyAlignment="1">
      <x:alignment horizontal="center" vertical="center"/>
    </x:xf>
    <x:xf numFmtId="0" fontId="6" fillId="9" borderId="4" xfId="0" applyNumberFormat="1" applyFont="1" applyFill="1" applyBorder="1" applyAlignment="1">
      <x:alignment horizontal="center" vertical="center"/>
    </x:xf>
    <x:xf numFmtId="0" fontId="6" fillId="9" borderId="5" xfId="0" applyNumberFormat="1" applyFont="1" applyFill="1" applyBorder="1" applyAlignment="1">
      <x:alignment horizontal="center" vertical="center"/>
    </x:xf>
    <x:xf numFmtId="0" fontId="2" fillId="0" borderId="2" xfId="0" applyNumberFormat="1" applyFont="1" applyFill="1" applyBorder="1"/>
    <x:xf numFmtId="200" fontId="2" fillId="0" borderId="2" xfId="0" applyNumberFormat="1" applyFont="1" applyFill="1" applyBorder="1"/>
    <x:xf numFmtId="202" fontId="2" fillId="0" borderId="2" xfId="0" applyNumberFormat="1" applyFont="1" applyFill="1" applyBorder="1"/>
    <x:xf numFmtId="0" fontId="7" fillId="0" borderId="0" xfId="0" applyNumberFormat="1" applyFont="1" applyFill="1" applyBorder="1"/>
    <x:xf numFmtId="0" fontId="7" fillId="0" borderId="2" xfId="0" applyNumberFormat="1" applyFont="1" applyFill="1" applyBorder="1"/>
    <x:xf numFmtId="0" fontId="7" fillId="0" borderId="2" xfId="0" applyNumberFormat="1" applyFont="1" applyFill="1" applyBorder="1" applyAlignment="1">
      <x:alignment wrapText="1"/>
    </x:xf>
    <x:xf numFmtId="0" fontId="7" fillId="0" borderId="2" xfId="0" applyNumberFormat="1" applyFont="1" applyFill="1" applyBorder="1" applyAlignment="1">
      <x:alignment vertical="center" wrapText="1"/>
    </x:xf>
    <x:xf numFmtId="0" fontId="7" fillId="0" borderId="2" xfId="0" applyNumberFormat="1" applyFont="1" applyFill="1" applyBorder="1" applyAlignment="1">
      <x:alignment horizontal="center" vertical="center" wrapText="1"/>
    </x:xf>
    <x:xf numFmtId="0" fontId="8" fillId="4" borderId="0" xfId="0" applyNumberFormat="1" applyFont="1" applyFill="1" applyBorder="1"/>
    <x:xf numFmtId="0" fontId="8" fillId="4" borderId="0" xfId="0" applyNumberFormat="1" applyFont="1" applyFill="1" applyBorder="1" applyAlignment="1">
      <x:alignment vertical="center"/>
    </x:xf>
    <x:xf numFmtId="0" fontId="0" fillId="10" borderId="0" xfId="0" applyNumberFormat="1" applyFont="1" applyFill="1" applyBorder="1"/>
    <x:xf numFmtId="0" fontId="9" fillId="3" borderId="0" xfId="0" applyNumberFormat="1" applyFont="1" applyFill="1" applyBorder="1"/>
    <x:xf numFmtId="0" fontId="9" fillId="3" borderId="0" xfId="0" applyNumberFormat="1" applyFont="1" applyFill="1" applyBorder="1" applyAlignment="1">
      <x:alignment vertical="center"/>
    </x:xf>
    <x:xf numFmtId="0" fontId="3" fillId="3" borderId="0" xfId="0" applyNumberFormat="1" applyFont="1" applyFill="1" applyBorder="1"/>
    <x:xf numFmtId="0" fontId="3" fillId="3" borderId="6" xfId="0" applyNumberFormat="1" applyFont="1" applyFill="1" applyBorder="1"/>
    <x:xf numFmtId="0" fontId="3" fillId="3" borderId="7" xfId="0" applyNumberFormat="1" applyFont="1" applyFill="1" applyBorder="1"/>
    <x:xf numFmtId="0" fontId="3" fillId="3" borderId="8" xfId="0" applyNumberFormat="1" applyFont="1" applyFill="1" applyBorder="1"/>
    <x:xf numFmtId="0" fontId="3" fillId="3" borderId="6" xfId="0" applyNumberFormat="1" applyFont="1" applyFill="1" applyBorder="1" applyAlignment="1">
      <x:alignment vertical="center"/>
    </x:xf>
    <x:xf numFmtId="0" fontId="3" fillId="3" borderId="7" xfId="0" applyNumberFormat="1" applyFont="1" applyFill="1" applyBorder="1" applyAlignment="1">
      <x:alignment vertical="center"/>
    </x:xf>
    <x:xf numFmtId="0" fontId="3" fillId="3" borderId="8" xfId="0" applyNumberFormat="1" applyFont="1" applyFill="1" applyBorder="1" applyAlignment="1">
      <x:alignment vertical="center"/>
    </x:xf>
    <x:xf numFmtId="0" fontId="10" fillId="10" borderId="0" xfId="0" applyNumberFormat="1" applyFont="1" applyFill="1" applyBorder="1"/>
    <x:xf numFmtId="0" fontId="10" fillId="10" borderId="2" xfId="0" applyNumberFormat="1" applyFont="1" applyFill="1" applyBorder="1"/>
    <x:xf numFmtId="0" fontId="10" fillId="10" borderId="2" xfId="0" applyNumberFormat="1" applyFont="1" applyFill="1" applyBorder="1" applyAlignment="1">
      <x:alignment wrapText="1"/>
    </x:xf>
    <x:xf numFmtId="0" fontId="10" fillId="10" borderId="2" xfId="0" applyNumberFormat="1" applyFont="1" applyFill="1" applyBorder="1" applyAlignment="1">
      <x:alignment vertical="top" wrapText="1"/>
    </x:xf>
    <x:xf numFmtId="0" fontId="10" fillId="4" borderId="2" xfId="0" applyNumberFormat="1" applyFont="1" applyFill="1" applyBorder="1" applyAlignment="1">
      <x:alignment vertical="top" wrapText="1"/>
    </x:xf>
    <x:xf numFmtId="0" fontId="11" fillId="4" borderId="2" xfId="0" applyNumberFormat="1" applyFont="1" applyFill="1" applyBorder="1" applyAlignment="1">
      <x:alignment vertical="top" wrapText="1"/>
    </x:xf>
    <x:xf numFmtId="0" fontId="10" fillId="10" borderId="2" xfId="0" applyNumberFormat="1" applyFont="1" applyFill="1" applyBorder="1" applyAlignment="1">
      <x:alignment vertical="center" wrapText="1"/>
    </x:xf>
    <x:xf numFmtId="200" fontId="10" fillId="10" borderId="2" xfId="0" applyNumberFormat="1" applyFont="1" applyFill="1" applyBorder="1" applyAlignment="1">
      <x:alignment vertical="center" wrapText="1"/>
    </x:xf>
    <x:xf numFmtId="0" fontId="10" fillId="11" borderId="2" xfId="0" applyNumberFormat="1" applyFont="1" applyFill="1" applyBorder="1" applyAlignment="1">
      <x:alignment vertical="top" wrapText="1"/>
    </x:xf>
    <x:xf numFmtId="0" fontId="12" fillId="11" borderId="2" xfId="0" applyNumberFormat="1" applyFont="1" applyFill="1" applyBorder="1" applyAlignment="1">
      <x:alignment vertical="top" wrapText="1"/>
    </x:xf>
  </x:cellXfs>
  <x:cellStyles count="1">
    <x:cellStyle name="Normal" xfId="0"/>
  </x:cellStyles>
  <x:dxfs count="12">
    <x:dxf>
      <x:font>
        <x:b/>
        <x:color rgb="FF166534"/>
      </x:font>
      <x:fill>
        <x:patternFill patternType="solid">
          <x:bgColor rgb="FFDCFCE7"/>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991B1B"/>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0c888b7bf8a4437" /><Relationship Type="http://schemas.openxmlformats.org/officeDocument/2006/relationships/theme" Target="/xl/theme/theme1.xml" Id="Rf5615487659a4d4c" /><Relationship Type="http://schemas.openxmlformats.org/officeDocument/2006/relationships/sharedStrings" Target="/xl/sharedStrings.xml" Id="Rfa472928d3d34d9e" /><Relationship Type="http://schemas.openxmlformats.org/officeDocument/2006/relationships/worksheet" Target="/xl/worksheets/sheet1.xml" Id="Reba850708f6e41ec" /><Relationship Type="http://schemas.openxmlformats.org/officeDocument/2006/relationships/worksheet" Target="/xl/worksheets/sheet2.xml" Id="Rc00b5ead412840be" /><Relationship Type="http://schemas.openxmlformats.org/officeDocument/2006/relationships/worksheet" Target="/xl/worksheets/sheet3.xml" Id="Rc5014ed782854e7a" /><Relationship Type="http://schemas.openxmlformats.org/officeDocument/2006/relationships/worksheet" Target="/xl/worksheets/sheet4.xml" Id="R3ca9adfe20804d16" /><Relationship Type="http://schemas.openxmlformats.org/officeDocument/2006/relationships/worksheet" Target="/xl/worksheets/sheet5.xml" Id="Rbd4ee88b163c44e4" /><Relationship Type="http://schemas.openxmlformats.org/officeDocument/2006/relationships/worksheet" Target="/xl/worksheets/sheet6.xml" Id="Rebfd2f9f967a4b9a" /><Relationship Type="http://schemas.openxmlformats.org/officeDocument/2006/relationships/worksheet" Target="/xl/worksheets/sheet7.xml" Id="R8bc08b0e065248fe" /><Relationship Type="http://schemas.openxmlformats.org/officeDocument/2006/relationships/worksheet" Target="/xl/worksheets/sheet8.xml" Id="R73c5e784ce024b0f" /><Relationship Type="http://schemas.openxmlformats.org/officeDocument/2006/relationships/worksheet" Target="/xl/worksheets/sheet9.xml" Id="R8cf7010590764579" /></Relationships>
</file>

<file path=xl/drawings/_rels/drawing1.xml.rels>&#65279;<?xml version="1.0" encoding="utf-8"?><Relationships xmlns="http://schemas.openxmlformats.org/package/2006/relationships"><Relationship Type="http://schemas.openxmlformats.org/officeDocument/2006/relationships/chart" Target="/xl/drawings/charts/chart1.xml" Id="Re296a11ec00846c0" /><Relationship Type="http://schemas.openxmlformats.org/officeDocument/2006/relationships/chart" Target="/xl/drawings/charts/chart2.xml" Id="Rcadb7f281e1f4a16" /><Relationship Type="http://schemas.openxmlformats.org/officeDocument/2006/relationships/chart" Target="/xl/drawings/charts/chart3.xml" Id="Rb471a4b1802a4bef" /><Relationship Type="http://schemas.openxmlformats.org/officeDocument/2006/relationships/chart" Target="/xl/drawings/charts/chart4.xml" Id="R575f86ab1a0247b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In-distribution success across all tasks</a:t>
            </a:r>
          </a:p>
        </c:rich>
      </c:tx>
      <c:overlay val="0"/>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VLA-0</c:v>
          </c:tx>
          <c:spPr>
            <a:solidFill xmlns:a="http://schemas.openxmlformats.org/drawingml/2006/main">
              <a:srgbClr val="6B7280"/>
            </a:solidFill>
          </c:spPr>
          <c:dLbls>
            <c:dLbl>
              <c:idx val="0"/>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s>
          <c:cat>
            <c:strRef>
              <c:f>'Analysis Data'!$Q$2:$Q$2</c:f>
              <c:strCache>
                <c:ptCount val="0"/>
              </c:strCache>
            </c:strRef>
          </c:cat>
          <c:val>
            <c:numRef>
              <c:f>'Analysis Data'!$R$2:$R$2</c:f>
              <c:numCache>
                <c:formatCode>0%</c:formatCode>
                <c:ptCount val="0"/>
              </c:numCache>
            </c:numRef>
          </c:val>
        </c:ser>
        <c:ser>
          <c:idx val="1"/>
          <c:order val="1"/>
          <c:tx>
            <c:v>GR00T-N1.7 Vision</c:v>
          </c:tx>
          <c:spPr>
            <a:solidFill xmlns:a="http://schemas.openxmlformats.org/drawingml/2006/main">
              <a:srgbClr val="2563EB"/>
            </a:solidFill>
          </c:spPr>
          <c:dLbls>
            <c:dLbl>
              <c:idx val="0"/>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s>
          <c:cat>
            <c:strRef>
              <c:f>'Analysis Data'!$Q$2:$Q$2</c:f>
              <c:strCache>
                <c:ptCount val="0"/>
              </c:strCache>
            </c:strRef>
          </c:cat>
          <c:val>
            <c:numRef>
              <c:f>'Analysis Data'!$S$2:$S$2</c:f>
              <c:numCache>
                <c:formatCode>0%</c:formatCode>
                <c:ptCount val="0"/>
              </c:numCache>
            </c:numRef>
          </c:val>
        </c:ser>
        <c:ser>
          <c:idx val="2"/>
          <c:order val="2"/>
          <c:tx>
            <c:v>GR00T-N1.7 Full FT</c:v>
          </c:tx>
          <c:spPr>
            <a:solidFill xmlns:a="http://schemas.openxmlformats.org/drawingml/2006/main">
              <a:srgbClr val="7C3AED"/>
            </a:solidFill>
          </c:spPr>
          <c:dLbls>
            <c:dLbl>
              <c:idx val="0"/>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s>
          <c:cat>
            <c:strRef>
              <c:f>'Analysis Data'!$Q$2:$Q$2</c:f>
              <c:strCache>
                <c:ptCount val="0"/>
              </c:strCache>
            </c:strRef>
          </c:cat>
          <c:val>
            <c:numRef>
              <c:f>'Analysis Data'!$T$2:$T$2</c:f>
              <c:numCache>
                <c:formatCode>0%</c:formatCode>
                <c:ptCount val="0"/>
              </c:numCache>
            </c:numRef>
          </c:val>
        </c:ser>
        <c:ser>
          <c:idx val="3"/>
          <c:order val="3"/>
          <c:tx>
            <c:v>MolmoAct2</c:v>
          </c:tx>
          <c:spPr>
            <a:solidFill xmlns:a="http://schemas.openxmlformats.org/drawingml/2006/main">
              <a:srgbClr val="D97706"/>
            </a:solidFill>
          </c:spPr>
          <c:dLbls>
            <c:dLbl>
              <c:idx val="0"/>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s>
          <c:cat>
            <c:strRef>
              <c:f>'Analysis Data'!$Q$2:$Q$2</c:f>
              <c:strCache>
                <c:ptCount val="0"/>
              </c:strCache>
            </c:strRef>
          </c:cat>
          <c:val>
            <c:numRef>
              <c:f>'Analysis Data'!$U$2:$U$2</c:f>
              <c:numCache>
                <c:formatCode>0%</c:formatCode>
                <c:ptCount val="0"/>
              </c:numCache>
            </c:numRef>
          </c:val>
        </c:ser>
        <c:ser>
          <c:idx val="4"/>
          <c:order val="4"/>
          <c:tx>
            <c:v>Pi0.5</c:v>
          </c:tx>
          <c:spPr>
            <a:solidFill xmlns:a="http://schemas.openxmlformats.org/drawingml/2006/main">
              <a:srgbClr val="059669"/>
            </a:solidFill>
          </c:spPr>
          <c:dLbls>
            <c:dLbl>
              <c:idx val="0"/>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s>
          <c:cat>
            <c:strRef>
              <c:f>'Analysis Data'!$Q$2:$Q$2</c:f>
              <c:strCache>
                <c:ptCount val="0"/>
              </c:strCache>
            </c:strRef>
          </c:cat>
          <c:val>
            <c:numRef>
              <c:f>'Analysis Data'!$V$2:$V$2</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max val="1"/>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Concept transfer success across all tasks</a:t>
            </a:r>
          </a:p>
        </c:rich>
      </c:tx>
      <c:overlay val="0"/>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GR00T-N1.7 Vision</c:v>
          </c:tx>
          <c:spPr>
            <a:solidFill xmlns:a="http://schemas.openxmlformats.org/drawingml/2006/main">
              <a:srgbClr val="2563EB"/>
            </a:solidFill>
          </c:spPr>
          <c:dLbls>
            <c:dLbl>
              <c:idx val="0"/>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s>
          <c:cat>
            <c:strRef>
              <c:f>'Analysis Data'!$Q$6:$Q$6</c:f>
              <c:strCache>
                <c:ptCount val="0"/>
              </c:strCache>
            </c:strRef>
          </c:cat>
          <c:val>
            <c:numRef>
              <c:f>'Analysis Data'!$R$6:$R$6</c:f>
              <c:numCache>
                <c:formatCode>0%</c:formatCode>
                <c:ptCount val="0"/>
              </c:numCache>
            </c:numRef>
          </c:val>
        </c:ser>
        <c:ser>
          <c:idx val="1"/>
          <c:order val="1"/>
          <c:tx>
            <c:v>MolmoAct2</c:v>
          </c:tx>
          <c:spPr>
            <a:solidFill xmlns:a="http://schemas.openxmlformats.org/drawingml/2006/main">
              <a:srgbClr val="D97706"/>
            </a:solidFill>
          </c:spPr>
          <c:dLbls>
            <c:dLbl>
              <c:idx val="0"/>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s>
          <c:cat>
            <c:strRef>
              <c:f>'Analysis Data'!$Q$6:$Q$6</c:f>
              <c:strCache>
                <c:ptCount val="0"/>
              </c:strCache>
            </c:strRef>
          </c:cat>
          <c:val>
            <c:numRef>
              <c:f>'Analysis Data'!$S$6:$S$6</c:f>
              <c:numCache>
                <c:formatCode>0%</c:formatCode>
                <c:ptCount val="0"/>
              </c:numCache>
            </c:numRef>
          </c:val>
        </c:ser>
        <c:ser>
          <c:idx val="2"/>
          <c:order val="2"/>
          <c:tx>
            <c:v>Pi0.5</c:v>
          </c:tx>
          <c:spPr>
            <a:solidFill xmlns:a="http://schemas.openxmlformats.org/drawingml/2006/main">
              <a:srgbClr val="059669"/>
            </a:solidFill>
          </c:spPr>
          <c:dLbls>
            <c:dLbl>
              <c:idx val="0"/>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s>
          <c:cat>
            <c:strRef>
              <c:f>'Analysis Data'!$Q$6:$Q$6</c:f>
              <c:strCache>
                <c:ptCount val="0"/>
              </c:strCache>
            </c:strRef>
          </c:cat>
          <c:val>
            <c:numRef>
              <c:f>'Analysis Data'!$T$6:$T$6</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max val="1"/>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In-distribution success by task</a:t>
            </a:r>
          </a:p>
        </c:rich>
      </c:tx>
      <c:overlay val="0"/>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VLA-0</c:v>
          </c:tx>
          <c:spPr>
            <a:solidFill xmlns:a="http://schemas.openxmlformats.org/drawingml/2006/main">
              <a:srgbClr val="6B7280"/>
            </a:solidFill>
          </c:spPr>
          <c:dLbls>
            <c:dLbl>
              <c:idx val="0"/>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1"/>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2"/>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3"/>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4"/>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5"/>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s>
          <c:cat>
            <c:strRef>
              <c:f>'Analysis Data'!$Q$10:$Q$15</c:f>
              <c:strCache>
                <c:ptCount val="0"/>
              </c:strCache>
            </c:strRef>
          </c:cat>
          <c:val>
            <c:numRef>
              <c:f>'Analysis Data'!$R$10:$R$15</c:f>
              <c:numCache>
                <c:formatCode>0%</c:formatCode>
                <c:ptCount val="0"/>
              </c:numCache>
            </c:numRef>
          </c:val>
        </c:ser>
        <c:ser>
          <c:idx val="1"/>
          <c:order val="1"/>
          <c:tx>
            <c:v>GR00T-N1.7 Vision</c:v>
          </c:tx>
          <c:spPr>
            <a:solidFill xmlns:a="http://schemas.openxmlformats.org/drawingml/2006/main">
              <a:srgbClr val="2563EB"/>
            </a:solidFill>
          </c:spPr>
          <c:dLbls>
            <c:dLbl>
              <c:idx val="0"/>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1"/>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2"/>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3"/>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4"/>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5"/>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s>
          <c:cat>
            <c:strRef>
              <c:f>'Analysis Data'!$Q$10:$Q$15</c:f>
              <c:strCache>
                <c:ptCount val="0"/>
              </c:strCache>
            </c:strRef>
          </c:cat>
          <c:val>
            <c:numRef>
              <c:f>'Analysis Data'!$S$10:$S$15</c:f>
              <c:numCache>
                <c:formatCode>0%</c:formatCode>
                <c:ptCount val="0"/>
              </c:numCache>
            </c:numRef>
          </c:val>
        </c:ser>
        <c:ser>
          <c:idx val="2"/>
          <c:order val="2"/>
          <c:tx>
            <c:v>GR00T-N1.7 Full FT</c:v>
          </c:tx>
          <c:spPr>
            <a:solidFill xmlns:a="http://schemas.openxmlformats.org/drawingml/2006/main">
              <a:srgbClr val="7C3AED"/>
            </a:solidFill>
          </c:spPr>
          <c:dLbls>
            <c:dLbl>
              <c:idx val="0"/>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1"/>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2"/>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3"/>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4"/>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5"/>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s>
          <c:cat>
            <c:strRef>
              <c:f>'Analysis Data'!$Q$10:$Q$15</c:f>
              <c:strCache>
                <c:ptCount val="0"/>
              </c:strCache>
            </c:strRef>
          </c:cat>
          <c:val>
            <c:numRef>
              <c:f>'Analysis Data'!$T$10:$T$15</c:f>
              <c:numCache>
                <c:formatCode>0%</c:formatCode>
                <c:ptCount val="0"/>
              </c:numCache>
            </c:numRef>
          </c:val>
        </c:ser>
        <c:ser>
          <c:idx val="3"/>
          <c:order val="3"/>
          <c:tx>
            <c:v>MolmoAct2</c:v>
          </c:tx>
          <c:spPr>
            <a:solidFill xmlns:a="http://schemas.openxmlformats.org/drawingml/2006/main">
              <a:srgbClr val="D97706"/>
            </a:solidFill>
          </c:spPr>
          <c:dLbls>
            <c:dLbl>
              <c:idx val="0"/>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1"/>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2"/>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3"/>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4"/>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5"/>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s>
          <c:cat>
            <c:strRef>
              <c:f>'Analysis Data'!$Q$10:$Q$15</c:f>
              <c:strCache>
                <c:ptCount val="0"/>
              </c:strCache>
            </c:strRef>
          </c:cat>
          <c:val>
            <c:numRef>
              <c:f>'Analysis Data'!$U$10:$U$15</c:f>
              <c:numCache>
                <c:formatCode>0%</c:formatCode>
                <c:ptCount val="0"/>
              </c:numCache>
            </c:numRef>
          </c:val>
        </c:ser>
        <c:ser>
          <c:idx val="4"/>
          <c:order val="4"/>
          <c:tx>
            <c:v>Pi0.5</c:v>
          </c:tx>
          <c:spPr>
            <a:solidFill xmlns:a="http://schemas.openxmlformats.org/drawingml/2006/main">
              <a:srgbClr val="059669"/>
            </a:solidFill>
          </c:spPr>
          <c:dLbls>
            <c:dLbl>
              <c:idx val="0"/>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1"/>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2"/>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3"/>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4"/>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5"/>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s>
          <c:cat>
            <c:strRef>
              <c:f>'Analysis Data'!$Q$10:$Q$15</c:f>
              <c:strCache>
                <c:ptCount val="0"/>
              </c:strCache>
            </c:strRef>
          </c:cat>
          <c:val>
            <c:numRef>
              <c:f>'Analysis Data'!$V$10:$V$15</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max val="1"/>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Concept transfer success by task</a:t>
            </a:r>
          </a:p>
        </c:rich>
      </c:tx>
      <c:overlay val="0"/>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GR00T-N1.7 Vision</c:v>
          </c:tx>
          <c:spPr>
            <a:solidFill xmlns:a="http://schemas.openxmlformats.org/drawingml/2006/main">
              <a:srgbClr val="2563EB"/>
            </a:solidFill>
          </c:spPr>
          <c:dLbls>
            <c:dLbl>
              <c:idx val="0"/>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1"/>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2"/>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3"/>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4"/>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5"/>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s>
          <c:cat>
            <c:strRef>
              <c:f>'Analysis Data'!$Q$19:$Q$24</c:f>
              <c:strCache>
                <c:ptCount val="0"/>
              </c:strCache>
            </c:strRef>
          </c:cat>
          <c:val>
            <c:numRef>
              <c:f>'Analysis Data'!$R$19:$R$24</c:f>
              <c:numCache>
                <c:formatCode>0%</c:formatCode>
                <c:ptCount val="0"/>
              </c:numCache>
            </c:numRef>
          </c:val>
        </c:ser>
        <c:ser>
          <c:idx val="1"/>
          <c:order val="1"/>
          <c:tx>
            <c:v>MolmoAct2</c:v>
          </c:tx>
          <c:spPr>
            <a:solidFill xmlns:a="http://schemas.openxmlformats.org/drawingml/2006/main">
              <a:srgbClr val="D97706"/>
            </a:solidFill>
          </c:spPr>
          <c:dLbls>
            <c:dLbl>
              <c:idx val="0"/>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1"/>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2"/>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3"/>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4"/>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5"/>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s>
          <c:cat>
            <c:strRef>
              <c:f>'Analysis Data'!$Q$19:$Q$24</c:f>
              <c:strCache>
                <c:ptCount val="0"/>
              </c:strCache>
            </c:strRef>
          </c:cat>
          <c:val>
            <c:numRef>
              <c:f>'Analysis Data'!$S$19:$S$24</c:f>
              <c:numCache>
                <c:formatCode>0%</c:formatCode>
                <c:ptCount val="0"/>
              </c:numCache>
            </c:numRef>
          </c:val>
        </c:ser>
        <c:ser>
          <c:idx val="2"/>
          <c:order val="2"/>
          <c:tx>
            <c:v>Pi0.5</c:v>
          </c:tx>
          <c:spPr>
            <a:solidFill xmlns:a="http://schemas.openxmlformats.org/drawingml/2006/main">
              <a:srgbClr val="059669"/>
            </a:solidFill>
          </c:spPr>
          <c:dLbls>
            <c:dLbl>
              <c:idx val="0"/>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1"/>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2"/>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3"/>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4"/>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
              <c:idx val="5"/>
              <c:txPr>
                <a:bodyPr xmlns:a="http://schemas.openxmlformats.org/drawingml/2006/main" anchorCtr="1"/>
                <a:lstStyle xmlns:a="http://schemas.openxmlformats.org/drawingml/2006/main"/>
                <a:p xmlns:a="http://schemas.openxmlformats.org/drawingml/2006/main">
                  <a:pPr>
                    <a:defRPr sz="600"/>
                  </a:pPr>
                </a:p>
              </c:txPr>
              <c:dLblPos val="outEnd"/>
              <c:showLegendKey val="0"/>
              <c:showVal val="1"/>
              <c:showCatName val="0"/>
              <c:showSerName val="0"/>
              <c:showPercent val="0"/>
              <c:showBubbleSize val="0"/>
            </c:dLbl>
          </c:dLbls>
          <c:cat>
            <c:strRef>
              <c:f>'Analysis Data'!$Q$19:$Q$24</c:f>
              <c:strCache>
                <c:ptCount val="0"/>
              </c:strCache>
            </c:strRef>
          </c:cat>
          <c:val>
            <c:numRef>
              <c:f>'Analysis Data'!$T$19:$T$24</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max val="1"/>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5</xdr:row>
      <xdr:rowOff>0</xdr:rowOff>
    </xdr:from>
    <xdr:to>
      <xdr:col>10</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296a11ec00846c0"/>
        </a:graphicData>
      </a:graphic>
    </xdr:graphicFrame>
    <xdr:clientData/>
  </xdr:twoCellAnchor>
  <xdr:twoCellAnchor>
    <xdr:from>
      <xdr:col>11</xdr:col>
      <xdr:colOff>0</xdr:colOff>
      <xdr:row>5</xdr:row>
      <xdr:rowOff>0</xdr:rowOff>
    </xdr:from>
    <xdr:to>
      <xdr:col>21</xdr:col>
      <xdr:colOff>0</xdr:colOff>
      <xdr:row>18</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adb7f281e1f4a16"/>
        </a:graphicData>
      </a:graphic>
    </xdr:graphicFrame>
    <xdr:clientData/>
  </xdr:twoCellAnchor>
  <xdr:twoCellAnchor>
    <xdr:from>
      <xdr:col>0</xdr:col>
      <xdr:colOff>0</xdr:colOff>
      <xdr:row>29</xdr:row>
      <xdr:rowOff>0</xdr:rowOff>
    </xdr:from>
    <xdr:to>
      <xdr:col>10</xdr:col>
      <xdr:colOff>0</xdr:colOff>
      <xdr:row>47</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471a4b1802a4bef"/>
        </a:graphicData>
      </a:graphic>
    </xdr:graphicFrame>
    <xdr:clientData/>
  </xdr:twoCellAnchor>
  <xdr:twoCellAnchor>
    <xdr:from>
      <xdr:col>11</xdr:col>
      <xdr:colOff>0</xdr:colOff>
      <xdr:row>29</xdr:row>
      <xdr:rowOff>0</xdr:rowOff>
    </xdr:from>
    <xdr:to>
      <xdr:col>21</xdr:col>
      <xdr:colOff>0</xdr:colOff>
      <xdr:row>47</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75f86ab1a0247be"/>
        </a:graphicData>
      </a:graphic>
    </xdr:graphicFrame>
    <xdr:clientData/>
  </xdr:twoCellAnchor>
</xdr:wsDr>
</file>

<file path=xl/tables/table1.xml><?xml version="1.0" encoding="utf-8"?>
<x:table xmlns:x="http://schemas.openxmlformats.org/spreadsheetml/2006/main" id="1" name="VLA0Evaluations" displayName="VLA0Evaluations" ref="A1:AN73" headerRowCount="1" totalsRowCount="0" totalsRowShown="0">
  <x:tableColumns count="40">
    <x:tableColumn id="1" name="Status"/>
    <x:tableColumn id="2" name="Task"/>
    <x:tableColumn id="3" name="Episode"/>
    <x:tableColumn id="4" name="Prompt"/>
    <x:tableColumn id="5" name="Scene Setup"/>
    <x:tableColumn id="6" name="Expected Target / Action"/>
    <x:tableColumn id="7" name="Observations"/>
    <x:tableColumn id="8" name="Condition"/>
    <x:tableColumn id="9" name="Scene Family"/>
    <x:tableColumn id="10" name="Comparison / Subtype"/>
    <x:tableColumn id="11" name="Reference Episode"/>
    <x:tableColumn id="12" name="Original Training Episode(s)"/>
    <x:tableColumn id="13" name="Manifest Alignment"/>
    <x:tableColumn id="14" name="Collection Block"/>
    <x:tableColumn id="15" name="Setup Change from Previous"/>
    <x:tableColumn id="16" name="Design Note"/>
    <x:tableColumn id="17" name="Reference Media Filename"/>
    <x:tableColumn id="18" name="Object Count"/>
    <x:tableColumn id="19" name="Valid Candidate Count"/>
    <x:tableColumn id="20" name="Bowl Start"/>
    <x:tableColumn id="21" name="Queried State"/>
    <x:tableColumn id="22" name="Queried Category"/>
    <x:tableColumn id="23" name="Contrast Pair"/>
    <x:tableColumn id="24" name="Initial Bowl Count"/>
    <x:tableColumn id="25" name="Goal Count"/>
    <x:tableColumn id="26" name="Action Direction"/>
    <x:tableColumn id="27" name="Target Position"/>
    <x:tableColumn id="28" name="Query Concept"/>
    <x:tableColumn id="29" name="Relation"/>
    <x:tableColumn id="30" name="Target Object"/>
    <x:tableColumn id="31" name="Reference Object"/>
    <x:tableColumn id="32" name="Juggling Ball Role"/>
    <x:tableColumn id="33" name="Candidate Category"/>
    <x:tableColumn id="34" name="Target Side"/>
    <x:tableColumn id="35" name="Separation (cm)"/>
    <x:tableColumn id="36" name="Tested Cell / Role"/>
    <x:tableColumn id="37" name="Source Workbook"/>
    <x:tableColumn id="38" name="Source Result Sheet"/>
    <x:tableColumn id="39" name="Source Result Row"/>
    <x:tableColumn id="40" name="Source Plan Row"/>
  </x:tableColumns>
  <x:tableStyleInfo name="TableStyleMedium2" showFirstColumn="0" showLastColumn="0" showRowStripes="1" showColumnStripes="0"/>
</x:table>
</file>

<file path=xl/tables/table2.xml><?xml version="1.0" encoding="utf-8"?>
<x:table xmlns:x="http://schemas.openxmlformats.org/spreadsheetml/2006/main" id="2" name="GR00TVisionEvaluations" displayName="GR00TVisionEvaluations" ref="A1:AN901" headerRowCount="1" totalsRowCount="0" totalsRowShown="0">
  <x:tableColumns count="40">
    <x:tableColumn id="1" name="Status"/>
    <x:tableColumn id="2" name="Task"/>
    <x:tableColumn id="3" name="Episode"/>
    <x:tableColumn id="4" name="Prompt"/>
    <x:tableColumn id="5" name="Scene Setup"/>
    <x:tableColumn id="6" name="Expected Target / Action"/>
    <x:tableColumn id="7" name="Observations"/>
    <x:tableColumn id="8" name="Condition"/>
    <x:tableColumn id="9" name="Scene Family"/>
    <x:tableColumn id="10" name="Comparison / Subtype"/>
    <x:tableColumn id="11" name="Reference Episode"/>
    <x:tableColumn id="12" name="Original Training Episode(s)"/>
    <x:tableColumn id="13" name="Manifest Alignment"/>
    <x:tableColumn id="14" name="Collection Block"/>
    <x:tableColumn id="15" name="Setup Change from Previous"/>
    <x:tableColumn id="16" name="Design Note"/>
    <x:tableColumn id="17" name="Reference Media Filename"/>
    <x:tableColumn id="18" name="Object Count"/>
    <x:tableColumn id="19" name="Valid Candidate Count"/>
    <x:tableColumn id="20" name="Bowl Start"/>
    <x:tableColumn id="21" name="Queried State"/>
    <x:tableColumn id="22" name="Queried Category"/>
    <x:tableColumn id="23" name="Contrast Pair"/>
    <x:tableColumn id="24" name="Initial Bowl Count"/>
    <x:tableColumn id="25" name="Goal Count"/>
    <x:tableColumn id="26" name="Action Direction"/>
    <x:tableColumn id="27" name="Target Position"/>
    <x:tableColumn id="28" name="Query Concept"/>
    <x:tableColumn id="29" name="Relation"/>
    <x:tableColumn id="30" name="Target Object"/>
    <x:tableColumn id="31" name="Reference Object"/>
    <x:tableColumn id="32" name="Juggling Ball Role"/>
    <x:tableColumn id="33" name="Candidate Category"/>
    <x:tableColumn id="34" name="Target Side"/>
    <x:tableColumn id="35" name="Separation (cm)"/>
    <x:tableColumn id="36" name="Tested Cell / Role"/>
    <x:tableColumn id="37" name="Source Workbook"/>
    <x:tableColumn id="38" name="Source Result Sheet"/>
    <x:tableColumn id="39" name="Source Result Row"/>
    <x:tableColumn id="40" name="Source Plan Row"/>
  </x:tableColumns>
  <x:tableStyleInfo name="TableStyleMedium2" showFirstColumn="0" showLastColumn="0" showRowStripes="1" showColumnStripes="0"/>
</x:table>
</file>

<file path=xl/tables/table3.xml><?xml version="1.0" encoding="utf-8"?>
<x:table xmlns:x="http://schemas.openxmlformats.org/spreadsheetml/2006/main" id="3" name="GR00TFullEvaluations" displayName="GR00TFullEvaluations" ref="A1:AN120" headerRowCount="1" totalsRowCount="0" totalsRowShown="0">
  <x:tableColumns count="40">
    <x:tableColumn id="1" name="Status"/>
    <x:tableColumn id="2" name="Task"/>
    <x:tableColumn id="3" name="Episode"/>
    <x:tableColumn id="4" name="Prompt"/>
    <x:tableColumn id="5" name="Scene Setup"/>
    <x:tableColumn id="6" name="Expected Target / Action"/>
    <x:tableColumn id="7" name="Observations"/>
    <x:tableColumn id="8" name="Condition"/>
    <x:tableColumn id="9" name="Scene Family"/>
    <x:tableColumn id="10" name="Comparison / Subtype"/>
    <x:tableColumn id="11" name="Reference Episode"/>
    <x:tableColumn id="12" name="Original Training Episode(s)"/>
    <x:tableColumn id="13" name="Manifest Alignment"/>
    <x:tableColumn id="14" name="Collection Block"/>
    <x:tableColumn id="15" name="Setup Change from Previous"/>
    <x:tableColumn id="16" name="Design Note"/>
    <x:tableColumn id="17" name="Reference Media Filename"/>
    <x:tableColumn id="18" name="Object Count"/>
    <x:tableColumn id="19" name="Valid Candidate Count"/>
    <x:tableColumn id="20" name="Bowl Start"/>
    <x:tableColumn id="21" name="Queried State"/>
    <x:tableColumn id="22" name="Queried Category"/>
    <x:tableColumn id="23" name="Contrast Pair"/>
    <x:tableColumn id="24" name="Initial Bowl Count"/>
    <x:tableColumn id="25" name="Goal Count"/>
    <x:tableColumn id="26" name="Action Direction"/>
    <x:tableColumn id="27" name="Target Position"/>
    <x:tableColumn id="28" name="Query Concept"/>
    <x:tableColumn id="29" name="Relation"/>
    <x:tableColumn id="30" name="Target Object"/>
    <x:tableColumn id="31" name="Reference Object"/>
    <x:tableColumn id="32" name="Juggling Ball Role"/>
    <x:tableColumn id="33" name="Candidate Category"/>
    <x:tableColumn id="34" name="Target Side"/>
    <x:tableColumn id="35" name="Separation (cm)"/>
    <x:tableColumn id="36" name="Tested Cell / Role"/>
    <x:tableColumn id="37" name="Source Workbook"/>
    <x:tableColumn id="38" name="Source Result Sheet"/>
    <x:tableColumn id="39" name="Source Result Row"/>
    <x:tableColumn id="40" name="Source Plan Row"/>
  </x:tableColumns>
  <x:tableStyleInfo name="TableStyleMedium2" showFirstColumn="0" showLastColumn="0" showRowStripes="1" showColumnStripes="0"/>
</x:table>
</file>

<file path=xl/tables/table4.xml><?xml version="1.0" encoding="utf-8"?>
<x:table xmlns:x="http://schemas.openxmlformats.org/spreadsheetml/2006/main" id="4" name="MolmoAct2Evaluations" displayName="MolmoAct2Evaluations" ref="A1:AN901" headerRowCount="1" totalsRowCount="0" totalsRowShown="0">
  <x:tableColumns count="40">
    <x:tableColumn id="1" name="Status"/>
    <x:tableColumn id="2" name="Task"/>
    <x:tableColumn id="3" name="Episode"/>
    <x:tableColumn id="4" name="Prompt"/>
    <x:tableColumn id="5" name="Scene Setup"/>
    <x:tableColumn id="6" name="Expected Target / Action"/>
    <x:tableColumn id="7" name="Observations"/>
    <x:tableColumn id="8" name="Condition"/>
    <x:tableColumn id="9" name="Scene Family"/>
    <x:tableColumn id="10" name="Comparison / Subtype"/>
    <x:tableColumn id="11" name="Reference Episode"/>
    <x:tableColumn id="12" name="Original Training Episode(s)"/>
    <x:tableColumn id="13" name="Manifest Alignment"/>
    <x:tableColumn id="14" name="Collection Block"/>
    <x:tableColumn id="15" name="Setup Change from Previous"/>
    <x:tableColumn id="16" name="Design Note"/>
    <x:tableColumn id="17" name="Reference Media Filename"/>
    <x:tableColumn id="18" name="Object Count"/>
    <x:tableColumn id="19" name="Valid Candidate Count"/>
    <x:tableColumn id="20" name="Bowl Start"/>
    <x:tableColumn id="21" name="Queried State"/>
    <x:tableColumn id="22" name="Queried Category"/>
    <x:tableColumn id="23" name="Contrast Pair"/>
    <x:tableColumn id="24" name="Initial Bowl Count"/>
    <x:tableColumn id="25" name="Goal Count"/>
    <x:tableColumn id="26" name="Action Direction"/>
    <x:tableColumn id="27" name="Target Position"/>
    <x:tableColumn id="28" name="Query Concept"/>
    <x:tableColumn id="29" name="Relation"/>
    <x:tableColumn id="30" name="Target Object"/>
    <x:tableColumn id="31" name="Reference Object"/>
    <x:tableColumn id="32" name="Juggling Ball Role"/>
    <x:tableColumn id="33" name="Candidate Category"/>
    <x:tableColumn id="34" name="Target Side"/>
    <x:tableColumn id="35" name="Separation (cm)"/>
    <x:tableColumn id="36" name="Tested Cell / Role"/>
    <x:tableColumn id="37" name="Source Workbook"/>
    <x:tableColumn id="38" name="Source Result Sheet"/>
    <x:tableColumn id="39" name="Source Result Row"/>
    <x:tableColumn id="40" name="Source Plan Row"/>
  </x:tableColumns>
  <x:tableStyleInfo name="TableStyleMedium2" showFirstColumn="0" showLastColumn="0" showRowStripes="1" showColumnStripes="0"/>
</x:table>
</file>

<file path=xl/tables/table5.xml><?xml version="1.0" encoding="utf-8"?>
<x:table xmlns:x="http://schemas.openxmlformats.org/spreadsheetml/2006/main" id="5" name="Pi05Evaluations" displayName="Pi05Evaluations" ref="A1:AN901" headerRowCount="1" totalsRowCount="0" totalsRowShown="0">
  <x:tableColumns count="40">
    <x:tableColumn id="1" name="Status"/>
    <x:tableColumn id="2" name="Task"/>
    <x:tableColumn id="3" name="Episode"/>
    <x:tableColumn id="4" name="Prompt"/>
    <x:tableColumn id="5" name="Scene Setup"/>
    <x:tableColumn id="6" name="Expected Target / Action"/>
    <x:tableColumn id="7" name="Observations"/>
    <x:tableColumn id="8" name="Condition"/>
    <x:tableColumn id="9" name="Scene Family"/>
    <x:tableColumn id="10" name="Comparison / Subtype"/>
    <x:tableColumn id="11" name="Reference Episode"/>
    <x:tableColumn id="12" name="Original Training Episode(s)"/>
    <x:tableColumn id="13" name="Manifest Alignment"/>
    <x:tableColumn id="14" name="Collection Block"/>
    <x:tableColumn id="15" name="Setup Change from Previous"/>
    <x:tableColumn id="16" name="Design Note"/>
    <x:tableColumn id="17" name="Reference Media Filename"/>
    <x:tableColumn id="18" name="Object Count"/>
    <x:tableColumn id="19" name="Valid Candidate Count"/>
    <x:tableColumn id="20" name="Bowl Start"/>
    <x:tableColumn id="21" name="Queried State"/>
    <x:tableColumn id="22" name="Queried Category"/>
    <x:tableColumn id="23" name="Contrast Pair"/>
    <x:tableColumn id="24" name="Initial Bowl Count"/>
    <x:tableColumn id="25" name="Goal Count"/>
    <x:tableColumn id="26" name="Action Direction"/>
    <x:tableColumn id="27" name="Target Position"/>
    <x:tableColumn id="28" name="Query Concept"/>
    <x:tableColumn id="29" name="Relation"/>
    <x:tableColumn id="30" name="Target Object"/>
    <x:tableColumn id="31" name="Reference Object"/>
    <x:tableColumn id="32" name="Juggling Ball Role"/>
    <x:tableColumn id="33" name="Candidate Category"/>
    <x:tableColumn id="34" name="Target Side"/>
    <x:tableColumn id="35" name="Separation (cm)"/>
    <x:tableColumn id="36" name="Tested Cell / Role"/>
    <x:tableColumn id="37" name="Source Workbook"/>
    <x:tableColumn id="38" name="Source Result Sheet"/>
    <x:tableColumn id="39" name="Source Result Row"/>
    <x:tableColumn id="40" name="Source Plan Row"/>
  </x:tableColumns>
  <x:tableStyleInfo name="TableStyleMedium2" showFirstColumn="0" showLastColumn="0" showRowStripes="1" showColumnStripes="0"/>
</x:table>
</file>

<file path=xl/tables/table6.xml><?xml version="1.0" encoding="utf-8"?>
<x:table xmlns:x="http://schemas.openxmlformats.org/spreadsheetml/2006/main" id="6" name="GR00TActionOnlyEvaluations" displayName="GR00TActionOnlyEvaluations" ref="A1:AN21" headerRowCount="1" totalsRowCount="0" totalsRowShown="0">
  <x:tableColumns count="40">
    <x:tableColumn id="1" name="Status"/>
    <x:tableColumn id="2" name="Task"/>
    <x:tableColumn id="3" name="Episode"/>
    <x:tableColumn id="4" name="Prompt"/>
    <x:tableColumn id="5" name="Scene Setup"/>
    <x:tableColumn id="6" name="Expected Target / Action"/>
    <x:tableColumn id="7" name="Observations"/>
    <x:tableColumn id="8" name="Condition"/>
    <x:tableColumn id="9" name="Scene Family"/>
    <x:tableColumn id="10" name="Comparison / Subtype"/>
    <x:tableColumn id="11" name="Reference Episode"/>
    <x:tableColumn id="12" name="Original Training Episode(s)"/>
    <x:tableColumn id="13" name="Manifest Alignment"/>
    <x:tableColumn id="14" name="Collection Block"/>
    <x:tableColumn id="15" name="Setup Change from Previous"/>
    <x:tableColumn id="16" name="Design Note"/>
    <x:tableColumn id="17" name="Reference Media Filename"/>
    <x:tableColumn id="18" name="Object Count"/>
    <x:tableColumn id="19" name="Valid Candidate Count"/>
    <x:tableColumn id="20" name="Bowl Start"/>
    <x:tableColumn id="21" name="Queried State"/>
    <x:tableColumn id="22" name="Queried Category"/>
    <x:tableColumn id="23" name="Contrast Pair"/>
    <x:tableColumn id="24" name="Initial Bowl Count"/>
    <x:tableColumn id="25" name="Goal Count"/>
    <x:tableColumn id="26" name="Action Direction"/>
    <x:tableColumn id="27" name="Target Position"/>
    <x:tableColumn id="28" name="Query Concept"/>
    <x:tableColumn id="29" name="Relation"/>
    <x:tableColumn id="30" name="Target Object"/>
    <x:tableColumn id="31" name="Reference Object"/>
    <x:tableColumn id="32" name="Juggling Ball Role"/>
    <x:tableColumn id="33" name="Candidate Category"/>
    <x:tableColumn id="34" name="Target Side"/>
    <x:tableColumn id="35" name="Separation (cm)"/>
    <x:tableColumn id="36" name="Tested Cell / Role"/>
    <x:tableColumn id="37" name="Source Workbook"/>
    <x:tableColumn id="38" name="Source Result Sheet"/>
    <x:tableColumn id="39" name="Source Result Row"/>
    <x:tableColumn id="40" name="Source Plan Row"/>
  </x:tableColumns>
  <x:tableStyleInfo name="TableStyleMedium2" showFirstColumn="0" showLastColumn="0" showRowStripes="1" showColumnStripes="0"/>
</x:table>
</file>

<file path=xl/tables/table7.xml><?xml version="1.0" encoding="utf-8"?>
<x:table xmlns:x="http://schemas.openxmlformats.org/spreadsheetml/2006/main" id="7" name="ResultsAnalysisTable" displayName="ResultsAnalysisTable" ref="A1:M57" headerRowCount="1" totalsRowCount="0" totalsRowShown="0">
  <x:tableColumns count="13">
    <x:tableColumn id="1" name="Segment"/>
    <x:tableColumn id="2" name="Task"/>
    <x:tableColumn id="3" name="Model"/>
    <x:tableColumn id="4" name="Model Sheet"/>
    <x:tableColumn id="5" name="Success"/>
    <x:tableColumn id="6" name="Failure"/>
    <x:tableColumn id="7" name="Scored"/>
    <x:tableColumn id="8" name="Success Rate"/>
    <x:tableColumn id="9" name="Wilson Center"/>
    <x:tableColumn id="10" name="Wilson Half-width"/>
    <x:tableColumn id="11" name="CI Lower"/>
    <x:tableColumn id="12" name="CI Upper"/>
    <x:tableColumn id="13" name="Wilson 95% CI"/>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43789da2fb934cec" /></Relationships>
</file>

<file path=xl/worksheets/_rels/sheet3.xml.rels>&#65279;<?xml version="1.0" encoding="utf-8"?><Relationships xmlns="http://schemas.openxmlformats.org/package/2006/relationships"><Relationship Type="http://schemas.openxmlformats.org/officeDocument/2006/relationships/table" Target="/xl/tables/table1.xml" Id="Rc5d4e272d6f94e53" /></Relationships>
</file>

<file path=xl/worksheets/_rels/sheet4.xml.rels>&#65279;<?xml version="1.0" encoding="utf-8"?><Relationships xmlns="http://schemas.openxmlformats.org/package/2006/relationships"><Relationship Type="http://schemas.openxmlformats.org/officeDocument/2006/relationships/table" Target="/xl/tables/table2.xml" Id="R96df0c66e89c49f2" /></Relationships>
</file>

<file path=xl/worksheets/_rels/sheet5.xml.rels>&#65279;<?xml version="1.0" encoding="utf-8"?><Relationships xmlns="http://schemas.openxmlformats.org/package/2006/relationships"><Relationship Type="http://schemas.openxmlformats.org/officeDocument/2006/relationships/table" Target="/xl/tables/table3.xml" Id="R8fcf254187f74560" /></Relationships>
</file>

<file path=xl/worksheets/_rels/sheet6.xml.rels>&#65279;<?xml version="1.0" encoding="utf-8"?><Relationships xmlns="http://schemas.openxmlformats.org/package/2006/relationships"><Relationship Type="http://schemas.openxmlformats.org/officeDocument/2006/relationships/table" Target="/xl/tables/table4.xml" Id="R5f3f72b31f764512" /></Relationships>
</file>

<file path=xl/worksheets/_rels/sheet7.xml.rels>&#65279;<?xml version="1.0" encoding="utf-8"?><Relationships xmlns="http://schemas.openxmlformats.org/package/2006/relationships"><Relationship Type="http://schemas.openxmlformats.org/officeDocument/2006/relationships/table" Target="/xl/tables/table5.xml" Id="Re9645cde2ec34cc6" /></Relationships>
</file>

<file path=xl/worksheets/_rels/sheet8.xml.rels>&#65279;<?xml version="1.0" encoding="utf-8"?><Relationships xmlns="http://schemas.openxmlformats.org/package/2006/relationships"><Relationship Type="http://schemas.openxmlformats.org/officeDocument/2006/relationships/table" Target="/xl/tables/table6.xml" Id="R41ec6bf34f9f42de" /></Relationships>
</file>

<file path=xl/worksheets/_rels/sheet9.xml.rels>&#65279;<?xml version="1.0" encoding="utf-8"?><Relationships xmlns="http://schemas.openxmlformats.org/package/2006/relationships"><Relationship Type="http://schemas.openxmlformats.org/officeDocument/2006/relationships/table" Target="/xl/tables/table7.xml" Id="R60a878ba002046bb" /></Relationships>
</file>

<file path=xl/worksheets/sheet1.xml><?xml version="1.0" encoding="utf-8"?>
<x:worksheet xmlns:x="http://schemas.openxmlformats.org/spreadsheetml/2006/main">
  <x:sheetViews>
    <x:sheetView showGridLines="0" workbookViewId="0"/>
  </x:sheetViews>
  <x:sheetFormatPr defaultRowHeight="15"/>
  <x:cols>
    <x:col min="1" max="1" width="21"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21"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s>
  <x:sheetData>
    <x:row r="1" ht="36" customHeight="1">
      <x:c r="A1" s="28" t="str">
        <x:v>CONSOLIDATED ROBOT EVALUATION RESULTS</x:v>
      </x:c>
      <x:c r="B1" s="28"/>
      <x:c r="C1" s="28"/>
      <x:c r="D1" s="28"/>
      <x:c r="E1" s="28"/>
      <x:c r="F1" s="28"/>
      <x:c r="G1" s="28"/>
      <x:c r="H1" s="28"/>
      <x:c r="I1" s="28"/>
      <x:c r="J1" s="28"/>
      <x:c r="K1" s="28"/>
      <x:c r="L1" s="28"/>
      <x:c r="M1" s="28"/>
      <x:c r="N1" s="28"/>
      <x:c r="O1" s="28"/>
      <x:c r="P1" s="28"/>
      <x:c r="Q1" s="28"/>
      <x:c r="R1" s="28"/>
      <x:c r="S1" s="28"/>
      <x:c r="T1" s="28"/>
      <x:c r="U1" s="28"/>
    </x:row>
    <x:row r="2" ht="24" customHeight="1">
      <x:c r="A2" s="31" t="str">
        <x:v>Success rates use scored evaluations only. Confidence intervals are two-sided Wilson 95% intervals (z = 1.96).</x:v>
      </x:c>
      <x:c r="B2" s="31"/>
      <x:c r="C2" s="31"/>
      <x:c r="D2" s="31"/>
      <x:c r="E2" s="31"/>
      <x:c r="F2" s="31"/>
      <x:c r="G2" s="31"/>
      <x:c r="H2" s="31"/>
      <x:c r="I2" s="31"/>
      <x:c r="J2" s="31"/>
      <x:c r="K2" s="31"/>
      <x:c r="L2" s="31"/>
      <x:c r="M2" s="31"/>
      <x:c r="N2" s="31"/>
      <x:c r="O2" s="31"/>
      <x:c r="P2" s="31"/>
      <x:c r="Q2" s="31"/>
      <x:c r="R2" s="31"/>
      <x:c r="S2" s="31"/>
      <x:c r="T2" s="31"/>
      <x:c r="U2" s="31"/>
    </x:row>
    <x:row r="4" ht="28" customHeight="1">
      <x:c r="A4" s="40" t="str">
        <x:v>VLA-0</x:v>
      </x:c>
      <x:c r="B4" s="41"/>
      <x:c r="C4" s="41"/>
      <x:c r="D4" s="42"/>
      <x:c r="E4" s="51" t="str">
        <x:v>GR00T-N1.7 (vision only)</x:v>
      </x:c>
      <x:c r="F4" s="52"/>
      <x:c r="G4" s="52"/>
      <x:c r="H4" s="53"/>
      <x:c r="I4" s="62" t="str">
        <x:v>GR00T-N1.7 (full finetune)</x:v>
      </x:c>
      <x:c r="J4" s="63"/>
      <x:c r="K4" s="63"/>
      <x:c r="L4" s="64"/>
      <x:c r="M4" s="73" t="str">
        <x:v>MolmoAct2</x:v>
      </x:c>
      <x:c r="N4" s="74"/>
      <x:c r="O4" s="74"/>
      <x:c r="P4" s="75"/>
      <x:c r="Q4" s="84" t="str">
        <x:v>Pi0.5</x:v>
      </x:c>
      <x:c r="R4" s="85"/>
      <x:c r="S4" s="85"/>
      <x:c r="T4" s="85"/>
      <x:c r="U4" s="86"/>
    </x:row>
    <x:row r="20" ht="22" customHeight="1">
      <x:c r="A20" s="6" t="str">
        <x:v>Model</x:v>
      </x:c>
      <x:c r="B20" s="6" t="str">
        <x:v>Success</x:v>
      </x:c>
      <x:c r="C20" s="6" t="str">
        <x:v>Scored</x:v>
      </x:c>
      <x:c r="D20" s="6" t="str">
        <x:v>Rate</x:v>
      </x:c>
      <x:c r="E20" s="6" t="str">
        <x:v>CI Lower</x:v>
      </x:c>
      <x:c r="F20" s="6" t="str">
        <x:v>CI Upper</x:v>
      </x:c>
      <x:c r="G20" s="6" t="str">
        <x:v>Wilson 95% CI</x:v>
      </x:c>
      <x:c r="L20" s="6" t="str">
        <x:v>Model</x:v>
      </x:c>
      <x:c r="M20" s="6" t="str">
        <x:v>Success</x:v>
      </x:c>
      <x:c r="N20" s="6" t="str">
        <x:v>Scored</x:v>
      </x:c>
      <x:c r="O20" s="6" t="str">
        <x:v>Rate</x:v>
      </x:c>
      <x:c r="P20" s="6" t="str">
        <x:v>CI Lower</x:v>
      </x:c>
      <x:c r="Q20" s="6" t="str">
        <x:v>CI Upper</x:v>
      </x:c>
      <x:c r="R20" s="6" t="str">
        <x:v>Wilson 95% CI</x:v>
      </x:c>
    </x:row>
    <x:row r="21" ht="22" customHeight="1">
      <x:c r="A21" s="87" t="str">
        <x:v>VLA-0</x:v>
      </x:c>
      <x:c r="B21" s="88" t="n">
        <x:f>'Analysis Data'!E2</x:f>
        <x:v>0</x:v>
      </x:c>
      <x:c r="C21" s="88" t="n">
        <x:f>'Analysis Data'!G2</x:f>
        <x:v>72</x:v>
      </x:c>
      <x:c r="D21" s="89" t="n">
        <x:f>'Analysis Data'!H2</x:f>
        <x:v>0</x:v>
      </x:c>
      <x:c r="E21" s="89" t="n">
        <x:f>'Analysis Data'!K2</x:f>
        <x:v>0</x:v>
      </x:c>
      <x:c r="F21" s="89" t="n">
        <x:f>'Analysis Data'!L2</x:f>
        <x:v>0.05065293981139638</x:v>
      </x:c>
      <x:c r="G21" s="87" t="str">
        <x:f>'Analysis Data'!M2</x:f>
        <x:v>0.0% – 5.1%</x:v>
      </x:c>
      <x:c r="L21" s="87" t="str">
        <x:v>GR00T-N1.7 (vision only)</x:v>
      </x:c>
      <x:c r="M21" s="88" t="n">
        <x:f>'Analysis Data'!E7</x:f>
        <x:v>133</x:v>
      </x:c>
      <x:c r="N21" s="88" t="n">
        <x:f>'Analysis Data'!G7</x:f>
        <x:v>300</x:v>
      </x:c>
      <x:c r="O21" s="89" t="n">
        <x:f>'Analysis Data'!H7</x:f>
        <x:v>0.44333333333333336</x:v>
      </x:c>
      <x:c r="P21" s="89" t="n">
        <x:f>'Analysis Data'!K7</x:f>
        <x:v>0.388185929862749</x:v>
      </x:c>
      <x:c r="Q21" s="89" t="n">
        <x:f>'Analysis Data'!L7</x:f>
        <x:v>0.4999136588703277</x:v>
      </x:c>
      <x:c r="R21" s="87" t="str">
        <x:f>'Analysis Data'!M7</x:f>
        <x:v>38.8% – 50.0%</x:v>
      </x:c>
    </x:row>
    <x:row r="22" ht="22" customHeight="1">
      <x:c r="A22" s="87" t="str">
        <x:v>GR00T-N1.7 (vision only)</x:v>
      </x:c>
      <x:c r="B22" s="88" t="n">
        <x:f>'Analysis Data'!E3</x:f>
        <x:v>81</x:v>
      </x:c>
      <x:c r="C22" s="88" t="n">
        <x:f>'Analysis Data'!G3</x:f>
        <x:v>120</x:v>
      </x:c>
      <x:c r="D22" s="89" t="n">
        <x:f>'Analysis Data'!H3</x:f>
        <x:v>0.675</x:v>
      </x:c>
      <x:c r="E22" s="89" t="n">
        <x:f>'Analysis Data'!K3</x:f>
        <x:v>0.5869001692187791</x:v>
      </x:c>
      <x:c r="F22" s="89" t="n">
        <x:f>'Analysis Data'!L3</x:f>
        <x:v>0.7522427359116458</x:v>
      </x:c>
      <x:c r="G22" s="87" t="str">
        <x:f>'Analysis Data'!M3</x:f>
        <x:v>58.7% – 75.2%</x:v>
      </x:c>
      <x:c r="L22" s="87" t="str">
        <x:v>MolmoAct2</x:v>
      </x:c>
      <x:c r="M22" s="88" t="n">
        <x:f>'Analysis Data'!E8</x:f>
        <x:v>156</x:v>
      </x:c>
      <x:c r="N22" s="88" t="n">
        <x:f>'Analysis Data'!G8</x:f>
        <x:v>300</x:v>
      </x:c>
      <x:c r="O22" s="89" t="n">
        <x:f>'Analysis Data'!H8</x:f>
        <x:v>0.52</x:v>
      </x:c>
      <x:c r="P22" s="89" t="n">
        <x:f>'Analysis Data'!K8</x:f>
        <x:v>0.46357005360167935</x:v>
      </x:c>
      <x:c r="Q22" s="89" t="n">
        <x:f>'Analysis Data'!L8</x:f>
        <x:v>0.5759242091984114</x:v>
      </x:c>
      <x:c r="R22" s="87" t="str">
        <x:f>'Analysis Data'!M8</x:f>
        <x:v>46.4% – 57.6%</x:v>
      </x:c>
    </x:row>
    <x:row r="23" ht="22" customHeight="1">
      <x:c r="A23" s="87" t="str">
        <x:v>GR00T-N1.7 (full finetune)</x:v>
      </x:c>
      <x:c r="B23" s="88" t="n">
        <x:f>'Analysis Data'!E4</x:f>
        <x:v>25</x:v>
      </x:c>
      <x:c r="C23" s="88" t="n">
        <x:f>'Analysis Data'!G4</x:f>
        <x:v>119</x:v>
      </x:c>
      <x:c r="D23" s="89" t="n">
        <x:f>'Analysis Data'!H4</x:f>
        <x:v>0.21008403361344538</x:v>
      </x:c>
      <x:c r="E23" s="89" t="n">
        <x:f>'Analysis Data'!K4</x:f>
        <x:v>0.14654279199949025</x:v>
      </x:c>
      <x:c r="F23" s="89" t="n">
        <x:f>'Analysis Data'!L4</x:f>
        <x:v>0.29175823957287617</x:v>
      </x:c>
      <x:c r="G23" s="87" t="str">
        <x:f>'Analysis Data'!M4</x:f>
        <x:v>14.7% – 29.2%</x:v>
      </x:c>
      <x:c r="L23" s="87" t="str">
        <x:v>Pi0.5</x:v>
      </x:c>
      <x:c r="M23" s="88" t="n">
        <x:f>'Analysis Data'!E9</x:f>
        <x:v>122</x:v>
      </x:c>
      <x:c r="N23" s="88" t="n">
        <x:f>'Analysis Data'!G9</x:f>
        <x:v>300</x:v>
      </x:c>
      <x:c r="O23" s="89" t="n">
        <x:f>'Analysis Data'!H9</x:f>
        <x:v>0.4066666666666667</x:v>
      </x:c>
      <x:c r="P23" s="89" t="n">
        <x:f>'Analysis Data'!K9</x:f>
        <x:v>0.3526007999029206</x:v>
      </x:c>
      <x:c r="Q23" s="89" t="n">
        <x:f>'Analysis Data'!L9</x:f>
        <x:v>0.4630926403633234</x:v>
      </x:c>
      <x:c r="R23" s="87" t="str">
        <x:f>'Analysis Data'!M9</x:f>
        <x:v>35.3% – 46.3%</x:v>
      </x:c>
    </x:row>
    <x:row r="24" ht="22" customHeight="1">
      <x:c r="A24" s="87" t="str">
        <x:v>MolmoAct2</x:v>
      </x:c>
      <x:c r="B24" s="88" t="n">
        <x:f>'Analysis Data'!E5</x:f>
        <x:v>87</x:v>
      </x:c>
      <x:c r="C24" s="88" t="n">
        <x:f>'Analysis Data'!G5</x:f>
        <x:v>120</x:v>
      </x:c>
      <x:c r="D24" s="89" t="n">
        <x:f>'Analysis Data'!H5</x:f>
        <x:v>0.725</x:v>
      </x:c>
      <x:c r="E24" s="89" t="n">
        <x:f>'Analysis Data'!K5</x:f>
        <x:v>0.6390686764395932</x:v>
      </x:c>
      <x:c r="F24" s="89" t="n">
        <x:f>'Analysis Data'!L5</x:f>
        <x:v>0.7969722015852385</x:v>
      </x:c>
      <x:c r="G24" s="87" t="str">
        <x:f>'Analysis Data'!M5</x:f>
        <x:v>63.9% – 79.7%</x:v>
      </x:c>
    </x:row>
    <x:row r="25" ht="22" customHeight="1">
      <x:c r="A25" s="87" t="str">
        <x:v>Pi0.5</x:v>
      </x:c>
      <x:c r="B25" s="88" t="n">
        <x:f>'Analysis Data'!E6</x:f>
        <x:v>82</x:v>
      </x:c>
      <x:c r="C25" s="88" t="n">
        <x:f>'Analysis Data'!G6</x:f>
        <x:v>120</x:v>
      </x:c>
      <x:c r="D25" s="89" t="n">
        <x:f>'Analysis Data'!H6</x:f>
        <x:v>0.6833333333333333</x:v>
      </x:c>
      <x:c r="E25" s="89" t="n">
        <x:f>'Analysis Data'!K6</x:f>
        <x:v>0.595519646541652</x:v>
      </x:c>
      <x:c r="F25" s="89" t="n">
        <x:f>'Analysis Data'!L6</x:f>
        <x:v>0.7597729207378406</x:v>
      </x:c>
      <x:c r="G25" s="87" t="str">
        <x:f>'Analysis Data'!M6</x:f>
        <x:v>59.6% – 76.0%</x:v>
      </x:c>
    </x:row>
    <x:row r="26" ht="22" customHeight="1"/>
    <x:row r="27" ht="22" customHeight="1"/>
    <x:row r="28" ht="22" customHeight="1"/>
    <x:row r="29" ht="22" customHeight="1"/>
    <x:row r="30" ht="22" customHeight="1"/>
    <x:row r="31" ht="22" customHeight="1"/>
    <x:row r="32" ht="22" customHeight="1"/>
    <x:row r="33" ht="22" customHeight="1"/>
    <x:row r="34" ht="22" customHeight="1"/>
    <x:row r="35" ht="22" customHeight="1"/>
    <x:row r="36" ht="22" customHeight="1"/>
    <x:row r="37" ht="22" customHeight="1"/>
    <x:row r="38" ht="22" customHeight="1"/>
    <x:row r="39" ht="22" customHeight="1"/>
    <x:row r="40" ht="22" customHeight="1"/>
    <x:row r="41" ht="22" customHeight="1"/>
    <x:row r="42" ht="22" customHeight="1"/>
    <x:row r="43" ht="22" customHeight="1"/>
    <x:row r="44" ht="22" customHeight="1"/>
    <x:row r="45" ht="22" customHeight="1"/>
    <x:row r="46" ht="22" customHeight="1"/>
    <x:row r="47" ht="22" customHeight="1"/>
    <x:row r="48" ht="22" customHeight="1"/>
    <x:row r="49" ht="22" customHeight="1"/>
    <x:row r="50" ht="22" customHeight="1">
      <x:c r="A50" s="6" t="str">
        <x:v>Task</x:v>
      </x:c>
      <x:c r="B50" s="6" t="str">
        <x:v>VLA-0</x:v>
      </x:c>
      <x:c r="C50" s="6" t="str">
        <x:v>GR00T-N1.7 Vision</x:v>
      </x:c>
      <x:c r="D50" s="6" t="str">
        <x:v>GR00T-N1.7 Full FT</x:v>
      </x:c>
      <x:c r="E50" s="6" t="str">
        <x:v>MolmoAct2</x:v>
      </x:c>
      <x:c r="F50" s="6" t="str">
        <x:v>Pi0.5</x:v>
      </x:c>
      <x:c r="L50" s="6" t="str">
        <x:v>Task</x:v>
      </x:c>
      <x:c r="M50" s="6" t="str">
        <x:v>GR00T-N1.7 Vision</x:v>
      </x:c>
      <x:c r="N50" s="6" t="str">
        <x:v>MolmoAct2</x:v>
      </x:c>
      <x:c r="O50" s="6" t="str">
        <x:v>Pi0.5</x:v>
      </x:c>
    </x:row>
    <x:row r="51" ht="22" customHeight="1">
      <x:c r="A51" s="93" t="str">
        <x:v>State Recognition</x:v>
      </x:c>
      <x:c r="B51" s="94" t="str">
        <x:f>TEXT('Analysis Data'!H10,"0.0%")&amp;" ["&amp;'Analysis Data'!M10&amp;"]"</x:f>
        <x:v>0.0% [0.0% – 27.8%]</x:v>
      </x:c>
      <x:c r="C51" s="94" t="str">
        <x:f>TEXT('Analysis Data'!H11,"0.0%")&amp;" ["&amp;'Analysis Data'!M11&amp;"]"</x:f>
        <x:v>85.0% [64.0% – 94.8%]</x:v>
      </x:c>
      <x:c r="D51" s="94" t="str">
        <x:f>TEXT('Analysis Data'!H12,"0.0%")&amp;" ["&amp;'Analysis Data'!M12&amp;"]"</x:f>
        <x:v>20.0% [8.1% – 41.6%]</x:v>
      </x:c>
      <x:c r="E51" s="94" t="str">
        <x:f>TEXT('Analysis Data'!H13,"0.0%")&amp;" ["&amp;'Analysis Data'!M13&amp;"]"</x:f>
        <x:v>90.0% [69.9% – 97.2%]</x:v>
      </x:c>
      <x:c r="F51" s="94" t="str">
        <x:f>TEXT('Analysis Data'!H14,"0.0%")&amp;" ["&amp;'Analysis Data'!M14&amp;"]"</x:f>
        <x:v>80.0% [58.4% – 91.9%]</x:v>
      </x:c>
      <x:c r="L51" s="93" t="str">
        <x:v>State Recognition</x:v>
      </x:c>
      <x:c r="M51" s="94" t="str">
        <x:f>TEXT('Analysis Data'!H40,"0.0%")&amp;" ["&amp;'Analysis Data'!M40&amp;"]"</x:f>
        <x:v>34.0% [22.4% – 47.8%]</x:v>
      </x:c>
      <x:c r="N51" s="94" t="str">
        <x:f>TEXT('Analysis Data'!H41,"0.0%")&amp;" ["&amp;'Analysis Data'!M41&amp;"]"</x:f>
        <x:v>76.0% [62.6% – 85.7%]</x:v>
      </x:c>
      <x:c r="O51" s="94" t="str">
        <x:f>TEXT('Analysis Data'!H42,"0.0%")&amp;" ["&amp;'Analysis Data'!M42&amp;"]"</x:f>
        <x:v>36.0% [24.1% – 49.9%]</x:v>
      </x:c>
    </x:row>
    <x:row r="52" ht="22" customHeight="1">
      <x:c r="A52" s="93" t="str">
        <x:v>Counting</x:v>
      </x:c>
      <x:c r="B52" s="94" t="str">
        <x:f>TEXT('Analysis Data'!H15,"0.0%")&amp;" ["&amp;'Analysis Data'!M15&amp;"]"</x:f>
        <x:v>0.0% [0.0% – 27.8%]</x:v>
      </x:c>
      <x:c r="C52" s="94" t="str">
        <x:f>TEXT('Analysis Data'!H16,"0.0%")&amp;" ["&amp;'Analysis Data'!M16&amp;"]"</x:f>
        <x:v>60.0% [38.7% – 78.1%]</x:v>
      </x:c>
      <x:c r="D52" s="94" t="str">
        <x:f>TEXT('Analysis Data'!H17,"0.0%")&amp;" ["&amp;'Analysis Data'!M17&amp;"]"</x:f>
        <x:v>36.8% [19.1% – 59.0%]</x:v>
      </x:c>
      <x:c r="E52" s="94" t="str">
        <x:f>TEXT('Analysis Data'!H18,"0.0%")&amp;" ["&amp;'Analysis Data'!M18&amp;"]"</x:f>
        <x:v>60.0% [38.7% – 78.1%]</x:v>
      </x:c>
      <x:c r="F52" s="94" t="str">
        <x:f>TEXT('Analysis Data'!H19,"0.0%")&amp;" ["&amp;'Analysis Data'!M19&amp;"]"</x:f>
        <x:v>55.0% [34.2% – 74.2%]</x:v>
      </x:c>
      <x:c r="L52" s="93" t="str">
        <x:v>Counting</x:v>
      </x:c>
      <x:c r="M52" s="94" t="str">
        <x:f>TEXT('Analysis Data'!H43,"0.0%")&amp;" ["&amp;'Analysis Data'!M43&amp;"]"</x:f>
        <x:v>0.0% [0.0% – 7.1%]</x:v>
      </x:c>
      <x:c r="N52" s="94" t="str">
        <x:f>TEXT('Analysis Data'!H44,"0.0%")&amp;" ["&amp;'Analysis Data'!M44&amp;"]"</x:f>
        <x:v>0.0% [0.0% – 7.1%]</x:v>
      </x:c>
      <x:c r="O52" s="94" t="str">
        <x:f>TEXT('Analysis Data'!H45,"0.0%")&amp;" ["&amp;'Analysis Data'!M45&amp;"]"</x:f>
        <x:v>0.0% [0.0% – 7.1%]</x:v>
      </x:c>
    </x:row>
    <x:row r="53" ht="22" customHeight="1">
      <x:c r="A53" s="93" t="str">
        <x:v>Ordinal Reference Ordering</x:v>
      </x:c>
      <x:c r="B53" s="94" t="str">
        <x:f>TEXT('Analysis Data'!H20,"0.0%")&amp;" ["&amp;'Analysis Data'!M20&amp;"]"</x:f>
        <x:v>0.0% [0.0% – 27.8%]</x:v>
      </x:c>
      <x:c r="C53" s="94" t="str">
        <x:f>TEXT('Analysis Data'!H21,"0.0%")&amp;" ["&amp;'Analysis Data'!M21&amp;"]"</x:f>
        <x:v>45.0% [25.8% – 65.8%]</x:v>
      </x:c>
      <x:c r="D53" s="94" t="str">
        <x:f>TEXT('Analysis Data'!H22,"0.0%")&amp;" ["&amp;'Analysis Data'!M22&amp;"]"</x:f>
        <x:v>15.0% [5.2% – 36.0%]</x:v>
      </x:c>
      <x:c r="E53" s="94" t="str">
        <x:f>TEXT('Analysis Data'!H23,"0.0%")&amp;" ["&amp;'Analysis Data'!M23&amp;"]"</x:f>
        <x:v>50.0% [29.9% – 70.1%]</x:v>
      </x:c>
      <x:c r="F53" s="94" t="str">
        <x:f>TEXT('Analysis Data'!H24,"0.0%")&amp;" ["&amp;'Analysis Data'!M24&amp;"]"</x:f>
        <x:v>35.0% [18.1% – 56.7%]</x:v>
      </x:c>
      <x:c r="L53" s="93" t="str">
        <x:v>Ordinal Reference Ordering</x:v>
      </x:c>
      <x:c r="M53" s="94" t="str">
        <x:f>TEXT('Analysis Data'!H46,"0.0%")&amp;" ["&amp;'Analysis Data'!M46&amp;"]"</x:f>
        <x:v>42.0% [29.4% – 55.8%]</x:v>
      </x:c>
      <x:c r="N53" s="94" t="str">
        <x:f>TEXT('Analysis Data'!H47,"0.0%")&amp;" ["&amp;'Analysis Data'!M47&amp;"]"</x:f>
        <x:v>54.0% [40.4% – 67.0%]</x:v>
      </x:c>
      <x:c r="O53" s="94" t="str">
        <x:f>TEXT('Analysis Data'!H48,"0.0%")&amp;" ["&amp;'Analysis Data'!M48&amp;"]"</x:f>
        <x:v>46.0% [33.0% – 59.6%]</x:v>
      </x:c>
    </x:row>
    <x:row r="54" ht="22" customHeight="1">
      <x:c r="A54" s="93" t="str">
        <x:v>Relational Placement</x:v>
      </x:c>
      <x:c r="B54" s="94" t="str">
        <x:f>TEXT('Analysis Data'!H25,"0.0%")&amp;" ["&amp;'Analysis Data'!M25&amp;"]"</x:f>
        <x:v>0.0% [0.0% – 24.3%]</x:v>
      </x:c>
      <x:c r="C54" s="94" t="str">
        <x:f>TEXT('Analysis Data'!H26,"0.0%")&amp;" ["&amp;'Analysis Data'!M26&amp;"]"</x:f>
        <x:v>70.0% [48.1% – 85.5%]</x:v>
      </x:c>
      <x:c r="D54" s="94" t="str">
        <x:f>TEXT('Analysis Data'!H27,"0.0%")&amp;" ["&amp;'Analysis Data'!M27&amp;"]"</x:f>
        <x:v>0.0% [0.0% – 16.1%]</x:v>
      </x:c>
      <x:c r="E54" s="94" t="str">
        <x:f>TEXT('Analysis Data'!H28,"0.0%")&amp;" ["&amp;'Analysis Data'!M28&amp;"]"</x:f>
        <x:v>80.0% [58.4% – 91.9%]</x:v>
      </x:c>
      <x:c r="F54" s="94" t="str">
        <x:f>TEXT('Analysis Data'!H29,"0.0%")&amp;" ["&amp;'Analysis Data'!M29&amp;"]"</x:f>
        <x:v>65.0% [43.3% – 81.9%]</x:v>
      </x:c>
      <x:c r="L54" s="93" t="str">
        <x:v>Relational Placement</x:v>
      </x:c>
      <x:c r="M54" s="94" t="str">
        <x:f>TEXT('Analysis Data'!H49,"0.0%")&amp;" ["&amp;'Analysis Data'!M49&amp;"]"</x:f>
        <x:v>78.0% [64.8% – 87.2%]</x:v>
      </x:c>
      <x:c r="N54" s="94" t="str">
        <x:f>TEXT('Analysis Data'!H50,"0.0%")&amp;" ["&amp;'Analysis Data'!M50&amp;"]"</x:f>
        <x:v>50.0% [36.6% – 63.4%]</x:v>
      </x:c>
      <x:c r="O54" s="94" t="str">
        <x:f>TEXT('Analysis Data'!H51,"0.0%")&amp;" ["&amp;'Analysis Data'!M51&amp;"]"</x:f>
        <x:v>72.0% [58.3% – 82.5%]</x:v>
      </x:c>
    </x:row>
    <x:row r="55" ht="22" customHeight="1">
      <x:c r="A55" s="93" t="str">
        <x:v>Referential Disambiguation</x:v>
      </x:c>
      <x:c r="B55" s="94" t="str">
        <x:f>TEXT('Analysis Data'!H30,"0.0%")&amp;" ["&amp;'Analysis Data'!M30&amp;"]"</x:f>
        <x:v>0.0% [0.0% – 27.8%]</x:v>
      </x:c>
      <x:c r="C55" s="94" t="str">
        <x:f>TEXT('Analysis Data'!H31,"0.0%")&amp;" ["&amp;'Analysis Data'!M31&amp;"]"</x:f>
        <x:v>60.0% [38.7% – 78.1%]</x:v>
      </x:c>
      <x:c r="D55" s="94" t="str">
        <x:f>TEXT('Analysis Data'!H32,"0.0%")&amp;" ["&amp;'Analysis Data'!M32&amp;"]"</x:f>
        <x:v>20.0% [8.1% – 41.6%]</x:v>
      </x:c>
      <x:c r="E55" s="94" t="str">
        <x:f>TEXT('Analysis Data'!H33,"0.0%")&amp;" ["&amp;'Analysis Data'!M33&amp;"]"</x:f>
        <x:v>75.0% [53.1% – 88.8%]</x:v>
      </x:c>
      <x:c r="F55" s="94" t="str">
        <x:f>TEXT('Analysis Data'!H34,"0.0%")&amp;" ["&amp;'Analysis Data'!M34&amp;"]"</x:f>
        <x:v>80.0% [58.4% – 91.9%]</x:v>
      </x:c>
      <x:c r="L55" s="93" t="str">
        <x:v>Referential Disambiguation</x:v>
      </x:c>
      <x:c r="M55" s="94" t="str">
        <x:f>TEXT('Analysis Data'!H52,"0.0%")&amp;" ["&amp;'Analysis Data'!M52&amp;"]"</x:f>
        <x:v>54.0% [40.4% – 67.0%]</x:v>
      </x:c>
      <x:c r="N55" s="94" t="str">
        <x:f>TEXT('Analysis Data'!H53,"0.0%")&amp;" ["&amp;'Analysis Data'!M53&amp;"]"</x:f>
        <x:v>68.0% [54.2% – 79.2%]</x:v>
      </x:c>
      <x:c r="O55" s="94" t="str">
        <x:f>TEXT('Analysis Data'!H54,"0.0%")&amp;" ["&amp;'Analysis Data'!M54&amp;"]"</x:f>
        <x:v>36.0% [24.1% – 49.9%]</x:v>
      </x:c>
    </x:row>
    <x:row r="56" ht="22" customHeight="1">
      <x:c r="A56" s="93" t="str">
        <x:v>Size Recognition</x:v>
      </x:c>
      <x:c r="B56" s="94" t="str">
        <x:f>TEXT('Analysis Data'!H35,"0.0%")&amp;" ["&amp;'Analysis Data'!M35&amp;"]"</x:f>
        <x:v>0.0% [0.0% – 16.1%]</x:v>
      </x:c>
      <x:c r="C56" s="94" t="str">
        <x:f>TEXT('Analysis Data'!H36,"0.0%")&amp;" ["&amp;'Analysis Data'!M36&amp;"]"</x:f>
        <x:v>85.0% [64.0% – 94.8%]</x:v>
      </x:c>
      <x:c r="D56" s="94" t="str">
        <x:f>TEXT('Analysis Data'!H37,"0.0%")&amp;" ["&amp;'Analysis Data'!M37&amp;"]"</x:f>
        <x:v>35.0% [18.1% – 56.7%]</x:v>
      </x:c>
      <x:c r="E56" s="94" t="str">
        <x:f>TEXT('Analysis Data'!H38,"0.0%")&amp;" ["&amp;'Analysis Data'!M38&amp;"]"</x:f>
        <x:v>80.0% [58.4% – 91.9%]</x:v>
      </x:c>
      <x:c r="F56" s="94" t="str">
        <x:f>TEXT('Analysis Data'!H39,"0.0%")&amp;" ["&amp;'Analysis Data'!M39&amp;"]"</x:f>
        <x:v>95.0% [76.4% – 99.1%]</x:v>
      </x:c>
      <x:c r="L56" s="93" t="str">
        <x:v>Size Recognition</x:v>
      </x:c>
      <x:c r="M56" s="94" t="str">
        <x:f>TEXT('Analysis Data'!H55,"0.0%")&amp;" ["&amp;'Analysis Data'!M55&amp;"]"</x:f>
        <x:v>58.0% [44.2% – 70.6%]</x:v>
      </x:c>
      <x:c r="N56" s="94" t="str">
        <x:f>TEXT('Analysis Data'!H56,"0.0%")&amp;" ["&amp;'Analysis Data'!M56&amp;"]"</x:f>
        <x:v>64.0% [50.1% – 75.9%]</x:v>
      </x:c>
      <x:c r="O56" s="94" t="str">
        <x:f>TEXT('Analysis Data'!H57,"0.0%")&amp;" ["&amp;'Analysis Data'!M57&amp;"]"</x:f>
        <x:v>54.0% [40.4% – 67.0%]</x:v>
      </x:c>
    </x:row>
    <x:row r="57" ht="24" customHeight="1">
      <x:c r="A57" s="96" t="str">
        <x:v>CI matrix cells show: success rate [Wilson 95% lower bound – upper bound]. Exact success and scored counts are retained in Analysis Data.</x:v>
      </x:c>
      <x:c r="B57" s="96"/>
      <x:c r="C57" s="96"/>
      <x:c r="D57" s="96"/>
      <x:c r="E57" s="96"/>
      <x:c r="F57" s="96"/>
      <x:c r="G57" s="96"/>
      <x:c r="H57" s="96"/>
      <x:c r="I57" s="96"/>
      <x:c r="J57" s="96"/>
      <x:c r="K57" s="96"/>
      <x:c r="L57" s="96"/>
      <x:c r="M57" s="96"/>
      <x:c r="N57" s="96"/>
      <x:c r="O57" s="96"/>
      <x:c r="P57" s="96"/>
      <x:c r="Q57" s="96"/>
      <x:c r="R57" s="96"/>
      <x:c r="S57" s="96"/>
      <x:c r="T57" s="96"/>
      <x:c r="U57" s="96"/>
    </x:row>
  </x:sheetData>
  <x:mergeCells>
    <x:mergeCell ref="A1:U1"/>
    <x:mergeCell ref="A2:U2"/>
    <x:mergeCell ref="A4:D4"/>
    <x:mergeCell ref="E4:H4"/>
    <x:mergeCell ref="I4:L4"/>
    <x:mergeCell ref="M4:P4"/>
    <x:mergeCell ref="Q4:U4"/>
    <x:mergeCell ref="A57:U57"/>
  </x:mergeCells>
  <x:pageMargins left="0.7" right="0.7" top="0.75" bottom="0.75" header="0.3" footer="0.3"/>
  <x:drawing xmlns:r="http://schemas.openxmlformats.org/officeDocument/2006/relationships" r:id="R43789da2fb934cec"/>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100" hidden="0" customWidth="1"/>
    <x:col min="3" max="3" width="18" hidden="0" customWidth="1"/>
    <x:col min="4" max="4" width="18" hidden="0" customWidth="1"/>
    <x:col min="5" max="5" width="8" hidden="0" customWidth="1"/>
    <x:col min="6" max="6" width="8" hidden="0" customWidth="1"/>
    <x:col min="7" max="7" width="8" hidden="0" customWidth="1"/>
    <x:col min="8" max="8" width="8" hidden="0" customWidth="1"/>
  </x:cols>
  <x:sheetData>
    <x:row r="1" ht="34" customHeight="1">
      <x:c r="A1" s="99" t="str">
        <x:v>CONSOLIDATED EVALUATION WORKBOOK — GUIDE</x:v>
      </x:c>
      <x:c r="B1" s="99"/>
      <x:c r="C1" s="99"/>
      <x:c r="D1" s="99"/>
      <x:c r="E1" s="99"/>
      <x:c r="F1" s="99"/>
      <x:c r="G1" s="99"/>
      <x:c r="H1" s="99"/>
    </x:row>
    <x:row r="2">
      <x:c r="A2" s="97"/>
      <x:c r="B2" s="97"/>
      <x:c r="C2" s="97"/>
      <x:c r="D2" s="97"/>
      <x:c r="E2" s="97"/>
      <x:c r="F2" s="97"/>
      <x:c r="G2" s="97"/>
      <x:c r="H2" s="97"/>
    </x:row>
    <x:row r="3">
      <x:c r="A3" s="104" t="str">
        <x:v>INCLUSION AND NORMALIZATION RULES</x:v>
      </x:c>
      <x:c r="B3" s="105"/>
      <x:c r="C3" s="105"/>
      <x:c r="D3" s="105"/>
      <x:c r="E3" s="105"/>
      <x:c r="F3" s="105"/>
      <x:c r="G3" s="105"/>
      <x:c r="H3" s="106"/>
    </x:row>
    <x:row r="4" ht="42" customHeight="1">
      <x:c r="A4" s="112" t="str">
        <x:v>Scored rows</x:v>
      </x:c>
      <x:c r="B4" s="110" t="str">
        <x:v>Only Success and Failure rows are included; Not collected and blank artifacts are excluded.</x:v>
      </x:c>
      <x:c r="C4" s="97"/>
      <x:c r="D4" s="97"/>
      <x:c r="E4" s="97"/>
      <x:c r="F4" s="97"/>
      <x:c r="G4" s="97"/>
      <x:c r="H4" s="97"/>
    </x:row>
    <x:row r="5" ht="42" customHeight="1">
      <x:c r="A5" s="112" t="str">
        <x:v>Size Recognition</x:v>
      </x:c>
      <x:c r="B5" s="110" t="str">
        <x:v>The 20 Goal already satisfied / no movement rows are excluded, leaving 130 planned rows for complete models.</x:v>
      </x:c>
      <x:c r="C5" s="97"/>
      <x:c r="D5" s="97"/>
      <x:c r="E5" s="97"/>
      <x:c r="F5" s="97"/>
      <x:c r="G5" s="97"/>
      <x:c r="H5" s="97"/>
    </x:row>
    <x:row r="6" ht="42" customHeight="1">
      <x:c r="A6" s="112" t="str">
        <x:v>Task metadata</x:v>
      </x:c>
      <x:c r="B6" s="110" t="str">
        <x:v>Prompt, scene, condition, and design fields come from each workbook's Evaluation Plan; model sheets contribute Status and Observations.</x:v>
      </x:c>
      <x:c r="C6" s="97"/>
      <x:c r="D6" s="97"/>
      <x:c r="E6" s="97"/>
      <x:c r="F6" s="97"/>
      <x:c r="G6" s="97"/>
      <x:c r="H6" s="97"/>
    </x:row>
    <x:row r="7" ht="42" customHeight="1">
      <x:c r="A7" s="112" t="str">
        <x:v>Scene Setup</x:v>
      </x:c>
      <x:c r="B7" s="110" t="str">
        <x:v>All source variants are consolidated into one Scene Setup column.</x:v>
      </x:c>
      <x:c r="C7" s="97"/>
      <x:c r="D7" s="97"/>
      <x:c r="E7" s="97"/>
      <x:c r="F7" s="97"/>
      <x:c r="G7" s="97"/>
      <x:c r="H7" s="97"/>
    </x:row>
    <x:row r="8" ht="42" customHeight="1">
      <x:c r="A8" s="112" t="str">
        <x:v>Ordinal setup</x:v>
      </x:c>
      <x:c r="B8" s="110" t="str">
        <x:v>Simplified to robot-left-to-right labels, e.g. L1: blue tape ball, L2: green highlighter.</x:v>
      </x:c>
      <x:c r="C8" s="97"/>
      <x:c r="D8" s="97"/>
      <x:c r="E8" s="97"/>
      <x:c r="F8" s="97"/>
      <x:c r="G8" s="97"/>
      <x:c r="H8" s="97"/>
    </x:row>
    <x:row r="9" ht="42" customHeight="1">
      <x:c r="A9" s="112" t="str">
        <x:v>Relational setup</x:v>
      </x:c>
      <x:c r="B9" s="110" t="str">
        <x:v>Simplified to a comma-separated object list; positional prose is removed.</x:v>
      </x:c>
      <x:c r="C9" s="97"/>
      <x:c r="D9" s="97"/>
      <x:c r="E9" s="97"/>
      <x:c r="F9" s="97"/>
      <x:c r="G9" s="97"/>
      <x:c r="H9" s="97"/>
    </x:row>
    <x:row r="10">
      <x:c r="A10" s="97"/>
      <x:c r="B10" s="97"/>
      <x:c r="C10" s="97"/>
      <x:c r="D10" s="97"/>
      <x:c r="E10" s="97"/>
      <x:c r="F10" s="97"/>
      <x:c r="G10" s="97"/>
      <x:c r="H10" s="97"/>
    </x:row>
    <x:row r="11">
      <x:c r="A11" s="104" t="str">
        <x:v>MODEL SHEETS</x:v>
      </x:c>
      <x:c r="B11" s="105"/>
      <x:c r="C11" s="105"/>
      <x:c r="D11" s="105"/>
      <x:c r="E11" s="105"/>
      <x:c r="F11" s="105"/>
      <x:c r="G11" s="105"/>
      <x:c r="H11" s="106"/>
    </x:row>
    <x:row r="12">
      <x:c r="A12" s="6" t="str">
        <x:v>Model</x:v>
      </x:c>
      <x:c r="B12" s="6" t="str">
        <x:v>Worksheet</x:v>
      </x:c>
      <x:c r="C12" s="6" t="str">
        <x:v>Scored evaluations</x:v>
      </x:c>
      <x:c r="D12" s="6" t="str">
        <x:v>Tasks represented</x:v>
      </x:c>
      <x:c r="E12" s="97"/>
      <x:c r="F12" s="97"/>
      <x:c r="G12" s="97"/>
      <x:c r="H12" s="97"/>
    </x:row>
    <x:row r="13" ht="24" customHeight="1">
      <x:c r="A13" s="113" t="str">
        <x:v>VLA-0</x:v>
      </x:c>
      <x:c r="B13" s="113" t="str">
        <x:v>VLA-0</x:v>
      </x:c>
      <x:c r="C13" s="114" t="n">
        <x:f>COUNTA('VLA-0'!$A$2:$A$73)</x:f>
        <x:v>72</x:v>
      </x:c>
      <x:c r="D13" s="114" t="n">
        <x:v>6</x:v>
      </x:c>
      <x:c r="E13" s="97"/>
      <x:c r="F13" s="97"/>
      <x:c r="G13" s="97"/>
      <x:c r="H13" s="97"/>
    </x:row>
    <x:row r="14" ht="24" customHeight="1">
      <x:c r="A14" s="113" t="str">
        <x:v>GR00T-N1.7 (vision only)</x:v>
      </x:c>
      <x:c r="B14" s="113" t="str">
        <x:v>GR00T Vision</x:v>
      </x:c>
      <x:c r="C14" s="114" t="n">
        <x:f>COUNTA('GR00T Vision'!$A$2:$A$901)</x:f>
        <x:v>900</x:v>
      </x:c>
      <x:c r="D14" s="114" t="n">
        <x:v>6</x:v>
      </x:c>
      <x:c r="E14" s="97"/>
      <x:c r="F14" s="97"/>
      <x:c r="G14" s="97"/>
      <x:c r="H14" s="97"/>
    </x:row>
    <x:row r="15" ht="24" customHeight="1">
      <x:c r="A15" s="113" t="str">
        <x:v>GR00T-N1.7 (full finetune)</x:v>
      </x:c>
      <x:c r="B15" s="113" t="str">
        <x:v>GR00T Full</x:v>
      </x:c>
      <x:c r="C15" s="114" t="n">
        <x:f>COUNTA('GR00T Full'!$A$2:$A$120)</x:f>
        <x:v>119</x:v>
      </x:c>
      <x:c r="D15" s="114" t="n">
        <x:v>6</x:v>
      </x:c>
      <x:c r="E15" s="97"/>
      <x:c r="F15" s="97"/>
      <x:c r="G15" s="97"/>
      <x:c r="H15" s="97"/>
    </x:row>
    <x:row r="16" ht="24" customHeight="1">
      <x:c r="A16" s="113" t="str">
        <x:v>MolmoAct2</x:v>
      </x:c>
      <x:c r="B16" s="113" t="str">
        <x:v>MolmoAct2</x:v>
      </x:c>
      <x:c r="C16" s="114" t="n">
        <x:f>COUNTA('MolmoAct2'!$A$2:$A$901)</x:f>
        <x:v>900</x:v>
      </x:c>
      <x:c r="D16" s="114" t="n">
        <x:v>6</x:v>
      </x:c>
      <x:c r="E16" s="97"/>
      <x:c r="F16" s="97"/>
      <x:c r="G16" s="97"/>
      <x:c r="H16" s="97"/>
    </x:row>
    <x:row r="17" ht="24" customHeight="1">
      <x:c r="A17" s="113" t="str">
        <x:v>Pi0.5</x:v>
      </x:c>
      <x:c r="B17" s="113" t="str">
        <x:v>Pi0.5</x:v>
      </x:c>
      <x:c r="C17" s="114" t="n">
        <x:f>COUNTA('Pi0.5'!$A$2:$A$901)</x:f>
        <x:v>900</x:v>
      </x:c>
      <x:c r="D17" s="114" t="n">
        <x:v>6</x:v>
      </x:c>
      <x:c r="E17" s="97"/>
      <x:c r="F17" s="97"/>
      <x:c r="G17" s="97"/>
      <x:c r="H17" s="97"/>
    </x:row>
    <x:row r="18" ht="24" customHeight="1">
      <x:c r="A18" s="113" t="str">
        <x:v>GR00T-N1.7 (action only, 1 epoch)</x:v>
      </x:c>
      <x:c r="B18" s="113" t="str">
        <x:v>GR00T Action-Only</x:v>
      </x:c>
      <x:c r="C18" s="114" t="n">
        <x:f>COUNTA('GR00T Action-Only'!$A$2:$A$21)</x:f>
        <x:v>20</x:v>
      </x:c>
      <x:c r="D18" s="114" t="n">
        <x:v>1</x:v>
      </x:c>
      <x:c r="E18" s="97"/>
      <x:c r="F18" s="97"/>
      <x:c r="G18" s="97"/>
      <x:c r="H18" s="97"/>
    </x:row>
    <x:row r="19">
      <x:c r="A19" s="97"/>
      <x:c r="B19" s="97"/>
      <x:c r="C19" s="97"/>
      <x:c r="D19" s="97"/>
      <x:c r="E19" s="97"/>
      <x:c r="F19" s="97"/>
      <x:c r="G19" s="97"/>
      <x:c r="H19" s="97"/>
    </x:row>
    <x:row r="20">
      <x:c r="A20" s="104" t="str">
        <x:v>RESULTS AND CONFIDENCE INTERVALS</x:v>
      </x:c>
      <x:c r="B20" s="105"/>
      <x:c r="C20" s="105"/>
      <x:c r="D20" s="105"/>
      <x:c r="E20" s="105"/>
      <x:c r="F20" s="105"/>
      <x:c r="G20" s="105"/>
      <x:c r="H20" s="106"/>
    </x:row>
    <x:row r="21" ht="42" customHeight="1">
      <x:c r="A21" s="112" t="str">
        <x:v>Success rate</x:v>
      </x:c>
      <x:c r="B21" s="110" t="str">
        <x:v>Success ÷ (Success + Failure). Because model sheets contain scored rows only, every consolidated row contributes to the denominator for its condition.</x:v>
      </x:c>
      <x:c r="C21" s="97"/>
      <x:c r="D21" s="97"/>
      <x:c r="E21" s="97"/>
      <x:c r="F21" s="97"/>
      <x:c r="G21" s="97"/>
      <x:c r="H21" s="97"/>
    </x:row>
    <x:row r="22" ht="42" customHeight="1">
      <x:c r="A22" s="112" t="str">
        <x:v>In-distribution</x:v>
      </x:c>
      <x:c r="B22" s="110" t="str">
        <x:v>Condition = In-distribution concept baseline.</x:v>
      </x:c>
      <x:c r="C22" s="97"/>
      <x:c r="D22" s="97"/>
      <x:c r="E22" s="97"/>
      <x:c r="F22" s="97"/>
      <x:c r="G22" s="97"/>
      <x:c r="H22" s="97"/>
    </x:row>
    <x:row r="23" ht="42" customHeight="1">
      <x:c r="A23" s="112" t="str">
        <x:v>Concept transfer</x:v>
      </x:c>
      <x:c r="B23" s="110" t="str">
        <x:v>Condition = Concept/compositional transfer.</x:v>
      </x:c>
      <x:c r="C23" s="97"/>
      <x:c r="D23" s="97"/>
      <x:c r="E23" s="97"/>
      <x:c r="F23" s="97"/>
      <x:c r="G23" s="97"/>
      <x:c r="H23" s="97"/>
    </x:row>
    <x:row r="24" ht="42" customHeight="1">
      <x:c r="A24" s="112" t="str">
        <x:v>Confidence interval</x:v>
      </x:c>
      <x:c r="B24" s="110" t="str">
        <x:v>Two-sided Wilson score interval at 95% confidence using z = 1.96. Exact lower and upper bounds are available in Results and Analysis Data.</x:v>
      </x:c>
      <x:c r="C24" s="97"/>
      <x:c r="D24" s="97"/>
      <x:c r="E24" s="97"/>
      <x:c r="F24" s="97"/>
      <x:c r="G24" s="97"/>
      <x:c r="H24" s="97"/>
    </x:row>
    <x:row r="25">
      <x:c r="A25" s="97"/>
      <x:c r="B25" s="97"/>
      <x:c r="C25" s="97"/>
      <x:c r="D25" s="97"/>
      <x:c r="E25" s="97"/>
      <x:c r="F25" s="97"/>
      <x:c r="G25" s="97"/>
      <x:c r="H25" s="97"/>
    </x:row>
    <x:row r="26">
      <x:c r="A26" s="104" t="str">
        <x:v>RESOLVED SOURCE DISCREPANCIES</x:v>
      </x:c>
      <x:c r="B26" s="105"/>
      <x:c r="C26" s="105"/>
      <x:c r="D26" s="105"/>
      <x:c r="E26" s="105"/>
      <x:c r="F26" s="105"/>
      <x:c r="G26" s="105"/>
      <x:c r="H26" s="106"/>
    </x:row>
    <x:row r="27" ht="42" customHeight="1">
      <x:c r="A27" s="116" t="str">
        <x:v>Mislabeled Status headers</x:v>
      </x:c>
      <x:c r="B27" s="110" t="str">
        <x:v>MolmoAct2 Counting used pi; vision-only Referential Disambiguation used Column 1. Both are normalized to Status.</x:v>
      </x:c>
      <x:c r="C27" s="97"/>
      <x:c r="D27" s="97"/>
      <x:c r="E27" s="97"/>
      <x:c r="F27" s="97"/>
      <x:c r="G27" s="97"/>
      <x:c r="H27" s="97"/>
    </x:row>
    <x:row r="28" ht="42" customHeight="1">
      <x:c r="A28" s="116" t="str">
        <x:v>Reference Episode drift</x:v>
      </x:c>
      <x:c r="B28" s="110" t="str">
        <x:v>Several copied result sheets disagreed with their Evaluation Plan. The Evaluation Plan value is used consistently.</x:v>
      </x:c>
      <x:c r="C28" s="97"/>
      <x:c r="D28" s="97"/>
      <x:c r="E28" s="97"/>
      <x:c r="F28" s="97"/>
      <x:c r="G28" s="97"/>
      <x:c r="H28" s="97"/>
    </x:row>
    <x:row r="29" ht="42" customHeight="1">
      <x:c r="A29" s="116" t="str">
        <x:v>Relational Molmo setup</x:v>
      </x:c>
      <x:c r="B29" s="110" t="str">
        <x:v>Eighteen result rows contained Full table in the setup field; the Evaluation Plan restores the task definition before object-only simplification.</x:v>
      </x:c>
      <x:c r="C29" s="97"/>
      <x:c r="D29" s="97"/>
      <x:c r="E29" s="97"/>
      <x:c r="F29" s="97"/>
      <x:c r="G29" s="97"/>
      <x:c r="H29" s="97"/>
    </x:row>
  </x:sheetData>
  <x:mergeCells>
    <x:mergeCell ref="A1:H1"/>
    <x:mergeCell ref="A3:H3"/>
    <x:mergeCell ref="A11:H11"/>
    <x:mergeCell ref="A20:H20"/>
    <x:mergeCell ref="A26:H26"/>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27" hidden="0" customWidth="1"/>
    <x:col min="3" max="3" width="9" hidden="0" customWidth="1"/>
    <x:col min="4" max="4" width="44" hidden="0" customWidth="1"/>
    <x:col min="5" max="5" width="54" hidden="0" customWidth="1"/>
    <x:col min="6" max="6" width="34" hidden="0" customWidth="1"/>
    <x:col min="7" max="7" width="34" hidden="0" customWidth="1"/>
    <x:col min="8" max="8" width="38" hidden="0" customWidth="1"/>
    <x:col min="9" max="9" width="20" hidden="0" customWidth="1"/>
    <x:col min="10" max="10" width="34" hidden="0" customWidth="1"/>
    <x:col min="11" max="11" width="16" hidden="0" customWidth="1"/>
    <x:col min="12" max="12" width="20" hidden="0" customWidth="1"/>
    <x:col min="13" max="13" width="42" hidden="0" customWidth="1"/>
    <x:col min="14" max="14" width="16" hidden="0" customWidth="1"/>
    <x:col min="15" max="15" width="38" hidden="0" customWidth="1"/>
    <x:col min="16" max="16" width="44" hidden="0" customWidth="1"/>
    <x:col min="17" max="17" width="24" hidden="0" customWidth="1"/>
    <x:col min="18" max="18" width="13" hidden="0" customWidth="1"/>
    <x:col min="19" max="19" width="15" hidden="0" customWidth="1"/>
    <x:col min="20" max="20" width="14" hidden="0" customWidth="1"/>
    <x:col min="21" max="21" width="14" hidden="0" customWidth="1"/>
    <x:col min="22" max="22" width="18" hidden="0" customWidth="1"/>
    <x:col min="23" max="23" width="20" hidden="0" customWidth="1"/>
    <x:col min="24" max="24" width="15" hidden="0" customWidth="1"/>
    <x:col min="25" max="25" width="12" hidden="0" customWidth="1"/>
    <x:col min="26" max="26" width="18" hidden="0" customWidth="1"/>
    <x:col min="27" max="27" width="14" hidden="0" customWidth="1"/>
    <x:col min="28" max="28" width="18" hidden="0" customWidth="1"/>
    <x:col min="29" max="29" width="16" hidden="0" customWidth="1"/>
    <x:col min="30" max="30" width="20" hidden="0" customWidth="1"/>
    <x:col min="31" max="31" width="20" hidden="0" customWidth="1"/>
    <x:col min="32" max="32" width="18" hidden="0" customWidth="1"/>
    <x:col min="33" max="33" width="20" hidden="0" customWidth="1"/>
    <x:col min="34" max="34" width="14" hidden="0" customWidth="1"/>
    <x:col min="35" max="35" width="15" hidden="0" customWidth="1"/>
    <x:col min="36" max="36" width="28" hidden="0" customWidth="1"/>
    <x:col min="37" max="37" width="32" hidden="0" customWidth="1"/>
    <x:col min="38" max="38" width="28" hidden="0" customWidth="1"/>
    <x:col min="39" max="39" width="16" hidden="0" customWidth="1"/>
    <x:col min="40" max="40" width="15" hidden="0" customWidth="1"/>
  </x:cols>
  <x:sheetData>
    <x:row r="1" ht="36" customHeight="1">
      <x:c r="A1" s="6" t="str">
        <x:v>Status</x:v>
      </x:c>
      <x:c r="B1" s="6" t="str">
        <x:v>Task</x:v>
      </x:c>
      <x:c r="C1" s="6" t="str">
        <x:v>Episode</x:v>
      </x:c>
      <x:c r="D1" s="6" t="str">
        <x:v>Prompt</x:v>
      </x:c>
      <x:c r="E1" s="6" t="str">
        <x:v>Scene Setup</x:v>
      </x:c>
      <x:c r="F1" s="6" t="str">
        <x:v>Expected Target / Action</x:v>
      </x:c>
      <x:c r="G1" s="6" t="str">
        <x:v>Observations</x:v>
      </x:c>
      <x:c r="H1" s="6" t="str">
        <x:v>Condition</x:v>
      </x:c>
      <x:c r="I1" s="6" t="str">
        <x:v>Scene Family</x:v>
      </x:c>
      <x:c r="J1" s="6" t="str">
        <x:v>Comparison / Subtype</x:v>
      </x:c>
      <x:c r="K1" s="6" t="str">
        <x:v>Reference Episode</x:v>
      </x:c>
      <x:c r="L1" s="6" t="str">
        <x:v>Original Training Episode(s)</x:v>
      </x:c>
      <x:c r="M1" s="6" t="str">
        <x:v>Manifest Alignment</x:v>
      </x:c>
      <x:c r="N1" s="6" t="str">
        <x:v>Collection Block</x:v>
      </x:c>
      <x:c r="O1" s="6" t="str">
        <x:v>Setup Change from Previous</x:v>
      </x:c>
      <x:c r="P1" s="6" t="str">
        <x:v>Design Note</x:v>
      </x:c>
      <x:c r="Q1" s="6" t="str">
        <x:v>Reference Media Filename</x:v>
      </x:c>
      <x:c r="R1" s="6" t="str">
        <x:v>Object Count</x:v>
      </x:c>
      <x:c r="S1" s="6" t="str">
        <x:v>Valid Candidate Count</x:v>
      </x:c>
      <x:c r="T1" s="6" t="str">
        <x:v>Bowl Start</x:v>
      </x:c>
      <x:c r="U1" s="6" t="str">
        <x:v>Queried State</x:v>
      </x:c>
      <x:c r="V1" s="6" t="str">
        <x:v>Queried Category</x:v>
      </x:c>
      <x:c r="W1" s="6" t="str">
        <x:v>Contrast Pair</x:v>
      </x:c>
      <x:c r="X1" s="6" t="str">
        <x:v>Initial Bowl Count</x:v>
      </x:c>
      <x:c r="Y1" s="6" t="str">
        <x:v>Goal Count</x:v>
      </x:c>
      <x:c r="Z1" s="6" t="str">
        <x:v>Action Direction</x:v>
      </x:c>
      <x:c r="AA1" s="6" t="str">
        <x:v>Target Position</x:v>
      </x:c>
      <x:c r="AB1" s="6" t="str">
        <x:v>Query Concept</x:v>
      </x:c>
      <x:c r="AC1" s="6" t="str">
        <x:v>Relation</x:v>
      </x:c>
      <x:c r="AD1" s="6" t="str">
        <x:v>Target Object</x:v>
      </x:c>
      <x:c r="AE1" s="6" t="str">
        <x:v>Reference Object</x:v>
      </x:c>
      <x:c r="AF1" s="6" t="str">
        <x:v>Juggling Ball Role</x:v>
      </x:c>
      <x:c r="AG1" s="6" t="str">
        <x:v>Candidate Category</x:v>
      </x:c>
      <x:c r="AH1" s="6" t="str">
        <x:v>Target Side</x:v>
      </x:c>
      <x:c r="AI1" s="6" t="str">
        <x:v>Separation (cm)</x:v>
      </x:c>
      <x:c r="AJ1" s="6" t="str">
        <x:v>Tested Cell / Role</x:v>
      </x:c>
      <x:c r="AK1" s="6" t="str">
        <x:v>Source Workbook</x:v>
      </x:c>
      <x:c r="AL1" s="6" t="str">
        <x:v>Source Result Sheet</x:v>
      </x:c>
      <x:c r="AM1" s="6" t="str">
        <x:v>Source Result Row</x:v>
      </x:c>
      <x:c r="AN1" s="6" t="str">
        <x:v>Source Plan Row</x:v>
      </x:c>
    </x:row>
    <x:row r="2">
      <x:c r="A2" s="9" t="str">
        <x:v>Failure</x:v>
      </x:c>
      <x:c r="B2" s="9" t="str">
        <x:v>State Recognition</x:v>
      </x:c>
      <x:c r="C2" s="10" t="n">
        <x:v>0</x:v>
      </x:c>
      <x:c r="D2" s="9" t="str">
        <x:v>Put the open white cup in the bowl.</x:v>
      </x:c>
      <x:c r="E2" s="9" t="str">
        <x:v>white cup A (O, RU); white cup B (C, RU); glass spice container A (O, RU); yellow-white striped cup B (O, RU)</x:v>
      </x:c>
      <x:c r="F2" s="9" t="str">
        <x:v>white cup A</x:v>
      </x:c>
      <x:c r="G2" s="9" t="str">
        <x:v>went for striped cup and knocked it over</x:v>
      </x:c>
      <x:c r="H2" s="9" t="str">
        <x:v>In-distribution concept baseline</x:v>
      </x:c>
      <x:c r="I2" s="9" t="str">
        <x:v>SR-ID01</x:v>
      </x:c>
      <x:c r="J2" s="9" t="str">
        <x:v>Exact training-supported state-object baseline</x:v>
      </x:c>
      <x:c r="K2" s="9"/>
      <x:c r="L2" s="9" t="str">
        <x:v>2</x:v>
      </x:c>
      <x:c r="M2" s="9" t="str">
        <x:v>Exact manifest episode: trained state-object cell, prompt, same-category candidate structure, and object membership match; physical layout is manually recreated. All objects are upright, matching the context of every explicit open/closed training demonstration.</x:v>
      </x:c>
      <x:c r="N2" s="9" t="n">
        <x:v>1</x:v>
      </x:c>
      <x:c r="O2" s="9" t="str">
        <x:v>Recreate the listed manifest scene with the bowl empty.</x:v>
      </x:c>
      <x:c r="P2" s="9" t="str">
        <x:v>The queried state-object combination and same-category discrimination structure are explicitly represented in training. The orthogonal orientation axis is fixed: every object is RU.</x:v>
      </x:c>
      <x:c r="Q2" s="9"/>
      <x:c r="R2" s="10" t="n">
        <x:v>4</x:v>
      </x:c>
      <x:c r="S2" s="10" t="n">
        <x:v>1</x:v>
      </x:c>
      <x:c r="T2" s="9" t="str">
        <x:v>Empty</x:v>
      </x:c>
      <x:c r="U2" s="9" t="str">
        <x:v>O</x:v>
      </x:c>
      <x:c r="V2" s="9" t="str">
        <x:v>white cup</x:v>
      </x:c>
      <x:c r="W2" s="9"/>
      <x:c r="X2" s="10"/>
      <x:c r="Y2" s="10"/>
      <x:c r="Z2" s="9"/>
      <x:c r="AA2" s="9"/>
      <x:c r="AB2" s="9"/>
      <x:c r="AC2" s="9"/>
      <x:c r="AD2" s="9"/>
      <x:c r="AE2" s="9"/>
      <x:c r="AF2" s="9"/>
      <x:c r="AG2" s="9"/>
      <x:c r="AH2" s="9"/>
      <x:c r="AI2" s="11"/>
      <x:c r="AJ2" s="9"/>
      <x:c r="AK2" s="9" t="str">
        <x:v>Eval_State_Recognition.xlsm</x:v>
      </x:c>
      <x:c r="AL2" s="9" t="str">
        <x:v>VLA0 Results</x:v>
      </x:c>
      <x:c r="AM2" s="9" t="n">
        <x:v>2</x:v>
      </x:c>
      <x:c r="AN2" s="9" t="n">
        <x:v>2</x:v>
      </x:c>
    </x:row>
    <x:row r="3">
      <x:c r="A3" s="9" t="str">
        <x:v>Failure</x:v>
      </x:c>
      <x:c r="B3" s="9" t="str">
        <x:v>State Recognition</x:v>
      </x:c>
      <x:c r="C3" s="10" t="n">
        <x:v>1</x:v>
      </x:c>
      <x:c r="D3" s="9" t="str">
        <x:v>Put the upright white cup in the bowl.</x:v>
      </x:c>
      <x:c r="E3" s="9" t="str">
        <x:v>white cup A (O, RU); white cup B (O, UD)</x:v>
      </x:c>
      <x:c r="F3" s="9" t="str">
        <x:v>white cup A</x:v>
      </x:c>
      <x:c r="G3" s="9" t="str">
        <x:v>went for upside-down white cup and didn't even grip it</x:v>
      </x:c>
      <x:c r="H3" s="9" t="str">
        <x:v>In-distribution concept baseline</x:v>
      </x:c>
      <x:c r="I3" s="9" t="str">
        <x:v>SR-ID02</x:v>
      </x:c>
      <x:c r="J3" s="9" t="str">
        <x:v>Exact training-supported state-object baseline</x:v>
      </x:c>
      <x:c r="K3" s="9"/>
      <x:c r="L3" s="9" t="str">
        <x:v>26</x:v>
      </x:c>
      <x:c r="M3" s="9" t="str">
        <x:v>Exact manifest episode: trained state-object cell, prompt, same-category candidate structure, and object membership match; physical layout is manually recreated.</x:v>
      </x:c>
      <x:c r="N3" s="9" t="n">
        <x:v>1</x:v>
      </x:c>
      <x:c r="O3" s="9" t="str">
        <x:v>Recreate the listed manifest scene with the bowl empty.</x:v>
      </x:c>
      <x:c r="P3" s="9" t="str">
        <x:v>The queried state-object combination and same-category discrimination structure are explicitly represented in training. The same-category candidates share the orthogonal C/O state (O).</x:v>
      </x:c>
      <x:c r="Q3" s="9"/>
      <x:c r="R3" s="10" t="n">
        <x:v>2</x:v>
      </x:c>
      <x:c r="S3" s="10" t="n">
        <x:v>1</x:v>
      </x:c>
      <x:c r="T3" s="9" t="str">
        <x:v>Empty</x:v>
      </x:c>
      <x:c r="U3" s="9" t="str">
        <x:v>RU</x:v>
      </x:c>
      <x:c r="V3" s="9" t="str">
        <x:v>white cup</x:v>
      </x:c>
      <x:c r="W3" s="9"/>
      <x:c r="X3" s="10"/>
      <x:c r="Y3" s="10"/>
      <x:c r="Z3" s="9"/>
      <x:c r="AA3" s="9"/>
      <x:c r="AB3" s="9"/>
      <x:c r="AC3" s="9"/>
      <x:c r="AD3" s="9"/>
      <x:c r="AE3" s="9"/>
      <x:c r="AF3" s="9"/>
      <x:c r="AG3" s="9"/>
      <x:c r="AH3" s="9"/>
      <x:c r="AI3" s="11"/>
      <x:c r="AJ3" s="9"/>
      <x:c r="AK3" s="9" t="str">
        <x:v>Eval_State_Recognition.xlsm</x:v>
      </x:c>
      <x:c r="AL3" s="9" t="str">
        <x:v>VLA0 Results</x:v>
      </x:c>
      <x:c r="AM3" s="9" t="n">
        <x:v>3</x:v>
      </x:c>
      <x:c r="AN3" s="9" t="n">
        <x:v>3</x:v>
      </x:c>
    </x:row>
    <x:row r="4">
      <x:c r="A4" s="9" t="str">
        <x:v>Failure</x:v>
      </x:c>
      <x:c r="B4" s="9" t="str">
        <x:v>State Recognition</x:v>
      </x:c>
      <x:c r="C4" s="10" t="n">
        <x:v>2</x:v>
      </x:c>
      <x:c r="D4" s="9" t="str">
        <x:v>Move the closed yellow-white striped cup into the bowl.</x:v>
      </x:c>
      <x:c r="E4" s="9" t="str">
        <x:v>yellow-white striped cup B (C, RU); yellow-white striped cup A (O, RU); white cup A (C, RU)</x:v>
      </x:c>
      <x:c r="F4" s="9" t="str">
        <x:v>yellow-white striped cup B</x:v>
      </x:c>
      <x:c r="G4" s="9" t="str">
        <x:v>correctly went for the closed striped cup but then drift to grabbing empty space between the striped cup and white cup. Also started moving to the left of the workspace, pushing the white cup.</x:v>
      </x:c>
      <x:c r="H4" s="9" t="str">
        <x:v>In-distribution concept baseline</x:v>
      </x:c>
      <x:c r="I4" s="9" t="str">
        <x:v>SR-ID03</x:v>
      </x:c>
      <x:c r="J4" s="9" t="str">
        <x:v>Exact training-supported state-object baseline</x:v>
      </x:c>
      <x:c r="K4" s="9"/>
      <x:c r="L4" s="9" t="str">
        <x:v>51</x:v>
      </x:c>
      <x:c r="M4" s="9" t="str">
        <x:v>Exact manifest episode: trained state-object cell, prompt, same-category candidate structure, and object membership match; physical layout is manually recreated. All objects are upright, matching the context of every explicit open/closed training demonstration.</x:v>
      </x:c>
      <x:c r="N4" s="9" t="n">
        <x:v>1</x:v>
      </x:c>
      <x:c r="O4" s="9" t="str">
        <x:v>Recreate the listed manifest scene with the bowl empty.</x:v>
      </x:c>
      <x:c r="P4" s="9" t="str">
        <x:v>The queried state-object combination and same-category discrimination structure are explicitly represented in training. The orthogonal orientation axis is fixed: every object is RU.</x:v>
      </x:c>
      <x:c r="Q4" s="9"/>
      <x:c r="R4" s="10" t="n">
        <x:v>3</x:v>
      </x:c>
      <x:c r="S4" s="10" t="n">
        <x:v>1</x:v>
      </x:c>
      <x:c r="T4" s="9" t="str">
        <x:v>Empty</x:v>
      </x:c>
      <x:c r="U4" s="9" t="str">
        <x:v>C</x:v>
      </x:c>
      <x:c r="V4" s="9" t="str">
        <x:v>yellow-white striped cup</x:v>
      </x:c>
      <x:c r="W4" s="9"/>
      <x:c r="X4" s="10"/>
      <x:c r="Y4" s="10"/>
      <x:c r="Z4" s="9"/>
      <x:c r="AA4" s="9"/>
      <x:c r="AB4" s="9"/>
      <x:c r="AC4" s="9"/>
      <x:c r="AD4" s="9"/>
      <x:c r="AE4" s="9"/>
      <x:c r="AF4" s="9"/>
      <x:c r="AG4" s="9"/>
      <x:c r="AH4" s="9"/>
      <x:c r="AI4" s="11"/>
      <x:c r="AJ4" s="9"/>
      <x:c r="AK4" s="9" t="str">
        <x:v>Eval_State_Recognition.xlsm</x:v>
      </x:c>
      <x:c r="AL4" s="9" t="str">
        <x:v>VLA0 Results</x:v>
      </x:c>
      <x:c r="AM4" s="9" t="n">
        <x:v>4</x:v>
      </x:c>
      <x:c r="AN4" s="9" t="n">
        <x:v>4</x:v>
      </x:c>
    </x:row>
    <x:row r="5">
      <x:c r="A5" s="9" t="str">
        <x:v>Failure</x:v>
      </x:c>
      <x:c r="B5" s="9" t="str">
        <x:v>State Recognition</x:v>
      </x:c>
      <x:c r="C5" s="10" t="n">
        <x:v>3</x:v>
      </x:c>
      <x:c r="D5" s="9" t="str">
        <x:v>Move the upside-down yellow-white striped cup into the bowl.</x:v>
      </x:c>
      <x:c r="E5" s="9" t="str">
        <x:v>yellow-white striped cup B (O, UD); yellow-white striped cup A (O, RU); brown cup B (C, RU); glass spice container A (O, RU)</x:v>
      </x:c>
      <x:c r="F5" s="9" t="str">
        <x:v>yellow-white striped cup B</x:v>
      </x:c>
      <x:c r="G5" s="9" t="str">
        <x:v>went for the brown cup and then kind of was moving in between the brown cup and upright striped cup</x:v>
      </x:c>
      <x:c r="H5" s="9" t="str">
        <x:v>In-distribution concept baseline</x:v>
      </x:c>
      <x:c r="I5" s="9" t="str">
        <x:v>SR-ID04</x:v>
      </x:c>
      <x:c r="J5" s="9" t="str">
        <x:v>Exact training-supported state-object baseline</x:v>
      </x:c>
      <x:c r="K5" s="9"/>
      <x:c r="L5" s="9" t="str">
        <x:v>78</x:v>
      </x:c>
      <x:c r="M5" s="9" t="str">
        <x:v>Exact manifest episode: trained state-object cell, prompt, same-category candidate structure, and object membership match; physical layout is manually recreated.</x:v>
      </x:c>
      <x:c r="N5" s="9" t="n">
        <x:v>1</x:v>
      </x:c>
      <x:c r="O5" s="9" t="str">
        <x:v>Recreate the listed manifest scene with the bowl empty.</x:v>
      </x:c>
      <x:c r="P5" s="9" t="str">
        <x:v>The queried state-object combination and same-category discrimination structure are explicitly represented in training. The same-category candidates share the orthogonal C/O state (O).</x:v>
      </x:c>
      <x:c r="Q5" s="9"/>
      <x:c r="R5" s="10" t="n">
        <x:v>4</x:v>
      </x:c>
      <x:c r="S5" s="10" t="n">
        <x:v>1</x:v>
      </x:c>
      <x:c r="T5" s="9" t="str">
        <x:v>Empty</x:v>
      </x:c>
      <x:c r="U5" s="9" t="str">
        <x:v>UD</x:v>
      </x:c>
      <x:c r="V5" s="9" t="str">
        <x:v>yellow-white striped cup</x:v>
      </x:c>
      <x:c r="W5" s="9"/>
      <x:c r="X5" s="10"/>
      <x:c r="Y5" s="10"/>
      <x:c r="Z5" s="9"/>
      <x:c r="AA5" s="9"/>
      <x:c r="AB5" s="9"/>
      <x:c r="AC5" s="9"/>
      <x:c r="AD5" s="9"/>
      <x:c r="AE5" s="9"/>
      <x:c r="AF5" s="9"/>
      <x:c r="AG5" s="9"/>
      <x:c r="AH5" s="9"/>
      <x:c r="AI5" s="11"/>
      <x:c r="AJ5" s="9"/>
      <x:c r="AK5" s="9" t="str">
        <x:v>Eval_State_Recognition.xlsm</x:v>
      </x:c>
      <x:c r="AL5" s="9" t="str">
        <x:v>VLA0 Results</x:v>
      </x:c>
      <x:c r="AM5" s="9" t="n">
        <x:v>5</x:v>
      </x:c>
      <x:c r="AN5" s="9" t="n">
        <x:v>5</x:v>
      </x:c>
    </x:row>
    <x:row r="6">
      <x:c r="A6" s="9" t="str">
        <x:v>Failure</x:v>
      </x:c>
      <x:c r="B6" s="9" t="str">
        <x:v>State Recognition</x:v>
      </x:c>
      <x:c r="C6" s="10" t="n">
        <x:v>4</x:v>
      </x:c>
      <x:c r="D6" s="9" t="str">
        <x:v>Put the open brown cup in the bowl.</x:v>
      </x:c>
      <x:c r="E6" s="9" t="str">
        <x:v>brown cup B (O, RU); brown cup A (C, RU); glass spice container A (O, RU)</x:v>
      </x:c>
      <x:c r="F6" s="9" t="str">
        <x:v>brown cup B</x:v>
      </x:c>
      <x:c r="G6" s="9" t="str">
        <x:v>went for open glass container. had it between grippers, but didn't close the grippers</x:v>
      </x:c>
      <x:c r="H6" s="9" t="str">
        <x:v>In-distribution concept baseline</x:v>
      </x:c>
      <x:c r="I6" s="9" t="str">
        <x:v>SR-ID05</x:v>
      </x:c>
      <x:c r="J6" s="9" t="str">
        <x:v>Exact training-supported state-object baseline</x:v>
      </x:c>
      <x:c r="K6" s="9"/>
      <x:c r="L6" s="9" t="str">
        <x:v>104</x:v>
      </x:c>
      <x:c r="M6" s="9" t="str">
        <x:v>Exact manifest episode: trained state-object cell, prompt, same-category candidate structure, and object membership match; physical layout is manually recreated. All objects are upright, matching the context of every explicit open/closed training demonstration.</x:v>
      </x:c>
      <x:c r="N6" s="9" t="n">
        <x:v>1</x:v>
      </x:c>
      <x:c r="O6" s="9" t="str">
        <x:v>Recreate the listed manifest scene with the bowl empty.</x:v>
      </x:c>
      <x:c r="P6" s="9" t="str">
        <x:v>The queried state-object combination and same-category discrimination structure are explicitly represented in training. The orthogonal orientation axis is fixed: every object is RU.</x:v>
      </x:c>
      <x:c r="Q6" s="9"/>
      <x:c r="R6" s="10" t="n">
        <x:v>3</x:v>
      </x:c>
      <x:c r="S6" s="10" t="n">
        <x:v>1</x:v>
      </x:c>
      <x:c r="T6" s="9" t="str">
        <x:v>Empty</x:v>
      </x:c>
      <x:c r="U6" s="9" t="str">
        <x:v>O</x:v>
      </x:c>
      <x:c r="V6" s="9" t="str">
        <x:v>brown cup</x:v>
      </x:c>
      <x:c r="W6" s="9"/>
      <x:c r="X6" s="10"/>
      <x:c r="Y6" s="10"/>
      <x:c r="Z6" s="9"/>
      <x:c r="AA6" s="9"/>
      <x:c r="AB6" s="9"/>
      <x:c r="AC6" s="9"/>
      <x:c r="AD6" s="9"/>
      <x:c r="AE6" s="9"/>
      <x:c r="AF6" s="9"/>
      <x:c r="AG6" s="9"/>
      <x:c r="AH6" s="9"/>
      <x:c r="AI6" s="11"/>
      <x:c r="AJ6" s="9"/>
      <x:c r="AK6" s="9" t="str">
        <x:v>Eval_State_Recognition.xlsm</x:v>
      </x:c>
      <x:c r="AL6" s="9" t="str">
        <x:v>VLA0 Results</x:v>
      </x:c>
      <x:c r="AM6" s="9" t="n">
        <x:v>6</x:v>
      </x:c>
      <x:c r="AN6" s="9" t="n">
        <x:v>6</x:v>
      </x:c>
    </x:row>
    <x:row r="7">
      <x:c r="A7" s="9" t="str">
        <x:v>Failure</x:v>
      </x:c>
      <x:c r="B7" s="9" t="str">
        <x:v>State Recognition</x:v>
      </x:c>
      <x:c r="C7" s="10" t="n">
        <x:v>5</x:v>
      </x:c>
      <x:c r="D7" s="9" t="str">
        <x:v>Put the upside-down brown cup in the bowl.</x:v>
      </x:c>
      <x:c r="E7" s="9" t="str">
        <x:v>brown cup A (O, UD); brown cup B (O, RU)</x:v>
      </x:c>
      <x:c r="F7" s="9" t="str">
        <x:v>brown cup A</x:v>
      </x:c>
      <x:c r="G7" s="9"/>
      <x:c r="H7" s="9" t="str">
        <x:v>In-distribution concept baseline</x:v>
      </x:c>
      <x:c r="I7" s="9" t="str">
        <x:v>SR-ID06</x:v>
      </x:c>
      <x:c r="J7" s="9" t="str">
        <x:v>Exact training-supported state-object baseline</x:v>
      </x:c>
      <x:c r="K7" s="9"/>
      <x:c r="L7" s="9" t="str">
        <x:v>125</x:v>
      </x:c>
      <x:c r="M7" s="9" t="str">
        <x:v>Exact manifest episode: trained state-object cell, prompt, same-category candidate structure, and object membership match; physical layout is manually recreated.</x:v>
      </x:c>
      <x:c r="N7" s="9" t="n">
        <x:v>1</x:v>
      </x:c>
      <x:c r="O7" s="9" t="str">
        <x:v>Recreate the listed manifest scene with the bowl empty.</x:v>
      </x:c>
      <x:c r="P7" s="9" t="str">
        <x:v>The queried state-object combination and same-category discrimination structure are explicitly represented in training. The same-category candidates share the orthogonal C/O state (O).</x:v>
      </x:c>
      <x:c r="Q7" s="9"/>
      <x:c r="R7" s="10" t="n">
        <x:v>2</x:v>
      </x:c>
      <x:c r="S7" s="10" t="n">
        <x:v>1</x:v>
      </x:c>
      <x:c r="T7" s="9" t="str">
        <x:v>Empty</x:v>
      </x:c>
      <x:c r="U7" s="9" t="str">
        <x:v>UD</x:v>
      </x:c>
      <x:c r="V7" s="9" t="str">
        <x:v>brown cup</x:v>
      </x:c>
      <x:c r="W7" s="9"/>
      <x:c r="X7" s="10"/>
      <x:c r="Y7" s="10"/>
      <x:c r="Z7" s="9"/>
      <x:c r="AA7" s="9"/>
      <x:c r="AB7" s="9"/>
      <x:c r="AC7" s="9"/>
      <x:c r="AD7" s="9"/>
      <x:c r="AE7" s="9"/>
      <x:c r="AF7" s="9"/>
      <x:c r="AG7" s="9"/>
      <x:c r="AH7" s="9"/>
      <x:c r="AI7" s="11"/>
      <x:c r="AJ7" s="9"/>
      <x:c r="AK7" s="9" t="str">
        <x:v>Eval_State_Recognition.xlsm</x:v>
      </x:c>
      <x:c r="AL7" s="9" t="str">
        <x:v>VLA0 Results</x:v>
      </x:c>
      <x:c r="AM7" s="9" t="n">
        <x:v>7</x:v>
      </x:c>
      <x:c r="AN7" s="9" t="n">
        <x:v>7</x:v>
      </x:c>
    </x:row>
    <x:row r="8">
      <x:c r="A8" s="9" t="str">
        <x:v>Failure</x:v>
      </x:c>
      <x:c r="B8" s="9" t="str">
        <x:v>State Recognition</x:v>
      </x:c>
      <x:c r="C8" s="10" t="n">
        <x:v>6</x:v>
      </x:c>
      <x:c r="D8" s="9" t="str">
        <x:v>Put the upright brown cup in the bowl.</x:v>
      </x:c>
      <x:c r="E8" s="9" t="str">
        <x:v>brown cup B (C, RU); brown cup A (C, UD)</x:v>
      </x:c>
      <x:c r="F8" s="9" t="str">
        <x:v>brown cup B</x:v>
      </x:c>
      <x:c r="G8" s="9" t="str">
        <x:v>grasped thin air</x:v>
      </x:c>
      <x:c r="H8" s="9" t="str">
        <x:v>In-distribution concept baseline</x:v>
      </x:c>
      <x:c r="I8" s="9" t="str">
        <x:v>SR-ID07</x:v>
      </x:c>
      <x:c r="J8" s="9" t="str">
        <x:v>Exact training-supported state-object baseline</x:v>
      </x:c>
      <x:c r="K8" s="9"/>
      <x:c r="L8" s="9" t="str">
        <x:v>134</x:v>
      </x:c>
      <x:c r="M8" s="9" t="str">
        <x:v>Exact manifest episode: trained state-object cell, prompt, same-category candidate structure, and object membership match; physical layout is manually recreated.</x:v>
      </x:c>
      <x:c r="N8" s="9" t="n">
        <x:v>1</x:v>
      </x:c>
      <x:c r="O8" s="9" t="str">
        <x:v>Recreate the listed manifest scene with the bowl empty.</x:v>
      </x:c>
      <x:c r="P8" s="9" t="str">
        <x:v>The queried state-object combination and same-category discrimination structure are explicitly represented in training. The same-category candidates share the orthogonal C/O state (C).</x:v>
      </x:c>
      <x:c r="Q8" s="9"/>
      <x:c r="R8" s="10" t="n">
        <x:v>2</x:v>
      </x:c>
      <x:c r="S8" s="10" t="n">
        <x:v>1</x:v>
      </x:c>
      <x:c r="T8" s="9" t="str">
        <x:v>Empty</x:v>
      </x:c>
      <x:c r="U8" s="9" t="str">
        <x:v>RU</x:v>
      </x:c>
      <x:c r="V8" s="9" t="str">
        <x:v>brown cup</x:v>
      </x:c>
      <x:c r="W8" s="9"/>
      <x:c r="X8" s="10"/>
      <x:c r="Y8" s="10"/>
      <x:c r="Z8" s="9"/>
      <x:c r="AA8" s="9"/>
      <x:c r="AB8" s="9"/>
      <x:c r="AC8" s="9"/>
      <x:c r="AD8" s="9"/>
      <x:c r="AE8" s="9"/>
      <x:c r="AF8" s="9"/>
      <x:c r="AG8" s="9"/>
      <x:c r="AH8" s="9"/>
      <x:c r="AI8" s="11"/>
      <x:c r="AJ8" s="9"/>
      <x:c r="AK8" s="9" t="str">
        <x:v>Eval_State_Recognition.xlsm</x:v>
      </x:c>
      <x:c r="AL8" s="9" t="str">
        <x:v>VLA0 Results</x:v>
      </x:c>
      <x:c r="AM8" s="9" t="n">
        <x:v>8</x:v>
      </x:c>
      <x:c r="AN8" s="9" t="n">
        <x:v>8</x:v>
      </x:c>
    </x:row>
    <x:row r="9">
      <x:c r="A9" s="9" t="str">
        <x:v>Failure</x:v>
      </x:c>
      <x:c r="B9" s="9" t="str">
        <x:v>State Recognition</x:v>
      </x:c>
      <x:c r="C9" s="10" t="n">
        <x:v>7</x:v>
      </x:c>
      <x:c r="D9" s="9" t="str">
        <x:v>Place the closed glass spice container in the bowl.</x:v>
      </x:c>
      <x:c r="E9" s="9" t="str">
        <x:v>glass spice container A (C, RU); glass spice container B (O, RU); yellow-white striped cup A (C, RU)</x:v>
      </x:c>
      <x:c r="F9" s="9" t="str">
        <x:v>glass spice container A</x:v>
      </x:c>
      <x:c r="G9" s="9" t="str">
        <x:v>was facing closed spice container, but didn't do anything; kind of froze</x:v>
      </x:c>
      <x:c r="H9" s="9" t="str">
        <x:v>In-distribution concept baseline</x:v>
      </x:c>
      <x:c r="I9" s="9" t="str">
        <x:v>SR-ID08</x:v>
      </x:c>
      <x:c r="J9" s="9" t="str">
        <x:v>Exact training-supported state-object baseline</x:v>
      </x:c>
      <x:c r="K9" s="9"/>
      <x:c r="L9" s="9" t="str">
        <x:v>151</x:v>
      </x:c>
      <x:c r="M9" s="9" t="str">
        <x:v>Exact manifest episode: trained state-object cell, prompt, same-category candidate structure, and object membership match; physical layout is manually recreated. All objects are upright, matching the context of every explicit open/closed training demonstration.</x:v>
      </x:c>
      <x:c r="N9" s="9" t="n">
        <x:v>1</x:v>
      </x:c>
      <x:c r="O9" s="9" t="str">
        <x:v>Recreate the listed manifest scene with the bowl empty.</x:v>
      </x:c>
      <x:c r="P9" s="9" t="str">
        <x:v>The queried state-object combination and same-category discrimination structure are explicitly represented in training. The orthogonal orientation axis is fixed: every object is RU.</x:v>
      </x:c>
      <x:c r="Q9" s="9"/>
      <x:c r="R9" s="10" t="n">
        <x:v>3</x:v>
      </x:c>
      <x:c r="S9" s="10" t="n">
        <x:v>1</x:v>
      </x:c>
      <x:c r="T9" s="9" t="str">
        <x:v>Empty</x:v>
      </x:c>
      <x:c r="U9" s="9" t="str">
        <x:v>C</x:v>
      </x:c>
      <x:c r="V9" s="9" t="str">
        <x:v>glass spice container</x:v>
      </x:c>
      <x:c r="W9" s="9"/>
      <x:c r="X9" s="10"/>
      <x:c r="Y9" s="10"/>
      <x:c r="Z9" s="9"/>
      <x:c r="AA9" s="9"/>
      <x:c r="AB9" s="9"/>
      <x:c r="AC9" s="9"/>
      <x:c r="AD9" s="9"/>
      <x:c r="AE9" s="9"/>
      <x:c r="AF9" s="9"/>
      <x:c r="AG9" s="9"/>
      <x:c r="AH9" s="9"/>
      <x:c r="AI9" s="11"/>
      <x:c r="AJ9" s="9"/>
      <x:c r="AK9" s="9" t="str">
        <x:v>Eval_State_Recognition.xlsm</x:v>
      </x:c>
      <x:c r="AL9" s="9" t="str">
        <x:v>VLA0 Results</x:v>
      </x:c>
      <x:c r="AM9" s="9" t="n">
        <x:v>9</x:v>
      </x:c>
      <x:c r="AN9" s="9" t="n">
        <x:v>9</x:v>
      </x:c>
    </x:row>
    <x:row r="10">
      <x:c r="A10" s="9" t="str">
        <x:v>Failure</x:v>
      </x:c>
      <x:c r="B10" s="9" t="str">
        <x:v>State Recognition</x:v>
      </x:c>
      <x:c r="C10" s="10" t="n">
        <x:v>8</x:v>
      </x:c>
      <x:c r="D10" s="9" t="str">
        <x:v>Move the open glass spice container into the bowl.</x:v>
      </x:c>
      <x:c r="E10" s="9" t="str">
        <x:v>glass spice container B (O, RU); glass spice container A (C, RU); white cup B (O, RU)</x:v>
      </x:c>
      <x:c r="F10" s="9" t="str">
        <x:v>glass spice container B</x:v>
      </x:c>
      <x:c r="G10" s="9" t="str">
        <x:v>didn't move</x:v>
      </x:c>
      <x:c r="H10" s="9" t="str">
        <x:v>In-distribution concept baseline</x:v>
      </x:c>
      <x:c r="I10" s="9" t="str">
        <x:v>SR-ID09</x:v>
      </x:c>
      <x:c r="J10" s="9" t="str">
        <x:v>Exact training-supported state-object baseline</x:v>
      </x:c>
      <x:c r="K10" s="9"/>
      <x:c r="L10" s="9" t="str">
        <x:v>156</x:v>
      </x:c>
      <x:c r="M10" s="9" t="str">
        <x:v>Exact manifest episode: trained state-object cell, prompt, same-category candidate structure, and object membership match; physical layout is manually recreated. All objects are upright, matching the context of every explicit open/closed training demonstration.</x:v>
      </x:c>
      <x:c r="N10" s="9" t="n">
        <x:v>1</x:v>
      </x:c>
      <x:c r="O10" s="9" t="str">
        <x:v>Recreate the listed manifest scene with the bowl empty.</x:v>
      </x:c>
      <x:c r="P10" s="9" t="str">
        <x:v>The queried state-object combination and same-category discrimination structure are explicitly represented in training. The orthogonal orientation axis is fixed: every object is RU.</x:v>
      </x:c>
      <x:c r="Q10" s="9"/>
      <x:c r="R10" s="10" t="n">
        <x:v>3</x:v>
      </x:c>
      <x:c r="S10" s="10" t="n">
        <x:v>1</x:v>
      </x:c>
      <x:c r="T10" s="9" t="str">
        <x:v>Empty</x:v>
      </x:c>
      <x:c r="U10" s="9" t="str">
        <x:v>O</x:v>
      </x:c>
      <x:c r="V10" s="9" t="str">
        <x:v>glass spice container</x:v>
      </x:c>
      <x:c r="W10" s="9"/>
      <x:c r="X10" s="10"/>
      <x:c r="Y10" s="10"/>
      <x:c r="Z10" s="9"/>
      <x:c r="AA10" s="9"/>
      <x:c r="AB10" s="9"/>
      <x:c r="AC10" s="9"/>
      <x:c r="AD10" s="9"/>
      <x:c r="AE10" s="9"/>
      <x:c r="AF10" s="9"/>
      <x:c r="AG10" s="9"/>
      <x:c r="AH10" s="9"/>
      <x:c r="AI10" s="11"/>
      <x:c r="AJ10" s="9"/>
      <x:c r="AK10" s="9" t="str">
        <x:v>Eval_State_Recognition.xlsm</x:v>
      </x:c>
      <x:c r="AL10" s="9" t="str">
        <x:v>VLA0 Results</x:v>
      </x:c>
      <x:c r="AM10" s="9" t="n">
        <x:v>10</x:v>
      </x:c>
      <x:c r="AN10" s="9" t="n">
        <x:v>10</x:v>
      </x:c>
    </x:row>
    <x:row r="11">
      <x:c r="A11" s="9" t="str">
        <x:v>Failure</x:v>
      </x:c>
      <x:c r="B11" s="9" t="str">
        <x:v>State Recognition</x:v>
      </x:c>
      <x:c r="C11" s="10" t="n">
        <x:v>9</x:v>
      </x:c>
      <x:c r="D11" s="9" t="str">
        <x:v>Put the upside-down glass spice container in the bowl.</x:v>
      </x:c>
      <x:c r="E11" s="9" t="str">
        <x:v>glass spice container B (C, UD); glass spice container A (C, RU)</x:v>
      </x:c>
      <x:c r="F11" s="9" t="str">
        <x:v>glass spice container B</x:v>
      </x:c>
      <x:c r="G11" s="9" t="str">
        <x:v>went for upright glass spice container, but didn't grip it; was reaching around the right side of the container</x:v>
      </x:c>
      <x:c r="H11" s="9" t="str">
        <x:v>In-distribution concept baseline</x:v>
      </x:c>
      <x:c r="I11" s="9" t="str">
        <x:v>SR-ID10</x:v>
      </x:c>
      <x:c r="J11" s="9" t="str">
        <x:v>Exact training-supported state-object baseline</x:v>
      </x:c>
      <x:c r="K11" s="9"/>
      <x:c r="L11" s="9" t="str">
        <x:v>176</x:v>
      </x:c>
      <x:c r="M11" s="9" t="str">
        <x:v>Exact manifest episode: trained state-object cell, prompt, same-category candidate structure, and object membership match; physical layout is manually recreated.</x:v>
      </x:c>
      <x:c r="N11" s="9" t="n">
        <x:v>1</x:v>
      </x:c>
      <x:c r="O11" s="9" t="str">
        <x:v>Recreate the listed manifest scene with the bowl empty.</x:v>
      </x:c>
      <x:c r="P11" s="9" t="str">
        <x:v>The queried state-object combination and same-category discrimination structure are explicitly represented in training. The same-category candidates share the orthogonal C/O state (C).</x:v>
      </x:c>
      <x:c r="Q11" s="9"/>
      <x:c r="R11" s="10" t="n">
        <x:v>2</x:v>
      </x:c>
      <x:c r="S11" s="10" t="n">
        <x:v>1</x:v>
      </x:c>
      <x:c r="T11" s="9" t="str">
        <x:v>Empty</x:v>
      </x:c>
      <x:c r="U11" s="9" t="str">
        <x:v>UD</x:v>
      </x:c>
      <x:c r="V11" s="9" t="str">
        <x:v>glass spice container</x:v>
      </x:c>
      <x:c r="W11" s="9"/>
      <x:c r="X11" s="10"/>
      <x:c r="Y11" s="10"/>
      <x:c r="Z11" s="9"/>
      <x:c r="AA11" s="9"/>
      <x:c r="AB11" s="9"/>
      <x:c r="AC11" s="9"/>
      <x:c r="AD11" s="9"/>
      <x:c r="AE11" s="9"/>
      <x:c r="AF11" s="9"/>
      <x:c r="AG11" s="9"/>
      <x:c r="AH11" s="9"/>
      <x:c r="AI11" s="11"/>
      <x:c r="AJ11" s="9"/>
      <x:c r="AK11" s="9" t="str">
        <x:v>Eval_State_Recognition.xlsm</x:v>
      </x:c>
      <x:c r="AL11" s="9" t="str">
        <x:v>VLA0 Results</x:v>
      </x:c>
      <x:c r="AM11" s="9" t="n">
        <x:v>11</x:v>
      </x:c>
      <x:c r="AN11" s="9" t="n">
        <x:v>11</x:v>
      </x:c>
    </x:row>
    <x:row r="12">
      <x:c r="A12" s="9" t="str">
        <x:v>Failure</x:v>
      </x:c>
      <x:c r="B12" s="9" t="str">
        <x:v>Counting</x:v>
      </x:c>
      <x:c r="C12" s="10" t="n">
        <x:v>0</x:v>
      </x:c>
      <x:c r="D12" s="9" t="str">
        <x:v>Leave exactly one object in the bowl.</x:v>
      </x:c>
      <x:c r="E12" s="9" t="str">
        <x:v>Bowl objects: [none] | Table objects: [blue pen, yellow block, green pencil sharpener]</x:v>
      </x:c>
      <x:c r="F12" s="9" t="str">
        <x:v>ADD any one table object; finish with 1 object in the bowl</x:v>
      </x:c>
      <x:c r="G12" s="9" t="str">
        <x:v>didn't move</x:v>
      </x:c>
      <x:c r="H12" s="9" t="str">
        <x:v>In-distribution concept baseline</x:v>
      </x:c>
      <x:c r="I12" s="9" t="str">
        <x:v>ID-F01</x:v>
      </x:c>
      <x:c r="J12" s="9" t="str">
        <x:v>In-distribution: one via trained 0→1 addition</x:v>
      </x:c>
      <x:c r="K12" s="9"/>
      <x:c r="L12" s="9" t="str">
        <x:v>801</x:v>
      </x:c>
      <x:c r="M12" s="9" t="str">
        <x:v>Exact trained cell: prompt, count transition, and scene-object membership match; physical layout is not copied exactly.</x:v>
      </x:c>
      <x:c r="N12" s="9" t="n">
        <x:v>1</x:v>
      </x:c>
      <x:c r="O12" s="9" t="str">
        <x:v>Recreate the listed bowl/table membership from training episode 801.</x:v>
      </x:c>
      <x:c r="P12" s="9" t="str">
        <x:v>Exact trained count transition and scene-object membership. Any object that reaches the requested final count is acceptable.</x:v>
      </x:c>
      <x:c r="Q12" s="9"/>
      <x:c r="R12" s="10"/>
      <x:c r="S12" s="10"/>
      <x:c r="T12" s="9"/>
      <x:c r="U12" s="9"/>
      <x:c r="V12" s="9"/>
      <x:c r="W12" s="9" t="str">
        <x:v>ID-F01</x:v>
      </x:c>
      <x:c r="X12" s="10" t="n">
        <x:v>0</x:v>
      </x:c>
      <x:c r="Y12" s="10" t="n">
        <x:v>1</x:v>
      </x:c>
      <x:c r="Z12" s="9" t="str">
        <x:v>ADD</x:v>
      </x:c>
      <x:c r="AA12" s="9"/>
      <x:c r="AB12" s="9"/>
      <x:c r="AC12" s="9"/>
      <x:c r="AD12" s="9"/>
      <x:c r="AE12" s="9"/>
      <x:c r="AF12" s="9"/>
      <x:c r="AG12" s="9"/>
      <x:c r="AH12" s="9"/>
      <x:c r="AI12" s="11"/>
      <x:c r="AJ12" s="9"/>
      <x:c r="AK12" s="9" t="str">
        <x:v>Eval_Counting.xlsm</x:v>
      </x:c>
      <x:c r="AL12" s="9" t="str">
        <x:v>VLA0 Results</x:v>
      </x:c>
      <x:c r="AM12" s="9" t="n">
        <x:v>2</x:v>
      </x:c>
      <x:c r="AN12" s="9" t="n">
        <x:v>2</x:v>
      </x:c>
    </x:row>
    <x:row r="13">
      <x:c r="A13" s="9" t="str">
        <x:v>Failure</x:v>
      </x:c>
      <x:c r="B13" s="9" t="str">
        <x:v>Counting</x:v>
      </x:c>
      <x:c r="C13" s="10" t="n">
        <x:v>1</x:v>
      </x:c>
      <x:c r="D13" s="9" t="str">
        <x:v>Adjust the bowl so that it contains two objects.</x:v>
      </x:c>
      <x:c r="E13" s="9" t="str">
        <x:v>Bowl objects: [yellow block] | Table objects: [blue pen, green pencil sharpener]</x:v>
      </x:c>
      <x:c r="F13" s="9" t="str">
        <x:v>ADD any one table object; finish with 2 objects in the bowl</x:v>
      </x:c>
      <x:c r="G13" s="9" t="str">
        <x:v>tried to pick the blue pen, but didn't even open the gripper</x:v>
      </x:c>
      <x:c r="H13" s="9" t="str">
        <x:v>In-distribution concept baseline</x:v>
      </x:c>
      <x:c r="I13" s="9" t="str">
        <x:v>ID-F01</x:v>
      </x:c>
      <x:c r="J13" s="9" t="str">
        <x:v>In-distribution: two via trained 1→2 addition</x:v>
      </x:c>
      <x:c r="K13" s="9"/>
      <x:c r="L13" s="9" t="str">
        <x:v>809</x:v>
      </x:c>
      <x:c r="M13" s="9" t="str">
        <x:v>Exact trained cell: prompt, count transition, and scene-object membership match; physical layout is not copied exactly.</x:v>
      </x:c>
      <x:c r="N13" s="9" t="n">
        <x:v>1</x:v>
      </x:c>
      <x:c r="O13" s="9" t="str">
        <x:v>Recreate the listed bowl/table membership from training episode 809.</x:v>
      </x:c>
      <x:c r="P13" s="9" t="str">
        <x:v>Exact trained count transition and scene-object membership. Any object that reaches the requested final count is acceptable.</x:v>
      </x:c>
      <x:c r="Q13" s="9"/>
      <x:c r="R13" s="10"/>
      <x:c r="S13" s="10"/>
      <x:c r="T13" s="9"/>
      <x:c r="U13" s="9"/>
      <x:c r="V13" s="9"/>
      <x:c r="W13" s="9" t="str">
        <x:v>ID-F01</x:v>
      </x:c>
      <x:c r="X13" s="10" t="n">
        <x:v>1</x:v>
      </x:c>
      <x:c r="Y13" s="10" t="n">
        <x:v>2</x:v>
      </x:c>
      <x:c r="Z13" s="9" t="str">
        <x:v>ADD</x:v>
      </x:c>
      <x:c r="AA13" s="9"/>
      <x:c r="AB13" s="9"/>
      <x:c r="AC13" s="9"/>
      <x:c r="AD13" s="9"/>
      <x:c r="AE13" s="9"/>
      <x:c r="AF13" s="9"/>
      <x:c r="AG13" s="9"/>
      <x:c r="AH13" s="9"/>
      <x:c r="AI13" s="11"/>
      <x:c r="AJ13" s="9"/>
      <x:c r="AK13" s="9" t="str">
        <x:v>Eval_Counting.xlsm</x:v>
      </x:c>
      <x:c r="AL13" s="9" t="str">
        <x:v>VLA0 Results</x:v>
      </x:c>
      <x:c r="AM13" s="9" t="n">
        <x:v>3</x:v>
      </x:c>
      <x:c r="AN13" s="9" t="n">
        <x:v>3</x:v>
      </x:c>
    </x:row>
    <x:row r="14">
      <x:c r="A14" s="9" t="str">
        <x:v>Failure</x:v>
      </x:c>
      <x:c r="B14" s="9" t="str">
        <x:v>Counting</x:v>
      </x:c>
      <x:c r="C14" s="10" t="n">
        <x:v>2</x:v>
      </x:c>
      <x:c r="D14" s="9" t="str">
        <x:v>Leave exactly three objects in the bowl.</x:v>
      </x:c>
      <x:c r="E14" s="9" t="str">
        <x:v>Bowl objects: [blue pen, yellow block, green pencil sharpener, airplane toy without propellers] | Table objects: [none]</x:v>
      </x:c>
      <x:c r="F14" s="9" t="str">
        <x:v>REMOVE any one bowl object; finish with 3 objects in the bowl</x:v>
      </x:c>
      <x:c r="G14" s="9" t="str">
        <x:v>started gripping in middle of workspace like it's going for a soda can or cup</x:v>
      </x:c>
      <x:c r="H14" s="9" t="str">
        <x:v>In-distribution concept baseline</x:v>
      </x:c>
      <x:c r="I14" s="9" t="str">
        <x:v>ID-F01</x:v>
      </x:c>
      <x:c r="J14" s="9" t="str">
        <x:v>In-distribution: three via trained 4→3 removal</x:v>
      </x:c>
      <x:c r="K14" s="9"/>
      <x:c r="L14" s="9" t="str">
        <x:v>843</x:v>
      </x:c>
      <x:c r="M14" s="9" t="str">
        <x:v>Exact trained cell: prompt, count transition, and scene-object membership match; physical layout is not copied exactly.</x:v>
      </x:c>
      <x:c r="N14" s="9" t="n">
        <x:v>1</x:v>
      </x:c>
      <x:c r="O14" s="9" t="str">
        <x:v>Recreate the listed bowl/table membership from training episode 843.</x:v>
      </x:c>
      <x:c r="P14" s="9" t="str">
        <x:v>Exact trained count transition and scene-object membership. Any object that reaches the requested final count is acceptable.</x:v>
      </x:c>
      <x:c r="Q14" s="9"/>
      <x:c r="R14" s="10"/>
      <x:c r="S14" s="10"/>
      <x:c r="T14" s="9"/>
      <x:c r="U14" s="9"/>
      <x:c r="V14" s="9"/>
      <x:c r="W14" s="9" t="str">
        <x:v>ID-F01</x:v>
      </x:c>
      <x:c r="X14" s="10" t="n">
        <x:v>4</x:v>
      </x:c>
      <x:c r="Y14" s="10" t="n">
        <x:v>3</x:v>
      </x:c>
      <x:c r="Z14" s="9" t="str">
        <x:v>REMOVE</x:v>
      </x:c>
      <x:c r="AA14" s="9"/>
      <x:c r="AB14" s="9"/>
      <x:c r="AC14" s="9"/>
      <x:c r="AD14" s="9"/>
      <x:c r="AE14" s="9"/>
      <x:c r="AF14" s="9"/>
      <x:c r="AG14" s="9"/>
      <x:c r="AH14" s="9"/>
      <x:c r="AI14" s="11"/>
      <x:c r="AJ14" s="9"/>
      <x:c r="AK14" s="9" t="str">
        <x:v>Eval_Counting.xlsm</x:v>
      </x:c>
      <x:c r="AL14" s="9" t="str">
        <x:v>VLA0 Results</x:v>
      </x:c>
      <x:c r="AM14" s="9" t="n">
        <x:v>4</x:v>
      </x:c>
      <x:c r="AN14" s="9" t="n">
        <x:v>4</x:v>
      </x:c>
    </x:row>
    <x:row r="15">
      <x:c r="A15" s="9" t="str">
        <x:v>Failure</x:v>
      </x:c>
      <x:c r="B15" s="9" t="str">
        <x:v>Counting</x:v>
      </x:c>
      <x:c r="C15" s="10" t="n">
        <x:v>3</x:v>
      </x:c>
      <x:c r="D15" s="9" t="str">
        <x:v>Adjust the bowl so that it contains zero objects.</x:v>
      </x:c>
      <x:c r="E15" s="9" t="str">
        <x:v>Bowl objects: [blue pen] | Table objects: [green pencil sharpener, airplane toy without propellers]</x:v>
      </x:c>
      <x:c r="F15" s="9" t="str">
        <x:v>REMOVE the only bowl object; finish with 0 objects in the bowl</x:v>
      </x:c>
      <x:c r="G15" s="9" t="str">
        <x:v>didn't move</x:v>
      </x:c>
      <x:c r="H15" s="9" t="str">
        <x:v>In-distribution concept baseline</x:v>
      </x:c>
      <x:c r="I15" s="9" t="str">
        <x:v>ID-F01</x:v>
      </x:c>
      <x:c r="J15" s="9" t="str">
        <x:v>In-distribution: zero via trained 1→0 removal</x:v>
      </x:c>
      <x:c r="K15" s="9"/>
      <x:c r="L15" s="9" t="str">
        <x:v>826</x:v>
      </x:c>
      <x:c r="M15" s="9" t="str">
        <x:v>Exact trained cell: prompt, count transition, and scene-object membership match; physical layout is not copied exactly.</x:v>
      </x:c>
      <x:c r="N15" s="9" t="n">
        <x:v>1</x:v>
      </x:c>
      <x:c r="O15" s="9" t="str">
        <x:v>Recreate the listed bowl/table membership from training episode 826.</x:v>
      </x:c>
      <x:c r="P15" s="9" t="str">
        <x:v>Exact trained count transition and scene-object membership. Any object that reaches the requested final count is acceptable.</x:v>
      </x:c>
      <x:c r="Q15" s="9"/>
      <x:c r="R15" s="10"/>
      <x:c r="S15" s="10"/>
      <x:c r="T15" s="9"/>
      <x:c r="U15" s="9"/>
      <x:c r="V15" s="9"/>
      <x:c r="W15" s="9" t="str">
        <x:v>ID-F01</x:v>
      </x:c>
      <x:c r="X15" s="10" t="n">
        <x:v>1</x:v>
      </x:c>
      <x:c r="Y15" s="10" t="n">
        <x:v>0</x:v>
      </x:c>
      <x:c r="Z15" s="9" t="str">
        <x:v>REMOVE</x:v>
      </x:c>
      <x:c r="AA15" s="9"/>
      <x:c r="AB15" s="9"/>
      <x:c r="AC15" s="9"/>
      <x:c r="AD15" s="9"/>
      <x:c r="AE15" s="9"/>
      <x:c r="AF15" s="9"/>
      <x:c r="AG15" s="9"/>
      <x:c r="AH15" s="9"/>
      <x:c r="AI15" s="11"/>
      <x:c r="AJ15" s="9"/>
      <x:c r="AK15" s="9" t="str">
        <x:v>Eval_Counting.xlsm</x:v>
      </x:c>
      <x:c r="AL15" s="9" t="str">
        <x:v>VLA0 Results</x:v>
      </x:c>
      <x:c r="AM15" s="9" t="n">
        <x:v>5</x:v>
      </x:c>
      <x:c r="AN15" s="9" t="n">
        <x:v>5</x:v>
      </x:c>
    </x:row>
    <x:row r="16">
      <x:c r="A16" s="9" t="str">
        <x:v>Failure</x:v>
      </x:c>
      <x:c r="B16" s="9" t="str">
        <x:v>Counting</x:v>
      </x:c>
      <x:c r="C16" s="10" t="n">
        <x:v>4</x:v>
      </x:c>
      <x:c r="D16" s="9" t="str">
        <x:v>Leave exactly one object in the bowl.</x:v>
      </x:c>
      <x:c r="E16" s="9" t="str">
        <x:v>Bowl objects: [none] | Table objects: [yellow block, blue pen]</x:v>
      </x:c>
      <x:c r="F16" s="9" t="str">
        <x:v>ADD any one table object; finish with 1 object in the bowl</x:v>
      </x:c>
      <x:c r="G16" s="9" t="str">
        <x:v>went to middle of workspace and couldn't grab anything</x:v>
      </x:c>
      <x:c r="H16" s="9" t="str">
        <x:v>In-distribution concept baseline</x:v>
      </x:c>
      <x:c r="I16" s="9" t="str">
        <x:v>ID-F02</x:v>
      </x:c>
      <x:c r="J16" s="9" t="str">
        <x:v>In-distribution: one via trained 0→1 addition</x:v>
      </x:c>
      <x:c r="K16" s="9"/>
      <x:c r="L16" s="9" t="str">
        <x:v>852</x:v>
      </x:c>
      <x:c r="M16" s="9" t="str">
        <x:v>Exact trained cell: prompt, count transition, and scene-object membership match; physical layout is not copied exactly.</x:v>
      </x:c>
      <x:c r="N16" s="9" t="n">
        <x:v>1</x:v>
      </x:c>
      <x:c r="O16" s="9" t="str">
        <x:v>Recreate the listed bowl/table membership from training episode 852.</x:v>
      </x:c>
      <x:c r="P16" s="9" t="str">
        <x:v>Exact trained count transition and scene-object membership. Any object that reaches the requested final count is acceptable.</x:v>
      </x:c>
      <x:c r="Q16" s="9"/>
      <x:c r="R16" s="10"/>
      <x:c r="S16" s="10"/>
      <x:c r="T16" s="9"/>
      <x:c r="U16" s="9"/>
      <x:c r="V16" s="9"/>
      <x:c r="W16" s="9" t="str">
        <x:v>ID-F02</x:v>
      </x:c>
      <x:c r="X16" s="10" t="n">
        <x:v>0</x:v>
      </x:c>
      <x:c r="Y16" s="10" t="n">
        <x:v>1</x:v>
      </x:c>
      <x:c r="Z16" s="9" t="str">
        <x:v>ADD</x:v>
      </x:c>
      <x:c r="AA16" s="9"/>
      <x:c r="AB16" s="9"/>
      <x:c r="AC16" s="9"/>
      <x:c r="AD16" s="9"/>
      <x:c r="AE16" s="9"/>
      <x:c r="AF16" s="9"/>
      <x:c r="AG16" s="9"/>
      <x:c r="AH16" s="9"/>
      <x:c r="AI16" s="11"/>
      <x:c r="AJ16" s="9"/>
      <x:c r="AK16" s="9" t="str">
        <x:v>Eval_Counting.xlsm</x:v>
      </x:c>
      <x:c r="AL16" s="9" t="str">
        <x:v>VLA0 Results</x:v>
      </x:c>
      <x:c r="AM16" s="9" t="n">
        <x:v>6</x:v>
      </x:c>
      <x:c r="AN16" s="9" t="n">
        <x:v>6</x:v>
      </x:c>
    </x:row>
    <x:row r="17">
      <x:c r="A17" s="9" t="str">
        <x:v>Failure</x:v>
      </x:c>
      <x:c r="B17" s="9" t="str">
        <x:v>Counting</x:v>
      </x:c>
      <x:c r="C17" s="10" t="n">
        <x:v>5</x:v>
      </x:c>
      <x:c r="D17" s="9" t="str">
        <x:v>Adjust the bowl so that it contains two objects.</x:v>
      </x:c>
      <x:c r="E17" s="9" t="str">
        <x:v>Bowl objects: [green pencil sharpener] | Table objects: [yellow block, airplane toy without propellers]</x:v>
      </x:c>
      <x:c r="F17" s="9" t="str">
        <x:v>ADD any one table object; finish with 2 objects in the bowl</x:v>
      </x:c>
      <x:c r="G17" s="9" t="str">
        <x:v>went to the yellow block, but couldn't grab it</x:v>
      </x:c>
      <x:c r="H17" s="9" t="str">
        <x:v>In-distribution concept baseline</x:v>
      </x:c>
      <x:c r="I17" s="9" t="str">
        <x:v>ID-F02</x:v>
      </x:c>
      <x:c r="J17" s="9" t="str">
        <x:v>In-distribution: two via trained 1→2 addition</x:v>
      </x:c>
      <x:c r="K17" s="9"/>
      <x:c r="L17" s="9" t="str">
        <x:v>859</x:v>
      </x:c>
      <x:c r="M17" s="9" t="str">
        <x:v>Exact trained cell: prompt, count transition, and scene-object membership match; physical layout is not copied exactly.</x:v>
      </x:c>
      <x:c r="N17" s="9" t="n">
        <x:v>1</x:v>
      </x:c>
      <x:c r="O17" s="9" t="str">
        <x:v>Recreate the listed bowl/table membership from training episode 859.</x:v>
      </x:c>
      <x:c r="P17" s="9" t="str">
        <x:v>Exact trained count transition and scene-object membership. Any object that reaches the requested final count is acceptable.</x:v>
      </x:c>
      <x:c r="Q17" s="9"/>
      <x:c r="R17" s="10"/>
      <x:c r="S17" s="10"/>
      <x:c r="T17" s="9"/>
      <x:c r="U17" s="9"/>
      <x:c r="V17" s="9"/>
      <x:c r="W17" s="9" t="str">
        <x:v>ID-F02</x:v>
      </x:c>
      <x:c r="X17" s="10" t="n">
        <x:v>1</x:v>
      </x:c>
      <x:c r="Y17" s="10" t="n">
        <x:v>2</x:v>
      </x:c>
      <x:c r="Z17" s="9" t="str">
        <x:v>ADD</x:v>
      </x:c>
      <x:c r="AA17" s="9"/>
      <x:c r="AB17" s="9"/>
      <x:c r="AC17" s="9"/>
      <x:c r="AD17" s="9"/>
      <x:c r="AE17" s="9"/>
      <x:c r="AF17" s="9"/>
      <x:c r="AG17" s="9"/>
      <x:c r="AH17" s="9"/>
      <x:c r="AI17" s="11"/>
      <x:c r="AJ17" s="9"/>
      <x:c r="AK17" s="9" t="str">
        <x:v>Eval_Counting.xlsm</x:v>
      </x:c>
      <x:c r="AL17" s="9" t="str">
        <x:v>VLA0 Results</x:v>
      </x:c>
      <x:c r="AM17" s="9" t="n">
        <x:v>7</x:v>
      </x:c>
      <x:c r="AN17" s="9" t="n">
        <x:v>7</x:v>
      </x:c>
    </x:row>
    <x:row r="18">
      <x:c r="A18" s="9" t="str">
        <x:v>Failure</x:v>
      </x:c>
      <x:c r="B18" s="9" t="str">
        <x:v>Counting</x:v>
      </x:c>
      <x:c r="C18" s="10" t="n">
        <x:v>6</x:v>
      </x:c>
      <x:c r="D18" s="9" t="str">
        <x:v>Leave exactly three objects in the bowl.</x:v>
      </x:c>
      <x:c r="E18" s="9" t="str">
        <x:v>Bowl objects: [yellow block, green pencil sharpener, airplane toy without propellers, blue pen] | Table objects: [none]</x:v>
      </x:c>
      <x:c r="F18" s="9" t="str">
        <x:v>REMOVE any one bowl object; finish with 3 objects in the bowl</x:v>
      </x:c>
      <x:c r="G18" s="9" t="str">
        <x:v>Went to bowl but couldn't grab anything</x:v>
      </x:c>
      <x:c r="H18" s="9" t="str">
        <x:v>In-distribution concept baseline</x:v>
      </x:c>
      <x:c r="I18" s="9" t="str">
        <x:v>ID-F02</x:v>
      </x:c>
      <x:c r="J18" s="9" t="str">
        <x:v>In-distribution: three via trained 4→3 removal</x:v>
      </x:c>
      <x:c r="K18" s="9"/>
      <x:c r="L18" s="9" t="str">
        <x:v>893</x:v>
      </x:c>
      <x:c r="M18" s="9" t="str">
        <x:v>Exact trained cell: prompt, count transition, and scene-object membership match; physical layout is not copied exactly.</x:v>
      </x:c>
      <x:c r="N18" s="9" t="n">
        <x:v>1</x:v>
      </x:c>
      <x:c r="O18" s="9" t="str">
        <x:v>Recreate the listed bowl/table membership from training episode 893.</x:v>
      </x:c>
      <x:c r="P18" s="9" t="str">
        <x:v>Exact trained count transition and scene-object membership. Any object that reaches the requested final count is acceptable.</x:v>
      </x:c>
      <x:c r="Q18" s="9"/>
      <x:c r="R18" s="10"/>
      <x:c r="S18" s="10"/>
      <x:c r="T18" s="9"/>
      <x:c r="U18" s="9"/>
      <x:c r="V18" s="9"/>
      <x:c r="W18" s="9" t="str">
        <x:v>ID-F02</x:v>
      </x:c>
      <x:c r="X18" s="10" t="n">
        <x:v>4</x:v>
      </x:c>
      <x:c r="Y18" s="10" t="n">
        <x:v>3</x:v>
      </x:c>
      <x:c r="Z18" s="9" t="str">
        <x:v>REMOVE</x:v>
      </x:c>
      <x:c r="AA18" s="9"/>
      <x:c r="AB18" s="9"/>
      <x:c r="AC18" s="9"/>
      <x:c r="AD18" s="9"/>
      <x:c r="AE18" s="9"/>
      <x:c r="AF18" s="9"/>
      <x:c r="AG18" s="9"/>
      <x:c r="AH18" s="9"/>
      <x:c r="AI18" s="11"/>
      <x:c r="AJ18" s="9"/>
      <x:c r="AK18" s="9" t="str">
        <x:v>Eval_Counting.xlsm</x:v>
      </x:c>
      <x:c r="AL18" s="9" t="str">
        <x:v>VLA0 Results</x:v>
      </x:c>
      <x:c r="AM18" s="9" t="n">
        <x:v>8</x:v>
      </x:c>
      <x:c r="AN18" s="9" t="n">
        <x:v>8</x:v>
      </x:c>
    </x:row>
    <x:row r="19">
      <x:c r="A19" s="9" t="str">
        <x:v>Failure</x:v>
      </x:c>
      <x:c r="B19" s="9" t="str">
        <x:v>Counting</x:v>
      </x:c>
      <x:c r="C19" s="10" t="n">
        <x:v>7</x:v>
      </x:c>
      <x:c r="D19" s="9" t="str">
        <x:v>Adjust the bowl so that it contains zero objects.</x:v>
      </x:c>
      <x:c r="E19" s="9" t="str">
        <x:v>Bowl objects: [yellow block] | Table objects: [blue pen]</x:v>
      </x:c>
      <x:c r="F19" s="9" t="str">
        <x:v>REMOVE the only bowl object; finish with 0 objects in the bowl</x:v>
      </x:c>
      <x:c r="G19" s="9" t="str">
        <x:v>didn't move</x:v>
      </x:c>
      <x:c r="H19" s="9" t="str">
        <x:v>In-distribution concept baseline</x:v>
      </x:c>
      <x:c r="I19" s="9" t="str">
        <x:v>ID-F02</x:v>
      </x:c>
      <x:c r="J19" s="9" t="str">
        <x:v>In-distribution: zero via trained 1→0 removal</x:v>
      </x:c>
      <x:c r="K19" s="9"/>
      <x:c r="L19" s="9" t="str">
        <x:v>878</x:v>
      </x:c>
      <x:c r="M19" s="9" t="str">
        <x:v>Exact trained cell: prompt, count transition, and scene-object membership match; physical layout is not copied exactly.</x:v>
      </x:c>
      <x:c r="N19" s="9" t="n">
        <x:v>1</x:v>
      </x:c>
      <x:c r="O19" s="9" t="str">
        <x:v>Recreate the listed bowl/table membership from training episode 878.</x:v>
      </x:c>
      <x:c r="P19" s="9" t="str">
        <x:v>Exact trained count transition and scene-object membership. Any object that reaches the requested final count is acceptable.</x:v>
      </x:c>
      <x:c r="Q19" s="9"/>
      <x:c r="R19" s="10"/>
      <x:c r="S19" s="10"/>
      <x:c r="T19" s="9"/>
      <x:c r="U19" s="9"/>
      <x:c r="V19" s="9"/>
      <x:c r="W19" s="9" t="str">
        <x:v>ID-F02</x:v>
      </x:c>
      <x:c r="X19" s="10" t="n">
        <x:v>1</x:v>
      </x:c>
      <x:c r="Y19" s="10" t="n">
        <x:v>0</x:v>
      </x:c>
      <x:c r="Z19" s="9" t="str">
        <x:v>REMOVE</x:v>
      </x:c>
      <x:c r="AA19" s="9"/>
      <x:c r="AB19" s="9"/>
      <x:c r="AC19" s="9"/>
      <x:c r="AD19" s="9"/>
      <x:c r="AE19" s="9"/>
      <x:c r="AF19" s="9"/>
      <x:c r="AG19" s="9"/>
      <x:c r="AH19" s="9"/>
      <x:c r="AI19" s="11"/>
      <x:c r="AJ19" s="9"/>
      <x:c r="AK19" s="9" t="str">
        <x:v>Eval_Counting.xlsm</x:v>
      </x:c>
      <x:c r="AL19" s="9" t="str">
        <x:v>VLA0 Results</x:v>
      </x:c>
      <x:c r="AM19" s="9" t="n">
        <x:v>9</x:v>
      </x:c>
      <x:c r="AN19" s="9" t="n">
        <x:v>9</x:v>
      </x:c>
    </x:row>
    <x:row r="20">
      <x:c r="A20" s="9" t="str">
        <x:v>Failure</x:v>
      </x:c>
      <x:c r="B20" s="9" t="str">
        <x:v>Counting</x:v>
      </x:c>
      <x:c r="C20" s="10" t="n">
        <x:v>8</x:v>
      </x:c>
      <x:c r="D20" s="9" t="str">
        <x:v>Leave exactly one object in the bowl.</x:v>
      </x:c>
      <x:c r="E20" s="9" t="str">
        <x:v>Bowl objects: [none] | Table objects: [green pencil sharpener, yellow block]</x:v>
      </x:c>
      <x:c r="F20" s="9" t="str">
        <x:v>ADD any one table object; finish with 1 object in the bowl</x:v>
      </x:c>
      <x:c r="G20" s="9" t="str">
        <x:v>went towards the yellow block which is on the right side of workspace but didn't grab it</x:v>
      </x:c>
      <x:c r="H20" s="9" t="str">
        <x:v>In-distribution concept baseline</x:v>
      </x:c>
      <x:c r="I20" s="9" t="str">
        <x:v>ID-F03</x:v>
      </x:c>
      <x:c r="J20" s="9" t="str">
        <x:v>In-distribution: one via trained 0→1 addition</x:v>
      </x:c>
      <x:c r="K20" s="9"/>
      <x:c r="L20" s="9" t="str">
        <x:v>902</x:v>
      </x:c>
      <x:c r="M20" s="9" t="str">
        <x:v>Exact trained cell: prompt, count transition, and scene-object membership match; physical layout is not copied exactly.</x:v>
      </x:c>
      <x:c r="N20" s="9" t="n">
        <x:v>1</x:v>
      </x:c>
      <x:c r="O20" s="9" t="str">
        <x:v>Recreate the listed bowl/table membership from training episode 902.</x:v>
      </x:c>
      <x:c r="P20" s="9" t="str">
        <x:v>Exact trained count transition and scene-object membership. Any object that reaches the requested final count is acceptable.</x:v>
      </x:c>
      <x:c r="Q20" s="9"/>
      <x:c r="R20" s="10"/>
      <x:c r="S20" s="10"/>
      <x:c r="T20" s="9"/>
      <x:c r="U20" s="9"/>
      <x:c r="V20" s="9"/>
      <x:c r="W20" s="9" t="str">
        <x:v>ID-F03</x:v>
      </x:c>
      <x:c r="X20" s="10" t="n">
        <x:v>0</x:v>
      </x:c>
      <x:c r="Y20" s="10" t="n">
        <x:v>1</x:v>
      </x:c>
      <x:c r="Z20" s="9" t="str">
        <x:v>ADD</x:v>
      </x:c>
      <x:c r="AA20" s="9"/>
      <x:c r="AB20" s="9"/>
      <x:c r="AC20" s="9"/>
      <x:c r="AD20" s="9"/>
      <x:c r="AE20" s="9"/>
      <x:c r="AF20" s="9"/>
      <x:c r="AG20" s="9"/>
      <x:c r="AH20" s="9"/>
      <x:c r="AI20" s="11"/>
      <x:c r="AJ20" s="9"/>
      <x:c r="AK20" s="9" t="str">
        <x:v>Eval_Counting.xlsm</x:v>
      </x:c>
      <x:c r="AL20" s="9" t="str">
        <x:v>VLA0 Results</x:v>
      </x:c>
      <x:c r="AM20" s="9" t="n">
        <x:v>10</x:v>
      </x:c>
      <x:c r="AN20" s="9" t="n">
        <x:v>10</x:v>
      </x:c>
    </x:row>
    <x:row r="21">
      <x:c r="A21" s="9" t="str">
        <x:v>Failure</x:v>
      </x:c>
      <x:c r="B21" s="9" t="str">
        <x:v>Counting</x:v>
      </x:c>
      <x:c r="C21" s="10" t="n">
        <x:v>9</x:v>
      </x:c>
      <x:c r="D21" s="9" t="str">
        <x:v>Adjust the bowl so that it contains two objects.</x:v>
      </x:c>
      <x:c r="E21" s="9" t="str">
        <x:v>Bowl objects: [blue pen] | Table objects: [green pencil sharpener, airplane toy without propellers]</x:v>
      </x:c>
      <x:c r="F21" s="9" t="str">
        <x:v>ADD any one table object; finish with 2 objects in the bowl</x:v>
      </x:c>
      <x:c r="G21" s="9" t="str">
        <x:v>went to airplane toy but couldn't grab it</x:v>
      </x:c>
      <x:c r="H21" s="9" t="str">
        <x:v>In-distribution concept baseline</x:v>
      </x:c>
      <x:c r="I21" s="9" t="str">
        <x:v>ID-F03</x:v>
      </x:c>
      <x:c r="J21" s="9" t="str">
        <x:v>In-distribution: two via trained 1→2 addition</x:v>
      </x:c>
      <x:c r="K21" s="9"/>
      <x:c r="L21" s="9" t="str">
        <x:v>909</x:v>
      </x:c>
      <x:c r="M21" s="9" t="str">
        <x:v>Exact trained cell: prompt, count transition, and scene-object membership match; physical layout is not copied exactly.</x:v>
      </x:c>
      <x:c r="N21" s="9" t="n">
        <x:v>1</x:v>
      </x:c>
      <x:c r="O21" s="9" t="str">
        <x:v>Recreate the listed bowl/table membership from training episode 909.</x:v>
      </x:c>
      <x:c r="P21" s="9" t="str">
        <x:v>Exact trained count transition and scene-object membership. Any object that reaches the requested final count is acceptable.</x:v>
      </x:c>
      <x:c r="Q21" s="9"/>
      <x:c r="R21" s="10"/>
      <x:c r="S21" s="10"/>
      <x:c r="T21" s="9"/>
      <x:c r="U21" s="9"/>
      <x:c r="V21" s="9"/>
      <x:c r="W21" s="9" t="str">
        <x:v>ID-F03</x:v>
      </x:c>
      <x:c r="X21" s="10" t="n">
        <x:v>1</x:v>
      </x:c>
      <x:c r="Y21" s="10" t="n">
        <x:v>2</x:v>
      </x:c>
      <x:c r="Z21" s="9" t="str">
        <x:v>ADD</x:v>
      </x:c>
      <x:c r="AA21" s="9"/>
      <x:c r="AB21" s="9"/>
      <x:c r="AC21" s="9"/>
      <x:c r="AD21" s="9"/>
      <x:c r="AE21" s="9"/>
      <x:c r="AF21" s="9"/>
      <x:c r="AG21" s="9"/>
      <x:c r="AH21" s="9"/>
      <x:c r="AI21" s="11"/>
      <x:c r="AJ21" s="9"/>
      <x:c r="AK21" s="9" t="str">
        <x:v>Eval_Counting.xlsm</x:v>
      </x:c>
      <x:c r="AL21" s="9" t="str">
        <x:v>VLA0 Results</x:v>
      </x:c>
      <x:c r="AM21" s="9" t="n">
        <x:v>11</x:v>
      </x:c>
      <x:c r="AN21" s="9" t="n">
        <x:v>11</x:v>
      </x:c>
    </x:row>
    <x:row r="22">
      <x:c r="A22" s="9" t="str">
        <x:v>Failure</x:v>
      </x:c>
      <x:c r="B22" s="9" t="str">
        <x:v>Ordinal Reference Ordering</x:v>
      </x:c>
      <x:c r="C22" s="10" t="n">
        <x:v>0</x:v>
      </x:c>
      <x:c r="D22" s="9" t="str">
        <x:v>Put the second object from the right in the bowl.</x:v>
      </x:c>
      <x:c r="E22" s="9" t="str">
        <x:v>L1: blue tape ball, L2: airplane toy with propellers</x:v>
      </x:c>
      <x:c r="F22" s="9" t="str">
        <x:v>blue tape ball</x:v>
      </x:c>
      <x:c r="G22" s="9" t="str">
        <x:v>just jittered around the home position</x:v>
      </x:c>
      <x:c r="H22" s="9" t="str">
        <x:v>In-distribution concept baseline</x:v>
      </x:c>
      <x:c r="I22" s="9" t="str">
        <x:v>ID-EXACT01</x:v>
      </x:c>
      <x:c r="J22" s="9" t="str">
        <x:v>Exact training recreation — source episode 658</x:v>
      </x:c>
      <x:c r="K22" s="9"/>
      <x:c r="L22" s="9"/>
      <x:c r="M22" s="9"/>
      <x:c r="N22" s="9" t="str">
        <x:v>1 — In-distribution baselines</x:v>
      </x:c>
      <x:c r="O22" s="9" t="str">
        <x:v>Independently recreate the prompt and ordered object list from training episode 658; do not reuse the preceding baseline scene.</x:v>
      </x:c>
      <x:c r="P22" s="9" t="str">
        <x:v>Exact final prompt and complete left-to-right object order from explicit training episode 658: blue tape ball | airplane toy with propellers.</x:v>
      </x:c>
      <x:c r="Q22" s="9"/>
      <x:c r="R22" s="10" t="n">
        <x:v>2</x:v>
      </x:c>
      <x:c r="S22" s="10"/>
      <x:c r="T22" s="9"/>
      <x:c r="U22" s="9"/>
      <x:c r="V22" s="9"/>
      <x:c r="W22" s="9" t="str">
        <x:v>None — independent exact training recreation</x:v>
      </x:c>
      <x:c r="X22" s="10"/>
      <x:c r="Y22" s="10"/>
      <x:c r="Z22" s="9"/>
      <x:c r="AA22" s="9" t="str">
        <x:v>L1</x:v>
      </x:c>
      <x:c r="AB22" s="9" t="str">
        <x:v>second from right</x:v>
      </x:c>
      <x:c r="AC22" s="9"/>
      <x:c r="AD22" s="9"/>
      <x:c r="AE22" s="9"/>
      <x:c r="AF22" s="9"/>
      <x:c r="AG22" s="9"/>
      <x:c r="AH22" s="9"/>
      <x:c r="AI22" s="11"/>
      <x:c r="AJ22" s="9"/>
      <x:c r="AK22" s="9" t="str">
        <x:v>Eval_Ordinal_Reference_Ordering.xlsm</x:v>
      </x:c>
      <x:c r="AL22" s="9" t="str">
        <x:v>VLA0</x:v>
      </x:c>
      <x:c r="AM22" s="9" t="n">
        <x:v>2</x:v>
      </x:c>
      <x:c r="AN22" s="9" t="n">
        <x:v>2</x:v>
      </x:c>
    </x:row>
    <x:row r="23">
      <x:c r="A23" s="9" t="str">
        <x:v>Failure</x:v>
      </x:c>
      <x:c r="B23" s="9" t="str">
        <x:v>Ordinal Reference Ordering</x:v>
      </x:c>
      <x:c r="C23" s="10" t="n">
        <x:v>1</x:v>
      </x:c>
      <x:c r="D23" s="9" t="str">
        <x:v>Put the second object from the left in the bowl.</x:v>
      </x:c>
      <x:c r="E23" s="9" t="str">
        <x:v>L1: blue tape ball, L2: airplane toy with propellers</x:v>
      </x:c>
      <x:c r="F23" s="9" t="str">
        <x:v>airplane toy with propellers</x:v>
      </x:c>
      <x:c r="G23" s="9" t="str">
        <x:v>went to airplane toy but didn't pick it up</x:v>
      </x:c>
      <x:c r="H23" s="9" t="str">
        <x:v>In-distribution concept baseline</x:v>
      </x:c>
      <x:c r="I23" s="9" t="str">
        <x:v>ID-EXACT02</x:v>
      </x:c>
      <x:c r="J23" s="9" t="str">
        <x:v>Exact training recreation — source episode 619</x:v>
      </x:c>
      <x:c r="K23" s="9"/>
      <x:c r="L23" s="9"/>
      <x:c r="M23" s="9"/>
      <x:c r="N23" s="9" t="str">
        <x:v>1 — In-distribution baselines</x:v>
      </x:c>
      <x:c r="O23" s="9" t="str">
        <x:v>Independently recreate the prompt and ordered object list from training episode 619; do not reuse the preceding baseline scene.</x:v>
      </x:c>
      <x:c r="P23" s="9" t="str">
        <x:v>Exact final prompt and complete left-to-right object order from explicit training episode 619: blue tape ball | airplane toy with propellers.</x:v>
      </x:c>
      <x:c r="Q23" s="9"/>
      <x:c r="R23" s="10" t="n">
        <x:v>2</x:v>
      </x:c>
      <x:c r="S23" s="10"/>
      <x:c r="T23" s="9"/>
      <x:c r="U23" s="9"/>
      <x:c r="V23" s="9"/>
      <x:c r="W23" s="9" t="str">
        <x:v>None — independent exact training recreation</x:v>
      </x:c>
      <x:c r="X23" s="10"/>
      <x:c r="Y23" s="10"/>
      <x:c r="Z23" s="9"/>
      <x:c r="AA23" s="9" t="str">
        <x:v>L2</x:v>
      </x:c>
      <x:c r="AB23" s="9" t="str">
        <x:v>second from left</x:v>
      </x:c>
      <x:c r="AC23" s="9"/>
      <x:c r="AD23" s="9"/>
      <x:c r="AE23" s="9"/>
      <x:c r="AF23" s="9"/>
      <x:c r="AG23" s="9"/>
      <x:c r="AH23" s="9"/>
      <x:c r="AI23" s="11"/>
      <x:c r="AJ23" s="9"/>
      <x:c r="AK23" s="9" t="str">
        <x:v>Eval_Ordinal_Reference_Ordering.xlsm</x:v>
      </x:c>
      <x:c r="AL23" s="9" t="str">
        <x:v>VLA0</x:v>
      </x:c>
      <x:c r="AM23" s="9" t="n">
        <x:v>3</x:v>
      </x:c>
      <x:c r="AN23" s="9" t="n">
        <x:v>3</x:v>
      </x:c>
    </x:row>
    <x:row r="24">
      <x:c r="A24" s="9" t="str">
        <x:v>Failure</x:v>
      </x:c>
      <x:c r="B24" s="9" t="str">
        <x:v>Ordinal Reference Ordering</x:v>
      </x:c>
      <x:c r="C24" s="10" t="n">
        <x:v>2</x:v>
      </x:c>
      <x:c r="D24" s="9" t="str">
        <x:v>Move the second item counted from the left into the bowl.</x:v>
      </x:c>
      <x:c r="E24" s="9" t="str">
        <x:v>L1: airplane toy with propellers, L2: green highlighter</x:v>
      </x:c>
      <x:c r="F24" s="9" t="str">
        <x:v>green highlighter</x:v>
      </x:c>
      <x:c r="G24" s="9" t="str">
        <x:v>went to airplane toy but didn't pick it up</x:v>
      </x:c>
      <x:c r="H24" s="9" t="str">
        <x:v>In-distribution concept baseline</x:v>
      </x:c>
      <x:c r="I24" s="9" t="str">
        <x:v>ID-EXACT03</x:v>
      </x:c>
      <x:c r="J24" s="9" t="str">
        <x:v>Exact training recreation — source episode 719</x:v>
      </x:c>
      <x:c r="K24" s="9"/>
      <x:c r="L24" s="9"/>
      <x:c r="M24" s="9"/>
      <x:c r="N24" s="9" t="str">
        <x:v>1 — In-distribution baselines</x:v>
      </x:c>
      <x:c r="O24" s="9" t="str">
        <x:v>Independently recreate the prompt and ordered object list from training episode 719; do not reuse the preceding baseline scene.</x:v>
      </x:c>
      <x:c r="P24" s="9" t="str">
        <x:v>Exact final prompt and complete left-to-right object order from explicit training episode 719: airplane toy with propellers | green highlighter.</x:v>
      </x:c>
      <x:c r="Q24" s="9"/>
      <x:c r="R24" s="10" t="n">
        <x:v>2</x:v>
      </x:c>
      <x:c r="S24" s="10"/>
      <x:c r="T24" s="9"/>
      <x:c r="U24" s="9"/>
      <x:c r="V24" s="9"/>
      <x:c r="W24" s="9" t="str">
        <x:v>None — independent exact training recreation</x:v>
      </x:c>
      <x:c r="X24" s="10"/>
      <x:c r="Y24" s="10"/>
      <x:c r="Z24" s="9"/>
      <x:c r="AA24" s="9" t="str">
        <x:v>L2</x:v>
      </x:c>
      <x:c r="AB24" s="9" t="str">
        <x:v>second from left</x:v>
      </x:c>
      <x:c r="AC24" s="9"/>
      <x:c r="AD24" s="9"/>
      <x:c r="AE24" s="9"/>
      <x:c r="AF24" s="9"/>
      <x:c r="AG24" s="9"/>
      <x:c r="AH24" s="9"/>
      <x:c r="AI24" s="11"/>
      <x:c r="AJ24" s="9"/>
      <x:c r="AK24" s="9" t="str">
        <x:v>Eval_Ordinal_Reference_Ordering.xlsm</x:v>
      </x:c>
      <x:c r="AL24" s="9" t="str">
        <x:v>VLA0</x:v>
      </x:c>
      <x:c r="AM24" s="9" t="n">
        <x:v>4</x:v>
      </x:c>
      <x:c r="AN24" s="9" t="n">
        <x:v>4</x:v>
      </x:c>
    </x:row>
    <x:row r="25">
      <x:c r="A25" s="9" t="str">
        <x:v>Failure</x:v>
      </x:c>
      <x:c r="B25" s="9" t="str">
        <x:v>Ordinal Reference Ordering</x:v>
      </x:c>
      <x:c r="C25" s="10" t="n">
        <x:v>3</x:v>
      </x:c>
      <x:c r="D25" s="9" t="str">
        <x:v>Move the second item counted from the right into the bowl.</x:v>
      </x:c>
      <x:c r="E25" s="9" t="str">
        <x:v>L1: yellow pen, L2: airplane toy with propellers</x:v>
      </x:c>
      <x:c r="F25" s="9" t="str">
        <x:v>yellow pen</x:v>
      </x:c>
      <x:c r="G25" s="9" t="str">
        <x:v>moved to middle of the workspace again</x:v>
      </x:c>
      <x:c r="H25" s="9" t="str">
        <x:v>In-distribution concept baseline</x:v>
      </x:c>
      <x:c r="I25" s="9" t="str">
        <x:v>ID-EXACT04</x:v>
      </x:c>
      <x:c r="J25" s="9" t="str">
        <x:v>Exact training recreation — source episode 758</x:v>
      </x:c>
      <x:c r="K25" s="9"/>
      <x:c r="L25" s="9"/>
      <x:c r="M25" s="9"/>
      <x:c r="N25" s="9" t="str">
        <x:v>1 — In-distribution baselines</x:v>
      </x:c>
      <x:c r="O25" s="9" t="str">
        <x:v>Independently recreate the prompt and ordered object list from training episode 758; do not reuse the preceding baseline scene.</x:v>
      </x:c>
      <x:c r="P25" s="9" t="str">
        <x:v>Exact final prompt and complete left-to-right object order from explicit training episode 758: yellow pen | airplane toy with propellers.</x:v>
      </x:c>
      <x:c r="Q25" s="9"/>
      <x:c r="R25" s="10" t="n">
        <x:v>2</x:v>
      </x:c>
      <x:c r="S25" s="10"/>
      <x:c r="T25" s="9"/>
      <x:c r="U25" s="9"/>
      <x:c r="V25" s="9"/>
      <x:c r="W25" s="9" t="str">
        <x:v>None — independent exact training recreation</x:v>
      </x:c>
      <x:c r="X25" s="10"/>
      <x:c r="Y25" s="10"/>
      <x:c r="Z25" s="9"/>
      <x:c r="AA25" s="9" t="str">
        <x:v>L1</x:v>
      </x:c>
      <x:c r="AB25" s="9" t="str">
        <x:v>second from right</x:v>
      </x:c>
      <x:c r="AC25" s="9"/>
      <x:c r="AD25" s="9"/>
      <x:c r="AE25" s="9"/>
      <x:c r="AF25" s="9"/>
      <x:c r="AG25" s="9"/>
      <x:c r="AH25" s="9"/>
      <x:c r="AI25" s="11"/>
      <x:c r="AJ25" s="9"/>
      <x:c r="AK25" s="9" t="str">
        <x:v>Eval_Ordinal_Reference_Ordering.xlsm</x:v>
      </x:c>
      <x:c r="AL25" s="9" t="str">
        <x:v>VLA0</x:v>
      </x:c>
      <x:c r="AM25" s="9" t="n">
        <x:v>5</x:v>
      </x:c>
      <x:c r="AN25" s="9" t="n">
        <x:v>5</x:v>
      </x:c>
    </x:row>
    <x:row r="26">
      <x:c r="A26" s="9" t="str">
        <x:v>Failure</x:v>
      </x:c>
      <x:c r="B26" s="9" t="str">
        <x:v>Ordinal Reference Ordering</x:v>
      </x:c>
      <x:c r="C26" s="10" t="n">
        <x:v>4</x:v>
      </x:c>
      <x:c r="D26" s="9" t="str">
        <x:v>Put the third object from the right in the bowl.</x:v>
      </x:c>
      <x:c r="E26" s="9" t="str">
        <x:v>L1: airplane toy with propellers, L2: yellow pen, L3: blue tape ball</x:v>
      </x:c>
      <x:c r="F26" s="9" t="str">
        <x:v>airplane toy with propellers</x:v>
      </x:c>
      <x:c r="G26" s="9" t="str">
        <x:v>went for yellow pen but didn't grasp it. seems to just be moving the arm to the middle of the workspace</x:v>
      </x:c>
      <x:c r="H26" s="9" t="str">
        <x:v>In-distribution concept baseline</x:v>
      </x:c>
      <x:c r="I26" s="9" t="str">
        <x:v>ID-EXACT05</x:v>
      </x:c>
      <x:c r="J26" s="9" t="str">
        <x:v>Exact training recreation — source episode 604</x:v>
      </x:c>
      <x:c r="K26" s="9"/>
      <x:c r="L26" s="9"/>
      <x:c r="M26" s="9"/>
      <x:c r="N26" s="9" t="str">
        <x:v>1 — In-distribution baselines</x:v>
      </x:c>
      <x:c r="O26" s="9" t="str">
        <x:v>Independently recreate the prompt and ordered object list from training episode 604; do not reuse the preceding baseline scene.</x:v>
      </x:c>
      <x:c r="P26" s="9" t="str">
        <x:v>Exact final prompt and complete left-to-right object order from explicit training episode 604: airplane toy with propellers | yellow pen | blue tape ball.</x:v>
      </x:c>
      <x:c r="Q26" s="9"/>
      <x:c r="R26" s="10" t="n">
        <x:v>3</x:v>
      </x:c>
      <x:c r="S26" s="10"/>
      <x:c r="T26" s="9"/>
      <x:c r="U26" s="9"/>
      <x:c r="V26" s="9"/>
      <x:c r="W26" s="9" t="str">
        <x:v>None — independent exact training recreation</x:v>
      </x:c>
      <x:c r="X26" s="10"/>
      <x:c r="Y26" s="10"/>
      <x:c r="Z26" s="9"/>
      <x:c r="AA26" s="9" t="str">
        <x:v>L1</x:v>
      </x:c>
      <x:c r="AB26" s="9" t="str">
        <x:v>third from right</x:v>
      </x:c>
      <x:c r="AC26" s="9"/>
      <x:c r="AD26" s="9"/>
      <x:c r="AE26" s="9"/>
      <x:c r="AF26" s="9"/>
      <x:c r="AG26" s="9"/>
      <x:c r="AH26" s="9"/>
      <x:c r="AI26" s="11"/>
      <x:c r="AJ26" s="9"/>
      <x:c r="AK26" s="9" t="str">
        <x:v>Eval_Ordinal_Reference_Ordering.xlsm</x:v>
      </x:c>
      <x:c r="AL26" s="9" t="str">
        <x:v>VLA0</x:v>
      </x:c>
      <x:c r="AM26" s="9" t="n">
        <x:v>6</x:v>
      </x:c>
      <x:c r="AN26" s="9" t="n">
        <x:v>6</x:v>
      </x:c>
    </x:row>
    <x:row r="27">
      <x:c r="A27" s="9" t="str">
        <x:v>Failure</x:v>
      </x:c>
      <x:c r="B27" s="9" t="str">
        <x:v>Ordinal Reference Ordering</x:v>
      </x:c>
      <x:c r="C27" s="10" t="n">
        <x:v>5</x:v>
      </x:c>
      <x:c r="D27" s="9" t="str">
        <x:v>Put the object that is first from the right in the bowl.</x:v>
      </x:c>
      <x:c r="E27" s="9" t="str">
        <x:v>L1: airplane toy with propellers, L2: green highlighter, L3: blue tape ball</x:v>
      </x:c>
      <x:c r="F27" s="9" t="str">
        <x:v>blue tape ball</x:v>
      </x:c>
      <x:c r="G27" s="9" t="str">
        <x:v>went for blue tape ball which actually wasn't in center of workspace; the green pen was in the center. couldn't pick up the tape ball</x:v>
      </x:c>
      <x:c r="H27" s="9" t="str">
        <x:v>In-distribution concept baseline</x:v>
      </x:c>
      <x:c r="I27" s="9" t="str">
        <x:v>ID-EXACT06</x:v>
      </x:c>
      <x:c r="J27" s="9" t="str">
        <x:v>Exact training recreation — source episode 679</x:v>
      </x:c>
      <x:c r="K27" s="9"/>
      <x:c r="L27" s="9"/>
      <x:c r="M27" s="9"/>
      <x:c r="N27" s="9" t="str">
        <x:v>1 — In-distribution baselines</x:v>
      </x:c>
      <x:c r="O27" s="9" t="str">
        <x:v>Independently recreate the prompt and ordered object list from training episode 679; do not reuse the preceding baseline scene.</x:v>
      </x:c>
      <x:c r="P27" s="9" t="str">
        <x:v>Exact final prompt and complete left-to-right object order from explicit training episode 679: airplane toy with propellers | green highlighter | blue tape ball.</x:v>
      </x:c>
      <x:c r="Q27" s="9"/>
      <x:c r="R27" s="10" t="n">
        <x:v>3</x:v>
      </x:c>
      <x:c r="S27" s="10"/>
      <x:c r="T27" s="9"/>
      <x:c r="U27" s="9"/>
      <x:c r="V27" s="9"/>
      <x:c r="W27" s="9" t="str">
        <x:v>None — independent exact training recreation</x:v>
      </x:c>
      <x:c r="X27" s="10"/>
      <x:c r="Y27" s="10"/>
      <x:c r="Z27" s="9"/>
      <x:c r="AA27" s="9" t="str">
        <x:v>L3</x:v>
      </x:c>
      <x:c r="AB27" s="9" t="str">
        <x:v>first from right</x:v>
      </x:c>
      <x:c r="AC27" s="9"/>
      <x:c r="AD27" s="9"/>
      <x:c r="AE27" s="9"/>
      <x:c r="AF27" s="9"/>
      <x:c r="AG27" s="9"/>
      <x:c r="AH27" s="9"/>
      <x:c r="AI27" s="11"/>
      <x:c r="AJ27" s="9"/>
      <x:c r="AK27" s="9" t="str">
        <x:v>Eval_Ordinal_Reference_Ordering.xlsm</x:v>
      </x:c>
      <x:c r="AL27" s="9" t="str">
        <x:v>VLA0</x:v>
      </x:c>
      <x:c r="AM27" s="9" t="n">
        <x:v>7</x:v>
      </x:c>
      <x:c r="AN27" s="9" t="n">
        <x:v>7</x:v>
      </x:c>
    </x:row>
    <x:row r="28">
      <x:c r="A28" s="9" t="str">
        <x:v>Failure</x:v>
      </x:c>
      <x:c r="B28" s="9" t="str">
        <x:v>Ordinal Reference Ordering</x:v>
      </x:c>
      <x:c r="C28" s="10" t="n">
        <x:v>6</x:v>
      </x:c>
      <x:c r="D28" s="9" t="str">
        <x:v>Put the object that is third from the left in the bowl.</x:v>
      </x:c>
      <x:c r="E28" s="9" t="str">
        <x:v>L1: green highlighter, L2: blue tape ball, L3: yellow pen</x:v>
      </x:c>
      <x:c r="F28" s="9" t="str">
        <x:v>yellow pen</x:v>
      </x:c>
      <x:c r="G28" s="9" t="str">
        <x:v>went to green highlighter but didn't pick it up</x:v>
      </x:c>
      <x:c r="H28" s="9" t="str">
        <x:v>In-distribution concept baseline</x:v>
      </x:c>
      <x:c r="I28" s="9" t="str">
        <x:v>ID-EXACT07</x:v>
      </x:c>
      <x:c r="J28" s="9" t="str">
        <x:v>Exact training recreation — source episode 784</x:v>
      </x:c>
      <x:c r="K28" s="9"/>
      <x:c r="L28" s="9"/>
      <x:c r="M28" s="9"/>
      <x:c r="N28" s="9" t="str">
        <x:v>1 — In-distribution baselines</x:v>
      </x:c>
      <x:c r="O28" s="9" t="str">
        <x:v>Independently recreate the prompt and ordered object list from training episode 784; do not reuse the preceding baseline scene.</x:v>
      </x:c>
      <x:c r="P28" s="9" t="str">
        <x:v>Exact final prompt and complete left-to-right object order from explicit training episode 784: green highlighter | blue tape ball | yellow pen.</x:v>
      </x:c>
      <x:c r="Q28" s="9"/>
      <x:c r="R28" s="10" t="n">
        <x:v>3</x:v>
      </x:c>
      <x:c r="S28" s="10"/>
      <x:c r="T28" s="9"/>
      <x:c r="U28" s="9"/>
      <x:c r="V28" s="9"/>
      <x:c r="W28" s="9" t="str">
        <x:v>None — independent exact training recreation</x:v>
      </x:c>
      <x:c r="X28" s="10"/>
      <x:c r="Y28" s="10"/>
      <x:c r="Z28" s="9"/>
      <x:c r="AA28" s="9" t="str">
        <x:v>L3</x:v>
      </x:c>
      <x:c r="AB28" s="9" t="str">
        <x:v>third from left</x:v>
      </x:c>
      <x:c r="AC28" s="9"/>
      <x:c r="AD28" s="9"/>
      <x:c r="AE28" s="9"/>
      <x:c r="AF28" s="9"/>
      <x:c r="AG28" s="9"/>
      <x:c r="AH28" s="9"/>
      <x:c r="AI28" s="11"/>
      <x:c r="AJ28" s="9"/>
      <x:c r="AK28" s="9" t="str">
        <x:v>Eval_Ordinal_Reference_Ordering.xlsm</x:v>
      </x:c>
      <x:c r="AL28" s="9" t="str">
        <x:v>VLA0</x:v>
      </x:c>
      <x:c r="AM28" s="9" t="n">
        <x:v>8</x:v>
      </x:c>
      <x:c r="AN28" s="9" t="n">
        <x:v>8</x:v>
      </x:c>
    </x:row>
    <x:row r="29">
      <x:c r="A29" s="9" t="str">
        <x:v>Failure</x:v>
      </x:c>
      <x:c r="B29" s="9" t="str">
        <x:v>Ordinal Reference Ordering</x:v>
      </x:c>
      <x:c r="C29" s="10" t="n">
        <x:v>7</x:v>
      </x:c>
      <x:c r="D29" s="9" t="str">
        <x:v>Put the first object from the left in the bowl.</x:v>
      </x:c>
      <x:c r="E29" s="9" t="str">
        <x:v>L1: green highlighter, L2: airplane toy with propellers, L3: blue tape ball</x:v>
      </x:c>
      <x:c r="F29" s="9" t="str">
        <x:v>green highlighter</x:v>
      </x:c>
      <x:c r="G29" s="9" t="str">
        <x:v>went towards the green highlighter, but couldn't pick it up</x:v>
      </x:c>
      <x:c r="H29" s="9" t="str">
        <x:v>In-distribution concept baseline</x:v>
      </x:c>
      <x:c r="I29" s="9" t="str">
        <x:v>ID-EXACT08</x:v>
      </x:c>
      <x:c r="J29" s="9" t="str">
        <x:v>Exact training recreation — source episode 706</x:v>
      </x:c>
      <x:c r="K29" s="9"/>
      <x:c r="L29" s="9"/>
      <x:c r="M29" s="9"/>
      <x:c r="N29" s="9" t="str">
        <x:v>1 — In-distribution baselines</x:v>
      </x:c>
      <x:c r="O29" s="9" t="str">
        <x:v>Independently recreate the prompt and ordered object list from training episode 706; do not reuse the preceding baseline scene.</x:v>
      </x:c>
      <x:c r="P29" s="9" t="str">
        <x:v>Exact final prompt and complete left-to-right object order from explicit training episode 706: green highlighter | airplane toy with propellers | blue tape ball.</x:v>
      </x:c>
      <x:c r="Q29" s="9"/>
      <x:c r="R29" s="10" t="n">
        <x:v>3</x:v>
      </x:c>
      <x:c r="S29" s="10"/>
      <x:c r="T29" s="9"/>
      <x:c r="U29" s="9"/>
      <x:c r="V29" s="9"/>
      <x:c r="W29" s="9" t="str">
        <x:v>None — independent exact training recreation</x:v>
      </x:c>
      <x:c r="X29" s="10"/>
      <x:c r="Y29" s="10"/>
      <x:c r="Z29" s="9"/>
      <x:c r="AA29" s="9" t="str">
        <x:v>L1</x:v>
      </x:c>
      <x:c r="AB29" s="9" t="str">
        <x:v>first from left</x:v>
      </x:c>
      <x:c r="AC29" s="9"/>
      <x:c r="AD29" s="9"/>
      <x:c r="AE29" s="9"/>
      <x:c r="AF29" s="9"/>
      <x:c r="AG29" s="9"/>
      <x:c r="AH29" s="9"/>
      <x:c r="AI29" s="11"/>
      <x:c r="AJ29" s="9"/>
      <x:c r="AK29" s="9" t="str">
        <x:v>Eval_Ordinal_Reference_Ordering.xlsm</x:v>
      </x:c>
      <x:c r="AL29" s="9" t="str">
        <x:v>VLA0</x:v>
      </x:c>
      <x:c r="AM29" s="9" t="n">
        <x:v>9</x:v>
      </x:c>
      <x:c r="AN29" s="9" t="n">
        <x:v>9</x:v>
      </x:c>
    </x:row>
    <x:row r="30">
      <x:c r="A30" s="9" t="str">
        <x:v>Failure</x:v>
      </x:c>
      <x:c r="B30" s="9" t="str">
        <x:v>Ordinal Reference Ordering</x:v>
      </x:c>
      <x:c r="C30" s="10" t="n">
        <x:v>8</x:v>
      </x:c>
      <x:c r="D30" s="9" t="str">
        <x:v>Put the fourth object from the right in the bowl.</x:v>
      </x:c>
      <x:c r="E30" s="9" t="str">
        <x:v>L1: blue tape ball, L2: green highlighter, L3: airplane toy with propellers, L4: yellow pen</x:v>
      </x:c>
      <x:c r="F30" s="9" t="str">
        <x:v>blue tape ball</x:v>
      </x:c>
      <x:c r="G30" s="9" t="str">
        <x:v>went for green highlighter/sort of towards the blue tape ball</x:v>
      </x:c>
      <x:c r="H30" s="9" t="str">
        <x:v>In-distribution concept baseline</x:v>
      </x:c>
      <x:c r="I30" s="9" t="str">
        <x:v>ID-EXACT09</x:v>
      </x:c>
      <x:c r="J30" s="9" t="str">
        <x:v>Exact training recreation — source episode 652</x:v>
      </x:c>
      <x:c r="K30" s="9"/>
      <x:c r="L30" s="9"/>
      <x:c r="M30" s="9"/>
      <x:c r="N30" s="9" t="str">
        <x:v>1 — In-distribution baselines</x:v>
      </x:c>
      <x:c r="O30" s="9" t="str">
        <x:v>Independently recreate the prompt and ordered object list from training episode 652; do not reuse the preceding baseline scene.</x:v>
      </x:c>
      <x:c r="P30" s="9" t="str">
        <x:v>Exact final prompt and complete left-to-right object order from explicit training episode 652: blue tape ball | green highlighter | airplane toy with propellers | yellow pen.</x:v>
      </x:c>
      <x:c r="Q30" s="9"/>
      <x:c r="R30" s="10" t="n">
        <x:v>4</x:v>
      </x:c>
      <x:c r="S30" s="10"/>
      <x:c r="T30" s="9"/>
      <x:c r="U30" s="9"/>
      <x:c r="V30" s="9"/>
      <x:c r="W30" s="9" t="str">
        <x:v>None — independent exact training recreation</x:v>
      </x:c>
      <x:c r="X30" s="10"/>
      <x:c r="Y30" s="10"/>
      <x:c r="Z30" s="9"/>
      <x:c r="AA30" s="9" t="str">
        <x:v>L1</x:v>
      </x:c>
      <x:c r="AB30" s="9" t="str">
        <x:v>fourth from right</x:v>
      </x:c>
      <x:c r="AC30" s="9"/>
      <x:c r="AD30" s="9"/>
      <x:c r="AE30" s="9"/>
      <x:c r="AF30" s="9"/>
      <x:c r="AG30" s="9"/>
      <x:c r="AH30" s="9"/>
      <x:c r="AI30" s="11"/>
      <x:c r="AJ30" s="9"/>
      <x:c r="AK30" s="9" t="str">
        <x:v>Eval_Ordinal_Reference_Ordering.xlsm</x:v>
      </x:c>
      <x:c r="AL30" s="9" t="str">
        <x:v>VLA0</x:v>
      </x:c>
      <x:c r="AM30" s="9" t="n">
        <x:v>10</x:v>
      </x:c>
      <x:c r="AN30" s="9" t="n">
        <x:v>10</x:v>
      </x:c>
    </x:row>
    <x:row r="31">
      <x:c r="A31" s="9" t="str">
        <x:v>Failure</x:v>
      </x:c>
      <x:c r="B31" s="9" t="str">
        <x:v>Ordinal Reference Ordering</x:v>
      </x:c>
      <x:c r="C31" s="10" t="n">
        <x:v>9</x:v>
      </x:c>
      <x:c r="D31" s="9" t="str">
        <x:v>Put the second object from the left in the bowl.</x:v>
      </x:c>
      <x:c r="E31" s="9" t="str">
        <x:v>L1: blue tape ball, L2: airplane toy with propellers, L3: yellow pen, L4: green highlighter</x:v>
      </x:c>
      <x:c r="F31" s="9" t="str">
        <x:v>airplane toy with propellers</x:v>
      </x:c>
      <x:c r="G31" s="9" t="str">
        <x:v>went towards airplane toy but didn't grasp it</x:v>
      </x:c>
      <x:c r="H31" s="9" t="str">
        <x:v>In-distribution concept baseline</x:v>
      </x:c>
      <x:c r="I31" s="9" t="str">
        <x:v>ID-EXACT10</x:v>
      </x:c>
      <x:c r="J31" s="9" t="str">
        <x:v>Exact training recreation — source episode 614</x:v>
      </x:c>
      <x:c r="K31" s="9"/>
      <x:c r="L31" s="9"/>
      <x:c r="M31" s="9"/>
      <x:c r="N31" s="9" t="str">
        <x:v>1 — In-distribution baselines</x:v>
      </x:c>
      <x:c r="O31" s="9" t="str">
        <x:v>Independently recreate the prompt and ordered object list from training episode 614; do not reuse the preceding baseline scene.</x:v>
      </x:c>
      <x:c r="P31" s="9" t="str">
        <x:v>Exact final prompt and complete left-to-right object order from explicit training episode 614: blue tape ball | airplane toy with propellers | yellow pen | green highlighter.</x:v>
      </x:c>
      <x:c r="Q31" s="9"/>
      <x:c r="R31" s="10" t="n">
        <x:v>4</x:v>
      </x:c>
      <x:c r="S31" s="10"/>
      <x:c r="T31" s="9"/>
      <x:c r="U31" s="9"/>
      <x:c r="V31" s="9"/>
      <x:c r="W31" s="9" t="str">
        <x:v>None — independent exact training recreation</x:v>
      </x:c>
      <x:c r="X31" s="10"/>
      <x:c r="Y31" s="10"/>
      <x:c r="Z31" s="9"/>
      <x:c r="AA31" s="9" t="str">
        <x:v>L2</x:v>
      </x:c>
      <x:c r="AB31" s="9" t="str">
        <x:v>second from left</x:v>
      </x:c>
      <x:c r="AC31" s="9"/>
      <x:c r="AD31" s="9"/>
      <x:c r="AE31" s="9"/>
      <x:c r="AF31" s="9"/>
      <x:c r="AG31" s="9"/>
      <x:c r="AH31" s="9"/>
      <x:c r="AI31" s="11"/>
      <x:c r="AJ31" s="9"/>
      <x:c r="AK31" s="9" t="str">
        <x:v>Eval_Ordinal_Reference_Ordering.xlsm</x:v>
      </x:c>
      <x:c r="AL31" s="9" t="str">
        <x:v>VLA0</x:v>
      </x:c>
      <x:c r="AM31" s="9" t="n">
        <x:v>11</x:v>
      </x:c>
      <x:c r="AN31" s="9" t="n">
        <x:v>11</x:v>
      </x:c>
    </x:row>
    <x:row r="32">
      <x:c r="A32" s="9" t="str">
        <x:v>Failure</x:v>
      </x:c>
      <x:c r="B32" s="9" t="str">
        <x:v>Relational Placement</x:v>
      </x:c>
      <x:c r="C32" s="10" t="n">
        <x:v>0</x:v>
      </x:c>
      <x:c r="D32" s="9" t="str">
        <x:v>Move the green pen to the front of the pink marker.</x:v>
      </x:c>
      <x:c r="E32" s="9" t="str">
        <x:v>green pen, pink marker, red block</x:v>
      </x:c>
      <x:c r="F32" s="9" t="str">
        <x:v>green pen → 2–8 cm edge gap in front of pink marker; centroid direction within ±45°.</x:v>
      </x:c>
      <x:c r="G32" s="9" t="str">
        <x:v>went for red block but didn't even pick it up</x:v>
      </x:c>
      <x:c r="H32" s="9" t="str">
        <x:v>In-distribution concept baseline</x:v>
      </x:c>
      <x:c r="I32" s="9" t="str">
        <x:v>RP-ID-CF01</x:v>
      </x:c>
      <x:c r="J32" s="9" t="str">
        <x:v>Four-way trained-cell counterfactual: front/behind polarity × target/reference role</x:v>
      </x:c>
      <x:c r="K32" s="9"/>
      <x:c r="L32" s="9" t="str">
        <x:v>204</x:v>
      </x:c>
      <x:c r="M32" s="9"/>
      <x:c r="N32" s="9"/>
      <x:c r="O32" s="9" t="str">
        <x:v>Build the listed neutral scene and save the first frame.</x:v>
      </x:c>
      <x:c r="P32" s="9" t="str">
        <x:v>Exact explicitly trained ordered relation-object cell from training episode 204. The four adjacent prompts share one initially unsatisfied scene.</x:v>
      </x:c>
      <x:c r="Q32" s="9"/>
      <x:c r="R32" s="10" t="n">
        <x:v>3</x:v>
      </x:c>
      <x:c r="S32" s="10"/>
      <x:c r="T32" s="9"/>
      <x:c r="U32" s="9"/>
      <x:c r="V32" s="9"/>
      <x:c r="W32" s="9"/>
      <x:c r="X32" s="10"/>
      <x:c r="Y32" s="10"/>
      <x:c r="Z32" s="9"/>
      <x:c r="AA32" s="9"/>
      <x:c r="AB32" s="9"/>
      <x:c r="AC32" s="9" t="str">
        <x:v>front</x:v>
      </x:c>
      <x:c r="AD32" s="9" t="str">
        <x:v>green pen</x:v>
      </x:c>
      <x:c r="AE32" s="9" t="str">
        <x:v>pink marker</x:v>
      </x:c>
      <x:c r="AF32" s="9" t="str">
        <x:v>None</x:v>
      </x:c>
      <x:c r="AG32" s="9"/>
      <x:c r="AH32" s="9"/>
      <x:c r="AI32" s="11"/>
      <x:c r="AJ32" s="9"/>
      <x:c r="AK32" s="9" t="str">
        <x:v>Eval_Relational_Placement (1).xlsm</x:v>
      </x:c>
      <x:c r="AL32" s="9" t="str">
        <x:v>VLA0</x:v>
      </x:c>
      <x:c r="AM32" s="9" t="n">
        <x:v>2</x:v>
      </x:c>
      <x:c r="AN32" s="9" t="n">
        <x:v>2</x:v>
      </x:c>
    </x:row>
    <x:row r="33">
      <x:c r="A33" s="9" t="str">
        <x:v>Failure</x:v>
      </x:c>
      <x:c r="B33" s="9" t="str">
        <x:v>Relational Placement</x:v>
      </x:c>
      <x:c r="C33" s="10" t="n">
        <x:v>1</x:v>
      </x:c>
      <x:c r="D33" s="9" t="str">
        <x:v>Move the green pen to the back of the pink marker.</x:v>
      </x:c>
      <x:c r="E33" s="9" t="str">
        <x:v>green pen, pink marker, red block</x:v>
      </x:c>
      <x:c r="F33" s="9" t="str">
        <x:v>green pen → 2–8 cm edge gap behind pink marker; centroid direction within ±45°.</x:v>
      </x:c>
      <x:c r="G33" s="9" t="str">
        <x:v>didn't move</x:v>
      </x:c>
      <x:c r="H33" s="9" t="str">
        <x:v>In-distribution concept baseline</x:v>
      </x:c>
      <x:c r="I33" s="9" t="str">
        <x:v>RP-ID-CF01</x:v>
      </x:c>
      <x:c r="J33" s="9" t="str">
        <x:v>Four-way trained-cell counterfactual: front/behind polarity × target/reference role</x:v>
      </x:c>
      <x:c r="K33" s="9" t="n">
        <x:v>0</x:v>
      </x:c>
      <x:c r="L33" s="9" t="str">
        <x:v>217</x:v>
      </x:c>
      <x:c r="M33" s="9"/>
      <x:c r="N33" s="9"/>
      <x:c r="O33" s="9" t="str">
        <x:v>Reset the moved object to its marked pose; preserve the exact scene and change only the instruction.</x:v>
      </x:c>
      <x:c r="P33" s="9" t="str">
        <x:v>Exact explicitly trained ordered relation-object cell from training episode 217. The four adjacent prompts share one initially unsatisfied scene.</x:v>
      </x:c>
      <x:c r="Q33" s="9"/>
      <x:c r="R33" s="10" t="n">
        <x:v>3</x:v>
      </x:c>
      <x:c r="S33" s="10"/>
      <x:c r="T33" s="9"/>
      <x:c r="U33" s="9"/>
      <x:c r="V33" s="9"/>
      <x:c r="W33" s="9"/>
      <x:c r="X33" s="10"/>
      <x:c r="Y33" s="10"/>
      <x:c r="Z33" s="9"/>
      <x:c r="AA33" s="9"/>
      <x:c r="AB33" s="9"/>
      <x:c r="AC33" s="9" t="str">
        <x:v>behind</x:v>
      </x:c>
      <x:c r="AD33" s="9" t="str">
        <x:v>green pen</x:v>
      </x:c>
      <x:c r="AE33" s="9" t="str">
        <x:v>pink marker</x:v>
      </x:c>
      <x:c r="AF33" s="9" t="str">
        <x:v>None</x:v>
      </x:c>
      <x:c r="AG33" s="9"/>
      <x:c r="AH33" s="9"/>
      <x:c r="AI33" s="11"/>
      <x:c r="AJ33" s="9"/>
      <x:c r="AK33" s="9" t="str">
        <x:v>Eval_Relational_Placement (1).xlsm</x:v>
      </x:c>
      <x:c r="AL33" s="9" t="str">
        <x:v>VLA0</x:v>
      </x:c>
      <x:c r="AM33" s="9" t="n">
        <x:v>3</x:v>
      </x:c>
      <x:c r="AN33" s="9" t="n">
        <x:v>3</x:v>
      </x:c>
    </x:row>
    <x:row r="34">
      <x:c r="A34" s="9" t="str">
        <x:v>Failure</x:v>
      </x:c>
      <x:c r="B34" s="9" t="str">
        <x:v>Relational Placement</x:v>
      </x:c>
      <x:c r="C34" s="10" t="n">
        <x:v>2</x:v>
      </x:c>
      <x:c r="D34" s="9" t="str">
        <x:v>Move the pink marker to the front of the green pen.</x:v>
      </x:c>
      <x:c r="E34" s="9" t="str">
        <x:v>green pen, pink marker, red block</x:v>
      </x:c>
      <x:c r="F34" s="9" t="str">
        <x:v>pink marker → 2–8 cm edge gap in front of green pen; centroid direction within ±45°.</x:v>
      </x:c>
      <x:c r="G34" s="9" t="str">
        <x:v>went for red block again; didn't move it or anything</x:v>
      </x:c>
      <x:c r="H34" s="9" t="str">
        <x:v>In-distribution concept baseline</x:v>
      </x:c>
      <x:c r="I34" s="9" t="str">
        <x:v>RP-ID-CF01</x:v>
      </x:c>
      <x:c r="J34" s="9" t="str">
        <x:v>Four-way trained-cell counterfactual: front/behind polarity × target/reference role</x:v>
      </x:c>
      <x:c r="K34" s="9" t="n">
        <x:v>0</x:v>
      </x:c>
      <x:c r="L34" s="9" t="str">
        <x:v>305</x:v>
      </x:c>
      <x:c r="M34" s="9"/>
      <x:c r="N34" s="9"/>
      <x:c r="O34" s="9" t="str">
        <x:v>Reset the moved object to its marked pose; preserve the exact scene and change only the instruction.</x:v>
      </x:c>
      <x:c r="P34" s="9" t="str">
        <x:v>Exact explicitly trained ordered relation-object cell from training episode 305. The four adjacent prompts share one initially unsatisfied scene.</x:v>
      </x:c>
      <x:c r="Q34" s="9"/>
      <x:c r="R34" s="10" t="n">
        <x:v>3</x:v>
      </x:c>
      <x:c r="S34" s="10"/>
      <x:c r="T34" s="9"/>
      <x:c r="U34" s="9"/>
      <x:c r="V34" s="9"/>
      <x:c r="W34" s="9"/>
      <x:c r="X34" s="10"/>
      <x:c r="Y34" s="10"/>
      <x:c r="Z34" s="9"/>
      <x:c r="AA34" s="9"/>
      <x:c r="AB34" s="9"/>
      <x:c r="AC34" s="9" t="str">
        <x:v>front</x:v>
      </x:c>
      <x:c r="AD34" s="9" t="str">
        <x:v>pink marker</x:v>
      </x:c>
      <x:c r="AE34" s="9" t="str">
        <x:v>green pen</x:v>
      </x:c>
      <x:c r="AF34" s="9" t="str">
        <x:v>None</x:v>
      </x:c>
      <x:c r="AG34" s="9"/>
      <x:c r="AH34" s="9"/>
      <x:c r="AI34" s="11"/>
      <x:c r="AJ34" s="9"/>
      <x:c r="AK34" s="9" t="str">
        <x:v>Eval_Relational_Placement (1).xlsm</x:v>
      </x:c>
      <x:c r="AL34" s="9" t="str">
        <x:v>VLA0</x:v>
      </x:c>
      <x:c r="AM34" s="9" t="n">
        <x:v>4</x:v>
      </x:c>
      <x:c r="AN34" s="9" t="n">
        <x:v>4</x:v>
      </x:c>
    </x:row>
    <x:row r="35">
      <x:c r="A35" s="9" t="str">
        <x:v>Failure</x:v>
      </x:c>
      <x:c r="B35" s="9" t="str">
        <x:v>Relational Placement</x:v>
      </x:c>
      <x:c r="C35" s="10" t="n">
        <x:v>3</x:v>
      </x:c>
      <x:c r="D35" s="9" t="str">
        <x:v>Move the pink marker to the back of the green pen.</x:v>
      </x:c>
      <x:c r="E35" s="9" t="str">
        <x:v>green pen, pink marker, red block</x:v>
      </x:c>
      <x:c r="F35" s="9" t="str">
        <x:v>pink marker → 2–8 cm edge gap behind green pen; centroid direction within ±45°.</x:v>
      </x:c>
      <x:c r="G35" s="9" t="str">
        <x:v>kind of jittered around home</x:v>
      </x:c>
      <x:c r="H35" s="9" t="str">
        <x:v>In-distribution concept baseline</x:v>
      </x:c>
      <x:c r="I35" s="9" t="str">
        <x:v>RP-ID-CF01</x:v>
      </x:c>
      <x:c r="J35" s="9" t="str">
        <x:v>Four-way trained-cell counterfactual: front/behind polarity × target/reference role</x:v>
      </x:c>
      <x:c r="K35" s="9" t="n">
        <x:v>0</x:v>
      </x:c>
      <x:c r="L35" s="9" t="str">
        <x:v>317</x:v>
      </x:c>
      <x:c r="M35" s="9"/>
      <x:c r="N35" s="9"/>
      <x:c r="O35" s="9" t="str">
        <x:v>Reset the moved object to its marked pose; preserve the exact scene and change only the instruction.</x:v>
      </x:c>
      <x:c r="P35" s="9" t="str">
        <x:v>Exact explicitly trained ordered relation-object cell from training episode 317. The four adjacent prompts share one initially unsatisfied scene.</x:v>
      </x:c>
      <x:c r="Q35" s="9"/>
      <x:c r="R35" s="10" t="n">
        <x:v>3</x:v>
      </x:c>
      <x:c r="S35" s="10"/>
      <x:c r="T35" s="9"/>
      <x:c r="U35" s="9"/>
      <x:c r="V35" s="9"/>
      <x:c r="W35" s="9"/>
      <x:c r="X35" s="10"/>
      <x:c r="Y35" s="10"/>
      <x:c r="Z35" s="9"/>
      <x:c r="AA35" s="9"/>
      <x:c r="AB35" s="9"/>
      <x:c r="AC35" s="9" t="str">
        <x:v>behind</x:v>
      </x:c>
      <x:c r="AD35" s="9" t="str">
        <x:v>pink marker</x:v>
      </x:c>
      <x:c r="AE35" s="9" t="str">
        <x:v>green pen</x:v>
      </x:c>
      <x:c r="AF35" s="9" t="str">
        <x:v>None</x:v>
      </x:c>
      <x:c r="AG35" s="9"/>
      <x:c r="AH35" s="9"/>
      <x:c r="AI35" s="11"/>
      <x:c r="AJ35" s="9"/>
      <x:c r="AK35" s="9" t="str">
        <x:v>Eval_Relational_Placement (1).xlsm</x:v>
      </x:c>
      <x:c r="AL35" s="9" t="str">
        <x:v>VLA0</x:v>
      </x:c>
      <x:c r="AM35" s="9" t="n">
        <x:v>5</x:v>
      </x:c>
      <x:c r="AN35" s="9" t="n">
        <x:v>5</x:v>
      </x:c>
    </x:row>
    <x:row r="36">
      <x:c r="A36" s="9" t="str">
        <x:v>Failure</x:v>
      </x:c>
      <x:c r="B36" s="9" t="str">
        <x:v>Relational Placement</x:v>
      </x:c>
      <x:c r="C36" s="10" t="n">
        <x:v>4</x:v>
      </x:c>
      <x:c r="D36" s="9" t="str">
        <x:v>Move the green pen to the front of the blue block.</x:v>
      </x:c>
      <x:c r="E36" s="9" t="str">
        <x:v>green pen, blue block, pink marker, red block</x:v>
      </x:c>
      <x:c r="F36" s="9" t="str">
        <x:v>green pen → 2–8 cm edge gap in front of blue block; centroid direction within ±45°.</x:v>
      </x:c>
      <x:c r="G36" s="9" t="str">
        <x:v>went for pink pen but didn't pick it </x:v>
      </x:c>
      <x:c r="H36" s="9" t="str">
        <x:v>In-distribution concept baseline</x:v>
      </x:c>
      <x:c r="I36" s="9" t="str">
        <x:v>RP-ID-CF02</x:v>
      </x:c>
      <x:c r="J36" s="9" t="str">
        <x:v>Four-way trained-cell counterfactual: front/behind polarity × target/reference role</x:v>
      </x:c>
      <x:c r="K36" s="9"/>
      <x:c r="L36" s="9" t="str">
        <x:v>208</x:v>
      </x:c>
      <x:c r="M36" s="9"/>
      <x:c r="N36" s="9"/>
      <x:c r="O36" s="9" t="str">
        <x:v>Build the listed neutral scene and save the first frame.</x:v>
      </x:c>
      <x:c r="P36" s="9" t="str">
        <x:v>Exact explicitly trained ordered relation-object cell from training episode 208. The four adjacent prompts share one initially unsatisfied scene.</x:v>
      </x:c>
      <x:c r="Q36" s="9"/>
      <x:c r="R36" s="10" t="n">
        <x:v>4</x:v>
      </x:c>
      <x:c r="S36" s="10"/>
      <x:c r="T36" s="9"/>
      <x:c r="U36" s="9"/>
      <x:c r="V36" s="9"/>
      <x:c r="W36" s="9"/>
      <x:c r="X36" s="10"/>
      <x:c r="Y36" s="10"/>
      <x:c r="Z36" s="9"/>
      <x:c r="AA36" s="9"/>
      <x:c r="AB36" s="9"/>
      <x:c r="AC36" s="9" t="str">
        <x:v>front</x:v>
      </x:c>
      <x:c r="AD36" s="9" t="str">
        <x:v>green pen</x:v>
      </x:c>
      <x:c r="AE36" s="9" t="str">
        <x:v>blue block</x:v>
      </x:c>
      <x:c r="AF36" s="9" t="str">
        <x:v>None</x:v>
      </x:c>
      <x:c r="AG36" s="9"/>
      <x:c r="AH36" s="9"/>
      <x:c r="AI36" s="11"/>
      <x:c r="AJ36" s="9"/>
      <x:c r="AK36" s="9" t="str">
        <x:v>Eval_Relational_Placement (1).xlsm</x:v>
      </x:c>
      <x:c r="AL36" s="9" t="str">
        <x:v>VLA0</x:v>
      </x:c>
      <x:c r="AM36" s="9" t="n">
        <x:v>6</x:v>
      </x:c>
      <x:c r="AN36" s="9" t="n">
        <x:v>6</x:v>
      </x:c>
    </x:row>
    <x:row r="37">
      <x:c r="A37" s="9" t="str">
        <x:v>Failure</x:v>
      </x:c>
      <x:c r="B37" s="9" t="str">
        <x:v>Relational Placement</x:v>
      </x:c>
      <x:c r="C37" s="10" t="n">
        <x:v>5</x:v>
      </x:c>
      <x:c r="D37" s="9" t="str">
        <x:v>Move the green pen to the back of the blue block.</x:v>
      </x:c>
      <x:c r="E37" s="9" t="str">
        <x:v>green pen, blue block, pink marker, red block</x:v>
      </x:c>
      <x:c r="F37" s="9" t="str">
        <x:v>green pen → 2–8 cm edge gap behind blue block; centroid direction within ±45°.</x:v>
      </x:c>
      <x:c r="G37" s="9" t="str">
        <x:v>similar trajectory as before</x:v>
      </x:c>
      <x:c r="H37" s="9" t="str">
        <x:v>In-distribution concept baseline</x:v>
      </x:c>
      <x:c r="I37" s="9" t="str">
        <x:v>RP-ID-CF02</x:v>
      </x:c>
      <x:c r="J37" s="9" t="str">
        <x:v>Four-way trained-cell counterfactual: front/behind polarity × target/reference role</x:v>
      </x:c>
      <x:c r="K37" s="9" t="n">
        <x:v>4</x:v>
      </x:c>
      <x:c r="L37" s="9" t="str">
        <x:v>221</x:v>
      </x:c>
      <x:c r="M37" s="9"/>
      <x:c r="N37" s="9"/>
      <x:c r="O37" s="9" t="str">
        <x:v>Reset the moved object to its marked pose; preserve the exact scene and change only the instruction.</x:v>
      </x:c>
      <x:c r="P37" s="9" t="str">
        <x:v>Exact explicitly trained ordered relation-object cell from training episode 221. The four adjacent prompts share one initially unsatisfied scene.</x:v>
      </x:c>
      <x:c r="Q37" s="9"/>
      <x:c r="R37" s="10" t="n">
        <x:v>4</x:v>
      </x:c>
      <x:c r="S37" s="10"/>
      <x:c r="T37" s="9"/>
      <x:c r="U37" s="9"/>
      <x:c r="V37" s="9"/>
      <x:c r="W37" s="9"/>
      <x:c r="X37" s="10"/>
      <x:c r="Y37" s="10"/>
      <x:c r="Z37" s="9"/>
      <x:c r="AA37" s="9"/>
      <x:c r="AB37" s="9"/>
      <x:c r="AC37" s="9" t="str">
        <x:v>behind</x:v>
      </x:c>
      <x:c r="AD37" s="9" t="str">
        <x:v>green pen</x:v>
      </x:c>
      <x:c r="AE37" s="9" t="str">
        <x:v>blue block</x:v>
      </x:c>
      <x:c r="AF37" s="9" t="str">
        <x:v>None</x:v>
      </x:c>
      <x:c r="AG37" s="9"/>
      <x:c r="AH37" s="9"/>
      <x:c r="AI37" s="11"/>
      <x:c r="AJ37" s="9"/>
      <x:c r="AK37" s="9" t="str">
        <x:v>Eval_Relational_Placement (1).xlsm</x:v>
      </x:c>
      <x:c r="AL37" s="9" t="str">
        <x:v>VLA0</x:v>
      </x:c>
      <x:c r="AM37" s="9" t="n">
        <x:v>7</x:v>
      </x:c>
      <x:c r="AN37" s="9" t="n">
        <x:v>7</x:v>
      </x:c>
    </x:row>
    <x:row r="38">
      <x:c r="A38" s="9" t="str">
        <x:v>Failure</x:v>
      </x:c>
      <x:c r="B38" s="9" t="str">
        <x:v>Relational Placement</x:v>
      </x:c>
      <x:c r="C38" s="10" t="n">
        <x:v>6</x:v>
      </x:c>
      <x:c r="D38" s="9" t="str">
        <x:v>Put the blue block on the table in front of the green pen.</x:v>
      </x:c>
      <x:c r="E38" s="9" t="str">
        <x:v>green pen, blue block, pink marker, red block</x:v>
      </x:c>
      <x:c r="F38" s="9" t="str">
        <x:v>blue block → 2–8 cm edge gap in front of green pen; centroid direction within ±45°.</x:v>
      </x:c>
      <x:c r="G38" s="9" t="str">
        <x:v>went to green pen then returned home</x:v>
      </x:c>
      <x:c r="H38" s="9" t="str">
        <x:v>In-distribution concept baseline</x:v>
      </x:c>
      <x:c r="I38" s="9" t="str">
        <x:v>RP-ID-CF02</x:v>
      </x:c>
      <x:c r="J38" s="9" t="str">
        <x:v>Four-way trained-cell counterfactual: front/behind polarity × target/reference role</x:v>
      </x:c>
      <x:c r="K38" s="9" t="n">
        <x:v>4</x:v>
      </x:c>
      <x:c r="L38" s="9" t="str">
        <x:v>350</x:v>
      </x:c>
      <x:c r="M38" s="9"/>
      <x:c r="N38" s="9"/>
      <x:c r="O38" s="9" t="str">
        <x:v>Reset the moved object to its marked pose; preserve the exact scene and change only the instruction.</x:v>
      </x:c>
      <x:c r="P38" s="9" t="str">
        <x:v>Exact explicitly trained ordered relation-object cell from training episode 350. The four adjacent prompts share one initially unsatisfied scene.</x:v>
      </x:c>
      <x:c r="Q38" s="9"/>
      <x:c r="R38" s="10" t="n">
        <x:v>4</x:v>
      </x:c>
      <x:c r="S38" s="10"/>
      <x:c r="T38" s="9"/>
      <x:c r="U38" s="9"/>
      <x:c r="V38" s="9"/>
      <x:c r="W38" s="9"/>
      <x:c r="X38" s="10"/>
      <x:c r="Y38" s="10"/>
      <x:c r="Z38" s="9"/>
      <x:c r="AA38" s="9"/>
      <x:c r="AB38" s="9"/>
      <x:c r="AC38" s="9" t="str">
        <x:v>front</x:v>
      </x:c>
      <x:c r="AD38" s="9" t="str">
        <x:v>blue block</x:v>
      </x:c>
      <x:c r="AE38" s="9" t="str">
        <x:v>green pen</x:v>
      </x:c>
      <x:c r="AF38" s="9" t="str">
        <x:v>None</x:v>
      </x:c>
      <x:c r="AG38" s="9"/>
      <x:c r="AH38" s="9"/>
      <x:c r="AI38" s="11"/>
      <x:c r="AJ38" s="9"/>
      <x:c r="AK38" s="9" t="str">
        <x:v>Eval_Relational_Placement (1).xlsm</x:v>
      </x:c>
      <x:c r="AL38" s="9" t="str">
        <x:v>VLA0</x:v>
      </x:c>
      <x:c r="AM38" s="9" t="n">
        <x:v>8</x:v>
      </x:c>
      <x:c r="AN38" s="9" t="n">
        <x:v>8</x:v>
      </x:c>
    </x:row>
    <x:row r="39">
      <x:c r="A39" s="9" t="str">
        <x:v>Failure</x:v>
      </x:c>
      <x:c r="B39" s="9" t="str">
        <x:v>Relational Placement</x:v>
      </x:c>
      <x:c r="C39" s="10" t="n">
        <x:v>7</x:v>
      </x:c>
      <x:c r="D39" s="9" t="str">
        <x:v>Put the blue block on the table behind the green pen.</x:v>
      </x:c>
      <x:c r="E39" s="9" t="str">
        <x:v>green pen, blue block, pink marker, red block</x:v>
      </x:c>
      <x:c r="F39" s="9" t="str">
        <x:v>blue block → 2–8 cm edge gap behind green pen; centroid direction within ±45°.</x:v>
      </x:c>
      <x:c r="G39" s="9" t="str">
        <x:v>didn't move</x:v>
      </x:c>
      <x:c r="H39" s="9" t="str">
        <x:v>In-distribution concept baseline</x:v>
      </x:c>
      <x:c r="I39" s="9" t="str">
        <x:v>RP-ID-CF02</x:v>
      </x:c>
      <x:c r="J39" s="9" t="str">
        <x:v>Four-way trained-cell counterfactual: front/behind polarity × target/reference role</x:v>
      </x:c>
      <x:c r="K39" s="9" t="n">
        <x:v>4</x:v>
      </x:c>
      <x:c r="L39" s="9" t="str">
        <x:v>362</x:v>
      </x:c>
      <x:c r="M39" s="9"/>
      <x:c r="N39" s="9"/>
      <x:c r="O39" s="9" t="str">
        <x:v>Reset the moved object to its marked pose; preserve the exact scene and change only the instruction.</x:v>
      </x:c>
      <x:c r="P39" s="9" t="str">
        <x:v>Exact explicitly trained ordered relation-object cell from training episode 362. The four adjacent prompts share one initially unsatisfied scene.</x:v>
      </x:c>
      <x:c r="Q39" s="9"/>
      <x:c r="R39" s="10" t="n">
        <x:v>4</x:v>
      </x:c>
      <x:c r="S39" s="10"/>
      <x:c r="T39" s="9"/>
      <x:c r="U39" s="9"/>
      <x:c r="V39" s="9"/>
      <x:c r="W39" s="9"/>
      <x:c r="X39" s="10"/>
      <x:c r="Y39" s="10"/>
      <x:c r="Z39" s="9"/>
      <x:c r="AA39" s="9"/>
      <x:c r="AB39" s="9"/>
      <x:c r="AC39" s="9" t="str">
        <x:v>behind</x:v>
      </x:c>
      <x:c r="AD39" s="9" t="str">
        <x:v>blue block</x:v>
      </x:c>
      <x:c r="AE39" s="9" t="str">
        <x:v>green pen</x:v>
      </x:c>
      <x:c r="AF39" s="9" t="str">
        <x:v>None</x:v>
      </x:c>
      <x:c r="AG39" s="9"/>
      <x:c r="AH39" s="9"/>
      <x:c r="AI39" s="11"/>
      <x:c r="AJ39" s="9"/>
      <x:c r="AK39" s="9" t="str">
        <x:v>Eval_Relational_Placement (1).xlsm</x:v>
      </x:c>
      <x:c r="AL39" s="9" t="str">
        <x:v>VLA0</x:v>
      </x:c>
      <x:c r="AM39" s="9" t="n">
        <x:v>9</x:v>
      </x:c>
      <x:c r="AN39" s="9" t="n">
        <x:v>9</x:v>
      </x:c>
    </x:row>
    <x:row r="40">
      <x:c r="A40" s="9" t="str">
        <x:v>Failure</x:v>
      </x:c>
      <x:c r="B40" s="9" t="str">
        <x:v>Relational Placement</x:v>
      </x:c>
      <x:c r="C40" s="10" t="n">
        <x:v>8</x:v>
      </x:c>
      <x:c r="D40" s="9" t="str">
        <x:v>Place the red block to the left of the pink marker.</x:v>
      </x:c>
      <x:c r="E40" s="9" t="str">
        <x:v>red block, pink marker, blue block</x:v>
      </x:c>
      <x:c r="F40" s="9" t="str">
        <x:v>red block → 2–8 cm edge gap to the left of pink marker; centroid direction within ±45°.</x:v>
      </x:c>
      <x:c r="G40" s="9" t="str">
        <x:v>was gripping around the middle of the workspace; between blue and red block; did move towards the blue block; but couldn't pick it up</x:v>
      </x:c>
      <x:c r="H40" s="9" t="str">
        <x:v>In-distribution concept baseline</x:v>
      </x:c>
      <x:c r="I40" s="9" t="str">
        <x:v>RP-ID-CF03</x:v>
      </x:c>
      <x:c r="J40" s="9" t="str">
        <x:v>Four-way trained-cell counterfactual: left/right polarity × target/reference role</x:v>
      </x:c>
      <x:c r="K40" s="9"/>
      <x:c r="L40" s="9" t="str">
        <x:v>275</x:v>
      </x:c>
      <x:c r="M40" s="9"/>
      <x:c r="N40" s="9"/>
      <x:c r="O40" s="9" t="str">
        <x:v>Build the listed neutral scene and save the first frame.</x:v>
      </x:c>
      <x:c r="P40" s="9" t="str">
        <x:v>Exact explicitly trained ordered relation-object cell from training episode 275. The four adjacent prompts share one initially unsatisfied scene.</x:v>
      </x:c>
      <x:c r="Q40" s="9"/>
      <x:c r="R40" s="10" t="n">
        <x:v>3</x:v>
      </x:c>
      <x:c r="S40" s="10"/>
      <x:c r="T40" s="9"/>
      <x:c r="U40" s="9"/>
      <x:c r="V40" s="9"/>
      <x:c r="W40" s="9"/>
      <x:c r="X40" s="10"/>
      <x:c r="Y40" s="10"/>
      <x:c r="Z40" s="9"/>
      <x:c r="AA40" s="9"/>
      <x:c r="AB40" s="9"/>
      <x:c r="AC40" s="9" t="str">
        <x:v>left</x:v>
      </x:c>
      <x:c r="AD40" s="9" t="str">
        <x:v>red block</x:v>
      </x:c>
      <x:c r="AE40" s="9" t="str">
        <x:v>pink marker</x:v>
      </x:c>
      <x:c r="AF40" s="9" t="str">
        <x:v>None</x:v>
      </x:c>
      <x:c r="AG40" s="9"/>
      <x:c r="AH40" s="9"/>
      <x:c r="AI40" s="11"/>
      <x:c r="AJ40" s="9"/>
      <x:c r="AK40" s="9" t="str">
        <x:v>Eval_Relational_Placement (1).xlsm</x:v>
      </x:c>
      <x:c r="AL40" s="9" t="str">
        <x:v>VLA0</x:v>
      </x:c>
      <x:c r="AM40" s="9" t="n">
        <x:v>10</x:v>
      </x:c>
      <x:c r="AN40" s="9" t="n">
        <x:v>10</x:v>
      </x:c>
    </x:row>
    <x:row r="41">
      <x:c r="A41" s="9" t="str">
        <x:v>Failure</x:v>
      </x:c>
      <x:c r="B41" s="9" t="str">
        <x:v>Relational Placement</x:v>
      </x:c>
      <x:c r="C41" s="10" t="n">
        <x:v>9</x:v>
      </x:c>
      <x:c r="D41" s="9" t="str">
        <x:v>Place the red block to the right of the pink marker.</x:v>
      </x:c>
      <x:c r="E41" s="9" t="str">
        <x:v>red block, pink marker, blue block</x:v>
      </x:c>
      <x:c r="F41" s="9" t="str">
        <x:v>red block → 2–8 cm edge gap to the right of pink marker; centroid direction within ±45°.</x:v>
      </x:c>
      <x:c r="G41" s="9" t="str">
        <x:v>went for blue block</x:v>
      </x:c>
      <x:c r="H41" s="9" t="str">
        <x:v>In-distribution concept baseline</x:v>
      </x:c>
      <x:c r="I41" s="9" t="str">
        <x:v>RP-ID-CF03</x:v>
      </x:c>
      <x:c r="J41" s="9" t="str">
        <x:v>Four-way trained-cell counterfactual: left/right polarity × target/reference role</x:v>
      </x:c>
      <x:c r="K41" s="9" t="n">
        <x:v>8</x:v>
      </x:c>
      <x:c r="L41" s="9" t="str">
        <x:v>287</x:v>
      </x:c>
      <x:c r="M41" s="9"/>
      <x:c r="N41" s="9"/>
      <x:c r="O41" s="9" t="str">
        <x:v>Reset the moved object to its marked pose; preserve the exact scene and change only the instruction.</x:v>
      </x:c>
      <x:c r="P41" s="9" t="str">
        <x:v>Exact explicitly trained ordered relation-object cell from training episode 287. The four adjacent prompts share one initially unsatisfied scene.</x:v>
      </x:c>
      <x:c r="Q41" s="9"/>
      <x:c r="R41" s="10" t="n">
        <x:v>3</x:v>
      </x:c>
      <x:c r="S41" s="10"/>
      <x:c r="T41" s="9"/>
      <x:c r="U41" s="9"/>
      <x:c r="V41" s="9"/>
      <x:c r="W41" s="9"/>
      <x:c r="X41" s="10"/>
      <x:c r="Y41" s="10"/>
      <x:c r="Z41" s="9"/>
      <x:c r="AA41" s="9"/>
      <x:c r="AB41" s="9"/>
      <x:c r="AC41" s="9" t="str">
        <x:v>right</x:v>
      </x:c>
      <x:c r="AD41" s="9" t="str">
        <x:v>red block</x:v>
      </x:c>
      <x:c r="AE41" s="9" t="str">
        <x:v>pink marker</x:v>
      </x:c>
      <x:c r="AF41" s="9" t="str">
        <x:v>None</x:v>
      </x:c>
      <x:c r="AG41" s="9"/>
      <x:c r="AH41" s="9"/>
      <x:c r="AI41" s="11"/>
      <x:c r="AJ41" s="9"/>
      <x:c r="AK41" s="9" t="str">
        <x:v>Eval_Relational_Placement (1).xlsm</x:v>
      </x:c>
      <x:c r="AL41" s="9" t="str">
        <x:v>VLA0</x:v>
      </x:c>
      <x:c r="AM41" s="9" t="n">
        <x:v>11</x:v>
      </x:c>
      <x:c r="AN41" s="9" t="n">
        <x:v>11</x:v>
      </x:c>
    </x:row>
    <x:row r="42">
      <x:c r="A42" s="9" t="str">
        <x:v>Failure</x:v>
      </x:c>
      <x:c r="B42" s="9" t="str">
        <x:v>Relational Placement</x:v>
      </x:c>
      <x:c r="C42" s="10" t="n">
        <x:v>10</x:v>
      </x:c>
      <x:c r="D42" s="9" t="str">
        <x:v>Place the pink marker to the left of the red block.</x:v>
      </x:c>
      <x:c r="E42" s="9" t="str">
        <x:v>red block, pink marker, blue block</x:v>
      </x:c>
      <x:c r="F42" s="9" t="str">
        <x:v>pink marker → 2–8 cm edge gap to the left of red block; centroid direction within ±45°.</x:v>
      </x:c>
      <x:c r="G42" s="9" t="str">
        <x:v>went for red block but couldn't pick it</x:v>
      </x:c>
      <x:c r="H42" s="9" t="str">
        <x:v>In-distribution concept baseline</x:v>
      </x:c>
      <x:c r="I42" s="9" t="str">
        <x:v>RP-ID-CF03</x:v>
      </x:c>
      <x:c r="J42" s="9" t="str">
        <x:v>Four-way trained-cell counterfactual: left/right polarity × target/reference role</x:v>
      </x:c>
      <x:c r="K42" s="9" t="n">
        <x:v>8</x:v>
      </x:c>
      <x:c r="L42" s="9" t="str">
        <x:v>333</x:v>
      </x:c>
      <x:c r="M42" s="9"/>
      <x:c r="N42" s="9"/>
      <x:c r="O42" s="9" t="str">
        <x:v>Reset the moved object to its marked pose; preserve the exact scene and change only the instruction.</x:v>
      </x:c>
      <x:c r="P42" s="9" t="str">
        <x:v>Exact explicitly trained ordered relation-object cell from training episode 333. The four adjacent prompts share one initially unsatisfied scene.</x:v>
      </x:c>
      <x:c r="Q42" s="9"/>
      <x:c r="R42" s="10" t="n">
        <x:v>3</x:v>
      </x:c>
      <x:c r="S42" s="10"/>
      <x:c r="T42" s="9"/>
      <x:c r="U42" s="9"/>
      <x:c r="V42" s="9"/>
      <x:c r="W42" s="9"/>
      <x:c r="X42" s="10"/>
      <x:c r="Y42" s="10"/>
      <x:c r="Z42" s="9"/>
      <x:c r="AA42" s="9"/>
      <x:c r="AB42" s="9"/>
      <x:c r="AC42" s="9" t="str">
        <x:v>left</x:v>
      </x:c>
      <x:c r="AD42" s="9" t="str">
        <x:v>pink marker</x:v>
      </x:c>
      <x:c r="AE42" s="9" t="str">
        <x:v>red block</x:v>
      </x:c>
      <x:c r="AF42" s="9" t="str">
        <x:v>None</x:v>
      </x:c>
      <x:c r="AG42" s="9"/>
      <x:c r="AH42" s="9"/>
      <x:c r="AI42" s="11"/>
      <x:c r="AJ42" s="9"/>
      <x:c r="AK42" s="9" t="str">
        <x:v>Eval_Relational_Placement (1).xlsm</x:v>
      </x:c>
      <x:c r="AL42" s="9" t="str">
        <x:v>VLA0</x:v>
      </x:c>
      <x:c r="AM42" s="9" t="n">
        <x:v>12</x:v>
      </x:c>
      <x:c r="AN42" s="9" t="n">
        <x:v>12</x:v>
      </x:c>
    </x:row>
    <x:row r="43">
      <x:c r="A43" s="9" t="str">
        <x:v>Failure</x:v>
      </x:c>
      <x:c r="B43" s="9" t="str">
        <x:v>Relational Placement</x:v>
      </x:c>
      <x:c r="C43" s="10" t="n">
        <x:v>11</x:v>
      </x:c>
      <x:c r="D43" s="9" t="str">
        <x:v>Place the pink marker to the right of the red block.</x:v>
      </x:c>
      <x:c r="E43" s="9" t="str">
        <x:v>red block, pink marker, blue block</x:v>
      </x:c>
      <x:c r="F43" s="9" t="str">
        <x:v>pink marker → 2–8 cm edge gap to the right of red block; centroid direction within ±45°.</x:v>
      </x:c>
      <x:c r="G43" s="9" t="str">
        <x:v>didn't move</x:v>
      </x:c>
      <x:c r="H43" s="9" t="str">
        <x:v>In-distribution concept baseline</x:v>
      </x:c>
      <x:c r="I43" s="9" t="str">
        <x:v>RP-ID-CF03</x:v>
      </x:c>
      <x:c r="J43" s="9" t="str">
        <x:v>Four-way trained-cell counterfactual: left/right polarity × target/reference role</x:v>
      </x:c>
      <x:c r="K43" s="9" t="n">
        <x:v>8</x:v>
      </x:c>
      <x:c r="L43" s="9" t="str">
        <x:v>346</x:v>
      </x:c>
      <x:c r="M43" s="9"/>
      <x:c r="N43" s="9"/>
      <x:c r="O43" s="9" t="str">
        <x:v>Reset the moved object to its marked pose; preserve the exact scene and change only the instruction.</x:v>
      </x:c>
      <x:c r="P43" s="9" t="str">
        <x:v>Exact explicitly trained ordered relation-object cell from training episode 346. The four adjacent prompts share one initially unsatisfied scene.</x:v>
      </x:c>
      <x:c r="Q43" s="9"/>
      <x:c r="R43" s="10" t="n">
        <x:v>3</x:v>
      </x:c>
      <x:c r="S43" s="10"/>
      <x:c r="T43" s="9"/>
      <x:c r="U43" s="9"/>
      <x:c r="V43" s="9"/>
      <x:c r="W43" s="9"/>
      <x:c r="X43" s="10"/>
      <x:c r="Y43" s="10"/>
      <x:c r="Z43" s="9"/>
      <x:c r="AA43" s="9"/>
      <x:c r="AB43" s="9"/>
      <x:c r="AC43" s="9" t="str">
        <x:v>right</x:v>
      </x:c>
      <x:c r="AD43" s="9" t="str">
        <x:v>pink marker</x:v>
      </x:c>
      <x:c r="AE43" s="9" t="str">
        <x:v>red block</x:v>
      </x:c>
      <x:c r="AF43" s="9" t="str">
        <x:v>None</x:v>
      </x:c>
      <x:c r="AG43" s="9"/>
      <x:c r="AH43" s="9"/>
      <x:c r="AI43" s="11"/>
      <x:c r="AJ43" s="9"/>
      <x:c r="AK43" s="9" t="str">
        <x:v>Eval_Relational_Placement (1).xlsm</x:v>
      </x:c>
      <x:c r="AL43" s="9" t="str">
        <x:v>VLA0</x:v>
      </x:c>
      <x:c r="AM43" s="9" t="n">
        <x:v>13</x:v>
      </x:c>
      <x:c r="AN43" s="9" t="n">
        <x:v>13</x:v>
      </x:c>
    </x:row>
    <x:row r="44">
      <x:c r="A44" s="9" t="str">
        <x:v>Failure</x:v>
      </x:c>
      <x:c r="B44" s="9" t="str">
        <x:v>Referential Disambiguation</x:v>
      </x:c>
      <x:c r="C44" s="10" t="n">
        <x:v>0</x:v>
      </x:c>
      <x:c r="D44" s="9" t="str">
        <x:v>Move the crushed soda can lying between the green pencil sharpener and the green pen into the bowl.</x:v>
      </x:c>
      <x:c r="E44" s="9" t="str">
        <x:v>crushed Coke can; crushed Pepsi can; green pencil sharpener; green pen</x:v>
      </x:c>
      <x:c r="F44" s="9" t="str">
        <x:v>crushed Coke can</x:v>
      </x:c>
      <x:c r="G44" s="9" t="str">
        <x:v>moved wrist up a bit but didn't move to a can </x:v>
      </x:c>
      <x:c r="H44" s="9" t="str">
        <x:v>In-distribution concept baseline</x:v>
      </x:c>
      <x:c r="I44" s="9" t="str">
        <x:v>RD-ID01</x:v>
      </x:c>
      <x:c r="J44" s="9" t="str">
        <x:v>Exact training-supported relation × candidate-category baseline</x:v>
      </x:c>
      <x:c r="K44" s="9"/>
      <x:c r="L44" s="9" t="str">
        <x:v>430</x:v>
      </x:c>
      <x:c r="M44" s="9" t="str">
        <x:v>Exact manifest cell: prompt, relation × candidate-category combination, target identity, and object membership are explicitly represented in training; physical positions are manually recreated with a clear margin.</x:v>
      </x:c>
      <x:c r="N44" s="9" t="n">
        <x:v>1</x:v>
      </x:c>
      <x:c r="O44" s="9" t="str">
        <x:v>Place the 4 listed objects. Arrange Expected Target as the unique answer to the prompt; keep the bowl empty.</x:v>
      </x:c>
      <x:c r="P44" s="9" t="str">
        <x:v>The relation, candidate category, target identity, and object membership occur together in the cited training episode.</x:v>
      </x:c>
      <x:c r="Q44" s="9"/>
      <x:c r="R44" s="10" t="n">
        <x:v>4</x:v>
      </x:c>
      <x:c r="S44" s="10" t="n">
        <x:v>1</x:v>
      </x:c>
      <x:c r="T44" s="9" t="str">
        <x:v>Empty</x:v>
      </x:c>
      <x:c r="U44" s="9"/>
      <x:c r="V44" s="9"/>
      <x:c r="W44" s="9"/>
      <x:c r="X44" s="10"/>
      <x:c r="Y44" s="10"/>
      <x:c r="Z44" s="9"/>
      <x:c r="AA44" s="9"/>
      <x:c r="AB44" s="9" t="str">
        <x:v>between</x:v>
      </x:c>
      <x:c r="AC44" s="9"/>
      <x:c r="AD44" s="9"/>
      <x:c r="AE44" s="9"/>
      <x:c r="AF44" s="9"/>
      <x:c r="AG44" s="9" t="str">
        <x:v>crushed soda can</x:v>
      </x:c>
      <x:c r="AH44" s="9"/>
      <x:c r="AI44" s="11"/>
      <x:c r="AJ44" s="9"/>
      <x:c r="AK44" s="9" t="str">
        <x:v>Eval_Referential_Disambiguation.xlsm</x:v>
      </x:c>
      <x:c r="AL44" s="9" t="str">
        <x:v>VLA0 Results</x:v>
      </x:c>
      <x:c r="AM44" s="9" t="n">
        <x:v>2</x:v>
      </x:c>
      <x:c r="AN44" s="9" t="n">
        <x:v>2</x:v>
      </x:c>
    </x:row>
    <x:row r="45">
      <x:c r="A45" s="9" t="str">
        <x:v>Failure</x:v>
      </x:c>
      <x:c r="B45" s="9" t="str">
        <x:v>Referential Disambiguation</x:v>
      </x:c>
      <x:c r="C45" s="10" t="n">
        <x:v>1</x:v>
      </x:c>
      <x:c r="D45" s="9" t="str">
        <x:v>Pick up the crushed soda can positioned between the airplane toy with propellers and the green pen, then place it in the bowl.</x:v>
      </x:c>
      <x:c r="E45" s="9" t="str">
        <x:v>crushed Coke can; crushed Pepsi can; airplane toy with propellers; green pen; green pencil sharpener</x:v>
      </x:c>
      <x:c r="F45" s="9" t="str">
        <x:v>crushed Coke can</x:v>
      </x:c>
      <x:c r="G45" s="9" t="str">
        <x:v>went to coke can, but didn't open gripper to actually grab it; stayed pretty still when it was by the coke can </x:v>
      </x:c>
      <x:c r="H45" s="9" t="str">
        <x:v>In-distribution concept baseline</x:v>
      </x:c>
      <x:c r="I45" s="9" t="str">
        <x:v>RD-ID02</x:v>
      </x:c>
      <x:c r="J45" s="9" t="str">
        <x:v>Exact training-supported relation × candidate-category baseline</x:v>
      </x:c>
      <x:c r="K45" s="9"/>
      <x:c r="L45" s="9" t="str">
        <x:v>432</x:v>
      </x:c>
      <x:c r="M45" s="9" t="str">
        <x:v>Exact manifest cell: prompt, relation × candidate-category combination, target identity, and object membership are explicitly represented in training; physical positions are manually recreated with a clear margin.</x:v>
      </x:c>
      <x:c r="N45" s="9" t="n">
        <x:v>1</x:v>
      </x:c>
      <x:c r="O45" s="9" t="str">
        <x:v>Place the 5 listed objects. Arrange Expected Target as the unique answer to the prompt; keep the bowl empty.</x:v>
      </x:c>
      <x:c r="P45" s="9" t="str">
        <x:v>The relation, candidate category, target identity, and object membership occur together in the cited training episode.</x:v>
      </x:c>
      <x:c r="Q45" s="9"/>
      <x:c r="R45" s="10" t="n">
        <x:v>5</x:v>
      </x:c>
      <x:c r="S45" s="10" t="n">
        <x:v>1</x:v>
      </x:c>
      <x:c r="T45" s="9" t="str">
        <x:v>Empty</x:v>
      </x:c>
      <x:c r="U45" s="9"/>
      <x:c r="V45" s="9"/>
      <x:c r="W45" s="9"/>
      <x:c r="X45" s="10"/>
      <x:c r="Y45" s="10"/>
      <x:c r="Z45" s="9"/>
      <x:c r="AA45" s="9"/>
      <x:c r="AB45" s="9" t="str">
        <x:v>between</x:v>
      </x:c>
      <x:c r="AC45" s="9"/>
      <x:c r="AD45" s="9"/>
      <x:c r="AE45" s="9"/>
      <x:c r="AF45" s="9"/>
      <x:c r="AG45" s="9" t="str">
        <x:v>crushed soda can</x:v>
      </x:c>
      <x:c r="AH45" s="9"/>
      <x:c r="AI45" s="11"/>
      <x:c r="AJ45" s="9"/>
      <x:c r="AK45" s="9" t="str">
        <x:v>Eval_Referential_Disambiguation.xlsm</x:v>
      </x:c>
      <x:c r="AL45" s="9" t="str">
        <x:v>VLA0 Results</x:v>
      </x:c>
      <x:c r="AM45" s="9" t="n">
        <x:v>3</x:v>
      </x:c>
      <x:c r="AN45" s="9" t="n">
        <x:v>3</x:v>
      </x:c>
    </x:row>
    <x:row r="46">
      <x:c r="A46" s="9" t="str">
        <x:v>Failure</x:v>
      </x:c>
      <x:c r="B46" s="9" t="str">
        <x:v>Referential Disambiguation</x:v>
      </x:c>
      <x:c r="C46" s="10" t="n">
        <x:v>2</x:v>
      </x:c>
      <x:c r="D46" s="9" t="str">
        <x:v>Pick up the crushed soda can positioned between the airplane toy with propellers and the green pencil sharpener, then place it in the bowl.</x:v>
      </x:c>
      <x:c r="E46" s="9" t="str">
        <x:v>crushed Coke can; crushed Pepsi can; airplane toy with propellers; green pencil sharpener</x:v>
      </x:c>
      <x:c r="F46" s="9" t="str">
        <x:v>crushed Coke can</x:v>
      </x:c>
      <x:c r="G46" s="9" t="str">
        <x:v>didn't start moving to the coke can until end of episode; once got gripper around coke can, didn't seem like it was gonna close</x:v>
      </x:c>
      <x:c r="H46" s="9" t="str">
        <x:v>In-distribution concept baseline</x:v>
      </x:c>
      <x:c r="I46" s="9" t="str">
        <x:v>RD-ID03</x:v>
      </x:c>
      <x:c r="J46" s="9" t="str">
        <x:v>Exact training-supported relation × candidate-category baseline</x:v>
      </x:c>
      <x:c r="K46" s="9"/>
      <x:c r="L46" s="9" t="str">
        <x:v>431</x:v>
      </x:c>
      <x:c r="M46" s="9" t="str">
        <x:v>Exact manifest cell: prompt, relation × candidate-category combination, target identity, and object membership are explicitly represented in training; physical positions are manually recreated with a clear margin.</x:v>
      </x:c>
      <x:c r="N46" s="9" t="n">
        <x:v>1</x:v>
      </x:c>
      <x:c r="O46" s="9" t="str">
        <x:v>Place the 4 listed objects. Arrange Expected Target as the unique answer to the prompt; keep the bowl empty.</x:v>
      </x:c>
      <x:c r="P46" s="9" t="str">
        <x:v>The relation, candidate category, target identity, and object membership occur together in the cited training episode.</x:v>
      </x:c>
      <x:c r="Q46" s="9"/>
      <x:c r="R46" s="10" t="n">
        <x:v>4</x:v>
      </x:c>
      <x:c r="S46" s="10" t="n">
        <x:v>1</x:v>
      </x:c>
      <x:c r="T46" s="9" t="str">
        <x:v>Empty</x:v>
      </x:c>
      <x:c r="U46" s="9"/>
      <x:c r="V46" s="9"/>
      <x:c r="W46" s="9"/>
      <x:c r="X46" s="10"/>
      <x:c r="Y46" s="10"/>
      <x:c r="Z46" s="9"/>
      <x:c r="AA46" s="9"/>
      <x:c r="AB46" s="9" t="str">
        <x:v>between</x:v>
      </x:c>
      <x:c r="AC46" s="9"/>
      <x:c r="AD46" s="9"/>
      <x:c r="AE46" s="9"/>
      <x:c r="AF46" s="9"/>
      <x:c r="AG46" s="9" t="str">
        <x:v>crushed soda can</x:v>
      </x:c>
      <x:c r="AH46" s="9"/>
      <x:c r="AI46" s="11"/>
      <x:c r="AJ46" s="9"/>
      <x:c r="AK46" s="9" t="str">
        <x:v>Eval_Referential_Disambiguation.xlsm</x:v>
      </x:c>
      <x:c r="AL46" s="9" t="str">
        <x:v>VLA0 Results</x:v>
      </x:c>
      <x:c r="AM46" s="9" t="n">
        <x:v>4</x:v>
      </x:c>
      <x:c r="AN46" s="9" t="n">
        <x:v>4</x:v>
      </x:c>
    </x:row>
    <x:row r="47">
      <x:c r="A47" s="9" t="str">
        <x:v>Failure</x:v>
      </x:c>
      <x:c r="B47" s="9" t="str">
        <x:v>Referential Disambiguation</x:v>
      </x:c>
      <x:c r="C47" s="10" t="n">
        <x:v>3</x:v>
      </x:c>
      <x:c r="D47" s="9" t="str">
        <x:v>Pick up the crushed soda can furthest from the green pen and place it in the bowl.</x:v>
      </x:c>
      <x:c r="E47" s="9" t="str">
        <x:v>crushed Coke can; crushed Pepsi can; green pen</x:v>
      </x:c>
      <x:c r="F47" s="9" t="str">
        <x:v>crushed Pepsi can</x:v>
      </x:c>
      <x:c r="G47" s="9" t="str">
        <x:v>turned towards pepsi can sort of, but then started gripping in middle of nowhere between the pepsi can and coke can; drifted closer to coke can until it push the coke can to the left</x:v>
      </x:c>
      <x:c r="H47" s="9" t="str">
        <x:v>In-distribution concept baseline</x:v>
      </x:c>
      <x:c r="I47" s="9" t="str">
        <x:v>RD-ID04</x:v>
      </x:c>
      <x:c r="J47" s="9" t="str">
        <x:v>Exact training-supported relation × candidate-category baseline</x:v>
      </x:c>
      <x:c r="K47" s="9"/>
      <x:c r="L47" s="9" t="str">
        <x:v>415</x:v>
      </x:c>
      <x:c r="M47" s="9" t="str">
        <x:v>Exact manifest cell: prompt, relation × candidate-category combination, target identity, and object membership are explicitly represented in training; physical positions are manually recreated with a clear margin.</x:v>
      </x:c>
      <x:c r="N47" s="9" t="n">
        <x:v>1</x:v>
      </x:c>
      <x:c r="O47" s="9" t="str">
        <x:v>Place the 3 listed objects. Arrange Expected Target as the unique answer to the prompt; keep the bowl empty.</x:v>
      </x:c>
      <x:c r="P47" s="9" t="str">
        <x:v>The relation, candidate category, target identity, and object membership occur together in the cited training episode.</x:v>
      </x:c>
      <x:c r="Q47" s="9"/>
      <x:c r="R47" s="10" t="n">
        <x:v>3</x:v>
      </x:c>
      <x:c r="S47" s="10" t="n">
        <x:v>1</x:v>
      </x:c>
      <x:c r="T47" s="9" t="str">
        <x:v>Empty</x:v>
      </x:c>
      <x:c r="U47" s="9"/>
      <x:c r="V47" s="9"/>
      <x:c r="W47" s="9"/>
      <x:c r="X47" s="10"/>
      <x:c r="Y47" s="10"/>
      <x:c r="Z47" s="9"/>
      <x:c r="AA47" s="9"/>
      <x:c r="AB47" s="9" t="str">
        <x:v>furthest</x:v>
      </x:c>
      <x:c r="AC47" s="9"/>
      <x:c r="AD47" s="9"/>
      <x:c r="AE47" s="9"/>
      <x:c r="AF47" s="9"/>
      <x:c r="AG47" s="9" t="str">
        <x:v>crushed soda can</x:v>
      </x:c>
      <x:c r="AH47" s="9"/>
      <x:c r="AI47" s="11"/>
      <x:c r="AJ47" s="9"/>
      <x:c r="AK47" s="9" t="str">
        <x:v>Eval_Referential_Disambiguation.xlsm</x:v>
      </x:c>
      <x:c r="AL47" s="9" t="str">
        <x:v>VLA0 Results</x:v>
      </x:c>
      <x:c r="AM47" s="9" t="n">
        <x:v>5</x:v>
      </x:c>
      <x:c r="AN47" s="9" t="n">
        <x:v>5</x:v>
      </x:c>
    </x:row>
    <x:row r="48">
      <x:c r="A48" s="9" t="str">
        <x:v>Failure</x:v>
      </x:c>
      <x:c r="B48" s="9" t="str">
        <x:v>Referential Disambiguation</x:v>
      </x:c>
      <x:c r="C48" s="10" t="n">
        <x:v>4</x:v>
      </x:c>
      <x:c r="D48" s="9" t="str">
        <x:v>Pick up the crushed soda can furthest from the yellow pen and place it in the bowl.</x:v>
      </x:c>
      <x:c r="E48" s="9" t="str">
        <x:v>crushed Coke can; crushed Pepsi can; yellow pen; airplane toy with propellers</x:v>
      </x:c>
      <x:c r="F48" s="9" t="str">
        <x:v>crushed Coke can</x:v>
      </x:c>
      <x:c r="G48" s="9" t="str">
        <x:v>went to coke can in correct gripping strategy, but with grippers closed</x:v>
      </x:c>
      <x:c r="H48" s="9" t="str">
        <x:v>In-distribution concept baseline</x:v>
      </x:c>
      <x:c r="I48" s="9" t="str">
        <x:v>RD-ID05</x:v>
      </x:c>
      <x:c r="J48" s="9" t="str">
        <x:v>Exact training-supported relation × candidate-category baseline</x:v>
      </x:c>
      <x:c r="K48" s="9"/>
      <x:c r="L48" s="9" t="str">
        <x:v>416</x:v>
      </x:c>
      <x:c r="M48" s="9" t="str">
        <x:v>Exact manifest cell: prompt, relation × candidate-category combination, target identity, and object membership are explicitly represented in training; physical positions are manually recreated with a clear margin.</x:v>
      </x:c>
      <x:c r="N48" s="9" t="n">
        <x:v>1</x:v>
      </x:c>
      <x:c r="O48" s="9" t="str">
        <x:v>Place the 4 listed objects. Arrange Expected Target as the unique answer to the prompt; keep the bowl empty.</x:v>
      </x:c>
      <x:c r="P48" s="9" t="str">
        <x:v>The relation, candidate category, target identity, and object membership occur together in the cited training episode.</x:v>
      </x:c>
      <x:c r="Q48" s="9"/>
      <x:c r="R48" s="10" t="n">
        <x:v>4</x:v>
      </x:c>
      <x:c r="S48" s="10" t="n">
        <x:v>1</x:v>
      </x:c>
      <x:c r="T48" s="9" t="str">
        <x:v>Empty</x:v>
      </x:c>
      <x:c r="U48" s="9"/>
      <x:c r="V48" s="9"/>
      <x:c r="W48" s="9"/>
      <x:c r="X48" s="10"/>
      <x:c r="Y48" s="10"/>
      <x:c r="Z48" s="9"/>
      <x:c r="AA48" s="9"/>
      <x:c r="AB48" s="9" t="str">
        <x:v>furthest</x:v>
      </x:c>
      <x:c r="AC48" s="9"/>
      <x:c r="AD48" s="9"/>
      <x:c r="AE48" s="9"/>
      <x:c r="AF48" s="9"/>
      <x:c r="AG48" s="9" t="str">
        <x:v>crushed soda can</x:v>
      </x:c>
      <x:c r="AH48" s="9"/>
      <x:c r="AI48" s="11"/>
      <x:c r="AJ48" s="9"/>
      <x:c r="AK48" s="9" t="str">
        <x:v>Eval_Referential_Disambiguation.xlsm</x:v>
      </x:c>
      <x:c r="AL48" s="9" t="str">
        <x:v>VLA0 Results</x:v>
      </x:c>
      <x:c r="AM48" s="9" t="n">
        <x:v>6</x:v>
      </x:c>
      <x:c r="AN48" s="9" t="n">
        <x:v>6</x:v>
      </x:c>
    </x:row>
    <x:row r="49">
      <x:c r="A49" s="9" t="str">
        <x:v>Failure</x:v>
      </x:c>
      <x:c r="B49" s="9" t="str">
        <x:v>Referential Disambiguation</x:v>
      </x:c>
      <x:c r="C49" s="10" t="n">
        <x:v>5</x:v>
      </x:c>
      <x:c r="D49" s="9" t="str">
        <x:v>Pick up the pencil sharpener nearest to the crushed Coke can and place it in the bowl.</x:v>
      </x:c>
      <x:c r="E49" s="9" t="str">
        <x:v>green pencil sharpener; red pencil sharpener; crushed Coke can</x:v>
      </x:c>
      <x:c r="F49" s="9" t="str">
        <x:v>green pencil sharpener</x:v>
      </x:c>
      <x:c r="G49" s="9" t="str">
        <x:v>went for red pencil sharpener, but couldn't get it</x:v>
      </x:c>
      <x:c r="H49" s="9" t="str">
        <x:v>In-distribution concept baseline</x:v>
      </x:c>
      <x:c r="I49" s="9" t="str">
        <x:v>RD-ID06</x:v>
      </x:c>
      <x:c r="J49" s="9" t="str">
        <x:v>Exact training-supported relation × candidate-category baseline</x:v>
      </x:c>
      <x:c r="K49" s="9"/>
      <x:c r="L49" s="9" t="str">
        <x:v>450</x:v>
      </x:c>
      <x:c r="M49" s="9" t="str">
        <x:v>Exact manifest cell: prompt, relation × candidate-category combination, target identity, and object membership are explicitly represented in training; physical positions are manually recreated with a clear margin.</x:v>
      </x:c>
      <x:c r="N49" s="9" t="n">
        <x:v>1</x:v>
      </x:c>
      <x:c r="O49" s="9" t="str">
        <x:v>Place the 3 listed objects. Arrange Expected Target as the unique answer to the prompt; keep the bowl empty.</x:v>
      </x:c>
      <x:c r="P49" s="9" t="str">
        <x:v>The relation, candidate category, target identity, and object membership occur together in the cited training episode.</x:v>
      </x:c>
      <x:c r="Q49" s="9"/>
      <x:c r="R49" s="10" t="n">
        <x:v>3</x:v>
      </x:c>
      <x:c r="S49" s="10" t="n">
        <x:v>1</x:v>
      </x:c>
      <x:c r="T49" s="9" t="str">
        <x:v>Empty</x:v>
      </x:c>
      <x:c r="U49" s="9"/>
      <x:c r="V49" s="9"/>
      <x:c r="W49" s="9"/>
      <x:c r="X49" s="10"/>
      <x:c r="Y49" s="10"/>
      <x:c r="Z49" s="9"/>
      <x:c r="AA49" s="9"/>
      <x:c r="AB49" s="9" t="str">
        <x:v>closest</x:v>
      </x:c>
      <x:c r="AC49" s="9"/>
      <x:c r="AD49" s="9"/>
      <x:c r="AE49" s="9"/>
      <x:c r="AF49" s="9"/>
      <x:c r="AG49" s="9" t="str">
        <x:v>pencil sharpener</x:v>
      </x:c>
      <x:c r="AH49" s="9"/>
      <x:c r="AI49" s="11"/>
      <x:c r="AJ49" s="9"/>
      <x:c r="AK49" s="9" t="str">
        <x:v>Eval_Referential_Disambiguation.xlsm</x:v>
      </x:c>
      <x:c r="AL49" s="9" t="str">
        <x:v>VLA0 Results</x:v>
      </x:c>
      <x:c r="AM49" s="9" t="n">
        <x:v>7</x:v>
      </x:c>
      <x:c r="AN49" s="9" t="n">
        <x:v>7</x:v>
      </x:c>
    </x:row>
    <x:row r="50">
      <x:c r="A50" s="9" t="str">
        <x:v>Failure</x:v>
      </x:c>
      <x:c r="B50" s="9" t="str">
        <x:v>Referential Disambiguation</x:v>
      </x:c>
      <x:c r="C50" s="10" t="n">
        <x:v>6</x:v>
      </x:c>
      <x:c r="D50" s="9" t="str">
        <x:v>Move the pencil sharpener that is closest to the crushed Pepsi can into the bowl.</x:v>
      </x:c>
      <x:c r="E50" s="9" t="str">
        <x:v>green pencil sharpener; red pencil sharpener; crushed Pepsi can; airplane toy with propellers</x:v>
      </x:c>
      <x:c r="F50" s="9" t="str">
        <x:v>red pencil sharpener</x:v>
      </x:c>
      <x:c r="G50" s="9" t="str">
        <x:v>started going to the pepsi can with top down gripping position, then suddenly jerked up to soada can gripping strategy; knocked the soda can out of the workspace</x:v>
      </x:c>
      <x:c r="H50" s="9" t="str">
        <x:v>In-distribution concept baseline</x:v>
      </x:c>
      <x:c r="I50" s="9" t="str">
        <x:v>RD-ID07</x:v>
      </x:c>
      <x:c r="J50" s="9" t="str">
        <x:v>Exact training-supported relation × candidate-category baseline</x:v>
      </x:c>
      <x:c r="K50" s="9"/>
      <x:c r="L50" s="9" t="str">
        <x:v>451</x:v>
      </x:c>
      <x:c r="M50" s="9" t="str">
        <x:v>Exact manifest cell: prompt, relation × candidate-category combination, target identity, and object membership are explicitly represented in training; physical positions are manually recreated with a clear margin.</x:v>
      </x:c>
      <x:c r="N50" s="9" t="n">
        <x:v>1</x:v>
      </x:c>
      <x:c r="O50" s="9" t="str">
        <x:v>Place the 4 listed objects. Arrange Expected Target as the unique answer to the prompt; keep the bowl empty.</x:v>
      </x:c>
      <x:c r="P50" s="9" t="str">
        <x:v>The relation, candidate category, target identity, and object membership occur together in the cited training episode.</x:v>
      </x:c>
      <x:c r="Q50" s="9"/>
      <x:c r="R50" s="10" t="n">
        <x:v>4</x:v>
      </x:c>
      <x:c r="S50" s="10" t="n">
        <x:v>1</x:v>
      </x:c>
      <x:c r="T50" s="9" t="str">
        <x:v>Empty</x:v>
      </x:c>
      <x:c r="U50" s="9"/>
      <x:c r="V50" s="9"/>
      <x:c r="W50" s="9"/>
      <x:c r="X50" s="10"/>
      <x:c r="Y50" s="10"/>
      <x:c r="Z50" s="9"/>
      <x:c r="AA50" s="9"/>
      <x:c r="AB50" s="9" t="str">
        <x:v>closest</x:v>
      </x:c>
      <x:c r="AC50" s="9"/>
      <x:c r="AD50" s="9"/>
      <x:c r="AE50" s="9"/>
      <x:c r="AF50" s="9"/>
      <x:c r="AG50" s="9" t="str">
        <x:v>pencil sharpener</x:v>
      </x:c>
      <x:c r="AH50" s="9"/>
      <x:c r="AI50" s="11"/>
      <x:c r="AJ50" s="9"/>
      <x:c r="AK50" s="9" t="str">
        <x:v>Eval_Referential_Disambiguation.xlsm</x:v>
      </x:c>
      <x:c r="AL50" s="9" t="str">
        <x:v>VLA0 Results</x:v>
      </x:c>
      <x:c r="AM50" s="9" t="n">
        <x:v>8</x:v>
      </x:c>
      <x:c r="AN50" s="9" t="n">
        <x:v>8</x:v>
      </x:c>
    </x:row>
    <x:row r="51">
      <x:c r="A51" s="9" t="str">
        <x:v>Failure</x:v>
      </x:c>
      <x:c r="B51" s="9" t="str">
        <x:v>Referential Disambiguation</x:v>
      </x:c>
      <x:c r="C51" s="10" t="n">
        <x:v>7</x:v>
      </x:c>
      <x:c r="D51" s="9" t="str">
        <x:v>Move the pencil sharpener that is closest to the green pen into the bowl.</x:v>
      </x:c>
      <x:c r="E51" s="9" t="str">
        <x:v>green pencil sharpener; red pencil sharpener; green pen</x:v>
      </x:c>
      <x:c r="F51" s="9" t="str">
        <x:v>green pencil sharpener</x:v>
      </x:c>
      <x:c r="G51" s="9" t="str">
        <x:v>almost gripped the green sharpener, but after closing gripper, couldn't recover</x:v>
      </x:c>
      <x:c r="H51" s="9" t="str">
        <x:v>In-distribution concept baseline</x:v>
      </x:c>
      <x:c r="I51" s="9" t="str">
        <x:v>RD-ID08</x:v>
      </x:c>
      <x:c r="J51" s="9" t="str">
        <x:v>Exact training-supported relation × candidate-category baseline</x:v>
      </x:c>
      <x:c r="K51" s="9"/>
      <x:c r="L51" s="9" t="str">
        <x:v>452</x:v>
      </x:c>
      <x:c r="M51" s="9" t="str">
        <x:v>Exact manifest cell: prompt, relation × candidate-category combination, target identity, and object membership are explicitly represented in training; physical positions are manually recreated with a clear margin.</x:v>
      </x:c>
      <x:c r="N51" s="9" t="n">
        <x:v>1</x:v>
      </x:c>
      <x:c r="O51" s="9" t="str">
        <x:v>Place the 3 listed objects. Arrange Expected Target as the unique answer to the prompt; keep the bowl empty.</x:v>
      </x:c>
      <x:c r="P51" s="9" t="str">
        <x:v>The relation, candidate category, target identity, and object membership occur together in the cited training episode.</x:v>
      </x:c>
      <x:c r="Q51" s="9"/>
      <x:c r="R51" s="10" t="n">
        <x:v>3</x:v>
      </x:c>
      <x:c r="S51" s="10" t="n">
        <x:v>1</x:v>
      </x:c>
      <x:c r="T51" s="9" t="str">
        <x:v>Empty</x:v>
      </x:c>
      <x:c r="U51" s="9"/>
      <x:c r="V51" s="9"/>
      <x:c r="W51" s="9"/>
      <x:c r="X51" s="10"/>
      <x:c r="Y51" s="10"/>
      <x:c r="Z51" s="9"/>
      <x:c r="AA51" s="9"/>
      <x:c r="AB51" s="9" t="str">
        <x:v>closest</x:v>
      </x:c>
      <x:c r="AC51" s="9"/>
      <x:c r="AD51" s="9"/>
      <x:c r="AE51" s="9"/>
      <x:c r="AF51" s="9"/>
      <x:c r="AG51" s="9" t="str">
        <x:v>pencil sharpener</x:v>
      </x:c>
      <x:c r="AH51" s="9"/>
      <x:c r="AI51" s="11"/>
      <x:c r="AJ51" s="9"/>
      <x:c r="AK51" s="9" t="str">
        <x:v>Eval_Referential_Disambiguation.xlsm</x:v>
      </x:c>
      <x:c r="AL51" s="9" t="str">
        <x:v>VLA0 Results</x:v>
      </x:c>
      <x:c r="AM51" s="9" t="n">
        <x:v>9</x:v>
      </x:c>
      <x:c r="AN51" s="9" t="n">
        <x:v>9</x:v>
      </x:c>
    </x:row>
    <x:row r="52">
      <x:c r="A52" s="9" t="str">
        <x:v>Failure</x:v>
      </x:c>
      <x:c r="B52" s="9" t="str">
        <x:v>Referential Disambiguation</x:v>
      </x:c>
      <x:c r="C52" s="10" t="n">
        <x:v>8</x:v>
      </x:c>
      <x:c r="D52" s="9" t="str">
        <x:v>Pick up the pencil sharpener furthest from the yellow pen and place it in the bowl.</x:v>
      </x:c>
      <x:c r="E52" s="9" t="str">
        <x:v>green pencil sharpener; red pencil sharpener; yellow pen; airplane toy without propellers</x:v>
      </x:c>
      <x:c r="F52" s="9" t="str">
        <x:v>green pencil sharpener</x:v>
      </x:c>
      <x:c r="G52" s="9" t="str">
        <x:v>went towards teh yellow pen, but couldn't grip it</x:v>
      </x:c>
      <x:c r="H52" s="9" t="str">
        <x:v>In-distribution concept baseline</x:v>
      </x:c>
      <x:c r="I52" s="9" t="str">
        <x:v>RD-ID09</x:v>
      </x:c>
      <x:c r="J52" s="9" t="str">
        <x:v>Exact training-supported relation × candidate-category baseline</x:v>
      </x:c>
      <x:c r="K52" s="9"/>
      <x:c r="L52" s="9" t="str">
        <x:v>466</x:v>
      </x:c>
      <x:c r="M52" s="9" t="str">
        <x:v>Exact manifest cell: prompt, relation × candidate-category combination, target identity, and object membership are explicitly represented in training; physical positions are manually recreated with a clear margin.</x:v>
      </x:c>
      <x:c r="N52" s="9" t="n">
        <x:v>1</x:v>
      </x:c>
      <x:c r="O52" s="9" t="str">
        <x:v>Place the 4 listed objects. Arrange Expected Target as the unique answer to the prompt; keep the bowl empty.</x:v>
      </x:c>
      <x:c r="P52" s="9" t="str">
        <x:v>The relation, candidate category, target identity, and object membership occur together in the cited training episode.</x:v>
      </x:c>
      <x:c r="Q52" s="9"/>
      <x:c r="R52" s="10" t="n">
        <x:v>4</x:v>
      </x:c>
      <x:c r="S52" s="10" t="n">
        <x:v>1</x:v>
      </x:c>
      <x:c r="T52" s="9" t="str">
        <x:v>Empty</x:v>
      </x:c>
      <x:c r="U52" s="9"/>
      <x:c r="V52" s="9"/>
      <x:c r="W52" s="9"/>
      <x:c r="X52" s="10"/>
      <x:c r="Y52" s="10"/>
      <x:c r="Z52" s="9"/>
      <x:c r="AA52" s="9"/>
      <x:c r="AB52" s="9" t="str">
        <x:v>furthest</x:v>
      </x:c>
      <x:c r="AC52" s="9"/>
      <x:c r="AD52" s="9"/>
      <x:c r="AE52" s="9"/>
      <x:c r="AF52" s="9"/>
      <x:c r="AG52" s="9" t="str">
        <x:v>pencil sharpener</x:v>
      </x:c>
      <x:c r="AH52" s="9"/>
      <x:c r="AI52" s="11"/>
      <x:c r="AJ52" s="9"/>
      <x:c r="AK52" s="9" t="str">
        <x:v>Eval_Referential_Disambiguation.xlsm</x:v>
      </x:c>
      <x:c r="AL52" s="9" t="str">
        <x:v>VLA0 Results</x:v>
      </x:c>
      <x:c r="AM52" s="9" t="n">
        <x:v>10</x:v>
      </x:c>
      <x:c r="AN52" s="9" t="n">
        <x:v>10</x:v>
      </x:c>
    </x:row>
    <x:row r="53">
      <x:c r="A53" s="9" t="str">
        <x:v>Failure</x:v>
      </x:c>
      <x:c r="B53" s="9" t="str">
        <x:v>Referential Disambiguation</x:v>
      </x:c>
      <x:c r="C53" s="10" t="n">
        <x:v>9</x:v>
      </x:c>
      <x:c r="D53" s="9" t="str">
        <x:v>Pick up the pencil sharpener furthest from the green pen and place it in the bowl.</x:v>
      </x:c>
      <x:c r="E53" s="9" t="str">
        <x:v>green pencil sharpener; red pencil sharpener; green pen</x:v>
      </x:c>
      <x:c r="F53" s="9" t="str">
        <x:v>red pencil sharpener</x:v>
      </x:c>
      <x:c r="G53" s="9" t="str">
        <x:v>went for the red pencil sharpener; couldn't pick up</x:v>
      </x:c>
      <x:c r="H53" s="9" t="str">
        <x:v>In-distribution concept baseline</x:v>
      </x:c>
      <x:c r="I53" s="9" t="str">
        <x:v>RD-ID10</x:v>
      </x:c>
      <x:c r="J53" s="9" t="str">
        <x:v>Exact training-supported relation × candidate-category baseline</x:v>
      </x:c>
      <x:c r="K53" s="9"/>
      <x:c r="L53" s="9" t="str">
        <x:v>465</x:v>
      </x:c>
      <x:c r="M53" s="9" t="str">
        <x:v>Exact manifest cell: prompt, relation × candidate-category combination, target identity, and object membership are explicitly represented in training; physical positions are manually recreated with a clear margin.</x:v>
      </x:c>
      <x:c r="N53" s="9" t="n">
        <x:v>1</x:v>
      </x:c>
      <x:c r="O53" s="9" t="str">
        <x:v>Place the 3 listed objects. Arrange Expected Target as the unique answer to the prompt; keep the bowl empty.</x:v>
      </x:c>
      <x:c r="P53" s="9" t="str">
        <x:v>The relation, candidate category, target identity, and object membership occur together in the cited training episode.</x:v>
      </x:c>
      <x:c r="Q53" s="9"/>
      <x:c r="R53" s="10" t="n">
        <x:v>3</x:v>
      </x:c>
      <x:c r="S53" s="10" t="n">
        <x:v>1</x:v>
      </x:c>
      <x:c r="T53" s="9" t="str">
        <x:v>Empty</x:v>
      </x:c>
      <x:c r="U53" s="9"/>
      <x:c r="V53" s="9"/>
      <x:c r="W53" s="9"/>
      <x:c r="X53" s="10"/>
      <x:c r="Y53" s="10"/>
      <x:c r="Z53" s="9"/>
      <x:c r="AA53" s="9"/>
      <x:c r="AB53" s="9" t="str">
        <x:v>furthest</x:v>
      </x:c>
      <x:c r="AC53" s="9"/>
      <x:c r="AD53" s="9"/>
      <x:c r="AE53" s="9"/>
      <x:c r="AF53" s="9"/>
      <x:c r="AG53" s="9" t="str">
        <x:v>pencil sharpener</x:v>
      </x:c>
      <x:c r="AH53" s="9"/>
      <x:c r="AI53" s="11"/>
      <x:c r="AJ53" s="9"/>
      <x:c r="AK53" s="9" t="str">
        <x:v>Eval_Referential_Disambiguation.xlsm</x:v>
      </x:c>
      <x:c r="AL53" s="9" t="str">
        <x:v>VLA0 Results</x:v>
      </x:c>
      <x:c r="AM53" s="9" t="n">
        <x:v>11</x:v>
      </x:c>
      <x:c r="AN53" s="9" t="n">
        <x:v>11</x:v>
      </x:c>
    </x:row>
    <x:row r="54">
      <x:c r="A54" s="9" t="str">
        <x:v>Failure</x:v>
      </x:c>
      <x:c r="B54" s="9" t="str">
        <x:v>Size Recognition</x:v>
      </x:c>
      <x:c r="C54" s="10" t="n">
        <x:v>0</x:v>
      </x:c>
      <x:c r="D54" s="9" t="str">
        <x:v>Move the object that is smallest into the bowl.</x:v>
      </x:c>
      <x:c r="E54" s="9" t="str">
        <x:v>Bowl: empty. Table, robot-left→robot-right: P1 red pencil sharpener; P2 green block; P3 juggling ball; P4 crushed Pepsi can. Adjacent centers 8 cm apart; row centered on the workspace; all objects fully visible and grasp paths clear.</x:v>
      </x:c>
      <x:c r="F54" s="9" t="str">
        <x:v>MOVE red pencil sharpener to bowl</x:v>
      </x:c>
      <x:c r="G54" s="9" t="str">
        <x:v>moved towards the red pencil sharpener, but didn't open gripper to pick it up.</x:v>
      </x:c>
      <x:c r="H54" s="9" t="str">
        <x:v>In-distribution concept baseline</x:v>
      </x:c>
      <x:c r="I54" s="9" t="str">
        <x:v>SZ-ID-SH01</x:v>
      </x:c>
      <x:c r="J54" s="9" t="str">
        <x:v>smallest</x:v>
      </x:c>
      <x:c r="K54" s="9"/>
      <x:c r="L54" s="9" t="str">
        <x:v>1005</x:v>
      </x:c>
      <x:c r="M54" s="9"/>
      <x:c r="N54" s="9"/>
      <x:c r="O54" s="9" t="str">
        <x:v>Build the listed manifest-supported scene.</x:v>
      </x:c>
      <x:c r="P54" s="9" t="str">
        <x:v>Exact prompt and object composition from training episode 1005; this establishes the familiar smallest × red pencil sharpener cell.</x:v>
      </x:c>
      <x:c r="Q54" s="9"/>
      <x:c r="R54" s="10" t="n">
        <x:v>4</x:v>
      </x:c>
      <x:c r="S54" s="10"/>
      <x:c r="T54" s="9"/>
      <x:c r="U54" s="9"/>
      <x:c r="V54" s="9"/>
      <x:c r="W54" s="9"/>
      <x:c r="X54" s="10"/>
      <x:c r="Y54" s="10"/>
      <x:c r="Z54" s="9"/>
      <x:c r="AA54" s="9"/>
      <x:c r="AB54" s="9"/>
      <x:c r="AC54" s="9"/>
      <x:c r="AD54" s="9" t="str">
        <x:v>red pencil sharpener</x:v>
      </x:c>
      <x:c r="AE54" s="9"/>
      <x:c r="AF54" s="9"/>
      <x:c r="AG54" s="9"/>
      <x:c r="AH54" s="9" t="str">
        <x:v>Left</x:v>
      </x:c>
      <x:c r="AI54" s="11" t="n">
        <x:v>8</x:v>
      </x:c>
      <x:c r="AJ54" s="9" t="str">
        <x:v>Explicitly trained smallest × red pencil sharpener</x:v>
      </x:c>
      <x:c r="AK54" s="9" t="str">
        <x:v>Eval_Size_Recognition (1).xlsm</x:v>
      </x:c>
      <x:c r="AL54" s="9" t="str">
        <x:v>VLA-0 Results</x:v>
      </x:c>
      <x:c r="AM54" s="9" t="n">
        <x:v>2</x:v>
      </x:c>
      <x:c r="AN54" s="9" t="n">
        <x:v>2</x:v>
      </x:c>
    </x:row>
    <x:row r="55">
      <x:c r="A55" s="9" t="str">
        <x:v>Failure</x:v>
      </x:c>
      <x:c r="B55" s="9" t="str">
        <x:v>Size Recognition</x:v>
      </x:c>
      <x:c r="C55" s="10" t="n">
        <x:v>1</x:v>
      </x:c>
      <x:c r="D55" s="9" t="str">
        <x:v>Pick up the smallest item and place it in the bowl.</x:v>
      </x:c>
      <x:c r="E55" s="9" t="str">
        <x:v>Bowl: empty. Table, robot-left→robot-right: P1 crushed Pepsi can; P2 juggling ball; P3 green block. Adjacent centers 12 cm apart; row shifted 4 cm toward robot-left; all objects fully visible and grasp paths clear.</x:v>
      </x:c>
      <x:c r="F55" s="9" t="str">
        <x:v>MOVE green block to bowl</x:v>
      </x:c>
      <x:c r="G55" s="9" t="str">
        <x:v>also went towards the green block, but didn't go to the top of it; didn't open grippers properly to try and pick it up</x:v>
      </x:c>
      <x:c r="H55" s="9" t="str">
        <x:v>In-distribution concept baseline</x:v>
      </x:c>
      <x:c r="I55" s="9" t="str">
        <x:v>SZ-ID-GB01</x:v>
      </x:c>
      <x:c r="J55" s="9" t="str">
        <x:v>smallest</x:v>
      </x:c>
      <x:c r="K55" s="9"/>
      <x:c r="L55" s="9" t="str">
        <x:v>1050</x:v>
      </x:c>
      <x:c r="M55" s="9"/>
      <x:c r="N55" s="9"/>
      <x:c r="O55" s="9" t="str">
        <x:v>Build the listed manifest-supported scene.</x:v>
      </x:c>
      <x:c r="P55" s="9" t="str">
        <x:v>Exact prompt and object composition from training episode 1050; this establishes the familiar smallest × green block cell.</x:v>
      </x:c>
      <x:c r="Q55" s="9"/>
      <x:c r="R55" s="10" t="n">
        <x:v>3</x:v>
      </x:c>
      <x:c r="S55" s="10"/>
      <x:c r="T55" s="9"/>
      <x:c r="U55" s="9"/>
      <x:c r="V55" s="9"/>
      <x:c r="W55" s="9"/>
      <x:c r="X55" s="10"/>
      <x:c r="Y55" s="10"/>
      <x:c r="Z55" s="9"/>
      <x:c r="AA55" s="9"/>
      <x:c r="AB55" s="9"/>
      <x:c r="AC55" s="9"/>
      <x:c r="AD55" s="9" t="str">
        <x:v>green block</x:v>
      </x:c>
      <x:c r="AE55" s="9"/>
      <x:c r="AF55" s="9"/>
      <x:c r="AG55" s="9"/>
      <x:c r="AH55" s="9" t="str">
        <x:v>Right</x:v>
      </x:c>
      <x:c r="AI55" s="11" t="n">
        <x:v>12</x:v>
      </x:c>
      <x:c r="AJ55" s="9" t="str">
        <x:v>Explicitly trained smallest × green block</x:v>
      </x:c>
      <x:c r="AK55" s="9" t="str">
        <x:v>Eval_Size_Recognition (1).xlsm</x:v>
      </x:c>
      <x:c r="AL55" s="9" t="str">
        <x:v>VLA-0 Results</x:v>
      </x:c>
      <x:c r="AM55" s="9" t="n">
        <x:v>3</x:v>
      </x:c>
      <x:c r="AN55" s="9" t="n">
        <x:v>3</x:v>
      </x:c>
    </x:row>
    <x:row r="56">
      <x:c r="A56" s="9" t="str">
        <x:v>Failure</x:v>
      </x:c>
      <x:c r="B56" s="9" t="str">
        <x:v>Size Recognition</x:v>
      </x:c>
      <x:c r="C56" s="10" t="n">
        <x:v>2</x:v>
      </x:c>
      <x:c r="D56" s="9" t="str">
        <x:v>Put the largest object in the bowl.</x:v>
      </x:c>
      <x:c r="E56" s="9" t="str">
        <x:v>Bowl: empty. Table, robot-left→robot-right: P1 juggling ball; P2 red pencil sharpener; P3 green block. Adjacent centers 16 cm apart; row shifted 4 cm toward robot-right; all objects fully visible and grasp paths clear.</x:v>
      </x:c>
      <x:c r="F56" s="9" t="str">
        <x:v>MOVE juggling ball to bowl</x:v>
      </x:c>
      <x:c r="G56" s="9" t="str">
        <x:v>went between the red pencil sharpener and green block, but didn't pick anything up</x:v>
      </x:c>
      <x:c r="H56" s="9" t="str">
        <x:v>In-distribution concept baseline</x:v>
      </x:c>
      <x:c r="I56" s="9" t="str">
        <x:v>SZ-ID-JB01</x:v>
      </x:c>
      <x:c r="J56" s="9" t="str">
        <x:v>largest</x:v>
      </x:c>
      <x:c r="K56" s="9"/>
      <x:c r="L56" s="9" t="str">
        <x:v>1125</x:v>
      </x:c>
      <x:c r="M56" s="9"/>
      <x:c r="N56" s="9"/>
      <x:c r="O56" s="9" t="str">
        <x:v>Build the listed manifest-supported scene.</x:v>
      </x:c>
      <x:c r="P56" s="9" t="str">
        <x:v>Exact prompt and object composition from training episode 1125; this establishes the familiar largest × juggling ball cell.</x:v>
      </x:c>
      <x:c r="Q56" s="9"/>
      <x:c r="R56" s="10" t="n">
        <x:v>3</x:v>
      </x:c>
      <x:c r="S56" s="10"/>
      <x:c r="T56" s="9"/>
      <x:c r="U56" s="9"/>
      <x:c r="V56" s="9"/>
      <x:c r="W56" s="9"/>
      <x:c r="X56" s="10"/>
      <x:c r="Y56" s="10"/>
      <x:c r="Z56" s="9"/>
      <x:c r="AA56" s="9"/>
      <x:c r="AB56" s="9"/>
      <x:c r="AC56" s="9"/>
      <x:c r="AD56" s="9" t="str">
        <x:v>juggling ball</x:v>
      </x:c>
      <x:c r="AE56" s="9"/>
      <x:c r="AF56" s="9"/>
      <x:c r="AG56" s="9"/>
      <x:c r="AH56" s="9" t="str">
        <x:v>Left</x:v>
      </x:c>
      <x:c r="AI56" s="11" t="n">
        <x:v>16</x:v>
      </x:c>
      <x:c r="AJ56" s="9" t="str">
        <x:v>Explicitly trained largest × juggling ball</x:v>
      </x:c>
      <x:c r="AK56" s="9" t="str">
        <x:v>Eval_Size_Recognition (1).xlsm</x:v>
      </x:c>
      <x:c r="AL56" s="9" t="str">
        <x:v>VLA-0 Results</x:v>
      </x:c>
      <x:c r="AM56" s="9" t="n">
        <x:v>4</x:v>
      </x:c>
      <x:c r="AN56" s="9" t="n">
        <x:v>4</x:v>
      </x:c>
    </x:row>
    <x:row r="57">
      <x:c r="A57" s="9" t="str">
        <x:v>Failure</x:v>
      </x:c>
      <x:c r="B57" s="9" t="str">
        <x:v>Size Recognition</x:v>
      </x:c>
      <x:c r="C57" s="10" t="n">
        <x:v>3</x:v>
      </x:c>
      <x:c r="D57" s="9" t="str">
        <x:v>Pick up the largest item and place it in the bowl.</x:v>
      </x:c>
      <x:c r="E57" s="9" t="str">
        <x:v>Bowl: empty. Table, robot-left→robot-right: P1 red pencil sharpener; P2 green block; P3 juggling ball; P4 crushed Pepsi can. Adjacent centers 8 cm apart; row shifted 4 cm toward the robot; all objects fully visible and grasp paths clear.</x:v>
      </x:c>
      <x:c r="F57" s="9" t="str">
        <x:v>MOVE crushed Pepsi can to bowl</x:v>
      </x:c>
      <x:c r="G57" s="9" t="str">
        <x:v>went into the gripping strategy for the can, but didn't open the gripper to pick it up</x:v>
      </x:c>
      <x:c r="H57" s="9" t="str">
        <x:v>In-distribution concept baseline</x:v>
      </x:c>
      <x:c r="I57" s="9" t="str">
        <x:v>SZ-ID-PC01</x:v>
      </x:c>
      <x:c r="J57" s="9" t="str">
        <x:v>largest</x:v>
      </x:c>
      <x:c r="K57" s="9"/>
      <x:c r="L57" s="9" t="str">
        <x:v>1155</x:v>
      </x:c>
      <x:c r="M57" s="9"/>
      <x:c r="N57" s="9"/>
      <x:c r="O57" s="9" t="str">
        <x:v>Build the listed manifest-supported scene.</x:v>
      </x:c>
      <x:c r="P57" s="9" t="str">
        <x:v>Exact prompt and object composition from training episode 1155; this establishes the familiar largest × crushed Pepsi can cell.</x:v>
      </x:c>
      <x:c r="Q57" s="9"/>
      <x:c r="R57" s="10" t="n">
        <x:v>4</x:v>
      </x:c>
      <x:c r="S57" s="10"/>
      <x:c r="T57" s="9"/>
      <x:c r="U57" s="9"/>
      <x:c r="V57" s="9"/>
      <x:c r="W57" s="9"/>
      <x:c r="X57" s="10"/>
      <x:c r="Y57" s="10"/>
      <x:c r="Z57" s="9"/>
      <x:c r="AA57" s="9"/>
      <x:c r="AB57" s="9"/>
      <x:c r="AC57" s="9"/>
      <x:c r="AD57" s="9" t="str">
        <x:v>crushed Pepsi can</x:v>
      </x:c>
      <x:c r="AE57" s="9"/>
      <x:c r="AF57" s="9"/>
      <x:c r="AG57" s="9"/>
      <x:c r="AH57" s="9" t="str">
        <x:v>Right</x:v>
      </x:c>
      <x:c r="AI57" s="11" t="n">
        <x:v>8</x:v>
      </x:c>
      <x:c r="AJ57" s="9" t="str">
        <x:v>Explicitly trained largest × crushed Pepsi can</x:v>
      </x:c>
      <x:c r="AK57" s="9" t="str">
        <x:v>Eval_Size_Recognition (1).xlsm</x:v>
      </x:c>
      <x:c r="AL57" s="9" t="str">
        <x:v>VLA-0 Results</x:v>
      </x:c>
      <x:c r="AM57" s="9" t="n">
        <x:v>5</x:v>
      </x:c>
      <x:c r="AN57" s="9" t="n">
        <x:v>5</x:v>
      </x:c>
    </x:row>
    <x:row r="58">
      <x:c r="A58" s="9" t="str">
        <x:v>Failure</x:v>
      </x:c>
      <x:c r="B58" s="9" t="str">
        <x:v>Size Recognition</x:v>
      </x:c>
      <x:c r="C58" s="10" t="n">
        <x:v>4</x:v>
      </x:c>
      <x:c r="D58" s="9" t="str">
        <x:v>Pick up the smallest item and place it in the bowl.</x:v>
      </x:c>
      <x:c r="E58" s="9" t="str">
        <x:v>Bowl: empty. Table, robot-left→robot-right: P1 juggling ball; P2 crushed Pepsi can; P3 green block; P4 red pencil sharpener. Adjacent centers 12 cm apart; row shifted 4 cm toward robot-left; all objects fully visible and grasp paths clear.</x:v>
      </x:c>
      <x:c r="F58" s="9" t="str">
        <x:v>MOVE red pencil sharpener to bowl</x:v>
      </x:c>
      <x:c r="G58" s="9" t="str">
        <x:v>went to pepsi can, but with non soda can gripping strategy</x:v>
      </x:c>
      <x:c r="H58" s="9" t="str">
        <x:v>In-distribution concept baseline</x:v>
      </x:c>
      <x:c r="I58" s="9" t="str">
        <x:v>SZ-ID-SH02</x:v>
      </x:c>
      <x:c r="J58" s="9" t="str">
        <x:v>smallest</x:v>
      </x:c>
      <x:c r="K58" s="9"/>
      <x:c r="L58" s="9" t="str">
        <x:v>1006</x:v>
      </x:c>
      <x:c r="M58" s="9"/>
      <x:c r="N58" s="9"/>
      <x:c r="O58" s="9" t="str">
        <x:v>Build the listed manifest-supported scene.</x:v>
      </x:c>
      <x:c r="P58" s="9" t="str">
        <x:v>Exact prompt and object composition from training episode 1006; this establishes the familiar smallest × red pencil sharpener cell.</x:v>
      </x:c>
      <x:c r="Q58" s="9"/>
      <x:c r="R58" s="10" t="n">
        <x:v>4</x:v>
      </x:c>
      <x:c r="S58" s="10"/>
      <x:c r="T58" s="9"/>
      <x:c r="U58" s="9"/>
      <x:c r="V58" s="9"/>
      <x:c r="W58" s="9"/>
      <x:c r="X58" s="10"/>
      <x:c r="Y58" s="10"/>
      <x:c r="Z58" s="9"/>
      <x:c r="AA58" s="9"/>
      <x:c r="AB58" s="9"/>
      <x:c r="AC58" s="9"/>
      <x:c r="AD58" s="9" t="str">
        <x:v>red pencil sharpener</x:v>
      </x:c>
      <x:c r="AE58" s="9"/>
      <x:c r="AF58" s="9"/>
      <x:c r="AG58" s="9"/>
      <x:c r="AH58" s="9" t="str">
        <x:v>Right</x:v>
      </x:c>
      <x:c r="AI58" s="11" t="n">
        <x:v>12</x:v>
      </x:c>
      <x:c r="AJ58" s="9" t="str">
        <x:v>Explicitly trained smallest × red pencil sharpener</x:v>
      </x:c>
      <x:c r="AK58" s="9" t="str">
        <x:v>Eval_Size_Recognition (1).xlsm</x:v>
      </x:c>
      <x:c r="AL58" s="9" t="str">
        <x:v>VLA-0 Results</x:v>
      </x:c>
      <x:c r="AM58" s="9" t="n">
        <x:v>6</x:v>
      </x:c>
      <x:c r="AN58" s="9" t="n">
        <x:v>6</x:v>
      </x:c>
    </x:row>
    <x:row r="59">
      <x:c r="A59" s="9" t="str">
        <x:v>Failure</x:v>
      </x:c>
      <x:c r="B59" s="9" t="str">
        <x:v>Size Recognition</x:v>
      </x:c>
      <x:c r="C59" s="10" t="n">
        <x:v>5</x:v>
      </x:c>
      <x:c r="D59" s="9" t="str">
        <x:v>Pick up the smallest item and place it in the bowl.</x:v>
      </x:c>
      <x:c r="E59" s="9" t="str">
        <x:v>Bowl: empty. Table, robot-left→robot-right: P1 green block; P2 juggling ball; P3 crushed Pepsi can. Adjacent centers 16 cm apart; row shifted 4 cm toward robot-right; all objects fully visible and grasp paths clear.</x:v>
      </x:c>
      <x:c r="F59" s="9" t="str">
        <x:v>MOVE green block to bowl</x:v>
      </x:c>
      <x:c r="G59" s="9" t="str">
        <x:v>went to middle of workspace, but didn't grab anything</x:v>
      </x:c>
      <x:c r="H59" s="9" t="str">
        <x:v>In-distribution concept baseline</x:v>
      </x:c>
      <x:c r="I59" s="9" t="str">
        <x:v>SZ-ID-GB02</x:v>
      </x:c>
      <x:c r="J59" s="9" t="str">
        <x:v>smallest</x:v>
      </x:c>
      <x:c r="K59" s="9"/>
      <x:c r="L59" s="9" t="str">
        <x:v>1051</x:v>
      </x:c>
      <x:c r="M59" s="9"/>
      <x:c r="N59" s="9"/>
      <x:c r="O59" s="9" t="str">
        <x:v>Build the listed manifest-supported scene.</x:v>
      </x:c>
      <x:c r="P59" s="9" t="str">
        <x:v>Exact prompt and object composition from training episode 1051; this establishes the familiar smallest × green block cell.</x:v>
      </x:c>
      <x:c r="Q59" s="9"/>
      <x:c r="R59" s="10" t="n">
        <x:v>3</x:v>
      </x:c>
      <x:c r="S59" s="10"/>
      <x:c r="T59" s="9"/>
      <x:c r="U59" s="9"/>
      <x:c r="V59" s="9"/>
      <x:c r="W59" s="9"/>
      <x:c r="X59" s="10"/>
      <x:c r="Y59" s="10"/>
      <x:c r="Z59" s="9"/>
      <x:c r="AA59" s="9"/>
      <x:c r="AB59" s="9"/>
      <x:c r="AC59" s="9"/>
      <x:c r="AD59" s="9" t="str">
        <x:v>green block</x:v>
      </x:c>
      <x:c r="AE59" s="9"/>
      <x:c r="AF59" s="9"/>
      <x:c r="AG59" s="9"/>
      <x:c r="AH59" s="9" t="str">
        <x:v>Left</x:v>
      </x:c>
      <x:c r="AI59" s="11" t="n">
        <x:v>16</x:v>
      </x:c>
      <x:c r="AJ59" s="9" t="str">
        <x:v>Explicitly trained smallest × green block</x:v>
      </x:c>
      <x:c r="AK59" s="9" t="str">
        <x:v>Eval_Size_Recognition (1).xlsm</x:v>
      </x:c>
      <x:c r="AL59" s="9" t="str">
        <x:v>VLA-0 Results</x:v>
      </x:c>
      <x:c r="AM59" s="9" t="n">
        <x:v>7</x:v>
      </x:c>
      <x:c r="AN59" s="9" t="n">
        <x:v>7</x:v>
      </x:c>
    </x:row>
    <x:row r="60">
      <x:c r="A60" s="9" t="str">
        <x:v>Failure</x:v>
      </x:c>
      <x:c r="B60" s="9" t="str">
        <x:v>Size Recognition</x:v>
      </x:c>
      <x:c r="C60" s="10" t="n">
        <x:v>6</x:v>
      </x:c>
      <x:c r="D60" s="9" t="str">
        <x:v>Pick up the largest item and place it in the bowl.</x:v>
      </x:c>
      <x:c r="E60" s="9" t="str">
        <x:v>Bowl: empty. Table, robot-left→robot-right: P1 green block; P2 red pencil sharpener; P3 juggling ball. Adjacent centers 8 cm apart; row shifted 4 cm toward the robot; all objects fully visible and grasp paths clear.</x:v>
      </x:c>
      <x:c r="F60" s="9" t="str">
        <x:v>MOVE juggling ball to bowl</x:v>
      </x:c>
      <x:c r="G60" s="9" t="str">
        <x:v>did go to the juggling ball but couldn't grip it</x:v>
      </x:c>
      <x:c r="H60" s="9" t="str">
        <x:v>In-distribution concept baseline</x:v>
      </x:c>
      <x:c r="I60" s="9" t="str">
        <x:v>SZ-ID-JB02</x:v>
      </x:c>
      <x:c r="J60" s="9" t="str">
        <x:v>largest</x:v>
      </x:c>
      <x:c r="K60" s="9"/>
      <x:c r="L60" s="9" t="str">
        <x:v>1126</x:v>
      </x:c>
      <x:c r="M60" s="9"/>
      <x:c r="N60" s="9"/>
      <x:c r="O60" s="9" t="str">
        <x:v>Build the listed manifest-supported scene.</x:v>
      </x:c>
      <x:c r="P60" s="9" t="str">
        <x:v>Exact prompt and object composition from training episode 1126; this establishes the familiar largest × juggling ball cell.</x:v>
      </x:c>
      <x:c r="Q60" s="9"/>
      <x:c r="R60" s="10" t="n">
        <x:v>3</x:v>
      </x:c>
      <x:c r="S60" s="10"/>
      <x:c r="T60" s="9"/>
      <x:c r="U60" s="9"/>
      <x:c r="V60" s="9"/>
      <x:c r="W60" s="9"/>
      <x:c r="X60" s="10"/>
      <x:c r="Y60" s="10"/>
      <x:c r="Z60" s="9"/>
      <x:c r="AA60" s="9"/>
      <x:c r="AB60" s="9"/>
      <x:c r="AC60" s="9"/>
      <x:c r="AD60" s="9" t="str">
        <x:v>juggling ball</x:v>
      </x:c>
      <x:c r="AE60" s="9"/>
      <x:c r="AF60" s="9"/>
      <x:c r="AG60" s="9"/>
      <x:c r="AH60" s="9" t="str">
        <x:v>Right</x:v>
      </x:c>
      <x:c r="AI60" s="11" t="n">
        <x:v>8</x:v>
      </x:c>
      <x:c r="AJ60" s="9" t="str">
        <x:v>Explicitly trained largest × juggling ball</x:v>
      </x:c>
      <x:c r="AK60" s="9" t="str">
        <x:v>Eval_Size_Recognition (1).xlsm</x:v>
      </x:c>
      <x:c r="AL60" s="9" t="str">
        <x:v>VLA-0 Results</x:v>
      </x:c>
      <x:c r="AM60" s="9" t="n">
        <x:v>8</x:v>
      </x:c>
      <x:c r="AN60" s="9" t="n">
        <x:v>8</x:v>
      </x:c>
    </x:row>
    <x:row r="61">
      <x:c r="A61" s="9" t="str">
        <x:v>Failure</x:v>
      </x:c>
      <x:c r="B61" s="9" t="str">
        <x:v>Size Recognition</x:v>
      </x:c>
      <x:c r="C61" s="10" t="n">
        <x:v>7</x:v>
      </x:c>
      <x:c r="D61" s="9" t="str">
        <x:v>Move the object that is largest into the bowl.</x:v>
      </x:c>
      <x:c r="E61" s="9" t="str">
        <x:v>Bowl: empty. Table, robot-left→robot-right: P1 crushed Pepsi can; P2 green block; P3 juggling ball; P4 red pencil sharpener. Adjacent centers 12 cm apart; row shifted 4 cm away from the robot; all objects fully visible and grasp paths clear.</x:v>
      </x:c>
      <x:c r="F61" s="9" t="str">
        <x:v>MOVE crushed Pepsi can to bowl</x:v>
      </x:c>
      <x:c r="G61" s="9" t="str">
        <x:v>turned to juggling ball with soda can gripping strategy; didn't grip the juggling ball</x:v>
      </x:c>
      <x:c r="H61" s="9" t="str">
        <x:v>In-distribution concept baseline</x:v>
      </x:c>
      <x:c r="I61" s="9" t="str">
        <x:v>SZ-ID-PC02</x:v>
      </x:c>
      <x:c r="J61" s="9" t="str">
        <x:v>largest</x:v>
      </x:c>
      <x:c r="K61" s="9"/>
      <x:c r="L61" s="9" t="str">
        <x:v>1156</x:v>
      </x:c>
      <x:c r="M61" s="9"/>
      <x:c r="N61" s="9"/>
      <x:c r="O61" s="9" t="str">
        <x:v>Build the listed manifest-supported scene.</x:v>
      </x:c>
      <x:c r="P61" s="9" t="str">
        <x:v>Exact prompt and object composition from training episode 1156; this establishes the familiar largest × crushed Pepsi can cell.</x:v>
      </x:c>
      <x:c r="Q61" s="9"/>
      <x:c r="R61" s="10" t="n">
        <x:v>4</x:v>
      </x:c>
      <x:c r="S61" s="10"/>
      <x:c r="T61" s="9"/>
      <x:c r="U61" s="9"/>
      <x:c r="V61" s="9"/>
      <x:c r="W61" s="9"/>
      <x:c r="X61" s="10"/>
      <x:c r="Y61" s="10"/>
      <x:c r="Z61" s="9"/>
      <x:c r="AA61" s="9"/>
      <x:c r="AB61" s="9"/>
      <x:c r="AC61" s="9"/>
      <x:c r="AD61" s="9" t="str">
        <x:v>crushed Pepsi can</x:v>
      </x:c>
      <x:c r="AE61" s="9"/>
      <x:c r="AF61" s="9"/>
      <x:c r="AG61" s="9"/>
      <x:c r="AH61" s="9" t="str">
        <x:v>Left</x:v>
      </x:c>
      <x:c r="AI61" s="11" t="n">
        <x:v>12</x:v>
      </x:c>
      <x:c r="AJ61" s="9" t="str">
        <x:v>Explicitly trained largest × crushed Pepsi can</x:v>
      </x:c>
      <x:c r="AK61" s="9" t="str">
        <x:v>Eval_Size_Recognition (1).xlsm</x:v>
      </x:c>
      <x:c r="AL61" s="9" t="str">
        <x:v>VLA-0 Results</x:v>
      </x:c>
      <x:c r="AM61" s="9" t="n">
        <x:v>9</x:v>
      </x:c>
      <x:c r="AN61" s="9" t="n">
        <x:v>9</x:v>
      </x:c>
    </x:row>
    <x:row r="62">
      <x:c r="A62" s="9" t="str">
        <x:v>Failure</x:v>
      </x:c>
      <x:c r="B62" s="9" t="str">
        <x:v>Size Recognition</x:v>
      </x:c>
      <x:c r="C62" s="10" t="n">
        <x:v>8</x:v>
      </x:c>
      <x:c r="D62" s="9" t="str">
        <x:v>Move the object that is smallest into the bowl.</x:v>
      </x:c>
      <x:c r="E62" s="9" t="str">
        <x:v>Bowl: empty. Table, robot-left→robot-right: P1 red pencil sharpener; P2 crushed Pepsi can; P3 green block; P4 juggling ball. Adjacent centers 16 cm apart; row shifted 4 cm toward robot-right; all objects fully visible and grasp paths clear.</x:v>
      </x:c>
      <x:c r="F62" s="9" t="str">
        <x:v>MOVE red pencil sharpener to bowl</x:v>
      </x:c>
      <x:c r="G62" s="9" t="str">
        <x:v>kind of went for green block</x:v>
      </x:c>
      <x:c r="H62" s="9" t="str">
        <x:v>In-distribution concept baseline</x:v>
      </x:c>
      <x:c r="I62" s="9" t="str">
        <x:v>SZ-ID-SH03</x:v>
      </x:c>
      <x:c r="J62" s="9" t="str">
        <x:v>smallest</x:v>
      </x:c>
      <x:c r="K62" s="9"/>
      <x:c r="L62" s="9" t="str">
        <x:v>1007</x:v>
      </x:c>
      <x:c r="M62" s="9"/>
      <x:c r="N62" s="9"/>
      <x:c r="O62" s="9" t="str">
        <x:v>Build the listed manifest-supported scene.</x:v>
      </x:c>
      <x:c r="P62" s="9" t="str">
        <x:v>Exact prompt and object composition from training episode 1007; this establishes the familiar smallest × red pencil sharpener cell.</x:v>
      </x:c>
      <x:c r="Q62" s="9"/>
      <x:c r="R62" s="10" t="n">
        <x:v>4</x:v>
      </x:c>
      <x:c r="S62" s="10"/>
      <x:c r="T62" s="9"/>
      <x:c r="U62" s="9"/>
      <x:c r="V62" s="9"/>
      <x:c r="W62" s="9"/>
      <x:c r="X62" s="10"/>
      <x:c r="Y62" s="10"/>
      <x:c r="Z62" s="9"/>
      <x:c r="AA62" s="9"/>
      <x:c r="AB62" s="9"/>
      <x:c r="AC62" s="9"/>
      <x:c r="AD62" s="9" t="str">
        <x:v>red pencil sharpener</x:v>
      </x:c>
      <x:c r="AE62" s="9"/>
      <x:c r="AF62" s="9"/>
      <x:c r="AG62" s="9"/>
      <x:c r="AH62" s="9" t="str">
        <x:v>Left</x:v>
      </x:c>
      <x:c r="AI62" s="11" t="n">
        <x:v>16</x:v>
      </x:c>
      <x:c r="AJ62" s="9" t="str">
        <x:v>Explicitly trained smallest × red pencil sharpener</x:v>
      </x:c>
      <x:c r="AK62" s="9" t="str">
        <x:v>Eval_Size_Recognition (1).xlsm</x:v>
      </x:c>
      <x:c r="AL62" s="9" t="str">
        <x:v>VLA-0 Results</x:v>
      </x:c>
      <x:c r="AM62" s="9" t="n">
        <x:v>10</x:v>
      </x:c>
      <x:c r="AN62" s="9" t="n">
        <x:v>10</x:v>
      </x:c>
    </x:row>
    <x:row r="63">
      <x:c r="A63" s="9" t="str">
        <x:v>Failure</x:v>
      </x:c>
      <x:c r="B63" s="9" t="str">
        <x:v>Size Recognition</x:v>
      </x:c>
      <x:c r="C63" s="10" t="n">
        <x:v>9</x:v>
      </x:c>
      <x:c r="D63" s="9" t="str">
        <x:v>Put the smallest object in the bowl.</x:v>
      </x:c>
      <x:c r="E63" s="9" t="str">
        <x:v>Bowl: empty. Table, robot-left→robot-right: P1 crushed Pepsi can; P2 juggling ball; P3 green block. Adjacent centers 8 cm apart; row shifted 4 cm toward the robot; all objects fully visible and grasp paths clear.</x:v>
      </x:c>
      <x:c r="F63" s="9" t="str">
        <x:v>MOVE green block to bowl</x:v>
      </x:c>
      <x:c r="G63" s="9" t="str">
        <x:v>went to juggling ball and could not pick up</x:v>
      </x:c>
      <x:c r="H63" s="9" t="str">
        <x:v>In-distribution concept baseline</x:v>
      </x:c>
      <x:c r="I63" s="9" t="str">
        <x:v>SZ-ID-GB03</x:v>
      </x:c>
      <x:c r="J63" s="9" t="str">
        <x:v>smallest</x:v>
      </x:c>
      <x:c r="K63" s="9"/>
      <x:c r="L63" s="9" t="str">
        <x:v>1052</x:v>
      </x:c>
      <x:c r="M63" s="9"/>
      <x:c r="N63" s="9"/>
      <x:c r="O63" s="9" t="str">
        <x:v>Build the listed manifest-supported scene.</x:v>
      </x:c>
      <x:c r="P63" s="9" t="str">
        <x:v>Exact prompt and object composition from training episode 1052; this establishes the familiar smallest × green block cell.</x:v>
      </x:c>
      <x:c r="Q63" s="9"/>
      <x:c r="R63" s="10" t="n">
        <x:v>3</x:v>
      </x:c>
      <x:c r="S63" s="10"/>
      <x:c r="T63" s="9"/>
      <x:c r="U63" s="9"/>
      <x:c r="V63" s="9"/>
      <x:c r="W63" s="9"/>
      <x:c r="X63" s="10"/>
      <x:c r="Y63" s="10"/>
      <x:c r="Z63" s="9"/>
      <x:c r="AA63" s="9"/>
      <x:c r="AB63" s="9"/>
      <x:c r="AC63" s="9"/>
      <x:c r="AD63" s="9" t="str">
        <x:v>green block</x:v>
      </x:c>
      <x:c r="AE63" s="9"/>
      <x:c r="AF63" s="9"/>
      <x:c r="AG63" s="9"/>
      <x:c r="AH63" s="9" t="str">
        <x:v>Right</x:v>
      </x:c>
      <x:c r="AI63" s="11" t="n">
        <x:v>8</x:v>
      </x:c>
      <x:c r="AJ63" s="9" t="str">
        <x:v>Explicitly trained smallest × green block</x:v>
      </x:c>
      <x:c r="AK63" s="9" t="str">
        <x:v>Eval_Size_Recognition (1).xlsm</x:v>
      </x:c>
      <x:c r="AL63" s="9" t="str">
        <x:v>VLA-0 Results</x:v>
      </x:c>
      <x:c r="AM63" s="9" t="n">
        <x:v>11</x:v>
      </x:c>
      <x:c r="AN63" s="9" t="n">
        <x:v>11</x:v>
      </x:c>
    </x:row>
    <x:row r="64">
      <x:c r="A64" s="9" t="str">
        <x:v>Failure</x:v>
      </x:c>
      <x:c r="B64" s="9" t="str">
        <x:v>Size Recognition</x:v>
      </x:c>
      <x:c r="C64" s="10" t="n">
        <x:v>10</x:v>
      </x:c>
      <x:c r="D64" s="9" t="str">
        <x:v>Pick up the largest item and place it in the bowl.</x:v>
      </x:c>
      <x:c r="E64" s="9" t="str">
        <x:v>Bowl: empty. Table, robot-left→robot-right: P1 juggling ball; P2 red pencil sharpener; P3 green block. Adjacent centers 12 cm apart; row shifted 4 cm away from the robot; all objects fully visible and grasp paths clear.</x:v>
      </x:c>
      <x:c r="F64" s="9" t="str">
        <x:v>MOVE juggling ball to bowl</x:v>
      </x:c>
      <x:c r="G64" s="9" t="str">
        <x:v>went to red pencil sharpener and did not move</x:v>
      </x:c>
      <x:c r="H64" s="9" t="str">
        <x:v>In-distribution concept baseline</x:v>
      </x:c>
      <x:c r="I64" s="9" t="str">
        <x:v>SZ-ID-JB03</x:v>
      </x:c>
      <x:c r="J64" s="9" t="str">
        <x:v>largest</x:v>
      </x:c>
      <x:c r="K64" s="9"/>
      <x:c r="L64" s="9" t="str">
        <x:v>1127</x:v>
      </x:c>
      <x:c r="M64" s="9"/>
      <x:c r="N64" s="9"/>
      <x:c r="O64" s="9" t="str">
        <x:v>Build the listed manifest-supported scene.</x:v>
      </x:c>
      <x:c r="P64" s="9" t="str">
        <x:v>Exact prompt and object composition from training episode 1127; this establishes the familiar largest × juggling ball cell.</x:v>
      </x:c>
      <x:c r="Q64" s="9"/>
      <x:c r="R64" s="10" t="n">
        <x:v>3</x:v>
      </x:c>
      <x:c r="S64" s="10"/>
      <x:c r="T64" s="9"/>
      <x:c r="U64" s="9"/>
      <x:c r="V64" s="9"/>
      <x:c r="W64" s="9"/>
      <x:c r="X64" s="10"/>
      <x:c r="Y64" s="10"/>
      <x:c r="Z64" s="9"/>
      <x:c r="AA64" s="9"/>
      <x:c r="AB64" s="9"/>
      <x:c r="AC64" s="9"/>
      <x:c r="AD64" s="9" t="str">
        <x:v>juggling ball</x:v>
      </x:c>
      <x:c r="AE64" s="9"/>
      <x:c r="AF64" s="9"/>
      <x:c r="AG64" s="9"/>
      <x:c r="AH64" s="9" t="str">
        <x:v>Left</x:v>
      </x:c>
      <x:c r="AI64" s="11" t="n">
        <x:v>12</x:v>
      </x:c>
      <x:c r="AJ64" s="9" t="str">
        <x:v>Explicitly trained largest × juggling ball</x:v>
      </x:c>
      <x:c r="AK64" s="9" t="str">
        <x:v>Eval_Size_Recognition (1).xlsm</x:v>
      </x:c>
      <x:c r="AL64" s="9" t="str">
        <x:v>VLA-0 Results</x:v>
      </x:c>
      <x:c r="AM64" s="9" t="n">
        <x:v>12</x:v>
      </x:c>
      <x:c r="AN64" s="9" t="n">
        <x:v>12</x:v>
      </x:c>
    </x:row>
    <x:row r="65">
      <x:c r="A65" s="9" t="str">
        <x:v>Failure</x:v>
      </x:c>
      <x:c r="B65" s="9" t="str">
        <x:v>Size Recognition</x:v>
      </x:c>
      <x:c r="C65" s="10" t="n">
        <x:v>11</x:v>
      </x:c>
      <x:c r="D65" s="9" t="str">
        <x:v>Put the largest object in the bowl.</x:v>
      </x:c>
      <x:c r="E65" s="9" t="str">
        <x:v>Bowl: empty. Table, robot-left→robot-right: P1 juggling ball; P2 red pencil sharpener; P3 green block; P4 crushed Pepsi can. Adjacent centers 16 cm apart; row centered on the workspace; all objects fully visible and grasp paths clear.</x:v>
      </x:c>
      <x:c r="F65" s="9" t="str">
        <x:v>MOVE crushed Pepsi can to bowl</x:v>
      </x:c>
      <x:c r="G65" s="9" t="str">
        <x:v>went into the can gripping strategy but didn't get it</x:v>
      </x:c>
      <x:c r="H65" s="9" t="str">
        <x:v>In-distribution concept baseline</x:v>
      </x:c>
      <x:c r="I65" s="9" t="str">
        <x:v>SZ-ID-PC03</x:v>
      </x:c>
      <x:c r="J65" s="9" t="str">
        <x:v>largest</x:v>
      </x:c>
      <x:c r="K65" s="9"/>
      <x:c r="L65" s="9" t="str">
        <x:v>1157</x:v>
      </x:c>
      <x:c r="M65" s="9"/>
      <x:c r="N65" s="9"/>
      <x:c r="O65" s="9" t="str">
        <x:v>Build the listed manifest-supported scene.</x:v>
      </x:c>
      <x:c r="P65" s="9" t="str">
        <x:v>Exact prompt and object composition from training episode 1157; this establishes the familiar largest × crushed Pepsi can cell.</x:v>
      </x:c>
      <x:c r="Q65" s="9"/>
      <x:c r="R65" s="10" t="n">
        <x:v>4</x:v>
      </x:c>
      <x:c r="S65" s="10"/>
      <x:c r="T65" s="9"/>
      <x:c r="U65" s="9"/>
      <x:c r="V65" s="9"/>
      <x:c r="W65" s="9"/>
      <x:c r="X65" s="10"/>
      <x:c r="Y65" s="10"/>
      <x:c r="Z65" s="9"/>
      <x:c r="AA65" s="9"/>
      <x:c r="AB65" s="9"/>
      <x:c r="AC65" s="9"/>
      <x:c r="AD65" s="9" t="str">
        <x:v>crushed Pepsi can</x:v>
      </x:c>
      <x:c r="AE65" s="9"/>
      <x:c r="AF65" s="9"/>
      <x:c r="AG65" s="9"/>
      <x:c r="AH65" s="9" t="str">
        <x:v>Right</x:v>
      </x:c>
      <x:c r="AI65" s="11" t="n">
        <x:v>16</x:v>
      </x:c>
      <x:c r="AJ65" s="9" t="str">
        <x:v>Explicitly trained largest × crushed Pepsi can</x:v>
      </x:c>
      <x:c r="AK65" s="9" t="str">
        <x:v>Eval_Size_Recognition (1).xlsm</x:v>
      </x:c>
      <x:c r="AL65" s="9" t="str">
        <x:v>VLA-0 Results</x:v>
      </x:c>
      <x:c r="AM65" s="9" t="n">
        <x:v>13</x:v>
      </x:c>
      <x:c r="AN65" s="9" t="n">
        <x:v>13</x:v>
      </x:c>
    </x:row>
    <x:row r="66">
      <x:c r="A66" s="9" t="str">
        <x:v>Failure</x:v>
      </x:c>
      <x:c r="B66" s="9" t="str">
        <x:v>Size Recognition</x:v>
      </x:c>
      <x:c r="C66" s="10" t="n">
        <x:v>12</x:v>
      </x:c>
      <x:c r="D66" s="9" t="str">
        <x:v>Put the smallest object in the bowl.</x:v>
      </x:c>
      <x:c r="E66" s="9" t="str">
        <x:v>Bowl: empty. Table, robot-left→robot-right: P1 green block; P2 juggling ball; P3 crushed Pepsi can; P4 red pencil sharpener. Adjacent centers 8 cm apart; row shifted 4 cm toward the robot; all objects fully visible and grasp paths clear.</x:v>
      </x:c>
      <x:c r="F66" s="9" t="str">
        <x:v>MOVE red pencil sharpener to bowl</x:v>
      </x:c>
      <x:c r="G66" s="9"/>
      <x:c r="H66" s="9" t="str">
        <x:v>In-distribution concept baseline</x:v>
      </x:c>
      <x:c r="I66" s="9" t="str">
        <x:v>SZ-ID-SH04</x:v>
      </x:c>
      <x:c r="J66" s="9" t="str">
        <x:v>smallest</x:v>
      </x:c>
      <x:c r="K66" s="9"/>
      <x:c r="L66" s="9" t="str">
        <x:v>1008</x:v>
      </x:c>
      <x:c r="M66" s="9"/>
      <x:c r="N66" s="9"/>
      <x:c r="O66" s="9" t="str">
        <x:v>Build the listed manifest-supported scene.</x:v>
      </x:c>
      <x:c r="P66" s="9" t="str">
        <x:v>Exact prompt and object composition from training episode 1008; this establishes the familiar smallest × red pencil sharpener cell.</x:v>
      </x:c>
      <x:c r="Q66" s="9"/>
      <x:c r="R66" s="10" t="n">
        <x:v>4</x:v>
      </x:c>
      <x:c r="S66" s="10"/>
      <x:c r="T66" s="9"/>
      <x:c r="U66" s="9"/>
      <x:c r="V66" s="9"/>
      <x:c r="W66" s="9"/>
      <x:c r="X66" s="10"/>
      <x:c r="Y66" s="10"/>
      <x:c r="Z66" s="9"/>
      <x:c r="AA66" s="9"/>
      <x:c r="AB66" s="9"/>
      <x:c r="AC66" s="9"/>
      <x:c r="AD66" s="9" t="str">
        <x:v>red pencil sharpener</x:v>
      </x:c>
      <x:c r="AE66" s="9"/>
      <x:c r="AF66" s="9"/>
      <x:c r="AG66" s="9"/>
      <x:c r="AH66" s="9" t="str">
        <x:v>Right</x:v>
      </x:c>
      <x:c r="AI66" s="11" t="n">
        <x:v>8</x:v>
      </x:c>
      <x:c r="AJ66" s="9" t="str">
        <x:v>Explicitly trained smallest × red pencil sharpener</x:v>
      </x:c>
      <x:c r="AK66" s="9" t="str">
        <x:v>Eval_Size_Recognition (1).xlsm</x:v>
      </x:c>
      <x:c r="AL66" s="9" t="str">
        <x:v>VLA-0 Results</x:v>
      </x:c>
      <x:c r="AM66" s="9" t="n">
        <x:v>14</x:v>
      </x:c>
      <x:c r="AN66" s="9" t="n">
        <x:v>14</x:v>
      </x:c>
    </x:row>
    <x:row r="67">
      <x:c r="A67" s="9" t="str">
        <x:v>Failure</x:v>
      </x:c>
      <x:c r="B67" s="9" t="str">
        <x:v>Size Recognition</x:v>
      </x:c>
      <x:c r="C67" s="10" t="n">
        <x:v>13</x:v>
      </x:c>
      <x:c r="D67" s="9" t="str">
        <x:v>Put the smallest object in the bowl.</x:v>
      </x:c>
      <x:c r="E67" s="9" t="str">
        <x:v>Bowl: empty. Table, robot-left→robot-right: P1 green block; P2 juggling ball; P3 crushed Pepsi can. Adjacent centers 12 cm apart; row shifted 4 cm away from the robot; all objects fully visible and grasp paths clear.</x:v>
      </x:c>
      <x:c r="F67" s="9" t="str">
        <x:v>MOVE green block to bowl</x:v>
      </x:c>
      <x:c r="G67" s="9" t="str">
        <x:v>slowly rotated towards right but didn't do anything</x:v>
      </x:c>
      <x:c r="H67" s="9" t="str">
        <x:v>In-distribution concept baseline</x:v>
      </x:c>
      <x:c r="I67" s="9" t="str">
        <x:v>SZ-ID-GB04</x:v>
      </x:c>
      <x:c r="J67" s="9" t="str">
        <x:v>smallest</x:v>
      </x:c>
      <x:c r="K67" s="9"/>
      <x:c r="L67" s="9" t="str">
        <x:v>1053</x:v>
      </x:c>
      <x:c r="M67" s="9"/>
      <x:c r="N67" s="9"/>
      <x:c r="O67" s="9" t="str">
        <x:v>Build the listed manifest-supported scene.</x:v>
      </x:c>
      <x:c r="P67" s="9" t="str">
        <x:v>Exact prompt and object composition from training episode 1053; this establishes the familiar smallest × green block cell.</x:v>
      </x:c>
      <x:c r="Q67" s="9"/>
      <x:c r="R67" s="10" t="n">
        <x:v>3</x:v>
      </x:c>
      <x:c r="S67" s="10"/>
      <x:c r="T67" s="9"/>
      <x:c r="U67" s="9"/>
      <x:c r="V67" s="9"/>
      <x:c r="W67" s="9"/>
      <x:c r="X67" s="10"/>
      <x:c r="Y67" s="10"/>
      <x:c r="Z67" s="9"/>
      <x:c r="AA67" s="9"/>
      <x:c r="AB67" s="9"/>
      <x:c r="AC67" s="9"/>
      <x:c r="AD67" s="9" t="str">
        <x:v>green block</x:v>
      </x:c>
      <x:c r="AE67" s="9"/>
      <x:c r="AF67" s="9"/>
      <x:c r="AG67" s="9"/>
      <x:c r="AH67" s="9" t="str">
        <x:v>Left</x:v>
      </x:c>
      <x:c r="AI67" s="11" t="n">
        <x:v>12</x:v>
      </x:c>
      <x:c r="AJ67" s="9" t="str">
        <x:v>Explicitly trained smallest × green block</x:v>
      </x:c>
      <x:c r="AK67" s="9" t="str">
        <x:v>Eval_Size_Recognition (1).xlsm</x:v>
      </x:c>
      <x:c r="AL67" s="9" t="str">
        <x:v>VLA-0 Results</x:v>
      </x:c>
      <x:c r="AM67" s="9" t="n">
        <x:v>15</x:v>
      </x:c>
      <x:c r="AN67" s="9" t="n">
        <x:v>15</x:v>
      </x:c>
    </x:row>
    <x:row r="68">
      <x:c r="A68" s="9" t="str">
        <x:v>Failure</x:v>
      </x:c>
      <x:c r="B68" s="9" t="str">
        <x:v>Size Recognition</x:v>
      </x:c>
      <x:c r="C68" s="10" t="n">
        <x:v>14</x:v>
      </x:c>
      <x:c r="D68" s="9" t="str">
        <x:v>Pick up the largest item and place it in the bowl.</x:v>
      </x:c>
      <x:c r="E68" s="9" t="str">
        <x:v>Bowl: empty. Table, robot-left→robot-right: P1 green block; P2 red pencil sharpener; P3 juggling ball. Adjacent centers 16 cm apart; row centered on the workspace; all objects fully visible and grasp paths clear.</x:v>
      </x:c>
      <x:c r="F68" s="9" t="str">
        <x:v>MOVE juggling ball to bowl</x:v>
      </x:c>
      <x:c r="G68" s="9" t="str">
        <x:v>went for the green block, but couldn't grab it</x:v>
      </x:c>
      <x:c r="H68" s="9" t="str">
        <x:v>In-distribution concept baseline</x:v>
      </x:c>
      <x:c r="I68" s="9" t="str">
        <x:v>SZ-ID-JB04</x:v>
      </x:c>
      <x:c r="J68" s="9" t="str">
        <x:v>largest</x:v>
      </x:c>
      <x:c r="K68" s="9"/>
      <x:c r="L68" s="9" t="str">
        <x:v>1128</x:v>
      </x:c>
      <x:c r="M68" s="9"/>
      <x:c r="N68" s="9"/>
      <x:c r="O68" s="9" t="str">
        <x:v>Build the listed manifest-supported scene.</x:v>
      </x:c>
      <x:c r="P68" s="9" t="str">
        <x:v>Exact prompt and object composition from training episode 1128; this establishes the familiar largest × juggling ball cell.</x:v>
      </x:c>
      <x:c r="Q68" s="9"/>
      <x:c r="R68" s="10" t="n">
        <x:v>3</x:v>
      </x:c>
      <x:c r="S68" s="10"/>
      <x:c r="T68" s="9"/>
      <x:c r="U68" s="9"/>
      <x:c r="V68" s="9"/>
      <x:c r="W68" s="9"/>
      <x:c r="X68" s="10"/>
      <x:c r="Y68" s="10"/>
      <x:c r="Z68" s="9"/>
      <x:c r="AA68" s="9"/>
      <x:c r="AB68" s="9"/>
      <x:c r="AC68" s="9"/>
      <x:c r="AD68" s="9" t="str">
        <x:v>juggling ball</x:v>
      </x:c>
      <x:c r="AE68" s="9"/>
      <x:c r="AF68" s="9"/>
      <x:c r="AG68" s="9"/>
      <x:c r="AH68" s="9" t="str">
        <x:v>Right</x:v>
      </x:c>
      <x:c r="AI68" s="11" t="n">
        <x:v>16</x:v>
      </x:c>
      <x:c r="AJ68" s="9" t="str">
        <x:v>Explicitly trained largest × juggling ball</x:v>
      </x:c>
      <x:c r="AK68" s="9" t="str">
        <x:v>Eval_Size_Recognition (1).xlsm</x:v>
      </x:c>
      <x:c r="AL68" s="9" t="str">
        <x:v>VLA-0 Results</x:v>
      </x:c>
      <x:c r="AM68" s="9" t="n">
        <x:v>16</x:v>
      </x:c>
      <x:c r="AN68" s="9" t="n">
        <x:v>16</x:v>
      </x:c>
    </x:row>
    <x:row r="69">
      <x:c r="A69" s="9" t="str">
        <x:v>Failure</x:v>
      </x:c>
      <x:c r="B69" s="9" t="str">
        <x:v>Size Recognition</x:v>
      </x:c>
      <x:c r="C69" s="10" t="n">
        <x:v>15</x:v>
      </x:c>
      <x:c r="D69" s="9" t="str">
        <x:v>Put the largest object in the bowl.</x:v>
      </x:c>
      <x:c r="E69" s="9" t="str">
        <x:v>Bowl: empty. Table, robot-left→robot-right: P1 crushed Pepsi can; P2 red pencil sharpener; P3 green block; P4 juggling ball. Adjacent centers 8 cm apart; row shifted 4 cm toward robot-left; all objects fully visible and grasp paths clear.</x:v>
      </x:c>
      <x:c r="F69" s="9" t="str">
        <x:v>MOVE crushed Pepsi can to bowl</x:v>
      </x:c>
      <x:c r="G69" s="9" t="str">
        <x:v>didn't rotate far enough to the right to grab the soda can. Had the right gripping strategy but was going to pencil sharpener</x:v>
      </x:c>
      <x:c r="H69" s="9" t="str">
        <x:v>In-distribution concept baseline</x:v>
      </x:c>
      <x:c r="I69" s="9" t="str">
        <x:v>SZ-ID-PC04</x:v>
      </x:c>
      <x:c r="J69" s="9" t="str">
        <x:v>largest</x:v>
      </x:c>
      <x:c r="K69" s="9"/>
      <x:c r="L69" s="9" t="str">
        <x:v>1158</x:v>
      </x:c>
      <x:c r="M69" s="9"/>
      <x:c r="N69" s="9"/>
      <x:c r="O69" s="9" t="str">
        <x:v>Build the listed manifest-supported scene.</x:v>
      </x:c>
      <x:c r="P69" s="9" t="str">
        <x:v>Exact prompt and object composition from training episode 1158; this establishes the familiar largest × crushed Pepsi can cell.</x:v>
      </x:c>
      <x:c r="Q69" s="9"/>
      <x:c r="R69" s="10" t="n">
        <x:v>4</x:v>
      </x:c>
      <x:c r="S69" s="10"/>
      <x:c r="T69" s="9"/>
      <x:c r="U69" s="9"/>
      <x:c r="V69" s="9"/>
      <x:c r="W69" s="9"/>
      <x:c r="X69" s="10"/>
      <x:c r="Y69" s="10"/>
      <x:c r="Z69" s="9"/>
      <x:c r="AA69" s="9"/>
      <x:c r="AB69" s="9"/>
      <x:c r="AC69" s="9"/>
      <x:c r="AD69" s="9" t="str">
        <x:v>crushed Pepsi can</x:v>
      </x:c>
      <x:c r="AE69" s="9"/>
      <x:c r="AF69" s="9"/>
      <x:c r="AG69" s="9"/>
      <x:c r="AH69" s="9" t="str">
        <x:v>Left</x:v>
      </x:c>
      <x:c r="AI69" s="11" t="n">
        <x:v>8</x:v>
      </x:c>
      <x:c r="AJ69" s="9" t="str">
        <x:v>Explicitly trained largest × crushed Pepsi can</x:v>
      </x:c>
      <x:c r="AK69" s="9" t="str">
        <x:v>Eval_Size_Recognition (1).xlsm</x:v>
      </x:c>
      <x:c r="AL69" s="9" t="str">
        <x:v>VLA-0 Results</x:v>
      </x:c>
      <x:c r="AM69" s="9" t="n">
        <x:v>17</x:v>
      </x:c>
      <x:c r="AN69" s="9" t="n">
        <x:v>17</x:v>
      </x:c>
    </x:row>
    <x:row r="70">
      <x:c r="A70" s="9" t="str">
        <x:v>Failure</x:v>
      </x:c>
      <x:c r="B70" s="9" t="str">
        <x:v>Size Recognition</x:v>
      </x:c>
      <x:c r="C70" s="10" t="n">
        <x:v>16</x:v>
      </x:c>
      <x:c r="D70" s="9" t="str">
        <x:v>Move the object that is smallest into the bowl.</x:v>
      </x:c>
      <x:c r="E70" s="9" t="str">
        <x:v>Bowl: empty. Table, robot-left→robot-right: P1 red pencil sharpener; P2 juggling ball; P3 crushed Pepsi can; P4 green block. Adjacent centers 12 cm apart; row shifted 4 cm away from the robot; all objects fully visible and grasp paths clear.</x:v>
      </x:c>
      <x:c r="F70" s="9" t="str">
        <x:v>MOVE red pencil sharpener to bowl</x:v>
      </x:c>
      <x:c r="G70" s="9" t="str">
        <x:v>went for juggling ball, then aggressively lifted wrist up and rolled it out of the workspace</x:v>
      </x:c>
      <x:c r="H70" s="9" t="str">
        <x:v>In-distribution concept baseline</x:v>
      </x:c>
      <x:c r="I70" s="9" t="str">
        <x:v>SZ-ID-SH05</x:v>
      </x:c>
      <x:c r="J70" s="9" t="str">
        <x:v>smallest</x:v>
      </x:c>
      <x:c r="K70" s="9"/>
      <x:c r="L70" s="9" t="str">
        <x:v>1009</x:v>
      </x:c>
      <x:c r="M70" s="9"/>
      <x:c r="N70" s="9"/>
      <x:c r="O70" s="9" t="str">
        <x:v>Build the listed manifest-supported scene.</x:v>
      </x:c>
      <x:c r="P70" s="9" t="str">
        <x:v>Exact prompt and object composition from training episode 1009; this establishes the familiar smallest × red pencil sharpener cell.</x:v>
      </x:c>
      <x:c r="Q70" s="9"/>
      <x:c r="R70" s="10" t="n">
        <x:v>4</x:v>
      </x:c>
      <x:c r="S70" s="10"/>
      <x:c r="T70" s="9"/>
      <x:c r="U70" s="9"/>
      <x:c r="V70" s="9"/>
      <x:c r="W70" s="9"/>
      <x:c r="X70" s="10"/>
      <x:c r="Y70" s="10"/>
      <x:c r="Z70" s="9"/>
      <x:c r="AA70" s="9"/>
      <x:c r="AB70" s="9"/>
      <x:c r="AC70" s="9"/>
      <x:c r="AD70" s="9" t="str">
        <x:v>red pencil sharpener</x:v>
      </x:c>
      <x:c r="AE70" s="9"/>
      <x:c r="AF70" s="9"/>
      <x:c r="AG70" s="9"/>
      <x:c r="AH70" s="9" t="str">
        <x:v>Left</x:v>
      </x:c>
      <x:c r="AI70" s="11" t="n">
        <x:v>12</x:v>
      </x:c>
      <x:c r="AJ70" s="9" t="str">
        <x:v>Explicitly trained smallest × red pencil sharpener</x:v>
      </x:c>
      <x:c r="AK70" s="9" t="str">
        <x:v>Eval_Size_Recognition (1).xlsm</x:v>
      </x:c>
      <x:c r="AL70" s="9" t="str">
        <x:v>VLA-0 Results</x:v>
      </x:c>
      <x:c r="AM70" s="9" t="n">
        <x:v>18</x:v>
      </x:c>
      <x:c r="AN70" s="9" t="n">
        <x:v>18</x:v>
      </x:c>
    </x:row>
    <x:row r="71">
      <x:c r="A71" s="9" t="str">
        <x:v>Failure</x:v>
      </x:c>
      <x:c r="B71" s="9" t="str">
        <x:v>Size Recognition</x:v>
      </x:c>
      <x:c r="C71" s="10" t="n">
        <x:v>17</x:v>
      </x:c>
      <x:c r="D71" s="9" t="str">
        <x:v>Put the smallest object in the bowl.</x:v>
      </x:c>
      <x:c r="E71" s="9" t="str">
        <x:v>Bowl: empty. Table, robot-left→robot-right: P1 crushed Pepsi can; P2 juggling ball; P3 green block. Adjacent centers 16 cm apart; row centered on the workspace; all objects fully visible and grasp paths clear.</x:v>
      </x:c>
      <x:c r="F71" s="9" t="str">
        <x:v>MOVE green block to bowl</x:v>
      </x:c>
      <x:c r="G71" s="9" t="str">
        <x:v>moved to the green block, but didn't open up the gripper to pick it up </x:v>
      </x:c>
      <x:c r="H71" s="9" t="str">
        <x:v>In-distribution concept baseline</x:v>
      </x:c>
      <x:c r="I71" s="9" t="str">
        <x:v>SZ-ID-GB05</x:v>
      </x:c>
      <x:c r="J71" s="9" t="str">
        <x:v>smallest</x:v>
      </x:c>
      <x:c r="K71" s="9"/>
      <x:c r="L71" s="9" t="str">
        <x:v>1054</x:v>
      </x:c>
      <x:c r="M71" s="9"/>
      <x:c r="N71" s="9"/>
      <x:c r="O71" s="9" t="str">
        <x:v>Build the listed manifest-supported scene.</x:v>
      </x:c>
      <x:c r="P71" s="9" t="str">
        <x:v>Exact prompt and object composition from training episode 1054; this establishes the familiar smallest × green block cell.</x:v>
      </x:c>
      <x:c r="Q71" s="9"/>
      <x:c r="R71" s="10" t="n">
        <x:v>3</x:v>
      </x:c>
      <x:c r="S71" s="10"/>
      <x:c r="T71" s="9"/>
      <x:c r="U71" s="9"/>
      <x:c r="V71" s="9"/>
      <x:c r="W71" s="9"/>
      <x:c r="X71" s="10"/>
      <x:c r="Y71" s="10"/>
      <x:c r="Z71" s="9"/>
      <x:c r="AA71" s="9"/>
      <x:c r="AB71" s="9"/>
      <x:c r="AC71" s="9"/>
      <x:c r="AD71" s="9" t="str">
        <x:v>green block</x:v>
      </x:c>
      <x:c r="AE71" s="9"/>
      <x:c r="AF71" s="9"/>
      <x:c r="AG71" s="9"/>
      <x:c r="AH71" s="9" t="str">
        <x:v>Right</x:v>
      </x:c>
      <x:c r="AI71" s="11" t="n">
        <x:v>16</x:v>
      </x:c>
      <x:c r="AJ71" s="9" t="str">
        <x:v>Explicitly trained smallest × green block</x:v>
      </x:c>
      <x:c r="AK71" s="9" t="str">
        <x:v>Eval_Size_Recognition (1).xlsm</x:v>
      </x:c>
      <x:c r="AL71" s="9" t="str">
        <x:v>VLA-0 Results</x:v>
      </x:c>
      <x:c r="AM71" s="9" t="n">
        <x:v>19</x:v>
      </x:c>
      <x:c r="AN71" s="9" t="n">
        <x:v>19</x:v>
      </x:c>
    </x:row>
    <x:row r="72">
      <x:c r="A72" s="9" t="str">
        <x:v>Failure</x:v>
      </x:c>
      <x:c r="B72" s="9" t="str">
        <x:v>Size Recognition</x:v>
      </x:c>
      <x:c r="C72" s="10" t="n">
        <x:v>18</x:v>
      </x:c>
      <x:c r="D72" s="9" t="str">
        <x:v>Put the largest object in the bowl.</x:v>
      </x:c>
      <x:c r="E72" s="9" t="str">
        <x:v>Bowl: empty. Table, robot-left→robot-right: P1 juggling ball; P2 red pencil sharpener; P3 green block. Adjacent centers 8 cm apart; row shifted 4 cm toward robot-left; all objects fully visible and grasp paths clear.</x:v>
      </x:c>
      <x:c r="F72" s="9" t="str">
        <x:v>MOVE juggling ball to bowl</x:v>
      </x:c>
      <x:c r="G72" s="9" t="str">
        <x:v>tried to pick the red pencil sharpener and couldn't</x:v>
      </x:c>
      <x:c r="H72" s="9" t="str">
        <x:v>In-distribution concept baseline</x:v>
      </x:c>
      <x:c r="I72" s="9" t="str">
        <x:v>SZ-ID-JB05</x:v>
      </x:c>
      <x:c r="J72" s="9" t="str">
        <x:v>largest</x:v>
      </x:c>
      <x:c r="K72" s="9"/>
      <x:c r="L72" s="9" t="str">
        <x:v>1129</x:v>
      </x:c>
      <x:c r="M72" s="9"/>
      <x:c r="N72" s="9"/>
      <x:c r="O72" s="9" t="str">
        <x:v>Build the listed manifest-supported scene.</x:v>
      </x:c>
      <x:c r="P72" s="9" t="str">
        <x:v>Exact prompt and object composition from training episode 1129; this establishes the familiar largest × juggling ball cell.</x:v>
      </x:c>
      <x:c r="Q72" s="9"/>
      <x:c r="R72" s="10" t="n">
        <x:v>3</x:v>
      </x:c>
      <x:c r="S72" s="10"/>
      <x:c r="T72" s="9"/>
      <x:c r="U72" s="9"/>
      <x:c r="V72" s="9"/>
      <x:c r="W72" s="9"/>
      <x:c r="X72" s="10"/>
      <x:c r="Y72" s="10"/>
      <x:c r="Z72" s="9"/>
      <x:c r="AA72" s="9"/>
      <x:c r="AB72" s="9"/>
      <x:c r="AC72" s="9"/>
      <x:c r="AD72" s="9" t="str">
        <x:v>juggling ball</x:v>
      </x:c>
      <x:c r="AE72" s="9"/>
      <x:c r="AF72" s="9"/>
      <x:c r="AG72" s="9"/>
      <x:c r="AH72" s="9" t="str">
        <x:v>Left</x:v>
      </x:c>
      <x:c r="AI72" s="11" t="n">
        <x:v>8</x:v>
      </x:c>
      <x:c r="AJ72" s="9" t="str">
        <x:v>Explicitly trained largest × juggling ball</x:v>
      </x:c>
      <x:c r="AK72" s="9" t="str">
        <x:v>Eval_Size_Recognition (1).xlsm</x:v>
      </x:c>
      <x:c r="AL72" s="9" t="str">
        <x:v>VLA-0 Results</x:v>
      </x:c>
      <x:c r="AM72" s="9" t="n">
        <x:v>20</x:v>
      </x:c>
      <x:c r="AN72" s="9" t="n">
        <x:v>20</x:v>
      </x:c>
    </x:row>
    <x:row r="73">
      <x:c r="A73" s="9" t="str">
        <x:v>Failure</x:v>
      </x:c>
      <x:c r="B73" s="9" t="str">
        <x:v>Size Recognition</x:v>
      </x:c>
      <x:c r="C73" s="10" t="n">
        <x:v>19</x:v>
      </x:c>
      <x:c r="D73" s="9" t="str">
        <x:v>Move the object that is largest into the bowl.</x:v>
      </x:c>
      <x:c r="E73" s="9" t="str">
        <x:v>Bowl: empty. Table, robot-left→robot-right: P1 green block; P2 juggling ball; P3 red pencil sharpener; P4 crushed Pepsi can. Adjacent centers 12 cm apart; row shifted 4 cm toward robot-right; all objects fully visible and grasp paths clear.</x:v>
      </x:c>
      <x:c r="F73" s="9" t="str">
        <x:v>MOVE crushed Pepsi can to bowl</x:v>
      </x:c>
      <x:c r="G73" s="9" t="str">
        <x:v>moved between the pepsi can and juggling ball with soda can gripping technique.</x:v>
      </x:c>
      <x:c r="H73" s="9" t="str">
        <x:v>In-distribution concept baseline</x:v>
      </x:c>
      <x:c r="I73" s="9" t="str">
        <x:v>SZ-ID-PC05</x:v>
      </x:c>
      <x:c r="J73" s="9" t="str">
        <x:v>largest</x:v>
      </x:c>
      <x:c r="K73" s="9"/>
      <x:c r="L73" s="9" t="str">
        <x:v>1159</x:v>
      </x:c>
      <x:c r="M73" s="9"/>
      <x:c r="N73" s="9"/>
      <x:c r="O73" s="9" t="str">
        <x:v>Build the listed manifest-supported scene.</x:v>
      </x:c>
      <x:c r="P73" s="9" t="str">
        <x:v>Exact prompt and object composition from training episode 1159; this establishes the familiar largest × crushed Pepsi can cell.</x:v>
      </x:c>
      <x:c r="Q73" s="9"/>
      <x:c r="R73" s="10" t="n">
        <x:v>4</x:v>
      </x:c>
      <x:c r="S73" s="10"/>
      <x:c r="T73" s="9"/>
      <x:c r="U73" s="9"/>
      <x:c r="V73" s="9"/>
      <x:c r="W73" s="9"/>
      <x:c r="X73" s="10"/>
      <x:c r="Y73" s="10"/>
      <x:c r="Z73" s="9"/>
      <x:c r="AA73" s="9"/>
      <x:c r="AB73" s="9"/>
      <x:c r="AC73" s="9"/>
      <x:c r="AD73" s="9" t="str">
        <x:v>crushed Pepsi can</x:v>
      </x:c>
      <x:c r="AE73" s="9"/>
      <x:c r="AF73" s="9"/>
      <x:c r="AG73" s="9"/>
      <x:c r="AH73" s="9" t="str">
        <x:v>Right</x:v>
      </x:c>
      <x:c r="AI73" s="11" t="n">
        <x:v>12</x:v>
      </x:c>
      <x:c r="AJ73" s="9" t="str">
        <x:v>Explicitly trained largest × crushed Pepsi can</x:v>
      </x:c>
      <x:c r="AK73" s="9" t="str">
        <x:v>Eval_Size_Recognition (1).xlsm</x:v>
      </x:c>
      <x:c r="AL73" s="9" t="str">
        <x:v>VLA-0 Results</x:v>
      </x:c>
      <x:c r="AM73" s="9" t="n">
        <x:v>21</x:v>
      </x:c>
      <x:c r="AN73" s="9" t="n">
        <x:v>21</x:v>
      </x:c>
    </x:row>
  </x:sheetData>
  <x:conditionalFormatting sqref="A2:A73">
    <x:cfRule type="containsText" dxfId="0" priority="1" operator="containsText" text="Success"/>
    <x:cfRule type="containsText" dxfId="1" priority="2" operator="containsText" text="Failure"/>
  </x:conditionalFormatting>
  <x:dataValidations count="1">
    <x:dataValidation type="list" sqref="A2:A73">
      <x:formula1>"Success,Failure"</x:formula1>
    </x:dataValidation>
  </x:dataValidations>
  <x:pageMargins left="0.7" right="0.7" top="0.75" bottom="0.75" header="0.3" footer="0.3"/>
  <x:tableParts count="1">
    <x:tablePart xmlns:r="http://schemas.openxmlformats.org/officeDocument/2006/relationships" r:id="Rc5d4e272d6f94e5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27" hidden="0" customWidth="1"/>
    <x:col min="3" max="3" width="9" hidden="0" customWidth="1"/>
    <x:col min="4" max="4" width="44" hidden="0" customWidth="1"/>
    <x:col min="5" max="5" width="54" hidden="0" customWidth="1"/>
    <x:col min="6" max="6" width="34" hidden="0" customWidth="1"/>
    <x:col min="7" max="7" width="34" hidden="0" customWidth="1"/>
    <x:col min="8" max="8" width="38" hidden="0" customWidth="1"/>
    <x:col min="9" max="9" width="20" hidden="0" customWidth="1"/>
    <x:col min="10" max="10" width="34" hidden="0" customWidth="1"/>
    <x:col min="11" max="11" width="16" hidden="0" customWidth="1"/>
    <x:col min="12" max="12" width="20" hidden="0" customWidth="1"/>
    <x:col min="13" max="13" width="42" hidden="0" customWidth="1"/>
    <x:col min="14" max="14" width="16" hidden="0" customWidth="1"/>
    <x:col min="15" max="15" width="38" hidden="0" customWidth="1"/>
    <x:col min="16" max="16" width="44" hidden="0" customWidth="1"/>
    <x:col min="17" max="17" width="24" hidden="0" customWidth="1"/>
    <x:col min="18" max="18" width="13" hidden="0" customWidth="1"/>
    <x:col min="19" max="19" width="15" hidden="0" customWidth="1"/>
    <x:col min="20" max="20" width="14" hidden="0" customWidth="1"/>
    <x:col min="21" max="21" width="14" hidden="0" customWidth="1"/>
    <x:col min="22" max="22" width="18" hidden="0" customWidth="1"/>
    <x:col min="23" max="23" width="20" hidden="0" customWidth="1"/>
    <x:col min="24" max="24" width="15" hidden="0" customWidth="1"/>
    <x:col min="25" max="25" width="12" hidden="0" customWidth="1"/>
    <x:col min="26" max="26" width="18" hidden="0" customWidth="1"/>
    <x:col min="27" max="27" width="14" hidden="0" customWidth="1"/>
    <x:col min="28" max="28" width="18" hidden="0" customWidth="1"/>
    <x:col min="29" max="29" width="16" hidden="0" customWidth="1"/>
    <x:col min="30" max="30" width="20" hidden="0" customWidth="1"/>
    <x:col min="31" max="31" width="20" hidden="0" customWidth="1"/>
    <x:col min="32" max="32" width="18" hidden="0" customWidth="1"/>
    <x:col min="33" max="33" width="20" hidden="0" customWidth="1"/>
    <x:col min="34" max="34" width="14" hidden="0" customWidth="1"/>
    <x:col min="35" max="35" width="15" hidden="0" customWidth="1"/>
    <x:col min="36" max="36" width="28" hidden="0" customWidth="1"/>
    <x:col min="37" max="37" width="32" hidden="0" customWidth="1"/>
    <x:col min="38" max="38" width="28" hidden="0" customWidth="1"/>
    <x:col min="39" max="39" width="16" hidden="0" customWidth="1"/>
    <x:col min="40" max="40" width="15" hidden="0" customWidth="1"/>
  </x:cols>
  <x:sheetData>
    <x:row r="1" ht="36" customHeight="1">
      <x:c r="A1" s="6" t="str">
        <x:v>Status</x:v>
      </x:c>
      <x:c r="B1" s="6" t="str">
        <x:v>Task</x:v>
      </x:c>
      <x:c r="C1" s="6" t="str">
        <x:v>Episode</x:v>
      </x:c>
      <x:c r="D1" s="6" t="str">
        <x:v>Prompt</x:v>
      </x:c>
      <x:c r="E1" s="6" t="str">
        <x:v>Scene Setup</x:v>
      </x:c>
      <x:c r="F1" s="6" t="str">
        <x:v>Expected Target / Action</x:v>
      </x:c>
      <x:c r="G1" s="6" t="str">
        <x:v>Observations</x:v>
      </x:c>
      <x:c r="H1" s="6" t="str">
        <x:v>Condition</x:v>
      </x:c>
      <x:c r="I1" s="6" t="str">
        <x:v>Scene Family</x:v>
      </x:c>
      <x:c r="J1" s="6" t="str">
        <x:v>Comparison / Subtype</x:v>
      </x:c>
      <x:c r="K1" s="6" t="str">
        <x:v>Reference Episode</x:v>
      </x:c>
      <x:c r="L1" s="6" t="str">
        <x:v>Original Training Episode(s)</x:v>
      </x:c>
      <x:c r="M1" s="6" t="str">
        <x:v>Manifest Alignment</x:v>
      </x:c>
      <x:c r="N1" s="6" t="str">
        <x:v>Collection Block</x:v>
      </x:c>
      <x:c r="O1" s="6" t="str">
        <x:v>Setup Change from Previous</x:v>
      </x:c>
      <x:c r="P1" s="6" t="str">
        <x:v>Design Note</x:v>
      </x:c>
      <x:c r="Q1" s="6" t="str">
        <x:v>Reference Media Filename</x:v>
      </x:c>
      <x:c r="R1" s="6" t="str">
        <x:v>Object Count</x:v>
      </x:c>
      <x:c r="S1" s="6" t="str">
        <x:v>Valid Candidate Count</x:v>
      </x:c>
      <x:c r="T1" s="6" t="str">
        <x:v>Bowl Start</x:v>
      </x:c>
      <x:c r="U1" s="6" t="str">
        <x:v>Queried State</x:v>
      </x:c>
      <x:c r="V1" s="6" t="str">
        <x:v>Queried Category</x:v>
      </x:c>
      <x:c r="W1" s="6" t="str">
        <x:v>Contrast Pair</x:v>
      </x:c>
      <x:c r="X1" s="6" t="str">
        <x:v>Initial Bowl Count</x:v>
      </x:c>
      <x:c r="Y1" s="6" t="str">
        <x:v>Goal Count</x:v>
      </x:c>
      <x:c r="Z1" s="6" t="str">
        <x:v>Action Direction</x:v>
      </x:c>
      <x:c r="AA1" s="6" t="str">
        <x:v>Target Position</x:v>
      </x:c>
      <x:c r="AB1" s="6" t="str">
        <x:v>Query Concept</x:v>
      </x:c>
      <x:c r="AC1" s="6" t="str">
        <x:v>Relation</x:v>
      </x:c>
      <x:c r="AD1" s="6" t="str">
        <x:v>Target Object</x:v>
      </x:c>
      <x:c r="AE1" s="6" t="str">
        <x:v>Reference Object</x:v>
      </x:c>
      <x:c r="AF1" s="6" t="str">
        <x:v>Juggling Ball Role</x:v>
      </x:c>
      <x:c r="AG1" s="6" t="str">
        <x:v>Candidate Category</x:v>
      </x:c>
      <x:c r="AH1" s="6" t="str">
        <x:v>Target Side</x:v>
      </x:c>
      <x:c r="AI1" s="6" t="str">
        <x:v>Separation (cm)</x:v>
      </x:c>
      <x:c r="AJ1" s="6" t="str">
        <x:v>Tested Cell / Role</x:v>
      </x:c>
      <x:c r="AK1" s="6" t="str">
        <x:v>Source Workbook</x:v>
      </x:c>
      <x:c r="AL1" s="6" t="str">
        <x:v>Source Result Sheet</x:v>
      </x:c>
      <x:c r="AM1" s="6" t="str">
        <x:v>Source Result Row</x:v>
      </x:c>
      <x:c r="AN1" s="6" t="str">
        <x:v>Source Plan Row</x:v>
      </x:c>
    </x:row>
    <x:row r="2">
      <x:c r="A2" s="9" t="str">
        <x:v>Success</x:v>
      </x:c>
      <x:c r="B2" s="9" t="str">
        <x:v>State Recognition</x:v>
      </x:c>
      <x:c r="C2" s="10" t="n">
        <x:v>0</x:v>
      </x:c>
      <x:c r="D2" s="9" t="str">
        <x:v>Put the open white cup in the bowl.</x:v>
      </x:c>
      <x:c r="E2" s="9" t="str">
        <x:v>white cup A (O, RU); white cup B (C, RU); glass spice container A (O, RU); yellow-white striped cup B (O, RU)</x:v>
      </x:c>
      <x:c r="F2" s="9" t="str">
        <x:v>white cup A</x:v>
      </x:c>
      <x:c r="G2" s="9"/>
      <x:c r="H2" s="9" t="str">
        <x:v>In-distribution concept baseline</x:v>
      </x:c>
      <x:c r="I2" s="9" t="str">
        <x:v>SR-ID01</x:v>
      </x:c>
      <x:c r="J2" s="9" t="str">
        <x:v>Exact training-supported state-object baseline</x:v>
      </x:c>
      <x:c r="K2" s="9"/>
      <x:c r="L2" s="9" t="str">
        <x:v>2</x:v>
      </x:c>
      <x:c r="M2" s="9" t="str">
        <x:v>Exact manifest episode: trained state-object cell, prompt, same-category candidate structure, and object membership match; physical layout is manually recreated. All objects are upright, matching the context of every explicit open/closed training demonstration.</x:v>
      </x:c>
      <x:c r="N2" s="9" t="n">
        <x:v>1</x:v>
      </x:c>
      <x:c r="O2" s="9" t="str">
        <x:v>Recreate the listed manifest scene with the bowl empty.</x:v>
      </x:c>
      <x:c r="P2" s="9" t="str">
        <x:v>The queried state-object combination and same-category discrimination structure are explicitly represented in training. The orthogonal orientation axis is fixed: every object is RU.</x:v>
      </x:c>
      <x:c r="Q2" s="9"/>
      <x:c r="R2" s="10" t="n">
        <x:v>4</x:v>
      </x:c>
      <x:c r="S2" s="10" t="n">
        <x:v>1</x:v>
      </x:c>
      <x:c r="T2" s="9" t="str">
        <x:v>Empty</x:v>
      </x:c>
      <x:c r="U2" s="9" t="str">
        <x:v>O</x:v>
      </x:c>
      <x:c r="V2" s="9" t="str">
        <x:v>white cup</x:v>
      </x:c>
      <x:c r="W2" s="9"/>
      <x:c r="X2" s="10"/>
      <x:c r="Y2" s="10"/>
      <x:c r="Z2" s="9"/>
      <x:c r="AA2" s="9"/>
      <x:c r="AB2" s="9"/>
      <x:c r="AC2" s="9"/>
      <x:c r="AD2" s="9"/>
      <x:c r="AE2" s="9"/>
      <x:c r="AF2" s="9"/>
      <x:c r="AG2" s="9"/>
      <x:c r="AH2" s="9"/>
      <x:c r="AI2" s="11"/>
      <x:c r="AJ2" s="9"/>
      <x:c r="AK2" s="9" t="str">
        <x:v>Eval_State_Recognition.xlsm</x:v>
      </x:c>
      <x:c r="AL2" s="9" t="str">
        <x:v>GR00T vision only Results</x:v>
      </x:c>
      <x:c r="AM2" s="9" t="n">
        <x:v>2</x:v>
      </x:c>
      <x:c r="AN2" s="9" t="n">
        <x:v>2</x:v>
      </x:c>
    </x:row>
    <x:row r="3">
      <x:c r="A3" s="9" t="str">
        <x:v>Success</x:v>
      </x:c>
      <x:c r="B3" s="9" t="str">
        <x:v>State Recognition</x:v>
      </x:c>
      <x:c r="C3" s="10" t="n">
        <x:v>1</x:v>
      </x:c>
      <x:c r="D3" s="9" t="str">
        <x:v>Put the upright white cup in the bowl.</x:v>
      </x:c>
      <x:c r="E3" s="9" t="str">
        <x:v>white cup A (O, RU); white cup B (O, UD)</x:v>
      </x:c>
      <x:c r="F3" s="9" t="str">
        <x:v>white cup A</x:v>
      </x:c>
      <x:c r="G3" s="9"/>
      <x:c r="H3" s="9" t="str">
        <x:v>In-distribution concept baseline</x:v>
      </x:c>
      <x:c r="I3" s="9" t="str">
        <x:v>SR-ID02</x:v>
      </x:c>
      <x:c r="J3" s="9" t="str">
        <x:v>Exact training-supported state-object baseline</x:v>
      </x:c>
      <x:c r="K3" s="9"/>
      <x:c r="L3" s="9" t="str">
        <x:v>26</x:v>
      </x:c>
      <x:c r="M3" s="9" t="str">
        <x:v>Exact manifest episode: trained state-object cell, prompt, same-category candidate structure, and object membership match; physical layout is manually recreated.</x:v>
      </x:c>
      <x:c r="N3" s="9" t="n">
        <x:v>1</x:v>
      </x:c>
      <x:c r="O3" s="9" t="str">
        <x:v>Recreate the listed manifest scene with the bowl empty.</x:v>
      </x:c>
      <x:c r="P3" s="9" t="str">
        <x:v>The queried state-object combination and same-category discrimination structure are explicitly represented in training. The same-category candidates share the orthogonal C/O state (O).</x:v>
      </x:c>
      <x:c r="Q3" s="9"/>
      <x:c r="R3" s="10" t="n">
        <x:v>2</x:v>
      </x:c>
      <x:c r="S3" s="10" t="n">
        <x:v>1</x:v>
      </x:c>
      <x:c r="T3" s="9" t="str">
        <x:v>Empty</x:v>
      </x:c>
      <x:c r="U3" s="9" t="str">
        <x:v>RU</x:v>
      </x:c>
      <x:c r="V3" s="9" t="str">
        <x:v>white cup</x:v>
      </x:c>
      <x:c r="W3" s="9"/>
      <x:c r="X3" s="10"/>
      <x:c r="Y3" s="10"/>
      <x:c r="Z3" s="9"/>
      <x:c r="AA3" s="9"/>
      <x:c r="AB3" s="9"/>
      <x:c r="AC3" s="9"/>
      <x:c r="AD3" s="9"/>
      <x:c r="AE3" s="9"/>
      <x:c r="AF3" s="9"/>
      <x:c r="AG3" s="9"/>
      <x:c r="AH3" s="9"/>
      <x:c r="AI3" s="11"/>
      <x:c r="AJ3" s="9"/>
      <x:c r="AK3" s="9" t="str">
        <x:v>Eval_State_Recognition.xlsm</x:v>
      </x:c>
      <x:c r="AL3" s="9" t="str">
        <x:v>GR00T vision only Results</x:v>
      </x:c>
      <x:c r="AM3" s="9" t="n">
        <x:v>3</x:v>
      </x:c>
      <x:c r="AN3" s="9" t="n">
        <x:v>3</x:v>
      </x:c>
    </x:row>
    <x:row r="4">
      <x:c r="A4" s="9" t="str">
        <x:v>Success</x:v>
      </x:c>
      <x:c r="B4" s="9" t="str">
        <x:v>State Recognition</x:v>
      </x:c>
      <x:c r="C4" s="10" t="n">
        <x:v>2</x:v>
      </x:c>
      <x:c r="D4" s="9" t="str">
        <x:v>Move the closed yellow-white striped cup into the bowl.</x:v>
      </x:c>
      <x:c r="E4" s="9" t="str">
        <x:v>yellow-white striped cup B (C, RU); yellow-white striped cup A (O, RU); white cup A (C, RU)</x:v>
      </x:c>
      <x:c r="F4" s="9" t="str">
        <x:v>yellow-white striped cup B</x:v>
      </x:c>
      <x:c r="G4" s="9"/>
      <x:c r="H4" s="9" t="str">
        <x:v>In-distribution concept baseline</x:v>
      </x:c>
      <x:c r="I4" s="9" t="str">
        <x:v>SR-ID03</x:v>
      </x:c>
      <x:c r="J4" s="9" t="str">
        <x:v>Exact training-supported state-object baseline</x:v>
      </x:c>
      <x:c r="K4" s="9"/>
      <x:c r="L4" s="9" t="str">
        <x:v>51</x:v>
      </x:c>
      <x:c r="M4" s="9" t="str">
        <x:v>Exact manifest episode: trained state-object cell, prompt, same-category candidate structure, and object membership match; physical layout is manually recreated. All objects are upright, matching the context of every explicit open/closed training demonstration.</x:v>
      </x:c>
      <x:c r="N4" s="9" t="n">
        <x:v>1</x:v>
      </x:c>
      <x:c r="O4" s="9" t="str">
        <x:v>Recreate the listed manifest scene with the bowl empty.</x:v>
      </x:c>
      <x:c r="P4" s="9" t="str">
        <x:v>The queried state-object combination and same-category discrimination structure are explicitly represented in training. The orthogonal orientation axis is fixed: every object is RU.</x:v>
      </x:c>
      <x:c r="Q4" s="9"/>
      <x:c r="R4" s="10" t="n">
        <x:v>3</x:v>
      </x:c>
      <x:c r="S4" s="10" t="n">
        <x:v>1</x:v>
      </x:c>
      <x:c r="T4" s="9" t="str">
        <x:v>Empty</x:v>
      </x:c>
      <x:c r="U4" s="9" t="str">
        <x:v>C</x:v>
      </x:c>
      <x:c r="V4" s="9" t="str">
        <x:v>yellow-white striped cup</x:v>
      </x:c>
      <x:c r="W4" s="9"/>
      <x:c r="X4" s="10"/>
      <x:c r="Y4" s="10"/>
      <x:c r="Z4" s="9"/>
      <x:c r="AA4" s="9"/>
      <x:c r="AB4" s="9"/>
      <x:c r="AC4" s="9"/>
      <x:c r="AD4" s="9"/>
      <x:c r="AE4" s="9"/>
      <x:c r="AF4" s="9"/>
      <x:c r="AG4" s="9"/>
      <x:c r="AH4" s="9"/>
      <x:c r="AI4" s="11"/>
      <x:c r="AJ4" s="9"/>
      <x:c r="AK4" s="9" t="str">
        <x:v>Eval_State_Recognition.xlsm</x:v>
      </x:c>
      <x:c r="AL4" s="9" t="str">
        <x:v>GR00T vision only Results</x:v>
      </x:c>
      <x:c r="AM4" s="9" t="n">
        <x:v>4</x:v>
      </x:c>
      <x:c r="AN4" s="9" t="n">
        <x:v>4</x:v>
      </x:c>
    </x:row>
    <x:row r="5">
      <x:c r="A5" s="9" t="str">
        <x:v>Success</x:v>
      </x:c>
      <x:c r="B5" s="9" t="str">
        <x:v>State Recognition</x:v>
      </x:c>
      <x:c r="C5" s="10" t="n">
        <x:v>3</x:v>
      </x:c>
      <x:c r="D5" s="9" t="str">
        <x:v>Move the upside-down yellow-white striped cup into the bowl.</x:v>
      </x:c>
      <x:c r="E5" s="9" t="str">
        <x:v>yellow-white striped cup B (O, UD); yellow-white striped cup A (O, RU); brown cup B (C, RU); glass spice container A (O, RU)</x:v>
      </x:c>
      <x:c r="F5" s="9" t="str">
        <x:v>yellow-white striped cup B</x:v>
      </x:c>
      <x:c r="G5" s="9"/>
      <x:c r="H5" s="9" t="str">
        <x:v>In-distribution concept baseline</x:v>
      </x:c>
      <x:c r="I5" s="9" t="str">
        <x:v>SR-ID04</x:v>
      </x:c>
      <x:c r="J5" s="9" t="str">
        <x:v>Exact training-supported state-object baseline</x:v>
      </x:c>
      <x:c r="K5" s="9"/>
      <x:c r="L5" s="9" t="str">
        <x:v>78</x:v>
      </x:c>
      <x:c r="M5" s="9" t="str">
        <x:v>Exact manifest episode: trained state-object cell, prompt, same-category candidate structure, and object membership match; physical layout is manually recreated.</x:v>
      </x:c>
      <x:c r="N5" s="9" t="n">
        <x:v>1</x:v>
      </x:c>
      <x:c r="O5" s="9" t="str">
        <x:v>Recreate the listed manifest scene with the bowl empty.</x:v>
      </x:c>
      <x:c r="P5" s="9" t="str">
        <x:v>The queried state-object combination and same-category discrimination structure are explicitly represented in training. The same-category candidates share the orthogonal C/O state (O).</x:v>
      </x:c>
      <x:c r="Q5" s="9"/>
      <x:c r="R5" s="10" t="n">
        <x:v>4</x:v>
      </x:c>
      <x:c r="S5" s="10" t="n">
        <x:v>1</x:v>
      </x:c>
      <x:c r="T5" s="9" t="str">
        <x:v>Empty</x:v>
      </x:c>
      <x:c r="U5" s="9" t="str">
        <x:v>UD</x:v>
      </x:c>
      <x:c r="V5" s="9" t="str">
        <x:v>yellow-white striped cup</x:v>
      </x:c>
      <x:c r="W5" s="9"/>
      <x:c r="X5" s="10"/>
      <x:c r="Y5" s="10"/>
      <x:c r="Z5" s="9"/>
      <x:c r="AA5" s="9"/>
      <x:c r="AB5" s="9"/>
      <x:c r="AC5" s="9"/>
      <x:c r="AD5" s="9"/>
      <x:c r="AE5" s="9"/>
      <x:c r="AF5" s="9"/>
      <x:c r="AG5" s="9"/>
      <x:c r="AH5" s="9"/>
      <x:c r="AI5" s="11"/>
      <x:c r="AJ5" s="9"/>
      <x:c r="AK5" s="9" t="str">
        <x:v>Eval_State_Recognition.xlsm</x:v>
      </x:c>
      <x:c r="AL5" s="9" t="str">
        <x:v>GR00T vision only Results</x:v>
      </x:c>
      <x:c r="AM5" s="9" t="n">
        <x:v>5</x:v>
      </x:c>
      <x:c r="AN5" s="9" t="n">
        <x:v>5</x:v>
      </x:c>
    </x:row>
    <x:row r="6">
      <x:c r="A6" s="9" t="str">
        <x:v>Success</x:v>
      </x:c>
      <x:c r="B6" s="9" t="str">
        <x:v>State Recognition</x:v>
      </x:c>
      <x:c r="C6" s="10" t="n">
        <x:v>4</x:v>
      </x:c>
      <x:c r="D6" s="9" t="str">
        <x:v>Put the open brown cup in the bowl.</x:v>
      </x:c>
      <x:c r="E6" s="9" t="str">
        <x:v>brown cup B (O, RU); brown cup A (C, RU); glass spice container A (O, RU)</x:v>
      </x:c>
      <x:c r="F6" s="9" t="str">
        <x:v>brown cup B</x:v>
      </x:c>
      <x:c r="G6" s="9"/>
      <x:c r="H6" s="9" t="str">
        <x:v>In-distribution concept baseline</x:v>
      </x:c>
      <x:c r="I6" s="9" t="str">
        <x:v>SR-ID05</x:v>
      </x:c>
      <x:c r="J6" s="9" t="str">
        <x:v>Exact training-supported state-object baseline</x:v>
      </x:c>
      <x:c r="K6" s="9"/>
      <x:c r="L6" s="9" t="str">
        <x:v>104</x:v>
      </x:c>
      <x:c r="M6" s="9" t="str">
        <x:v>Exact manifest episode: trained state-object cell, prompt, same-category candidate structure, and object membership match; physical layout is manually recreated. All objects are upright, matching the context of every explicit open/closed training demonstration.</x:v>
      </x:c>
      <x:c r="N6" s="9" t="n">
        <x:v>1</x:v>
      </x:c>
      <x:c r="O6" s="9" t="str">
        <x:v>Recreate the listed manifest scene with the bowl empty.</x:v>
      </x:c>
      <x:c r="P6" s="9" t="str">
        <x:v>The queried state-object combination and same-category discrimination structure are explicitly represented in training. The orthogonal orientation axis is fixed: every object is RU.</x:v>
      </x:c>
      <x:c r="Q6" s="9"/>
      <x:c r="R6" s="10" t="n">
        <x:v>3</x:v>
      </x:c>
      <x:c r="S6" s="10" t="n">
        <x:v>1</x:v>
      </x:c>
      <x:c r="T6" s="9" t="str">
        <x:v>Empty</x:v>
      </x:c>
      <x:c r="U6" s="9" t="str">
        <x:v>O</x:v>
      </x:c>
      <x:c r="V6" s="9" t="str">
        <x:v>brown cup</x:v>
      </x:c>
      <x:c r="W6" s="9"/>
      <x:c r="X6" s="10"/>
      <x:c r="Y6" s="10"/>
      <x:c r="Z6" s="9"/>
      <x:c r="AA6" s="9"/>
      <x:c r="AB6" s="9"/>
      <x:c r="AC6" s="9"/>
      <x:c r="AD6" s="9"/>
      <x:c r="AE6" s="9"/>
      <x:c r="AF6" s="9"/>
      <x:c r="AG6" s="9"/>
      <x:c r="AH6" s="9"/>
      <x:c r="AI6" s="11"/>
      <x:c r="AJ6" s="9"/>
      <x:c r="AK6" s="9" t="str">
        <x:v>Eval_State_Recognition.xlsm</x:v>
      </x:c>
      <x:c r="AL6" s="9" t="str">
        <x:v>GR00T vision only Results</x:v>
      </x:c>
      <x:c r="AM6" s="9" t="n">
        <x:v>6</x:v>
      </x:c>
      <x:c r="AN6" s="9" t="n">
        <x:v>6</x:v>
      </x:c>
    </x:row>
    <x:row r="7">
      <x:c r="A7" s="9" t="str">
        <x:v>Success</x:v>
      </x:c>
      <x:c r="B7" s="9" t="str">
        <x:v>State Recognition</x:v>
      </x:c>
      <x:c r="C7" s="10" t="n">
        <x:v>5</x:v>
      </x:c>
      <x:c r="D7" s="9" t="str">
        <x:v>Put the upside-down brown cup in the bowl.</x:v>
      </x:c>
      <x:c r="E7" s="9" t="str">
        <x:v>brown cup A (O, UD); brown cup B (O, RU)</x:v>
      </x:c>
      <x:c r="F7" s="9" t="str">
        <x:v>brown cup A</x:v>
      </x:c>
      <x:c r="G7" s="9"/>
      <x:c r="H7" s="9" t="str">
        <x:v>In-distribution concept baseline</x:v>
      </x:c>
      <x:c r="I7" s="9" t="str">
        <x:v>SR-ID06</x:v>
      </x:c>
      <x:c r="J7" s="9" t="str">
        <x:v>Exact training-supported state-object baseline</x:v>
      </x:c>
      <x:c r="K7" s="9"/>
      <x:c r="L7" s="9" t="str">
        <x:v>125</x:v>
      </x:c>
      <x:c r="M7" s="9" t="str">
        <x:v>Exact manifest episode: trained state-object cell, prompt, same-category candidate structure, and object membership match; physical layout is manually recreated.</x:v>
      </x:c>
      <x:c r="N7" s="9" t="n">
        <x:v>1</x:v>
      </x:c>
      <x:c r="O7" s="9" t="str">
        <x:v>Recreate the listed manifest scene with the bowl empty.</x:v>
      </x:c>
      <x:c r="P7" s="9" t="str">
        <x:v>The queried state-object combination and same-category discrimination structure are explicitly represented in training. The same-category candidates share the orthogonal C/O state (O).</x:v>
      </x:c>
      <x:c r="Q7" s="9"/>
      <x:c r="R7" s="10" t="n">
        <x:v>2</x:v>
      </x:c>
      <x:c r="S7" s="10" t="n">
        <x:v>1</x:v>
      </x:c>
      <x:c r="T7" s="9" t="str">
        <x:v>Empty</x:v>
      </x:c>
      <x:c r="U7" s="9" t="str">
        <x:v>UD</x:v>
      </x:c>
      <x:c r="V7" s="9" t="str">
        <x:v>brown cup</x:v>
      </x:c>
      <x:c r="W7" s="9"/>
      <x:c r="X7" s="10"/>
      <x:c r="Y7" s="10"/>
      <x:c r="Z7" s="9"/>
      <x:c r="AA7" s="9"/>
      <x:c r="AB7" s="9"/>
      <x:c r="AC7" s="9"/>
      <x:c r="AD7" s="9"/>
      <x:c r="AE7" s="9"/>
      <x:c r="AF7" s="9"/>
      <x:c r="AG7" s="9"/>
      <x:c r="AH7" s="9"/>
      <x:c r="AI7" s="11"/>
      <x:c r="AJ7" s="9"/>
      <x:c r="AK7" s="9" t="str">
        <x:v>Eval_State_Recognition.xlsm</x:v>
      </x:c>
      <x:c r="AL7" s="9" t="str">
        <x:v>GR00T vision only Results</x:v>
      </x:c>
      <x:c r="AM7" s="9" t="n">
        <x:v>7</x:v>
      </x:c>
      <x:c r="AN7" s="9" t="n">
        <x:v>7</x:v>
      </x:c>
    </x:row>
    <x:row r="8">
      <x:c r="A8" s="9" t="str">
        <x:v>Failure</x:v>
      </x:c>
      <x:c r="B8" s="9" t="str">
        <x:v>State Recognition</x:v>
      </x:c>
      <x:c r="C8" s="10" t="n">
        <x:v>6</x:v>
      </x:c>
      <x:c r="D8" s="9" t="str">
        <x:v>Put the upright brown cup in the bowl.</x:v>
      </x:c>
      <x:c r="E8" s="9" t="str">
        <x:v>brown cup B (C, RU); brown cup A (C, UD)</x:v>
      </x:c>
      <x:c r="F8" s="9" t="str">
        <x:v>brown cup B</x:v>
      </x:c>
      <x:c r="G8" s="9" t="str">
        <x:v>picked upside down cup</x:v>
      </x:c>
      <x:c r="H8" s="9" t="str">
        <x:v>In-distribution concept baseline</x:v>
      </x:c>
      <x:c r="I8" s="9" t="str">
        <x:v>SR-ID07</x:v>
      </x:c>
      <x:c r="J8" s="9" t="str">
        <x:v>Exact training-supported state-object baseline</x:v>
      </x:c>
      <x:c r="K8" s="9"/>
      <x:c r="L8" s="9" t="str">
        <x:v>134</x:v>
      </x:c>
      <x:c r="M8" s="9" t="str">
        <x:v>Exact manifest episode: trained state-object cell, prompt, same-category candidate structure, and object membership match; physical layout is manually recreated.</x:v>
      </x:c>
      <x:c r="N8" s="9" t="n">
        <x:v>1</x:v>
      </x:c>
      <x:c r="O8" s="9" t="str">
        <x:v>Recreate the listed manifest scene with the bowl empty.</x:v>
      </x:c>
      <x:c r="P8" s="9" t="str">
        <x:v>The queried state-object combination and same-category discrimination structure are explicitly represented in training. The same-category candidates share the orthogonal C/O state (C).</x:v>
      </x:c>
      <x:c r="Q8" s="9"/>
      <x:c r="R8" s="10" t="n">
        <x:v>2</x:v>
      </x:c>
      <x:c r="S8" s="10" t="n">
        <x:v>1</x:v>
      </x:c>
      <x:c r="T8" s="9" t="str">
        <x:v>Empty</x:v>
      </x:c>
      <x:c r="U8" s="9" t="str">
        <x:v>RU</x:v>
      </x:c>
      <x:c r="V8" s="9" t="str">
        <x:v>brown cup</x:v>
      </x:c>
      <x:c r="W8" s="9"/>
      <x:c r="X8" s="10"/>
      <x:c r="Y8" s="10"/>
      <x:c r="Z8" s="9"/>
      <x:c r="AA8" s="9"/>
      <x:c r="AB8" s="9"/>
      <x:c r="AC8" s="9"/>
      <x:c r="AD8" s="9"/>
      <x:c r="AE8" s="9"/>
      <x:c r="AF8" s="9"/>
      <x:c r="AG8" s="9"/>
      <x:c r="AH8" s="9"/>
      <x:c r="AI8" s="11"/>
      <x:c r="AJ8" s="9"/>
      <x:c r="AK8" s="9" t="str">
        <x:v>Eval_State_Recognition.xlsm</x:v>
      </x:c>
      <x:c r="AL8" s="9" t="str">
        <x:v>GR00T vision only Results</x:v>
      </x:c>
      <x:c r="AM8" s="9" t="n">
        <x:v>8</x:v>
      </x:c>
      <x:c r="AN8" s="9" t="n">
        <x:v>8</x:v>
      </x:c>
    </x:row>
    <x:row r="9">
      <x:c r="A9" s="9" t="str">
        <x:v>Success</x:v>
      </x:c>
      <x:c r="B9" s="9" t="str">
        <x:v>State Recognition</x:v>
      </x:c>
      <x:c r="C9" s="10" t="n">
        <x:v>7</x:v>
      </x:c>
      <x:c r="D9" s="9" t="str">
        <x:v>Place the closed glass spice container in the bowl.</x:v>
      </x:c>
      <x:c r="E9" s="9" t="str">
        <x:v>glass spice container A (C, RU); glass spice container B (O, RU); yellow-white striped cup A (C, RU)</x:v>
      </x:c>
      <x:c r="F9" s="9" t="str">
        <x:v>glass spice container A</x:v>
      </x:c>
      <x:c r="G9" s="9"/>
      <x:c r="H9" s="9" t="str">
        <x:v>In-distribution concept baseline</x:v>
      </x:c>
      <x:c r="I9" s="9" t="str">
        <x:v>SR-ID08</x:v>
      </x:c>
      <x:c r="J9" s="9" t="str">
        <x:v>Exact training-supported state-object baseline</x:v>
      </x:c>
      <x:c r="K9" s="9"/>
      <x:c r="L9" s="9" t="str">
        <x:v>151</x:v>
      </x:c>
      <x:c r="M9" s="9" t="str">
        <x:v>Exact manifest episode: trained state-object cell, prompt, same-category candidate structure, and object membership match; physical layout is manually recreated. All objects are upright, matching the context of every explicit open/closed training demonstration.</x:v>
      </x:c>
      <x:c r="N9" s="9" t="n">
        <x:v>1</x:v>
      </x:c>
      <x:c r="O9" s="9" t="str">
        <x:v>Recreate the listed manifest scene with the bowl empty.</x:v>
      </x:c>
      <x:c r="P9" s="9" t="str">
        <x:v>The queried state-object combination and same-category discrimination structure are explicitly represented in training. The orthogonal orientation axis is fixed: every object is RU.</x:v>
      </x:c>
      <x:c r="Q9" s="9"/>
      <x:c r="R9" s="10" t="n">
        <x:v>3</x:v>
      </x:c>
      <x:c r="S9" s="10" t="n">
        <x:v>1</x:v>
      </x:c>
      <x:c r="T9" s="9" t="str">
        <x:v>Empty</x:v>
      </x:c>
      <x:c r="U9" s="9" t="str">
        <x:v>C</x:v>
      </x:c>
      <x:c r="V9" s="9" t="str">
        <x:v>glass spice container</x:v>
      </x:c>
      <x:c r="W9" s="9"/>
      <x:c r="X9" s="10"/>
      <x:c r="Y9" s="10"/>
      <x:c r="Z9" s="9"/>
      <x:c r="AA9" s="9"/>
      <x:c r="AB9" s="9"/>
      <x:c r="AC9" s="9"/>
      <x:c r="AD9" s="9"/>
      <x:c r="AE9" s="9"/>
      <x:c r="AF9" s="9"/>
      <x:c r="AG9" s="9"/>
      <x:c r="AH9" s="9"/>
      <x:c r="AI9" s="11"/>
      <x:c r="AJ9" s="9"/>
      <x:c r="AK9" s="9" t="str">
        <x:v>Eval_State_Recognition.xlsm</x:v>
      </x:c>
      <x:c r="AL9" s="9" t="str">
        <x:v>GR00T vision only Results</x:v>
      </x:c>
      <x:c r="AM9" s="9" t="n">
        <x:v>9</x:v>
      </x:c>
      <x:c r="AN9" s="9" t="n">
        <x:v>9</x:v>
      </x:c>
    </x:row>
    <x:row r="10">
      <x:c r="A10" s="9" t="str">
        <x:v>Failure</x:v>
      </x:c>
      <x:c r="B10" s="9" t="str">
        <x:v>State Recognition</x:v>
      </x:c>
      <x:c r="C10" s="10" t="n">
        <x:v>8</x:v>
      </x:c>
      <x:c r="D10" s="9" t="str">
        <x:v>Move the open glass spice container into the bowl.</x:v>
      </x:c>
      <x:c r="E10" s="9" t="str">
        <x:v>glass spice container B (O, RU); glass spice container A (C, RU); white cup B (O, RU)</x:v>
      </x:c>
      <x:c r="F10" s="9" t="str">
        <x:v>glass spice container B</x:v>
      </x:c>
      <x:c r="G10" s="9" t="str">
        <x:v>grabbed open one and hesitated to move to bowl; after taking the open one, moved the closed one to the bowl too. IDK if this count as a success or not</x:v>
      </x:c>
      <x:c r="H10" s="9" t="str">
        <x:v>In-distribution concept baseline</x:v>
      </x:c>
      <x:c r="I10" s="9" t="str">
        <x:v>SR-ID09</x:v>
      </x:c>
      <x:c r="J10" s="9" t="str">
        <x:v>Exact training-supported state-object baseline</x:v>
      </x:c>
      <x:c r="K10" s="9"/>
      <x:c r="L10" s="9" t="str">
        <x:v>156</x:v>
      </x:c>
      <x:c r="M10" s="9" t="str">
        <x:v>Exact manifest episode: trained state-object cell, prompt, same-category candidate structure, and object membership match; physical layout is manually recreated. All objects are upright, matching the context of every explicit open/closed training demonstration.</x:v>
      </x:c>
      <x:c r="N10" s="9" t="n">
        <x:v>1</x:v>
      </x:c>
      <x:c r="O10" s="9" t="str">
        <x:v>Recreate the listed manifest scene with the bowl empty.</x:v>
      </x:c>
      <x:c r="P10" s="9" t="str">
        <x:v>The queried state-object combination and same-category discrimination structure are explicitly represented in training. The orthogonal orientation axis is fixed: every object is RU.</x:v>
      </x:c>
      <x:c r="Q10" s="9"/>
      <x:c r="R10" s="10" t="n">
        <x:v>3</x:v>
      </x:c>
      <x:c r="S10" s="10" t="n">
        <x:v>1</x:v>
      </x:c>
      <x:c r="T10" s="9" t="str">
        <x:v>Empty</x:v>
      </x:c>
      <x:c r="U10" s="9" t="str">
        <x:v>O</x:v>
      </x:c>
      <x:c r="V10" s="9" t="str">
        <x:v>glass spice container</x:v>
      </x:c>
      <x:c r="W10" s="9"/>
      <x:c r="X10" s="10"/>
      <x:c r="Y10" s="10"/>
      <x:c r="Z10" s="9"/>
      <x:c r="AA10" s="9"/>
      <x:c r="AB10" s="9"/>
      <x:c r="AC10" s="9"/>
      <x:c r="AD10" s="9"/>
      <x:c r="AE10" s="9"/>
      <x:c r="AF10" s="9"/>
      <x:c r="AG10" s="9"/>
      <x:c r="AH10" s="9"/>
      <x:c r="AI10" s="11"/>
      <x:c r="AJ10" s="9"/>
      <x:c r="AK10" s="9" t="str">
        <x:v>Eval_State_Recognition.xlsm</x:v>
      </x:c>
      <x:c r="AL10" s="9" t="str">
        <x:v>GR00T vision only Results</x:v>
      </x:c>
      <x:c r="AM10" s="9" t="n">
        <x:v>10</x:v>
      </x:c>
      <x:c r="AN10" s="9" t="n">
        <x:v>10</x:v>
      </x:c>
    </x:row>
    <x:row r="11">
      <x:c r="A11" s="9" t="str">
        <x:v>Success</x:v>
      </x:c>
      <x:c r="B11" s="9" t="str">
        <x:v>State Recognition</x:v>
      </x:c>
      <x:c r="C11" s="10" t="n">
        <x:v>9</x:v>
      </x:c>
      <x:c r="D11" s="9" t="str">
        <x:v>Put the upside-down glass spice container in the bowl.</x:v>
      </x:c>
      <x:c r="E11" s="9" t="str">
        <x:v>glass spice container B (C, UD); glass spice container A (C, RU)</x:v>
      </x:c>
      <x:c r="F11" s="9" t="str">
        <x:v>glass spice container B</x:v>
      </x:c>
      <x:c r="G11" s="9"/>
      <x:c r="H11" s="9" t="str">
        <x:v>In-distribution concept baseline</x:v>
      </x:c>
      <x:c r="I11" s="9" t="str">
        <x:v>SR-ID10</x:v>
      </x:c>
      <x:c r="J11" s="9" t="str">
        <x:v>Exact training-supported state-object baseline</x:v>
      </x:c>
      <x:c r="K11" s="9"/>
      <x:c r="L11" s="9" t="str">
        <x:v>176</x:v>
      </x:c>
      <x:c r="M11" s="9" t="str">
        <x:v>Exact manifest episode: trained state-object cell, prompt, same-category candidate structure, and object membership match; physical layout is manually recreated.</x:v>
      </x:c>
      <x:c r="N11" s="9" t="n">
        <x:v>1</x:v>
      </x:c>
      <x:c r="O11" s="9" t="str">
        <x:v>Recreate the listed manifest scene with the bowl empty.</x:v>
      </x:c>
      <x:c r="P11" s="9" t="str">
        <x:v>The queried state-object combination and same-category discrimination structure are explicitly represented in training. The same-category candidates share the orthogonal C/O state (C).</x:v>
      </x:c>
      <x:c r="Q11" s="9"/>
      <x:c r="R11" s="10" t="n">
        <x:v>2</x:v>
      </x:c>
      <x:c r="S11" s="10" t="n">
        <x:v>1</x:v>
      </x:c>
      <x:c r="T11" s="9" t="str">
        <x:v>Empty</x:v>
      </x:c>
      <x:c r="U11" s="9" t="str">
        <x:v>UD</x:v>
      </x:c>
      <x:c r="V11" s="9" t="str">
        <x:v>glass spice container</x:v>
      </x:c>
      <x:c r="W11" s="9"/>
      <x:c r="X11" s="10"/>
      <x:c r="Y11" s="10"/>
      <x:c r="Z11" s="9"/>
      <x:c r="AA11" s="9"/>
      <x:c r="AB11" s="9"/>
      <x:c r="AC11" s="9"/>
      <x:c r="AD11" s="9"/>
      <x:c r="AE11" s="9"/>
      <x:c r="AF11" s="9"/>
      <x:c r="AG11" s="9"/>
      <x:c r="AH11" s="9"/>
      <x:c r="AI11" s="11"/>
      <x:c r="AJ11" s="9"/>
      <x:c r="AK11" s="9" t="str">
        <x:v>Eval_State_Recognition.xlsm</x:v>
      </x:c>
      <x:c r="AL11" s="9" t="str">
        <x:v>GR00T vision only Results</x:v>
      </x:c>
      <x:c r="AM11" s="9" t="n">
        <x:v>11</x:v>
      </x:c>
      <x:c r="AN11" s="9" t="n">
        <x:v>11</x:v>
      </x:c>
    </x:row>
    <x:row r="12">
      <x:c r="A12" s="9" t="str">
        <x:v>Success</x:v>
      </x:c>
      <x:c r="B12" s="9" t="str">
        <x:v>State Recognition</x:v>
      </x:c>
      <x:c r="C12" s="10" t="n">
        <x:v>10</x:v>
      </x:c>
      <x:c r="D12" s="9" t="str">
        <x:v>Move the closed white cup into the bowl.</x:v>
      </x:c>
      <x:c r="E12" s="9" t="str">
        <x:v>white cup B (C, RU); white cup A (O, RU); yellow-white striped cup A (C, RU); brown cup B (C, RU)</x:v>
      </x:c>
      <x:c r="F12" s="9" t="str">
        <x:v>white cup B</x:v>
      </x:c>
      <x:c r="G12" s="9" t="str">
        <x:v>popped cap off</x:v>
      </x:c>
      <x:c r="H12" s="9" t="str">
        <x:v>In-distribution concept baseline</x:v>
      </x:c>
      <x:c r="I12" s="9" t="str">
        <x:v>SR-ID11</x:v>
      </x:c>
      <x:c r="J12" s="9" t="str">
        <x:v>Exact training-supported state-object baseline</x:v>
      </x:c>
      <x:c r="K12" s="9"/>
      <x:c r="L12" s="9" t="str">
        <x:v>0</x:v>
      </x:c>
      <x:c r="M12" s="9" t="str">
        <x:v>Exact manifest episode: trained state-object cell, prompt, same-category candidate structure, and object membership match; physical layout is manually recreated. All objects are upright, matching the context of every explicit open/closed training demonstration.</x:v>
      </x:c>
      <x:c r="N12" s="9" t="n">
        <x:v>1</x:v>
      </x:c>
      <x:c r="O12" s="9" t="str">
        <x:v>Recreate the listed manifest scene with the bowl empty.</x:v>
      </x:c>
      <x:c r="P12" s="9" t="str">
        <x:v>The queried state-object combination and same-category discrimination structure are explicitly represented in training. The orthogonal orientation axis is fixed: every object is RU.</x:v>
      </x:c>
      <x:c r="Q12" s="9"/>
      <x:c r="R12" s="10" t="n">
        <x:v>4</x:v>
      </x:c>
      <x:c r="S12" s="10" t="n">
        <x:v>1</x:v>
      </x:c>
      <x:c r="T12" s="9" t="str">
        <x:v>Empty</x:v>
      </x:c>
      <x:c r="U12" s="9" t="str">
        <x:v>C</x:v>
      </x:c>
      <x:c r="V12" s="9" t="str">
        <x:v>white cup</x:v>
      </x:c>
      <x:c r="W12" s="9"/>
      <x:c r="X12" s="10"/>
      <x:c r="Y12" s="10"/>
      <x:c r="Z12" s="9"/>
      <x:c r="AA12" s="9"/>
      <x:c r="AB12" s="9"/>
      <x:c r="AC12" s="9"/>
      <x:c r="AD12" s="9"/>
      <x:c r="AE12" s="9"/>
      <x:c r="AF12" s="9"/>
      <x:c r="AG12" s="9"/>
      <x:c r="AH12" s="9"/>
      <x:c r="AI12" s="11"/>
      <x:c r="AJ12" s="9"/>
      <x:c r="AK12" s="9" t="str">
        <x:v>Eval_State_Recognition.xlsm</x:v>
      </x:c>
      <x:c r="AL12" s="9" t="str">
        <x:v>GR00T vision only Results</x:v>
      </x:c>
      <x:c r="AM12" s="9" t="n">
        <x:v>12</x:v>
      </x:c>
      <x:c r="AN12" s="9" t="n">
        <x:v>12</x:v>
      </x:c>
    </x:row>
    <x:row r="13">
      <x:c r="A13" s="9" t="str">
        <x:v>Success</x:v>
      </x:c>
      <x:c r="B13" s="9" t="str">
        <x:v>State Recognition</x:v>
      </x:c>
      <x:c r="C13" s="10" t="n">
        <x:v>11</x:v>
      </x:c>
      <x:c r="D13" s="9" t="str">
        <x:v>Place the closed white cup in the bowl.</x:v>
      </x:c>
      <x:c r="E13" s="9" t="str">
        <x:v>white cup A (C, RU); white cup B (O, RU); brown cup B (O, RU)</x:v>
      </x:c>
      <x:c r="F13" s="9" t="str">
        <x:v>white cup A</x:v>
      </x:c>
      <x:c r="G13" s="9"/>
      <x:c r="H13" s="9" t="str">
        <x:v>In-distribution concept baseline</x:v>
      </x:c>
      <x:c r="I13" s="9" t="str">
        <x:v>SR-ID12</x:v>
      </x:c>
      <x:c r="J13" s="9" t="str">
        <x:v>Exact training-supported state-object baseline</x:v>
      </x:c>
      <x:c r="K13" s="9"/>
      <x:c r="L13" s="9" t="str">
        <x:v>7</x:v>
      </x:c>
      <x:c r="M13" s="9" t="str">
        <x:v>Exact manifest episode: trained state-object cell, prompt, same-category candidate structure, and object membership match; physical layout is manually recreated. All objects are upright, matching the context of every explicit open/closed training demonstration.</x:v>
      </x:c>
      <x:c r="N13" s="9" t="n">
        <x:v>1</x:v>
      </x:c>
      <x:c r="O13" s="9" t="str">
        <x:v>Recreate the listed manifest scene with the bowl empty.</x:v>
      </x:c>
      <x:c r="P13" s="9" t="str">
        <x:v>The queried state-object combination and same-category discrimination structure are explicitly represented in training. The orthogonal orientation axis is fixed: every object is RU.</x:v>
      </x:c>
      <x:c r="Q13" s="9"/>
      <x:c r="R13" s="10" t="n">
        <x:v>3</x:v>
      </x:c>
      <x:c r="S13" s="10" t="n">
        <x:v>1</x:v>
      </x:c>
      <x:c r="T13" s="9" t="str">
        <x:v>Empty</x:v>
      </x:c>
      <x:c r="U13" s="9" t="str">
        <x:v>C</x:v>
      </x:c>
      <x:c r="V13" s="9" t="str">
        <x:v>white cup</x:v>
      </x:c>
      <x:c r="W13" s="9"/>
      <x:c r="X13" s="10"/>
      <x:c r="Y13" s="10"/>
      <x:c r="Z13" s="9"/>
      <x:c r="AA13" s="9"/>
      <x:c r="AB13" s="9"/>
      <x:c r="AC13" s="9"/>
      <x:c r="AD13" s="9"/>
      <x:c r="AE13" s="9"/>
      <x:c r="AF13" s="9"/>
      <x:c r="AG13" s="9"/>
      <x:c r="AH13" s="9"/>
      <x:c r="AI13" s="11"/>
      <x:c r="AJ13" s="9"/>
      <x:c r="AK13" s="9" t="str">
        <x:v>Eval_State_Recognition.xlsm</x:v>
      </x:c>
      <x:c r="AL13" s="9" t="str">
        <x:v>GR00T vision only Results</x:v>
      </x:c>
      <x:c r="AM13" s="9" t="n">
        <x:v>13</x:v>
      </x:c>
      <x:c r="AN13" s="9" t="n">
        <x:v>13</x:v>
      </x:c>
    </x:row>
    <x:row r="14">
      <x:c r="A14" s="9" t="str">
        <x:v>Success</x:v>
      </x:c>
      <x:c r="B14" s="9" t="str">
        <x:v>State Recognition</x:v>
      </x:c>
      <x:c r="C14" s="10" t="n">
        <x:v>12</x:v>
      </x:c>
      <x:c r="D14" s="9" t="str">
        <x:v>Put the open white cup in the bowl.</x:v>
      </x:c>
      <x:c r="E14" s="9" t="str">
        <x:v>white cup B (O, RU); white cup A (C, RU); glass spice container B (O, RU)</x:v>
      </x:c>
      <x:c r="F14" s="9" t="str">
        <x:v>white cup B</x:v>
      </x:c>
      <x:c r="G14" s="9"/>
      <x:c r="H14" s="9" t="str">
        <x:v>In-distribution concept baseline</x:v>
      </x:c>
      <x:c r="I14" s="9" t="str">
        <x:v>SR-ID13</x:v>
      </x:c>
      <x:c r="J14" s="9" t="str">
        <x:v>Exact training-supported state-object baseline</x:v>
      </x:c>
      <x:c r="K14" s="9"/>
      <x:c r="L14" s="9" t="str">
        <x:v>17</x:v>
      </x:c>
      <x:c r="M14" s="9" t="str">
        <x:v>Exact manifest episode: trained state-object cell, prompt, same-category candidate structure, and object membership match; physical layout is manually recreated. All objects are upright, matching the context of every explicit open/closed training demonstration.</x:v>
      </x:c>
      <x:c r="N14" s="9" t="n">
        <x:v>1</x:v>
      </x:c>
      <x:c r="O14" s="9" t="str">
        <x:v>Recreate the listed manifest scene with the bowl empty.</x:v>
      </x:c>
      <x:c r="P14" s="9" t="str">
        <x:v>The queried state-object combination and same-category discrimination structure are explicitly represented in training. The orthogonal orientation axis is fixed: every object is RU.</x:v>
      </x:c>
      <x:c r="Q14" s="9"/>
      <x:c r="R14" s="10" t="n">
        <x:v>3</x:v>
      </x:c>
      <x:c r="S14" s="10" t="n">
        <x:v>1</x:v>
      </x:c>
      <x:c r="T14" s="9" t="str">
        <x:v>Empty</x:v>
      </x:c>
      <x:c r="U14" s="9" t="str">
        <x:v>O</x:v>
      </x:c>
      <x:c r="V14" s="9" t="str">
        <x:v>white cup</x:v>
      </x:c>
      <x:c r="W14" s="9"/>
      <x:c r="X14" s="10"/>
      <x:c r="Y14" s="10"/>
      <x:c r="Z14" s="9"/>
      <x:c r="AA14" s="9"/>
      <x:c r="AB14" s="9"/>
      <x:c r="AC14" s="9"/>
      <x:c r="AD14" s="9"/>
      <x:c r="AE14" s="9"/>
      <x:c r="AF14" s="9"/>
      <x:c r="AG14" s="9"/>
      <x:c r="AH14" s="9"/>
      <x:c r="AI14" s="11"/>
      <x:c r="AJ14" s="9"/>
      <x:c r="AK14" s="9" t="str">
        <x:v>Eval_State_Recognition.xlsm</x:v>
      </x:c>
      <x:c r="AL14" s="9" t="str">
        <x:v>GR00T vision only Results</x:v>
      </x:c>
      <x:c r="AM14" s="9" t="n">
        <x:v>14</x:v>
      </x:c>
      <x:c r="AN14" s="9" t="n">
        <x:v>14</x:v>
      </x:c>
    </x:row>
    <x:row r="15">
      <x:c r="A15" s="9" t="str">
        <x:v>Success</x:v>
      </x:c>
      <x:c r="B15" s="9" t="str">
        <x:v>State Recognition</x:v>
      </x:c>
      <x:c r="C15" s="10" t="n">
        <x:v>13</x:v>
      </x:c>
      <x:c r="D15" s="9" t="str">
        <x:v>Place the upside-down yellow-white striped cup in the bowl.</x:v>
      </x:c>
      <x:c r="E15" s="9" t="str">
        <x:v>yellow-white striped cup A (O, UD); yellow-white striped cup B (O, RU)</x:v>
      </x:c>
      <x:c r="F15" s="9" t="str">
        <x:v>yellow-white striped cup A</x:v>
      </x:c>
      <x:c r="G15" s="9"/>
      <x:c r="H15" s="9" t="str">
        <x:v>In-distribution concept baseline</x:v>
      </x:c>
      <x:c r="I15" s="9" t="str">
        <x:v>SR-ID14</x:v>
      </x:c>
      <x:c r="J15" s="9" t="str">
        <x:v>Exact training-supported state-object baseline</x:v>
      </x:c>
      <x:c r="K15" s="9"/>
      <x:c r="L15" s="9" t="str">
        <x:v>88</x:v>
      </x:c>
      <x:c r="M15" s="9" t="str">
        <x:v>Exact manifest episode: trained state-object cell, prompt, same-category candidate structure, and object membership match; physical layout is manually recreated.</x:v>
      </x:c>
      <x:c r="N15" s="9" t="n">
        <x:v>1</x:v>
      </x:c>
      <x:c r="O15" s="9" t="str">
        <x:v>Recreate the listed manifest scene with the bowl empty.</x:v>
      </x:c>
      <x:c r="P15" s="9" t="str">
        <x:v>The queried state-object combination and same-category discrimination structure are explicitly represented in training. The same-category candidates share the orthogonal C/O state (O).</x:v>
      </x:c>
      <x:c r="Q15" s="9"/>
      <x:c r="R15" s="10" t="n">
        <x:v>2</x:v>
      </x:c>
      <x:c r="S15" s="10" t="n">
        <x:v>1</x:v>
      </x:c>
      <x:c r="T15" s="9" t="str">
        <x:v>Empty</x:v>
      </x:c>
      <x:c r="U15" s="9" t="str">
        <x:v>UD</x:v>
      </x:c>
      <x:c r="V15" s="9" t="str">
        <x:v>yellow-white striped cup</x:v>
      </x:c>
      <x:c r="W15" s="9"/>
      <x:c r="X15" s="10"/>
      <x:c r="Y15" s="10"/>
      <x:c r="Z15" s="9"/>
      <x:c r="AA15" s="9"/>
      <x:c r="AB15" s="9"/>
      <x:c r="AC15" s="9"/>
      <x:c r="AD15" s="9"/>
      <x:c r="AE15" s="9"/>
      <x:c r="AF15" s="9"/>
      <x:c r="AG15" s="9"/>
      <x:c r="AH15" s="9"/>
      <x:c r="AI15" s="11"/>
      <x:c r="AJ15" s="9"/>
      <x:c r="AK15" s="9" t="str">
        <x:v>Eval_State_Recognition.xlsm</x:v>
      </x:c>
      <x:c r="AL15" s="9" t="str">
        <x:v>GR00T vision only Results</x:v>
      </x:c>
      <x:c r="AM15" s="9" t="n">
        <x:v>15</x:v>
      </x:c>
      <x:c r="AN15" s="9" t="n">
        <x:v>15</x:v>
      </x:c>
    </x:row>
    <x:row r="16">
      <x:c r="A16" s="9" t="str">
        <x:v>Success</x:v>
      </x:c>
      <x:c r="B16" s="9" t="str">
        <x:v>State Recognition</x:v>
      </x:c>
      <x:c r="C16" s="10" t="n">
        <x:v>14</x:v>
      </x:c>
      <x:c r="D16" s="9" t="str">
        <x:v>Move the upright yellow-white striped cup into the bowl.</x:v>
      </x:c>
      <x:c r="E16" s="9" t="str">
        <x:v>yellow-white striped cup A (O, RU); yellow-white striped cup B (O, UD); glass spice container A (O, RU); white cup B (C, UD)</x:v>
      </x:c>
      <x:c r="F16" s="9" t="str">
        <x:v>yellow-white striped cup A</x:v>
      </x:c>
      <x:c r="G16" s="9"/>
      <x:c r="H16" s="9" t="str">
        <x:v>In-distribution concept baseline</x:v>
      </x:c>
      <x:c r="I16" s="9" t="str">
        <x:v>SR-ID15</x:v>
      </x:c>
      <x:c r="J16" s="9" t="str">
        <x:v>Exact training-supported state-object baseline</x:v>
      </x:c>
      <x:c r="K16" s="9"/>
      <x:c r="L16" s="9" t="str">
        <x:v>75</x:v>
      </x:c>
      <x:c r="M16" s="9" t="str">
        <x:v>Exact manifest episode: trained state-object cell, prompt, same-category candidate structure, and object membership match; physical layout is manually recreated.</x:v>
      </x:c>
      <x:c r="N16" s="9" t="n">
        <x:v>1</x:v>
      </x:c>
      <x:c r="O16" s="9" t="str">
        <x:v>Recreate the listed manifest scene with the bowl empty.</x:v>
      </x:c>
      <x:c r="P16" s="9" t="str">
        <x:v>The queried state-object combination and same-category discrimination structure are explicitly represented in training. The same-category candidates share the orthogonal C/O state (O).</x:v>
      </x:c>
      <x:c r="Q16" s="9"/>
      <x:c r="R16" s="10" t="n">
        <x:v>4</x:v>
      </x:c>
      <x:c r="S16" s="10" t="n">
        <x:v>1</x:v>
      </x:c>
      <x:c r="T16" s="9" t="str">
        <x:v>Empty</x:v>
      </x:c>
      <x:c r="U16" s="9" t="str">
        <x:v>RU</x:v>
      </x:c>
      <x:c r="V16" s="9" t="str">
        <x:v>yellow-white striped cup</x:v>
      </x:c>
      <x:c r="W16" s="9"/>
      <x:c r="X16" s="10"/>
      <x:c r="Y16" s="10"/>
      <x:c r="Z16" s="9"/>
      <x:c r="AA16" s="9"/>
      <x:c r="AB16" s="9"/>
      <x:c r="AC16" s="9"/>
      <x:c r="AD16" s="9"/>
      <x:c r="AE16" s="9"/>
      <x:c r="AF16" s="9"/>
      <x:c r="AG16" s="9"/>
      <x:c r="AH16" s="9"/>
      <x:c r="AI16" s="11"/>
      <x:c r="AJ16" s="9"/>
      <x:c r="AK16" s="9" t="str">
        <x:v>Eval_State_Recognition.xlsm</x:v>
      </x:c>
      <x:c r="AL16" s="9" t="str">
        <x:v>GR00T vision only Results</x:v>
      </x:c>
      <x:c r="AM16" s="9" t="n">
        <x:v>16</x:v>
      </x:c>
      <x:c r="AN16" s="9" t="n">
        <x:v>16</x:v>
      </x:c>
    </x:row>
    <x:row r="17">
      <x:c r="A17" s="9" t="str">
        <x:v>Success</x:v>
      </x:c>
      <x:c r="B17" s="9" t="str">
        <x:v>State Recognition</x:v>
      </x:c>
      <x:c r="C17" s="10" t="n">
        <x:v>15</x:v>
      </x:c>
      <x:c r="D17" s="9" t="str">
        <x:v>Put the upright yellow-white striped cup in the bowl.</x:v>
      </x:c>
      <x:c r="E17" s="9" t="str">
        <x:v>yellow-white striped cup B (C, RU); yellow-white striped cup A (C, UD)</x:v>
      </x:c>
      <x:c r="F17" s="9" t="str">
        <x:v>yellow-white striped cup B</x:v>
      </x:c>
      <x:c r="G17" s="9"/>
      <x:c r="H17" s="9" t="str">
        <x:v>In-distribution concept baseline</x:v>
      </x:c>
      <x:c r="I17" s="9" t="str">
        <x:v>SR-ID16</x:v>
      </x:c>
      <x:c r="J17" s="9" t="str">
        <x:v>Exact training-supported state-object baseline</x:v>
      </x:c>
      <x:c r="K17" s="9"/>
      <x:c r="L17" s="9" t="str">
        <x:v>80</x:v>
      </x:c>
      <x:c r="M17" s="9" t="str">
        <x:v>Exact manifest episode: trained state-object cell, prompt, same-category candidate structure, and object membership match; physical layout is manually recreated.</x:v>
      </x:c>
      <x:c r="N17" s="9" t="n">
        <x:v>1</x:v>
      </x:c>
      <x:c r="O17" s="9" t="str">
        <x:v>Recreate the listed manifest scene with the bowl empty.</x:v>
      </x:c>
      <x:c r="P17" s="9" t="str">
        <x:v>The queried state-object combination and same-category discrimination structure are explicitly represented in training. The same-category candidates share the orthogonal C/O state (C).</x:v>
      </x:c>
      <x:c r="Q17" s="9"/>
      <x:c r="R17" s="10" t="n">
        <x:v>2</x:v>
      </x:c>
      <x:c r="S17" s="10" t="n">
        <x:v>1</x:v>
      </x:c>
      <x:c r="T17" s="9" t="str">
        <x:v>Empty</x:v>
      </x:c>
      <x:c r="U17" s="9" t="str">
        <x:v>RU</x:v>
      </x:c>
      <x:c r="V17" s="9" t="str">
        <x:v>yellow-white striped cup</x:v>
      </x:c>
      <x:c r="W17" s="9"/>
      <x:c r="X17" s="10"/>
      <x:c r="Y17" s="10"/>
      <x:c r="Z17" s="9"/>
      <x:c r="AA17" s="9"/>
      <x:c r="AB17" s="9"/>
      <x:c r="AC17" s="9"/>
      <x:c r="AD17" s="9"/>
      <x:c r="AE17" s="9"/>
      <x:c r="AF17" s="9"/>
      <x:c r="AG17" s="9"/>
      <x:c r="AH17" s="9"/>
      <x:c r="AI17" s="11"/>
      <x:c r="AJ17" s="9"/>
      <x:c r="AK17" s="9" t="str">
        <x:v>Eval_State_Recognition.xlsm</x:v>
      </x:c>
      <x:c r="AL17" s="9" t="str">
        <x:v>GR00T vision only Results</x:v>
      </x:c>
      <x:c r="AM17" s="9" t="n">
        <x:v>17</x:v>
      </x:c>
      <x:c r="AN17" s="9" t="n">
        <x:v>17</x:v>
      </x:c>
    </x:row>
    <x:row r="18">
      <x:c r="A18" s="9" t="str">
        <x:v>Failure</x:v>
      </x:c>
      <x:c r="B18" s="9" t="str">
        <x:v>State Recognition</x:v>
      </x:c>
      <x:c r="C18" s="10" t="n">
        <x:v>16</x:v>
      </x:c>
      <x:c r="D18" s="9" t="str">
        <x:v>Move the upside-down brown cup into the bowl.</x:v>
      </x:c>
      <x:c r="E18" s="9" t="str">
        <x:v>brown cup A (C, UD); brown cup B (C, RU); yellow-white striped cup B (C, UD); glass spice container A (O, RU)</x:v>
      </x:c>
      <x:c r="F18" s="9" t="str">
        <x:v>brown cup A</x:v>
      </x:c>
      <x:c r="G18" s="9" t="str">
        <x:v>picked upright cup</x:v>
      </x:c>
      <x:c r="H18" s="9" t="str">
        <x:v>In-distribution concept baseline</x:v>
      </x:c>
      <x:c r="I18" s="9" t="str">
        <x:v>SR-ID17</x:v>
      </x:c>
      <x:c r="J18" s="9" t="str">
        <x:v>Exact training-supported state-object baseline</x:v>
      </x:c>
      <x:c r="K18" s="9"/>
      <x:c r="L18" s="9" t="str">
        <x:v>135</x:v>
      </x:c>
      <x:c r="M18" s="9" t="str">
        <x:v>Exact manifest episode: trained state-object cell, prompt, same-category candidate structure, and object membership match; physical layout is manually recreated.</x:v>
      </x:c>
      <x:c r="N18" s="9" t="n">
        <x:v>1</x:v>
      </x:c>
      <x:c r="O18" s="9" t="str">
        <x:v>Recreate the listed manifest scene with the bowl empty.</x:v>
      </x:c>
      <x:c r="P18" s="9" t="str">
        <x:v>The queried state-object combination and same-category discrimination structure are explicitly represented in training. The same-category candidates share the orthogonal C/O state (C).</x:v>
      </x:c>
      <x:c r="Q18" s="9"/>
      <x:c r="R18" s="10" t="n">
        <x:v>4</x:v>
      </x:c>
      <x:c r="S18" s="10" t="n">
        <x:v>1</x:v>
      </x:c>
      <x:c r="T18" s="9" t="str">
        <x:v>Empty</x:v>
      </x:c>
      <x:c r="U18" s="9" t="str">
        <x:v>UD</x:v>
      </x:c>
      <x:c r="V18" s="9" t="str">
        <x:v>brown cup</x:v>
      </x:c>
      <x:c r="W18" s="9"/>
      <x:c r="X18" s="10"/>
      <x:c r="Y18" s="10"/>
      <x:c r="Z18" s="9"/>
      <x:c r="AA18" s="9"/>
      <x:c r="AB18" s="9"/>
      <x:c r="AC18" s="9"/>
      <x:c r="AD18" s="9"/>
      <x:c r="AE18" s="9"/>
      <x:c r="AF18" s="9"/>
      <x:c r="AG18" s="9"/>
      <x:c r="AH18" s="9"/>
      <x:c r="AI18" s="11"/>
      <x:c r="AJ18" s="9"/>
      <x:c r="AK18" s="9" t="str">
        <x:v>Eval_State_Recognition.xlsm</x:v>
      </x:c>
      <x:c r="AL18" s="9" t="str">
        <x:v>GR00T vision only Results</x:v>
      </x:c>
      <x:c r="AM18" s="9" t="n">
        <x:v>18</x:v>
      </x:c>
      <x:c r="AN18" s="9" t="n">
        <x:v>18</x:v>
      </x:c>
    </x:row>
    <x:row r="19">
      <x:c r="A19" s="9" t="str">
        <x:v>Success</x:v>
      </x:c>
      <x:c r="B19" s="9" t="str">
        <x:v>State Recognition</x:v>
      </x:c>
      <x:c r="C19" s="10" t="n">
        <x:v>17</x:v>
      </x:c>
      <x:c r="D19" s="9" t="str">
        <x:v>Place the upright brown cup in the bowl.</x:v>
      </x:c>
      <x:c r="E19" s="9" t="str">
        <x:v>brown cup A (C, RU); brown cup B (C, UD); glass spice container B (C, UD)</x:v>
      </x:c>
      <x:c r="F19" s="9" t="str">
        <x:v>brown cup A</x:v>
      </x:c>
      <x:c r="G19" s="9"/>
      <x:c r="H19" s="9" t="str">
        <x:v>In-distribution concept baseline</x:v>
      </x:c>
      <x:c r="I19" s="9" t="str">
        <x:v>SR-ID18</x:v>
      </x:c>
      <x:c r="J19" s="9" t="str">
        <x:v>Exact training-supported state-object baseline</x:v>
      </x:c>
      <x:c r="K19" s="9"/>
      <x:c r="L19" s="9" t="str">
        <x:v>139</x:v>
      </x:c>
      <x:c r="M19" s="9" t="str">
        <x:v>Exact manifest episode: trained state-object cell, prompt, same-category candidate structure, and object membership match; physical layout is manually recreated.</x:v>
      </x:c>
      <x:c r="N19" s="9" t="n">
        <x:v>1</x:v>
      </x:c>
      <x:c r="O19" s="9" t="str">
        <x:v>Recreate the listed manifest scene with the bowl empty.</x:v>
      </x:c>
      <x:c r="P19" s="9" t="str">
        <x:v>The queried state-object combination and same-category discrimination structure are explicitly represented in training. The same-category candidates share the orthogonal C/O state (C).</x:v>
      </x:c>
      <x:c r="Q19" s="9"/>
      <x:c r="R19" s="10" t="n">
        <x:v>3</x:v>
      </x:c>
      <x:c r="S19" s="10" t="n">
        <x:v>1</x:v>
      </x:c>
      <x:c r="T19" s="9" t="str">
        <x:v>Empty</x:v>
      </x:c>
      <x:c r="U19" s="9" t="str">
        <x:v>RU</x:v>
      </x:c>
      <x:c r="V19" s="9" t="str">
        <x:v>brown cup</x:v>
      </x:c>
      <x:c r="W19" s="9"/>
      <x:c r="X19" s="10"/>
      <x:c r="Y19" s="10"/>
      <x:c r="Z19" s="9"/>
      <x:c r="AA19" s="9"/>
      <x:c r="AB19" s="9"/>
      <x:c r="AC19" s="9"/>
      <x:c r="AD19" s="9"/>
      <x:c r="AE19" s="9"/>
      <x:c r="AF19" s="9"/>
      <x:c r="AG19" s="9"/>
      <x:c r="AH19" s="9"/>
      <x:c r="AI19" s="11"/>
      <x:c r="AJ19" s="9"/>
      <x:c r="AK19" s="9" t="str">
        <x:v>Eval_State_Recognition.xlsm</x:v>
      </x:c>
      <x:c r="AL19" s="9" t="str">
        <x:v>GR00T vision only Results</x:v>
      </x:c>
      <x:c r="AM19" s="9" t="n">
        <x:v>19</x:v>
      </x:c>
      <x:c r="AN19" s="9" t="n">
        <x:v>19</x:v>
      </x:c>
    </x:row>
    <x:row r="20">
      <x:c r="A20" s="9" t="str">
        <x:v>Success</x:v>
      </x:c>
      <x:c r="B20" s="9" t="str">
        <x:v>State Recognition</x:v>
      </x:c>
      <x:c r="C20" s="10" t="n">
        <x:v>18</x:v>
      </x:c>
      <x:c r="D20" s="9" t="str">
        <x:v>Put the closed glass spice container in the bowl.</x:v>
      </x:c>
      <x:c r="E20" s="9" t="str">
        <x:v>glass spice container A (C, RU); glass spice container B (O, RU); brown cup A (C, RU); white cup B (O, RU)</x:v>
      </x:c>
      <x:c r="F20" s="9" t="str">
        <x:v>glass spice container A</x:v>
      </x:c>
      <x:c r="G20" s="9"/>
      <x:c r="H20" s="9" t="str">
        <x:v>In-distribution concept baseline</x:v>
      </x:c>
      <x:c r="I20" s="9" t="str">
        <x:v>SR-ID19</x:v>
      </x:c>
      <x:c r="J20" s="9" t="str">
        <x:v>Exact training-supported state-object baseline</x:v>
      </x:c>
      <x:c r="K20" s="9"/>
      <x:c r="L20" s="9" t="str">
        <x:v>155</x:v>
      </x:c>
      <x:c r="M20" s="9" t="str">
        <x:v>Exact manifest episode: trained state-object cell, prompt, same-category candidate structure, and object membership match; physical layout is manually recreated. All objects are upright, matching the context of every explicit open/closed training demonstration.</x:v>
      </x:c>
      <x:c r="N20" s="9" t="n">
        <x:v>1</x:v>
      </x:c>
      <x:c r="O20" s="9" t="str">
        <x:v>Recreate the listed manifest scene with the bowl empty.</x:v>
      </x:c>
      <x:c r="P20" s="9" t="str">
        <x:v>The queried state-object combination and same-category discrimination structure are explicitly represented in training. The orthogonal orientation axis is fixed: every object is RU.</x:v>
      </x:c>
      <x:c r="Q20" s="9"/>
      <x:c r="R20" s="10" t="n">
        <x:v>4</x:v>
      </x:c>
      <x:c r="S20" s="10" t="n">
        <x:v>1</x:v>
      </x:c>
      <x:c r="T20" s="9" t="str">
        <x:v>Empty</x:v>
      </x:c>
      <x:c r="U20" s="9" t="str">
        <x:v>C</x:v>
      </x:c>
      <x:c r="V20" s="9" t="str">
        <x:v>glass spice container</x:v>
      </x:c>
      <x:c r="W20" s="9"/>
      <x:c r="X20" s="10"/>
      <x:c r="Y20" s="10"/>
      <x:c r="Z20" s="9"/>
      <x:c r="AA20" s="9"/>
      <x:c r="AB20" s="9"/>
      <x:c r="AC20" s="9"/>
      <x:c r="AD20" s="9"/>
      <x:c r="AE20" s="9"/>
      <x:c r="AF20" s="9"/>
      <x:c r="AG20" s="9"/>
      <x:c r="AH20" s="9"/>
      <x:c r="AI20" s="11"/>
      <x:c r="AJ20" s="9"/>
      <x:c r="AK20" s="9" t="str">
        <x:v>Eval_State_Recognition.xlsm</x:v>
      </x:c>
      <x:c r="AL20" s="9" t="str">
        <x:v>GR00T vision only Results</x:v>
      </x:c>
      <x:c r="AM20" s="9" t="n">
        <x:v>20</x:v>
      </x:c>
      <x:c r="AN20" s="9" t="n">
        <x:v>20</x:v>
      </x:c>
    </x:row>
    <x:row r="21">
      <x:c r="A21" s="9" t="str">
        <x:v>Success</x:v>
      </x:c>
      <x:c r="B21" s="9" t="str">
        <x:v>State Recognition</x:v>
      </x:c>
      <x:c r="C21" s="10" t="n">
        <x:v>19</x:v>
      </x:c>
      <x:c r="D21" s="9" t="str">
        <x:v>Move the open glass spice container into the bowl.</x:v>
      </x:c>
      <x:c r="E21" s="9" t="str">
        <x:v>glass spice container B (O, RU); glass spice container A (C, RU); white cup B (O, RU); yellow-white striped cup A (O, RU)</x:v>
      </x:c>
      <x:c r="F21" s="9" t="str">
        <x:v>glass spice container B</x:v>
      </x:c>
      <x:c r="G21" s="9"/>
      <x:c r="H21" s="9" t="str">
        <x:v>In-distribution concept baseline</x:v>
      </x:c>
      <x:c r="I21" s="9" t="str">
        <x:v>SR-ID20</x:v>
      </x:c>
      <x:c r="J21" s="9" t="str">
        <x:v>Exact training-supported state-object baseline</x:v>
      </x:c>
      <x:c r="K21" s="9"/>
      <x:c r="L21" s="9" t="str">
        <x:v>162</x:v>
      </x:c>
      <x:c r="M21" s="9" t="str">
        <x:v>Exact manifest episode: trained state-object cell, prompt, same-category candidate structure, and object membership match; physical layout is manually recreated. All objects are upright, matching the context of every explicit open/closed training demonstration.</x:v>
      </x:c>
      <x:c r="N21" s="9" t="n">
        <x:v>1</x:v>
      </x:c>
      <x:c r="O21" s="9" t="str">
        <x:v>Recreate the listed manifest scene with the bowl empty.</x:v>
      </x:c>
      <x:c r="P21" s="9" t="str">
        <x:v>The queried state-object combination and same-category discrimination structure are explicitly represented in training. The orthogonal orientation axis is fixed: every object is RU.</x:v>
      </x:c>
      <x:c r="Q21" s="9"/>
      <x:c r="R21" s="10" t="n">
        <x:v>4</x:v>
      </x:c>
      <x:c r="S21" s="10" t="n">
        <x:v>1</x:v>
      </x:c>
      <x:c r="T21" s="9" t="str">
        <x:v>Empty</x:v>
      </x:c>
      <x:c r="U21" s="9" t="str">
        <x:v>O</x:v>
      </x:c>
      <x:c r="V21" s="9" t="str">
        <x:v>glass spice container</x:v>
      </x:c>
      <x:c r="W21" s="9"/>
      <x:c r="X21" s="10"/>
      <x:c r="Y21" s="10"/>
      <x:c r="Z21" s="9"/>
      <x:c r="AA21" s="9"/>
      <x:c r="AB21" s="9"/>
      <x:c r="AC21" s="9"/>
      <x:c r="AD21" s="9"/>
      <x:c r="AE21" s="9"/>
      <x:c r="AF21" s="9"/>
      <x:c r="AG21" s="9"/>
      <x:c r="AH21" s="9"/>
      <x:c r="AI21" s="11"/>
      <x:c r="AJ21" s="9"/>
      <x:c r="AK21" s="9" t="str">
        <x:v>Eval_State_Recognition.xlsm</x:v>
      </x:c>
      <x:c r="AL21" s="9" t="str">
        <x:v>GR00T vision only Results</x:v>
      </x:c>
      <x:c r="AM21" s="9" t="n">
        <x:v>21</x:v>
      </x:c>
      <x:c r="AN21" s="9" t="n">
        <x:v>21</x:v>
      </x:c>
    </x:row>
    <x:row r="22">
      <x:c r="A22" s="9" t="str">
        <x:v>Failure</x:v>
      </x:c>
      <x:c r="B22" s="9" t="str">
        <x:v>State Recognition</x:v>
      </x:c>
      <x:c r="C22" s="10" t="n">
        <x:v>20</x:v>
      </x:c>
      <x:c r="D22" s="9" t="str">
        <x:v>Place the upside-down white cup in the bowl.</x:v>
      </x:c>
      <x:c r="E22" s="9" t="str">
        <x:v>white cup A (C, UD); white cup B (C, RU)</x:v>
      </x:c>
      <x:c r="F22" s="9" t="str">
        <x:v>white cup A</x:v>
      </x:c>
      <x:c r="G22" s="9" t="str">
        <x:v>picked upright cup</x:v>
      </x:c>
      <x:c r="H22" s="9" t="str">
        <x:v>Concept/compositional transfer</x:v>
      </x:c>
      <x:c r="I22" s="9" t="str">
        <x:v>SR-CT01</x:v>
      </x:c>
      <x:c r="J22" s="9" t="str">
        <x:v>Primary held-out state-object composition</x:v>
      </x:c>
      <x:c r="K22" s="9"/>
      <x:c r="L22" s="9" t="str">
        <x:v>35</x:v>
      </x:c>
      <x:c r="M22" s="9" t="str">
        <x:v>Physical-state and manipulation-trajectory reference under a direct category prompt; the evaluated state word × object-category cell is intentionally absent from training.</x:v>
      </x:c>
      <x:c r="N22" s="9" t="n">
        <x:v>2</x:v>
      </x:c>
      <x:c r="O22" s="9" t="str">
        <x:v>Build the listed same-category discrimination scene with the bowl empty.</x:v>
      </x:c>
      <x:c r="P22" s="9" t="str">
        <x:v>Two same-category candidates share the non-queried state axis; only the held-out state word identifies the target. The same-category candidates share the orthogonal C/O state (C).</x:v>
      </x:c>
      <x:c r="Q22" s="9"/>
      <x:c r="R22" s="10" t="n">
        <x:v>2</x:v>
      </x:c>
      <x:c r="S22" s="10" t="n">
        <x:v>1</x:v>
      </x:c>
      <x:c r="T22" s="9" t="str">
        <x:v>Empty</x:v>
      </x:c>
      <x:c r="U22" s="9" t="str">
        <x:v>UD</x:v>
      </x:c>
      <x:c r="V22" s="9" t="str">
        <x:v>white cup</x:v>
      </x:c>
      <x:c r="W22" s="9"/>
      <x:c r="X22" s="10"/>
      <x:c r="Y22" s="10"/>
      <x:c r="Z22" s="9"/>
      <x:c r="AA22" s="9"/>
      <x:c r="AB22" s="9"/>
      <x:c r="AC22" s="9"/>
      <x:c r="AD22" s="9"/>
      <x:c r="AE22" s="9"/>
      <x:c r="AF22" s="9"/>
      <x:c r="AG22" s="9"/>
      <x:c r="AH22" s="9"/>
      <x:c r="AI22" s="11"/>
      <x:c r="AJ22" s="9"/>
      <x:c r="AK22" s="9" t="str">
        <x:v>Eval_State_Recognition.xlsm</x:v>
      </x:c>
      <x:c r="AL22" s="9" t="str">
        <x:v>GR00T vision only Results</x:v>
      </x:c>
      <x:c r="AM22" s="9" t="n">
        <x:v>22</x:v>
      </x:c>
      <x:c r="AN22" s="9" t="n">
        <x:v>22</x:v>
      </x:c>
    </x:row>
    <x:row r="23">
      <x:c r="A23" s="9" t="str">
        <x:v>Failure</x:v>
      </x:c>
      <x:c r="B23" s="9" t="str">
        <x:v>State Recognition</x:v>
      </x:c>
      <x:c r="C23" s="10" t="n">
        <x:v>21</x:v>
      </x:c>
      <x:c r="D23" s="9" t="str">
        <x:v>Put a white cup in the bowl.</x:v>
      </x:c>
      <x:c r="E23" s="9" t="str">
        <x:v>white cup A (C, UD); yellow-white striped cup A (C, RU)</x:v>
      </x:c>
      <x:c r="F23" s="9" t="str">
        <x:v>white cup A</x:v>
      </x:c>
      <x:c r="G23" s="9" t="str">
        <x:v>didn't move</x:v>
      </x:c>
      <x:c r="H23" s="9" t="str">
        <x:v>Matched manipulation control</x:v>
      </x:c>
      <x:c r="I23" s="9" t="str">
        <x:v>SR-CT01</x:v>
      </x:c>
      <x:c r="J23" s="9" t="str">
        <x:v>One-object-substitution direct-category control</x:v>
      </x:c>
      <x:c r="K23" s="9" t="n">
        <x:v>20</x:v>
      </x:c>
      <x:c r="L23" s="9" t="n">
        <x:v>35</x:v>
      </x:c>
      <x:c r="M23" s="9" t="str">
        <x:v>Exact direct-category manipulation prompt from training episode 35. The transfer target, state, and pose are preserved; only the competing white cup is replaced by yellow-white striped cup A.</x:v>
      </x:c>
      <x:c r="N23" s="9" t="n">
        <x:v>2</x:v>
      </x:c>
      <x:c r="O23" s="9" t="str">
        <x:v>Reset white cup A to its transfer pose. Replace white cup B with yellow-white striped cup A in the same location and use the states listed in this row; preserve all other objects.</x:v>
      </x:c>
      <x:c r="P23" s="9" t="str">
        <x:v>Pure recognition/manipulation control: the prompt uniquely names the only object from the target category, while the physical target remains identical to the transfer row.</x:v>
      </x:c>
      <x:c r="Q23" s="9"/>
      <x:c r="R23" s="10" t="n">
        <x:v>2</x:v>
      </x:c>
      <x:c r="S23" s="10" t="n">
        <x:v>1</x:v>
      </x:c>
      <x:c r="T23" s="9" t="str">
        <x:v>Empty</x:v>
      </x:c>
      <x:c r="U23" s="9" t="str">
        <x:v>N/A</x:v>
      </x:c>
      <x:c r="V23" s="9" t="str">
        <x:v>white cup</x:v>
      </x:c>
      <x:c r="W23" s="9"/>
      <x:c r="X23" s="10"/>
      <x:c r="Y23" s="10"/>
      <x:c r="Z23" s="9"/>
      <x:c r="AA23" s="9"/>
      <x:c r="AB23" s="9"/>
      <x:c r="AC23" s="9"/>
      <x:c r="AD23" s="9"/>
      <x:c r="AE23" s="9"/>
      <x:c r="AF23" s="9"/>
      <x:c r="AG23" s="9"/>
      <x:c r="AH23" s="9"/>
      <x:c r="AI23" s="11"/>
      <x:c r="AJ23" s="9"/>
      <x:c r="AK23" s="9" t="str">
        <x:v>Eval_State_Recognition.xlsm</x:v>
      </x:c>
      <x:c r="AL23" s="9" t="str">
        <x:v>GR00T vision only Results</x:v>
      </x:c>
      <x:c r="AM23" s="9" t="n">
        <x:v>23</x:v>
      </x:c>
      <x:c r="AN23" s="9" t="n">
        <x:v>23</x:v>
      </x:c>
    </x:row>
    <x:row r="24">
      <x:c r="A24" s="9" t="str">
        <x:v>Failure</x:v>
      </x:c>
      <x:c r="B24" s="9" t="str">
        <x:v>State Recognition</x:v>
      </x:c>
      <x:c r="C24" s="10" t="n">
        <x:v>22</x:v>
      </x:c>
      <x:c r="D24" s="9" t="str">
        <x:v>Move the inverted white cup into the bowl.</x:v>
      </x:c>
      <x:c r="E24" s="9" t="str">
        <x:v>white cup A (C, UD); white cup B (C, RU)</x:v>
      </x:c>
      <x:c r="F24" s="9" t="str">
        <x:v>white cup A</x:v>
      </x:c>
      <x:c r="G24" s="9" t="str">
        <x:v>picked upright cup</x:v>
      </x:c>
      <x:c r="H24" s="9" t="str">
        <x:v>Language robustness</x:v>
      </x:c>
      <x:c r="I24" s="9" t="str">
        <x:v>SR-CT01</x:v>
      </x:c>
      <x:c r="J24" s="9" t="str">
        <x:v>Primary compositional-transfer prompt paraphrase</x:v>
      </x:c>
      <x:c r="K24" s="9" t="n">
        <x:v>20</x:v>
      </x:c>
      <x:c r="L24" s="9" t="str">
        <x:v>35</x:v>
      </x:c>
      <x:c r="M24" s="9" t="str">
        <x:v>The canonical transfer scene and masked trajectory reference are unchanged; only the evaluation wording is paraphrased. This remains a language diagnostic and is not pooled into the primary 50.</x:v>
      </x:c>
      <x:c r="N24" s="9" t="n">
        <x:v>2</x:v>
      </x:c>
      <x:c r="O24" s="9" t="str">
        <x:v>Reset the moved object exactly; preserve every object and state; change only the prompt wording.</x:v>
      </x:c>
      <x:c r="P24" s="9" t="str">
        <x:v>Exact-scene paraphrase of one of the 50 canonical compositional-transfer trials. The same-category candidates share the orthogonal C/O state (C). The scene is an exact copy of the referenced canonical row.</x:v>
      </x:c>
      <x:c r="Q24" s="9"/>
      <x:c r="R24" s="10" t="n">
        <x:v>2</x:v>
      </x:c>
      <x:c r="S24" s="10" t="n">
        <x:v>1</x:v>
      </x:c>
      <x:c r="T24" s="9" t="str">
        <x:v>Empty</x:v>
      </x:c>
      <x:c r="U24" s="9" t="str">
        <x:v>UD</x:v>
      </x:c>
      <x:c r="V24" s="9" t="str">
        <x:v>white cup</x:v>
      </x:c>
      <x:c r="W24" s="9"/>
      <x:c r="X24" s="10"/>
      <x:c r="Y24" s="10"/>
      <x:c r="Z24" s="9"/>
      <x:c r="AA24" s="9"/>
      <x:c r="AB24" s="9"/>
      <x:c r="AC24" s="9"/>
      <x:c r="AD24" s="9"/>
      <x:c r="AE24" s="9"/>
      <x:c r="AF24" s="9"/>
      <x:c r="AG24" s="9"/>
      <x:c r="AH24" s="9"/>
      <x:c r="AI24" s="11"/>
      <x:c r="AJ24" s="9"/>
      <x:c r="AK24" s="9" t="str">
        <x:v>Eval_State_Recognition.xlsm</x:v>
      </x:c>
      <x:c r="AL24" s="9" t="str">
        <x:v>GR00T vision only Results</x:v>
      </x:c>
      <x:c r="AM24" s="9" t="n">
        <x:v>24</x:v>
      </x:c>
      <x:c r="AN24" s="9" t="n">
        <x:v>24</x:v>
      </x:c>
    </x:row>
    <x:row r="25">
      <x:c r="A25" s="9" t="str">
        <x:v>Success</x:v>
      </x:c>
      <x:c r="B25" s="9" t="str">
        <x:v>State Recognition</x:v>
      </x:c>
      <x:c r="C25" s="10" t="n">
        <x:v>23</x:v>
      </x:c>
      <x:c r="D25" s="9" t="str">
        <x:v>Transfer the white cup from the table into the bowl.</x:v>
      </x:c>
      <x:c r="E25" s="9" t="str">
        <x:v>white cup A (C, UD); yellow-white striped cup A (C, RU)</x:v>
      </x:c>
      <x:c r="F25" s="9" t="str">
        <x:v>white cup A</x:v>
      </x:c>
      <x:c r="G25" s="9"/>
      <x:c r="H25" s="9" t="str">
        <x:v>Language robustness</x:v>
      </x:c>
      <x:c r="I25" s="9" t="str">
        <x:v>SR-CT01</x:v>
      </x:c>
      <x:c r="J25" s="9" t="str">
        <x:v>Direct-category matched-control paraphrase</x:v>
      </x:c>
      <x:c r="K25" s="9" t="n">
        <x:v>21</x:v>
      </x:c>
      <x:c r="L25" s="9" t="n">
        <x:v>35</x:v>
      </x:c>
      <x:c r="M25" s="9" t="str">
        <x:v>Paraphrase of the direct-category matched control grounded by training episode 35. The modified control scene and physical target are unchanged.</x:v>
      </x:c>
      <x:c r="N25" s="9" t="n">
        <x:v>2</x:v>
      </x:c>
      <x:c r="O25" s="9" t="str">
        <x:v>Reset the target to its marked pose; preserve the exact modified control scene and change only the direct instruction wording.</x:v>
      </x:c>
      <x:c r="P25" s="9" t="str">
        <x:v>Language diagnostic for the pure manipulation control; no state word or state-based selection is required. The scene is an exact copy of the referenced canonical row.</x:v>
      </x:c>
      <x:c r="Q25" s="9"/>
      <x:c r="R25" s="10" t="n">
        <x:v>2</x:v>
      </x:c>
      <x:c r="S25" s="10" t="n">
        <x:v>1</x:v>
      </x:c>
      <x:c r="T25" s="9" t="str">
        <x:v>Empty</x:v>
      </x:c>
      <x:c r="U25" s="9" t="str">
        <x:v>N/A</x:v>
      </x:c>
      <x:c r="V25" s="9" t="str">
        <x:v>white cup</x:v>
      </x:c>
      <x:c r="W25" s="9"/>
      <x:c r="X25" s="10"/>
      <x:c r="Y25" s="10"/>
      <x:c r="Z25" s="9"/>
      <x:c r="AA25" s="9"/>
      <x:c r="AB25" s="9"/>
      <x:c r="AC25" s="9"/>
      <x:c r="AD25" s="9"/>
      <x:c r="AE25" s="9"/>
      <x:c r="AF25" s="9"/>
      <x:c r="AG25" s="9"/>
      <x:c r="AH25" s="9"/>
      <x:c r="AI25" s="11"/>
      <x:c r="AJ25" s="9"/>
      <x:c r="AK25" s="9" t="str">
        <x:v>Eval_State_Recognition.xlsm</x:v>
      </x:c>
      <x:c r="AL25" s="9" t="str">
        <x:v>GR00T vision only Results</x:v>
      </x:c>
      <x:c r="AM25" s="9" t="n">
        <x:v>25</x:v>
      </x:c>
      <x:c r="AN25" s="9" t="n">
        <x:v>25</x:v>
      </x:c>
    </x:row>
    <x:row r="26">
      <x:c r="A26" s="9" t="str">
        <x:v>Success</x:v>
      </x:c>
      <x:c r="B26" s="9" t="str">
        <x:v>State Recognition</x:v>
      </x:c>
      <x:c r="C26" s="10" t="n">
        <x:v>24</x:v>
      </x:c>
      <x:c r="D26" s="9" t="str">
        <x:v>Place the open yellow-white striped cup in the bowl.</x:v>
      </x:c>
      <x:c r="E26" s="9" t="str">
        <x:v>yellow-white striped cup B (O, RU); yellow-white striped cup A (C, RU); brown cup B (O, RU)</x:v>
      </x:c>
      <x:c r="F26" s="9" t="str">
        <x:v>yellow-white striped cup B</x:v>
      </x:c>
      <x:c r="G26" s="9"/>
      <x:c r="H26" s="9" t="str">
        <x:v>Concept/compositional transfer</x:v>
      </x:c>
      <x:c r="I26" s="9" t="str">
        <x:v>SR-CT02</x:v>
      </x:c>
      <x:c r="J26" s="9" t="str">
        <x:v>Primary held-out state-object composition</x:v>
      </x:c>
      <x:c r="K26" s="9"/>
      <x:c r="L26" s="9" t="str">
        <x:v>64</x:v>
      </x:c>
      <x:c r="M26"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26" s="9" t="n">
        <x:v>2</x:v>
      </x:c>
      <x:c r="O26" s="9" t="str">
        <x:v>Build the listed same-category discrimination scene with the bowl empty.</x:v>
      </x:c>
      <x:c r="P26" s="9" t="str">
        <x:v>Two same-category candidates share the non-queried state axis; only the held-out state word identifies the target. The orthogonal orientation axis is fixed: every object is RU.</x:v>
      </x:c>
      <x:c r="Q26" s="9"/>
      <x:c r="R26" s="10" t="n">
        <x:v>3</x:v>
      </x:c>
      <x:c r="S26" s="10" t="n">
        <x:v>1</x:v>
      </x:c>
      <x:c r="T26" s="9" t="str">
        <x:v>Empty</x:v>
      </x:c>
      <x:c r="U26" s="9" t="str">
        <x:v>O</x:v>
      </x:c>
      <x:c r="V26" s="9" t="str">
        <x:v>yellow-white striped cup</x:v>
      </x:c>
      <x:c r="W26" s="9"/>
      <x:c r="X26" s="10"/>
      <x:c r="Y26" s="10"/>
      <x:c r="Z26" s="9"/>
      <x:c r="AA26" s="9"/>
      <x:c r="AB26" s="9"/>
      <x:c r="AC26" s="9"/>
      <x:c r="AD26" s="9"/>
      <x:c r="AE26" s="9"/>
      <x:c r="AF26" s="9"/>
      <x:c r="AG26" s="9"/>
      <x:c r="AH26" s="9"/>
      <x:c r="AI26" s="11"/>
      <x:c r="AJ26" s="9"/>
      <x:c r="AK26" s="9" t="str">
        <x:v>Eval_State_Recognition.xlsm</x:v>
      </x:c>
      <x:c r="AL26" s="9" t="str">
        <x:v>GR00T vision only Results</x:v>
      </x:c>
      <x:c r="AM26" s="9" t="n">
        <x:v>26</x:v>
      </x:c>
      <x:c r="AN26" s="9" t="n">
        <x:v>26</x:v>
      </x:c>
    </x:row>
    <x:row r="27">
      <x:c r="A27" s="9" t="str">
        <x:v>Success</x:v>
      </x:c>
      <x:c r="B27" s="9" t="str">
        <x:v>State Recognition</x:v>
      </x:c>
      <x:c r="C27" s="10" t="n">
        <x:v>25</x:v>
      </x:c>
      <x:c r="D27" s="9" t="str">
        <x:v>Place a yellow-white striped cup in the bowl.</x:v>
      </x:c>
      <x:c r="E27" s="9" t="str">
        <x:v>yellow-white striped cup B (O, RU); glass spice container B (C, RU); brown cup B (O, RU)</x:v>
      </x:c>
      <x:c r="F27" s="9" t="str">
        <x:v>yellow-white striped cup B</x:v>
      </x:c>
      <x:c r="G27" s="9"/>
      <x:c r="H27" s="9" t="str">
        <x:v>Matched manipulation control</x:v>
      </x:c>
      <x:c r="I27" s="9" t="str">
        <x:v>SR-CT02</x:v>
      </x:c>
      <x:c r="J27" s="9" t="str">
        <x:v>One-object-substitution direct-category control</x:v>
      </x:c>
      <x:c r="K27" s="9" t="n">
        <x:v>24</x:v>
      </x:c>
      <x:c r="L27" s="9" t="n">
        <x:v>64</x:v>
      </x:c>
      <x:c r="M27" s="9" t="str">
        <x:v>Exact direct-category manipulation prompt from training episode 64. The transfer target, state, and pose are preserved; only the competing yellow-white striped cup is replaced by glass spice container B. The full control scene is upright because its paired transfer instruction queries open/closed.</x:v>
      </x:c>
      <x:c r="N27" s="9" t="n">
        <x:v>2</x:v>
      </x:c>
      <x:c r="O27" s="9" t="str">
        <x:v>Reset yellow-white striped cup B to its transfer pose. Replace yellow-white striped cup A with glass spice container B in the same location and use the states listed in this row; preserve all other objects.</x:v>
      </x:c>
      <x:c r="P27" s="9" t="str">
        <x:v>Pure recognition/manipulation control: the prompt uniquely names the only object from the target category, while the physical target remains identical to the transfer row. Every object is RU.</x:v>
      </x:c>
      <x:c r="Q27" s="9"/>
      <x:c r="R27" s="10" t="n">
        <x:v>3</x:v>
      </x:c>
      <x:c r="S27" s="10" t="n">
        <x:v>1</x:v>
      </x:c>
      <x:c r="T27" s="9" t="str">
        <x:v>Empty</x:v>
      </x:c>
      <x:c r="U27" s="9" t="str">
        <x:v>N/A</x:v>
      </x:c>
      <x:c r="V27" s="9" t="str">
        <x:v>yellow-white striped cup</x:v>
      </x:c>
      <x:c r="W27" s="9"/>
      <x:c r="X27" s="10"/>
      <x:c r="Y27" s="10"/>
      <x:c r="Z27" s="9"/>
      <x:c r="AA27" s="9"/>
      <x:c r="AB27" s="9"/>
      <x:c r="AC27" s="9"/>
      <x:c r="AD27" s="9"/>
      <x:c r="AE27" s="9"/>
      <x:c r="AF27" s="9"/>
      <x:c r="AG27" s="9"/>
      <x:c r="AH27" s="9"/>
      <x:c r="AI27" s="11"/>
      <x:c r="AJ27" s="9"/>
      <x:c r="AK27" s="9" t="str">
        <x:v>Eval_State_Recognition.xlsm</x:v>
      </x:c>
      <x:c r="AL27" s="9" t="str">
        <x:v>GR00T vision only Results</x:v>
      </x:c>
      <x:c r="AM27" s="9" t="n">
        <x:v>27</x:v>
      </x:c>
      <x:c r="AN27" s="9" t="n">
        <x:v>27</x:v>
      </x:c>
    </x:row>
    <x:row r="28">
      <x:c r="A28" s="9" t="str">
        <x:v>Success</x:v>
      </x:c>
      <x:c r="B28" s="9" t="str">
        <x:v>State Recognition</x:v>
      </x:c>
      <x:c r="C28" s="10" t="n">
        <x:v>26</x:v>
      </x:c>
      <x:c r="D28" s="9" t="str">
        <x:v>Move the yellow-white striped cup whose opening is uncovered into the bowl.</x:v>
      </x:c>
      <x:c r="E28" s="9" t="str">
        <x:v>yellow-white striped cup B (O, RU); yellow-white striped cup A (C, RU); brown cup B (O, RU)</x:v>
      </x:c>
      <x:c r="F28" s="9" t="str">
        <x:v>yellow-white striped cup B</x:v>
      </x:c>
      <x:c r="G28" s="9"/>
      <x:c r="H28" s="9" t="str">
        <x:v>Language robustness</x:v>
      </x:c>
      <x:c r="I28" s="9" t="str">
        <x:v>SR-CT02</x:v>
      </x:c>
      <x:c r="J28" s="9" t="str">
        <x:v>Primary compositional-transfer prompt paraphrase</x:v>
      </x:c>
      <x:c r="K28" s="9" t="n">
        <x:v>24</x:v>
      </x:c>
      <x:c r="L28" s="9" t="str">
        <x:v>64</x:v>
      </x:c>
      <x:c r="M28" s="9" t="str">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N28" s="9" t="n">
        <x:v>2</x:v>
      </x:c>
      <x:c r="O28" s="9" t="str">
        <x:v>Reset the moved object exactly; preserve every object and state; change only the prompt wording.</x:v>
      </x:c>
      <x:c r="P28" s="9" t="str">
        <x:v>Exact-scene paraphrase of one of the 50 canonical compositional-transfer trials. The orthogonal orientation axis is fixed: every object is RU. The scene is an exact copy of the referenced canonical row.</x:v>
      </x:c>
      <x:c r="Q28" s="9"/>
      <x:c r="R28" s="10" t="n">
        <x:v>3</x:v>
      </x:c>
      <x:c r="S28" s="10" t="n">
        <x:v>1</x:v>
      </x:c>
      <x:c r="T28" s="9" t="str">
        <x:v>Empty</x:v>
      </x:c>
      <x:c r="U28" s="9" t="str">
        <x:v>O</x:v>
      </x:c>
      <x:c r="V28" s="9" t="str">
        <x:v>yellow-white striped cup</x:v>
      </x:c>
      <x:c r="W28" s="9"/>
      <x:c r="X28" s="10"/>
      <x:c r="Y28" s="10"/>
      <x:c r="Z28" s="9"/>
      <x:c r="AA28" s="9"/>
      <x:c r="AB28" s="9"/>
      <x:c r="AC28" s="9"/>
      <x:c r="AD28" s="9"/>
      <x:c r="AE28" s="9"/>
      <x:c r="AF28" s="9"/>
      <x:c r="AG28" s="9"/>
      <x:c r="AH28" s="9"/>
      <x:c r="AI28" s="11"/>
      <x:c r="AJ28" s="9"/>
      <x:c r="AK28" s="9" t="str">
        <x:v>Eval_State_Recognition.xlsm</x:v>
      </x:c>
      <x:c r="AL28" s="9" t="str">
        <x:v>GR00T vision only Results</x:v>
      </x:c>
      <x:c r="AM28" s="9" t="n">
        <x:v>28</x:v>
      </x:c>
      <x:c r="AN28" s="9" t="n">
        <x:v>28</x:v>
      </x:c>
    </x:row>
    <x:row r="29">
      <x:c r="A29" s="9" t="str">
        <x:v>Success</x:v>
      </x:c>
      <x:c r="B29" s="9" t="str">
        <x:v>State Recognition</x:v>
      </x:c>
      <x:c r="C29" s="10" t="n">
        <x:v>27</x:v>
      </x:c>
      <x:c r="D29" s="9" t="str">
        <x:v>Lift the yellow-white striped cup and set it inside the bowl.</x:v>
      </x:c>
      <x:c r="E29" s="9" t="str">
        <x:v>yellow-white striped cup B (O, RU); glass spice container B (C, RU); brown cup B (O, RU)</x:v>
      </x:c>
      <x:c r="F29" s="9" t="str">
        <x:v>yellow-white striped cup B</x:v>
      </x:c>
      <x:c r="G29" s="9"/>
      <x:c r="H29" s="9" t="str">
        <x:v>Language robustness</x:v>
      </x:c>
      <x:c r="I29" s="9" t="str">
        <x:v>SR-CT02</x:v>
      </x:c>
      <x:c r="J29" s="9" t="str">
        <x:v>Direct-category matched-control paraphrase</x:v>
      </x:c>
      <x:c r="K29" s="9" t="n">
        <x:v>25</x:v>
      </x:c>
      <x:c r="L29" s="9" t="n">
        <x:v>64</x:v>
      </x:c>
      <x:c r="M29" s="9" t="str">
        <x:v>Paraphrase of the direct-category matched control grounded by training episode 64. The modified control scene and physical target are unchanged.</x:v>
      </x:c>
      <x:c r="N29" s="9" t="n">
        <x:v>2</x:v>
      </x:c>
      <x:c r="O29" s="9" t="str">
        <x:v>Reset the target to its marked pose; preserve the exact modified control scene and change only the direct instruction wording.</x:v>
      </x:c>
      <x:c r="P29" s="9" t="str">
        <x:v>Language diagnostic for the pure manipulation control; no state word or state-based selection is required. The scene is an exact copy of the referenced canonical row.</x:v>
      </x:c>
      <x:c r="Q29" s="9"/>
      <x:c r="R29" s="10" t="n">
        <x:v>3</x:v>
      </x:c>
      <x:c r="S29" s="10" t="n">
        <x:v>1</x:v>
      </x:c>
      <x:c r="T29" s="9" t="str">
        <x:v>Empty</x:v>
      </x:c>
      <x:c r="U29" s="9" t="str">
        <x:v>N/A</x:v>
      </x:c>
      <x:c r="V29" s="9" t="str">
        <x:v>yellow-white striped cup</x:v>
      </x:c>
      <x:c r="W29" s="9"/>
      <x:c r="X29" s="10"/>
      <x:c r="Y29" s="10"/>
      <x:c r="Z29" s="9"/>
      <x:c r="AA29" s="9"/>
      <x:c r="AB29" s="9"/>
      <x:c r="AC29" s="9"/>
      <x:c r="AD29" s="9"/>
      <x:c r="AE29" s="9"/>
      <x:c r="AF29" s="9"/>
      <x:c r="AG29" s="9"/>
      <x:c r="AH29" s="9"/>
      <x:c r="AI29" s="11"/>
      <x:c r="AJ29" s="9"/>
      <x:c r="AK29" s="9" t="str">
        <x:v>Eval_State_Recognition.xlsm</x:v>
      </x:c>
      <x:c r="AL29" s="9" t="str">
        <x:v>GR00T vision only Results</x:v>
      </x:c>
      <x:c r="AM29" s="9" t="n">
        <x:v>29</x:v>
      </x:c>
      <x:c r="AN29" s="9" t="n">
        <x:v>29</x:v>
      </x:c>
    </x:row>
    <x:row r="30">
      <x:c r="A30" s="9" t="str">
        <x:v>Failure</x:v>
      </x:c>
      <x:c r="B30" s="9" t="str">
        <x:v>State Recognition</x:v>
      </x:c>
      <x:c r="C30" s="10" t="n">
        <x:v>28</x:v>
      </x:c>
      <x:c r="D30" s="9" t="str">
        <x:v>Place the upright glass spice container in the bowl.</x:v>
      </x:c>
      <x:c r="E30" s="9" t="str">
        <x:v>glass spice container B (C, RU); glass spice container A (C, UD)</x:v>
      </x:c>
      <x:c r="F30" s="9" t="str">
        <x:v>glass spice container B</x:v>
      </x:c>
      <x:c r="G30" s="9" t="str">
        <x:v>picked upside down container</x:v>
      </x:c>
      <x:c r="H30" s="9" t="str">
        <x:v>Concept/compositional transfer</x:v>
      </x:c>
      <x:c r="I30" s="9" t="str">
        <x:v>SR-CT04</x:v>
      </x:c>
      <x:c r="J30" s="9" t="str">
        <x:v>Primary held-out state-object composition</x:v>
      </x:c>
      <x:c r="K30" s="9"/>
      <x:c r="L30" s="9" t="str">
        <x:v>169</x:v>
      </x:c>
      <x:c r="M30" s="9" t="str">
        <x:v>Physical-state and manipulation-trajectory reference under a direct category prompt; the evaluated state word × object-category cell is intentionally absent from training.</x:v>
      </x:c>
      <x:c r="N30" s="9" t="n">
        <x:v>2</x:v>
      </x:c>
      <x:c r="O30" s="9" t="str">
        <x:v>Build the listed same-category discrimination scene with the bowl empty.</x:v>
      </x:c>
      <x:c r="P30" s="9" t="str">
        <x:v>Two same-category candidates share the non-queried state axis; only the held-out state word identifies the target. The same-category candidates share the orthogonal C/O state (C).</x:v>
      </x:c>
      <x:c r="Q30" s="9"/>
      <x:c r="R30" s="10" t="n">
        <x:v>2</x:v>
      </x:c>
      <x:c r="S30" s="10" t="n">
        <x:v>1</x:v>
      </x:c>
      <x:c r="T30" s="9" t="str">
        <x:v>Empty</x:v>
      </x:c>
      <x:c r="U30" s="9" t="str">
        <x:v>RU</x:v>
      </x:c>
      <x:c r="V30" s="9" t="str">
        <x:v>glass spice container</x:v>
      </x:c>
      <x:c r="W30" s="9"/>
      <x:c r="X30" s="10"/>
      <x:c r="Y30" s="10"/>
      <x:c r="Z30" s="9"/>
      <x:c r="AA30" s="9"/>
      <x:c r="AB30" s="9"/>
      <x:c r="AC30" s="9"/>
      <x:c r="AD30" s="9"/>
      <x:c r="AE30" s="9"/>
      <x:c r="AF30" s="9"/>
      <x:c r="AG30" s="9"/>
      <x:c r="AH30" s="9"/>
      <x:c r="AI30" s="11"/>
      <x:c r="AJ30" s="9"/>
      <x:c r="AK30" s="9" t="str">
        <x:v>Eval_State_Recognition.xlsm</x:v>
      </x:c>
      <x:c r="AL30" s="9" t="str">
        <x:v>GR00T vision only Results</x:v>
      </x:c>
      <x:c r="AM30" s="9" t="n">
        <x:v>30</x:v>
      </x:c>
      <x:c r="AN30" s="9" t="n">
        <x:v>30</x:v>
      </x:c>
    </x:row>
    <x:row r="31">
      <x:c r="A31" s="9" t="str">
        <x:v>Success</x:v>
      </x:c>
      <x:c r="B31" s="9" t="str">
        <x:v>State Recognition</x:v>
      </x:c>
      <x:c r="C31" s="10" t="n">
        <x:v>29</x:v>
      </x:c>
      <x:c r="D31" s="9" t="str">
        <x:v>Place a glass spice container in the bowl.</x:v>
      </x:c>
      <x:c r="E31" s="9" t="str">
        <x:v>glass spice container B (C, RU); white cup B (C, UD)</x:v>
      </x:c>
      <x:c r="F31" s="9" t="str">
        <x:v>glass spice container B</x:v>
      </x:c>
      <x:c r="G31" s="9"/>
      <x:c r="H31" s="9" t="str">
        <x:v>Matched manipulation control</x:v>
      </x:c>
      <x:c r="I31" s="9" t="str">
        <x:v>SR-CT04</x:v>
      </x:c>
      <x:c r="J31" s="9" t="str">
        <x:v>One-object-substitution direct-category control</x:v>
      </x:c>
      <x:c r="K31" s="9" t="n">
        <x:v>28</x:v>
      </x:c>
      <x:c r="L31" s="9" t="n">
        <x:v>169</x:v>
      </x:c>
      <x:c r="M31" s="9" t="str">
        <x:v>Exact direct-category manipulation prompt from training episode 169. The transfer target, state, and pose are preserved; only the competing glass spice container is replaced by white cup B.</x:v>
      </x:c>
      <x:c r="N31" s="9" t="n">
        <x:v>2</x:v>
      </x:c>
      <x:c r="O31" s="9" t="str">
        <x:v>Reset glass spice container B to its transfer pose. Replace glass spice container A with white cup B in the same location and use the states listed in this row; preserve all other objects.</x:v>
      </x:c>
      <x:c r="P31" s="9" t="str">
        <x:v>Pure recognition/manipulation control: the prompt uniquely names the only object from the target category, while the physical target remains identical to the transfer row.</x:v>
      </x:c>
      <x:c r="Q31" s="9"/>
      <x:c r="R31" s="10" t="n">
        <x:v>2</x:v>
      </x:c>
      <x:c r="S31" s="10" t="n">
        <x:v>1</x:v>
      </x:c>
      <x:c r="T31" s="9" t="str">
        <x:v>Empty</x:v>
      </x:c>
      <x:c r="U31" s="9" t="str">
        <x:v>N/A</x:v>
      </x:c>
      <x:c r="V31" s="9" t="str">
        <x:v>glass spice container</x:v>
      </x:c>
      <x:c r="W31" s="9"/>
      <x:c r="X31" s="10"/>
      <x:c r="Y31" s="10"/>
      <x:c r="Z31" s="9"/>
      <x:c r="AA31" s="9"/>
      <x:c r="AB31" s="9"/>
      <x:c r="AC31" s="9"/>
      <x:c r="AD31" s="9"/>
      <x:c r="AE31" s="9"/>
      <x:c r="AF31" s="9"/>
      <x:c r="AG31" s="9"/>
      <x:c r="AH31" s="9"/>
      <x:c r="AI31" s="11"/>
      <x:c r="AJ31" s="9"/>
      <x:c r="AK31" s="9" t="str">
        <x:v>Eval_State_Recognition.xlsm</x:v>
      </x:c>
      <x:c r="AL31" s="9" t="str">
        <x:v>GR00T vision only Results</x:v>
      </x:c>
      <x:c r="AM31" s="9" t="n">
        <x:v>31</x:v>
      </x:c>
      <x:c r="AN31" s="9" t="n">
        <x:v>31</x:v>
      </x:c>
    </x:row>
    <x:row r="32">
      <x:c r="A32" s="9" t="str">
        <x:v>Failure</x:v>
      </x:c>
      <x:c r="B32" s="9" t="str">
        <x:v>State Recognition</x:v>
      </x:c>
      <x:c r="C32" s="10" t="n">
        <x:v>30</x:v>
      </x:c>
      <x:c r="D32" s="9" t="str">
        <x:v>Move the right-side-up glass spice container into the bowl.</x:v>
      </x:c>
      <x:c r="E32" s="9" t="str">
        <x:v>glass spice container B (C, RU); glass spice container A (C, UD)</x:v>
      </x:c>
      <x:c r="F32" s="9" t="str">
        <x:v>glass spice container B</x:v>
      </x:c>
      <x:c r="G32" s="9" t="str">
        <x:v>picked upside down container</x:v>
      </x:c>
      <x:c r="H32" s="9" t="str">
        <x:v>Language robustness</x:v>
      </x:c>
      <x:c r="I32" s="9" t="str">
        <x:v>SR-CT04</x:v>
      </x:c>
      <x:c r="J32" s="9" t="str">
        <x:v>Primary compositional-transfer prompt paraphrase</x:v>
      </x:c>
      <x:c r="K32" s="9" t="n">
        <x:v>28</x:v>
      </x:c>
      <x:c r="L32" s="9" t="str">
        <x:v>169</x:v>
      </x:c>
      <x:c r="M32" s="9" t="str">
        <x:v>The canonical transfer scene and masked trajectory reference are unchanged; only the evaluation wording is paraphrased. This remains a language diagnostic and is not pooled into the primary 50.</x:v>
      </x:c>
      <x:c r="N32" s="9" t="n">
        <x:v>2</x:v>
      </x:c>
      <x:c r="O32" s="9" t="str">
        <x:v>Reset the moved object exactly; preserve every object and state; change only the prompt wording.</x:v>
      </x:c>
      <x:c r="P32" s="9" t="str">
        <x:v>Exact-scene paraphrase of one of the 50 canonical compositional-transfer trials. The same-category candidates share the orthogonal C/O state (C). The scene is an exact copy of the referenced canonical row.</x:v>
      </x:c>
      <x:c r="Q32" s="9"/>
      <x:c r="R32" s="10" t="n">
        <x:v>2</x:v>
      </x:c>
      <x:c r="S32" s="10" t="n">
        <x:v>1</x:v>
      </x:c>
      <x:c r="T32" s="9" t="str">
        <x:v>Empty</x:v>
      </x:c>
      <x:c r="U32" s="9" t="str">
        <x:v>RU</x:v>
      </x:c>
      <x:c r="V32" s="9" t="str">
        <x:v>glass spice container</x:v>
      </x:c>
      <x:c r="W32" s="9"/>
      <x:c r="X32" s="10"/>
      <x:c r="Y32" s="10"/>
      <x:c r="Z32" s="9"/>
      <x:c r="AA32" s="9"/>
      <x:c r="AB32" s="9"/>
      <x:c r="AC32" s="9"/>
      <x:c r="AD32" s="9"/>
      <x:c r="AE32" s="9"/>
      <x:c r="AF32" s="9"/>
      <x:c r="AG32" s="9"/>
      <x:c r="AH32" s="9"/>
      <x:c r="AI32" s="11"/>
      <x:c r="AJ32" s="9"/>
      <x:c r="AK32" s="9" t="str">
        <x:v>Eval_State_Recognition.xlsm</x:v>
      </x:c>
      <x:c r="AL32" s="9" t="str">
        <x:v>GR00T vision only Results</x:v>
      </x:c>
      <x:c r="AM32" s="9" t="n">
        <x:v>32</x:v>
      </x:c>
      <x:c r="AN32" s="9" t="n">
        <x:v>32</x:v>
      </x:c>
    </x:row>
    <x:row r="33">
      <x:c r="A33" s="9" t="str">
        <x:v>Success</x:v>
      </x:c>
      <x:c r="B33" s="9" t="str">
        <x:v>State Recognition</x:v>
      </x:c>
      <x:c r="C33" s="10" t="n">
        <x:v>31</x:v>
      </x:c>
      <x:c r="D33" s="9" t="str">
        <x:v>Move the glass spice container from the workspace into the bowl.</x:v>
      </x:c>
      <x:c r="E33" s="9" t="str">
        <x:v>glass spice container B (C, RU); white cup B (C, UD)</x:v>
      </x:c>
      <x:c r="F33" s="9" t="str">
        <x:v>glass spice container B</x:v>
      </x:c>
      <x:c r="G33" s="9"/>
      <x:c r="H33" s="9" t="str">
        <x:v>Language robustness</x:v>
      </x:c>
      <x:c r="I33" s="9" t="str">
        <x:v>SR-CT04</x:v>
      </x:c>
      <x:c r="J33" s="9" t="str">
        <x:v>Direct-category matched-control paraphrase</x:v>
      </x:c>
      <x:c r="K33" s="9" t="n">
        <x:v>29</x:v>
      </x:c>
      <x:c r="L33" s="9" t="n">
        <x:v>169</x:v>
      </x:c>
      <x:c r="M33" s="9" t="str">
        <x:v>Paraphrase of the direct-category matched control grounded by training episode 169. The modified control scene and physical target are unchanged.</x:v>
      </x:c>
      <x:c r="N33" s="9" t="n">
        <x:v>2</x:v>
      </x:c>
      <x:c r="O33" s="9" t="str">
        <x:v>Reset the target to its marked pose; preserve the exact modified control scene and change only the direct instruction wording.</x:v>
      </x:c>
      <x:c r="P33" s="9" t="str">
        <x:v>Language diagnostic for the pure manipulation control; no state word or state-based selection is required. The scene is an exact copy of the referenced canonical row.</x:v>
      </x:c>
      <x:c r="Q33" s="9"/>
      <x:c r="R33" s="10" t="n">
        <x:v>2</x:v>
      </x:c>
      <x:c r="S33" s="10" t="n">
        <x:v>1</x:v>
      </x:c>
      <x:c r="T33" s="9" t="str">
        <x:v>Empty</x:v>
      </x:c>
      <x:c r="U33" s="9" t="str">
        <x:v>N/A</x:v>
      </x:c>
      <x:c r="V33" s="9" t="str">
        <x:v>glass spice container</x:v>
      </x:c>
      <x:c r="W33" s="9"/>
      <x:c r="X33" s="10"/>
      <x:c r="Y33" s="10"/>
      <x:c r="Z33" s="9"/>
      <x:c r="AA33" s="9"/>
      <x:c r="AB33" s="9"/>
      <x:c r="AC33" s="9"/>
      <x:c r="AD33" s="9"/>
      <x:c r="AE33" s="9"/>
      <x:c r="AF33" s="9"/>
      <x:c r="AG33" s="9"/>
      <x:c r="AH33" s="9"/>
      <x:c r="AI33" s="11"/>
      <x:c r="AJ33" s="9"/>
      <x:c r="AK33" s="9" t="str">
        <x:v>Eval_State_Recognition.xlsm</x:v>
      </x:c>
      <x:c r="AL33" s="9" t="str">
        <x:v>GR00T vision only Results</x:v>
      </x:c>
      <x:c r="AM33" s="9" t="n">
        <x:v>33</x:v>
      </x:c>
      <x:c r="AN33" s="9" t="n">
        <x:v>33</x:v>
      </x:c>
    </x:row>
    <x:row r="34">
      <x:c r="A34" s="9" t="str">
        <x:v>Success</x:v>
      </x:c>
      <x:c r="B34" s="9" t="str">
        <x:v>State Recognition</x:v>
      </x:c>
      <x:c r="C34" s="10" t="n">
        <x:v>32</x:v>
      </x:c>
      <x:c r="D34" s="9" t="str">
        <x:v>Place the upside-down white cup in the bowl.</x:v>
      </x:c>
      <x:c r="E34" s="9" t="str">
        <x:v>white cup A (O, UD); white cup B (O, RU); brown cup A (C, RU)</x:v>
      </x:c>
      <x:c r="F34" s="9" t="str">
        <x:v>white cup A</x:v>
      </x:c>
      <x:c r="G34" s="9"/>
      <x:c r="H34" s="9" t="str">
        <x:v>Concept/compositional transfer</x:v>
      </x:c>
      <x:c r="I34" s="9" t="str">
        <x:v>SR-CT05</x:v>
      </x:c>
      <x:c r="J34" s="9" t="str">
        <x:v>Primary held-out state-object composition</x:v>
      </x:c>
      <x:c r="K34" s="9"/>
      <x:c r="L34" s="9" t="str">
        <x:v>30</x:v>
      </x:c>
      <x:c r="M34" s="9" t="str">
        <x:v>Physical-state and manipulation-trajectory reference under a direct category prompt; the evaluated state word × object-category cell is intentionally absent from training.</x:v>
      </x:c>
      <x:c r="N34" s="9" t="n">
        <x:v>2</x:v>
      </x:c>
      <x:c r="O34" s="9" t="str">
        <x:v>Build the listed same-category discrimination scene with the bowl empty.</x:v>
      </x:c>
      <x:c r="P34" s="9" t="str">
        <x:v>Two same-category candidates share the non-queried state axis; only the held-out state word identifies the target. The same-category candidates share the orthogonal C/O state (O).</x:v>
      </x:c>
      <x:c r="Q34" s="9"/>
      <x:c r="R34" s="10" t="n">
        <x:v>3</x:v>
      </x:c>
      <x:c r="S34" s="10" t="n">
        <x:v>1</x:v>
      </x:c>
      <x:c r="T34" s="9" t="str">
        <x:v>Empty</x:v>
      </x:c>
      <x:c r="U34" s="9" t="str">
        <x:v>UD</x:v>
      </x:c>
      <x:c r="V34" s="9" t="str">
        <x:v>white cup</x:v>
      </x:c>
      <x:c r="W34" s="9"/>
      <x:c r="X34" s="10"/>
      <x:c r="Y34" s="10"/>
      <x:c r="Z34" s="9"/>
      <x:c r="AA34" s="9"/>
      <x:c r="AB34" s="9"/>
      <x:c r="AC34" s="9"/>
      <x:c r="AD34" s="9"/>
      <x:c r="AE34" s="9"/>
      <x:c r="AF34" s="9"/>
      <x:c r="AG34" s="9"/>
      <x:c r="AH34" s="9"/>
      <x:c r="AI34" s="11"/>
      <x:c r="AJ34" s="9"/>
      <x:c r="AK34" s="9" t="str">
        <x:v>Eval_State_Recognition.xlsm</x:v>
      </x:c>
      <x:c r="AL34" s="9" t="str">
        <x:v>GR00T vision only Results</x:v>
      </x:c>
      <x:c r="AM34" s="9" t="n">
        <x:v>34</x:v>
      </x:c>
      <x:c r="AN34" s="9" t="n">
        <x:v>34</x:v>
      </x:c>
    </x:row>
    <x:row r="35">
      <x:c r="A35" s="9" t="str">
        <x:v>Success</x:v>
      </x:c>
      <x:c r="B35" s="9" t="str">
        <x:v>State Recognition</x:v>
      </x:c>
      <x:c r="C35" s="10" t="n">
        <x:v>33</x:v>
      </x:c>
      <x:c r="D35" s="9" t="str">
        <x:v>Move a white cup into the bowl.</x:v>
      </x:c>
      <x:c r="E35" s="9" t="str">
        <x:v>white cup A (O, UD); yellow-white striped cup A (O, RU); brown cup A (C, RU)</x:v>
      </x:c>
      <x:c r="F35" s="9" t="str">
        <x:v>white cup A</x:v>
      </x:c>
      <x:c r="G35" s="9"/>
      <x:c r="H35" s="9" t="str">
        <x:v>Matched manipulation control</x:v>
      </x:c>
      <x:c r="I35" s="9" t="str">
        <x:v>SR-CT05</x:v>
      </x:c>
      <x:c r="J35" s="9" t="str">
        <x:v>One-object-substitution direct-category control</x:v>
      </x:c>
      <x:c r="K35" s="9" t="n">
        <x:v>32</x:v>
      </x:c>
      <x:c r="L35" s="9" t="n">
        <x:v>30</x:v>
      </x:c>
      <x:c r="M35" s="9" t="str">
        <x:v>Exact direct-category manipulation prompt from training episode 30. The transfer target, state, and pose are preserved; only the competing white cup is replaced by yellow-white striped cup A.</x:v>
      </x:c>
      <x:c r="N35" s="9" t="n">
        <x:v>2</x:v>
      </x:c>
      <x:c r="O35" s="9" t="str">
        <x:v>Reset white cup A to its transfer pose. Replace white cup B with yellow-white striped cup A in the same location and use the states listed in this row; preserve all other objects.</x:v>
      </x:c>
      <x:c r="P35" s="9" t="str">
        <x:v>Pure recognition/manipulation control: the prompt uniquely names the only object from the target category, while the physical target remains identical to the transfer row.</x:v>
      </x:c>
      <x:c r="Q35" s="9"/>
      <x:c r="R35" s="10" t="n">
        <x:v>3</x:v>
      </x:c>
      <x:c r="S35" s="10" t="n">
        <x:v>1</x:v>
      </x:c>
      <x:c r="T35" s="9" t="str">
        <x:v>Empty</x:v>
      </x:c>
      <x:c r="U35" s="9" t="str">
        <x:v>N/A</x:v>
      </x:c>
      <x:c r="V35" s="9" t="str">
        <x:v>white cup</x:v>
      </x:c>
      <x:c r="W35" s="9"/>
      <x:c r="X35" s="10"/>
      <x:c r="Y35" s="10"/>
      <x:c r="Z35" s="9"/>
      <x:c r="AA35" s="9"/>
      <x:c r="AB35" s="9"/>
      <x:c r="AC35" s="9"/>
      <x:c r="AD35" s="9"/>
      <x:c r="AE35" s="9"/>
      <x:c r="AF35" s="9"/>
      <x:c r="AG35" s="9"/>
      <x:c r="AH35" s="9"/>
      <x:c r="AI35" s="11"/>
      <x:c r="AJ35" s="9"/>
      <x:c r="AK35" s="9" t="str">
        <x:v>Eval_State_Recognition.xlsm</x:v>
      </x:c>
      <x:c r="AL35" s="9" t="str">
        <x:v>GR00T vision only Results</x:v>
      </x:c>
      <x:c r="AM35" s="9" t="n">
        <x:v>35</x:v>
      </x:c>
      <x:c r="AN35" s="9" t="n">
        <x:v>35</x:v>
      </x:c>
    </x:row>
    <x:row r="36">
      <x:c r="A36" s="9" t="str">
        <x:v>Success</x:v>
      </x:c>
      <x:c r="B36" s="9" t="str">
        <x:v>State Recognition</x:v>
      </x:c>
      <x:c r="C36" s="10" t="n">
        <x:v>34</x:v>
      </x:c>
      <x:c r="D36" s="9" t="str">
        <x:v>Move the inverted white cup into the bowl.</x:v>
      </x:c>
      <x:c r="E36" s="9" t="str">
        <x:v>white cup A (O, UD); white cup B (O, RU); brown cup A (C, RU)</x:v>
      </x:c>
      <x:c r="F36" s="9" t="str">
        <x:v>white cup A</x:v>
      </x:c>
      <x:c r="G36" s="9"/>
      <x:c r="H36" s="9" t="str">
        <x:v>Language robustness</x:v>
      </x:c>
      <x:c r="I36" s="9" t="str">
        <x:v>SR-CT05</x:v>
      </x:c>
      <x:c r="J36" s="9" t="str">
        <x:v>Primary compositional-transfer prompt paraphrase</x:v>
      </x:c>
      <x:c r="K36" s="9" t="n">
        <x:v>32</x:v>
      </x:c>
      <x:c r="L36" s="9" t="str">
        <x:v>30</x:v>
      </x:c>
      <x:c r="M36" s="9" t="str">
        <x:v>The canonical transfer scene and masked trajectory reference are unchanged; only the evaluation wording is paraphrased. This remains a language diagnostic and is not pooled into the primary 50.</x:v>
      </x:c>
      <x:c r="N36" s="9" t="n">
        <x:v>2</x:v>
      </x:c>
      <x:c r="O36" s="9" t="str">
        <x:v>Reset the moved object exactly; preserve every object and state; change only the prompt wording.</x:v>
      </x:c>
      <x:c r="P36" s="9" t="str">
        <x:v>Exact-scene paraphrase of one of the 50 canonical compositional-transfer trials. The same-category candidates share the orthogonal C/O state (O). The scene is an exact copy of the referenced canonical row.</x:v>
      </x:c>
      <x:c r="Q36" s="9"/>
      <x:c r="R36" s="10" t="n">
        <x:v>3</x:v>
      </x:c>
      <x:c r="S36" s="10" t="n">
        <x:v>1</x:v>
      </x:c>
      <x:c r="T36" s="9" t="str">
        <x:v>Empty</x:v>
      </x:c>
      <x:c r="U36" s="9" t="str">
        <x:v>UD</x:v>
      </x:c>
      <x:c r="V36" s="9" t="str">
        <x:v>white cup</x:v>
      </x:c>
      <x:c r="W36" s="9"/>
      <x:c r="X36" s="10"/>
      <x:c r="Y36" s="10"/>
      <x:c r="Z36" s="9"/>
      <x:c r="AA36" s="9"/>
      <x:c r="AB36" s="9"/>
      <x:c r="AC36" s="9"/>
      <x:c r="AD36" s="9"/>
      <x:c r="AE36" s="9"/>
      <x:c r="AF36" s="9"/>
      <x:c r="AG36" s="9"/>
      <x:c r="AH36" s="9"/>
      <x:c r="AI36" s="11"/>
      <x:c r="AJ36" s="9"/>
      <x:c r="AK36" s="9" t="str">
        <x:v>Eval_State_Recognition.xlsm</x:v>
      </x:c>
      <x:c r="AL36" s="9" t="str">
        <x:v>GR00T vision only Results</x:v>
      </x:c>
      <x:c r="AM36" s="9" t="n">
        <x:v>36</x:v>
      </x:c>
      <x:c r="AN36" s="9" t="n">
        <x:v>36</x:v>
      </x:c>
    </x:row>
    <x:row r="37">
      <x:c r="A37" s="9" t="str">
        <x:v>Success</x:v>
      </x:c>
      <x:c r="B37" s="9" t="str">
        <x:v>State Recognition</x:v>
      </x:c>
      <x:c r="C37" s="10" t="n">
        <x:v>35</x:v>
      </x:c>
      <x:c r="D37" s="9" t="str">
        <x:v>Set the white cup inside the bowl.</x:v>
      </x:c>
      <x:c r="E37" s="9" t="str">
        <x:v>white cup A (O, UD); yellow-white striped cup A (O, RU); brown cup A (C, RU)</x:v>
      </x:c>
      <x:c r="F37" s="9" t="str">
        <x:v>white cup A</x:v>
      </x:c>
      <x:c r="G37" s="9"/>
      <x:c r="H37" s="9" t="str">
        <x:v>Language robustness</x:v>
      </x:c>
      <x:c r="I37" s="9" t="str">
        <x:v>SR-CT05</x:v>
      </x:c>
      <x:c r="J37" s="9" t="str">
        <x:v>Direct-category matched-control paraphrase</x:v>
      </x:c>
      <x:c r="K37" s="9" t="n">
        <x:v>33</x:v>
      </x:c>
      <x:c r="L37" s="9" t="n">
        <x:v>30</x:v>
      </x:c>
      <x:c r="M37" s="9" t="str">
        <x:v>Paraphrase of the direct-category matched control grounded by training episode 30. The modified control scene and physical target are unchanged.</x:v>
      </x:c>
      <x:c r="N37" s="9" t="n">
        <x:v>2</x:v>
      </x:c>
      <x:c r="O37" s="9" t="str">
        <x:v>Reset the target to its marked pose; preserve the exact modified control scene and change only the direct instruction wording.</x:v>
      </x:c>
      <x:c r="P37" s="9" t="str">
        <x:v>Language diagnostic for the pure manipulation control; no state word or state-based selection is required. The scene is an exact copy of the referenced canonical row.</x:v>
      </x:c>
      <x:c r="Q37" s="9"/>
      <x:c r="R37" s="10" t="n">
        <x:v>3</x:v>
      </x:c>
      <x:c r="S37" s="10" t="n">
        <x:v>1</x:v>
      </x:c>
      <x:c r="T37" s="9" t="str">
        <x:v>Empty</x:v>
      </x:c>
      <x:c r="U37" s="9" t="str">
        <x:v>N/A</x:v>
      </x:c>
      <x:c r="V37" s="9" t="str">
        <x:v>white cup</x:v>
      </x:c>
      <x:c r="W37" s="9"/>
      <x:c r="X37" s="10"/>
      <x:c r="Y37" s="10"/>
      <x:c r="Z37" s="9"/>
      <x:c r="AA37" s="9"/>
      <x:c r="AB37" s="9"/>
      <x:c r="AC37" s="9"/>
      <x:c r="AD37" s="9"/>
      <x:c r="AE37" s="9"/>
      <x:c r="AF37" s="9"/>
      <x:c r="AG37" s="9"/>
      <x:c r="AH37" s="9"/>
      <x:c r="AI37" s="11"/>
      <x:c r="AJ37" s="9"/>
      <x:c r="AK37" s="9" t="str">
        <x:v>Eval_State_Recognition.xlsm</x:v>
      </x:c>
      <x:c r="AL37" s="9" t="str">
        <x:v>GR00T vision only Results</x:v>
      </x:c>
      <x:c r="AM37" s="9" t="n">
        <x:v>37</x:v>
      </x:c>
      <x:c r="AN37" s="9" t="n">
        <x:v>37</x:v>
      </x:c>
    </x:row>
    <x:row r="38">
      <x:c r="A38" s="9" t="str">
        <x:v>Success</x:v>
      </x:c>
      <x:c r="B38" s="9" t="str">
        <x:v>State Recognition</x:v>
      </x:c>
      <x:c r="C38" s="10" t="n">
        <x:v>36</x:v>
      </x:c>
      <x:c r="D38" s="9" t="str">
        <x:v>Place the closed brown cup in the bowl.</x:v>
      </x:c>
      <x:c r="E38" s="9" t="str">
        <x:v>brown cup A (C, RU); brown cup B (O, RU); glass spice container A (C, RU); white cup B (O, RU)</x:v>
      </x:c>
      <x:c r="F38" s="9" t="str">
        <x:v>brown cup A</x:v>
      </x:c>
      <x:c r="G38" s="9"/>
      <x:c r="H38" s="9" t="str">
        <x:v>Concept/compositional transfer</x:v>
      </x:c>
      <x:c r="I38" s="9" t="str">
        <x:v>SR-CT03</x:v>
      </x:c>
      <x:c r="J38" s="9" t="str">
        <x:v>Primary held-out state-object composition</x:v>
      </x:c>
      <x:c r="K38" s="9"/>
      <x:c r="L38" s="9" t="str">
        <x:v>100</x:v>
      </x:c>
      <x:c r="M38"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38" s="9" t="n">
        <x:v>2</x:v>
      </x:c>
      <x:c r="O38" s="9" t="str">
        <x:v>Build the listed same-category discrimination scene with the bowl empty.</x:v>
      </x:c>
      <x:c r="P38" s="9" t="str">
        <x:v>Two same-category candidates share the non-queried state axis; only the held-out state word identifies the target. The orthogonal orientation axis is fixed: every object is RU.</x:v>
      </x:c>
      <x:c r="Q38" s="9"/>
      <x:c r="R38" s="10" t="n">
        <x:v>4</x:v>
      </x:c>
      <x:c r="S38" s="10" t="n">
        <x:v>1</x:v>
      </x:c>
      <x:c r="T38" s="9" t="str">
        <x:v>Empty</x:v>
      </x:c>
      <x:c r="U38" s="9" t="str">
        <x:v>C</x:v>
      </x:c>
      <x:c r="V38" s="9" t="str">
        <x:v>brown cup</x:v>
      </x:c>
      <x:c r="W38" s="9"/>
      <x:c r="X38" s="10"/>
      <x:c r="Y38" s="10"/>
      <x:c r="Z38" s="9"/>
      <x:c r="AA38" s="9"/>
      <x:c r="AB38" s="9"/>
      <x:c r="AC38" s="9"/>
      <x:c r="AD38" s="9"/>
      <x:c r="AE38" s="9"/>
      <x:c r="AF38" s="9"/>
      <x:c r="AG38" s="9"/>
      <x:c r="AH38" s="9"/>
      <x:c r="AI38" s="11"/>
      <x:c r="AJ38" s="9"/>
      <x:c r="AK38" s="9" t="str">
        <x:v>Eval_State_Recognition.xlsm</x:v>
      </x:c>
      <x:c r="AL38" s="9" t="str">
        <x:v>GR00T vision only Results</x:v>
      </x:c>
      <x:c r="AM38" s="9" t="n">
        <x:v>38</x:v>
      </x:c>
      <x:c r="AN38" s="9" t="n">
        <x:v>38</x:v>
      </x:c>
    </x:row>
    <x:row r="39">
      <x:c r="A39" s="9" t="str">
        <x:v>Success</x:v>
      </x:c>
      <x:c r="B39" s="9" t="str">
        <x:v>State Recognition</x:v>
      </x:c>
      <x:c r="C39" s="10" t="n">
        <x:v>37</x:v>
      </x:c>
      <x:c r="D39" s="9" t="str">
        <x:v>Place a brown cup in the bowl.</x:v>
      </x:c>
      <x:c r="E39" s="9" t="str">
        <x:v>brown cup A (C, RU); yellow-white striped cup A (O, RU); glass spice container A (C, RU); white cup B (O, RU)</x:v>
      </x:c>
      <x:c r="F39" s="9" t="str">
        <x:v>brown cup A</x:v>
      </x:c>
      <x:c r="G39" s="9"/>
      <x:c r="H39" s="9" t="str">
        <x:v>Matched manipulation control</x:v>
      </x:c>
      <x:c r="I39" s="9" t="str">
        <x:v>SR-CT03</x:v>
      </x:c>
      <x:c r="J39" s="9" t="str">
        <x:v>One-object-substitution direct-category control</x:v>
      </x:c>
      <x:c r="K39" s="9" t="n">
        <x:v>36</x:v>
      </x:c>
      <x:c r="L39" s="9" t="n">
        <x:v>100</x:v>
      </x:c>
      <x:c r="M39" s="9" t="str">
        <x:v>Exact direct-category manipulation prompt from training episode 100. The transfer target, state, and pose are preserved; only the competing brown cup is replaced by yellow-white striped cup A. The full control scene is upright because its paired transfer instruction queries open/closed.</x:v>
      </x:c>
      <x:c r="N39" s="9" t="n">
        <x:v>2</x:v>
      </x:c>
      <x:c r="O39" s="9" t="str">
        <x:v>Reset brown cup A to its transfer pose. Replace brown cup B with yellow-white striped cup A in the same location and use the states listed in this row; preserve all other objects.</x:v>
      </x:c>
      <x:c r="P39" s="9" t="str">
        <x:v>Pure recognition/manipulation control: the prompt uniquely names the only object from the target category, while the physical target remains identical to the transfer row. Every object is RU.</x:v>
      </x:c>
      <x:c r="Q39" s="9"/>
      <x:c r="R39" s="10" t="n">
        <x:v>4</x:v>
      </x:c>
      <x:c r="S39" s="10" t="n">
        <x:v>1</x:v>
      </x:c>
      <x:c r="T39" s="9" t="str">
        <x:v>Empty</x:v>
      </x:c>
      <x:c r="U39" s="9" t="str">
        <x:v>N/A</x:v>
      </x:c>
      <x:c r="V39" s="9" t="str">
        <x:v>brown cup</x:v>
      </x:c>
      <x:c r="W39" s="9"/>
      <x:c r="X39" s="10"/>
      <x:c r="Y39" s="10"/>
      <x:c r="Z39" s="9"/>
      <x:c r="AA39" s="9"/>
      <x:c r="AB39" s="9"/>
      <x:c r="AC39" s="9"/>
      <x:c r="AD39" s="9"/>
      <x:c r="AE39" s="9"/>
      <x:c r="AF39" s="9"/>
      <x:c r="AG39" s="9"/>
      <x:c r="AH39" s="9"/>
      <x:c r="AI39" s="11"/>
      <x:c r="AJ39" s="9"/>
      <x:c r="AK39" s="9" t="str">
        <x:v>Eval_State_Recognition.xlsm</x:v>
      </x:c>
      <x:c r="AL39" s="9" t="str">
        <x:v>GR00T vision only Results</x:v>
      </x:c>
      <x:c r="AM39" s="9" t="n">
        <x:v>39</x:v>
      </x:c>
      <x:c r="AN39" s="9" t="n">
        <x:v>39</x:v>
      </x:c>
    </x:row>
    <x:row r="40">
      <x:c r="A40" s="9" t="str">
        <x:v>Failure</x:v>
      </x:c>
      <x:c r="B40" s="9" t="str">
        <x:v>State Recognition</x:v>
      </x:c>
      <x:c r="C40" s="10" t="n">
        <x:v>38</x:v>
      </x:c>
      <x:c r="D40" s="9" t="str">
        <x:v>Move the brown cup whose opening is covered into the bowl.</x:v>
      </x:c>
      <x:c r="E40" s="9" t="str">
        <x:v>brown cup A (C, RU); brown cup B (O, RU); glass spice container A (C, RU); white cup B (O, RU)</x:v>
      </x:c>
      <x:c r="F40" s="9" t="str">
        <x:v>brown cup A</x:v>
      </x:c>
      <x:c r="G40" s="9" t="str">
        <x:v>got open cup</x:v>
      </x:c>
      <x:c r="H40" s="9" t="str">
        <x:v>Language robustness</x:v>
      </x:c>
      <x:c r="I40" s="9" t="str">
        <x:v>SR-CT03</x:v>
      </x:c>
      <x:c r="J40" s="9" t="str">
        <x:v>Primary compositional-transfer prompt paraphrase</x:v>
      </x:c>
      <x:c r="K40" s="9" t="n">
        <x:v>36</x:v>
      </x:c>
      <x:c r="L40" s="9" t="str">
        <x:v>100</x:v>
      </x:c>
      <x:c r="M40" s="9" t="str">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N40" s="9" t="n">
        <x:v>2</x:v>
      </x:c>
      <x:c r="O40" s="9" t="str">
        <x:v>Reset the moved object exactly; preserve every object and state; change only the prompt wording.</x:v>
      </x:c>
      <x:c r="P40" s="9" t="str">
        <x:v>Exact-scene paraphrase of one of the 50 canonical compositional-transfer trials. The orthogonal orientation axis is fixed: every object is RU. The scene is an exact copy of the referenced canonical row.</x:v>
      </x:c>
      <x:c r="Q40" s="9"/>
      <x:c r="R40" s="10" t="n">
        <x:v>4</x:v>
      </x:c>
      <x:c r="S40" s="10" t="n">
        <x:v>1</x:v>
      </x:c>
      <x:c r="T40" s="9" t="str">
        <x:v>Empty</x:v>
      </x:c>
      <x:c r="U40" s="9" t="str">
        <x:v>C</x:v>
      </x:c>
      <x:c r="V40" s="9" t="str">
        <x:v>brown cup</x:v>
      </x:c>
      <x:c r="W40" s="9"/>
      <x:c r="X40" s="10"/>
      <x:c r="Y40" s="10"/>
      <x:c r="Z40" s="9"/>
      <x:c r="AA40" s="9"/>
      <x:c r="AB40" s="9"/>
      <x:c r="AC40" s="9"/>
      <x:c r="AD40" s="9"/>
      <x:c r="AE40" s="9"/>
      <x:c r="AF40" s="9"/>
      <x:c r="AG40" s="9"/>
      <x:c r="AH40" s="9"/>
      <x:c r="AI40" s="11"/>
      <x:c r="AJ40" s="9"/>
      <x:c r="AK40" s="9" t="str">
        <x:v>Eval_State_Recognition.xlsm</x:v>
      </x:c>
      <x:c r="AL40" s="9" t="str">
        <x:v>GR00T vision only Results</x:v>
      </x:c>
      <x:c r="AM40" s="9" t="n">
        <x:v>40</x:v>
      </x:c>
      <x:c r="AN40" s="9" t="n">
        <x:v>40</x:v>
      </x:c>
    </x:row>
    <x:row r="41">
      <x:c r="A41" s="9" t="str">
        <x:v>Success</x:v>
      </x:c>
      <x:c r="B41" s="9" t="str">
        <x:v>State Recognition</x:v>
      </x:c>
      <x:c r="C41" s="10" t="n">
        <x:v>39</x:v>
      </x:c>
      <x:c r="D41" s="9" t="str">
        <x:v>Take the brown cup off the table and place it in the bowl.</x:v>
      </x:c>
      <x:c r="E41" s="9" t="str">
        <x:v>brown cup A (C, RU); yellow-white striped cup A (O, RU); glass spice container A (C, RU); white cup B (O, RU)</x:v>
      </x:c>
      <x:c r="F41" s="9" t="str">
        <x:v>brown cup A</x:v>
      </x:c>
      <x:c r="G41" s="9"/>
      <x:c r="H41" s="9" t="str">
        <x:v>Language robustness</x:v>
      </x:c>
      <x:c r="I41" s="9" t="str">
        <x:v>SR-CT03</x:v>
      </x:c>
      <x:c r="J41" s="9" t="str">
        <x:v>Direct-category matched-control paraphrase</x:v>
      </x:c>
      <x:c r="K41" s="9" t="n">
        <x:v>37</x:v>
      </x:c>
      <x:c r="L41" s="9" t="n">
        <x:v>100</x:v>
      </x:c>
      <x:c r="M41" s="9" t="str">
        <x:v>Paraphrase of the direct-category matched control grounded by training episode 100. The modified control scene and physical target are unchanged.</x:v>
      </x:c>
      <x:c r="N41" s="9" t="n">
        <x:v>2</x:v>
      </x:c>
      <x:c r="O41" s="9" t="str">
        <x:v>Reset the target to its marked pose; preserve the exact modified control scene and change only the direct instruction wording.</x:v>
      </x:c>
      <x:c r="P41" s="9" t="str">
        <x:v>Language diagnostic for the pure manipulation control; no state word or state-based selection is required. The scene is an exact copy of the referenced canonical row.</x:v>
      </x:c>
      <x:c r="Q41" s="9"/>
      <x:c r="R41" s="10" t="n">
        <x:v>4</x:v>
      </x:c>
      <x:c r="S41" s="10" t="n">
        <x:v>1</x:v>
      </x:c>
      <x:c r="T41" s="9" t="str">
        <x:v>Empty</x:v>
      </x:c>
      <x:c r="U41" s="9" t="str">
        <x:v>N/A</x:v>
      </x:c>
      <x:c r="V41" s="9" t="str">
        <x:v>brown cup</x:v>
      </x:c>
      <x:c r="W41" s="9"/>
      <x:c r="X41" s="10"/>
      <x:c r="Y41" s="10"/>
      <x:c r="Z41" s="9"/>
      <x:c r="AA41" s="9"/>
      <x:c r="AB41" s="9"/>
      <x:c r="AC41" s="9"/>
      <x:c r="AD41" s="9"/>
      <x:c r="AE41" s="9"/>
      <x:c r="AF41" s="9"/>
      <x:c r="AG41" s="9"/>
      <x:c r="AH41" s="9"/>
      <x:c r="AI41" s="11"/>
      <x:c r="AJ41" s="9"/>
      <x:c r="AK41" s="9" t="str">
        <x:v>Eval_State_Recognition.xlsm</x:v>
      </x:c>
      <x:c r="AL41" s="9" t="str">
        <x:v>GR00T vision only Results</x:v>
      </x:c>
      <x:c r="AM41" s="9" t="n">
        <x:v>41</x:v>
      </x:c>
      <x:c r="AN41" s="9" t="n">
        <x:v>41</x:v>
      </x:c>
    </x:row>
    <x:row r="42">
      <x:c r="A42" s="9" t="str">
        <x:v>Failure</x:v>
      </x:c>
      <x:c r="B42" s="9" t="str">
        <x:v>State Recognition</x:v>
      </x:c>
      <x:c r="C42" s="10" t="n">
        <x:v>40</x:v>
      </x:c>
      <x:c r="D42" s="9" t="str">
        <x:v>Place the open yellow-white striped cup in the bowl.</x:v>
      </x:c>
      <x:c r="E42" s="9" t="str">
        <x:v>yellow-white striped cup B (O, RU); yellow-white striped cup A (C, RU); glass spice container B (O, RU); white cup A (C, RU)</x:v>
      </x:c>
      <x:c r="F42" s="9" t="str">
        <x:v>yellow-white striped cup B</x:v>
      </x:c>
      <x:c r="G42" s="9" t="str">
        <x:v>picked closed striped cup</x:v>
      </x:c>
      <x:c r="H42" s="9" t="str">
        <x:v>Concept/compositional transfer</x:v>
      </x:c>
      <x:c r="I42" s="9" t="str">
        <x:v>SR-CT06</x:v>
      </x:c>
      <x:c r="J42" s="9" t="str">
        <x:v>Primary held-out state-object composition</x:v>
      </x:c>
      <x:c r="K42" s="9"/>
      <x:c r="L42" s="9" t="str">
        <x:v>53</x:v>
      </x:c>
      <x:c r="M42"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42" s="9" t="n">
        <x:v>2</x:v>
      </x:c>
      <x:c r="O42" s="9" t="str">
        <x:v>Build the listed same-category discrimination scene with the bowl empty.</x:v>
      </x:c>
      <x:c r="P42" s="9" t="str">
        <x:v>Two same-category candidates share the non-queried state axis; only the held-out state word identifies the target. The orthogonal orientation axis is fixed: every object is RU.</x:v>
      </x:c>
      <x:c r="Q42" s="9"/>
      <x:c r="R42" s="10" t="n">
        <x:v>4</x:v>
      </x:c>
      <x:c r="S42" s="10" t="n">
        <x:v>1</x:v>
      </x:c>
      <x:c r="T42" s="9" t="str">
        <x:v>Empty</x:v>
      </x:c>
      <x:c r="U42" s="9" t="str">
        <x:v>O</x:v>
      </x:c>
      <x:c r="V42" s="9" t="str">
        <x:v>yellow-white striped cup</x:v>
      </x:c>
      <x:c r="W42" s="9"/>
      <x:c r="X42" s="10"/>
      <x:c r="Y42" s="10"/>
      <x:c r="Z42" s="9"/>
      <x:c r="AA42" s="9"/>
      <x:c r="AB42" s="9"/>
      <x:c r="AC42" s="9"/>
      <x:c r="AD42" s="9"/>
      <x:c r="AE42" s="9"/>
      <x:c r="AF42" s="9"/>
      <x:c r="AG42" s="9"/>
      <x:c r="AH42" s="9"/>
      <x:c r="AI42" s="11"/>
      <x:c r="AJ42" s="9"/>
      <x:c r="AK42" s="9" t="str">
        <x:v>Eval_State_Recognition.xlsm</x:v>
      </x:c>
      <x:c r="AL42" s="9" t="str">
        <x:v>GR00T vision only Results</x:v>
      </x:c>
      <x:c r="AM42" s="9" t="n">
        <x:v>42</x:v>
      </x:c>
      <x:c r="AN42" s="9" t="n">
        <x:v>42</x:v>
      </x:c>
    </x:row>
    <x:row r="43">
      <x:c r="A43" s="9" t="str">
        <x:v>Success</x:v>
      </x:c>
      <x:c r="B43" s="9" t="str">
        <x:v>State Recognition</x:v>
      </x:c>
      <x:c r="C43" s="10" t="n">
        <x:v>41</x:v>
      </x:c>
      <x:c r="D43" s="9" t="str">
        <x:v>Put a yellow-white striped cup in the bowl.</x:v>
      </x:c>
      <x:c r="E43" s="9" t="str">
        <x:v>yellow-white striped cup B (O, RU); brown cup B (C, RU); glass spice container B (O, RU); white cup A (C, RU)</x:v>
      </x:c>
      <x:c r="F43" s="9" t="str">
        <x:v>yellow-white striped cup B</x:v>
      </x:c>
      <x:c r="G43" s="9"/>
      <x:c r="H43" s="9" t="str">
        <x:v>Matched manipulation control</x:v>
      </x:c>
      <x:c r="I43" s="9" t="str">
        <x:v>SR-CT06</x:v>
      </x:c>
      <x:c r="J43" s="9" t="str">
        <x:v>One-object-substitution direct-category control</x:v>
      </x:c>
      <x:c r="K43" s="9" t="n">
        <x:v>40</x:v>
      </x:c>
      <x:c r="L43" s="9" t="n">
        <x:v>53</x:v>
      </x:c>
      <x:c r="M43" s="9" t="str">
        <x:v>Exact direct-category manipulation prompt from training episode 53. The transfer target, state, and pose are preserved; only the competing yellow-white striped cup is replaced by brown cup B. The full control scene is upright because its paired transfer instruction queries open/closed.</x:v>
      </x:c>
      <x:c r="N43" s="9" t="n">
        <x:v>2</x:v>
      </x:c>
      <x:c r="O43" s="9" t="str">
        <x:v>Reset yellow-white striped cup B to its transfer pose. Replace yellow-white striped cup A with brown cup B in the same location and use the states listed in this row; preserve all other objects.</x:v>
      </x:c>
      <x:c r="P43" s="9" t="str">
        <x:v>Pure recognition/manipulation control: the prompt uniquely names the only object from the target category, while the physical target remains identical to the transfer row. Every object is RU.</x:v>
      </x:c>
      <x:c r="Q43" s="9"/>
      <x:c r="R43" s="10" t="n">
        <x:v>4</x:v>
      </x:c>
      <x:c r="S43" s="10" t="n">
        <x:v>1</x:v>
      </x:c>
      <x:c r="T43" s="9" t="str">
        <x:v>Empty</x:v>
      </x:c>
      <x:c r="U43" s="9" t="str">
        <x:v>N/A</x:v>
      </x:c>
      <x:c r="V43" s="9" t="str">
        <x:v>yellow-white striped cup</x:v>
      </x:c>
      <x:c r="W43" s="9"/>
      <x:c r="X43" s="10"/>
      <x:c r="Y43" s="10"/>
      <x:c r="Z43" s="9"/>
      <x:c r="AA43" s="9"/>
      <x:c r="AB43" s="9"/>
      <x:c r="AC43" s="9"/>
      <x:c r="AD43" s="9"/>
      <x:c r="AE43" s="9"/>
      <x:c r="AF43" s="9"/>
      <x:c r="AG43" s="9"/>
      <x:c r="AH43" s="9"/>
      <x:c r="AI43" s="11"/>
      <x:c r="AJ43" s="9"/>
      <x:c r="AK43" s="9" t="str">
        <x:v>Eval_State_Recognition.xlsm</x:v>
      </x:c>
      <x:c r="AL43" s="9" t="str">
        <x:v>GR00T vision only Results</x:v>
      </x:c>
      <x:c r="AM43" s="9" t="n">
        <x:v>43</x:v>
      </x:c>
      <x:c r="AN43" s="9" t="n">
        <x:v>43</x:v>
      </x:c>
    </x:row>
    <x:row r="44">
      <x:c r="A44" s="9" t="str">
        <x:v>Failure</x:v>
      </x:c>
      <x:c r="B44" s="9" t="str">
        <x:v>State Recognition</x:v>
      </x:c>
      <x:c r="C44" s="10" t="n">
        <x:v>42</x:v>
      </x:c>
      <x:c r="D44" s="9" t="str">
        <x:v>Move the yellow-white striped cup whose opening is uncovered into the bowl.</x:v>
      </x:c>
      <x:c r="E44" s="9" t="str">
        <x:v>yellow-white striped cup B (O, RU); yellow-white striped cup A (C, RU); glass spice container B (O, RU); white cup A (C, RU)</x:v>
      </x:c>
      <x:c r="F44" s="9" t="str">
        <x:v>yellow-white striped cup B</x:v>
      </x:c>
      <x:c r="G44" s="9" t="str">
        <x:v>picked closed striped cup</x:v>
      </x:c>
      <x:c r="H44" s="9" t="str">
        <x:v>Language robustness</x:v>
      </x:c>
      <x:c r="I44" s="9" t="str">
        <x:v>SR-CT06</x:v>
      </x:c>
      <x:c r="J44" s="9" t="str">
        <x:v>Primary compositional-transfer prompt paraphrase</x:v>
      </x:c>
      <x:c r="K44" s="9" t="n">
        <x:v>40</x:v>
      </x:c>
      <x:c r="L44" s="9" t="str">
        <x:v>53</x:v>
      </x:c>
      <x:c r="M44" s="9" t="str">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N44" s="9" t="n">
        <x:v>2</x:v>
      </x:c>
      <x:c r="O44" s="9" t="str">
        <x:v>Reset the moved object exactly; preserve every object and state; change only the prompt wording.</x:v>
      </x:c>
      <x:c r="P44" s="9" t="str">
        <x:v>Exact-scene paraphrase of one of the 50 canonical compositional-transfer trials. The orthogonal orientation axis is fixed: every object is RU. The scene is an exact copy of the referenced canonical row.</x:v>
      </x:c>
      <x:c r="Q44" s="9"/>
      <x:c r="R44" s="10" t="n">
        <x:v>4</x:v>
      </x:c>
      <x:c r="S44" s="10" t="n">
        <x:v>1</x:v>
      </x:c>
      <x:c r="T44" s="9" t="str">
        <x:v>Empty</x:v>
      </x:c>
      <x:c r="U44" s="9" t="str">
        <x:v>O</x:v>
      </x:c>
      <x:c r="V44" s="9" t="str">
        <x:v>yellow-white striped cup</x:v>
      </x:c>
      <x:c r="W44" s="9"/>
      <x:c r="X44" s="10"/>
      <x:c r="Y44" s="10"/>
      <x:c r="Z44" s="9"/>
      <x:c r="AA44" s="9"/>
      <x:c r="AB44" s="9"/>
      <x:c r="AC44" s="9"/>
      <x:c r="AD44" s="9"/>
      <x:c r="AE44" s="9"/>
      <x:c r="AF44" s="9"/>
      <x:c r="AG44" s="9"/>
      <x:c r="AH44" s="9"/>
      <x:c r="AI44" s="11"/>
      <x:c r="AJ44" s="9"/>
      <x:c r="AK44" s="9" t="str">
        <x:v>Eval_State_Recognition.xlsm</x:v>
      </x:c>
      <x:c r="AL44" s="9" t="str">
        <x:v>GR00T vision only Results</x:v>
      </x:c>
      <x:c r="AM44" s="9" t="n">
        <x:v>44</x:v>
      </x:c>
      <x:c r="AN44" s="9" t="n">
        <x:v>44</x:v>
      </x:c>
    </x:row>
    <x:row r="45">
      <x:c r="A45" s="9" t="str">
        <x:v>Failure</x:v>
      </x:c>
      <x:c r="B45" s="9" t="str">
        <x:v>State Recognition</x:v>
      </x:c>
      <x:c r="C45" s="10" t="n">
        <x:v>43</x:v>
      </x:c>
      <x:c r="D45" s="9" t="str">
        <x:v>Transfer the yellow-white striped cup from the table into the bowl.</x:v>
      </x:c>
      <x:c r="E45" s="9" t="str">
        <x:v>yellow-white striped cup B (O, RU); brown cup B (C, RU); glass spice container B (O, RU); white cup A (C, RU)</x:v>
      </x:c>
      <x:c r="F45" s="9" t="str">
        <x:v>yellow-white striped cup B</x:v>
      </x:c>
      <x:c r="G45" s="9" t="str">
        <x:v>picked brown cup</x:v>
      </x:c>
      <x:c r="H45" s="9" t="str">
        <x:v>Language robustness</x:v>
      </x:c>
      <x:c r="I45" s="9" t="str">
        <x:v>SR-CT06</x:v>
      </x:c>
      <x:c r="J45" s="9" t="str">
        <x:v>Direct-category matched-control paraphrase</x:v>
      </x:c>
      <x:c r="K45" s="9" t="n">
        <x:v>41</x:v>
      </x:c>
      <x:c r="L45" s="9" t="n">
        <x:v>53</x:v>
      </x:c>
      <x:c r="M45" s="9" t="str">
        <x:v>Paraphrase of the direct-category matched control grounded by training episode 53. The modified control scene and physical target are unchanged.</x:v>
      </x:c>
      <x:c r="N45" s="9" t="n">
        <x:v>2</x:v>
      </x:c>
      <x:c r="O45" s="9" t="str">
        <x:v>Reset the target to its marked pose; preserve the exact modified control scene and change only the direct instruction wording.</x:v>
      </x:c>
      <x:c r="P45" s="9" t="str">
        <x:v>Language diagnostic for the pure manipulation control; no state word or state-based selection is required. The scene is an exact copy of the referenced canonical row.</x:v>
      </x:c>
      <x:c r="Q45" s="9"/>
      <x:c r="R45" s="10" t="n">
        <x:v>4</x:v>
      </x:c>
      <x:c r="S45" s="10" t="n">
        <x:v>1</x:v>
      </x:c>
      <x:c r="T45" s="9" t="str">
        <x:v>Empty</x:v>
      </x:c>
      <x:c r="U45" s="9" t="str">
        <x:v>N/A</x:v>
      </x:c>
      <x:c r="V45" s="9" t="str">
        <x:v>yellow-white striped cup</x:v>
      </x:c>
      <x:c r="W45" s="9"/>
      <x:c r="X45" s="10"/>
      <x:c r="Y45" s="10"/>
      <x:c r="Z45" s="9"/>
      <x:c r="AA45" s="9"/>
      <x:c r="AB45" s="9"/>
      <x:c r="AC45" s="9"/>
      <x:c r="AD45" s="9"/>
      <x:c r="AE45" s="9"/>
      <x:c r="AF45" s="9"/>
      <x:c r="AG45" s="9"/>
      <x:c r="AH45" s="9"/>
      <x:c r="AI45" s="11"/>
      <x:c r="AJ45" s="9"/>
      <x:c r="AK45" s="9" t="str">
        <x:v>Eval_State_Recognition.xlsm</x:v>
      </x:c>
      <x:c r="AL45" s="9" t="str">
        <x:v>GR00T vision only Results</x:v>
      </x:c>
      <x:c r="AM45" s="9" t="n">
        <x:v>45</x:v>
      </x:c>
      <x:c r="AN45" s="9" t="n">
        <x:v>45</x:v>
      </x:c>
    </x:row>
    <x:row r="46">
      <x:c r="A46" s="9" t="str">
        <x:v>Failure</x:v>
      </x:c>
      <x:c r="B46" s="9" t="str">
        <x:v>State Recognition</x:v>
      </x:c>
      <x:c r="C46" s="10" t="n">
        <x:v>44</x:v>
      </x:c>
      <x:c r="D46" s="9" t="str">
        <x:v>Place the closed brown cup in the bowl.</x:v>
      </x:c>
      <x:c r="E46" s="9" t="str">
        <x:v>brown cup A (C, RU); brown cup B (O, RU)</x:v>
      </x:c>
      <x:c r="F46" s="9" t="str">
        <x:v>brown cup A</x:v>
      </x:c>
      <x:c r="G46" s="9" t="str">
        <x:v>picked open cup</x:v>
      </x:c>
      <x:c r="H46" s="9" t="str">
        <x:v>Concept/compositional transfer</x:v>
      </x:c>
      <x:c r="I46" s="9" t="str">
        <x:v>SR-CT07</x:v>
      </x:c>
      <x:c r="J46" s="9" t="str">
        <x:v>Primary held-out state-object composition</x:v>
      </x:c>
      <x:c r="K46" s="9"/>
      <x:c r="L46" s="9" t="str">
        <x:v>107</x:v>
      </x:c>
      <x:c r="M46"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46" s="9" t="n">
        <x:v>2</x:v>
      </x:c>
      <x:c r="O46" s="9" t="str">
        <x:v>Build the listed same-category discrimination scene with the bowl empty.</x:v>
      </x:c>
      <x:c r="P46" s="9" t="str">
        <x:v>Two same-category candidates share the non-queried state axis; only the held-out state word identifies the target. The orthogonal orientation axis is fixed: every object is RU.</x:v>
      </x:c>
      <x:c r="Q46" s="9"/>
      <x:c r="R46" s="10" t="n">
        <x:v>2</x:v>
      </x:c>
      <x:c r="S46" s="10" t="n">
        <x:v>1</x:v>
      </x:c>
      <x:c r="T46" s="9" t="str">
        <x:v>Empty</x:v>
      </x:c>
      <x:c r="U46" s="9" t="str">
        <x:v>C</x:v>
      </x:c>
      <x:c r="V46" s="9" t="str">
        <x:v>brown cup</x:v>
      </x:c>
      <x:c r="W46" s="9"/>
      <x:c r="X46" s="10"/>
      <x:c r="Y46" s="10"/>
      <x:c r="Z46" s="9"/>
      <x:c r="AA46" s="9"/>
      <x:c r="AB46" s="9"/>
      <x:c r="AC46" s="9"/>
      <x:c r="AD46" s="9"/>
      <x:c r="AE46" s="9"/>
      <x:c r="AF46" s="9"/>
      <x:c r="AG46" s="9"/>
      <x:c r="AH46" s="9"/>
      <x:c r="AI46" s="11"/>
      <x:c r="AJ46" s="9"/>
      <x:c r="AK46" s="9" t="str">
        <x:v>Eval_State_Recognition.xlsm</x:v>
      </x:c>
      <x:c r="AL46" s="9" t="str">
        <x:v>GR00T vision only Results</x:v>
      </x:c>
      <x:c r="AM46" s="9" t="n">
        <x:v>46</x:v>
      </x:c>
      <x:c r="AN46" s="9" t="n">
        <x:v>46</x:v>
      </x:c>
    </x:row>
    <x:row r="47">
      <x:c r="A47" s="9" t="str">
        <x:v>Success</x:v>
      </x:c>
      <x:c r="B47" s="9" t="str">
        <x:v>State Recognition</x:v>
      </x:c>
      <x:c r="C47" s="10" t="n">
        <x:v>45</x:v>
      </x:c>
      <x:c r="D47" s="9" t="str">
        <x:v>Put a brown cup in the bowl.</x:v>
      </x:c>
      <x:c r="E47" s="9" t="str">
        <x:v>brown cup A (C, RU); white cup A (O, RU)</x:v>
      </x:c>
      <x:c r="F47" s="9" t="str">
        <x:v>brown cup A</x:v>
      </x:c>
      <x:c r="G47" s="9"/>
      <x:c r="H47" s="9" t="str">
        <x:v>Matched manipulation control</x:v>
      </x:c>
      <x:c r="I47" s="9" t="str">
        <x:v>SR-CT07</x:v>
      </x:c>
      <x:c r="J47" s="9" t="str">
        <x:v>One-object-substitution direct-category control</x:v>
      </x:c>
      <x:c r="K47" s="9" t="n">
        <x:v>44</x:v>
      </x:c>
      <x:c r="L47" s="9" t="n">
        <x:v>107</x:v>
      </x:c>
      <x:c r="M47" s="9" t="str">
        <x:v>Exact direct-category manipulation prompt from training episode 107. The transfer target, state, and pose are preserved; only the competing brown cup is replaced by white cup A. The full control scene is upright because its paired transfer instruction queries open/closed.</x:v>
      </x:c>
      <x:c r="N47" s="9" t="n">
        <x:v>2</x:v>
      </x:c>
      <x:c r="O47" s="9" t="str">
        <x:v>Reset brown cup A to its transfer pose. Replace brown cup B with white cup A in the same location and use the states listed in this row; preserve all other objects.</x:v>
      </x:c>
      <x:c r="P47" s="9" t="str">
        <x:v>Pure recognition/manipulation control: the prompt uniquely names the only object from the target category, while the physical target remains identical to the transfer row. Every object is RU.</x:v>
      </x:c>
      <x:c r="Q47" s="9"/>
      <x:c r="R47" s="10" t="n">
        <x:v>2</x:v>
      </x:c>
      <x:c r="S47" s="10" t="n">
        <x:v>1</x:v>
      </x:c>
      <x:c r="T47" s="9" t="str">
        <x:v>Empty</x:v>
      </x:c>
      <x:c r="U47" s="9" t="str">
        <x:v>N/A</x:v>
      </x:c>
      <x:c r="V47" s="9" t="str">
        <x:v>brown cup</x:v>
      </x:c>
      <x:c r="W47" s="9"/>
      <x:c r="X47" s="10"/>
      <x:c r="Y47" s="10"/>
      <x:c r="Z47" s="9"/>
      <x:c r="AA47" s="9"/>
      <x:c r="AB47" s="9"/>
      <x:c r="AC47" s="9"/>
      <x:c r="AD47" s="9"/>
      <x:c r="AE47" s="9"/>
      <x:c r="AF47" s="9"/>
      <x:c r="AG47" s="9"/>
      <x:c r="AH47" s="9"/>
      <x:c r="AI47" s="11"/>
      <x:c r="AJ47" s="9"/>
      <x:c r="AK47" s="9" t="str">
        <x:v>Eval_State_Recognition.xlsm</x:v>
      </x:c>
      <x:c r="AL47" s="9" t="str">
        <x:v>GR00T vision only Results</x:v>
      </x:c>
      <x:c r="AM47" s="9" t="n">
        <x:v>47</x:v>
      </x:c>
      <x:c r="AN47" s="9" t="n">
        <x:v>47</x:v>
      </x:c>
    </x:row>
    <x:row r="48">
      <x:c r="A48" s="9" t="str">
        <x:v>Failure</x:v>
      </x:c>
      <x:c r="B48" s="9" t="str">
        <x:v>State Recognition</x:v>
      </x:c>
      <x:c r="C48" s="10" t="n">
        <x:v>46</x:v>
      </x:c>
      <x:c r="D48" s="9" t="str">
        <x:v>Move the brown cup whose opening is covered into the bowl.</x:v>
      </x:c>
      <x:c r="E48" s="9" t="str">
        <x:v>brown cup A (C, RU); brown cup B (O, RU)</x:v>
      </x:c>
      <x:c r="F48" s="9" t="str">
        <x:v>brown cup A</x:v>
      </x:c>
      <x:c r="G48" s="9" t="str">
        <x:v>picked open cup</x:v>
      </x:c>
      <x:c r="H48" s="9" t="str">
        <x:v>Language robustness</x:v>
      </x:c>
      <x:c r="I48" s="9" t="str">
        <x:v>SR-CT07</x:v>
      </x:c>
      <x:c r="J48" s="9" t="str">
        <x:v>Primary compositional-transfer prompt paraphrase</x:v>
      </x:c>
      <x:c r="K48" s="9" t="n">
        <x:v>44</x:v>
      </x:c>
      <x:c r="L48" s="9" t="str">
        <x:v>107</x:v>
      </x:c>
      <x:c r="M48" s="9" t="str">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N48" s="9" t="n">
        <x:v>2</x:v>
      </x:c>
      <x:c r="O48" s="9" t="str">
        <x:v>Reset the moved object exactly; preserve every object and state; change only the prompt wording.</x:v>
      </x:c>
      <x:c r="P48" s="9" t="str">
        <x:v>Exact-scene paraphrase of one of the 50 canonical compositional-transfer trials. The orthogonal orientation axis is fixed: every object is RU. The scene is an exact copy of the referenced canonical row.</x:v>
      </x:c>
      <x:c r="Q48" s="9"/>
      <x:c r="R48" s="10" t="n">
        <x:v>2</x:v>
      </x:c>
      <x:c r="S48" s="10" t="n">
        <x:v>1</x:v>
      </x:c>
      <x:c r="T48" s="9" t="str">
        <x:v>Empty</x:v>
      </x:c>
      <x:c r="U48" s="9" t="str">
        <x:v>C</x:v>
      </x:c>
      <x:c r="V48" s="9" t="str">
        <x:v>brown cup</x:v>
      </x:c>
      <x:c r="W48" s="9"/>
      <x:c r="X48" s="10"/>
      <x:c r="Y48" s="10"/>
      <x:c r="Z48" s="9"/>
      <x:c r="AA48" s="9"/>
      <x:c r="AB48" s="9"/>
      <x:c r="AC48" s="9"/>
      <x:c r="AD48" s="9"/>
      <x:c r="AE48" s="9"/>
      <x:c r="AF48" s="9"/>
      <x:c r="AG48" s="9"/>
      <x:c r="AH48" s="9"/>
      <x:c r="AI48" s="11"/>
      <x:c r="AJ48" s="9"/>
      <x:c r="AK48" s="9" t="str">
        <x:v>Eval_State_Recognition.xlsm</x:v>
      </x:c>
      <x:c r="AL48" s="9" t="str">
        <x:v>GR00T vision only Results</x:v>
      </x:c>
      <x:c r="AM48" s="9" t="n">
        <x:v>48</x:v>
      </x:c>
      <x:c r="AN48" s="9" t="n">
        <x:v>48</x:v>
      </x:c>
    </x:row>
    <x:row r="49">
      <x:c r="A49" s="9" t="str">
        <x:v>Success</x:v>
      </x:c>
      <x:c r="B49" s="9" t="str">
        <x:v>State Recognition</x:v>
      </x:c>
      <x:c r="C49" s="10" t="n">
        <x:v>47</x:v>
      </x:c>
      <x:c r="D49" s="9" t="str">
        <x:v>Lift the brown cup and set it inside the bowl.</x:v>
      </x:c>
      <x:c r="E49" s="9" t="str">
        <x:v>brown cup A (C, RU); white cup A (O, RU)</x:v>
      </x:c>
      <x:c r="F49" s="9" t="str">
        <x:v>brown cup A</x:v>
      </x:c>
      <x:c r="G49" s="9"/>
      <x:c r="H49" s="9" t="str">
        <x:v>Language robustness</x:v>
      </x:c>
      <x:c r="I49" s="9" t="str">
        <x:v>SR-CT07</x:v>
      </x:c>
      <x:c r="J49" s="9" t="str">
        <x:v>Direct-category matched-control paraphrase</x:v>
      </x:c>
      <x:c r="K49" s="9" t="n">
        <x:v>45</x:v>
      </x:c>
      <x:c r="L49" s="9" t="n">
        <x:v>107</x:v>
      </x:c>
      <x:c r="M49" s="9" t="str">
        <x:v>Paraphrase of the direct-category matched control grounded by training episode 107. The modified control scene and physical target are unchanged.</x:v>
      </x:c>
      <x:c r="N49" s="9" t="n">
        <x:v>2</x:v>
      </x:c>
      <x:c r="O49" s="9" t="str">
        <x:v>Reset the target to its marked pose; preserve the exact modified control scene and change only the direct instruction wording.</x:v>
      </x:c>
      <x:c r="P49" s="9" t="str">
        <x:v>Language diagnostic for the pure manipulation control; no state word or state-based selection is required. The scene is an exact copy of the referenced canonical row.</x:v>
      </x:c>
      <x:c r="Q49" s="9"/>
      <x:c r="R49" s="10" t="n">
        <x:v>2</x:v>
      </x:c>
      <x:c r="S49" s="10" t="n">
        <x:v>1</x:v>
      </x:c>
      <x:c r="T49" s="9" t="str">
        <x:v>Empty</x:v>
      </x:c>
      <x:c r="U49" s="9" t="str">
        <x:v>N/A</x:v>
      </x:c>
      <x:c r="V49" s="9" t="str">
        <x:v>brown cup</x:v>
      </x:c>
      <x:c r="W49" s="9"/>
      <x:c r="X49" s="10"/>
      <x:c r="Y49" s="10"/>
      <x:c r="Z49" s="9"/>
      <x:c r="AA49" s="9"/>
      <x:c r="AB49" s="9"/>
      <x:c r="AC49" s="9"/>
      <x:c r="AD49" s="9"/>
      <x:c r="AE49" s="9"/>
      <x:c r="AF49" s="9"/>
      <x:c r="AG49" s="9"/>
      <x:c r="AH49" s="9"/>
      <x:c r="AI49" s="11"/>
      <x:c r="AJ49" s="9"/>
      <x:c r="AK49" s="9" t="str">
        <x:v>Eval_State_Recognition.xlsm</x:v>
      </x:c>
      <x:c r="AL49" s="9" t="str">
        <x:v>GR00T vision only Results</x:v>
      </x:c>
      <x:c r="AM49" s="9" t="n">
        <x:v>49</x:v>
      </x:c>
      <x:c r="AN49" s="9" t="n">
        <x:v>49</x:v>
      </x:c>
    </x:row>
    <x:row r="50">
      <x:c r="A50" s="9" t="str">
        <x:v>Failure</x:v>
      </x:c>
      <x:c r="B50" s="9" t="str">
        <x:v>State Recognition</x:v>
      </x:c>
      <x:c r="C50" s="10" t="n">
        <x:v>48</x:v>
      </x:c>
      <x:c r="D50" s="9" t="str">
        <x:v>Place the upright glass spice container in the bowl.</x:v>
      </x:c>
      <x:c r="E50" s="9" t="str">
        <x:v>glass spice container B (O, RU); glass spice container A (O, UD); yellow-white striped cup B (O, UD)</x:v>
      </x:c>
      <x:c r="F50" s="9" t="str">
        <x:v>glass spice container B</x:v>
      </x:c>
      <x:c r="G50" s="9" t="str">
        <x:v>picked upside down container</x:v>
      </x:c>
      <x:c r="H50" s="9" t="str">
        <x:v>Concept/compositional transfer</x:v>
      </x:c>
      <x:c r="I50" s="9" t="str">
        <x:v>SR-CT08</x:v>
      </x:c>
      <x:c r="J50" s="9" t="str">
        <x:v>Primary held-out state-object composition</x:v>
      </x:c>
      <x:c r="K50" s="9"/>
      <x:c r="L50" s="9" t="str">
        <x:v>153</x:v>
      </x:c>
      <x:c r="M50" s="9" t="str">
        <x:v>Physical-state and manipulation-trajectory reference under a direct category prompt; the evaluated state word × object-category cell is intentionally absent from training.</x:v>
      </x:c>
      <x:c r="N50" s="9" t="n">
        <x:v>2</x:v>
      </x:c>
      <x:c r="O50" s="9" t="str">
        <x:v>Build the listed same-category discrimination scene with the bowl empty.</x:v>
      </x:c>
      <x:c r="P50" s="9" t="str">
        <x:v>Two same-category candidates share the non-queried state axis; only the held-out state word identifies the target. The same-category candidates share the orthogonal C/O state (O).</x:v>
      </x:c>
      <x:c r="Q50" s="9"/>
      <x:c r="R50" s="10" t="n">
        <x:v>3</x:v>
      </x:c>
      <x:c r="S50" s="10" t="n">
        <x:v>1</x:v>
      </x:c>
      <x:c r="T50" s="9" t="str">
        <x:v>Empty</x:v>
      </x:c>
      <x:c r="U50" s="9" t="str">
        <x:v>RU</x:v>
      </x:c>
      <x:c r="V50" s="9" t="str">
        <x:v>glass spice container</x:v>
      </x:c>
      <x:c r="W50" s="9"/>
      <x:c r="X50" s="10"/>
      <x:c r="Y50" s="10"/>
      <x:c r="Z50" s="9"/>
      <x:c r="AA50" s="9"/>
      <x:c r="AB50" s="9"/>
      <x:c r="AC50" s="9"/>
      <x:c r="AD50" s="9"/>
      <x:c r="AE50" s="9"/>
      <x:c r="AF50" s="9"/>
      <x:c r="AG50" s="9"/>
      <x:c r="AH50" s="9"/>
      <x:c r="AI50" s="11"/>
      <x:c r="AJ50" s="9"/>
      <x:c r="AK50" s="9" t="str">
        <x:v>Eval_State_Recognition.xlsm</x:v>
      </x:c>
      <x:c r="AL50" s="9" t="str">
        <x:v>GR00T vision only Results</x:v>
      </x:c>
      <x:c r="AM50" s="9" t="n">
        <x:v>50</x:v>
      </x:c>
      <x:c r="AN50" s="9" t="n">
        <x:v>50</x:v>
      </x:c>
    </x:row>
    <x:row r="51">
      <x:c r="A51" s="9" t="str">
        <x:v>Success</x:v>
      </x:c>
      <x:c r="B51" s="9" t="str">
        <x:v>State Recognition</x:v>
      </x:c>
      <x:c r="C51" s="10" t="n">
        <x:v>49</x:v>
      </x:c>
      <x:c r="D51" s="9" t="str">
        <x:v>Move a glass spice container into the bowl.</x:v>
      </x:c>
      <x:c r="E51" s="9" t="str">
        <x:v>glass spice container B (O, RU); brown cup B (O, UD); yellow-white striped cup B (O, UD)</x:v>
      </x:c>
      <x:c r="F51" s="9" t="str">
        <x:v>glass spice container B</x:v>
      </x:c>
      <x:c r="G51" s="9"/>
      <x:c r="H51" s="9" t="str">
        <x:v>Matched manipulation control</x:v>
      </x:c>
      <x:c r="I51" s="9" t="str">
        <x:v>SR-CT08</x:v>
      </x:c>
      <x:c r="J51" s="9" t="str">
        <x:v>One-object-substitution direct-category control</x:v>
      </x:c>
      <x:c r="K51" s="9" t="n">
        <x:v>48</x:v>
      </x:c>
      <x:c r="L51" s="9" t="n">
        <x:v>153</x:v>
      </x:c>
      <x:c r="M51" s="9" t="str">
        <x:v>Exact direct-category manipulation prompt from training episode 153. The transfer target, state, and pose are preserved; only the competing glass spice container is replaced by brown cup B.</x:v>
      </x:c>
      <x:c r="N51" s="9" t="n">
        <x:v>2</x:v>
      </x:c>
      <x:c r="O51" s="9" t="str">
        <x:v>Reset glass spice container B to its transfer pose. Replace glass spice container A with brown cup B in the same location and use the states listed in this row; preserve all other objects.</x:v>
      </x:c>
      <x:c r="P51" s="9" t="str">
        <x:v>Pure recognition/manipulation control: the prompt uniquely names the only object from the target category, while the physical target remains identical to the transfer row.</x:v>
      </x:c>
      <x:c r="Q51" s="9"/>
      <x:c r="R51" s="10" t="n">
        <x:v>3</x:v>
      </x:c>
      <x:c r="S51" s="10" t="n">
        <x:v>1</x:v>
      </x:c>
      <x:c r="T51" s="9" t="str">
        <x:v>Empty</x:v>
      </x:c>
      <x:c r="U51" s="9" t="str">
        <x:v>N/A</x:v>
      </x:c>
      <x:c r="V51" s="9" t="str">
        <x:v>glass spice container</x:v>
      </x:c>
      <x:c r="W51" s="9"/>
      <x:c r="X51" s="10"/>
      <x:c r="Y51" s="10"/>
      <x:c r="Z51" s="9"/>
      <x:c r="AA51" s="9"/>
      <x:c r="AB51" s="9"/>
      <x:c r="AC51" s="9"/>
      <x:c r="AD51" s="9"/>
      <x:c r="AE51" s="9"/>
      <x:c r="AF51" s="9"/>
      <x:c r="AG51" s="9"/>
      <x:c r="AH51" s="9"/>
      <x:c r="AI51" s="11"/>
      <x:c r="AJ51" s="9"/>
      <x:c r="AK51" s="9" t="str">
        <x:v>Eval_State_Recognition.xlsm</x:v>
      </x:c>
      <x:c r="AL51" s="9" t="str">
        <x:v>GR00T vision only Results</x:v>
      </x:c>
      <x:c r="AM51" s="9" t="n">
        <x:v>51</x:v>
      </x:c>
      <x:c r="AN51" s="9" t="n">
        <x:v>51</x:v>
      </x:c>
    </x:row>
    <x:row r="52">
      <x:c r="A52" s="9" t="str">
        <x:v>Success</x:v>
      </x:c>
      <x:c r="B52" s="9" t="str">
        <x:v>State Recognition</x:v>
      </x:c>
      <x:c r="C52" s="10" t="n">
        <x:v>50</x:v>
      </x:c>
      <x:c r="D52" s="9" t="str">
        <x:v>Move the right-side-up glass spice container into the bowl.</x:v>
      </x:c>
      <x:c r="E52" s="9" t="str">
        <x:v>glass spice container B (O, RU); glass spice container A (O, UD); yellow-white striped cup B (O, UD)</x:v>
      </x:c>
      <x:c r="F52" s="9" t="str">
        <x:v>glass spice container B</x:v>
      </x:c>
      <x:c r="G52" s="9"/>
      <x:c r="H52" s="9" t="str">
        <x:v>Language robustness</x:v>
      </x:c>
      <x:c r="I52" s="9" t="str">
        <x:v>SR-CT08</x:v>
      </x:c>
      <x:c r="J52" s="9" t="str">
        <x:v>Primary compositional-transfer prompt paraphrase</x:v>
      </x:c>
      <x:c r="K52" s="9" t="n">
        <x:v>48</x:v>
      </x:c>
      <x:c r="L52" s="9" t="str">
        <x:v>153</x:v>
      </x:c>
      <x:c r="M52" s="9" t="str">
        <x:v>The canonical transfer scene and masked trajectory reference are unchanged; only the evaluation wording is paraphrased. This remains a language diagnostic and is not pooled into the primary 50.</x:v>
      </x:c>
      <x:c r="N52" s="9" t="n">
        <x:v>2</x:v>
      </x:c>
      <x:c r="O52" s="9" t="str">
        <x:v>Reset the moved object exactly; preserve every object and state; change only the prompt wording.</x:v>
      </x:c>
      <x:c r="P52" s="9" t="str">
        <x:v>Exact-scene paraphrase of one of the 50 canonical compositional-transfer trials. The same-category candidates share the orthogonal C/O state (O). The scene is an exact copy of the referenced canonical row.</x:v>
      </x:c>
      <x:c r="Q52" s="9"/>
      <x:c r="R52" s="10" t="n">
        <x:v>3</x:v>
      </x:c>
      <x:c r="S52" s="10" t="n">
        <x:v>1</x:v>
      </x:c>
      <x:c r="T52" s="9" t="str">
        <x:v>Empty</x:v>
      </x:c>
      <x:c r="U52" s="9" t="str">
        <x:v>RU</x:v>
      </x:c>
      <x:c r="V52" s="9" t="str">
        <x:v>glass spice container</x:v>
      </x:c>
      <x:c r="W52" s="9"/>
      <x:c r="X52" s="10"/>
      <x:c r="Y52" s="10"/>
      <x:c r="Z52" s="9"/>
      <x:c r="AA52" s="9"/>
      <x:c r="AB52" s="9"/>
      <x:c r="AC52" s="9"/>
      <x:c r="AD52" s="9"/>
      <x:c r="AE52" s="9"/>
      <x:c r="AF52" s="9"/>
      <x:c r="AG52" s="9"/>
      <x:c r="AH52" s="9"/>
      <x:c r="AI52" s="11"/>
      <x:c r="AJ52" s="9"/>
      <x:c r="AK52" s="9" t="str">
        <x:v>Eval_State_Recognition.xlsm</x:v>
      </x:c>
      <x:c r="AL52" s="9" t="str">
        <x:v>GR00T vision only Results</x:v>
      </x:c>
      <x:c r="AM52" s="9" t="n">
        <x:v>52</x:v>
      </x:c>
      <x:c r="AN52" s="9" t="n">
        <x:v>52</x:v>
      </x:c>
    </x:row>
    <x:row r="53">
      <x:c r="A53" s="9" t="str">
        <x:v>Success</x:v>
      </x:c>
      <x:c r="B53" s="9" t="str">
        <x:v>State Recognition</x:v>
      </x:c>
      <x:c r="C53" s="10" t="n">
        <x:v>51</x:v>
      </x:c>
      <x:c r="D53" s="9" t="str">
        <x:v>Take the glass spice container off the table and place it in the bowl.</x:v>
      </x:c>
      <x:c r="E53" s="9" t="str">
        <x:v>glass spice container B (O, RU); brown cup B (O, UD); yellow-white striped cup B (O, UD)</x:v>
      </x:c>
      <x:c r="F53" s="9" t="str">
        <x:v>glass spice container B</x:v>
      </x:c>
      <x:c r="G53" s="9"/>
      <x:c r="H53" s="9" t="str">
        <x:v>Language robustness</x:v>
      </x:c>
      <x:c r="I53" s="9" t="str">
        <x:v>SR-CT08</x:v>
      </x:c>
      <x:c r="J53" s="9" t="str">
        <x:v>Direct-category matched-control paraphrase</x:v>
      </x:c>
      <x:c r="K53" s="9" t="n">
        <x:v>49</x:v>
      </x:c>
      <x:c r="L53" s="9" t="n">
        <x:v>153</x:v>
      </x:c>
      <x:c r="M53" s="9" t="str">
        <x:v>Paraphrase of the direct-category matched control grounded by training episode 153. The modified control scene and physical target are unchanged.</x:v>
      </x:c>
      <x:c r="N53" s="9" t="n">
        <x:v>2</x:v>
      </x:c>
      <x:c r="O53" s="9" t="str">
        <x:v>Reset the target to its marked pose; preserve the exact modified control scene and change only the direct instruction wording.</x:v>
      </x:c>
      <x:c r="P53" s="9" t="str">
        <x:v>Language diagnostic for the pure manipulation control; no state word or state-based selection is required. The scene is an exact copy of the referenced canonical row.</x:v>
      </x:c>
      <x:c r="Q53" s="9"/>
      <x:c r="R53" s="10" t="n">
        <x:v>3</x:v>
      </x:c>
      <x:c r="S53" s="10" t="n">
        <x:v>1</x:v>
      </x:c>
      <x:c r="T53" s="9" t="str">
        <x:v>Empty</x:v>
      </x:c>
      <x:c r="U53" s="9" t="str">
        <x:v>N/A</x:v>
      </x:c>
      <x:c r="V53" s="9" t="str">
        <x:v>glass spice container</x:v>
      </x:c>
      <x:c r="W53" s="9"/>
      <x:c r="X53" s="10"/>
      <x:c r="Y53" s="10"/>
      <x:c r="Z53" s="9"/>
      <x:c r="AA53" s="9"/>
      <x:c r="AB53" s="9"/>
      <x:c r="AC53" s="9"/>
      <x:c r="AD53" s="9"/>
      <x:c r="AE53" s="9"/>
      <x:c r="AF53" s="9"/>
      <x:c r="AG53" s="9"/>
      <x:c r="AH53" s="9"/>
      <x:c r="AI53" s="11"/>
      <x:c r="AJ53" s="9"/>
      <x:c r="AK53" s="9" t="str">
        <x:v>Eval_State_Recognition.xlsm</x:v>
      </x:c>
      <x:c r="AL53" s="9" t="str">
        <x:v>GR00T vision only Results</x:v>
      </x:c>
      <x:c r="AM53" s="9" t="n">
        <x:v>53</x:v>
      </x:c>
      <x:c r="AN53" s="9" t="n">
        <x:v>53</x:v>
      </x:c>
    </x:row>
    <x:row r="54">
      <x:c r="A54" s="9" t="str">
        <x:v>Failure</x:v>
      </x:c>
      <x:c r="B54" s="9" t="str">
        <x:v>State Recognition</x:v>
      </x:c>
      <x:c r="C54" s="10" t="n">
        <x:v>52</x:v>
      </x:c>
      <x:c r="D54" s="9" t="str">
        <x:v>Place the upside-down white cup in the bowl.</x:v>
      </x:c>
      <x:c r="E54" s="9" t="str">
        <x:v>white cup A (C, UD); white cup B (C, RU); glass spice container A (C, RU); yellow-white striped cup B (O, RU)</x:v>
      </x:c>
      <x:c r="F54" s="9" t="str">
        <x:v>white cup A</x:v>
      </x:c>
      <x:c r="G54" s="9" t="str">
        <x:v>picked upright cup</x:v>
      </x:c>
      <x:c r="H54" s="9" t="str">
        <x:v>Concept/compositional transfer</x:v>
      </x:c>
      <x:c r="I54" s="9" t="str">
        <x:v>SR-CT09</x:v>
      </x:c>
      <x:c r="J54" s="9" t="str">
        <x:v>Primary held-out state-object composition</x:v>
      </x:c>
      <x:c r="K54" s="9"/>
      <x:c r="L54" s="9" t="str">
        <x:v>39</x:v>
      </x:c>
      <x:c r="M54" s="9" t="str">
        <x:v>Physical-state and manipulation-trajectory reference under a direct category prompt; the evaluated state word × object-category cell is intentionally absent from training.</x:v>
      </x:c>
      <x:c r="N54" s="9" t="n">
        <x:v>2</x:v>
      </x:c>
      <x:c r="O54" s="9" t="str">
        <x:v>Build the listed same-category discrimination scene with the bowl empty.</x:v>
      </x:c>
      <x:c r="P54" s="9" t="str">
        <x:v>Two same-category candidates share the non-queried state axis; only the held-out state word identifies the target. The same-category candidates share the orthogonal C/O state (C).</x:v>
      </x:c>
      <x:c r="Q54" s="9"/>
      <x:c r="R54" s="10" t="n">
        <x:v>4</x:v>
      </x:c>
      <x:c r="S54" s="10" t="n">
        <x:v>1</x:v>
      </x:c>
      <x:c r="T54" s="9" t="str">
        <x:v>Empty</x:v>
      </x:c>
      <x:c r="U54" s="9" t="str">
        <x:v>UD</x:v>
      </x:c>
      <x:c r="V54" s="9" t="str">
        <x:v>white cup</x:v>
      </x:c>
      <x:c r="W54" s="9"/>
      <x:c r="X54" s="10"/>
      <x:c r="Y54" s="10"/>
      <x:c r="Z54" s="9"/>
      <x:c r="AA54" s="9"/>
      <x:c r="AB54" s="9"/>
      <x:c r="AC54" s="9"/>
      <x:c r="AD54" s="9"/>
      <x:c r="AE54" s="9"/>
      <x:c r="AF54" s="9"/>
      <x:c r="AG54" s="9"/>
      <x:c r="AH54" s="9"/>
      <x:c r="AI54" s="11"/>
      <x:c r="AJ54" s="9"/>
      <x:c r="AK54" s="9" t="str">
        <x:v>Eval_State_Recognition.xlsm</x:v>
      </x:c>
      <x:c r="AL54" s="9" t="str">
        <x:v>GR00T vision only Results</x:v>
      </x:c>
      <x:c r="AM54" s="9" t="n">
        <x:v>54</x:v>
      </x:c>
      <x:c r="AN54" s="9" t="n">
        <x:v>54</x:v>
      </x:c>
    </x:row>
    <x:row r="55">
      <x:c r="A55" s="9" t="str">
        <x:v>Success</x:v>
      </x:c>
      <x:c r="B55" s="9" t="str">
        <x:v>State Recognition</x:v>
      </x:c>
      <x:c r="C55" s="10" t="n">
        <x:v>53</x:v>
      </x:c>
      <x:c r="D55" s="9" t="str">
        <x:v>Move a white cup into the bowl.</x:v>
      </x:c>
      <x:c r="E55" s="9" t="str">
        <x:v>white cup A (C, UD); brown cup A (C, RU); glass spice container A (C, RU); yellow-white striped cup B (O, RU)</x:v>
      </x:c>
      <x:c r="F55" s="9" t="str">
        <x:v>white cup A</x:v>
      </x:c>
      <x:c r="G55" s="9" t="str">
        <x:v>popped lid off</x:v>
      </x:c>
      <x:c r="H55" s="9" t="str">
        <x:v>Matched manipulation control</x:v>
      </x:c>
      <x:c r="I55" s="9" t="str">
        <x:v>SR-CT09</x:v>
      </x:c>
      <x:c r="J55" s="9" t="str">
        <x:v>One-object-substitution direct-category control</x:v>
      </x:c>
      <x:c r="K55" s="9" t="n">
        <x:v>52</x:v>
      </x:c>
      <x:c r="L55" s="9" t="n">
        <x:v>39</x:v>
      </x:c>
      <x:c r="M55" s="9" t="str">
        <x:v>Exact direct-category manipulation prompt from training episode 39. The transfer target, state, and pose are preserved; only the competing white cup is replaced by brown cup A.</x:v>
      </x:c>
      <x:c r="N55" s="9" t="n">
        <x:v>2</x:v>
      </x:c>
      <x:c r="O55" s="9" t="str">
        <x:v>Reset white cup A to its transfer pose. Replace white cup B with brown cup A in the same location and use the states listed in this row; preserve all other objects.</x:v>
      </x:c>
      <x:c r="P55" s="9" t="str">
        <x:v>Pure recognition/manipulation control: the prompt uniquely names the only object from the target category, while the physical target remains identical to the transfer row.</x:v>
      </x:c>
      <x:c r="Q55" s="9"/>
      <x:c r="R55" s="10" t="n">
        <x:v>4</x:v>
      </x:c>
      <x:c r="S55" s="10" t="n">
        <x:v>1</x:v>
      </x:c>
      <x:c r="T55" s="9" t="str">
        <x:v>Empty</x:v>
      </x:c>
      <x:c r="U55" s="9" t="str">
        <x:v>N/A</x:v>
      </x:c>
      <x:c r="V55" s="9" t="str">
        <x:v>white cup</x:v>
      </x:c>
      <x:c r="W55" s="9"/>
      <x:c r="X55" s="10"/>
      <x:c r="Y55" s="10"/>
      <x:c r="Z55" s="9"/>
      <x:c r="AA55" s="9"/>
      <x:c r="AB55" s="9"/>
      <x:c r="AC55" s="9"/>
      <x:c r="AD55" s="9"/>
      <x:c r="AE55" s="9"/>
      <x:c r="AF55" s="9"/>
      <x:c r="AG55" s="9"/>
      <x:c r="AH55" s="9"/>
      <x:c r="AI55" s="11"/>
      <x:c r="AJ55" s="9"/>
      <x:c r="AK55" s="9" t="str">
        <x:v>Eval_State_Recognition.xlsm</x:v>
      </x:c>
      <x:c r="AL55" s="9" t="str">
        <x:v>GR00T vision only Results</x:v>
      </x:c>
      <x:c r="AM55" s="9" t="n">
        <x:v>55</x:v>
      </x:c>
      <x:c r="AN55" s="9" t="n">
        <x:v>55</x:v>
      </x:c>
    </x:row>
    <x:row r="56">
      <x:c r="A56" s="9" t="str">
        <x:v>Failure</x:v>
      </x:c>
      <x:c r="B56" s="9" t="str">
        <x:v>State Recognition</x:v>
      </x:c>
      <x:c r="C56" s="10" t="n">
        <x:v>54</x:v>
      </x:c>
      <x:c r="D56" s="9" t="str">
        <x:v>Move the inverted white cup into the bowl.</x:v>
      </x:c>
      <x:c r="E56" s="9" t="str">
        <x:v>white cup A (C, UD); white cup B (C, RU); glass spice container A (C, RU); yellow-white striped cup B (O, RU)</x:v>
      </x:c>
      <x:c r="F56" s="9" t="str">
        <x:v>white cup A</x:v>
      </x:c>
      <x:c r="G56" s="9" t="str">
        <x:v>picked upright cup</x:v>
      </x:c>
      <x:c r="H56" s="9" t="str">
        <x:v>Language robustness</x:v>
      </x:c>
      <x:c r="I56" s="9" t="str">
        <x:v>SR-CT09</x:v>
      </x:c>
      <x:c r="J56" s="9" t="str">
        <x:v>Primary compositional-transfer prompt paraphrase</x:v>
      </x:c>
      <x:c r="K56" s="9" t="n">
        <x:v>52</x:v>
      </x:c>
      <x:c r="L56" s="9" t="str">
        <x:v>39</x:v>
      </x:c>
      <x:c r="M56" s="9" t="str">
        <x:v>The canonical transfer scene and masked trajectory reference are unchanged; only the evaluation wording is paraphrased. This remains a language diagnostic and is not pooled into the primary 50.</x:v>
      </x:c>
      <x:c r="N56" s="9" t="n">
        <x:v>2</x:v>
      </x:c>
      <x:c r="O56" s="9" t="str">
        <x:v>Reset the moved object exactly; preserve every object and state; change only the prompt wording.</x:v>
      </x:c>
      <x:c r="P56" s="9" t="str">
        <x:v>Exact-scene paraphrase of one of the 50 canonical compositional-transfer trials. The same-category candidates share the orthogonal C/O state (C). The scene is an exact copy of the referenced canonical row.</x:v>
      </x:c>
      <x:c r="Q56" s="9"/>
      <x:c r="R56" s="10" t="n">
        <x:v>4</x:v>
      </x:c>
      <x:c r="S56" s="10" t="n">
        <x:v>1</x:v>
      </x:c>
      <x:c r="T56" s="9" t="str">
        <x:v>Empty</x:v>
      </x:c>
      <x:c r="U56" s="9" t="str">
        <x:v>UD</x:v>
      </x:c>
      <x:c r="V56" s="9" t="str">
        <x:v>white cup</x:v>
      </x:c>
      <x:c r="W56" s="9"/>
      <x:c r="X56" s="10"/>
      <x:c r="Y56" s="10"/>
      <x:c r="Z56" s="9"/>
      <x:c r="AA56" s="9"/>
      <x:c r="AB56" s="9"/>
      <x:c r="AC56" s="9"/>
      <x:c r="AD56" s="9"/>
      <x:c r="AE56" s="9"/>
      <x:c r="AF56" s="9"/>
      <x:c r="AG56" s="9"/>
      <x:c r="AH56" s="9"/>
      <x:c r="AI56" s="11"/>
      <x:c r="AJ56" s="9"/>
      <x:c r="AK56" s="9" t="str">
        <x:v>Eval_State_Recognition.xlsm</x:v>
      </x:c>
      <x:c r="AL56" s="9" t="str">
        <x:v>GR00T vision only Results</x:v>
      </x:c>
      <x:c r="AM56" s="9" t="n">
        <x:v>56</x:v>
      </x:c>
      <x:c r="AN56" s="9" t="n">
        <x:v>56</x:v>
      </x:c>
    </x:row>
    <x:row r="57">
      <x:c r="A57" s="9" t="str">
        <x:v>Success</x:v>
      </x:c>
      <x:c r="B57" s="9" t="str">
        <x:v>State Recognition</x:v>
      </x:c>
      <x:c r="C57" s="10" t="n">
        <x:v>55</x:v>
      </x:c>
      <x:c r="D57" s="9" t="str">
        <x:v>Move the white cup from the workspace into the bowl.</x:v>
      </x:c>
      <x:c r="E57" s="9" t="str">
        <x:v>white cup A (C, UD); brown cup A (C, RU); glass spice container A (C, RU); yellow-white striped cup B (O, RU)</x:v>
      </x:c>
      <x:c r="F57" s="9" t="str">
        <x:v>white cup A</x:v>
      </x:c>
      <x:c r="G57" s="9"/>
      <x:c r="H57" s="9" t="str">
        <x:v>Language robustness</x:v>
      </x:c>
      <x:c r="I57" s="9" t="str">
        <x:v>SR-CT09</x:v>
      </x:c>
      <x:c r="J57" s="9" t="str">
        <x:v>Direct-category matched-control paraphrase</x:v>
      </x:c>
      <x:c r="K57" s="9" t="n">
        <x:v>53</x:v>
      </x:c>
      <x:c r="L57" s="9" t="n">
        <x:v>39</x:v>
      </x:c>
      <x:c r="M57" s="9" t="str">
        <x:v>Paraphrase of the direct-category matched control grounded by training episode 39. The modified control scene and physical target are unchanged.</x:v>
      </x:c>
      <x:c r="N57" s="9" t="n">
        <x:v>2</x:v>
      </x:c>
      <x:c r="O57" s="9" t="str">
        <x:v>Reset the target to its marked pose; preserve the exact modified control scene and change only the direct instruction wording.</x:v>
      </x:c>
      <x:c r="P57" s="9" t="str">
        <x:v>Language diagnostic for the pure manipulation control; no state word or state-based selection is required. The scene is an exact copy of the referenced canonical row.</x:v>
      </x:c>
      <x:c r="Q57" s="9"/>
      <x:c r="R57" s="10" t="n">
        <x:v>4</x:v>
      </x:c>
      <x:c r="S57" s="10" t="n">
        <x:v>1</x:v>
      </x:c>
      <x:c r="T57" s="9" t="str">
        <x:v>Empty</x:v>
      </x:c>
      <x:c r="U57" s="9" t="str">
        <x:v>N/A</x:v>
      </x:c>
      <x:c r="V57" s="9" t="str">
        <x:v>white cup</x:v>
      </x:c>
      <x:c r="W57" s="9"/>
      <x:c r="X57" s="10"/>
      <x:c r="Y57" s="10"/>
      <x:c r="Z57" s="9"/>
      <x:c r="AA57" s="9"/>
      <x:c r="AB57" s="9"/>
      <x:c r="AC57" s="9"/>
      <x:c r="AD57" s="9"/>
      <x:c r="AE57" s="9"/>
      <x:c r="AF57" s="9"/>
      <x:c r="AG57" s="9"/>
      <x:c r="AH57" s="9"/>
      <x:c r="AI57" s="11"/>
      <x:c r="AJ57" s="9"/>
      <x:c r="AK57" s="9" t="str">
        <x:v>Eval_State_Recognition.xlsm</x:v>
      </x:c>
      <x:c r="AL57" s="9" t="str">
        <x:v>GR00T vision only Results</x:v>
      </x:c>
      <x:c r="AM57" s="9" t="n">
        <x:v>57</x:v>
      </x:c>
      <x:c r="AN57" s="9" t="n">
        <x:v>57</x:v>
      </x:c>
    </x:row>
    <x:row r="58">
      <x:c r="A58" s="9" t="str">
        <x:v>Success</x:v>
      </x:c>
      <x:c r="B58" s="9" t="str">
        <x:v>State Recognition</x:v>
      </x:c>
      <x:c r="C58" s="10" t="n">
        <x:v>56</x:v>
      </x:c>
      <x:c r="D58" s="9" t="str">
        <x:v>Place the open yellow-white striped cup in the bowl.</x:v>
      </x:c>
      <x:c r="E58" s="9" t="str">
        <x:v>yellow-white striped cup B (O, RU); yellow-white striped cup A (C, RU)</x:v>
      </x:c>
      <x:c r="F58" s="9" t="str">
        <x:v>yellow-white striped cup B</x:v>
      </x:c>
      <x:c r="G58" s="9"/>
      <x:c r="H58" s="9" t="str">
        <x:v>Concept/compositional transfer</x:v>
      </x:c>
      <x:c r="I58" s="9" t="str">
        <x:v>SR-CT10</x:v>
      </x:c>
      <x:c r="J58" s="9" t="str">
        <x:v>Primary held-out state-object composition</x:v>
      </x:c>
      <x:c r="K58" s="9"/>
      <x:c r="L58" s="9" t="str">
        <x:v>71</x:v>
      </x:c>
      <x:c r="M58"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58" s="9" t="n">
        <x:v>2</x:v>
      </x:c>
      <x:c r="O58" s="9" t="str">
        <x:v>Build the listed same-category discrimination scene with the bowl empty.</x:v>
      </x:c>
      <x:c r="P58" s="9" t="str">
        <x:v>Two same-category candidates share the non-queried state axis; only the held-out state word identifies the target. The orthogonal orientation axis is fixed: every object is RU.</x:v>
      </x:c>
      <x:c r="Q58" s="9"/>
      <x:c r="R58" s="10" t="n">
        <x:v>2</x:v>
      </x:c>
      <x:c r="S58" s="10" t="n">
        <x:v>1</x:v>
      </x:c>
      <x:c r="T58" s="9" t="str">
        <x:v>Empty</x:v>
      </x:c>
      <x:c r="U58" s="9" t="str">
        <x:v>O</x:v>
      </x:c>
      <x:c r="V58" s="9" t="str">
        <x:v>yellow-white striped cup</x:v>
      </x:c>
      <x:c r="W58" s="9"/>
      <x:c r="X58" s="10"/>
      <x:c r="Y58" s="10"/>
      <x:c r="Z58" s="9"/>
      <x:c r="AA58" s="9"/>
      <x:c r="AB58" s="9"/>
      <x:c r="AC58" s="9"/>
      <x:c r="AD58" s="9"/>
      <x:c r="AE58" s="9"/>
      <x:c r="AF58" s="9"/>
      <x:c r="AG58" s="9"/>
      <x:c r="AH58" s="9"/>
      <x:c r="AI58" s="11"/>
      <x:c r="AJ58" s="9"/>
      <x:c r="AK58" s="9" t="str">
        <x:v>Eval_State_Recognition.xlsm</x:v>
      </x:c>
      <x:c r="AL58" s="9" t="str">
        <x:v>GR00T vision only Results</x:v>
      </x:c>
      <x:c r="AM58" s="9" t="n">
        <x:v>58</x:v>
      </x:c>
      <x:c r="AN58" s="9" t="n">
        <x:v>58</x:v>
      </x:c>
    </x:row>
    <x:row r="59">
      <x:c r="A59" s="9" t="str">
        <x:v>Success</x:v>
      </x:c>
      <x:c r="B59" s="9" t="str">
        <x:v>State Recognition</x:v>
      </x:c>
      <x:c r="C59" s="10" t="n">
        <x:v>57</x:v>
      </x:c>
      <x:c r="D59" s="9" t="str">
        <x:v>Put a yellow-white striped cup in the bowl.</x:v>
      </x:c>
      <x:c r="E59" s="9" t="str">
        <x:v>yellow-white striped cup B (O, RU); white cup B (C, RU)</x:v>
      </x:c>
      <x:c r="F59" s="9" t="str">
        <x:v>yellow-white striped cup B</x:v>
      </x:c>
      <x:c r="G59" s="9"/>
      <x:c r="H59" s="9" t="str">
        <x:v>Matched manipulation control</x:v>
      </x:c>
      <x:c r="I59" s="9" t="str">
        <x:v>SR-CT10</x:v>
      </x:c>
      <x:c r="J59" s="9" t="str">
        <x:v>One-object-substitution direct-category control</x:v>
      </x:c>
      <x:c r="K59" s="9" t="n">
        <x:v>56</x:v>
      </x:c>
      <x:c r="L59" s="9" t="n">
        <x:v>71</x:v>
      </x:c>
      <x:c r="M59" s="9" t="str">
        <x:v>Exact direct-category manipulation prompt from training episode 71. The transfer target, state, and pose are preserved; only the competing yellow-white striped cup is replaced by white cup B. The full control scene is upright because its paired transfer instruction queries open/closed.</x:v>
      </x:c>
      <x:c r="N59" s="9" t="n">
        <x:v>2</x:v>
      </x:c>
      <x:c r="O59" s="9" t="str">
        <x:v>Reset yellow-white striped cup B to its transfer pose. Replace yellow-white striped cup A with white cup B in the same location and use the states listed in this row; preserve all other objects.</x:v>
      </x:c>
      <x:c r="P59" s="9" t="str">
        <x:v>Pure recognition/manipulation control: the prompt uniquely names the only object from the target category, while the physical target remains identical to the transfer row. Every object is RU.</x:v>
      </x:c>
      <x:c r="Q59" s="9"/>
      <x:c r="R59" s="10" t="n">
        <x:v>2</x:v>
      </x:c>
      <x:c r="S59" s="10" t="n">
        <x:v>1</x:v>
      </x:c>
      <x:c r="T59" s="9" t="str">
        <x:v>Empty</x:v>
      </x:c>
      <x:c r="U59" s="9" t="str">
        <x:v>N/A</x:v>
      </x:c>
      <x:c r="V59" s="9" t="str">
        <x:v>yellow-white striped cup</x:v>
      </x:c>
      <x:c r="W59" s="9"/>
      <x:c r="X59" s="10"/>
      <x:c r="Y59" s="10"/>
      <x:c r="Z59" s="9"/>
      <x:c r="AA59" s="9"/>
      <x:c r="AB59" s="9"/>
      <x:c r="AC59" s="9"/>
      <x:c r="AD59" s="9"/>
      <x:c r="AE59" s="9"/>
      <x:c r="AF59" s="9"/>
      <x:c r="AG59" s="9"/>
      <x:c r="AH59" s="9"/>
      <x:c r="AI59" s="11"/>
      <x:c r="AJ59" s="9"/>
      <x:c r="AK59" s="9" t="str">
        <x:v>Eval_State_Recognition.xlsm</x:v>
      </x:c>
      <x:c r="AL59" s="9" t="str">
        <x:v>GR00T vision only Results</x:v>
      </x:c>
      <x:c r="AM59" s="9" t="n">
        <x:v>59</x:v>
      </x:c>
      <x:c r="AN59" s="9" t="n">
        <x:v>59</x:v>
      </x:c>
    </x:row>
    <x:row r="60">
      <x:c r="A60" s="9" t="str">
        <x:v>Success</x:v>
      </x:c>
      <x:c r="B60" s="9" t="str">
        <x:v>State Recognition</x:v>
      </x:c>
      <x:c r="C60" s="10" t="n">
        <x:v>58</x:v>
      </x:c>
      <x:c r="D60" s="9" t="str">
        <x:v>Move the yellow-white striped cup whose opening is uncovered into the bowl.</x:v>
      </x:c>
      <x:c r="E60" s="9" t="str">
        <x:v>yellow-white striped cup B (O, RU); yellow-white striped cup A (C, RU)</x:v>
      </x:c>
      <x:c r="F60" s="9" t="str">
        <x:v>yellow-white striped cup B</x:v>
      </x:c>
      <x:c r="G60" s="9"/>
      <x:c r="H60" s="9" t="str">
        <x:v>Language robustness</x:v>
      </x:c>
      <x:c r="I60" s="9" t="str">
        <x:v>SR-CT10</x:v>
      </x:c>
      <x:c r="J60" s="9" t="str">
        <x:v>Primary compositional-transfer prompt paraphrase</x:v>
      </x:c>
      <x:c r="K60" s="9" t="n">
        <x:v>56</x:v>
      </x:c>
      <x:c r="L60" s="9" t="str">
        <x:v>71</x:v>
      </x:c>
      <x:c r="M60" s="9" t="str">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N60" s="9" t="n">
        <x:v>2</x:v>
      </x:c>
      <x:c r="O60" s="9" t="str">
        <x:v>Reset the moved object exactly; preserve every object and state; change only the prompt wording.</x:v>
      </x:c>
      <x:c r="P60" s="9" t="str">
        <x:v>Exact-scene paraphrase of one of the 50 canonical compositional-transfer trials. The orthogonal orientation axis is fixed: every object is RU. The scene is an exact copy of the referenced canonical row.</x:v>
      </x:c>
      <x:c r="Q60" s="9"/>
      <x:c r="R60" s="10" t="n">
        <x:v>2</x:v>
      </x:c>
      <x:c r="S60" s="10" t="n">
        <x:v>1</x:v>
      </x:c>
      <x:c r="T60" s="9" t="str">
        <x:v>Empty</x:v>
      </x:c>
      <x:c r="U60" s="9" t="str">
        <x:v>O</x:v>
      </x:c>
      <x:c r="V60" s="9" t="str">
        <x:v>yellow-white striped cup</x:v>
      </x:c>
      <x:c r="W60" s="9"/>
      <x:c r="X60" s="10"/>
      <x:c r="Y60" s="10"/>
      <x:c r="Z60" s="9"/>
      <x:c r="AA60" s="9"/>
      <x:c r="AB60" s="9"/>
      <x:c r="AC60" s="9"/>
      <x:c r="AD60" s="9"/>
      <x:c r="AE60" s="9"/>
      <x:c r="AF60" s="9"/>
      <x:c r="AG60" s="9"/>
      <x:c r="AH60" s="9"/>
      <x:c r="AI60" s="11"/>
      <x:c r="AJ60" s="9"/>
      <x:c r="AK60" s="9" t="str">
        <x:v>Eval_State_Recognition.xlsm</x:v>
      </x:c>
      <x:c r="AL60" s="9" t="str">
        <x:v>GR00T vision only Results</x:v>
      </x:c>
      <x:c r="AM60" s="9" t="n">
        <x:v>60</x:v>
      </x:c>
      <x:c r="AN60" s="9" t="n">
        <x:v>60</x:v>
      </x:c>
    </x:row>
    <x:row r="61">
      <x:c r="A61" s="9" t="str">
        <x:v>Success</x:v>
      </x:c>
      <x:c r="B61" s="9" t="str">
        <x:v>State Recognition</x:v>
      </x:c>
      <x:c r="C61" s="10" t="n">
        <x:v>59</x:v>
      </x:c>
      <x:c r="D61" s="9" t="str">
        <x:v>Set the yellow-white striped cup inside the bowl.</x:v>
      </x:c>
      <x:c r="E61" s="9" t="str">
        <x:v>yellow-white striped cup B (O, RU); white cup B (C, RU)</x:v>
      </x:c>
      <x:c r="F61" s="9" t="str">
        <x:v>yellow-white striped cup B</x:v>
      </x:c>
      <x:c r="G61" s="9"/>
      <x:c r="H61" s="9" t="str">
        <x:v>Language robustness</x:v>
      </x:c>
      <x:c r="I61" s="9" t="str">
        <x:v>SR-CT10</x:v>
      </x:c>
      <x:c r="J61" s="9" t="str">
        <x:v>Direct-category matched-control paraphrase</x:v>
      </x:c>
      <x:c r="K61" s="9" t="n">
        <x:v>57</x:v>
      </x:c>
      <x:c r="L61" s="9" t="n">
        <x:v>71</x:v>
      </x:c>
      <x:c r="M61" s="9" t="str">
        <x:v>Paraphrase of the direct-category matched control grounded by training episode 71. The modified control scene and physical target are unchanged.</x:v>
      </x:c>
      <x:c r="N61" s="9" t="n">
        <x:v>2</x:v>
      </x:c>
      <x:c r="O61" s="9" t="str">
        <x:v>Reset the target to its marked pose; preserve the exact modified control scene and change only the direct instruction wording.</x:v>
      </x:c>
      <x:c r="P61" s="9" t="str">
        <x:v>Language diagnostic for the pure manipulation control; no state word or state-based selection is required. The scene is an exact copy of the referenced canonical row.</x:v>
      </x:c>
      <x:c r="Q61" s="9"/>
      <x:c r="R61" s="10" t="n">
        <x:v>2</x:v>
      </x:c>
      <x:c r="S61" s="10" t="n">
        <x:v>1</x:v>
      </x:c>
      <x:c r="T61" s="9" t="str">
        <x:v>Empty</x:v>
      </x:c>
      <x:c r="U61" s="9" t="str">
        <x:v>N/A</x:v>
      </x:c>
      <x:c r="V61" s="9" t="str">
        <x:v>yellow-white striped cup</x:v>
      </x:c>
      <x:c r="W61" s="9"/>
      <x:c r="X61" s="10"/>
      <x:c r="Y61" s="10"/>
      <x:c r="Z61" s="9"/>
      <x:c r="AA61" s="9"/>
      <x:c r="AB61" s="9"/>
      <x:c r="AC61" s="9"/>
      <x:c r="AD61" s="9"/>
      <x:c r="AE61" s="9"/>
      <x:c r="AF61" s="9"/>
      <x:c r="AG61" s="9"/>
      <x:c r="AH61" s="9"/>
      <x:c r="AI61" s="11"/>
      <x:c r="AJ61" s="9"/>
      <x:c r="AK61" s="9" t="str">
        <x:v>Eval_State_Recognition.xlsm</x:v>
      </x:c>
      <x:c r="AL61" s="9" t="str">
        <x:v>GR00T vision only Results</x:v>
      </x:c>
      <x:c r="AM61" s="9" t="n">
        <x:v>61</x:v>
      </x:c>
      <x:c r="AN61" s="9" t="n">
        <x:v>61</x:v>
      </x:c>
    </x:row>
    <x:row r="62">
      <x:c r="A62" s="9" t="str">
        <x:v>Failure</x:v>
      </x:c>
      <x:c r="B62" s="9" t="str">
        <x:v>State Recognition</x:v>
      </x:c>
      <x:c r="C62" s="10" t="n">
        <x:v>60</x:v>
      </x:c>
      <x:c r="D62" s="9" t="str">
        <x:v>Place the closed brown cup in the bowl.</x:v>
      </x:c>
      <x:c r="E62" s="9" t="str">
        <x:v>brown cup A (C, RU); brown cup B (O, RU); yellow-white striped cup A (C, RU)</x:v>
      </x:c>
      <x:c r="F62" s="9" t="str">
        <x:v>brown cup A</x:v>
      </x:c>
      <x:c r="G62" s="9" t="str">
        <x:v>picked the open cup</x:v>
      </x:c>
      <x:c r="H62" s="9" t="str">
        <x:v>Concept/compositional transfer</x:v>
      </x:c>
      <x:c r="I62" s="9" t="str">
        <x:v>SR-CT11</x:v>
      </x:c>
      <x:c r="J62" s="9" t="str">
        <x:v>Primary held-out state-object composition</x:v>
      </x:c>
      <x:c r="K62" s="9"/>
      <x:c r="L62" s="9" t="str">
        <x:v>102</x:v>
      </x:c>
      <x:c r="M62"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62" s="9" t="n">
        <x:v>3</x:v>
      </x:c>
      <x:c r="O62" s="9" t="str">
        <x:v>Build the listed same-category discrimination scene with the bowl empty.</x:v>
      </x:c>
      <x:c r="P62" s="9" t="str">
        <x:v>Two same-category candidates share the non-queried state axis; only the held-out state word identifies the target. The orthogonal orientation axis is fixed: every object is RU.</x:v>
      </x:c>
      <x:c r="Q62" s="9"/>
      <x:c r="R62" s="10" t="n">
        <x:v>3</x:v>
      </x:c>
      <x:c r="S62" s="10" t="n">
        <x:v>1</x:v>
      </x:c>
      <x:c r="T62" s="9" t="str">
        <x:v>Empty</x:v>
      </x:c>
      <x:c r="U62" s="9" t="str">
        <x:v>C</x:v>
      </x:c>
      <x:c r="V62" s="9" t="str">
        <x:v>brown cup</x:v>
      </x:c>
      <x:c r="W62" s="9"/>
      <x:c r="X62" s="10"/>
      <x:c r="Y62" s="10"/>
      <x:c r="Z62" s="9"/>
      <x:c r="AA62" s="9"/>
      <x:c r="AB62" s="9"/>
      <x:c r="AC62" s="9"/>
      <x:c r="AD62" s="9"/>
      <x:c r="AE62" s="9"/>
      <x:c r="AF62" s="9"/>
      <x:c r="AG62" s="9"/>
      <x:c r="AH62" s="9"/>
      <x:c r="AI62" s="11"/>
      <x:c r="AJ62" s="9"/>
      <x:c r="AK62" s="9" t="str">
        <x:v>Eval_State_Recognition.xlsm</x:v>
      </x:c>
      <x:c r="AL62" s="9" t="str">
        <x:v>GR00T vision only Results</x:v>
      </x:c>
      <x:c r="AM62" s="9" t="n">
        <x:v>62</x:v>
      </x:c>
      <x:c r="AN62" s="9" t="n">
        <x:v>62</x:v>
      </x:c>
    </x:row>
    <x:row r="63">
      <x:c r="A63" s="9" t="str">
        <x:v>Success</x:v>
      </x:c>
      <x:c r="B63" s="9" t="str">
        <x:v>State Recognition</x:v>
      </x:c>
      <x:c r="C63" s="10" t="n">
        <x:v>61</x:v>
      </x:c>
      <x:c r="D63" s="9" t="str">
        <x:v>Move a brown cup into the bowl.</x:v>
      </x:c>
      <x:c r="E63" s="9" t="str">
        <x:v>brown cup A (C, RU); white cup A (O, RU); yellow-white striped cup A (C, RU)</x:v>
      </x:c>
      <x:c r="F63" s="9" t="str">
        <x:v>brown cup A</x:v>
      </x:c>
      <x:c r="G63" s="9"/>
      <x:c r="H63" s="9" t="str">
        <x:v>Matched manipulation control</x:v>
      </x:c>
      <x:c r="I63" s="9" t="str">
        <x:v>SR-CT11</x:v>
      </x:c>
      <x:c r="J63" s="9" t="str">
        <x:v>One-object-substitution direct-category control</x:v>
      </x:c>
      <x:c r="K63" s="9" t="n">
        <x:v>60</x:v>
      </x:c>
      <x:c r="L63" s="9" t="n">
        <x:v>102</x:v>
      </x:c>
      <x:c r="M63" s="9" t="str">
        <x:v>Exact direct-category manipulation prompt from training episode 102. The transfer target, state, and pose are preserved; only the competing brown cup is replaced by white cup A. The full control scene is upright because its paired transfer instruction queries open/closed.</x:v>
      </x:c>
      <x:c r="N63" s="9" t="n">
        <x:v>3</x:v>
      </x:c>
      <x:c r="O63" s="9" t="str">
        <x:v>Reset brown cup A to its transfer pose. Replace brown cup B with white cup A in the same location and use the states listed in this row; preserve all other objects.</x:v>
      </x:c>
      <x:c r="P63" s="9" t="str">
        <x:v>Pure recognition/manipulation control: the prompt uniquely names the only object from the target category, while the physical target remains identical to the transfer row. Every object is RU.</x:v>
      </x:c>
      <x:c r="Q63" s="9"/>
      <x:c r="R63" s="10" t="n">
        <x:v>3</x:v>
      </x:c>
      <x:c r="S63" s="10" t="n">
        <x:v>1</x:v>
      </x:c>
      <x:c r="T63" s="9" t="str">
        <x:v>Empty</x:v>
      </x:c>
      <x:c r="U63" s="9" t="str">
        <x:v>N/A</x:v>
      </x:c>
      <x:c r="V63" s="9" t="str">
        <x:v>brown cup</x:v>
      </x:c>
      <x:c r="W63" s="9"/>
      <x:c r="X63" s="10"/>
      <x:c r="Y63" s="10"/>
      <x:c r="Z63" s="9"/>
      <x:c r="AA63" s="9"/>
      <x:c r="AB63" s="9"/>
      <x:c r="AC63" s="9"/>
      <x:c r="AD63" s="9"/>
      <x:c r="AE63" s="9"/>
      <x:c r="AF63" s="9"/>
      <x:c r="AG63" s="9"/>
      <x:c r="AH63" s="9"/>
      <x:c r="AI63" s="11"/>
      <x:c r="AJ63" s="9"/>
      <x:c r="AK63" s="9" t="str">
        <x:v>Eval_State_Recognition.xlsm</x:v>
      </x:c>
      <x:c r="AL63" s="9" t="str">
        <x:v>GR00T vision only Results</x:v>
      </x:c>
      <x:c r="AM63" s="9" t="n">
        <x:v>63</x:v>
      </x:c>
      <x:c r="AN63" s="9" t="n">
        <x:v>63</x:v>
      </x:c>
    </x:row>
    <x:row r="64">
      <x:c r="A64" s="9" t="str">
        <x:v>Failure</x:v>
      </x:c>
      <x:c r="B64" s="9" t="str">
        <x:v>State Recognition</x:v>
      </x:c>
      <x:c r="C64" s="10" t="n">
        <x:v>62</x:v>
      </x:c>
      <x:c r="D64" s="9" t="str">
        <x:v>Place the upright glass spice container in the bowl.</x:v>
      </x:c>
      <x:c r="E64" s="9" t="str">
        <x:v>glass spice container B (C, RU); glass spice container A (C, UD); brown cup B (O, UD); white cup A (C, RU)</x:v>
      </x:c>
      <x:c r="F64" s="9" t="str">
        <x:v>glass spice container B</x:v>
      </x:c>
      <x:c r="G64" s="9" t="str">
        <x:v>picked upside down container</x:v>
      </x:c>
      <x:c r="H64" s="9" t="str">
        <x:v>Concept/compositional transfer</x:v>
      </x:c>
      <x:c r="I64" s="9" t="str">
        <x:v>SR-CT12</x:v>
      </x:c>
      <x:c r="J64" s="9" t="str">
        <x:v>Primary held-out state-object composition</x:v>
      </x:c>
      <x:c r="K64" s="9"/>
      <x:c r="L64" s="9" t="str">
        <x:v>172</x:v>
      </x:c>
      <x:c r="M64" s="9" t="str">
        <x:v>Physical-state and manipulation-trajectory reference under a direct category prompt; the evaluated state word × object-category cell is intentionally absent from training.</x:v>
      </x:c>
      <x:c r="N64" s="9" t="n">
        <x:v>3</x:v>
      </x:c>
      <x:c r="O64" s="9" t="str">
        <x:v>Build the listed same-category discrimination scene with the bowl empty.</x:v>
      </x:c>
      <x:c r="P64" s="9" t="str">
        <x:v>Two same-category candidates share the non-queried state axis; only the held-out state word identifies the target. The same-category candidates share the orthogonal C/O state (C).</x:v>
      </x:c>
      <x:c r="Q64" s="9"/>
      <x:c r="R64" s="10" t="n">
        <x:v>4</x:v>
      </x:c>
      <x:c r="S64" s="10" t="n">
        <x:v>1</x:v>
      </x:c>
      <x:c r="T64" s="9" t="str">
        <x:v>Empty</x:v>
      </x:c>
      <x:c r="U64" s="9" t="str">
        <x:v>RU</x:v>
      </x:c>
      <x:c r="V64" s="9" t="str">
        <x:v>glass spice container</x:v>
      </x:c>
      <x:c r="W64" s="9"/>
      <x:c r="X64" s="10"/>
      <x:c r="Y64" s="10"/>
      <x:c r="Z64" s="9"/>
      <x:c r="AA64" s="9"/>
      <x:c r="AB64" s="9"/>
      <x:c r="AC64" s="9"/>
      <x:c r="AD64" s="9"/>
      <x:c r="AE64" s="9"/>
      <x:c r="AF64" s="9"/>
      <x:c r="AG64" s="9"/>
      <x:c r="AH64" s="9"/>
      <x:c r="AI64" s="11"/>
      <x:c r="AJ64" s="9"/>
      <x:c r="AK64" s="9" t="str">
        <x:v>Eval_State_Recognition.xlsm</x:v>
      </x:c>
      <x:c r="AL64" s="9" t="str">
        <x:v>GR00T vision only Results</x:v>
      </x:c>
      <x:c r="AM64" s="9" t="n">
        <x:v>64</x:v>
      </x:c>
      <x:c r="AN64" s="9" t="n">
        <x:v>64</x:v>
      </x:c>
    </x:row>
    <x:row r="65">
      <x:c r="A65" s="9" t="str">
        <x:v>Success</x:v>
      </x:c>
      <x:c r="B65" s="9" t="str">
        <x:v>State Recognition</x:v>
      </x:c>
      <x:c r="C65" s="10" t="n">
        <x:v>63</x:v>
      </x:c>
      <x:c r="D65" s="9" t="str">
        <x:v>Place a glass spice container in the bowl.</x:v>
      </x:c>
      <x:c r="E65" s="9" t="str">
        <x:v>glass spice container B (C, RU); yellow-white striped cup B (C, UD); brown cup B (O, UD); white cup A (C, RU)</x:v>
      </x:c>
      <x:c r="F65" s="9" t="str">
        <x:v>glass spice container B</x:v>
      </x:c>
      <x:c r="G65" s="9"/>
      <x:c r="H65" s="9" t="str">
        <x:v>Matched manipulation control</x:v>
      </x:c>
      <x:c r="I65" s="9" t="str">
        <x:v>SR-CT12</x:v>
      </x:c>
      <x:c r="J65" s="9" t="str">
        <x:v>One-object-substitution direct-category control</x:v>
      </x:c>
      <x:c r="K65" s="9" t="n">
        <x:v>62</x:v>
      </x:c>
      <x:c r="L65" s="9" t="n">
        <x:v>172</x:v>
      </x:c>
      <x:c r="M65" s="9" t="str">
        <x:v>Exact direct-category manipulation prompt from training episode 172. The transfer target, state, and pose are preserved; only the competing glass spice container is replaced by yellow-white striped cup B.</x:v>
      </x:c>
      <x:c r="N65" s="9" t="n">
        <x:v>3</x:v>
      </x:c>
      <x:c r="O65" s="9" t="str">
        <x:v>Reset glass spice container B to its transfer pose. Replace glass spice container A with yellow-white striped cup B in the same location and use the states listed in this row; preserve all other objects.</x:v>
      </x:c>
      <x:c r="P65" s="9" t="str">
        <x:v>Pure recognition/manipulation control: the prompt uniquely names the only object from the target category, while the physical target remains identical to the transfer row.</x:v>
      </x:c>
      <x:c r="Q65" s="9"/>
      <x:c r="R65" s="10" t="n">
        <x:v>4</x:v>
      </x:c>
      <x:c r="S65" s="10" t="n">
        <x:v>1</x:v>
      </x:c>
      <x:c r="T65" s="9" t="str">
        <x:v>Empty</x:v>
      </x:c>
      <x:c r="U65" s="9" t="str">
        <x:v>N/A</x:v>
      </x:c>
      <x:c r="V65" s="9" t="str">
        <x:v>glass spice container</x:v>
      </x:c>
      <x:c r="W65" s="9"/>
      <x:c r="X65" s="10"/>
      <x:c r="Y65" s="10"/>
      <x:c r="Z65" s="9"/>
      <x:c r="AA65" s="9"/>
      <x:c r="AB65" s="9"/>
      <x:c r="AC65" s="9"/>
      <x:c r="AD65" s="9"/>
      <x:c r="AE65" s="9"/>
      <x:c r="AF65" s="9"/>
      <x:c r="AG65" s="9"/>
      <x:c r="AH65" s="9"/>
      <x:c r="AI65" s="11"/>
      <x:c r="AJ65" s="9"/>
      <x:c r="AK65" s="9" t="str">
        <x:v>Eval_State_Recognition.xlsm</x:v>
      </x:c>
      <x:c r="AL65" s="9" t="str">
        <x:v>GR00T vision only Results</x:v>
      </x:c>
      <x:c r="AM65" s="9" t="n">
        <x:v>65</x:v>
      </x:c>
      <x:c r="AN65" s="9" t="n">
        <x:v>65</x:v>
      </x:c>
    </x:row>
    <x:row r="66">
      <x:c r="A66" s="9" t="str">
        <x:v>Success</x:v>
      </x:c>
      <x:c r="B66" s="9" t="str">
        <x:v>State Recognition</x:v>
      </x:c>
      <x:c r="C66" s="10" t="n">
        <x:v>64</x:v>
      </x:c>
      <x:c r="D66" s="9" t="str">
        <x:v>Place the upside-down white cup in the bowl.</x:v>
      </x:c>
      <x:c r="E66" s="9" t="str">
        <x:v>white cup A (O, UD); white cup B (O, RU)</x:v>
      </x:c>
      <x:c r="F66" s="9" t="str">
        <x:v>white cup A</x:v>
      </x:c>
      <x:c r="G66" s="9"/>
      <x:c r="H66" s="9" t="str">
        <x:v>Concept/compositional transfer</x:v>
      </x:c>
      <x:c r="I66" s="9" t="str">
        <x:v>SR-CT13</x:v>
      </x:c>
      <x:c r="J66" s="9" t="str">
        <x:v>Primary held-out state-object composition</x:v>
      </x:c>
      <x:c r="K66" s="9"/>
      <x:c r="L66" s="9" t="str">
        <x:v>32</x:v>
      </x:c>
      <x:c r="M66" s="9" t="str">
        <x:v>Physical-state and manipulation-trajectory reference under a direct category prompt; the evaluated state word × object-category cell is intentionally absent from training.</x:v>
      </x:c>
      <x:c r="N66" s="9" t="n">
        <x:v>3</x:v>
      </x:c>
      <x:c r="O66" s="9" t="str">
        <x:v>Build the listed same-category discrimination scene with the bowl empty.</x:v>
      </x:c>
      <x:c r="P66" s="9" t="str">
        <x:v>Two same-category candidates share the non-queried state axis; only the held-out state word identifies the target. The same-category candidates share the orthogonal C/O state (O).</x:v>
      </x:c>
      <x:c r="Q66" s="9"/>
      <x:c r="R66" s="10" t="n">
        <x:v>2</x:v>
      </x:c>
      <x:c r="S66" s="10" t="n">
        <x:v>1</x:v>
      </x:c>
      <x:c r="T66" s="9" t="str">
        <x:v>Empty</x:v>
      </x:c>
      <x:c r="U66" s="9" t="str">
        <x:v>UD</x:v>
      </x:c>
      <x:c r="V66" s="9" t="str">
        <x:v>white cup</x:v>
      </x:c>
      <x:c r="W66" s="9"/>
      <x:c r="X66" s="10"/>
      <x:c r="Y66" s="10"/>
      <x:c r="Z66" s="9"/>
      <x:c r="AA66" s="9"/>
      <x:c r="AB66" s="9"/>
      <x:c r="AC66" s="9"/>
      <x:c r="AD66" s="9"/>
      <x:c r="AE66" s="9"/>
      <x:c r="AF66" s="9"/>
      <x:c r="AG66" s="9"/>
      <x:c r="AH66" s="9"/>
      <x:c r="AI66" s="11"/>
      <x:c r="AJ66" s="9"/>
      <x:c r="AK66" s="9" t="str">
        <x:v>Eval_State_Recognition.xlsm</x:v>
      </x:c>
      <x:c r="AL66" s="9" t="str">
        <x:v>GR00T vision only Results</x:v>
      </x:c>
      <x:c r="AM66" s="9" t="n">
        <x:v>66</x:v>
      </x:c>
      <x:c r="AN66" s="9" t="n">
        <x:v>66</x:v>
      </x:c>
    </x:row>
    <x:row r="67">
      <x:c r="A67" s="9" t="str">
        <x:v>Success</x:v>
      </x:c>
      <x:c r="B67" s="9" t="str">
        <x:v>State Recognition</x:v>
      </x:c>
      <x:c r="C67" s="10" t="n">
        <x:v>65</x:v>
      </x:c>
      <x:c r="D67" s="9" t="str">
        <x:v>Put a white cup in the bowl.</x:v>
      </x:c>
      <x:c r="E67" s="9" t="str">
        <x:v>white cup A (O, UD); yellow-white striped cup A (O, RU)</x:v>
      </x:c>
      <x:c r="F67" s="9" t="str">
        <x:v>white cup A</x:v>
      </x:c>
      <x:c r="G67" s="9"/>
      <x:c r="H67" s="9" t="str">
        <x:v>Matched manipulation control</x:v>
      </x:c>
      <x:c r="I67" s="9" t="str">
        <x:v>SR-CT13</x:v>
      </x:c>
      <x:c r="J67" s="9" t="str">
        <x:v>One-object-substitution direct-category control</x:v>
      </x:c>
      <x:c r="K67" s="9" t="n">
        <x:v>64</x:v>
      </x:c>
      <x:c r="L67" s="9" t="n">
        <x:v>32</x:v>
      </x:c>
      <x:c r="M67" s="9" t="str">
        <x:v>Exact direct-category manipulation prompt from training episode 32. The transfer target, state, and pose are preserved; only the competing white cup is replaced by yellow-white striped cup A.</x:v>
      </x:c>
      <x:c r="N67" s="9" t="n">
        <x:v>3</x:v>
      </x:c>
      <x:c r="O67" s="9" t="str">
        <x:v>Reset white cup A to its transfer pose. Replace white cup B with yellow-white striped cup A in the same location and use the states listed in this row; preserve all other objects.</x:v>
      </x:c>
      <x:c r="P67" s="9" t="str">
        <x:v>Pure recognition/manipulation control: the prompt uniquely names the only object from the target category, while the physical target remains identical to the transfer row.</x:v>
      </x:c>
      <x:c r="Q67" s="9"/>
      <x:c r="R67" s="10" t="n">
        <x:v>2</x:v>
      </x:c>
      <x:c r="S67" s="10" t="n">
        <x:v>1</x:v>
      </x:c>
      <x:c r="T67" s="9" t="str">
        <x:v>Empty</x:v>
      </x:c>
      <x:c r="U67" s="9" t="str">
        <x:v>N/A</x:v>
      </x:c>
      <x:c r="V67" s="9" t="str">
        <x:v>white cup</x:v>
      </x:c>
      <x:c r="W67" s="9"/>
      <x:c r="X67" s="10"/>
      <x:c r="Y67" s="10"/>
      <x:c r="Z67" s="9"/>
      <x:c r="AA67" s="9"/>
      <x:c r="AB67" s="9"/>
      <x:c r="AC67" s="9"/>
      <x:c r="AD67" s="9"/>
      <x:c r="AE67" s="9"/>
      <x:c r="AF67" s="9"/>
      <x:c r="AG67" s="9"/>
      <x:c r="AH67" s="9"/>
      <x:c r="AI67" s="11"/>
      <x:c r="AJ67" s="9"/>
      <x:c r="AK67" s="9" t="str">
        <x:v>Eval_State_Recognition.xlsm</x:v>
      </x:c>
      <x:c r="AL67" s="9" t="str">
        <x:v>GR00T vision only Results</x:v>
      </x:c>
      <x:c r="AM67" s="9" t="n">
        <x:v>67</x:v>
      </x:c>
      <x:c r="AN67" s="9" t="n">
        <x:v>67</x:v>
      </x:c>
    </x:row>
    <x:row r="68">
      <x:c r="A68" s="9" t="str">
        <x:v>Failure</x:v>
      </x:c>
      <x:c r="B68" s="9" t="str">
        <x:v>State Recognition</x:v>
      </x:c>
      <x:c r="C68" s="10" t="n">
        <x:v>66</x:v>
      </x:c>
      <x:c r="D68" s="9" t="str">
        <x:v>Place the open yellow-white striped cup in the bowl.</x:v>
      </x:c>
      <x:c r="E68" s="9" t="str">
        <x:v>yellow-white striped cup B (O, RU); yellow-white striped cup A (C, RU); brown cup B (O, RU)</x:v>
      </x:c>
      <x:c r="F68" s="9" t="str">
        <x:v>yellow-white striped cup B</x:v>
      </x:c>
      <x:c r="G68" s="9" t="str">
        <x:v>picked closed striped cup</x:v>
      </x:c>
      <x:c r="H68" s="9" t="str">
        <x:v>Concept/compositional transfer</x:v>
      </x:c>
      <x:c r="I68" s="9" t="str">
        <x:v>SR-CT14</x:v>
      </x:c>
      <x:c r="J68" s="9" t="str">
        <x:v>Primary held-out state-object composition</x:v>
      </x:c>
      <x:c r="K68" s="9"/>
      <x:c r="L68" s="9" t="str">
        <x:v>53</x:v>
      </x:c>
      <x:c r="M68"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68" s="9" t="n">
        <x:v>3</x:v>
      </x:c>
      <x:c r="O68" s="9" t="str">
        <x:v>Build the listed same-category discrimination scene with the bowl empty.</x:v>
      </x:c>
      <x:c r="P68" s="9" t="str">
        <x:v>Two same-category candidates share the non-queried state axis; only the held-out state word identifies the target. The orthogonal orientation axis is fixed: every object is RU.</x:v>
      </x:c>
      <x:c r="Q68" s="9"/>
      <x:c r="R68" s="10" t="n">
        <x:v>3</x:v>
      </x:c>
      <x:c r="S68" s="10" t="n">
        <x:v>1</x:v>
      </x:c>
      <x:c r="T68" s="9" t="str">
        <x:v>Empty</x:v>
      </x:c>
      <x:c r="U68" s="9" t="str">
        <x:v>O</x:v>
      </x:c>
      <x:c r="V68" s="9" t="str">
        <x:v>yellow-white striped cup</x:v>
      </x:c>
      <x:c r="W68" s="9"/>
      <x:c r="X68" s="10"/>
      <x:c r="Y68" s="10"/>
      <x:c r="Z68" s="9"/>
      <x:c r="AA68" s="9"/>
      <x:c r="AB68" s="9"/>
      <x:c r="AC68" s="9"/>
      <x:c r="AD68" s="9"/>
      <x:c r="AE68" s="9"/>
      <x:c r="AF68" s="9"/>
      <x:c r="AG68" s="9"/>
      <x:c r="AH68" s="9"/>
      <x:c r="AI68" s="11"/>
      <x:c r="AJ68" s="9"/>
      <x:c r="AK68" s="9" t="str">
        <x:v>Eval_State_Recognition.xlsm</x:v>
      </x:c>
      <x:c r="AL68" s="9" t="str">
        <x:v>GR00T vision only Results</x:v>
      </x:c>
      <x:c r="AM68" s="9" t="n">
        <x:v>68</x:v>
      </x:c>
      <x:c r="AN68" s="9" t="n">
        <x:v>68</x:v>
      </x:c>
    </x:row>
    <x:row r="69">
      <x:c r="A69" s="9" t="str">
        <x:v>Success</x:v>
      </x:c>
      <x:c r="B69" s="9" t="str">
        <x:v>State Recognition</x:v>
      </x:c>
      <x:c r="C69" s="10" t="n">
        <x:v>67</x:v>
      </x:c>
      <x:c r="D69" s="9" t="str">
        <x:v>Put a yellow-white striped cup in the bowl.</x:v>
      </x:c>
      <x:c r="E69" s="9" t="str">
        <x:v>yellow-white striped cup B (O, RU); glass spice container B (C, RU); brown cup B (O, RU)</x:v>
      </x:c>
      <x:c r="F69" s="9" t="str">
        <x:v>yellow-white striped cup B</x:v>
      </x:c>
      <x:c r="G69" s="9"/>
      <x:c r="H69" s="9" t="str">
        <x:v>Matched manipulation control</x:v>
      </x:c>
      <x:c r="I69" s="9" t="str">
        <x:v>SR-CT14</x:v>
      </x:c>
      <x:c r="J69" s="9" t="str">
        <x:v>One-object-substitution direct-category control</x:v>
      </x:c>
      <x:c r="K69" s="9" t="n">
        <x:v>66</x:v>
      </x:c>
      <x:c r="L69" s="9" t="n">
        <x:v>53</x:v>
      </x:c>
      <x:c r="M69" s="9" t="str">
        <x:v>Exact direct-category manipulation prompt from training episode 53. The transfer target, state, and pose are preserved; only the competing yellow-white striped cup is replaced by glass spice container B. The full control scene is upright because its paired transfer instruction queries open/closed.</x:v>
      </x:c>
      <x:c r="N69" s="9" t="n">
        <x:v>3</x:v>
      </x:c>
      <x:c r="O69" s="9" t="str">
        <x:v>Reset yellow-white striped cup B to its transfer pose. Replace yellow-white striped cup A with glass spice container B in the same location and use the states listed in this row; preserve all other objects.</x:v>
      </x:c>
      <x:c r="P69" s="9" t="str">
        <x:v>Pure recognition/manipulation control: the prompt uniquely names the only object from the target category, while the physical target remains identical to the transfer row. Every object is RU.</x:v>
      </x:c>
      <x:c r="Q69" s="9"/>
      <x:c r="R69" s="10" t="n">
        <x:v>3</x:v>
      </x:c>
      <x:c r="S69" s="10" t="n">
        <x:v>1</x:v>
      </x:c>
      <x:c r="T69" s="9" t="str">
        <x:v>Empty</x:v>
      </x:c>
      <x:c r="U69" s="9" t="str">
        <x:v>N/A</x:v>
      </x:c>
      <x:c r="V69" s="9" t="str">
        <x:v>yellow-white striped cup</x:v>
      </x:c>
      <x:c r="W69" s="9"/>
      <x:c r="X69" s="10"/>
      <x:c r="Y69" s="10"/>
      <x:c r="Z69" s="9"/>
      <x:c r="AA69" s="9"/>
      <x:c r="AB69" s="9"/>
      <x:c r="AC69" s="9"/>
      <x:c r="AD69" s="9"/>
      <x:c r="AE69" s="9"/>
      <x:c r="AF69" s="9"/>
      <x:c r="AG69" s="9"/>
      <x:c r="AH69" s="9"/>
      <x:c r="AI69" s="11"/>
      <x:c r="AJ69" s="9"/>
      <x:c r="AK69" s="9" t="str">
        <x:v>Eval_State_Recognition.xlsm</x:v>
      </x:c>
      <x:c r="AL69" s="9" t="str">
        <x:v>GR00T vision only Results</x:v>
      </x:c>
      <x:c r="AM69" s="9" t="n">
        <x:v>69</x:v>
      </x:c>
      <x:c r="AN69" s="9" t="n">
        <x:v>69</x:v>
      </x:c>
    </x:row>
    <x:row r="70">
      <x:c r="A70" s="9" t="str">
        <x:v>Failure</x:v>
      </x:c>
      <x:c r="B70" s="9" t="str">
        <x:v>State Recognition</x:v>
      </x:c>
      <x:c r="C70" s="10" t="n">
        <x:v>68</x:v>
      </x:c>
      <x:c r="D70" s="9" t="str">
        <x:v>Place the closed brown cup in the bowl.</x:v>
      </x:c>
      <x:c r="E70" s="9" t="str">
        <x:v>brown cup A (C, RU); brown cup B (O, RU); glass spice container A (C, RU); white cup B (O, RU)</x:v>
      </x:c>
      <x:c r="F70" s="9" t="str">
        <x:v>brown cup A</x:v>
      </x:c>
      <x:c r="G70" s="9" t="str">
        <x:v>placed open brown cup in the bowl</x:v>
      </x:c>
      <x:c r="H70" s="9" t="str">
        <x:v>Concept/compositional transfer</x:v>
      </x:c>
      <x:c r="I70" s="9" t="str">
        <x:v>SR-CT15</x:v>
      </x:c>
      <x:c r="J70" s="9" t="str">
        <x:v>Primary held-out state-object composition</x:v>
      </x:c>
      <x:c r="K70" s="9"/>
      <x:c r="L70" s="9" t="str">
        <x:v>129</x:v>
      </x:c>
      <x:c r="M70"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70" s="9" t="n">
        <x:v>3</x:v>
      </x:c>
      <x:c r="O70" s="9" t="str">
        <x:v>Build the listed same-category discrimination scene with the bowl empty.</x:v>
      </x:c>
      <x:c r="P70" s="9" t="str">
        <x:v>Two same-category candidates share the non-queried state axis; only the held-out state word identifies the target. The orthogonal orientation axis is fixed: every object is RU.</x:v>
      </x:c>
      <x:c r="Q70" s="9"/>
      <x:c r="R70" s="10" t="n">
        <x:v>4</x:v>
      </x:c>
      <x:c r="S70" s="10" t="n">
        <x:v>1</x:v>
      </x:c>
      <x:c r="T70" s="9" t="str">
        <x:v>Empty</x:v>
      </x:c>
      <x:c r="U70" s="9" t="str">
        <x:v>C</x:v>
      </x:c>
      <x:c r="V70" s="9" t="str">
        <x:v>brown cup</x:v>
      </x:c>
      <x:c r="W70" s="9"/>
      <x:c r="X70" s="10"/>
      <x:c r="Y70" s="10"/>
      <x:c r="Z70" s="9"/>
      <x:c r="AA70" s="9"/>
      <x:c r="AB70" s="9"/>
      <x:c r="AC70" s="9"/>
      <x:c r="AD70" s="9"/>
      <x:c r="AE70" s="9"/>
      <x:c r="AF70" s="9"/>
      <x:c r="AG70" s="9"/>
      <x:c r="AH70" s="9"/>
      <x:c r="AI70" s="11"/>
      <x:c r="AJ70" s="9"/>
      <x:c r="AK70" s="9" t="str">
        <x:v>Eval_State_Recognition.xlsm</x:v>
      </x:c>
      <x:c r="AL70" s="9" t="str">
        <x:v>GR00T vision only Results</x:v>
      </x:c>
      <x:c r="AM70" s="9" t="n">
        <x:v>70</x:v>
      </x:c>
      <x:c r="AN70" s="9" t="n">
        <x:v>70</x:v>
      </x:c>
    </x:row>
    <x:row r="71">
      <x:c r="A71" s="9" t="str">
        <x:v>Success</x:v>
      </x:c>
      <x:c r="B71" s="9" t="str">
        <x:v>State Recognition</x:v>
      </x:c>
      <x:c r="C71" s="10" t="n">
        <x:v>69</x:v>
      </x:c>
      <x:c r="D71" s="9" t="str">
        <x:v>Move a brown cup into the bowl.</x:v>
      </x:c>
      <x:c r="E71" s="9" t="str">
        <x:v>brown cup A (C, RU); yellow-white striped cup A (O, RU); glass spice container A (C, RU); white cup B (O, RU)</x:v>
      </x:c>
      <x:c r="F71" s="9" t="str">
        <x:v>brown cup A</x:v>
      </x:c>
      <x:c r="G71" s="9"/>
      <x:c r="H71" s="9" t="str">
        <x:v>Matched manipulation control</x:v>
      </x:c>
      <x:c r="I71" s="9" t="str">
        <x:v>SR-CT15</x:v>
      </x:c>
      <x:c r="J71" s="9" t="str">
        <x:v>One-object-substitution direct-category control</x:v>
      </x:c>
      <x:c r="K71" s="9" t="n">
        <x:v>68</x:v>
      </x:c>
      <x:c r="L71" s="9" t="n">
        <x:v>129</x:v>
      </x:c>
      <x:c r="M71" s="9" t="str">
        <x:v>Exact direct-category manipulation prompt from training episode 129. The transfer target, state, and pose are preserved; only the competing brown cup is replaced by yellow-white striped cup A. The full control scene is upright because its paired transfer instruction queries open/closed.</x:v>
      </x:c>
      <x:c r="N71" s="9" t="n">
        <x:v>3</x:v>
      </x:c>
      <x:c r="O71" s="9" t="str">
        <x:v>Reset brown cup A to its transfer pose. Replace brown cup B with yellow-white striped cup A in the same location and use the states listed in this row; preserve all other objects.</x:v>
      </x:c>
      <x:c r="P71" s="9" t="str">
        <x:v>Pure recognition/manipulation control: the prompt uniquely names the only object from the target category, while the physical target remains identical to the transfer row. Every object is RU.</x:v>
      </x:c>
      <x:c r="Q71" s="9"/>
      <x:c r="R71" s="10" t="n">
        <x:v>4</x:v>
      </x:c>
      <x:c r="S71" s="10" t="n">
        <x:v>1</x:v>
      </x:c>
      <x:c r="T71" s="9" t="str">
        <x:v>Empty</x:v>
      </x:c>
      <x:c r="U71" s="9" t="str">
        <x:v>N/A</x:v>
      </x:c>
      <x:c r="V71" s="9" t="str">
        <x:v>brown cup</x:v>
      </x:c>
      <x:c r="W71" s="9"/>
      <x:c r="X71" s="10"/>
      <x:c r="Y71" s="10"/>
      <x:c r="Z71" s="9"/>
      <x:c r="AA71" s="9"/>
      <x:c r="AB71" s="9"/>
      <x:c r="AC71" s="9"/>
      <x:c r="AD71" s="9"/>
      <x:c r="AE71" s="9"/>
      <x:c r="AF71" s="9"/>
      <x:c r="AG71" s="9"/>
      <x:c r="AH71" s="9"/>
      <x:c r="AI71" s="11"/>
      <x:c r="AJ71" s="9"/>
      <x:c r="AK71" s="9" t="str">
        <x:v>Eval_State_Recognition.xlsm</x:v>
      </x:c>
      <x:c r="AL71" s="9" t="str">
        <x:v>GR00T vision only Results</x:v>
      </x:c>
      <x:c r="AM71" s="9" t="n">
        <x:v>71</x:v>
      </x:c>
      <x:c r="AN71" s="9" t="n">
        <x:v>71</x:v>
      </x:c>
    </x:row>
    <x:row r="72">
      <x:c r="A72" s="9" t="str">
        <x:v>Success</x:v>
      </x:c>
      <x:c r="B72" s="9" t="str">
        <x:v>State Recognition</x:v>
      </x:c>
      <x:c r="C72" s="10" t="n">
        <x:v>70</x:v>
      </x:c>
      <x:c r="D72" s="9" t="str">
        <x:v>Place the upright glass spice container in the bowl.</x:v>
      </x:c>
      <x:c r="E72" s="9" t="str">
        <x:v>glass spice container B (O, RU); glass spice container A (O, UD)</x:v>
      </x:c>
      <x:c r="F72" s="9" t="str">
        <x:v>glass spice container B</x:v>
      </x:c>
      <x:c r="G72" s="9"/>
      <x:c r="H72" s="9" t="str">
        <x:v>Concept/compositional transfer</x:v>
      </x:c>
      <x:c r="I72" s="9" t="str">
        <x:v>SR-CT16</x:v>
      </x:c>
      <x:c r="J72" s="9" t="str">
        <x:v>Primary held-out state-object composition</x:v>
      </x:c>
      <x:c r="K72" s="9"/>
      <x:c r="L72" s="9" t="str">
        <x:v>157</x:v>
      </x:c>
      <x:c r="M72" s="9" t="str">
        <x:v>Physical-state and manipulation-trajectory reference under a direct category prompt; the evaluated state word × object-category cell is intentionally absent from training.</x:v>
      </x:c>
      <x:c r="N72" s="9" t="n">
        <x:v>3</x:v>
      </x:c>
      <x:c r="O72" s="9" t="str">
        <x:v>Build the listed same-category discrimination scene with the bowl empty.</x:v>
      </x:c>
      <x:c r="P72" s="9" t="str">
        <x:v>Two same-category candidates share the non-queried state axis; only the held-out state word identifies the target. The same-category candidates share the orthogonal C/O state (O).</x:v>
      </x:c>
      <x:c r="Q72" s="9"/>
      <x:c r="R72" s="10" t="n">
        <x:v>2</x:v>
      </x:c>
      <x:c r="S72" s="10" t="n">
        <x:v>1</x:v>
      </x:c>
      <x:c r="T72" s="9" t="str">
        <x:v>Empty</x:v>
      </x:c>
      <x:c r="U72" s="9" t="str">
        <x:v>RU</x:v>
      </x:c>
      <x:c r="V72" s="9" t="str">
        <x:v>glass spice container</x:v>
      </x:c>
      <x:c r="W72" s="9"/>
      <x:c r="X72" s="10"/>
      <x:c r="Y72" s="10"/>
      <x:c r="Z72" s="9"/>
      <x:c r="AA72" s="9"/>
      <x:c r="AB72" s="9"/>
      <x:c r="AC72" s="9"/>
      <x:c r="AD72" s="9"/>
      <x:c r="AE72" s="9"/>
      <x:c r="AF72" s="9"/>
      <x:c r="AG72" s="9"/>
      <x:c r="AH72" s="9"/>
      <x:c r="AI72" s="11"/>
      <x:c r="AJ72" s="9"/>
      <x:c r="AK72" s="9" t="str">
        <x:v>Eval_State_Recognition.xlsm</x:v>
      </x:c>
      <x:c r="AL72" s="9" t="str">
        <x:v>GR00T vision only Results</x:v>
      </x:c>
      <x:c r="AM72" s="9" t="n">
        <x:v>72</x:v>
      </x:c>
      <x:c r="AN72" s="9" t="n">
        <x:v>72</x:v>
      </x:c>
    </x:row>
    <x:row r="73">
      <x:c r="A73" s="9" t="str">
        <x:v>Success</x:v>
      </x:c>
      <x:c r="B73" s="9" t="str">
        <x:v>State Recognition</x:v>
      </x:c>
      <x:c r="C73" s="10" t="n">
        <x:v>71</x:v>
      </x:c>
      <x:c r="D73" s="9" t="str">
        <x:v>Place a glass spice container in the bowl.</x:v>
      </x:c>
      <x:c r="E73" s="9" t="str">
        <x:v>glass spice container B (O, RU); white cup B (O, UD)</x:v>
      </x:c>
      <x:c r="F73" s="9" t="str">
        <x:v>glass spice container B</x:v>
      </x:c>
      <x:c r="G73" s="9"/>
      <x:c r="H73" s="9" t="str">
        <x:v>Matched manipulation control</x:v>
      </x:c>
      <x:c r="I73" s="9" t="str">
        <x:v>SR-CT16</x:v>
      </x:c>
      <x:c r="J73" s="9" t="str">
        <x:v>One-object-substitution direct-category control</x:v>
      </x:c>
      <x:c r="K73" s="9" t="n">
        <x:v>70</x:v>
      </x:c>
      <x:c r="L73" s="9" t="n">
        <x:v>157</x:v>
      </x:c>
      <x:c r="M73" s="9" t="str">
        <x:v>Exact direct-category manipulation prompt from training episode 157. The transfer target, state, and pose are preserved; only the competing glass spice container is replaced by white cup B.</x:v>
      </x:c>
      <x:c r="N73" s="9" t="n">
        <x:v>3</x:v>
      </x:c>
      <x:c r="O73" s="9" t="str">
        <x:v>Reset glass spice container B to its transfer pose. Replace glass spice container A with white cup B in the same location and use the states listed in this row; preserve all other objects.</x:v>
      </x:c>
      <x:c r="P73" s="9" t="str">
        <x:v>Pure recognition/manipulation control: the prompt uniquely names the only object from the target category, while the physical target remains identical to the transfer row.</x:v>
      </x:c>
      <x:c r="Q73" s="9"/>
      <x:c r="R73" s="10" t="n">
        <x:v>2</x:v>
      </x:c>
      <x:c r="S73" s="10" t="n">
        <x:v>1</x:v>
      </x:c>
      <x:c r="T73" s="9" t="str">
        <x:v>Empty</x:v>
      </x:c>
      <x:c r="U73" s="9" t="str">
        <x:v>N/A</x:v>
      </x:c>
      <x:c r="V73" s="9" t="str">
        <x:v>glass spice container</x:v>
      </x:c>
      <x:c r="W73" s="9"/>
      <x:c r="X73" s="10"/>
      <x:c r="Y73" s="10"/>
      <x:c r="Z73" s="9"/>
      <x:c r="AA73" s="9"/>
      <x:c r="AB73" s="9"/>
      <x:c r="AC73" s="9"/>
      <x:c r="AD73" s="9"/>
      <x:c r="AE73" s="9"/>
      <x:c r="AF73" s="9"/>
      <x:c r="AG73" s="9"/>
      <x:c r="AH73" s="9"/>
      <x:c r="AI73" s="11"/>
      <x:c r="AJ73" s="9"/>
      <x:c r="AK73" s="9" t="str">
        <x:v>Eval_State_Recognition.xlsm</x:v>
      </x:c>
      <x:c r="AL73" s="9" t="str">
        <x:v>GR00T vision only Results</x:v>
      </x:c>
      <x:c r="AM73" s="9" t="n">
        <x:v>73</x:v>
      </x:c>
      <x:c r="AN73" s="9" t="n">
        <x:v>73</x:v>
      </x:c>
    </x:row>
    <x:row r="74">
      <x:c r="A74" s="9" t="str">
        <x:v>Failure</x:v>
      </x:c>
      <x:c r="B74" s="9" t="str">
        <x:v>State Recognition</x:v>
      </x:c>
      <x:c r="C74" s="10" t="n">
        <x:v>72</x:v>
      </x:c>
      <x:c r="D74" s="9" t="str">
        <x:v>Place the upside-down white cup in the bowl.</x:v>
      </x:c>
      <x:c r="E74" s="9" t="str">
        <x:v>white cup A (C, UD); white cup B (C, RU); brown cup A (C, RU)</x:v>
      </x:c>
      <x:c r="F74" s="9" t="str">
        <x:v>white cup A</x:v>
      </x:c>
      <x:c r="G74" s="9" t="str">
        <x:v>picked upright</x:v>
      </x:c>
      <x:c r="H74" s="9" t="str">
        <x:v>Concept/compositional transfer</x:v>
      </x:c>
      <x:c r="I74" s="9" t="str">
        <x:v>SR-CT17</x:v>
      </x:c>
      <x:c r="J74" s="9" t="str">
        <x:v>Primary held-out state-object composition</x:v>
      </x:c>
      <x:c r="K74" s="9"/>
      <x:c r="L74" s="9" t="str">
        <x:v>35</x:v>
      </x:c>
      <x:c r="M74" s="9" t="str">
        <x:v>Physical-state and manipulation-trajectory reference under a direct category prompt; the evaluated state word × object-category cell is intentionally absent from training.</x:v>
      </x:c>
      <x:c r="N74" s="9" t="n">
        <x:v>3</x:v>
      </x:c>
      <x:c r="O74" s="9" t="str">
        <x:v>Build the listed same-category discrimination scene with the bowl empty.</x:v>
      </x:c>
      <x:c r="P74" s="9" t="str">
        <x:v>Two same-category candidates share the non-queried state axis; only the held-out state word identifies the target. The same-category candidates share the orthogonal C/O state (C).</x:v>
      </x:c>
      <x:c r="Q74" s="9"/>
      <x:c r="R74" s="10" t="n">
        <x:v>3</x:v>
      </x:c>
      <x:c r="S74" s="10" t="n">
        <x:v>1</x:v>
      </x:c>
      <x:c r="T74" s="9" t="str">
        <x:v>Empty</x:v>
      </x:c>
      <x:c r="U74" s="9" t="str">
        <x:v>UD</x:v>
      </x:c>
      <x:c r="V74" s="9" t="str">
        <x:v>white cup</x:v>
      </x:c>
      <x:c r="W74" s="9"/>
      <x:c r="X74" s="10"/>
      <x:c r="Y74" s="10"/>
      <x:c r="Z74" s="9"/>
      <x:c r="AA74" s="9"/>
      <x:c r="AB74" s="9"/>
      <x:c r="AC74" s="9"/>
      <x:c r="AD74" s="9"/>
      <x:c r="AE74" s="9"/>
      <x:c r="AF74" s="9"/>
      <x:c r="AG74" s="9"/>
      <x:c r="AH74" s="9"/>
      <x:c r="AI74" s="11"/>
      <x:c r="AJ74" s="9"/>
      <x:c r="AK74" s="9" t="str">
        <x:v>Eval_State_Recognition.xlsm</x:v>
      </x:c>
      <x:c r="AL74" s="9" t="str">
        <x:v>GR00T vision only Results</x:v>
      </x:c>
      <x:c r="AM74" s="9" t="n">
        <x:v>74</x:v>
      </x:c>
      <x:c r="AN74" s="9" t="n">
        <x:v>74</x:v>
      </x:c>
    </x:row>
    <x:row r="75">
      <x:c r="A75" s="9" t="str">
        <x:v>Success</x:v>
      </x:c>
      <x:c r="B75" s="9" t="str">
        <x:v>State Recognition</x:v>
      </x:c>
      <x:c r="C75" s="10" t="n">
        <x:v>73</x:v>
      </x:c>
      <x:c r="D75" s="9" t="str">
        <x:v>Put a white cup in the bowl.</x:v>
      </x:c>
      <x:c r="E75" s="9" t="str">
        <x:v>white cup A (C, UD); yellow-white striped cup A (C, RU); brown cup A (C, RU)</x:v>
      </x:c>
      <x:c r="F75" s="9" t="str">
        <x:v>white cup A</x:v>
      </x:c>
      <x:c r="G75" s="9"/>
      <x:c r="H75" s="9" t="str">
        <x:v>Matched manipulation control</x:v>
      </x:c>
      <x:c r="I75" s="9" t="str">
        <x:v>SR-CT17</x:v>
      </x:c>
      <x:c r="J75" s="9" t="str">
        <x:v>One-object-substitution direct-category control</x:v>
      </x:c>
      <x:c r="K75" s="9" t="n">
        <x:v>72</x:v>
      </x:c>
      <x:c r="L75" s="9" t="n">
        <x:v>35</x:v>
      </x:c>
      <x:c r="M75" s="9" t="str">
        <x:v>Exact direct-category manipulation prompt from training episode 35. The transfer target, state, and pose are preserved; only the competing white cup is replaced by yellow-white striped cup A.</x:v>
      </x:c>
      <x:c r="N75" s="9" t="n">
        <x:v>3</x:v>
      </x:c>
      <x:c r="O75" s="9" t="str">
        <x:v>Reset white cup A to its transfer pose. Replace white cup B with yellow-white striped cup A in the same location and use the states listed in this row; preserve all other objects.</x:v>
      </x:c>
      <x:c r="P75" s="9" t="str">
        <x:v>Pure recognition/manipulation control: the prompt uniquely names the only object from the target category, while the physical target remains identical to the transfer row.</x:v>
      </x:c>
      <x:c r="Q75" s="9"/>
      <x:c r="R75" s="10" t="n">
        <x:v>3</x:v>
      </x:c>
      <x:c r="S75" s="10" t="n">
        <x:v>1</x:v>
      </x:c>
      <x:c r="T75" s="9" t="str">
        <x:v>Empty</x:v>
      </x:c>
      <x:c r="U75" s="9" t="str">
        <x:v>N/A</x:v>
      </x:c>
      <x:c r="V75" s="9" t="str">
        <x:v>white cup</x:v>
      </x:c>
      <x:c r="W75" s="9"/>
      <x:c r="X75" s="10"/>
      <x:c r="Y75" s="10"/>
      <x:c r="Z75" s="9"/>
      <x:c r="AA75" s="9"/>
      <x:c r="AB75" s="9"/>
      <x:c r="AC75" s="9"/>
      <x:c r="AD75" s="9"/>
      <x:c r="AE75" s="9"/>
      <x:c r="AF75" s="9"/>
      <x:c r="AG75" s="9"/>
      <x:c r="AH75" s="9"/>
      <x:c r="AI75" s="11"/>
      <x:c r="AJ75" s="9"/>
      <x:c r="AK75" s="9" t="str">
        <x:v>Eval_State_Recognition.xlsm</x:v>
      </x:c>
      <x:c r="AL75" s="9" t="str">
        <x:v>GR00T vision only Results</x:v>
      </x:c>
      <x:c r="AM75" s="9" t="n">
        <x:v>75</x:v>
      </x:c>
      <x:c r="AN75" s="9" t="n">
        <x:v>75</x:v>
      </x:c>
    </x:row>
    <x:row r="76">
      <x:c r="A76" s="9" t="str">
        <x:v>Success</x:v>
      </x:c>
      <x:c r="B76" s="9" t="str">
        <x:v>State Recognition</x:v>
      </x:c>
      <x:c r="C76" s="10" t="n">
        <x:v>74</x:v>
      </x:c>
      <x:c r="D76" s="9" t="str">
        <x:v>Place the open yellow-white striped cup in the bowl.</x:v>
      </x:c>
      <x:c r="E76" s="9" t="str">
        <x:v>yellow-white striped cup B (O, RU); yellow-white striped cup A (C, RU); glass spice container B (O, RU); white cup A (C, RU)</x:v>
      </x:c>
      <x:c r="F76" s="9" t="str">
        <x:v>yellow-white striped cup B</x:v>
      </x:c>
      <x:c r="G76" s="9"/>
      <x:c r="H76" s="9" t="str">
        <x:v>Concept/compositional transfer</x:v>
      </x:c>
      <x:c r="I76" s="9" t="str">
        <x:v>SR-CT18</x:v>
      </x:c>
      <x:c r="J76" s="9" t="str">
        <x:v>Primary held-out state-object composition</x:v>
      </x:c>
      <x:c r="K76" s="9"/>
      <x:c r="L76" s="9" t="str">
        <x:v>72</x:v>
      </x:c>
      <x:c r="M76"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76" s="9" t="n">
        <x:v>3</x:v>
      </x:c>
      <x:c r="O76" s="9" t="str">
        <x:v>Build the listed same-category discrimination scene with the bowl empty.</x:v>
      </x:c>
      <x:c r="P76" s="9" t="str">
        <x:v>Two same-category candidates share the non-queried state axis; only the held-out state word identifies the target. The orthogonal orientation axis is fixed: every object is RU.</x:v>
      </x:c>
      <x:c r="Q76" s="9"/>
      <x:c r="R76" s="10" t="n">
        <x:v>4</x:v>
      </x:c>
      <x:c r="S76" s="10" t="n">
        <x:v>1</x:v>
      </x:c>
      <x:c r="T76" s="9" t="str">
        <x:v>Empty</x:v>
      </x:c>
      <x:c r="U76" s="9" t="str">
        <x:v>O</x:v>
      </x:c>
      <x:c r="V76" s="9" t="str">
        <x:v>yellow-white striped cup</x:v>
      </x:c>
      <x:c r="W76" s="9"/>
      <x:c r="X76" s="10"/>
      <x:c r="Y76" s="10"/>
      <x:c r="Z76" s="9"/>
      <x:c r="AA76" s="9"/>
      <x:c r="AB76" s="9"/>
      <x:c r="AC76" s="9"/>
      <x:c r="AD76" s="9"/>
      <x:c r="AE76" s="9"/>
      <x:c r="AF76" s="9"/>
      <x:c r="AG76" s="9"/>
      <x:c r="AH76" s="9"/>
      <x:c r="AI76" s="11"/>
      <x:c r="AJ76" s="9"/>
      <x:c r="AK76" s="9" t="str">
        <x:v>Eval_State_Recognition.xlsm</x:v>
      </x:c>
      <x:c r="AL76" s="9" t="str">
        <x:v>GR00T vision only Results</x:v>
      </x:c>
      <x:c r="AM76" s="9" t="n">
        <x:v>76</x:v>
      </x:c>
      <x:c r="AN76" s="9" t="n">
        <x:v>76</x:v>
      </x:c>
    </x:row>
    <x:row r="77">
      <x:c r="A77" s="9" t="str">
        <x:v>Success</x:v>
      </x:c>
      <x:c r="B77" s="9" t="str">
        <x:v>State Recognition</x:v>
      </x:c>
      <x:c r="C77" s="10" t="n">
        <x:v>75</x:v>
      </x:c>
      <x:c r="D77" s="9" t="str">
        <x:v>Move a yellow-white striped cup into the bowl.</x:v>
      </x:c>
      <x:c r="E77" s="9" t="str">
        <x:v>yellow-white striped cup B (O, RU); brown cup B (C, RU); glass spice container B (O, RU); white cup A (C, RU)</x:v>
      </x:c>
      <x:c r="F77" s="9" t="str">
        <x:v>yellow-white striped cup B</x:v>
      </x:c>
      <x:c r="G77" s="9"/>
      <x:c r="H77" s="9" t="str">
        <x:v>Matched manipulation control</x:v>
      </x:c>
      <x:c r="I77" s="9" t="str">
        <x:v>SR-CT18</x:v>
      </x:c>
      <x:c r="J77" s="9" t="str">
        <x:v>One-object-substitution direct-category control</x:v>
      </x:c>
      <x:c r="K77" s="9" t="n">
        <x:v>74</x:v>
      </x:c>
      <x:c r="L77" s="9" t="n">
        <x:v>72</x:v>
      </x:c>
      <x:c r="M77" s="9" t="str">
        <x:v>Exact direct-category manipulation prompt from training episode 72. The transfer target, state, and pose are preserved; only the competing yellow-white striped cup is replaced by brown cup B. The full control scene is upright because its paired transfer instruction queries open/closed.</x:v>
      </x:c>
      <x:c r="N77" s="9" t="n">
        <x:v>3</x:v>
      </x:c>
      <x:c r="O77" s="9" t="str">
        <x:v>Reset yellow-white striped cup B to its transfer pose. Replace yellow-white striped cup A with brown cup B in the same location and use the states listed in this row; preserve all other objects.</x:v>
      </x:c>
      <x:c r="P77" s="9" t="str">
        <x:v>Pure recognition/manipulation control: the prompt uniquely names the only object from the target category, while the physical target remains identical to the transfer row. Every object is RU.</x:v>
      </x:c>
      <x:c r="Q77" s="9"/>
      <x:c r="R77" s="10" t="n">
        <x:v>4</x:v>
      </x:c>
      <x:c r="S77" s="10" t="n">
        <x:v>1</x:v>
      </x:c>
      <x:c r="T77" s="9" t="str">
        <x:v>Empty</x:v>
      </x:c>
      <x:c r="U77" s="9" t="str">
        <x:v>N/A</x:v>
      </x:c>
      <x:c r="V77" s="9" t="str">
        <x:v>yellow-white striped cup</x:v>
      </x:c>
      <x:c r="W77" s="9"/>
      <x:c r="X77" s="10"/>
      <x:c r="Y77" s="10"/>
      <x:c r="Z77" s="9"/>
      <x:c r="AA77" s="9"/>
      <x:c r="AB77" s="9"/>
      <x:c r="AC77" s="9"/>
      <x:c r="AD77" s="9"/>
      <x:c r="AE77" s="9"/>
      <x:c r="AF77" s="9"/>
      <x:c r="AG77" s="9"/>
      <x:c r="AH77" s="9"/>
      <x:c r="AI77" s="11"/>
      <x:c r="AJ77" s="9"/>
      <x:c r="AK77" s="9" t="str">
        <x:v>Eval_State_Recognition.xlsm</x:v>
      </x:c>
      <x:c r="AL77" s="9" t="str">
        <x:v>GR00T vision only Results</x:v>
      </x:c>
      <x:c r="AM77" s="9" t="n">
        <x:v>77</x:v>
      </x:c>
      <x:c r="AN77" s="9" t="n">
        <x:v>77</x:v>
      </x:c>
    </x:row>
    <x:row r="78">
      <x:c r="A78" s="9" t="str">
        <x:v>Failure</x:v>
      </x:c>
      <x:c r="B78" s="9" t="str">
        <x:v>State Recognition</x:v>
      </x:c>
      <x:c r="C78" s="10" t="n">
        <x:v>76</x:v>
      </x:c>
      <x:c r="D78" s="9" t="str">
        <x:v>Place the closed brown cup in the bowl.</x:v>
      </x:c>
      <x:c r="E78" s="9" t="str">
        <x:v>brown cup A (C, RU); brown cup B (O, RU)</x:v>
      </x:c>
      <x:c r="F78" s="9" t="str">
        <x:v>brown cup A</x:v>
      </x:c>
      <x:c r="G78" s="9" t="str">
        <x:v>picked open brown cup</x:v>
      </x:c>
      <x:c r="H78" s="9" t="str">
        <x:v>Concept/compositional transfer</x:v>
      </x:c>
      <x:c r="I78" s="9" t="str">
        <x:v>SR-CT19</x:v>
      </x:c>
      <x:c r="J78" s="9" t="str">
        <x:v>Primary held-out state-object composition</x:v>
      </x:c>
      <x:c r="K78" s="9"/>
      <x:c r="L78" s="9" t="str">
        <x:v>105</x:v>
      </x:c>
      <x:c r="M78"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78" s="9" t="n">
        <x:v>3</x:v>
      </x:c>
      <x:c r="O78" s="9" t="str">
        <x:v>Build the listed same-category discrimination scene with the bowl empty.</x:v>
      </x:c>
      <x:c r="P78" s="9" t="str">
        <x:v>Two same-category candidates share the non-queried state axis; only the held-out state word identifies the target. The orthogonal orientation axis is fixed: every object is RU.</x:v>
      </x:c>
      <x:c r="Q78" s="9"/>
      <x:c r="R78" s="10" t="n">
        <x:v>2</x:v>
      </x:c>
      <x:c r="S78" s="10" t="n">
        <x:v>1</x:v>
      </x:c>
      <x:c r="T78" s="9" t="str">
        <x:v>Empty</x:v>
      </x:c>
      <x:c r="U78" s="9" t="str">
        <x:v>C</x:v>
      </x:c>
      <x:c r="V78" s="9" t="str">
        <x:v>brown cup</x:v>
      </x:c>
      <x:c r="W78" s="9"/>
      <x:c r="X78" s="10"/>
      <x:c r="Y78" s="10"/>
      <x:c r="Z78" s="9"/>
      <x:c r="AA78" s="9"/>
      <x:c r="AB78" s="9"/>
      <x:c r="AC78" s="9"/>
      <x:c r="AD78" s="9"/>
      <x:c r="AE78" s="9"/>
      <x:c r="AF78" s="9"/>
      <x:c r="AG78" s="9"/>
      <x:c r="AH78" s="9"/>
      <x:c r="AI78" s="11"/>
      <x:c r="AJ78" s="9"/>
      <x:c r="AK78" s="9" t="str">
        <x:v>Eval_State_Recognition.xlsm</x:v>
      </x:c>
      <x:c r="AL78" s="9" t="str">
        <x:v>GR00T vision only Results</x:v>
      </x:c>
      <x:c r="AM78" s="9" t="n">
        <x:v>78</x:v>
      </x:c>
      <x:c r="AN78" s="9" t="n">
        <x:v>78</x:v>
      </x:c>
    </x:row>
    <x:row r="79">
      <x:c r="A79" s="9" t="str">
        <x:v>Success</x:v>
      </x:c>
      <x:c r="B79" s="9" t="str">
        <x:v>State Recognition</x:v>
      </x:c>
      <x:c r="C79" s="10" t="n">
        <x:v>77</x:v>
      </x:c>
      <x:c r="D79" s="9" t="str">
        <x:v>Move a brown cup into the bowl.</x:v>
      </x:c>
      <x:c r="E79" s="9" t="str">
        <x:v>brown cup A (C, RU); white cup A (O, RU)</x:v>
      </x:c>
      <x:c r="F79" s="9" t="str">
        <x:v>brown cup A</x:v>
      </x:c>
      <x:c r="G79" s="9"/>
      <x:c r="H79" s="9" t="str">
        <x:v>Matched manipulation control</x:v>
      </x:c>
      <x:c r="I79" s="9" t="str">
        <x:v>SR-CT19</x:v>
      </x:c>
      <x:c r="J79" s="9" t="str">
        <x:v>One-object-substitution direct-category control</x:v>
      </x:c>
      <x:c r="K79" s="9" t="n">
        <x:v>76</x:v>
      </x:c>
      <x:c r="L79" s="9" t="n">
        <x:v>105</x:v>
      </x:c>
      <x:c r="M79" s="9" t="str">
        <x:v>Exact direct-category manipulation prompt from training episode 105. The transfer target, state, and pose are preserved; only the competing brown cup is replaced by white cup A. The full control scene is upright because its paired transfer instruction queries open/closed.</x:v>
      </x:c>
      <x:c r="N79" s="9" t="n">
        <x:v>3</x:v>
      </x:c>
      <x:c r="O79" s="9" t="str">
        <x:v>Reset brown cup A to its transfer pose. Replace brown cup B with white cup A in the same location and use the states listed in this row; preserve all other objects.</x:v>
      </x:c>
      <x:c r="P79" s="9" t="str">
        <x:v>Pure recognition/manipulation control: the prompt uniquely names the only object from the target category, while the physical target remains identical to the transfer row. Every object is RU.</x:v>
      </x:c>
      <x:c r="Q79" s="9"/>
      <x:c r="R79" s="10" t="n">
        <x:v>2</x:v>
      </x:c>
      <x:c r="S79" s="10" t="n">
        <x:v>1</x:v>
      </x:c>
      <x:c r="T79" s="9" t="str">
        <x:v>Empty</x:v>
      </x:c>
      <x:c r="U79" s="9" t="str">
        <x:v>N/A</x:v>
      </x:c>
      <x:c r="V79" s="9" t="str">
        <x:v>brown cup</x:v>
      </x:c>
      <x:c r="W79" s="9"/>
      <x:c r="X79" s="10"/>
      <x:c r="Y79" s="10"/>
      <x:c r="Z79" s="9"/>
      <x:c r="AA79" s="9"/>
      <x:c r="AB79" s="9"/>
      <x:c r="AC79" s="9"/>
      <x:c r="AD79" s="9"/>
      <x:c r="AE79" s="9"/>
      <x:c r="AF79" s="9"/>
      <x:c r="AG79" s="9"/>
      <x:c r="AH79" s="9"/>
      <x:c r="AI79" s="11"/>
      <x:c r="AJ79" s="9"/>
      <x:c r="AK79" s="9" t="str">
        <x:v>Eval_State_Recognition.xlsm</x:v>
      </x:c>
      <x:c r="AL79" s="9" t="str">
        <x:v>GR00T vision only Results</x:v>
      </x:c>
      <x:c r="AM79" s="9" t="n">
        <x:v>79</x:v>
      </x:c>
      <x:c r="AN79" s="9" t="n">
        <x:v>79</x:v>
      </x:c>
    </x:row>
    <x:row r="80">
      <x:c r="A80" s="9" t="str">
        <x:v>Failure</x:v>
      </x:c>
      <x:c r="B80" s="9" t="str">
        <x:v>State Recognition</x:v>
      </x:c>
      <x:c r="C80" s="10" t="n">
        <x:v>78</x:v>
      </x:c>
      <x:c r="D80" s="9" t="str">
        <x:v>Place the upright glass spice container in the bowl.</x:v>
      </x:c>
      <x:c r="E80" s="9" t="str">
        <x:v>glass spice container B (C, RU); glass spice container A (C, UD); yellow-white striped cup B (O, UD)</x:v>
      </x:c>
      <x:c r="F80" s="9" t="str">
        <x:v>glass spice container B</x:v>
      </x:c>
      <x:c r="G80" s="9" t="str">
        <x:v>picked upside down spice container</x:v>
      </x:c>
      <x:c r="H80" s="9" t="str">
        <x:v>Concept/compositional transfer</x:v>
      </x:c>
      <x:c r="I80" s="9" t="str">
        <x:v>SR-CT20</x:v>
      </x:c>
      <x:c r="J80" s="9" t="str">
        <x:v>Primary held-out state-object composition</x:v>
      </x:c>
      <x:c r="K80" s="9"/>
      <x:c r="L80" s="9" t="str">
        <x:v>179</x:v>
      </x:c>
      <x:c r="M80" s="9" t="str">
        <x:v>Physical-state and manipulation-trajectory reference under a direct category prompt; the evaluated state word × object-category cell is intentionally absent from training.</x:v>
      </x:c>
      <x:c r="N80" s="9" t="n">
        <x:v>3</x:v>
      </x:c>
      <x:c r="O80" s="9" t="str">
        <x:v>Build the listed same-category discrimination scene with the bowl empty.</x:v>
      </x:c>
      <x:c r="P80" s="9" t="str">
        <x:v>Two same-category candidates share the non-queried state axis; only the held-out state word identifies the target. The same-category candidates share the orthogonal C/O state (C).</x:v>
      </x:c>
      <x:c r="Q80" s="9"/>
      <x:c r="R80" s="10" t="n">
        <x:v>3</x:v>
      </x:c>
      <x:c r="S80" s="10" t="n">
        <x:v>1</x:v>
      </x:c>
      <x:c r="T80" s="9" t="str">
        <x:v>Empty</x:v>
      </x:c>
      <x:c r="U80" s="9" t="str">
        <x:v>RU</x:v>
      </x:c>
      <x:c r="V80" s="9" t="str">
        <x:v>glass spice container</x:v>
      </x:c>
      <x:c r="W80" s="9"/>
      <x:c r="X80" s="10"/>
      <x:c r="Y80" s="10"/>
      <x:c r="Z80" s="9"/>
      <x:c r="AA80" s="9"/>
      <x:c r="AB80" s="9"/>
      <x:c r="AC80" s="9"/>
      <x:c r="AD80" s="9"/>
      <x:c r="AE80" s="9"/>
      <x:c r="AF80" s="9"/>
      <x:c r="AG80" s="9"/>
      <x:c r="AH80" s="9"/>
      <x:c r="AI80" s="11"/>
      <x:c r="AJ80" s="9"/>
      <x:c r="AK80" s="9" t="str">
        <x:v>Eval_State_Recognition.xlsm</x:v>
      </x:c>
      <x:c r="AL80" s="9" t="str">
        <x:v>GR00T vision only Results</x:v>
      </x:c>
      <x:c r="AM80" s="9" t="n">
        <x:v>80</x:v>
      </x:c>
      <x:c r="AN80" s="9" t="n">
        <x:v>80</x:v>
      </x:c>
    </x:row>
    <x:row r="81">
      <x:c r="A81" s="9" t="str">
        <x:v>Success</x:v>
      </x:c>
      <x:c r="B81" s="9" t="str">
        <x:v>State Recognition</x:v>
      </x:c>
      <x:c r="C81" s="10" t="n">
        <x:v>79</x:v>
      </x:c>
      <x:c r="D81" s="9" t="str">
        <x:v>Put a glass spice container in the bowl.</x:v>
      </x:c>
      <x:c r="E81" s="9" t="str">
        <x:v>glass spice container B (C, RU); brown cup B (C, UD); yellow-white striped cup B (O, UD)</x:v>
      </x:c>
      <x:c r="F81" s="9" t="str">
        <x:v>glass spice container B</x:v>
      </x:c>
      <x:c r="G81" s="9"/>
      <x:c r="H81" s="9" t="str">
        <x:v>Matched manipulation control</x:v>
      </x:c>
      <x:c r="I81" s="9" t="str">
        <x:v>SR-CT20</x:v>
      </x:c>
      <x:c r="J81" s="9" t="str">
        <x:v>One-object-substitution direct-category control</x:v>
      </x:c>
      <x:c r="K81" s="9" t="n">
        <x:v>78</x:v>
      </x:c>
      <x:c r="L81" s="9" t="n">
        <x:v>179</x:v>
      </x:c>
      <x:c r="M81" s="9" t="str">
        <x:v>Exact direct-category manipulation prompt from training episode 179. The transfer target, state, and pose are preserved; only the competing glass spice container is replaced by brown cup B.</x:v>
      </x:c>
      <x:c r="N81" s="9" t="n">
        <x:v>3</x:v>
      </x:c>
      <x:c r="O81" s="9" t="str">
        <x:v>Reset glass spice container B to its transfer pose. Replace glass spice container A with brown cup B in the same location and use the states listed in this row; preserve all other objects.</x:v>
      </x:c>
      <x:c r="P81" s="9" t="str">
        <x:v>Pure recognition/manipulation control: the prompt uniquely names the only object from the target category, while the physical target remains identical to the transfer row.</x:v>
      </x:c>
      <x:c r="Q81" s="9"/>
      <x:c r="R81" s="10" t="n">
        <x:v>3</x:v>
      </x:c>
      <x:c r="S81" s="10" t="n">
        <x:v>1</x:v>
      </x:c>
      <x:c r="T81" s="9" t="str">
        <x:v>Empty</x:v>
      </x:c>
      <x:c r="U81" s="9" t="str">
        <x:v>N/A</x:v>
      </x:c>
      <x:c r="V81" s="9" t="str">
        <x:v>glass spice container</x:v>
      </x:c>
      <x:c r="W81" s="9"/>
      <x:c r="X81" s="10"/>
      <x:c r="Y81" s="10"/>
      <x:c r="Z81" s="9"/>
      <x:c r="AA81" s="9"/>
      <x:c r="AB81" s="9"/>
      <x:c r="AC81" s="9"/>
      <x:c r="AD81" s="9"/>
      <x:c r="AE81" s="9"/>
      <x:c r="AF81" s="9"/>
      <x:c r="AG81" s="9"/>
      <x:c r="AH81" s="9"/>
      <x:c r="AI81" s="11"/>
      <x:c r="AJ81" s="9"/>
      <x:c r="AK81" s="9" t="str">
        <x:v>Eval_State_Recognition.xlsm</x:v>
      </x:c>
      <x:c r="AL81" s="9" t="str">
        <x:v>GR00T vision only Results</x:v>
      </x:c>
      <x:c r="AM81" s="9" t="n">
        <x:v>81</x:v>
      </x:c>
      <x:c r="AN81" s="9" t="n">
        <x:v>81</x:v>
      </x:c>
    </x:row>
    <x:row r="82">
      <x:c r="A82" s="9" t="str">
        <x:v>Success</x:v>
      </x:c>
      <x:c r="B82" s="9" t="str">
        <x:v>State Recognition</x:v>
      </x:c>
      <x:c r="C82" s="10" t="n">
        <x:v>80</x:v>
      </x:c>
      <x:c r="D82" s="9" t="str">
        <x:v>Place the upside-down white cup in the bowl.</x:v>
      </x:c>
      <x:c r="E82" s="9" t="str">
        <x:v>white cup A (O, UD); white cup B (O, RU); glass spice container A (C, RU); yellow-white striped cup B (O, RU)</x:v>
      </x:c>
      <x:c r="F82" s="9" t="str">
        <x:v>white cup A</x:v>
      </x:c>
      <x:c r="G82" s="9"/>
      <x:c r="H82" s="9" t="str">
        <x:v>Concept/compositional transfer</x:v>
      </x:c>
      <x:c r="I82" s="9" t="str">
        <x:v>SR-CT21</x:v>
      </x:c>
      <x:c r="J82" s="9" t="str">
        <x:v>Primary held-out state-object composition</x:v>
      </x:c>
      <x:c r="K82" s="9"/>
      <x:c r="L82" s="9" t="str">
        <x:v>34</x:v>
      </x:c>
      <x:c r="M82" s="9" t="str">
        <x:v>Physical-state and manipulation-trajectory reference under a direct category prompt; the evaluated state word × object-category cell is intentionally absent from training.</x:v>
      </x:c>
      <x:c r="N82" s="9" t="n">
        <x:v>4</x:v>
      </x:c>
      <x:c r="O82" s="9" t="str">
        <x:v>Build the listed same-category discrimination scene with the bowl empty.</x:v>
      </x:c>
      <x:c r="P82" s="9" t="str">
        <x:v>Two same-category candidates share the non-queried state axis; only the held-out state word identifies the target. The same-category candidates share the orthogonal C/O state (O).</x:v>
      </x:c>
      <x:c r="Q82" s="9"/>
      <x:c r="R82" s="10" t="n">
        <x:v>4</x:v>
      </x:c>
      <x:c r="S82" s="10" t="n">
        <x:v>1</x:v>
      </x:c>
      <x:c r="T82" s="9" t="str">
        <x:v>Empty</x:v>
      </x:c>
      <x:c r="U82" s="9" t="str">
        <x:v>UD</x:v>
      </x:c>
      <x:c r="V82" s="9" t="str">
        <x:v>white cup</x:v>
      </x:c>
      <x:c r="W82" s="9"/>
      <x:c r="X82" s="10"/>
      <x:c r="Y82" s="10"/>
      <x:c r="Z82" s="9"/>
      <x:c r="AA82" s="9"/>
      <x:c r="AB82" s="9"/>
      <x:c r="AC82" s="9"/>
      <x:c r="AD82" s="9"/>
      <x:c r="AE82" s="9"/>
      <x:c r="AF82" s="9"/>
      <x:c r="AG82" s="9"/>
      <x:c r="AH82" s="9"/>
      <x:c r="AI82" s="11"/>
      <x:c r="AJ82" s="9"/>
      <x:c r="AK82" s="9" t="str">
        <x:v>Eval_State_Recognition.xlsm</x:v>
      </x:c>
      <x:c r="AL82" s="9" t="str">
        <x:v>GR00T vision only Results</x:v>
      </x:c>
      <x:c r="AM82" s="9" t="n">
        <x:v>82</x:v>
      </x:c>
      <x:c r="AN82" s="9" t="n">
        <x:v>82</x:v>
      </x:c>
    </x:row>
    <x:row r="83">
      <x:c r="A83" s="9" t="str">
        <x:v>Success</x:v>
      </x:c>
      <x:c r="B83" s="9" t="str">
        <x:v>State Recognition</x:v>
      </x:c>
      <x:c r="C83" s="10" t="n">
        <x:v>81</x:v>
      </x:c>
      <x:c r="D83" s="9" t="str">
        <x:v>Place the open yellow-white striped cup in the bowl.</x:v>
      </x:c>
      <x:c r="E83" s="9" t="str">
        <x:v>yellow-white striped cup B (O, RU); yellow-white striped cup A (C, RU)</x:v>
      </x:c>
      <x:c r="F83" s="9" t="str">
        <x:v>yellow-white striped cup B</x:v>
      </x:c>
      <x:c r="G83" s="9"/>
      <x:c r="H83" s="9" t="str">
        <x:v>Concept/compositional transfer</x:v>
      </x:c>
      <x:c r="I83" s="9" t="str">
        <x:v>SR-CT22</x:v>
      </x:c>
      <x:c r="J83" s="9" t="str">
        <x:v>Primary held-out state-object composition</x:v>
      </x:c>
      <x:c r="K83" s="9"/>
      <x:c r="L83" s="9" t="str">
        <x:v>53</x:v>
      </x:c>
      <x:c r="M83"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83" s="9" t="n">
        <x:v>4</x:v>
      </x:c>
      <x:c r="O83" s="9" t="str">
        <x:v>Build the listed same-category discrimination scene with the bowl empty.</x:v>
      </x:c>
      <x:c r="P83" s="9" t="str">
        <x:v>Two same-category candidates share the non-queried state axis; only the held-out state word identifies the target. The orthogonal orientation axis is fixed: every object is RU.</x:v>
      </x:c>
      <x:c r="Q83" s="9"/>
      <x:c r="R83" s="10" t="n">
        <x:v>2</x:v>
      </x:c>
      <x:c r="S83" s="10" t="n">
        <x:v>1</x:v>
      </x:c>
      <x:c r="T83" s="9" t="str">
        <x:v>Empty</x:v>
      </x:c>
      <x:c r="U83" s="9" t="str">
        <x:v>O</x:v>
      </x:c>
      <x:c r="V83" s="9" t="str">
        <x:v>yellow-white striped cup</x:v>
      </x:c>
      <x:c r="W83" s="9"/>
      <x:c r="X83" s="10"/>
      <x:c r="Y83" s="10"/>
      <x:c r="Z83" s="9"/>
      <x:c r="AA83" s="9"/>
      <x:c r="AB83" s="9"/>
      <x:c r="AC83" s="9"/>
      <x:c r="AD83" s="9"/>
      <x:c r="AE83" s="9"/>
      <x:c r="AF83" s="9"/>
      <x:c r="AG83" s="9"/>
      <x:c r="AH83" s="9"/>
      <x:c r="AI83" s="11"/>
      <x:c r="AJ83" s="9"/>
      <x:c r="AK83" s="9" t="str">
        <x:v>Eval_State_Recognition.xlsm</x:v>
      </x:c>
      <x:c r="AL83" s="9" t="str">
        <x:v>GR00T vision only Results</x:v>
      </x:c>
      <x:c r="AM83" s="9" t="n">
        <x:v>83</x:v>
      </x:c>
      <x:c r="AN83" s="9" t="n">
        <x:v>83</x:v>
      </x:c>
    </x:row>
    <x:row r="84">
      <x:c r="A84" s="9" t="str">
        <x:v>Failure</x:v>
      </x:c>
      <x:c r="B84" s="9" t="str">
        <x:v>State Recognition</x:v>
      </x:c>
      <x:c r="C84" s="10" t="n">
        <x:v>82</x:v>
      </x:c>
      <x:c r="D84" s="9" t="str">
        <x:v>Place the closed brown cup in the bowl.</x:v>
      </x:c>
      <x:c r="E84" s="9" t="str">
        <x:v>brown cup A (C, RU); brown cup B (O, RU); yellow-white striped cup A (C, RU)</x:v>
      </x:c>
      <x:c r="F84" s="9" t="str">
        <x:v>brown cup A</x:v>
      </x:c>
      <x:c r="G84" s="9" t="str">
        <x:v>picked the open brown cup</x:v>
      </x:c>
      <x:c r="H84" s="9" t="str">
        <x:v>Concept/compositional transfer</x:v>
      </x:c>
      <x:c r="I84" s="9" t="str">
        <x:v>SR-CT23</x:v>
      </x:c>
      <x:c r="J84" s="9" t="str">
        <x:v>Primary held-out state-object composition</x:v>
      </x:c>
      <x:c r="K84" s="9"/>
      <x:c r="L84" s="9" t="str">
        <x:v>107</x:v>
      </x:c>
      <x:c r="M84"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84" s="9" t="n">
        <x:v>4</x:v>
      </x:c>
      <x:c r="O84" s="9" t="str">
        <x:v>Build the listed same-category discrimination scene with the bowl empty.</x:v>
      </x:c>
      <x:c r="P84" s="9" t="str">
        <x:v>Two same-category candidates share the non-queried state axis; only the held-out state word identifies the target. The orthogonal orientation axis is fixed: every object is RU.</x:v>
      </x:c>
      <x:c r="Q84" s="9"/>
      <x:c r="R84" s="10" t="n">
        <x:v>3</x:v>
      </x:c>
      <x:c r="S84" s="10" t="n">
        <x:v>1</x:v>
      </x:c>
      <x:c r="T84" s="9" t="str">
        <x:v>Empty</x:v>
      </x:c>
      <x:c r="U84" s="9" t="str">
        <x:v>C</x:v>
      </x:c>
      <x:c r="V84" s="9" t="str">
        <x:v>brown cup</x:v>
      </x:c>
      <x:c r="W84" s="9"/>
      <x:c r="X84" s="10"/>
      <x:c r="Y84" s="10"/>
      <x:c r="Z84" s="9"/>
      <x:c r="AA84" s="9"/>
      <x:c r="AB84" s="9"/>
      <x:c r="AC84" s="9"/>
      <x:c r="AD84" s="9"/>
      <x:c r="AE84" s="9"/>
      <x:c r="AF84" s="9"/>
      <x:c r="AG84" s="9"/>
      <x:c r="AH84" s="9"/>
      <x:c r="AI84" s="11"/>
      <x:c r="AJ84" s="9"/>
      <x:c r="AK84" s="9" t="str">
        <x:v>Eval_State_Recognition.xlsm</x:v>
      </x:c>
      <x:c r="AL84" s="9" t="str">
        <x:v>GR00T vision only Results</x:v>
      </x:c>
      <x:c r="AM84" s="9" t="n">
        <x:v>84</x:v>
      </x:c>
      <x:c r="AN84" s="9" t="n">
        <x:v>84</x:v>
      </x:c>
    </x:row>
    <x:row r="85">
      <x:c r="A85" s="9" t="str">
        <x:v>Failure</x:v>
      </x:c>
      <x:c r="B85" s="9" t="str">
        <x:v>State Recognition</x:v>
      </x:c>
      <x:c r="C85" s="10" t="n">
        <x:v>83</x:v>
      </x:c>
      <x:c r="D85" s="9" t="str">
        <x:v>Place the upright glass spice container in the bowl.</x:v>
      </x:c>
      <x:c r="E85" s="9" t="str">
        <x:v>glass spice container B (O, RU); glass spice container A (O, UD); brown cup B (O, UD); white cup A (C, RU)</x:v>
      </x:c>
      <x:c r="F85" s="9" t="str">
        <x:v>glass spice container B</x:v>
      </x:c>
      <x:c r="G85" s="9" t="str">
        <x:v>picked upside down container</x:v>
      </x:c>
      <x:c r="H85" s="9" t="str">
        <x:v>Concept/compositional transfer</x:v>
      </x:c>
      <x:c r="I85" s="9" t="str">
        <x:v>SR-CT24</x:v>
      </x:c>
      <x:c r="J85" s="9" t="str">
        <x:v>Primary held-out state-object composition</x:v>
      </x:c>
      <x:c r="K85" s="9"/>
      <x:c r="L85" s="9" t="str">
        <x:v>183</x:v>
      </x:c>
      <x:c r="M85" s="9" t="str">
        <x:v>Physical-state and manipulation-trajectory reference under a direct category prompt; the evaluated state word × object-category cell is intentionally absent from training.</x:v>
      </x:c>
      <x:c r="N85" s="9" t="n">
        <x:v>4</x:v>
      </x:c>
      <x:c r="O85" s="9" t="str">
        <x:v>Build the listed same-category discrimination scene with the bowl empty.</x:v>
      </x:c>
      <x:c r="P85" s="9" t="str">
        <x:v>Two same-category candidates share the non-queried state axis; only the held-out state word identifies the target. The same-category candidates share the orthogonal C/O state (O).</x:v>
      </x:c>
      <x:c r="Q85" s="9"/>
      <x:c r="R85" s="10" t="n">
        <x:v>4</x:v>
      </x:c>
      <x:c r="S85" s="10" t="n">
        <x:v>1</x:v>
      </x:c>
      <x:c r="T85" s="9" t="str">
        <x:v>Empty</x:v>
      </x:c>
      <x:c r="U85" s="9" t="str">
        <x:v>RU</x:v>
      </x:c>
      <x:c r="V85" s="9" t="str">
        <x:v>glass spice container</x:v>
      </x:c>
      <x:c r="W85" s="9"/>
      <x:c r="X85" s="10"/>
      <x:c r="Y85" s="10"/>
      <x:c r="Z85" s="9"/>
      <x:c r="AA85" s="9"/>
      <x:c r="AB85" s="9"/>
      <x:c r="AC85" s="9"/>
      <x:c r="AD85" s="9"/>
      <x:c r="AE85" s="9"/>
      <x:c r="AF85" s="9"/>
      <x:c r="AG85" s="9"/>
      <x:c r="AH85" s="9"/>
      <x:c r="AI85" s="11"/>
      <x:c r="AJ85" s="9"/>
      <x:c r="AK85" s="9" t="str">
        <x:v>Eval_State_Recognition.xlsm</x:v>
      </x:c>
      <x:c r="AL85" s="9" t="str">
        <x:v>GR00T vision only Results</x:v>
      </x:c>
      <x:c r="AM85" s="9" t="n">
        <x:v>85</x:v>
      </x:c>
      <x:c r="AN85" s="9" t="n">
        <x:v>85</x:v>
      </x:c>
    </x:row>
    <x:row r="86">
      <x:c r="A86" s="9" t="str">
        <x:v>Failure</x:v>
      </x:c>
      <x:c r="B86" s="9" t="str">
        <x:v>State Recognition</x:v>
      </x:c>
      <x:c r="C86" s="10" t="n">
        <x:v>84</x:v>
      </x:c>
      <x:c r="D86" s="9" t="str">
        <x:v>Place the upside-down white cup in the bowl.</x:v>
      </x:c>
      <x:c r="E86" s="9" t="str">
        <x:v>white cup A (C, UD); white cup B (C, RU)</x:v>
      </x:c>
      <x:c r="F86" s="9" t="str">
        <x:v>white cup A</x:v>
      </x:c>
      <x:c r="G86" s="9" t="str">
        <x:v>picked upright cup; popped off lid</x:v>
      </x:c>
      <x:c r="H86" s="9" t="str">
        <x:v>Concept/compositional transfer</x:v>
      </x:c>
      <x:c r="I86" s="9" t="str">
        <x:v>SR-CT25</x:v>
      </x:c>
      <x:c r="J86" s="9" t="str">
        <x:v>Primary held-out state-object composition</x:v>
      </x:c>
      <x:c r="K86" s="9"/>
      <x:c r="L86" s="9" t="str">
        <x:v>39</x:v>
      </x:c>
      <x:c r="M86" s="9" t="str">
        <x:v>Physical-state and manipulation-trajectory reference under a direct category prompt; the evaluated state word × object-category cell is intentionally absent from training.</x:v>
      </x:c>
      <x:c r="N86" s="9" t="n">
        <x:v>4</x:v>
      </x:c>
      <x:c r="O86" s="9" t="str">
        <x:v>Build the listed same-category discrimination scene with the bowl empty.</x:v>
      </x:c>
      <x:c r="P86" s="9" t="str">
        <x:v>Two same-category candidates share the non-queried state axis; only the held-out state word identifies the target. The same-category candidates share the orthogonal C/O state (C).</x:v>
      </x:c>
      <x:c r="Q86" s="9"/>
      <x:c r="R86" s="10" t="n">
        <x:v>2</x:v>
      </x:c>
      <x:c r="S86" s="10" t="n">
        <x:v>1</x:v>
      </x:c>
      <x:c r="T86" s="9" t="str">
        <x:v>Empty</x:v>
      </x:c>
      <x:c r="U86" s="9" t="str">
        <x:v>UD</x:v>
      </x:c>
      <x:c r="V86" s="9" t="str">
        <x:v>white cup</x:v>
      </x:c>
      <x:c r="W86" s="9"/>
      <x:c r="X86" s="10"/>
      <x:c r="Y86" s="10"/>
      <x:c r="Z86" s="9"/>
      <x:c r="AA86" s="9"/>
      <x:c r="AB86" s="9"/>
      <x:c r="AC86" s="9"/>
      <x:c r="AD86" s="9"/>
      <x:c r="AE86" s="9"/>
      <x:c r="AF86" s="9"/>
      <x:c r="AG86" s="9"/>
      <x:c r="AH86" s="9"/>
      <x:c r="AI86" s="11"/>
      <x:c r="AJ86" s="9"/>
      <x:c r="AK86" s="9" t="str">
        <x:v>Eval_State_Recognition.xlsm</x:v>
      </x:c>
      <x:c r="AL86" s="9" t="str">
        <x:v>GR00T vision only Results</x:v>
      </x:c>
      <x:c r="AM86" s="9" t="n">
        <x:v>86</x:v>
      </x:c>
      <x:c r="AN86" s="9" t="n">
        <x:v>86</x:v>
      </x:c>
    </x:row>
    <x:row r="87">
      <x:c r="A87" s="9" t="str">
        <x:v>Success</x:v>
      </x:c>
      <x:c r="B87" s="9" t="str">
        <x:v>State Recognition</x:v>
      </x:c>
      <x:c r="C87" s="10" t="n">
        <x:v>85</x:v>
      </x:c>
      <x:c r="D87" s="9" t="str">
        <x:v>Place the open yellow-white striped cup in the bowl.</x:v>
      </x:c>
      <x:c r="E87" s="9" t="str">
        <x:v>yellow-white striped cup B (O, RU); yellow-white striped cup A (C, RU); brown cup B (O, RU)</x:v>
      </x:c>
      <x:c r="F87" s="9" t="str">
        <x:v>yellow-white striped cup B</x:v>
      </x:c>
      <x:c r="G87" s="9"/>
      <x:c r="H87" s="9" t="str">
        <x:v>Concept/compositional transfer</x:v>
      </x:c>
      <x:c r="I87" s="9" t="str">
        <x:v>SR-CT26</x:v>
      </x:c>
      <x:c r="J87" s="9" t="str">
        <x:v>Primary held-out state-object composition</x:v>
      </x:c>
      <x:c r="K87" s="9"/>
      <x:c r="L87" s="9" t="str">
        <x:v>64</x:v>
      </x:c>
      <x:c r="M87"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87" s="9" t="n">
        <x:v>4</x:v>
      </x:c>
      <x:c r="O87" s="9" t="str">
        <x:v>Build the listed same-category discrimination scene with the bowl empty.</x:v>
      </x:c>
      <x:c r="P87" s="9" t="str">
        <x:v>Two same-category candidates share the non-queried state axis; only the held-out state word identifies the target. The orthogonal orientation axis is fixed: every object is RU.</x:v>
      </x:c>
      <x:c r="Q87" s="9"/>
      <x:c r="R87" s="10" t="n">
        <x:v>3</x:v>
      </x:c>
      <x:c r="S87" s="10" t="n">
        <x:v>1</x:v>
      </x:c>
      <x:c r="T87" s="9" t="str">
        <x:v>Empty</x:v>
      </x:c>
      <x:c r="U87" s="9" t="str">
        <x:v>O</x:v>
      </x:c>
      <x:c r="V87" s="9" t="str">
        <x:v>yellow-white striped cup</x:v>
      </x:c>
      <x:c r="W87" s="9"/>
      <x:c r="X87" s="10"/>
      <x:c r="Y87" s="10"/>
      <x:c r="Z87" s="9"/>
      <x:c r="AA87" s="9"/>
      <x:c r="AB87" s="9"/>
      <x:c r="AC87" s="9"/>
      <x:c r="AD87" s="9"/>
      <x:c r="AE87" s="9"/>
      <x:c r="AF87" s="9"/>
      <x:c r="AG87" s="9"/>
      <x:c r="AH87" s="9"/>
      <x:c r="AI87" s="11"/>
      <x:c r="AJ87" s="9"/>
      <x:c r="AK87" s="9" t="str">
        <x:v>Eval_State_Recognition.xlsm</x:v>
      </x:c>
      <x:c r="AL87" s="9" t="str">
        <x:v>GR00T vision only Results</x:v>
      </x:c>
      <x:c r="AM87" s="9" t="n">
        <x:v>87</x:v>
      </x:c>
      <x:c r="AN87" s="9" t="n">
        <x:v>87</x:v>
      </x:c>
    </x:row>
    <x:row r="88">
      <x:c r="A88" s="9" t="str">
        <x:v>Failure</x:v>
      </x:c>
      <x:c r="B88" s="9" t="str">
        <x:v>State Recognition</x:v>
      </x:c>
      <x:c r="C88" s="10" t="n">
        <x:v>86</x:v>
      </x:c>
      <x:c r="D88" s="9" t="str">
        <x:v>Place the closed brown cup in the bowl.</x:v>
      </x:c>
      <x:c r="E88" s="9" t="str">
        <x:v>brown cup A (C, RU); brown cup B (O, RU); glass spice container A (C, RU); white cup B (O, RU)</x:v>
      </x:c>
      <x:c r="F88" s="9" t="str">
        <x:v>brown cup A</x:v>
      </x:c>
      <x:c r="G88" s="9" t="str">
        <x:v>picked open brown cup</x:v>
      </x:c>
      <x:c r="H88" s="9" t="str">
        <x:v>Concept/compositional transfer</x:v>
      </x:c>
      <x:c r="I88" s="9" t="str">
        <x:v>SR-CT27</x:v>
      </x:c>
      <x:c r="J88" s="9" t="str">
        <x:v>Primary held-out state-object composition</x:v>
      </x:c>
      <x:c r="K88" s="9"/>
      <x:c r="L88" s="9" t="str">
        <x:v>143</x:v>
      </x:c>
      <x:c r="M88"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88" s="9" t="n">
        <x:v>4</x:v>
      </x:c>
      <x:c r="O88" s="9" t="str">
        <x:v>Build the listed same-category discrimination scene with the bowl empty.</x:v>
      </x:c>
      <x:c r="P88" s="9" t="str">
        <x:v>Two same-category candidates share the non-queried state axis; only the held-out state word identifies the target. The orthogonal orientation axis is fixed: every object is RU.</x:v>
      </x:c>
      <x:c r="Q88" s="9"/>
      <x:c r="R88" s="10" t="n">
        <x:v>4</x:v>
      </x:c>
      <x:c r="S88" s="10" t="n">
        <x:v>1</x:v>
      </x:c>
      <x:c r="T88" s="9" t="str">
        <x:v>Empty</x:v>
      </x:c>
      <x:c r="U88" s="9" t="str">
        <x:v>C</x:v>
      </x:c>
      <x:c r="V88" s="9" t="str">
        <x:v>brown cup</x:v>
      </x:c>
      <x:c r="W88" s="9"/>
      <x:c r="X88" s="10"/>
      <x:c r="Y88" s="10"/>
      <x:c r="Z88" s="9"/>
      <x:c r="AA88" s="9"/>
      <x:c r="AB88" s="9"/>
      <x:c r="AC88" s="9"/>
      <x:c r="AD88" s="9"/>
      <x:c r="AE88" s="9"/>
      <x:c r="AF88" s="9"/>
      <x:c r="AG88" s="9"/>
      <x:c r="AH88" s="9"/>
      <x:c r="AI88" s="11"/>
      <x:c r="AJ88" s="9"/>
      <x:c r="AK88" s="9" t="str">
        <x:v>Eval_State_Recognition.xlsm</x:v>
      </x:c>
      <x:c r="AL88" s="9" t="str">
        <x:v>GR00T vision only Results</x:v>
      </x:c>
      <x:c r="AM88" s="9" t="n">
        <x:v>88</x:v>
      </x:c>
      <x:c r="AN88" s="9" t="n">
        <x:v>88</x:v>
      </x:c>
    </x:row>
    <x:row r="89">
      <x:c r="A89" s="9" t="str">
        <x:v>Failure</x:v>
      </x:c>
      <x:c r="B89" s="9" t="str">
        <x:v>State Recognition</x:v>
      </x:c>
      <x:c r="C89" s="10" t="n">
        <x:v>87</x:v>
      </x:c>
      <x:c r="D89" s="9" t="str">
        <x:v>Place the upright glass spice container in the bowl.</x:v>
      </x:c>
      <x:c r="E89" s="9" t="str">
        <x:v>glass spice container B (C, RU); glass spice container A (C, UD)</x:v>
      </x:c>
      <x:c r="F89" s="9" t="str">
        <x:v>glass spice container B</x:v>
      </x:c>
      <x:c r="G89" s="9" t="str">
        <x:v>picked upside down container</x:v>
      </x:c>
      <x:c r="H89" s="9" t="str">
        <x:v>Concept/compositional transfer</x:v>
      </x:c>
      <x:c r="I89" s="9" t="str">
        <x:v>SR-CT28</x:v>
      </x:c>
      <x:c r="J89" s="9" t="str">
        <x:v>Primary held-out state-object composition</x:v>
      </x:c>
      <x:c r="K89" s="9"/>
      <x:c r="L89" s="9" t="str">
        <x:v>182</x:v>
      </x:c>
      <x:c r="M89" s="9" t="str">
        <x:v>Physical-state and manipulation-trajectory reference under a direct category prompt; the evaluated state word × object-category cell is intentionally absent from training.</x:v>
      </x:c>
      <x:c r="N89" s="9" t="n">
        <x:v>4</x:v>
      </x:c>
      <x:c r="O89" s="9" t="str">
        <x:v>Build the listed same-category discrimination scene with the bowl empty.</x:v>
      </x:c>
      <x:c r="P89" s="9" t="str">
        <x:v>Two same-category candidates share the non-queried state axis; only the held-out state word identifies the target. The same-category candidates share the orthogonal C/O state (C).</x:v>
      </x:c>
      <x:c r="Q89" s="9"/>
      <x:c r="R89" s="10" t="n">
        <x:v>2</x:v>
      </x:c>
      <x:c r="S89" s="10" t="n">
        <x:v>1</x:v>
      </x:c>
      <x:c r="T89" s="9" t="str">
        <x:v>Empty</x:v>
      </x:c>
      <x:c r="U89" s="9" t="str">
        <x:v>RU</x:v>
      </x:c>
      <x:c r="V89" s="9" t="str">
        <x:v>glass spice container</x:v>
      </x:c>
      <x:c r="W89" s="9"/>
      <x:c r="X89" s="10"/>
      <x:c r="Y89" s="10"/>
      <x:c r="Z89" s="9"/>
      <x:c r="AA89" s="9"/>
      <x:c r="AB89" s="9"/>
      <x:c r="AC89" s="9"/>
      <x:c r="AD89" s="9"/>
      <x:c r="AE89" s="9"/>
      <x:c r="AF89" s="9"/>
      <x:c r="AG89" s="9"/>
      <x:c r="AH89" s="9"/>
      <x:c r="AI89" s="11"/>
      <x:c r="AJ89" s="9"/>
      <x:c r="AK89" s="9" t="str">
        <x:v>Eval_State_Recognition.xlsm</x:v>
      </x:c>
      <x:c r="AL89" s="9" t="str">
        <x:v>GR00T vision only Results</x:v>
      </x:c>
      <x:c r="AM89" s="9" t="n">
        <x:v>89</x:v>
      </x:c>
      <x:c r="AN89" s="9" t="n">
        <x:v>89</x:v>
      </x:c>
    </x:row>
    <x:row r="90">
      <x:c r="A90" s="9" t="str">
        <x:v>Failure</x:v>
      </x:c>
      <x:c r="B90" s="9" t="str">
        <x:v>State Recognition</x:v>
      </x:c>
      <x:c r="C90" s="10" t="n">
        <x:v>88</x:v>
      </x:c>
      <x:c r="D90" s="9" t="str">
        <x:v>Place the upside-down white cup in the bowl.</x:v>
      </x:c>
      <x:c r="E90" s="9" t="str">
        <x:v>white cup A (O, UD); white cup B (O, RU); brown cup A (C, RU)</x:v>
      </x:c>
      <x:c r="F90" s="9" t="str">
        <x:v>white cup A</x:v>
      </x:c>
      <x:c r="G90" s="9" t="str">
        <x:v>picked upright white cup</x:v>
      </x:c>
      <x:c r="H90" s="9" t="str">
        <x:v>Concept/compositional transfer</x:v>
      </x:c>
      <x:c r="I90" s="9" t="str">
        <x:v>SR-CT29</x:v>
      </x:c>
      <x:c r="J90" s="9" t="str">
        <x:v>Primary held-out state-object composition</x:v>
      </x:c>
      <x:c r="K90" s="9"/>
      <x:c r="L90" s="9" t="str">
        <x:v>49</x:v>
      </x:c>
      <x:c r="M90" s="9" t="str">
        <x:v>Physical-state and manipulation-trajectory reference under a direct category prompt; the evaluated state word × object-category cell is intentionally absent from training.</x:v>
      </x:c>
      <x:c r="N90" s="9" t="n">
        <x:v>4</x:v>
      </x:c>
      <x:c r="O90" s="9" t="str">
        <x:v>Build the listed same-category discrimination scene with the bowl empty.</x:v>
      </x:c>
      <x:c r="P90" s="9" t="str">
        <x:v>Two same-category candidates share the non-queried state axis; only the held-out state word identifies the target. The same-category candidates share the orthogonal C/O state (O).</x:v>
      </x:c>
      <x:c r="Q90" s="9"/>
      <x:c r="R90" s="10" t="n">
        <x:v>3</x:v>
      </x:c>
      <x:c r="S90" s="10" t="n">
        <x:v>1</x:v>
      </x:c>
      <x:c r="T90" s="9" t="str">
        <x:v>Empty</x:v>
      </x:c>
      <x:c r="U90" s="9" t="str">
        <x:v>UD</x:v>
      </x:c>
      <x:c r="V90" s="9" t="str">
        <x:v>white cup</x:v>
      </x:c>
      <x:c r="W90" s="9"/>
      <x:c r="X90" s="10"/>
      <x:c r="Y90" s="10"/>
      <x:c r="Z90" s="9"/>
      <x:c r="AA90" s="9"/>
      <x:c r="AB90" s="9"/>
      <x:c r="AC90" s="9"/>
      <x:c r="AD90" s="9"/>
      <x:c r="AE90" s="9"/>
      <x:c r="AF90" s="9"/>
      <x:c r="AG90" s="9"/>
      <x:c r="AH90" s="9"/>
      <x:c r="AI90" s="11"/>
      <x:c r="AJ90" s="9"/>
      <x:c r="AK90" s="9" t="str">
        <x:v>Eval_State_Recognition.xlsm</x:v>
      </x:c>
      <x:c r="AL90" s="9" t="str">
        <x:v>GR00T vision only Results</x:v>
      </x:c>
      <x:c r="AM90" s="9" t="n">
        <x:v>90</x:v>
      </x:c>
      <x:c r="AN90" s="9" t="n">
        <x:v>90</x:v>
      </x:c>
    </x:row>
    <x:row r="91">
      <x:c r="A91" s="9" t="str">
        <x:v>Success</x:v>
      </x:c>
      <x:c r="B91" s="9" t="str">
        <x:v>State Recognition</x:v>
      </x:c>
      <x:c r="C91" s="10" t="n">
        <x:v>89</x:v>
      </x:c>
      <x:c r="D91" s="9" t="str">
        <x:v>Place the open yellow-white striped cup in the bowl.</x:v>
      </x:c>
      <x:c r="E91" s="9" t="str">
        <x:v>yellow-white striped cup B (O, RU); yellow-white striped cup A (C, RU); glass spice container B (O, RU); white cup A (C, RU)</x:v>
      </x:c>
      <x:c r="F91" s="9" t="str">
        <x:v>yellow-white striped cup B</x:v>
      </x:c>
      <x:c r="G91" s="9"/>
      <x:c r="H91" s="9" t="str">
        <x:v>Concept/compositional transfer</x:v>
      </x:c>
      <x:c r="I91" s="9" t="str">
        <x:v>SR-CT30</x:v>
      </x:c>
      <x:c r="J91" s="9" t="str">
        <x:v>Primary held-out state-object composition</x:v>
      </x:c>
      <x:c r="K91" s="9"/>
      <x:c r="L91" s="9" t="str">
        <x:v>53</x:v>
      </x:c>
      <x:c r="M91"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91" s="9" t="n">
        <x:v>4</x:v>
      </x:c>
      <x:c r="O91" s="9" t="str">
        <x:v>Build the listed same-category discrimination scene with the bowl empty.</x:v>
      </x:c>
      <x:c r="P91" s="9" t="str">
        <x:v>Two same-category candidates share the non-queried state axis; only the held-out state word identifies the target. The orthogonal orientation axis is fixed: every object is RU.</x:v>
      </x:c>
      <x:c r="Q91" s="9"/>
      <x:c r="R91" s="10" t="n">
        <x:v>4</x:v>
      </x:c>
      <x:c r="S91" s="10" t="n">
        <x:v>1</x:v>
      </x:c>
      <x:c r="T91" s="9" t="str">
        <x:v>Empty</x:v>
      </x:c>
      <x:c r="U91" s="9" t="str">
        <x:v>O</x:v>
      </x:c>
      <x:c r="V91" s="9" t="str">
        <x:v>yellow-white striped cup</x:v>
      </x:c>
      <x:c r="W91" s="9"/>
      <x:c r="X91" s="10"/>
      <x:c r="Y91" s="10"/>
      <x:c r="Z91" s="9"/>
      <x:c r="AA91" s="9"/>
      <x:c r="AB91" s="9"/>
      <x:c r="AC91" s="9"/>
      <x:c r="AD91" s="9"/>
      <x:c r="AE91" s="9"/>
      <x:c r="AF91" s="9"/>
      <x:c r="AG91" s="9"/>
      <x:c r="AH91" s="9"/>
      <x:c r="AI91" s="11"/>
      <x:c r="AJ91" s="9"/>
      <x:c r="AK91" s="9" t="str">
        <x:v>Eval_State_Recognition.xlsm</x:v>
      </x:c>
      <x:c r="AL91" s="9" t="str">
        <x:v>GR00T vision only Results</x:v>
      </x:c>
      <x:c r="AM91" s="9" t="n">
        <x:v>91</x:v>
      </x:c>
      <x:c r="AN91" s="9" t="n">
        <x:v>91</x:v>
      </x:c>
    </x:row>
    <x:row r="92">
      <x:c r="A92" s="9" t="str">
        <x:v>Failure</x:v>
      </x:c>
      <x:c r="B92" s="9" t="str">
        <x:v>State Recognition</x:v>
      </x:c>
      <x:c r="C92" s="10" t="n">
        <x:v>90</x:v>
      </x:c>
      <x:c r="D92" s="9" t="str">
        <x:v>Place the closed brown cup in the bowl.</x:v>
      </x:c>
      <x:c r="E92" s="9" t="str">
        <x:v>brown cup A (C, RU); brown cup B (O, RU)</x:v>
      </x:c>
      <x:c r="F92" s="9" t="str">
        <x:v>brown cup A</x:v>
      </x:c>
      <x:c r="G92" s="9" t="str">
        <x:v>picked open cup</x:v>
      </x:c>
      <x:c r="H92" s="9" t="str">
        <x:v>Concept/compositional transfer</x:v>
      </x:c>
      <x:c r="I92" s="9" t="str">
        <x:v>SR-CT31</x:v>
      </x:c>
      <x:c r="J92" s="9" t="str">
        <x:v>Primary held-out state-object composition</x:v>
      </x:c>
      <x:c r="K92" s="9"/>
      <x:c r="L92" s="9" t="str">
        <x:v>129</x:v>
      </x:c>
      <x:c r="M92"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92" s="9" t="n">
        <x:v>4</x:v>
      </x:c>
      <x:c r="O92" s="9" t="str">
        <x:v>Build the listed same-category discrimination scene with the bowl empty.</x:v>
      </x:c>
      <x:c r="P92" s="9" t="str">
        <x:v>Two same-category candidates share the non-queried state axis; only the held-out state word identifies the target. The orthogonal orientation axis is fixed: every object is RU.</x:v>
      </x:c>
      <x:c r="Q92" s="9"/>
      <x:c r="R92" s="10" t="n">
        <x:v>2</x:v>
      </x:c>
      <x:c r="S92" s="10" t="n">
        <x:v>1</x:v>
      </x:c>
      <x:c r="T92" s="9" t="str">
        <x:v>Empty</x:v>
      </x:c>
      <x:c r="U92" s="9" t="str">
        <x:v>C</x:v>
      </x:c>
      <x:c r="V92" s="9" t="str">
        <x:v>brown cup</x:v>
      </x:c>
      <x:c r="W92" s="9"/>
      <x:c r="X92" s="10"/>
      <x:c r="Y92" s="10"/>
      <x:c r="Z92" s="9"/>
      <x:c r="AA92" s="9"/>
      <x:c r="AB92" s="9"/>
      <x:c r="AC92" s="9"/>
      <x:c r="AD92" s="9"/>
      <x:c r="AE92" s="9"/>
      <x:c r="AF92" s="9"/>
      <x:c r="AG92" s="9"/>
      <x:c r="AH92" s="9"/>
      <x:c r="AI92" s="11"/>
      <x:c r="AJ92" s="9"/>
      <x:c r="AK92" s="9" t="str">
        <x:v>Eval_State_Recognition.xlsm</x:v>
      </x:c>
      <x:c r="AL92" s="9" t="str">
        <x:v>GR00T vision only Results</x:v>
      </x:c>
      <x:c r="AM92" s="9" t="n">
        <x:v>92</x:v>
      </x:c>
      <x:c r="AN92" s="9" t="n">
        <x:v>92</x:v>
      </x:c>
    </x:row>
    <x:row r="93">
      <x:c r="A93" s="9" t="str">
        <x:v>Success</x:v>
      </x:c>
      <x:c r="B93" s="9" t="str">
        <x:v>State Recognition</x:v>
      </x:c>
      <x:c r="C93" s="10" t="n">
        <x:v>91</x:v>
      </x:c>
      <x:c r="D93" s="9" t="str">
        <x:v>Place the upright glass spice container in the bowl.</x:v>
      </x:c>
      <x:c r="E93" s="9" t="str">
        <x:v>glass spice container B (O, RU); glass spice container A (O, UD); yellow-white striped cup B (O, UD)</x:v>
      </x:c>
      <x:c r="F93" s="9" t="str">
        <x:v>glass spice container B</x:v>
      </x:c>
      <x:c r="G93" s="9"/>
      <x:c r="H93" s="9" t="str">
        <x:v>Concept/compositional transfer</x:v>
      </x:c>
      <x:c r="I93" s="9" t="str">
        <x:v>SR-CT32</x:v>
      </x:c>
      <x:c r="J93" s="9" t="str">
        <x:v>Primary held-out state-object composition</x:v>
      </x:c>
      <x:c r="K93" s="9"/>
      <x:c r="L93" s="9" t="str">
        <x:v>197</x:v>
      </x:c>
      <x:c r="M93" s="9" t="str">
        <x:v>Physical-state and manipulation-trajectory reference under a direct category prompt; the evaluated state word × object-category cell is intentionally absent from training.</x:v>
      </x:c>
      <x:c r="N93" s="9" t="n">
        <x:v>4</x:v>
      </x:c>
      <x:c r="O93" s="9" t="str">
        <x:v>Build the listed same-category discrimination scene with the bowl empty.</x:v>
      </x:c>
      <x:c r="P93" s="9" t="str">
        <x:v>Two same-category candidates share the non-queried state axis; only the held-out state word identifies the target. The same-category candidates share the orthogonal C/O state (O).</x:v>
      </x:c>
      <x:c r="Q93" s="9"/>
      <x:c r="R93" s="10" t="n">
        <x:v>3</x:v>
      </x:c>
      <x:c r="S93" s="10" t="n">
        <x:v>1</x:v>
      </x:c>
      <x:c r="T93" s="9" t="str">
        <x:v>Empty</x:v>
      </x:c>
      <x:c r="U93" s="9" t="str">
        <x:v>RU</x:v>
      </x:c>
      <x:c r="V93" s="9" t="str">
        <x:v>glass spice container</x:v>
      </x:c>
      <x:c r="W93" s="9"/>
      <x:c r="X93" s="10"/>
      <x:c r="Y93" s="10"/>
      <x:c r="Z93" s="9"/>
      <x:c r="AA93" s="9"/>
      <x:c r="AB93" s="9"/>
      <x:c r="AC93" s="9"/>
      <x:c r="AD93" s="9"/>
      <x:c r="AE93" s="9"/>
      <x:c r="AF93" s="9"/>
      <x:c r="AG93" s="9"/>
      <x:c r="AH93" s="9"/>
      <x:c r="AI93" s="11"/>
      <x:c r="AJ93" s="9"/>
      <x:c r="AK93" s="9" t="str">
        <x:v>Eval_State_Recognition.xlsm</x:v>
      </x:c>
      <x:c r="AL93" s="9" t="str">
        <x:v>GR00T vision only Results</x:v>
      </x:c>
      <x:c r="AM93" s="9" t="n">
        <x:v>93</x:v>
      </x:c>
      <x:c r="AN93" s="9" t="n">
        <x:v>93</x:v>
      </x:c>
    </x:row>
    <x:row r="94">
      <x:c r="A94" s="9" t="str">
        <x:v>Success</x:v>
      </x:c>
      <x:c r="B94" s="9" t="str">
        <x:v>State Recognition</x:v>
      </x:c>
      <x:c r="C94" s="10" t="n">
        <x:v>92</x:v>
      </x:c>
      <x:c r="D94" s="9" t="str">
        <x:v>Place the upside-down white cup in the bowl.</x:v>
      </x:c>
      <x:c r="E94" s="9" t="str">
        <x:v>white cup A (C, UD); white cup B (C, RU); glass spice container A (C, RU); yellow-white striped cup B (O, RU)</x:v>
      </x:c>
      <x:c r="F94" s="9" t="str">
        <x:v>white cup A</x:v>
      </x:c>
      <x:c r="G94" s="9"/>
      <x:c r="H94" s="9" t="str">
        <x:v>Concept/compositional transfer</x:v>
      </x:c>
      <x:c r="I94" s="9" t="str">
        <x:v>SR-CT33</x:v>
      </x:c>
      <x:c r="J94" s="9" t="str">
        <x:v>Primary held-out state-object composition</x:v>
      </x:c>
      <x:c r="K94" s="9"/>
      <x:c r="L94" s="9" t="str">
        <x:v>35</x:v>
      </x:c>
      <x:c r="M94" s="9" t="str">
        <x:v>Physical-state and manipulation-trajectory reference under a direct category prompt; the evaluated state word × object-category cell is intentionally absent from training.</x:v>
      </x:c>
      <x:c r="N94" s="9" t="n">
        <x:v>4</x:v>
      </x:c>
      <x:c r="O94" s="9" t="str">
        <x:v>Build the listed same-category discrimination scene with the bowl empty.</x:v>
      </x:c>
      <x:c r="P94" s="9" t="str">
        <x:v>Two same-category candidates share the non-queried state axis; only the held-out state word identifies the target. The same-category candidates share the orthogonal C/O state (C).</x:v>
      </x:c>
      <x:c r="Q94" s="9"/>
      <x:c r="R94" s="10" t="n">
        <x:v>4</x:v>
      </x:c>
      <x:c r="S94" s="10" t="n">
        <x:v>1</x:v>
      </x:c>
      <x:c r="T94" s="9" t="str">
        <x:v>Empty</x:v>
      </x:c>
      <x:c r="U94" s="9" t="str">
        <x:v>UD</x:v>
      </x:c>
      <x:c r="V94" s="9" t="str">
        <x:v>white cup</x:v>
      </x:c>
      <x:c r="W94" s="9"/>
      <x:c r="X94" s="10"/>
      <x:c r="Y94" s="10"/>
      <x:c r="Z94" s="9"/>
      <x:c r="AA94" s="9"/>
      <x:c r="AB94" s="9"/>
      <x:c r="AC94" s="9"/>
      <x:c r="AD94" s="9"/>
      <x:c r="AE94" s="9"/>
      <x:c r="AF94" s="9"/>
      <x:c r="AG94" s="9"/>
      <x:c r="AH94" s="9"/>
      <x:c r="AI94" s="11"/>
      <x:c r="AJ94" s="9"/>
      <x:c r="AK94" s="9" t="str">
        <x:v>Eval_State_Recognition.xlsm</x:v>
      </x:c>
      <x:c r="AL94" s="9" t="str">
        <x:v>GR00T vision only Results</x:v>
      </x:c>
      <x:c r="AM94" s="9" t="n">
        <x:v>94</x:v>
      </x:c>
      <x:c r="AN94" s="9" t="n">
        <x:v>94</x:v>
      </x:c>
    </x:row>
    <x:row r="95">
      <x:c r="A95" s="9" t="str">
        <x:v>Success</x:v>
      </x:c>
      <x:c r="B95" s="9" t="str">
        <x:v>State Recognition</x:v>
      </x:c>
      <x:c r="C95" s="10" t="n">
        <x:v>93</x:v>
      </x:c>
      <x:c r="D95" s="9" t="str">
        <x:v>Place the open yellow-white striped cup in the bowl.</x:v>
      </x:c>
      <x:c r="E95" s="9" t="str">
        <x:v>yellow-white striped cup B (O, RU); yellow-white striped cup A (C, RU)</x:v>
      </x:c>
      <x:c r="F95" s="9" t="str">
        <x:v>yellow-white striped cup B</x:v>
      </x:c>
      <x:c r="G95" s="9"/>
      <x:c r="H95" s="9" t="str">
        <x:v>Concept/compositional transfer</x:v>
      </x:c>
      <x:c r="I95" s="9" t="str">
        <x:v>SR-CT34</x:v>
      </x:c>
      <x:c r="J95" s="9" t="str">
        <x:v>Primary held-out state-object composition</x:v>
      </x:c>
      <x:c r="K95" s="9"/>
      <x:c r="L95" s="9" t="str">
        <x:v>71</x:v>
      </x:c>
      <x:c r="M95"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95" s="9" t="n">
        <x:v>4</x:v>
      </x:c>
      <x:c r="O95" s="9" t="str">
        <x:v>Build the listed same-category discrimination scene with the bowl empty.</x:v>
      </x:c>
      <x:c r="P95" s="9" t="str">
        <x:v>Two same-category candidates share the non-queried state axis; only the held-out state word identifies the target. The orthogonal orientation axis is fixed: every object is RU.</x:v>
      </x:c>
      <x:c r="Q95" s="9"/>
      <x:c r="R95" s="10" t="n">
        <x:v>2</x:v>
      </x:c>
      <x:c r="S95" s="10" t="n">
        <x:v>1</x:v>
      </x:c>
      <x:c r="T95" s="9" t="str">
        <x:v>Empty</x:v>
      </x:c>
      <x:c r="U95" s="9" t="str">
        <x:v>O</x:v>
      </x:c>
      <x:c r="V95" s="9" t="str">
        <x:v>yellow-white striped cup</x:v>
      </x:c>
      <x:c r="W95" s="9"/>
      <x:c r="X95" s="10"/>
      <x:c r="Y95" s="10"/>
      <x:c r="Z95" s="9"/>
      <x:c r="AA95" s="9"/>
      <x:c r="AB95" s="9"/>
      <x:c r="AC95" s="9"/>
      <x:c r="AD95" s="9"/>
      <x:c r="AE95" s="9"/>
      <x:c r="AF95" s="9"/>
      <x:c r="AG95" s="9"/>
      <x:c r="AH95" s="9"/>
      <x:c r="AI95" s="11"/>
      <x:c r="AJ95" s="9"/>
      <x:c r="AK95" s="9" t="str">
        <x:v>Eval_State_Recognition.xlsm</x:v>
      </x:c>
      <x:c r="AL95" s="9" t="str">
        <x:v>GR00T vision only Results</x:v>
      </x:c>
      <x:c r="AM95" s="9" t="n">
        <x:v>95</x:v>
      </x:c>
      <x:c r="AN95" s="9" t="n">
        <x:v>95</x:v>
      </x:c>
    </x:row>
    <x:row r="96">
      <x:c r="A96" s="9" t="str">
        <x:v>Failure</x:v>
      </x:c>
      <x:c r="B96" s="9" t="str">
        <x:v>State Recognition</x:v>
      </x:c>
      <x:c r="C96" s="10" t="n">
        <x:v>94</x:v>
      </x:c>
      <x:c r="D96" s="9" t="str">
        <x:v>Place the closed brown cup in the bowl.</x:v>
      </x:c>
      <x:c r="E96" s="9" t="str">
        <x:v>brown cup A (C, RU); brown cup B (O, RU); yellow-white striped cup A (C, RU)</x:v>
      </x:c>
      <x:c r="F96" s="9" t="str">
        <x:v>brown cup A</x:v>
      </x:c>
      <x:c r="G96" s="9" t="str">
        <x:v>picked open brown cup</x:v>
      </x:c>
      <x:c r="H96" s="9" t="str">
        <x:v>Concept/compositional transfer</x:v>
      </x:c>
      <x:c r="I96" s="9" t="str">
        <x:v>SR-CT35</x:v>
      </x:c>
      <x:c r="J96" s="9" t="str">
        <x:v>Primary held-out state-object composition</x:v>
      </x:c>
      <x:c r="K96" s="9"/>
      <x:c r="L96" s="9" t="str">
        <x:v>100</x:v>
      </x:c>
      <x:c r="M96"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96" s="9" t="n">
        <x:v>4</x:v>
      </x:c>
      <x:c r="O96" s="9" t="str">
        <x:v>Build the listed same-category discrimination scene with the bowl empty.</x:v>
      </x:c>
      <x:c r="P96" s="9" t="str">
        <x:v>Two same-category candidates share the non-queried state axis; only the held-out state word identifies the target. The orthogonal orientation axis is fixed: every object is RU.</x:v>
      </x:c>
      <x:c r="Q96" s="9"/>
      <x:c r="R96" s="10" t="n">
        <x:v>3</x:v>
      </x:c>
      <x:c r="S96" s="10" t="n">
        <x:v>1</x:v>
      </x:c>
      <x:c r="T96" s="9" t="str">
        <x:v>Empty</x:v>
      </x:c>
      <x:c r="U96" s="9" t="str">
        <x:v>C</x:v>
      </x:c>
      <x:c r="V96" s="9" t="str">
        <x:v>brown cup</x:v>
      </x:c>
      <x:c r="W96" s="9"/>
      <x:c r="X96" s="10"/>
      <x:c r="Y96" s="10"/>
      <x:c r="Z96" s="9"/>
      <x:c r="AA96" s="9"/>
      <x:c r="AB96" s="9"/>
      <x:c r="AC96" s="9"/>
      <x:c r="AD96" s="9"/>
      <x:c r="AE96" s="9"/>
      <x:c r="AF96" s="9"/>
      <x:c r="AG96" s="9"/>
      <x:c r="AH96" s="9"/>
      <x:c r="AI96" s="11"/>
      <x:c r="AJ96" s="9"/>
      <x:c r="AK96" s="9" t="str">
        <x:v>Eval_State_Recognition.xlsm</x:v>
      </x:c>
      <x:c r="AL96" s="9" t="str">
        <x:v>GR00T vision only Results</x:v>
      </x:c>
      <x:c r="AM96" s="9" t="n">
        <x:v>96</x:v>
      </x:c>
      <x:c r="AN96" s="9" t="n">
        <x:v>96</x:v>
      </x:c>
    </x:row>
    <x:row r="97">
      <x:c r="A97" s="9" t="str">
        <x:v>Failure</x:v>
      </x:c>
      <x:c r="B97" s="9" t="str">
        <x:v>State Recognition</x:v>
      </x:c>
      <x:c r="C97" s="10" t="n">
        <x:v>95</x:v>
      </x:c>
      <x:c r="D97" s="9" t="str">
        <x:v>Place the upright glass spice container in the bowl.</x:v>
      </x:c>
      <x:c r="E97" s="9" t="str">
        <x:v>glass spice container B (C, RU); glass spice container A (C, UD); brown cup B (O, UD); white cup A (C, RU)</x:v>
      </x:c>
      <x:c r="F97" s="9" t="str">
        <x:v>glass spice container B</x:v>
      </x:c>
      <x:c r="G97" s="9" t="str">
        <x:v>picked the upside down container</x:v>
      </x:c>
      <x:c r="H97" s="9" t="str">
        <x:v>Concept/compositional transfer</x:v>
      </x:c>
      <x:c r="I97" s="9" t="str">
        <x:v>SR-CT36</x:v>
      </x:c>
      <x:c r="J97" s="9" t="str">
        <x:v>Primary held-out state-object composition</x:v>
      </x:c>
      <x:c r="K97" s="9"/>
      <x:c r="L97" s="9" t="str">
        <x:v>169</x:v>
      </x:c>
      <x:c r="M97" s="9" t="str">
        <x:v>Physical-state and manipulation-trajectory reference under a direct category prompt; the evaluated state word × object-category cell is intentionally absent from training.</x:v>
      </x:c>
      <x:c r="N97" s="9" t="n">
        <x:v>4</x:v>
      </x:c>
      <x:c r="O97" s="9" t="str">
        <x:v>Build the listed same-category discrimination scene with the bowl empty.</x:v>
      </x:c>
      <x:c r="P97" s="9" t="str">
        <x:v>Two same-category candidates share the non-queried state axis; only the held-out state word identifies the target. The same-category candidates share the orthogonal C/O state (C).</x:v>
      </x:c>
      <x:c r="Q97" s="9"/>
      <x:c r="R97" s="10" t="n">
        <x:v>4</x:v>
      </x:c>
      <x:c r="S97" s="10" t="n">
        <x:v>1</x:v>
      </x:c>
      <x:c r="T97" s="9" t="str">
        <x:v>Empty</x:v>
      </x:c>
      <x:c r="U97" s="9" t="str">
        <x:v>RU</x:v>
      </x:c>
      <x:c r="V97" s="9" t="str">
        <x:v>glass spice container</x:v>
      </x:c>
      <x:c r="W97" s="9"/>
      <x:c r="X97" s="10"/>
      <x:c r="Y97" s="10"/>
      <x:c r="Z97" s="9"/>
      <x:c r="AA97" s="9"/>
      <x:c r="AB97" s="9"/>
      <x:c r="AC97" s="9"/>
      <x:c r="AD97" s="9"/>
      <x:c r="AE97" s="9"/>
      <x:c r="AF97" s="9"/>
      <x:c r="AG97" s="9"/>
      <x:c r="AH97" s="9"/>
      <x:c r="AI97" s="11"/>
      <x:c r="AJ97" s="9"/>
      <x:c r="AK97" s="9" t="str">
        <x:v>Eval_State_Recognition.xlsm</x:v>
      </x:c>
      <x:c r="AL97" s="9" t="str">
        <x:v>GR00T vision only Results</x:v>
      </x:c>
      <x:c r="AM97" s="9" t="n">
        <x:v>97</x:v>
      </x:c>
      <x:c r="AN97" s="9" t="n">
        <x:v>97</x:v>
      </x:c>
    </x:row>
    <x:row r="98">
      <x:c r="A98" s="9" t="str">
        <x:v>Success</x:v>
      </x:c>
      <x:c r="B98" s="9" t="str">
        <x:v>State Recognition</x:v>
      </x:c>
      <x:c r="C98" s="10" t="n">
        <x:v>96</x:v>
      </x:c>
      <x:c r="D98" s="9" t="str">
        <x:v>Place the upside-down white cup in the bowl.</x:v>
      </x:c>
      <x:c r="E98" s="9" t="str">
        <x:v>white cup A (O, UD); white cup B (O, RU)</x:v>
      </x:c>
      <x:c r="F98" s="9" t="str">
        <x:v>white cup A</x:v>
      </x:c>
      <x:c r="G98" s="9"/>
      <x:c r="H98" s="9" t="str">
        <x:v>Concept/compositional transfer</x:v>
      </x:c>
      <x:c r="I98" s="9" t="str">
        <x:v>SR-CT37</x:v>
      </x:c>
      <x:c r="J98" s="9" t="str">
        <x:v>Primary held-out state-object composition</x:v>
      </x:c>
      <x:c r="K98" s="9"/>
      <x:c r="L98" s="9" t="str">
        <x:v>30</x:v>
      </x:c>
      <x:c r="M98" s="9" t="str">
        <x:v>Physical-state and manipulation-trajectory reference under a direct category prompt; the evaluated state word × object-category cell is intentionally absent from training.</x:v>
      </x:c>
      <x:c r="N98" s="9" t="n">
        <x:v>4</x:v>
      </x:c>
      <x:c r="O98" s="9" t="str">
        <x:v>Build the listed same-category discrimination scene with the bowl empty.</x:v>
      </x:c>
      <x:c r="P98" s="9" t="str">
        <x:v>Two same-category candidates share the non-queried state axis; only the held-out state word identifies the target. The same-category candidates share the orthogonal C/O state (O).</x:v>
      </x:c>
      <x:c r="Q98" s="9"/>
      <x:c r="R98" s="10" t="n">
        <x:v>2</x:v>
      </x:c>
      <x:c r="S98" s="10" t="n">
        <x:v>1</x:v>
      </x:c>
      <x:c r="T98" s="9" t="str">
        <x:v>Empty</x:v>
      </x:c>
      <x:c r="U98" s="9" t="str">
        <x:v>UD</x:v>
      </x:c>
      <x:c r="V98" s="9" t="str">
        <x:v>white cup</x:v>
      </x:c>
      <x:c r="W98" s="9"/>
      <x:c r="X98" s="10"/>
      <x:c r="Y98" s="10"/>
      <x:c r="Z98" s="9"/>
      <x:c r="AA98" s="9"/>
      <x:c r="AB98" s="9"/>
      <x:c r="AC98" s="9"/>
      <x:c r="AD98" s="9"/>
      <x:c r="AE98" s="9"/>
      <x:c r="AF98" s="9"/>
      <x:c r="AG98" s="9"/>
      <x:c r="AH98" s="9"/>
      <x:c r="AI98" s="11"/>
      <x:c r="AJ98" s="9"/>
      <x:c r="AK98" s="9" t="str">
        <x:v>Eval_State_Recognition.xlsm</x:v>
      </x:c>
      <x:c r="AL98" s="9" t="str">
        <x:v>GR00T vision only Results</x:v>
      </x:c>
      <x:c r="AM98" s="9" t="n">
        <x:v>98</x:v>
      </x:c>
      <x:c r="AN98" s="9" t="n">
        <x:v>98</x:v>
      </x:c>
    </x:row>
    <x:row r="99">
      <x:c r="A99" s="9" t="str">
        <x:v>Failure</x:v>
      </x:c>
      <x:c r="B99" s="9" t="str">
        <x:v>State Recognition</x:v>
      </x:c>
      <x:c r="C99" s="10" t="n">
        <x:v>97</x:v>
      </x:c>
      <x:c r="D99" s="9" t="str">
        <x:v>Place the open yellow-white striped cup in the bowl.</x:v>
      </x:c>
      <x:c r="E99" s="9" t="str">
        <x:v>yellow-white striped cup B (O, RU); yellow-white striped cup A (C, RU); brown cup B (O, RU)</x:v>
      </x:c>
      <x:c r="F99" s="9" t="str">
        <x:v>yellow-white striped cup B</x:v>
      </x:c>
      <x:c r="G99" s="9" t="str">
        <x:v>picked closed striped cup</x:v>
      </x:c>
      <x:c r="H99" s="9" t="str">
        <x:v>Concept/compositional transfer</x:v>
      </x:c>
      <x:c r="I99" s="9" t="str">
        <x:v>SR-CT38</x:v>
      </x:c>
      <x:c r="J99" s="9" t="str">
        <x:v>Primary held-out state-object composition</x:v>
      </x:c>
      <x:c r="K99" s="9"/>
      <x:c r="L99" s="9" t="str">
        <x:v>53</x:v>
      </x:c>
      <x:c r="M99"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99" s="9" t="n">
        <x:v>4</x:v>
      </x:c>
      <x:c r="O99" s="9" t="str">
        <x:v>Build the listed same-category discrimination scene with the bowl empty.</x:v>
      </x:c>
      <x:c r="P99" s="9" t="str">
        <x:v>Two same-category candidates share the non-queried state axis; only the held-out state word identifies the target. The orthogonal orientation axis is fixed: every object is RU.</x:v>
      </x:c>
      <x:c r="Q99" s="9"/>
      <x:c r="R99" s="10" t="n">
        <x:v>3</x:v>
      </x:c>
      <x:c r="S99" s="10" t="n">
        <x:v>1</x:v>
      </x:c>
      <x:c r="T99" s="9" t="str">
        <x:v>Empty</x:v>
      </x:c>
      <x:c r="U99" s="9" t="str">
        <x:v>O</x:v>
      </x:c>
      <x:c r="V99" s="9" t="str">
        <x:v>yellow-white striped cup</x:v>
      </x:c>
      <x:c r="W99" s="9"/>
      <x:c r="X99" s="10"/>
      <x:c r="Y99" s="10"/>
      <x:c r="Z99" s="9"/>
      <x:c r="AA99" s="9"/>
      <x:c r="AB99" s="9"/>
      <x:c r="AC99" s="9"/>
      <x:c r="AD99" s="9"/>
      <x:c r="AE99" s="9"/>
      <x:c r="AF99" s="9"/>
      <x:c r="AG99" s="9"/>
      <x:c r="AH99" s="9"/>
      <x:c r="AI99" s="11"/>
      <x:c r="AJ99" s="9"/>
      <x:c r="AK99" s="9" t="str">
        <x:v>Eval_State_Recognition.xlsm</x:v>
      </x:c>
      <x:c r="AL99" s="9" t="str">
        <x:v>GR00T vision only Results</x:v>
      </x:c>
      <x:c r="AM99" s="9" t="n">
        <x:v>99</x:v>
      </x:c>
      <x:c r="AN99" s="9" t="n">
        <x:v>99</x:v>
      </x:c>
    </x:row>
    <x:row r="100">
      <x:c r="A100" s="9" t="str">
        <x:v>Failure</x:v>
      </x:c>
      <x:c r="B100" s="9" t="str">
        <x:v>State Recognition</x:v>
      </x:c>
      <x:c r="C100" s="10" t="n">
        <x:v>98</x:v>
      </x:c>
      <x:c r="D100" s="9" t="str">
        <x:v>Place the closed brown cup in the bowl.</x:v>
      </x:c>
      <x:c r="E100" s="9" t="str">
        <x:v>brown cup A (C, RU); brown cup B (O, RU); glass spice container A (C, RU); white cup B (O, RU)</x:v>
      </x:c>
      <x:c r="F100" s="9" t="str">
        <x:v>brown cup A</x:v>
      </x:c>
      <x:c r="G100" s="9" t="str">
        <x:v>picked open brown cup</x:v>
      </x:c>
      <x:c r="H100" s="9" t="str">
        <x:v>Concept/compositional transfer</x:v>
      </x:c>
      <x:c r="I100" s="9" t="str">
        <x:v>SR-CT39</x:v>
      </x:c>
      <x:c r="J100" s="9" t="str">
        <x:v>Primary held-out state-object composition</x:v>
      </x:c>
      <x:c r="K100" s="9"/>
      <x:c r="L100" s="9" t="str">
        <x:v>107</x:v>
      </x:c>
      <x:c r="M100"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100" s="9" t="n">
        <x:v>4</x:v>
      </x:c>
      <x:c r="O100" s="9" t="str">
        <x:v>Build the listed same-category discrimination scene with the bowl empty.</x:v>
      </x:c>
      <x:c r="P100" s="9" t="str">
        <x:v>Two same-category candidates share the non-queried state axis; only the held-out state word identifies the target. The orthogonal orientation axis is fixed: every object is RU.</x:v>
      </x:c>
      <x:c r="Q100" s="9"/>
      <x:c r="R100" s="10" t="n">
        <x:v>4</x:v>
      </x:c>
      <x:c r="S100" s="10" t="n">
        <x:v>1</x:v>
      </x:c>
      <x:c r="T100" s="9" t="str">
        <x:v>Empty</x:v>
      </x:c>
      <x:c r="U100" s="9" t="str">
        <x:v>C</x:v>
      </x:c>
      <x:c r="V100" s="9" t="str">
        <x:v>brown cup</x:v>
      </x:c>
      <x:c r="W100" s="9"/>
      <x:c r="X100" s="10"/>
      <x:c r="Y100" s="10"/>
      <x:c r="Z100" s="9"/>
      <x:c r="AA100" s="9"/>
      <x:c r="AB100" s="9"/>
      <x:c r="AC100" s="9"/>
      <x:c r="AD100" s="9"/>
      <x:c r="AE100" s="9"/>
      <x:c r="AF100" s="9"/>
      <x:c r="AG100" s="9"/>
      <x:c r="AH100" s="9"/>
      <x:c r="AI100" s="11"/>
      <x:c r="AJ100" s="9"/>
      <x:c r="AK100" s="9" t="str">
        <x:v>Eval_State_Recognition.xlsm</x:v>
      </x:c>
      <x:c r="AL100" s="9" t="str">
        <x:v>GR00T vision only Results</x:v>
      </x:c>
      <x:c r="AM100" s="9" t="n">
        <x:v>100</x:v>
      </x:c>
      <x:c r="AN100" s="9" t="n">
        <x:v>100</x:v>
      </x:c>
    </x:row>
    <x:row r="101">
      <x:c r="A101" s="9" t="str">
        <x:v>Failure</x:v>
      </x:c>
      <x:c r="B101" s="9" t="str">
        <x:v>State Recognition</x:v>
      </x:c>
      <x:c r="C101" s="10" t="n">
        <x:v>99</x:v>
      </x:c>
      <x:c r="D101" s="9" t="str">
        <x:v>Place the upright glass spice container in the bowl.</x:v>
      </x:c>
      <x:c r="E101" s="9" t="str">
        <x:v>glass spice container B (O, RU); glass spice container A (O, UD)</x:v>
      </x:c>
      <x:c r="F101" s="9" t="str">
        <x:v>glass spice container B</x:v>
      </x:c>
      <x:c r="G101" s="9" t="str">
        <x:v>picked upside down cup</x:v>
      </x:c>
      <x:c r="H101" s="9" t="str">
        <x:v>Concept/compositional transfer</x:v>
      </x:c>
      <x:c r="I101" s="9" t="str">
        <x:v>SR-CT40</x:v>
      </x:c>
      <x:c r="J101" s="9" t="str">
        <x:v>Primary held-out state-object composition</x:v>
      </x:c>
      <x:c r="K101" s="9"/>
      <x:c r="L101" s="9" t="str">
        <x:v>153</x:v>
      </x:c>
      <x:c r="M101" s="9" t="str">
        <x:v>Physical-state and manipulation-trajectory reference under a direct category prompt; the evaluated state word × object-category cell is intentionally absent from training.</x:v>
      </x:c>
      <x:c r="N101" s="9" t="n">
        <x:v>4</x:v>
      </x:c>
      <x:c r="O101" s="9" t="str">
        <x:v>Build the listed same-category discrimination scene with the bowl empty.</x:v>
      </x:c>
      <x:c r="P101" s="9" t="str">
        <x:v>Two same-category candidates share the non-queried state axis; only the held-out state word identifies the target. The same-category candidates share the orthogonal C/O state (O).</x:v>
      </x:c>
      <x:c r="Q101" s="9"/>
      <x:c r="R101" s="10" t="n">
        <x:v>2</x:v>
      </x:c>
      <x:c r="S101" s="10" t="n">
        <x:v>1</x:v>
      </x:c>
      <x:c r="T101" s="9" t="str">
        <x:v>Empty</x:v>
      </x:c>
      <x:c r="U101" s="9" t="str">
        <x:v>RU</x:v>
      </x:c>
      <x:c r="V101" s="9" t="str">
        <x:v>glass spice container</x:v>
      </x:c>
      <x:c r="W101" s="9"/>
      <x:c r="X101" s="10"/>
      <x:c r="Y101" s="10"/>
      <x:c r="Z101" s="9"/>
      <x:c r="AA101" s="9"/>
      <x:c r="AB101" s="9"/>
      <x:c r="AC101" s="9"/>
      <x:c r="AD101" s="9"/>
      <x:c r="AE101" s="9"/>
      <x:c r="AF101" s="9"/>
      <x:c r="AG101" s="9"/>
      <x:c r="AH101" s="9"/>
      <x:c r="AI101" s="11"/>
      <x:c r="AJ101" s="9"/>
      <x:c r="AK101" s="9" t="str">
        <x:v>Eval_State_Recognition.xlsm</x:v>
      </x:c>
      <x:c r="AL101" s="9" t="str">
        <x:v>GR00T vision only Results</x:v>
      </x:c>
      <x:c r="AM101" s="9" t="n">
        <x:v>101</x:v>
      </x:c>
      <x:c r="AN101" s="9" t="n">
        <x:v>101</x:v>
      </x:c>
    </x:row>
    <x:row r="102">
      <x:c r="A102" s="9" t="str">
        <x:v>Failure</x:v>
      </x:c>
      <x:c r="B102" s="9" t="str">
        <x:v>State Recognition</x:v>
      </x:c>
      <x:c r="C102" s="10" t="n">
        <x:v>100</x:v>
      </x:c>
      <x:c r="D102" s="9" t="str">
        <x:v>Place the upside-down white cup in the bowl.</x:v>
      </x:c>
      <x:c r="E102" s="9" t="str">
        <x:v>white cup A (C, UD); white cup B (C, RU); brown cup A (C, RU)</x:v>
      </x:c>
      <x:c r="F102" s="9" t="str">
        <x:v>white cup A</x:v>
      </x:c>
      <x:c r="G102" s="9" t="str">
        <x:v>picked upright cup</x:v>
      </x:c>
      <x:c r="H102" s="9" t="str">
        <x:v>Concept/compositional transfer</x:v>
      </x:c>
      <x:c r="I102" s="9" t="str">
        <x:v>SR-CT41</x:v>
      </x:c>
      <x:c r="J102" s="9" t="str">
        <x:v>Primary held-out state-object composition</x:v>
      </x:c>
      <x:c r="K102" s="9"/>
      <x:c r="L102" s="9" t="str">
        <x:v>39</x:v>
      </x:c>
      <x:c r="M102" s="9" t="str">
        <x:v>Physical-state and manipulation-trajectory reference under a direct category prompt; the evaluated state word × object-category cell is intentionally absent from training.</x:v>
      </x:c>
      <x:c r="N102" s="9" t="n">
        <x:v>4</x:v>
      </x:c>
      <x:c r="O102" s="9" t="str">
        <x:v>Build the listed same-category discrimination scene with the bowl empty.</x:v>
      </x:c>
      <x:c r="P102" s="9" t="str">
        <x:v>Two same-category candidates share the non-queried state axis; only the held-out state word identifies the target. The same-category candidates share the orthogonal C/O state (C).</x:v>
      </x:c>
      <x:c r="Q102" s="9"/>
      <x:c r="R102" s="10" t="n">
        <x:v>3</x:v>
      </x:c>
      <x:c r="S102" s="10" t="n">
        <x:v>1</x:v>
      </x:c>
      <x:c r="T102" s="9" t="str">
        <x:v>Empty</x:v>
      </x:c>
      <x:c r="U102" s="9" t="str">
        <x:v>UD</x:v>
      </x:c>
      <x:c r="V102" s="9" t="str">
        <x:v>white cup</x:v>
      </x:c>
      <x:c r="W102" s="9"/>
      <x:c r="X102" s="10"/>
      <x:c r="Y102" s="10"/>
      <x:c r="Z102" s="9"/>
      <x:c r="AA102" s="9"/>
      <x:c r="AB102" s="9"/>
      <x:c r="AC102" s="9"/>
      <x:c r="AD102" s="9"/>
      <x:c r="AE102" s="9"/>
      <x:c r="AF102" s="9"/>
      <x:c r="AG102" s="9"/>
      <x:c r="AH102" s="9"/>
      <x:c r="AI102" s="11"/>
      <x:c r="AJ102" s="9"/>
      <x:c r="AK102" s="9" t="str">
        <x:v>Eval_State_Recognition.xlsm</x:v>
      </x:c>
      <x:c r="AL102" s="9" t="str">
        <x:v>GR00T vision only Results</x:v>
      </x:c>
      <x:c r="AM102" s="9" t="n">
        <x:v>102</x:v>
      </x:c>
      <x:c r="AN102" s="9" t="n">
        <x:v>102</x:v>
      </x:c>
    </x:row>
    <x:row r="103">
      <x:c r="A103" s="9" t="str">
        <x:v>Failure</x:v>
      </x:c>
      <x:c r="B103" s="9" t="str">
        <x:v>State Recognition</x:v>
      </x:c>
      <x:c r="C103" s="10" t="n">
        <x:v>101</x:v>
      </x:c>
      <x:c r="D103" s="9" t="str">
        <x:v>Place the open yellow-white striped cup in the bowl.</x:v>
      </x:c>
      <x:c r="E103" s="9" t="str">
        <x:v>yellow-white striped cup B (O, RU); yellow-white striped cup A (C, RU); glass spice container B (O, RU); white cup A (C, RU)</x:v>
      </x:c>
      <x:c r="F103" s="9" t="str">
        <x:v>yellow-white striped cup B</x:v>
      </x:c>
      <x:c r="G103" s="9" t="str">
        <x:v>picked closed striped cup</x:v>
      </x:c>
      <x:c r="H103" s="9" t="str">
        <x:v>Concept/compositional transfer</x:v>
      </x:c>
      <x:c r="I103" s="9" t="str">
        <x:v>SR-CT42</x:v>
      </x:c>
      <x:c r="J103" s="9" t="str">
        <x:v>Primary held-out state-object composition</x:v>
      </x:c>
      <x:c r="K103" s="9"/>
      <x:c r="L103" s="9" t="str">
        <x:v>72</x:v>
      </x:c>
      <x:c r="M103"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103" s="9" t="n">
        <x:v>4</x:v>
      </x:c>
      <x:c r="O103" s="9" t="str">
        <x:v>Build the listed same-category discrimination scene with the bowl empty.</x:v>
      </x:c>
      <x:c r="P103" s="9" t="str">
        <x:v>Two same-category candidates share the non-queried state axis; only the held-out state word identifies the target. The orthogonal orientation axis is fixed: every object is RU.</x:v>
      </x:c>
      <x:c r="Q103" s="9"/>
      <x:c r="R103" s="10" t="n">
        <x:v>4</x:v>
      </x:c>
      <x:c r="S103" s="10" t="n">
        <x:v>1</x:v>
      </x:c>
      <x:c r="T103" s="9" t="str">
        <x:v>Empty</x:v>
      </x:c>
      <x:c r="U103" s="9" t="str">
        <x:v>O</x:v>
      </x:c>
      <x:c r="V103" s="9" t="str">
        <x:v>yellow-white striped cup</x:v>
      </x:c>
      <x:c r="W103" s="9"/>
      <x:c r="X103" s="10"/>
      <x:c r="Y103" s="10"/>
      <x:c r="Z103" s="9"/>
      <x:c r="AA103" s="9"/>
      <x:c r="AB103" s="9"/>
      <x:c r="AC103" s="9"/>
      <x:c r="AD103" s="9"/>
      <x:c r="AE103" s="9"/>
      <x:c r="AF103" s="9"/>
      <x:c r="AG103" s="9"/>
      <x:c r="AH103" s="9"/>
      <x:c r="AI103" s="11"/>
      <x:c r="AJ103" s="9"/>
      <x:c r="AK103" s="9" t="str">
        <x:v>Eval_State_Recognition.xlsm</x:v>
      </x:c>
      <x:c r="AL103" s="9" t="str">
        <x:v>GR00T vision only Results</x:v>
      </x:c>
      <x:c r="AM103" s="9" t="n">
        <x:v>103</x:v>
      </x:c>
      <x:c r="AN103" s="9" t="n">
        <x:v>103</x:v>
      </x:c>
    </x:row>
    <x:row r="104">
      <x:c r="A104" s="9" t="str">
        <x:v>Failure</x:v>
      </x:c>
      <x:c r="B104" s="9" t="str">
        <x:v>State Recognition</x:v>
      </x:c>
      <x:c r="C104" s="10" t="n">
        <x:v>102</x:v>
      </x:c>
      <x:c r="D104" s="9" t="str">
        <x:v>Place the closed brown cup in the bowl.</x:v>
      </x:c>
      <x:c r="E104" s="9" t="str">
        <x:v>brown cup A (C, RU); brown cup B (O, RU)</x:v>
      </x:c>
      <x:c r="F104" s="9" t="str">
        <x:v>brown cup A</x:v>
      </x:c>
      <x:c r="G104" s="9" t="str">
        <x:v>picked open brown cup</x:v>
      </x:c>
      <x:c r="H104" s="9" t="str">
        <x:v>Concept/compositional transfer</x:v>
      </x:c>
      <x:c r="I104" s="9" t="str">
        <x:v>SR-CT43</x:v>
      </x:c>
      <x:c r="J104" s="9" t="str">
        <x:v>Primary held-out state-object composition</x:v>
      </x:c>
      <x:c r="K104" s="9"/>
      <x:c r="L104" s="9" t="str">
        <x:v>102</x:v>
      </x:c>
      <x:c r="M104"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104" s="9" t="n">
        <x:v>4</x:v>
      </x:c>
      <x:c r="O104" s="9" t="str">
        <x:v>Build the listed same-category discrimination scene with the bowl empty.</x:v>
      </x:c>
      <x:c r="P104" s="9" t="str">
        <x:v>Two same-category candidates share the non-queried state axis; only the held-out state word identifies the target. The orthogonal orientation axis is fixed: every object is RU.</x:v>
      </x:c>
      <x:c r="Q104" s="9"/>
      <x:c r="R104" s="10" t="n">
        <x:v>2</x:v>
      </x:c>
      <x:c r="S104" s="10" t="n">
        <x:v>1</x:v>
      </x:c>
      <x:c r="T104" s="9" t="str">
        <x:v>Empty</x:v>
      </x:c>
      <x:c r="U104" s="9" t="str">
        <x:v>C</x:v>
      </x:c>
      <x:c r="V104" s="9" t="str">
        <x:v>brown cup</x:v>
      </x:c>
      <x:c r="W104" s="9"/>
      <x:c r="X104" s="10"/>
      <x:c r="Y104" s="10"/>
      <x:c r="Z104" s="9"/>
      <x:c r="AA104" s="9"/>
      <x:c r="AB104" s="9"/>
      <x:c r="AC104" s="9"/>
      <x:c r="AD104" s="9"/>
      <x:c r="AE104" s="9"/>
      <x:c r="AF104" s="9"/>
      <x:c r="AG104" s="9"/>
      <x:c r="AH104" s="9"/>
      <x:c r="AI104" s="11"/>
      <x:c r="AJ104" s="9"/>
      <x:c r="AK104" s="9" t="str">
        <x:v>Eval_State_Recognition.xlsm</x:v>
      </x:c>
      <x:c r="AL104" s="9" t="str">
        <x:v>GR00T vision only Results</x:v>
      </x:c>
      <x:c r="AM104" s="9" t="n">
        <x:v>104</x:v>
      </x:c>
      <x:c r="AN104" s="9" t="n">
        <x:v>104</x:v>
      </x:c>
    </x:row>
    <x:row r="105">
      <x:c r="A105" s="9" t="str">
        <x:v>Failure</x:v>
      </x:c>
      <x:c r="B105" s="9" t="str">
        <x:v>State Recognition</x:v>
      </x:c>
      <x:c r="C105" s="10" t="n">
        <x:v>103</x:v>
      </x:c>
      <x:c r="D105" s="9" t="str">
        <x:v>Place the upright glass spice container in the bowl.</x:v>
      </x:c>
      <x:c r="E105" s="9" t="str">
        <x:v>glass spice container B (C, RU); glass spice container A (C, UD); yellow-white striped cup B (O, UD)</x:v>
      </x:c>
      <x:c r="F105" s="9" t="str">
        <x:v>glass spice container B</x:v>
      </x:c>
      <x:c r="G105" s="9" t="str">
        <x:v>picked upside down container</x:v>
      </x:c>
      <x:c r="H105" s="9" t="str">
        <x:v>Concept/compositional transfer</x:v>
      </x:c>
      <x:c r="I105" s="9" t="str">
        <x:v>SR-CT44</x:v>
      </x:c>
      <x:c r="J105" s="9" t="str">
        <x:v>Primary held-out state-object composition</x:v>
      </x:c>
      <x:c r="K105" s="9"/>
      <x:c r="L105" s="9" t="str">
        <x:v>172</x:v>
      </x:c>
      <x:c r="M105" s="9" t="str">
        <x:v>Physical-state and manipulation-trajectory reference under a direct category prompt; the evaluated state word × object-category cell is intentionally absent from training.</x:v>
      </x:c>
      <x:c r="N105" s="9" t="n">
        <x:v>4</x:v>
      </x:c>
      <x:c r="O105" s="9" t="str">
        <x:v>Build the listed same-category discrimination scene with the bowl empty.</x:v>
      </x:c>
      <x:c r="P105" s="9" t="str">
        <x:v>Two same-category candidates share the non-queried state axis; only the held-out state word identifies the target. The same-category candidates share the orthogonal C/O state (C).</x:v>
      </x:c>
      <x:c r="Q105" s="9"/>
      <x:c r="R105" s="10" t="n">
        <x:v>3</x:v>
      </x:c>
      <x:c r="S105" s="10" t="n">
        <x:v>1</x:v>
      </x:c>
      <x:c r="T105" s="9" t="str">
        <x:v>Empty</x:v>
      </x:c>
      <x:c r="U105" s="9" t="str">
        <x:v>RU</x:v>
      </x:c>
      <x:c r="V105" s="9" t="str">
        <x:v>glass spice container</x:v>
      </x:c>
      <x:c r="W105" s="9"/>
      <x:c r="X105" s="10"/>
      <x:c r="Y105" s="10"/>
      <x:c r="Z105" s="9"/>
      <x:c r="AA105" s="9"/>
      <x:c r="AB105" s="9"/>
      <x:c r="AC105" s="9"/>
      <x:c r="AD105" s="9"/>
      <x:c r="AE105" s="9"/>
      <x:c r="AF105" s="9"/>
      <x:c r="AG105" s="9"/>
      <x:c r="AH105" s="9"/>
      <x:c r="AI105" s="11"/>
      <x:c r="AJ105" s="9"/>
      <x:c r="AK105" s="9" t="str">
        <x:v>Eval_State_Recognition.xlsm</x:v>
      </x:c>
      <x:c r="AL105" s="9" t="str">
        <x:v>GR00T vision only Results</x:v>
      </x:c>
      <x:c r="AM105" s="9" t="n">
        <x:v>105</x:v>
      </x:c>
      <x:c r="AN105" s="9" t="n">
        <x:v>105</x:v>
      </x:c>
    </x:row>
    <x:row r="106">
      <x:c r="A106" s="9" t="str">
        <x:v>Failure</x:v>
      </x:c>
      <x:c r="B106" s="9" t="str">
        <x:v>State Recognition</x:v>
      </x:c>
      <x:c r="C106" s="10" t="n">
        <x:v>104</x:v>
      </x:c>
      <x:c r="D106" s="9" t="str">
        <x:v>Place the upside-down white cup in the bowl.</x:v>
      </x:c>
      <x:c r="E106" s="9" t="str">
        <x:v>white cup A (O, UD); white cup B (O, RU); glass spice container A (C, RU); yellow-white striped cup B (O, RU)</x:v>
      </x:c>
      <x:c r="F106" s="9" t="str">
        <x:v>white cup A</x:v>
      </x:c>
      <x:c r="G106" s="9" t="str">
        <x:v>picked upright cup</x:v>
      </x:c>
      <x:c r="H106" s="9" t="str">
        <x:v>Concept/compositional transfer</x:v>
      </x:c>
      <x:c r="I106" s="9" t="str">
        <x:v>SR-CT45</x:v>
      </x:c>
      <x:c r="J106" s="9" t="str">
        <x:v>Primary held-out state-object composition</x:v>
      </x:c>
      <x:c r="K106" s="9"/>
      <x:c r="L106" s="9" t="str">
        <x:v>32</x:v>
      </x:c>
      <x:c r="M106" s="9" t="str">
        <x:v>Physical-state and manipulation-trajectory reference under a direct category prompt; the evaluated state word × object-category cell is intentionally absent from training.</x:v>
      </x:c>
      <x:c r="N106" s="9" t="n">
        <x:v>4</x:v>
      </x:c>
      <x:c r="O106" s="9" t="str">
        <x:v>Build the listed same-category discrimination scene with the bowl empty.</x:v>
      </x:c>
      <x:c r="P106" s="9" t="str">
        <x:v>Two same-category candidates share the non-queried state axis; only the held-out state word identifies the target. The same-category candidates share the orthogonal C/O state (O).</x:v>
      </x:c>
      <x:c r="Q106" s="9"/>
      <x:c r="R106" s="10" t="n">
        <x:v>4</x:v>
      </x:c>
      <x:c r="S106" s="10" t="n">
        <x:v>1</x:v>
      </x:c>
      <x:c r="T106" s="9" t="str">
        <x:v>Empty</x:v>
      </x:c>
      <x:c r="U106" s="9" t="str">
        <x:v>UD</x:v>
      </x:c>
      <x:c r="V106" s="9" t="str">
        <x:v>white cup</x:v>
      </x:c>
      <x:c r="W106" s="9"/>
      <x:c r="X106" s="10"/>
      <x:c r="Y106" s="10"/>
      <x:c r="Z106" s="9"/>
      <x:c r="AA106" s="9"/>
      <x:c r="AB106" s="9"/>
      <x:c r="AC106" s="9"/>
      <x:c r="AD106" s="9"/>
      <x:c r="AE106" s="9"/>
      <x:c r="AF106" s="9"/>
      <x:c r="AG106" s="9"/>
      <x:c r="AH106" s="9"/>
      <x:c r="AI106" s="11"/>
      <x:c r="AJ106" s="9"/>
      <x:c r="AK106" s="9" t="str">
        <x:v>Eval_State_Recognition.xlsm</x:v>
      </x:c>
      <x:c r="AL106" s="9" t="str">
        <x:v>GR00T vision only Results</x:v>
      </x:c>
      <x:c r="AM106" s="9" t="n">
        <x:v>106</x:v>
      </x:c>
      <x:c r="AN106" s="9" t="n">
        <x:v>106</x:v>
      </x:c>
    </x:row>
    <x:row r="107">
      <x:c r="A107" s="9" t="str">
        <x:v>Success</x:v>
      </x:c>
      <x:c r="B107" s="9" t="str">
        <x:v>State Recognition</x:v>
      </x:c>
      <x:c r="C107" s="10" t="n">
        <x:v>105</x:v>
      </x:c>
      <x:c r="D107" s="9" t="str">
        <x:v>Place the open yellow-white striped cup in the bowl.</x:v>
      </x:c>
      <x:c r="E107" s="9" t="str">
        <x:v>yellow-white striped cup B (O, RU); yellow-white striped cup A (C, RU)</x:v>
      </x:c>
      <x:c r="F107" s="9" t="str">
        <x:v>yellow-white striped cup B</x:v>
      </x:c>
      <x:c r="G107" s="9"/>
      <x:c r="H107" s="9" t="str">
        <x:v>Concept/compositional transfer</x:v>
      </x:c>
      <x:c r="I107" s="9" t="str">
        <x:v>SR-CT46</x:v>
      </x:c>
      <x:c r="J107" s="9" t="str">
        <x:v>Primary held-out state-object composition</x:v>
      </x:c>
      <x:c r="K107" s="9"/>
      <x:c r="L107" s="9" t="str">
        <x:v>53</x:v>
      </x:c>
      <x:c r="M107"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107" s="9" t="n">
        <x:v>4</x:v>
      </x:c>
      <x:c r="O107" s="9" t="str">
        <x:v>Build the listed same-category discrimination scene with the bowl empty.</x:v>
      </x:c>
      <x:c r="P107" s="9" t="str">
        <x:v>Two same-category candidates share the non-queried state axis; only the held-out state word identifies the target. The orthogonal orientation axis is fixed: every object is RU.</x:v>
      </x:c>
      <x:c r="Q107" s="9"/>
      <x:c r="R107" s="10" t="n">
        <x:v>2</x:v>
      </x:c>
      <x:c r="S107" s="10" t="n">
        <x:v>1</x:v>
      </x:c>
      <x:c r="T107" s="9" t="str">
        <x:v>Empty</x:v>
      </x:c>
      <x:c r="U107" s="9" t="str">
        <x:v>O</x:v>
      </x:c>
      <x:c r="V107" s="9" t="str">
        <x:v>yellow-white striped cup</x:v>
      </x:c>
      <x:c r="W107" s="9"/>
      <x:c r="X107" s="10"/>
      <x:c r="Y107" s="10"/>
      <x:c r="Z107" s="9"/>
      <x:c r="AA107" s="9"/>
      <x:c r="AB107" s="9"/>
      <x:c r="AC107" s="9"/>
      <x:c r="AD107" s="9"/>
      <x:c r="AE107" s="9"/>
      <x:c r="AF107" s="9"/>
      <x:c r="AG107" s="9"/>
      <x:c r="AH107" s="9"/>
      <x:c r="AI107" s="11"/>
      <x:c r="AJ107" s="9"/>
      <x:c r="AK107" s="9" t="str">
        <x:v>Eval_State_Recognition.xlsm</x:v>
      </x:c>
      <x:c r="AL107" s="9" t="str">
        <x:v>GR00T vision only Results</x:v>
      </x:c>
      <x:c r="AM107" s="9" t="n">
        <x:v>107</x:v>
      </x:c>
      <x:c r="AN107" s="9" t="n">
        <x:v>107</x:v>
      </x:c>
    </x:row>
    <x:row r="108">
      <x:c r="A108" s="9" t="str">
        <x:v>Failure</x:v>
      </x:c>
      <x:c r="B108" s="9" t="str">
        <x:v>State Recognition</x:v>
      </x:c>
      <x:c r="C108" s="10" t="n">
        <x:v>106</x:v>
      </x:c>
      <x:c r="D108" s="9" t="str">
        <x:v>Place the closed brown cup in the bowl.</x:v>
      </x:c>
      <x:c r="E108" s="9" t="str">
        <x:v>brown cup A (C, RU); brown cup B (O, RU); yellow-white striped cup A (C, RU)</x:v>
      </x:c>
      <x:c r="F108" s="9" t="str">
        <x:v>brown cup A</x:v>
      </x:c>
      <x:c r="G108" s="9" t="str">
        <x:v>picked open brown cup</x:v>
      </x:c>
      <x:c r="H108" s="9" t="str">
        <x:v>Concept/compositional transfer</x:v>
      </x:c>
      <x:c r="I108" s="9" t="str">
        <x:v>SR-CT47</x:v>
      </x:c>
      <x:c r="J108" s="9" t="str">
        <x:v>Primary held-out state-object composition</x:v>
      </x:c>
      <x:c r="K108" s="9"/>
      <x:c r="L108" s="9" t="str">
        <x:v>129</x:v>
      </x:c>
      <x:c r="M108"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108" s="9" t="n">
        <x:v>4</x:v>
      </x:c>
      <x:c r="O108" s="9" t="str">
        <x:v>Build the listed same-category discrimination scene with the bowl empty.</x:v>
      </x:c>
      <x:c r="P108" s="9" t="str">
        <x:v>Two same-category candidates share the non-queried state axis; only the held-out state word identifies the target. The orthogonal orientation axis is fixed: every object is RU.</x:v>
      </x:c>
      <x:c r="Q108" s="9"/>
      <x:c r="R108" s="10" t="n">
        <x:v>3</x:v>
      </x:c>
      <x:c r="S108" s="10" t="n">
        <x:v>1</x:v>
      </x:c>
      <x:c r="T108" s="9" t="str">
        <x:v>Empty</x:v>
      </x:c>
      <x:c r="U108" s="9" t="str">
        <x:v>C</x:v>
      </x:c>
      <x:c r="V108" s="9" t="str">
        <x:v>brown cup</x:v>
      </x:c>
      <x:c r="W108" s="9"/>
      <x:c r="X108" s="10"/>
      <x:c r="Y108" s="10"/>
      <x:c r="Z108" s="9"/>
      <x:c r="AA108" s="9"/>
      <x:c r="AB108" s="9"/>
      <x:c r="AC108" s="9"/>
      <x:c r="AD108" s="9"/>
      <x:c r="AE108" s="9"/>
      <x:c r="AF108" s="9"/>
      <x:c r="AG108" s="9"/>
      <x:c r="AH108" s="9"/>
      <x:c r="AI108" s="11"/>
      <x:c r="AJ108" s="9"/>
      <x:c r="AK108" s="9" t="str">
        <x:v>Eval_State_Recognition.xlsm</x:v>
      </x:c>
      <x:c r="AL108" s="9" t="str">
        <x:v>GR00T vision only Results</x:v>
      </x:c>
      <x:c r="AM108" s="9" t="n">
        <x:v>108</x:v>
      </x:c>
      <x:c r="AN108" s="9" t="n">
        <x:v>108</x:v>
      </x:c>
    </x:row>
    <x:row r="109">
      <x:c r="A109" s="9" t="str">
        <x:v>Failure</x:v>
      </x:c>
      <x:c r="B109" s="9" t="str">
        <x:v>State Recognition</x:v>
      </x:c>
      <x:c r="C109" s="10" t="n">
        <x:v>107</x:v>
      </x:c>
      <x:c r="D109" s="9" t="str">
        <x:v>Place the upright glass spice container in the bowl.</x:v>
      </x:c>
      <x:c r="E109" s="9" t="str">
        <x:v>glass spice container B (O, RU); glass spice container A (O, UD); brown cup B (O, UD); white cup A (C, RU)</x:v>
      </x:c>
      <x:c r="F109" s="9" t="str">
        <x:v>glass spice container B</x:v>
      </x:c>
      <x:c r="G109" s="9" t="str">
        <x:v>picked upside down container</x:v>
      </x:c>
      <x:c r="H109" s="9" t="str">
        <x:v>Concept/compositional transfer</x:v>
      </x:c>
      <x:c r="I109" s="9" t="str">
        <x:v>SR-CT48</x:v>
      </x:c>
      <x:c r="J109" s="9" t="str">
        <x:v>Primary held-out state-object composition</x:v>
      </x:c>
      <x:c r="K109" s="9"/>
      <x:c r="L109" s="9" t="str">
        <x:v>157</x:v>
      </x:c>
      <x:c r="M109" s="9" t="str">
        <x:v>Physical-state and manipulation-trajectory reference under a direct category prompt; the evaluated state word × object-category cell is intentionally absent from training.</x:v>
      </x:c>
      <x:c r="N109" s="9" t="n">
        <x:v>4</x:v>
      </x:c>
      <x:c r="O109" s="9" t="str">
        <x:v>Build the listed same-category discrimination scene with the bowl empty.</x:v>
      </x:c>
      <x:c r="P109" s="9" t="str">
        <x:v>Two same-category candidates share the non-queried state axis; only the held-out state word identifies the target. The same-category candidates share the orthogonal C/O state (O).</x:v>
      </x:c>
      <x:c r="Q109" s="9"/>
      <x:c r="R109" s="10" t="n">
        <x:v>4</x:v>
      </x:c>
      <x:c r="S109" s="10" t="n">
        <x:v>1</x:v>
      </x:c>
      <x:c r="T109" s="9" t="str">
        <x:v>Empty</x:v>
      </x:c>
      <x:c r="U109" s="9" t="str">
        <x:v>RU</x:v>
      </x:c>
      <x:c r="V109" s="9" t="str">
        <x:v>glass spice container</x:v>
      </x:c>
      <x:c r="W109" s="9"/>
      <x:c r="X109" s="10"/>
      <x:c r="Y109" s="10"/>
      <x:c r="Z109" s="9"/>
      <x:c r="AA109" s="9"/>
      <x:c r="AB109" s="9"/>
      <x:c r="AC109" s="9"/>
      <x:c r="AD109" s="9"/>
      <x:c r="AE109" s="9"/>
      <x:c r="AF109" s="9"/>
      <x:c r="AG109" s="9"/>
      <x:c r="AH109" s="9"/>
      <x:c r="AI109" s="11"/>
      <x:c r="AJ109" s="9"/>
      <x:c r="AK109" s="9" t="str">
        <x:v>Eval_State_Recognition.xlsm</x:v>
      </x:c>
      <x:c r="AL109" s="9" t="str">
        <x:v>GR00T vision only Results</x:v>
      </x:c>
      <x:c r="AM109" s="9" t="n">
        <x:v>109</x:v>
      </x:c>
      <x:c r="AN109" s="9" t="n">
        <x:v>109</x:v>
      </x:c>
    </x:row>
    <x:row r="110">
      <x:c r="A110" s="9" t="str">
        <x:v>Success</x:v>
      </x:c>
      <x:c r="B110" s="9" t="str">
        <x:v>State Recognition</x:v>
      </x:c>
      <x:c r="C110" s="10" t="n">
        <x:v>108</x:v>
      </x:c>
      <x:c r="D110" s="9" t="str">
        <x:v>Place the upside-down white cup in the bowl.</x:v>
      </x:c>
      <x:c r="E110" s="9" t="str">
        <x:v>white cup A (C, UD); white cup B (C, RU)</x:v>
      </x:c>
      <x:c r="F110" s="9" t="str">
        <x:v>white cup A</x:v>
      </x:c>
      <x:c r="G110" s="9" t="str">
        <x:v>popped off lid</x:v>
      </x:c>
      <x:c r="H110" s="9" t="str">
        <x:v>Concept/compositional transfer</x:v>
      </x:c>
      <x:c r="I110" s="9" t="str">
        <x:v>SR-CT49</x:v>
      </x:c>
      <x:c r="J110" s="9" t="str">
        <x:v>Primary held-out state-object composition</x:v>
      </x:c>
      <x:c r="K110" s="9"/>
      <x:c r="L110" s="9" t="str">
        <x:v>35</x:v>
      </x:c>
      <x:c r="M110" s="9" t="str">
        <x:v>Physical-state and manipulation-trajectory reference under a direct category prompt; the evaluated state word × object-category cell is intentionally absent from training.</x:v>
      </x:c>
      <x:c r="N110" s="9" t="n">
        <x:v>4</x:v>
      </x:c>
      <x:c r="O110" s="9" t="str">
        <x:v>Build the listed same-category discrimination scene with the bowl empty.</x:v>
      </x:c>
      <x:c r="P110" s="9" t="str">
        <x:v>Two same-category candidates share the non-queried state axis; only the held-out state word identifies the target. The same-category candidates share the orthogonal C/O state (C).</x:v>
      </x:c>
      <x:c r="Q110" s="9"/>
      <x:c r="R110" s="10" t="n">
        <x:v>2</x:v>
      </x:c>
      <x:c r="S110" s="10" t="n">
        <x:v>1</x:v>
      </x:c>
      <x:c r="T110" s="9" t="str">
        <x:v>Empty</x:v>
      </x:c>
      <x:c r="U110" s="9" t="str">
        <x:v>UD</x:v>
      </x:c>
      <x:c r="V110" s="9" t="str">
        <x:v>white cup</x:v>
      </x:c>
      <x:c r="W110" s="9"/>
      <x:c r="X110" s="10"/>
      <x:c r="Y110" s="10"/>
      <x:c r="Z110" s="9"/>
      <x:c r="AA110" s="9"/>
      <x:c r="AB110" s="9"/>
      <x:c r="AC110" s="9"/>
      <x:c r="AD110" s="9"/>
      <x:c r="AE110" s="9"/>
      <x:c r="AF110" s="9"/>
      <x:c r="AG110" s="9"/>
      <x:c r="AH110" s="9"/>
      <x:c r="AI110" s="11"/>
      <x:c r="AJ110" s="9"/>
      <x:c r="AK110" s="9" t="str">
        <x:v>Eval_State_Recognition.xlsm</x:v>
      </x:c>
      <x:c r="AL110" s="9" t="str">
        <x:v>GR00T vision only Results</x:v>
      </x:c>
      <x:c r="AM110" s="9" t="n">
        <x:v>110</x:v>
      </x:c>
      <x:c r="AN110" s="9" t="n">
        <x:v>110</x:v>
      </x:c>
    </x:row>
    <x:row r="111">
      <x:c r="A111" s="9" t="str">
        <x:v>Failure</x:v>
      </x:c>
      <x:c r="B111" s="9" t="str">
        <x:v>State Recognition</x:v>
      </x:c>
      <x:c r="C111" s="10" t="n">
        <x:v>109</x:v>
      </x:c>
      <x:c r="D111" s="9" t="str">
        <x:v>Place the open yellow-white striped cup in the bowl.</x:v>
      </x:c>
      <x:c r="E111" s="9" t="str">
        <x:v>yellow-white striped cup B (O, RU); yellow-white striped cup A (C, RU); brown cup B (O, RU)</x:v>
      </x:c>
      <x:c r="F111" s="9" t="str">
        <x:v>yellow-white striped cup B</x:v>
      </x:c>
      <x:c r="G111" s="9" t="str">
        <x:v>picked the closed striped cup</x:v>
      </x:c>
      <x:c r="H111" s="9" t="str">
        <x:v>Concept/compositional transfer</x:v>
      </x:c>
      <x:c r="I111" s="9" t="str">
        <x:v>SR-CT50</x:v>
      </x:c>
      <x:c r="J111" s="9" t="str">
        <x:v>Primary held-out state-object composition</x:v>
      </x:c>
      <x:c r="K111" s="9"/>
      <x:c r="L111" s="9" t="str">
        <x:v>64</x:v>
      </x:c>
      <x:c r="M111"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111" s="9" t="n">
        <x:v>4</x:v>
      </x:c>
      <x:c r="O111" s="9" t="str">
        <x:v>Build the listed same-category discrimination scene with the bowl empty.</x:v>
      </x:c>
      <x:c r="P111" s="9" t="str">
        <x:v>Two same-category candidates share the non-queried state axis; only the held-out state word identifies the target. The orthogonal orientation axis is fixed: every object is RU.</x:v>
      </x:c>
      <x:c r="Q111" s="9"/>
      <x:c r="R111" s="10" t="n">
        <x:v>3</x:v>
      </x:c>
      <x:c r="S111" s="10" t="n">
        <x:v>1</x:v>
      </x:c>
      <x:c r="T111" s="9" t="str">
        <x:v>Empty</x:v>
      </x:c>
      <x:c r="U111" s="9" t="str">
        <x:v>O</x:v>
      </x:c>
      <x:c r="V111" s="9" t="str">
        <x:v>yellow-white striped cup</x:v>
      </x:c>
      <x:c r="W111" s="9"/>
      <x:c r="X111" s="10"/>
      <x:c r="Y111" s="10"/>
      <x:c r="Z111" s="9"/>
      <x:c r="AA111" s="9"/>
      <x:c r="AB111" s="9"/>
      <x:c r="AC111" s="9"/>
      <x:c r="AD111" s="9"/>
      <x:c r="AE111" s="9"/>
      <x:c r="AF111" s="9"/>
      <x:c r="AG111" s="9"/>
      <x:c r="AH111" s="9"/>
      <x:c r="AI111" s="11"/>
      <x:c r="AJ111" s="9"/>
      <x:c r="AK111" s="9" t="str">
        <x:v>Eval_State_Recognition.xlsm</x:v>
      </x:c>
      <x:c r="AL111" s="9" t="str">
        <x:v>GR00T vision only Results</x:v>
      </x:c>
      <x:c r="AM111" s="9" t="n">
        <x:v>111</x:v>
      </x:c>
      <x:c r="AN111" s="9" t="n">
        <x:v>111</x:v>
      </x:c>
    </x:row>
    <x:row r="112">
      <x:c r="A112" s="9" t="str">
        <x:v>Success</x:v>
      </x:c>
      <x:c r="B112" s="9" t="str">
        <x:v>State Recognition</x:v>
      </x:c>
      <x:c r="C112" s="10" t="n">
        <x:v>110</x:v>
      </x:c>
      <x:c r="D112" s="9" t="str">
        <x:v>Place the closed black cup in the bowl.</x:v>
      </x:c>
      <x:c r="E112" s="9" t="str">
        <x:v>black cup A (C, RU); black cup B (O, RU)</x:v>
      </x:c>
      <x:c r="F112" s="9" t="str">
        <x:v>black cup A</x:v>
      </x:c>
      <x:c r="G112" s="9"/>
      <x:c r="H112" s="9" t="str">
        <x:v>Novel-object state reasoning</x:v>
      </x:c>
      <x:c r="I112" s="9" t="str">
        <x:v>SR-BLACK-CF01</x:v>
      </x:c>
      <x:c r="J112" s="9" t="str">
        <x:v>Exact-scene counterfactual globally unseen black-cup state reasoning</x:v>
      </x:c>
      <x:c r="K112" s="9"/>
      <x:c r="L112" s="9" t="n">
        <x:v>0</x:v>
      </x:c>
      <x:c r="M112" s="9" t="str">
        <x:v>State-word concept reference from training episode 0; black cups are globally unseen. This is an exact-scene state counterfactual pair, not a direct-name manipulation control.</x:v>
      </x:c>
      <x:c r="N112" s="9" t="n">
        <x:v>5</x:v>
      </x:c>
      <x:c r="O112" s="9" t="str">
        <x:v>Build the listed scene with both black cups and an empty bowl.</x:v>
      </x:c>
      <x:c r="P112" s="9" t="str">
        <x:v>Counterfactual C/O pair: both black cups and every distractor are RU; only the queried state word changes the correct black cup.</x:v>
      </x:c>
      <x:c r="Q112" s="9"/>
      <x:c r="R112" s="10" t="n">
        <x:v>2</x:v>
      </x:c>
      <x:c r="S112" s="10" t="n">
        <x:v>1</x:v>
      </x:c>
      <x:c r="T112" s="9" t="str">
        <x:v>Empty</x:v>
      </x:c>
      <x:c r="U112" s="9" t="str">
        <x:v>C</x:v>
      </x:c>
      <x:c r="V112" s="9" t="str">
        <x:v>black cup</x:v>
      </x:c>
      <x:c r="W112" s="9"/>
      <x:c r="X112" s="10"/>
      <x:c r="Y112" s="10"/>
      <x:c r="Z112" s="9"/>
      <x:c r="AA112" s="9"/>
      <x:c r="AB112" s="9"/>
      <x:c r="AC112" s="9"/>
      <x:c r="AD112" s="9"/>
      <x:c r="AE112" s="9"/>
      <x:c r="AF112" s="9"/>
      <x:c r="AG112" s="9"/>
      <x:c r="AH112" s="9"/>
      <x:c r="AI112" s="11"/>
      <x:c r="AJ112" s="9"/>
      <x:c r="AK112" s="9" t="str">
        <x:v>Eval_State_Recognition.xlsm</x:v>
      </x:c>
      <x:c r="AL112" s="9" t="str">
        <x:v>GR00T vision only Results</x:v>
      </x:c>
      <x:c r="AM112" s="9" t="n">
        <x:v>112</x:v>
      </x:c>
      <x:c r="AN112" s="9" t="n">
        <x:v>112</x:v>
      </x:c>
    </x:row>
    <x:row r="113">
      <x:c r="A113" s="9" t="str">
        <x:v>Success</x:v>
      </x:c>
      <x:c r="B113" s="9" t="str">
        <x:v>State Recognition</x:v>
      </x:c>
      <x:c r="C113" s="10" t="n">
        <x:v>111</x:v>
      </x:c>
      <x:c r="D113" s="9" t="str">
        <x:v>Place the open black cup in the bowl.</x:v>
      </x:c>
      <x:c r="E113" s="9" t="str">
        <x:v>black cup A (C, RU); black cup B (O, RU)</x:v>
      </x:c>
      <x:c r="F113" s="9" t="str">
        <x:v>black cup B</x:v>
      </x:c>
      <x:c r="G113" s="9"/>
      <x:c r="H113" s="9" t="str">
        <x:v>Novel-object state reasoning</x:v>
      </x:c>
      <x:c r="I113" s="9" t="str">
        <x:v>SR-BLACK-CF01</x:v>
      </x:c>
      <x:c r="J113" s="9" t="str">
        <x:v>Exact-scene counterfactual globally unseen black-cup state reasoning</x:v>
      </x:c>
      <x:c r="K113" s="9" t="n">
        <x:v>110</x:v>
      </x:c>
      <x:c r="L113" s="9" t="n">
        <x:v>101</x:v>
      </x:c>
      <x:c r="M113" s="9" t="str">
        <x:v>State-word concept reference from training episode 101; black cups are globally unseen. This is an exact-scene state counterfactual pair, not a direct-name manipulation control.</x:v>
      </x:c>
      <x:c r="N113" s="9" t="n">
        <x:v>5</x:v>
      </x:c>
      <x:c r="O113" s="9" t="str">
        <x:v>Reset the moved black cup to its marked pose; preserve the exact scene and change only the state word in the prompt.</x:v>
      </x:c>
      <x:c r="P113" s="9" t="str">
        <x:v>Counterfactual C/O pair: both black cups and every distractor are RU; only the queried state word changes the correct black cup.</x:v>
      </x:c>
      <x:c r="Q113" s="9"/>
      <x:c r="R113" s="10" t="n">
        <x:v>2</x:v>
      </x:c>
      <x:c r="S113" s="10" t="n">
        <x:v>1</x:v>
      </x:c>
      <x:c r="T113" s="9" t="str">
        <x:v>Empty</x:v>
      </x:c>
      <x:c r="U113" s="9" t="str">
        <x:v>O</x:v>
      </x:c>
      <x:c r="V113" s="9" t="str">
        <x:v>black cup</x:v>
      </x:c>
      <x:c r="W113" s="9"/>
      <x:c r="X113" s="10"/>
      <x:c r="Y113" s="10"/>
      <x:c r="Z113" s="9"/>
      <x:c r="AA113" s="9"/>
      <x:c r="AB113" s="9"/>
      <x:c r="AC113" s="9"/>
      <x:c r="AD113" s="9"/>
      <x:c r="AE113" s="9"/>
      <x:c r="AF113" s="9"/>
      <x:c r="AG113" s="9"/>
      <x:c r="AH113" s="9"/>
      <x:c r="AI113" s="11"/>
      <x:c r="AJ113" s="9"/>
      <x:c r="AK113" s="9" t="str">
        <x:v>Eval_State_Recognition.xlsm</x:v>
      </x:c>
      <x:c r="AL113" s="9" t="str">
        <x:v>GR00T vision only Results</x:v>
      </x:c>
      <x:c r="AM113" s="9" t="n">
        <x:v>113</x:v>
      </x:c>
      <x:c r="AN113" s="9" t="n">
        <x:v>113</x:v>
      </x:c>
    </x:row>
    <x:row r="114">
      <x:c r="A114" s="9" t="str">
        <x:v>Failure</x:v>
      </x:c>
      <x:c r="B114" s="9" t="str">
        <x:v>State Recognition</x:v>
      </x:c>
      <x:c r="C114" s="10" t="n">
        <x:v>112</x:v>
      </x:c>
      <x:c r="D114" s="9" t="str">
        <x:v>Place the upside-down black cup in the bowl.</x:v>
      </x:c>
      <x:c r="E114" s="9" t="str">
        <x:v>black cup A (C, UD); black cup B (C, RU); yellow-white striped cup B (O, UD)</x:v>
      </x:c>
      <x:c r="F114" s="9" t="str">
        <x:v>black cup A</x:v>
      </x:c>
      <x:c r="G114" s="9" t="str">
        <x:v>tried to pick upright cup but couldn't failed reasoning and grasping</x:v>
      </x:c>
      <x:c r="H114" s="9" t="str">
        <x:v>Novel-object state reasoning</x:v>
      </x:c>
      <x:c r="I114" s="9" t="str">
        <x:v>SR-BLACK-CF02</x:v>
      </x:c>
      <x:c r="J114" s="9" t="str">
        <x:v>Exact-scene counterfactual globally unseen black-cup state reasoning</x:v>
      </x:c>
      <x:c r="K114" s="9"/>
      <x:c r="L114" s="9" t="n">
        <x:v>78</x:v>
      </x:c>
      <x:c r="M114" s="9" t="str">
        <x:v>State-word concept reference from training episode 78; black cups are globally unseen. This is an exact-scene state counterfactual pair, not a direct-name manipulation control.</x:v>
      </x:c>
      <x:c r="N114" s="9" t="n">
        <x:v>5</x:v>
      </x:c>
      <x:c r="O114" s="9" t="str">
        <x:v>Build the listed scene with both black cups and an empty bowl.</x:v>
      </x:c>
      <x:c r="P114" s="9" t="str">
        <x:v>Counterfactual UD/RU pair: both black cups share the orthogonal C/O state (C); only the queried state word changes the correct black cup.</x:v>
      </x:c>
      <x:c r="Q114" s="9"/>
      <x:c r="R114" s="10" t="n">
        <x:v>3</x:v>
      </x:c>
      <x:c r="S114" s="10" t="n">
        <x:v>1</x:v>
      </x:c>
      <x:c r="T114" s="9" t="str">
        <x:v>Empty</x:v>
      </x:c>
      <x:c r="U114" s="9" t="str">
        <x:v>UD</x:v>
      </x:c>
      <x:c r="V114" s="9" t="str">
        <x:v>black cup</x:v>
      </x:c>
      <x:c r="W114" s="9"/>
      <x:c r="X114" s="10"/>
      <x:c r="Y114" s="10"/>
      <x:c r="Z114" s="9"/>
      <x:c r="AA114" s="9"/>
      <x:c r="AB114" s="9"/>
      <x:c r="AC114" s="9"/>
      <x:c r="AD114" s="9"/>
      <x:c r="AE114" s="9"/>
      <x:c r="AF114" s="9"/>
      <x:c r="AG114" s="9"/>
      <x:c r="AH114" s="9"/>
      <x:c r="AI114" s="11"/>
      <x:c r="AJ114" s="9"/>
      <x:c r="AK114" s="9" t="str">
        <x:v>Eval_State_Recognition.xlsm</x:v>
      </x:c>
      <x:c r="AL114" s="9" t="str">
        <x:v>GR00T vision only Results</x:v>
      </x:c>
      <x:c r="AM114" s="9" t="n">
        <x:v>114</x:v>
      </x:c>
      <x:c r="AN114" s="9" t="n">
        <x:v>114</x:v>
      </x:c>
    </x:row>
    <x:row r="115">
      <x:c r="A115" s="9" t="str">
        <x:v>Success</x:v>
      </x:c>
      <x:c r="B115" s="9" t="str">
        <x:v>State Recognition</x:v>
      </x:c>
      <x:c r="C115" s="10" t="n">
        <x:v>113</x:v>
      </x:c>
      <x:c r="D115" s="9" t="str">
        <x:v>Place the upright black cup in the bowl.</x:v>
      </x:c>
      <x:c r="E115" s="9" t="str">
        <x:v>black cup A (C, UD); black cup B (C, RU); yellow-white striped cup B (O, UD)</x:v>
      </x:c>
      <x:c r="F115" s="9" t="str">
        <x:v>black cup B</x:v>
      </x:c>
      <x:c r="G115" s="9"/>
      <x:c r="H115" s="9" t="str">
        <x:v>Novel-object state reasoning</x:v>
      </x:c>
      <x:c r="I115" s="9" t="str">
        <x:v>SR-BLACK-CF02</x:v>
      </x:c>
      <x:c r="J115" s="9" t="str">
        <x:v>Exact-scene counterfactual globally unseen black-cup state reasoning</x:v>
      </x:c>
      <x:c r="K115" s="9" t="n">
        <x:v>112</x:v>
      </x:c>
      <x:c r="L115" s="9" t="n">
        <x:v>26</x:v>
      </x:c>
      <x:c r="M115" s="9" t="str">
        <x:v>State-word concept reference from training episode 26; black cups are globally unseen. This is an exact-scene state counterfactual pair, not a direct-name manipulation control.</x:v>
      </x:c>
      <x:c r="N115" s="9" t="n">
        <x:v>5</x:v>
      </x:c>
      <x:c r="O115" s="9" t="str">
        <x:v>Reset the moved black cup to its marked pose; preserve the exact scene and change only the state word in the prompt.</x:v>
      </x:c>
      <x:c r="P115" s="9" t="str">
        <x:v>Counterfactual UD/RU pair: both black cups share the orthogonal C/O state (C); only the queried state word changes the correct black cup.</x:v>
      </x:c>
      <x:c r="Q115" s="9"/>
      <x:c r="R115" s="10" t="n">
        <x:v>3</x:v>
      </x:c>
      <x:c r="S115" s="10" t="n">
        <x:v>1</x:v>
      </x:c>
      <x:c r="T115" s="9" t="str">
        <x:v>Empty</x:v>
      </x:c>
      <x:c r="U115" s="9" t="str">
        <x:v>RU</x:v>
      </x:c>
      <x:c r="V115" s="9" t="str">
        <x:v>black cup</x:v>
      </x:c>
      <x:c r="W115" s="9"/>
      <x:c r="X115" s="10"/>
      <x:c r="Y115" s="10"/>
      <x:c r="Z115" s="9"/>
      <x:c r="AA115" s="9"/>
      <x:c r="AB115" s="9"/>
      <x:c r="AC115" s="9"/>
      <x:c r="AD115" s="9"/>
      <x:c r="AE115" s="9"/>
      <x:c r="AF115" s="9"/>
      <x:c r="AG115" s="9"/>
      <x:c r="AH115" s="9"/>
      <x:c r="AI115" s="11"/>
      <x:c r="AJ115" s="9"/>
      <x:c r="AK115" s="9" t="str">
        <x:v>Eval_State_Recognition.xlsm</x:v>
      </x:c>
      <x:c r="AL115" s="9" t="str">
        <x:v>GR00T vision only Results</x:v>
      </x:c>
      <x:c r="AM115" s="9" t="n">
        <x:v>115</x:v>
      </x:c>
      <x:c r="AN115" s="9" t="n">
        <x:v>115</x:v>
      </x:c>
    </x:row>
    <x:row r="116">
      <x:c r="A116" s="9" t="str">
        <x:v>Success</x:v>
      </x:c>
      <x:c r="B116" s="9" t="str">
        <x:v>State Recognition</x:v>
      </x:c>
      <x:c r="C116" s="10" t="n">
        <x:v>114</x:v>
      </x:c>
      <x:c r="D116" s="9" t="str">
        <x:v>Place the closed black cup in the bowl.</x:v>
      </x:c>
      <x:c r="E116" s="9" t="str">
        <x:v>black cup A (O, RU); black cup B (C, RU); brown cup A (C, RU); glass spice container B (O, RU)</x:v>
      </x:c>
      <x:c r="F116" s="9" t="str">
        <x:v>black cup B</x:v>
      </x:c>
      <x:c r="G116" s="9"/>
      <x:c r="H116" s="9" t="str">
        <x:v>Novel-object state reasoning</x:v>
      </x:c>
      <x:c r="I116" s="9" t="str">
        <x:v>SR-BLACK-CF03</x:v>
      </x:c>
      <x:c r="J116" s="9" t="str">
        <x:v>Exact-scene counterfactual globally unseen black-cup state reasoning</x:v>
      </x:c>
      <x:c r="K116" s="9"/>
      <x:c r="L116" s="9" t="n">
        <x:v>0</x:v>
      </x:c>
      <x:c r="M116" s="9" t="str">
        <x:v>State-word concept reference from training episode 0; black cups are globally unseen. This is an exact-scene state counterfactual pair, not a direct-name manipulation control.</x:v>
      </x:c>
      <x:c r="N116" s="9" t="n">
        <x:v>5</x:v>
      </x:c>
      <x:c r="O116" s="9" t="str">
        <x:v>Build the listed scene with both black cups and an empty bowl.</x:v>
      </x:c>
      <x:c r="P116" s="9" t="str">
        <x:v>Counterfactual C/O pair: both black cups and every distractor are RU; only the queried state word changes the correct black cup.</x:v>
      </x:c>
      <x:c r="Q116" s="9"/>
      <x:c r="R116" s="10" t="n">
        <x:v>4</x:v>
      </x:c>
      <x:c r="S116" s="10" t="n">
        <x:v>1</x:v>
      </x:c>
      <x:c r="T116" s="9" t="str">
        <x:v>Empty</x:v>
      </x:c>
      <x:c r="U116" s="9" t="str">
        <x:v>C</x:v>
      </x:c>
      <x:c r="V116" s="9" t="str">
        <x:v>black cup</x:v>
      </x:c>
      <x:c r="W116" s="9"/>
      <x:c r="X116" s="10"/>
      <x:c r="Y116" s="10"/>
      <x:c r="Z116" s="9"/>
      <x:c r="AA116" s="9"/>
      <x:c r="AB116" s="9"/>
      <x:c r="AC116" s="9"/>
      <x:c r="AD116" s="9"/>
      <x:c r="AE116" s="9"/>
      <x:c r="AF116" s="9"/>
      <x:c r="AG116" s="9"/>
      <x:c r="AH116" s="9"/>
      <x:c r="AI116" s="11"/>
      <x:c r="AJ116" s="9"/>
      <x:c r="AK116" s="9" t="str">
        <x:v>Eval_State_Recognition.xlsm</x:v>
      </x:c>
      <x:c r="AL116" s="9" t="str">
        <x:v>GR00T vision only Results</x:v>
      </x:c>
      <x:c r="AM116" s="9" t="n">
        <x:v>116</x:v>
      </x:c>
      <x:c r="AN116" s="9" t="n">
        <x:v>116</x:v>
      </x:c>
    </x:row>
    <x:row r="117">
      <x:c r="A117" s="9" t="str">
        <x:v>Failure</x:v>
      </x:c>
      <x:c r="B117" s="9" t="str">
        <x:v>State Recognition</x:v>
      </x:c>
      <x:c r="C117" s="10" t="n">
        <x:v>115</x:v>
      </x:c>
      <x:c r="D117" s="9" t="str">
        <x:v>Place the open black cup in the bowl.</x:v>
      </x:c>
      <x:c r="E117" s="9" t="str">
        <x:v>black cup A (O, RU); black cup B (C, RU); brown cup A (C, RU); glass spice container B (O, RU)</x:v>
      </x:c>
      <x:c r="F117" s="9" t="str">
        <x:v>black cup A</x:v>
      </x:c>
      <x:c r="G117" s="9" t="str">
        <x:v>picked the closed black cup</x:v>
      </x:c>
      <x:c r="H117" s="9" t="str">
        <x:v>Novel-object state reasoning</x:v>
      </x:c>
      <x:c r="I117" s="9" t="str">
        <x:v>SR-BLACK-CF03</x:v>
      </x:c>
      <x:c r="J117" s="9" t="str">
        <x:v>Exact-scene counterfactual globally unseen black-cup state reasoning</x:v>
      </x:c>
      <x:c r="K117" s="9" t="n">
        <x:v>114</x:v>
      </x:c>
      <x:c r="L117" s="9" t="n">
        <x:v>101</x:v>
      </x:c>
      <x:c r="M117" s="9" t="str">
        <x:v>State-word concept reference from training episode 101; black cups are globally unseen. This is an exact-scene state counterfactual pair, not a direct-name manipulation control.</x:v>
      </x:c>
      <x:c r="N117" s="9" t="n">
        <x:v>5</x:v>
      </x:c>
      <x:c r="O117" s="9" t="str">
        <x:v>Reset the moved black cup to its marked pose; preserve the exact scene and change only the state word in the prompt.</x:v>
      </x:c>
      <x:c r="P117" s="9" t="str">
        <x:v>Counterfactual C/O pair: both black cups and every distractor are RU; only the queried state word changes the correct black cup.</x:v>
      </x:c>
      <x:c r="Q117" s="9"/>
      <x:c r="R117" s="10" t="n">
        <x:v>4</x:v>
      </x:c>
      <x:c r="S117" s="10" t="n">
        <x:v>1</x:v>
      </x:c>
      <x:c r="T117" s="9" t="str">
        <x:v>Empty</x:v>
      </x:c>
      <x:c r="U117" s="9" t="str">
        <x:v>O</x:v>
      </x:c>
      <x:c r="V117" s="9" t="str">
        <x:v>black cup</x:v>
      </x:c>
      <x:c r="W117" s="9"/>
      <x:c r="X117" s="10"/>
      <x:c r="Y117" s="10"/>
      <x:c r="Z117" s="9"/>
      <x:c r="AA117" s="9"/>
      <x:c r="AB117" s="9"/>
      <x:c r="AC117" s="9"/>
      <x:c r="AD117" s="9"/>
      <x:c r="AE117" s="9"/>
      <x:c r="AF117" s="9"/>
      <x:c r="AG117" s="9"/>
      <x:c r="AH117" s="9"/>
      <x:c r="AI117" s="11"/>
      <x:c r="AJ117" s="9"/>
      <x:c r="AK117" s="9" t="str">
        <x:v>Eval_State_Recognition.xlsm</x:v>
      </x:c>
      <x:c r="AL117" s="9" t="str">
        <x:v>GR00T vision only Results</x:v>
      </x:c>
      <x:c r="AM117" s="9" t="n">
        <x:v>117</x:v>
      </x:c>
      <x:c r="AN117" s="9" t="n">
        <x:v>117</x:v>
      </x:c>
    </x:row>
    <x:row r="118">
      <x:c r="A118" s="9" t="str">
        <x:v>Failure</x:v>
      </x:c>
      <x:c r="B118" s="9" t="str">
        <x:v>State Recognition</x:v>
      </x:c>
      <x:c r="C118" s="10" t="n">
        <x:v>116</x:v>
      </x:c>
      <x:c r="D118" s="9" t="str">
        <x:v>Place the upside-down black cup in the bowl.</x:v>
      </x:c>
      <x:c r="E118" s="9" t="str">
        <x:v>black cup A (O, RU); black cup B (O, UD)</x:v>
      </x:c>
      <x:c r="F118" s="9" t="str">
        <x:v>black cup B</x:v>
      </x:c>
      <x:c r="G118" s="9" t="str">
        <x:v>picked upright cup</x:v>
      </x:c>
      <x:c r="H118" s="9" t="str">
        <x:v>Novel-object state reasoning</x:v>
      </x:c>
      <x:c r="I118" s="9" t="str">
        <x:v>SR-BLACK-CF04</x:v>
      </x:c>
      <x:c r="J118" s="9" t="str">
        <x:v>Exact-scene counterfactual globally unseen black-cup state reasoning</x:v>
      </x:c>
      <x:c r="K118" s="9"/>
      <x:c r="L118" s="9" t="n">
        <x:v>78</x:v>
      </x:c>
      <x:c r="M118" s="9" t="str">
        <x:v>State-word concept reference from training episode 78; black cups are globally unseen. This is an exact-scene state counterfactual pair, not a direct-name manipulation control.</x:v>
      </x:c>
      <x:c r="N118" s="9" t="n">
        <x:v>5</x:v>
      </x:c>
      <x:c r="O118" s="9" t="str">
        <x:v>Build the listed scene with both black cups and an empty bowl.</x:v>
      </x:c>
      <x:c r="P118" s="9" t="str">
        <x:v>Counterfactual UD/RU pair: both black cups share the orthogonal C/O state (O); only the queried state word changes the correct black cup.</x:v>
      </x:c>
      <x:c r="Q118" s="9"/>
      <x:c r="R118" s="10" t="n">
        <x:v>2</x:v>
      </x:c>
      <x:c r="S118" s="10" t="n">
        <x:v>1</x:v>
      </x:c>
      <x:c r="T118" s="9" t="str">
        <x:v>Empty</x:v>
      </x:c>
      <x:c r="U118" s="9" t="str">
        <x:v>UD</x:v>
      </x:c>
      <x:c r="V118" s="9" t="str">
        <x:v>black cup</x:v>
      </x:c>
      <x:c r="W118" s="9"/>
      <x:c r="X118" s="10"/>
      <x:c r="Y118" s="10"/>
      <x:c r="Z118" s="9"/>
      <x:c r="AA118" s="9"/>
      <x:c r="AB118" s="9"/>
      <x:c r="AC118" s="9"/>
      <x:c r="AD118" s="9"/>
      <x:c r="AE118" s="9"/>
      <x:c r="AF118" s="9"/>
      <x:c r="AG118" s="9"/>
      <x:c r="AH118" s="9"/>
      <x:c r="AI118" s="11"/>
      <x:c r="AJ118" s="9"/>
      <x:c r="AK118" s="9" t="str">
        <x:v>Eval_State_Recognition.xlsm</x:v>
      </x:c>
      <x:c r="AL118" s="9" t="str">
        <x:v>GR00T vision only Results</x:v>
      </x:c>
      <x:c r="AM118" s="9" t="n">
        <x:v>118</x:v>
      </x:c>
      <x:c r="AN118" s="9" t="n">
        <x:v>118</x:v>
      </x:c>
    </x:row>
    <x:row r="119">
      <x:c r="A119" s="9" t="str">
        <x:v>Success</x:v>
      </x:c>
      <x:c r="B119" s="9" t="str">
        <x:v>State Recognition</x:v>
      </x:c>
      <x:c r="C119" s="10" t="n">
        <x:v>117</x:v>
      </x:c>
      <x:c r="D119" s="9" t="str">
        <x:v>Place the upright black cup in the bowl.</x:v>
      </x:c>
      <x:c r="E119" s="9" t="str">
        <x:v>black cup A (O, RU); black cup B (O, UD)</x:v>
      </x:c>
      <x:c r="F119" s="9" t="str">
        <x:v>black cup A</x:v>
      </x:c>
      <x:c r="G119" s="9"/>
      <x:c r="H119" s="9" t="str">
        <x:v>Novel-object state reasoning</x:v>
      </x:c>
      <x:c r="I119" s="9" t="str">
        <x:v>SR-BLACK-CF04</x:v>
      </x:c>
      <x:c r="J119" s="9" t="str">
        <x:v>Exact-scene counterfactual globally unseen black-cup state reasoning</x:v>
      </x:c>
      <x:c r="K119" s="9" t="n">
        <x:v>116</x:v>
      </x:c>
      <x:c r="L119" s="9" t="n">
        <x:v>26</x:v>
      </x:c>
      <x:c r="M119" s="9" t="str">
        <x:v>State-word concept reference from training episode 26; black cups are globally unseen. This is an exact-scene state counterfactual pair, not a direct-name manipulation control.</x:v>
      </x:c>
      <x:c r="N119" s="9" t="n">
        <x:v>5</x:v>
      </x:c>
      <x:c r="O119" s="9" t="str">
        <x:v>Reset the moved black cup to its marked pose; preserve the exact scene and change only the state word in the prompt.</x:v>
      </x:c>
      <x:c r="P119" s="9" t="str">
        <x:v>Counterfactual UD/RU pair: both black cups share the orthogonal C/O state (O); only the queried state word changes the correct black cup.</x:v>
      </x:c>
      <x:c r="Q119" s="9"/>
      <x:c r="R119" s="10" t="n">
        <x:v>2</x:v>
      </x:c>
      <x:c r="S119" s="10" t="n">
        <x:v>1</x:v>
      </x:c>
      <x:c r="T119" s="9" t="str">
        <x:v>Empty</x:v>
      </x:c>
      <x:c r="U119" s="9" t="str">
        <x:v>RU</x:v>
      </x:c>
      <x:c r="V119" s="9" t="str">
        <x:v>black cup</x:v>
      </x:c>
      <x:c r="W119" s="9"/>
      <x:c r="X119" s="10"/>
      <x:c r="Y119" s="10"/>
      <x:c r="Z119" s="9"/>
      <x:c r="AA119" s="9"/>
      <x:c r="AB119" s="9"/>
      <x:c r="AC119" s="9"/>
      <x:c r="AD119" s="9"/>
      <x:c r="AE119" s="9"/>
      <x:c r="AF119" s="9"/>
      <x:c r="AG119" s="9"/>
      <x:c r="AH119" s="9"/>
      <x:c r="AI119" s="11"/>
      <x:c r="AJ119" s="9"/>
      <x:c r="AK119" s="9" t="str">
        <x:v>Eval_State_Recognition.xlsm</x:v>
      </x:c>
      <x:c r="AL119" s="9" t="str">
        <x:v>GR00T vision only Results</x:v>
      </x:c>
      <x:c r="AM119" s="9" t="n">
        <x:v>119</x:v>
      </x:c>
      <x:c r="AN119" s="9" t="n">
        <x:v>119</x:v>
      </x:c>
    </x:row>
    <x:row r="120">
      <x:c r="A120" s="9" t="str">
        <x:v>Failure</x:v>
      </x:c>
      <x:c r="B120" s="9" t="str">
        <x:v>State Recognition</x:v>
      </x:c>
      <x:c r="C120" s="10" t="n">
        <x:v>118</x:v>
      </x:c>
      <x:c r="D120" s="9" t="str">
        <x:v>Place the closed black cup in the bowl.</x:v>
      </x:c>
      <x:c r="E120" s="9" t="str">
        <x:v>black cup A (C, RU); black cup B (O, RU); white cup A (C, RU)</x:v>
      </x:c>
      <x:c r="F120" s="9" t="str">
        <x:v>black cup A</x:v>
      </x:c>
      <x:c r="G120" s="9" t="str">
        <x:v>tried to pick closed white cup, but didn't grasp it</x:v>
      </x:c>
      <x:c r="H120" s="9" t="str">
        <x:v>Novel-object state reasoning</x:v>
      </x:c>
      <x:c r="I120" s="9" t="str">
        <x:v>SR-BLACK-CF05</x:v>
      </x:c>
      <x:c r="J120" s="9" t="str">
        <x:v>Exact-scene counterfactual globally unseen black-cup state reasoning</x:v>
      </x:c>
      <x:c r="K120" s="9"/>
      <x:c r="L120" s="9" t="n">
        <x:v>0</x:v>
      </x:c>
      <x:c r="M120" s="9" t="str">
        <x:v>State-word concept reference from training episode 0; black cups are globally unseen. This is an exact-scene state counterfactual pair, not a direct-name manipulation control.</x:v>
      </x:c>
      <x:c r="N120" s="9" t="n">
        <x:v>5</x:v>
      </x:c>
      <x:c r="O120" s="9" t="str">
        <x:v>Build the listed scene with both black cups and an empty bowl.</x:v>
      </x:c>
      <x:c r="P120" s="9" t="str">
        <x:v>Counterfactual C/O pair: both black cups and every distractor are RU; only the queried state word changes the correct black cup.</x:v>
      </x:c>
      <x:c r="Q120" s="9"/>
      <x:c r="R120" s="10" t="n">
        <x:v>3</x:v>
      </x:c>
      <x:c r="S120" s="10" t="n">
        <x:v>1</x:v>
      </x:c>
      <x:c r="T120" s="9" t="str">
        <x:v>Empty</x:v>
      </x:c>
      <x:c r="U120" s="9" t="str">
        <x:v>C</x:v>
      </x:c>
      <x:c r="V120" s="9" t="str">
        <x:v>black cup</x:v>
      </x:c>
      <x:c r="W120" s="9"/>
      <x:c r="X120" s="10"/>
      <x:c r="Y120" s="10"/>
      <x:c r="Z120" s="9"/>
      <x:c r="AA120" s="9"/>
      <x:c r="AB120" s="9"/>
      <x:c r="AC120" s="9"/>
      <x:c r="AD120" s="9"/>
      <x:c r="AE120" s="9"/>
      <x:c r="AF120" s="9"/>
      <x:c r="AG120" s="9"/>
      <x:c r="AH120" s="9"/>
      <x:c r="AI120" s="11"/>
      <x:c r="AJ120" s="9"/>
      <x:c r="AK120" s="9" t="str">
        <x:v>Eval_State_Recognition.xlsm</x:v>
      </x:c>
      <x:c r="AL120" s="9" t="str">
        <x:v>GR00T vision only Results</x:v>
      </x:c>
      <x:c r="AM120" s="9" t="n">
        <x:v>120</x:v>
      </x:c>
      <x:c r="AN120" s="9" t="n">
        <x:v>120</x:v>
      </x:c>
    </x:row>
    <x:row r="121">
      <x:c r="A121" s="9" t="str">
        <x:v>Failure</x:v>
      </x:c>
      <x:c r="B121" s="9" t="str">
        <x:v>State Recognition</x:v>
      </x:c>
      <x:c r="C121" s="10" t="n">
        <x:v>119</x:v>
      </x:c>
      <x:c r="D121" s="9" t="str">
        <x:v>Place the open black cup in the bowl.</x:v>
      </x:c>
      <x:c r="E121" s="9" t="str">
        <x:v>black cup A (C, RU); black cup B (O, RU); white cup A (C, RU)</x:v>
      </x:c>
      <x:c r="F121" s="9" t="str">
        <x:v>black cup B</x:v>
      </x:c>
      <x:c r="G121" s="9" t="str">
        <x:v>picked the closed white cup</x:v>
      </x:c>
      <x:c r="H121" s="9" t="str">
        <x:v>Novel-object state reasoning</x:v>
      </x:c>
      <x:c r="I121" s="9" t="str">
        <x:v>SR-BLACK-CF05</x:v>
      </x:c>
      <x:c r="J121" s="9" t="str">
        <x:v>Exact-scene counterfactual globally unseen black-cup state reasoning</x:v>
      </x:c>
      <x:c r="K121" s="9" t="n">
        <x:v>118</x:v>
      </x:c>
      <x:c r="L121" s="9" t="n">
        <x:v>101</x:v>
      </x:c>
      <x:c r="M121" s="9" t="str">
        <x:v>State-word concept reference from training episode 101; black cups are globally unseen. This is an exact-scene state counterfactual pair, not a direct-name manipulation control.</x:v>
      </x:c>
      <x:c r="N121" s="9" t="n">
        <x:v>5</x:v>
      </x:c>
      <x:c r="O121" s="9" t="str">
        <x:v>Reset the moved black cup to its marked pose; preserve the exact scene and change only the state word in the prompt.</x:v>
      </x:c>
      <x:c r="P121" s="9" t="str">
        <x:v>Counterfactual C/O pair: both black cups and every distractor are RU; only the queried state word changes the correct black cup.</x:v>
      </x:c>
      <x:c r="Q121" s="9"/>
      <x:c r="R121" s="10" t="n">
        <x:v>3</x:v>
      </x:c>
      <x:c r="S121" s="10" t="n">
        <x:v>1</x:v>
      </x:c>
      <x:c r="T121" s="9" t="str">
        <x:v>Empty</x:v>
      </x:c>
      <x:c r="U121" s="9" t="str">
        <x:v>O</x:v>
      </x:c>
      <x:c r="V121" s="9" t="str">
        <x:v>black cup</x:v>
      </x:c>
      <x:c r="W121" s="9"/>
      <x:c r="X121" s="10"/>
      <x:c r="Y121" s="10"/>
      <x:c r="Z121" s="9"/>
      <x:c r="AA121" s="9"/>
      <x:c r="AB121" s="9"/>
      <x:c r="AC121" s="9"/>
      <x:c r="AD121" s="9"/>
      <x:c r="AE121" s="9"/>
      <x:c r="AF121" s="9"/>
      <x:c r="AG121" s="9"/>
      <x:c r="AH121" s="9"/>
      <x:c r="AI121" s="11"/>
      <x:c r="AJ121" s="9"/>
      <x:c r="AK121" s="9" t="str">
        <x:v>Eval_State_Recognition.xlsm</x:v>
      </x:c>
      <x:c r="AL121" s="9" t="str">
        <x:v>GR00T vision only Results</x:v>
      </x:c>
      <x:c r="AM121" s="9" t="n">
        <x:v>121</x:v>
      </x:c>
      <x:c r="AN121" s="9" t="n">
        <x:v>121</x:v>
      </x:c>
    </x:row>
    <x:row r="122">
      <x:c r="A122" s="9" t="str">
        <x:v>Failure</x:v>
      </x:c>
      <x:c r="B122" s="9" t="str">
        <x:v>State Recognition</x:v>
      </x:c>
      <x:c r="C122" s="10" t="n">
        <x:v>120</x:v>
      </x:c>
      <x:c r="D122" s="9" t="str">
        <x:v>Place the upside-down black cup in the bowl.</x:v>
      </x:c>
      <x:c r="E122" s="9" t="str">
        <x:v>black cup A (C, UD); black cup B (C, RU); yellow-white striped cup B (O, UD); brown cup A (C, RU)</x:v>
      </x:c>
      <x:c r="F122" s="9" t="str">
        <x:v>black cup A</x:v>
      </x:c>
      <x:c r="G122" s="9" t="str">
        <x:v>picked upright black cup</x:v>
      </x:c>
      <x:c r="H122" s="9" t="str">
        <x:v>Novel-object state reasoning</x:v>
      </x:c>
      <x:c r="I122" s="9" t="str">
        <x:v>SR-BLACK-CF06</x:v>
      </x:c>
      <x:c r="J122" s="9" t="str">
        <x:v>Exact-scene counterfactual globally unseen black-cup state reasoning</x:v>
      </x:c>
      <x:c r="K122" s="9"/>
      <x:c r="L122" s="9" t="n">
        <x:v>78</x:v>
      </x:c>
      <x:c r="M122" s="9" t="str">
        <x:v>State-word concept reference from training episode 78; black cups are globally unseen. This is an exact-scene state counterfactual pair, not a direct-name manipulation control.</x:v>
      </x:c>
      <x:c r="N122" s="9" t="n">
        <x:v>5</x:v>
      </x:c>
      <x:c r="O122" s="9" t="str">
        <x:v>Build the listed scene with both black cups and an empty bowl.</x:v>
      </x:c>
      <x:c r="P122" s="9" t="str">
        <x:v>Counterfactual UD/RU pair: both black cups share the orthogonal C/O state (C); only the queried state word changes the correct black cup.</x:v>
      </x:c>
      <x:c r="Q122" s="9"/>
      <x:c r="R122" s="10" t="n">
        <x:v>4</x:v>
      </x:c>
      <x:c r="S122" s="10" t="n">
        <x:v>1</x:v>
      </x:c>
      <x:c r="T122" s="9" t="str">
        <x:v>Empty</x:v>
      </x:c>
      <x:c r="U122" s="9" t="str">
        <x:v>UD</x:v>
      </x:c>
      <x:c r="V122" s="9" t="str">
        <x:v>black cup</x:v>
      </x:c>
      <x:c r="W122" s="9"/>
      <x:c r="X122" s="10"/>
      <x:c r="Y122" s="10"/>
      <x:c r="Z122" s="9"/>
      <x:c r="AA122" s="9"/>
      <x:c r="AB122" s="9"/>
      <x:c r="AC122" s="9"/>
      <x:c r="AD122" s="9"/>
      <x:c r="AE122" s="9"/>
      <x:c r="AF122" s="9"/>
      <x:c r="AG122" s="9"/>
      <x:c r="AH122" s="9"/>
      <x:c r="AI122" s="11"/>
      <x:c r="AJ122" s="9"/>
      <x:c r="AK122" s="9" t="str">
        <x:v>Eval_State_Recognition.xlsm</x:v>
      </x:c>
      <x:c r="AL122" s="9" t="str">
        <x:v>GR00T vision only Results</x:v>
      </x:c>
      <x:c r="AM122" s="9" t="n">
        <x:v>122</x:v>
      </x:c>
      <x:c r="AN122" s="9" t="n">
        <x:v>122</x:v>
      </x:c>
    </x:row>
    <x:row r="123">
      <x:c r="A123" s="9" t="str">
        <x:v>Success</x:v>
      </x:c>
      <x:c r="B123" s="9" t="str">
        <x:v>State Recognition</x:v>
      </x:c>
      <x:c r="C123" s="10" t="n">
        <x:v>121</x:v>
      </x:c>
      <x:c r="D123" s="9" t="str">
        <x:v>Place the upright black cup in the bowl.</x:v>
      </x:c>
      <x:c r="E123" s="9" t="str">
        <x:v>black cup A (C, UD); black cup B (C, RU); yellow-white striped cup B (O, UD); brown cup A (C, RU)</x:v>
      </x:c>
      <x:c r="F123" s="9" t="str">
        <x:v>black cup B</x:v>
      </x:c>
      <x:c r="G123" s="9"/>
      <x:c r="H123" s="9" t="str">
        <x:v>Novel-object state reasoning</x:v>
      </x:c>
      <x:c r="I123" s="9" t="str">
        <x:v>SR-BLACK-CF06</x:v>
      </x:c>
      <x:c r="J123" s="9" t="str">
        <x:v>Exact-scene counterfactual globally unseen black-cup state reasoning</x:v>
      </x:c>
      <x:c r="K123" s="9" t="n">
        <x:v>120</x:v>
      </x:c>
      <x:c r="L123" s="9" t="n">
        <x:v>26</x:v>
      </x:c>
      <x:c r="M123" s="9" t="str">
        <x:v>State-word concept reference from training episode 26; black cups are globally unseen. This is an exact-scene state counterfactual pair, not a direct-name manipulation control.</x:v>
      </x:c>
      <x:c r="N123" s="9" t="n">
        <x:v>5</x:v>
      </x:c>
      <x:c r="O123" s="9" t="str">
        <x:v>Reset the moved black cup to its marked pose; preserve the exact scene and change only the state word in the prompt.</x:v>
      </x:c>
      <x:c r="P123" s="9" t="str">
        <x:v>Counterfactual UD/RU pair: both black cups share the orthogonal C/O state (C); only the queried state word changes the correct black cup.</x:v>
      </x:c>
      <x:c r="Q123" s="9"/>
      <x:c r="R123" s="10" t="n">
        <x:v>4</x:v>
      </x:c>
      <x:c r="S123" s="10" t="n">
        <x:v>1</x:v>
      </x:c>
      <x:c r="T123" s="9" t="str">
        <x:v>Empty</x:v>
      </x:c>
      <x:c r="U123" s="9" t="str">
        <x:v>RU</x:v>
      </x:c>
      <x:c r="V123" s="9" t="str">
        <x:v>black cup</x:v>
      </x:c>
      <x:c r="W123" s="9"/>
      <x:c r="X123" s="10"/>
      <x:c r="Y123" s="10"/>
      <x:c r="Z123" s="9"/>
      <x:c r="AA123" s="9"/>
      <x:c r="AB123" s="9"/>
      <x:c r="AC123" s="9"/>
      <x:c r="AD123" s="9"/>
      <x:c r="AE123" s="9"/>
      <x:c r="AF123" s="9"/>
      <x:c r="AG123" s="9"/>
      <x:c r="AH123" s="9"/>
      <x:c r="AI123" s="11"/>
      <x:c r="AJ123" s="9"/>
      <x:c r="AK123" s="9" t="str">
        <x:v>Eval_State_Recognition.xlsm</x:v>
      </x:c>
      <x:c r="AL123" s="9" t="str">
        <x:v>GR00T vision only Results</x:v>
      </x:c>
      <x:c r="AM123" s="9" t="n">
        <x:v>123</x:v>
      </x:c>
      <x:c r="AN123" s="9" t="n">
        <x:v>123</x:v>
      </x:c>
    </x:row>
    <x:row r="124">
      <x:c r="A124" s="9" t="str">
        <x:v>Success</x:v>
      </x:c>
      <x:c r="B124" s="9" t="str">
        <x:v>State Recognition</x:v>
      </x:c>
      <x:c r="C124" s="10" t="n">
        <x:v>122</x:v>
      </x:c>
      <x:c r="D124" s="9" t="str">
        <x:v>Place the closed black cup in the bowl.</x:v>
      </x:c>
      <x:c r="E124" s="9" t="str">
        <x:v>black cup A (O, RU); black cup B (C, RU)</x:v>
      </x:c>
      <x:c r="F124" s="9" t="str">
        <x:v>black cup B</x:v>
      </x:c>
      <x:c r="G124" s="9" t="str">
        <x:v>struggled to grasp but did get it</x:v>
      </x:c>
      <x:c r="H124" s="9" t="str">
        <x:v>Novel-object state reasoning</x:v>
      </x:c>
      <x:c r="I124" s="9" t="str">
        <x:v>SR-BLACK-CF07</x:v>
      </x:c>
      <x:c r="J124" s="9" t="str">
        <x:v>Exact-scene counterfactual globally unseen black-cup state reasoning</x:v>
      </x:c>
      <x:c r="K124" s="9"/>
      <x:c r="L124" s="9" t="n">
        <x:v>0</x:v>
      </x:c>
      <x:c r="M124" s="9" t="str">
        <x:v>State-word concept reference from training episode 0; black cups are globally unseen. This is an exact-scene state counterfactual pair, not a direct-name manipulation control.</x:v>
      </x:c>
      <x:c r="N124" s="9" t="n">
        <x:v>5</x:v>
      </x:c>
      <x:c r="O124" s="9" t="str">
        <x:v>Build the listed scene with both black cups and an empty bowl.</x:v>
      </x:c>
      <x:c r="P124" s="9" t="str">
        <x:v>Counterfactual C/O pair: both black cups and every distractor are RU; only the queried state word changes the correct black cup.</x:v>
      </x:c>
      <x:c r="Q124" s="9"/>
      <x:c r="R124" s="10" t="n">
        <x:v>2</x:v>
      </x:c>
      <x:c r="S124" s="10" t="n">
        <x:v>1</x:v>
      </x:c>
      <x:c r="T124" s="9" t="str">
        <x:v>Empty</x:v>
      </x:c>
      <x:c r="U124" s="9" t="str">
        <x:v>C</x:v>
      </x:c>
      <x:c r="V124" s="9" t="str">
        <x:v>black cup</x:v>
      </x:c>
      <x:c r="W124" s="9"/>
      <x:c r="X124" s="10"/>
      <x:c r="Y124" s="10"/>
      <x:c r="Z124" s="9"/>
      <x:c r="AA124" s="9"/>
      <x:c r="AB124" s="9"/>
      <x:c r="AC124" s="9"/>
      <x:c r="AD124" s="9"/>
      <x:c r="AE124" s="9"/>
      <x:c r="AF124" s="9"/>
      <x:c r="AG124" s="9"/>
      <x:c r="AH124" s="9"/>
      <x:c r="AI124" s="11"/>
      <x:c r="AJ124" s="9"/>
      <x:c r="AK124" s="9" t="str">
        <x:v>Eval_State_Recognition.xlsm</x:v>
      </x:c>
      <x:c r="AL124" s="9" t="str">
        <x:v>GR00T vision only Results</x:v>
      </x:c>
      <x:c r="AM124" s="9" t="n">
        <x:v>124</x:v>
      </x:c>
      <x:c r="AN124" s="9" t="n">
        <x:v>124</x:v>
      </x:c>
    </x:row>
    <x:row r="125">
      <x:c r="A125" s="9" t="str">
        <x:v>Failure</x:v>
      </x:c>
      <x:c r="B125" s="9" t="str">
        <x:v>State Recognition</x:v>
      </x:c>
      <x:c r="C125" s="10" t="n">
        <x:v>123</x:v>
      </x:c>
      <x:c r="D125" s="9" t="str">
        <x:v>Place the open black cup in the bowl.</x:v>
      </x:c>
      <x:c r="E125" s="9" t="str">
        <x:v>black cup A (O, RU); black cup B (C, RU)</x:v>
      </x:c>
      <x:c r="F125" s="9" t="str">
        <x:v>black cup A</x:v>
      </x:c>
      <x:c r="G125" s="9" t="str">
        <x:v>picked closed cup</x:v>
      </x:c>
      <x:c r="H125" s="9" t="str">
        <x:v>Novel-object state reasoning</x:v>
      </x:c>
      <x:c r="I125" s="9" t="str">
        <x:v>SR-BLACK-CF07</x:v>
      </x:c>
      <x:c r="J125" s="9" t="str">
        <x:v>Exact-scene counterfactual globally unseen black-cup state reasoning</x:v>
      </x:c>
      <x:c r="K125" s="9" t="n">
        <x:v>122</x:v>
      </x:c>
      <x:c r="L125" s="9" t="n">
        <x:v>101</x:v>
      </x:c>
      <x:c r="M125" s="9" t="str">
        <x:v>State-word concept reference from training episode 101; black cups are globally unseen. This is an exact-scene state counterfactual pair, not a direct-name manipulation control.</x:v>
      </x:c>
      <x:c r="N125" s="9" t="n">
        <x:v>5</x:v>
      </x:c>
      <x:c r="O125" s="9" t="str">
        <x:v>Reset the moved black cup to its marked pose; preserve the exact scene and change only the state word in the prompt.</x:v>
      </x:c>
      <x:c r="P125" s="9" t="str">
        <x:v>Counterfactual C/O pair: both black cups and every distractor are RU; only the queried state word changes the correct black cup.</x:v>
      </x:c>
      <x:c r="Q125" s="9"/>
      <x:c r="R125" s="10" t="n">
        <x:v>2</x:v>
      </x:c>
      <x:c r="S125" s="10" t="n">
        <x:v>1</x:v>
      </x:c>
      <x:c r="T125" s="9" t="str">
        <x:v>Empty</x:v>
      </x:c>
      <x:c r="U125" s="9" t="str">
        <x:v>O</x:v>
      </x:c>
      <x:c r="V125" s="9" t="str">
        <x:v>black cup</x:v>
      </x:c>
      <x:c r="W125" s="9"/>
      <x:c r="X125" s="10"/>
      <x:c r="Y125" s="10"/>
      <x:c r="Z125" s="9"/>
      <x:c r="AA125" s="9"/>
      <x:c r="AB125" s="9"/>
      <x:c r="AC125" s="9"/>
      <x:c r="AD125" s="9"/>
      <x:c r="AE125" s="9"/>
      <x:c r="AF125" s="9"/>
      <x:c r="AG125" s="9"/>
      <x:c r="AH125" s="9"/>
      <x:c r="AI125" s="11"/>
      <x:c r="AJ125" s="9"/>
      <x:c r="AK125" s="9" t="str">
        <x:v>Eval_State_Recognition.xlsm</x:v>
      </x:c>
      <x:c r="AL125" s="9" t="str">
        <x:v>GR00T vision only Results</x:v>
      </x:c>
      <x:c r="AM125" s="9" t="n">
        <x:v>125</x:v>
      </x:c>
      <x:c r="AN125" s="9" t="n">
        <x:v>125</x:v>
      </x:c>
    </x:row>
    <x:row r="126">
      <x:c r="A126" s="9" t="str">
        <x:v>Failure</x:v>
      </x:c>
      <x:c r="B126" s="9" t="str">
        <x:v>State Recognition</x:v>
      </x:c>
      <x:c r="C126" s="10" t="n">
        <x:v>124</x:v>
      </x:c>
      <x:c r="D126" s="9" t="str">
        <x:v>Place the upside-down black cup in the bowl.</x:v>
      </x:c>
      <x:c r="E126" s="9" t="str">
        <x:v>black cup A (O, RU); black cup B (O, UD); glass spice container B (O, UD)</x:v>
      </x:c>
      <x:c r="F126" s="9" t="str">
        <x:v>black cup B</x:v>
      </x:c>
      <x:c r="G126" s="9" t="str">
        <x:v>picked the upright</x:v>
      </x:c>
      <x:c r="H126" s="9" t="str">
        <x:v>Novel-object state reasoning</x:v>
      </x:c>
      <x:c r="I126" s="9" t="str">
        <x:v>SR-BLACK-CF08</x:v>
      </x:c>
      <x:c r="J126" s="9" t="str">
        <x:v>Exact-scene counterfactual globally unseen black-cup state reasoning</x:v>
      </x:c>
      <x:c r="K126" s="9"/>
      <x:c r="L126" s="9" t="n">
        <x:v>78</x:v>
      </x:c>
      <x:c r="M126" s="9" t="str">
        <x:v>State-word concept reference from training episode 78; black cups are globally unseen. This is an exact-scene state counterfactual pair, not a direct-name manipulation control.</x:v>
      </x:c>
      <x:c r="N126" s="9" t="n">
        <x:v>5</x:v>
      </x:c>
      <x:c r="O126" s="9" t="str">
        <x:v>Build the listed scene with both black cups and an empty bowl.</x:v>
      </x:c>
      <x:c r="P126" s="9" t="str">
        <x:v>Counterfactual UD/RU pair: both black cups share the orthogonal C/O state (O); only the queried state word changes the correct black cup.</x:v>
      </x:c>
      <x:c r="Q126" s="9"/>
      <x:c r="R126" s="10" t="n">
        <x:v>3</x:v>
      </x:c>
      <x:c r="S126" s="10" t="n">
        <x:v>1</x:v>
      </x:c>
      <x:c r="T126" s="9" t="str">
        <x:v>Empty</x:v>
      </x:c>
      <x:c r="U126" s="9" t="str">
        <x:v>UD</x:v>
      </x:c>
      <x:c r="V126" s="9" t="str">
        <x:v>black cup</x:v>
      </x:c>
      <x:c r="W126" s="9"/>
      <x:c r="X126" s="10"/>
      <x:c r="Y126" s="10"/>
      <x:c r="Z126" s="9"/>
      <x:c r="AA126" s="9"/>
      <x:c r="AB126" s="9"/>
      <x:c r="AC126" s="9"/>
      <x:c r="AD126" s="9"/>
      <x:c r="AE126" s="9"/>
      <x:c r="AF126" s="9"/>
      <x:c r="AG126" s="9"/>
      <x:c r="AH126" s="9"/>
      <x:c r="AI126" s="11"/>
      <x:c r="AJ126" s="9"/>
      <x:c r="AK126" s="9" t="str">
        <x:v>Eval_State_Recognition.xlsm</x:v>
      </x:c>
      <x:c r="AL126" s="9" t="str">
        <x:v>GR00T vision only Results</x:v>
      </x:c>
      <x:c r="AM126" s="9" t="n">
        <x:v>126</x:v>
      </x:c>
      <x:c r="AN126" s="9" t="n">
        <x:v>126</x:v>
      </x:c>
    </x:row>
    <x:row r="127">
      <x:c r="A127" s="9" t="str">
        <x:v>Success</x:v>
      </x:c>
      <x:c r="B127" s="9" t="str">
        <x:v>State Recognition</x:v>
      </x:c>
      <x:c r="C127" s="10" t="n">
        <x:v>125</x:v>
      </x:c>
      <x:c r="D127" s="9" t="str">
        <x:v>Place the upright black cup in the bowl.</x:v>
      </x:c>
      <x:c r="E127" s="9" t="str">
        <x:v>black cup A (O, RU); black cup B (O, UD); glass spice container B (O, UD)</x:v>
      </x:c>
      <x:c r="F127" s="9" t="str">
        <x:v>black cup A</x:v>
      </x:c>
      <x:c r="G127" s="9"/>
      <x:c r="H127" s="9" t="str">
        <x:v>Novel-object state reasoning</x:v>
      </x:c>
      <x:c r="I127" s="9" t="str">
        <x:v>SR-BLACK-CF08</x:v>
      </x:c>
      <x:c r="J127" s="9" t="str">
        <x:v>Exact-scene counterfactual globally unseen black-cup state reasoning</x:v>
      </x:c>
      <x:c r="K127" s="9" t="n">
        <x:v>124</x:v>
      </x:c>
      <x:c r="L127" s="9" t="n">
        <x:v>26</x:v>
      </x:c>
      <x:c r="M127" s="9" t="str">
        <x:v>State-word concept reference from training episode 26; black cups are globally unseen. This is an exact-scene state counterfactual pair, not a direct-name manipulation control.</x:v>
      </x:c>
      <x:c r="N127" s="9" t="n">
        <x:v>5</x:v>
      </x:c>
      <x:c r="O127" s="9" t="str">
        <x:v>Reset the moved black cup to its marked pose; preserve the exact scene and change only the state word in the prompt.</x:v>
      </x:c>
      <x:c r="P127" s="9" t="str">
        <x:v>Counterfactual UD/RU pair: both black cups share the orthogonal C/O state (O); only the queried state word changes the correct black cup.</x:v>
      </x:c>
      <x:c r="Q127" s="9"/>
      <x:c r="R127" s="10" t="n">
        <x:v>3</x:v>
      </x:c>
      <x:c r="S127" s="10" t="n">
        <x:v>1</x:v>
      </x:c>
      <x:c r="T127" s="9" t="str">
        <x:v>Empty</x:v>
      </x:c>
      <x:c r="U127" s="9" t="str">
        <x:v>RU</x:v>
      </x:c>
      <x:c r="V127" s="9" t="str">
        <x:v>black cup</x:v>
      </x:c>
      <x:c r="W127" s="9"/>
      <x:c r="X127" s="10"/>
      <x:c r="Y127" s="10"/>
      <x:c r="Z127" s="9"/>
      <x:c r="AA127" s="9"/>
      <x:c r="AB127" s="9"/>
      <x:c r="AC127" s="9"/>
      <x:c r="AD127" s="9"/>
      <x:c r="AE127" s="9"/>
      <x:c r="AF127" s="9"/>
      <x:c r="AG127" s="9"/>
      <x:c r="AH127" s="9"/>
      <x:c r="AI127" s="11"/>
      <x:c r="AJ127" s="9"/>
      <x:c r="AK127" s="9" t="str">
        <x:v>Eval_State_Recognition.xlsm</x:v>
      </x:c>
      <x:c r="AL127" s="9" t="str">
        <x:v>GR00T vision only Results</x:v>
      </x:c>
      <x:c r="AM127" s="9" t="n">
        <x:v>127</x:v>
      </x:c>
      <x:c r="AN127" s="9" t="n">
        <x:v>127</x:v>
      </x:c>
    </x:row>
    <x:row r="128">
      <x:c r="A128" s="9" t="str">
        <x:v>Failure</x:v>
      </x:c>
      <x:c r="B128" s="9" t="str">
        <x:v>State Recognition</x:v>
      </x:c>
      <x:c r="C128" s="10" t="n">
        <x:v>126</x:v>
      </x:c>
      <x:c r="D128" s="9" t="str">
        <x:v>Place the closed black cup in the bowl.</x:v>
      </x:c>
      <x:c r="E128" s="9" t="str">
        <x:v>black cup A (C, RU); black cup B (O, RU); white cup A (C, RU); yellow-white striped cup B (O, RU)</x:v>
      </x:c>
      <x:c r="F128" s="9" t="str">
        <x:v>black cup A</x:v>
      </x:c>
      <x:c r="G128" s="9" t="str">
        <x:v>tried to pick closed white cup but couldn't</x:v>
      </x:c>
      <x:c r="H128" s="9" t="str">
        <x:v>Novel-object state reasoning</x:v>
      </x:c>
      <x:c r="I128" s="9" t="str">
        <x:v>SR-BLACK-CF09</x:v>
      </x:c>
      <x:c r="J128" s="9" t="str">
        <x:v>Exact-scene counterfactual globally unseen black-cup state reasoning</x:v>
      </x:c>
      <x:c r="K128" s="9"/>
      <x:c r="L128" s="9" t="n">
        <x:v>0</x:v>
      </x:c>
      <x:c r="M128" s="9" t="str">
        <x:v>State-word concept reference from training episode 0; black cups are globally unseen. This is an exact-scene state counterfactual pair, not a direct-name manipulation control.</x:v>
      </x:c>
      <x:c r="N128" s="9" t="n">
        <x:v>5</x:v>
      </x:c>
      <x:c r="O128" s="9" t="str">
        <x:v>Build the listed scene with both black cups and an empty bowl.</x:v>
      </x:c>
      <x:c r="P128" s="9" t="str">
        <x:v>Counterfactual C/O pair: both black cups and every distractor are RU; only the queried state word changes the correct black cup.</x:v>
      </x:c>
      <x:c r="Q128" s="9"/>
      <x:c r="R128" s="10" t="n">
        <x:v>4</x:v>
      </x:c>
      <x:c r="S128" s="10" t="n">
        <x:v>1</x:v>
      </x:c>
      <x:c r="T128" s="9" t="str">
        <x:v>Empty</x:v>
      </x:c>
      <x:c r="U128" s="9" t="str">
        <x:v>C</x:v>
      </x:c>
      <x:c r="V128" s="9" t="str">
        <x:v>black cup</x:v>
      </x:c>
      <x:c r="W128" s="9"/>
      <x:c r="X128" s="10"/>
      <x:c r="Y128" s="10"/>
      <x:c r="Z128" s="9"/>
      <x:c r="AA128" s="9"/>
      <x:c r="AB128" s="9"/>
      <x:c r="AC128" s="9"/>
      <x:c r="AD128" s="9"/>
      <x:c r="AE128" s="9"/>
      <x:c r="AF128" s="9"/>
      <x:c r="AG128" s="9"/>
      <x:c r="AH128" s="9"/>
      <x:c r="AI128" s="11"/>
      <x:c r="AJ128" s="9"/>
      <x:c r="AK128" s="9" t="str">
        <x:v>Eval_State_Recognition.xlsm</x:v>
      </x:c>
      <x:c r="AL128" s="9" t="str">
        <x:v>GR00T vision only Results</x:v>
      </x:c>
      <x:c r="AM128" s="9" t="n">
        <x:v>128</x:v>
      </x:c>
      <x:c r="AN128" s="9" t="n">
        <x:v>128</x:v>
      </x:c>
    </x:row>
    <x:row r="129">
      <x:c r="A129" s="9" t="str">
        <x:v>Failure</x:v>
      </x:c>
      <x:c r="B129" s="9" t="str">
        <x:v>State Recognition</x:v>
      </x:c>
      <x:c r="C129" s="10" t="n">
        <x:v>127</x:v>
      </x:c>
      <x:c r="D129" s="9" t="str">
        <x:v>Place the open black cup in the bowl.</x:v>
      </x:c>
      <x:c r="E129" s="9" t="str">
        <x:v>black cup A (C, RU); black cup B (O, RU); white cup A (C, RU); yellow-white striped cup B (O, RU)</x:v>
      </x:c>
      <x:c r="F129" s="9" t="str">
        <x:v>black cup B</x:v>
      </x:c>
      <x:c r="G129" s="9" t="str">
        <x:v>picked the closed white cup</x:v>
      </x:c>
      <x:c r="H129" s="9" t="str">
        <x:v>Novel-object state reasoning</x:v>
      </x:c>
      <x:c r="I129" s="9" t="str">
        <x:v>SR-BLACK-CF09</x:v>
      </x:c>
      <x:c r="J129" s="9" t="str">
        <x:v>Exact-scene counterfactual globally unseen black-cup state reasoning</x:v>
      </x:c>
      <x:c r="K129" s="9" t="n">
        <x:v>126</x:v>
      </x:c>
      <x:c r="L129" s="9" t="n">
        <x:v>101</x:v>
      </x:c>
      <x:c r="M129" s="9" t="str">
        <x:v>State-word concept reference from training episode 101; black cups are globally unseen. This is an exact-scene state counterfactual pair, not a direct-name manipulation control.</x:v>
      </x:c>
      <x:c r="N129" s="9" t="n">
        <x:v>5</x:v>
      </x:c>
      <x:c r="O129" s="9" t="str">
        <x:v>Reset the moved black cup to its marked pose; preserve the exact scene and change only the state word in the prompt.</x:v>
      </x:c>
      <x:c r="P129" s="9" t="str">
        <x:v>Counterfactual C/O pair: both black cups and every distractor are RU; only the queried state word changes the correct black cup.</x:v>
      </x:c>
      <x:c r="Q129" s="9"/>
      <x:c r="R129" s="10" t="n">
        <x:v>4</x:v>
      </x:c>
      <x:c r="S129" s="10" t="n">
        <x:v>1</x:v>
      </x:c>
      <x:c r="T129" s="9" t="str">
        <x:v>Empty</x:v>
      </x:c>
      <x:c r="U129" s="9" t="str">
        <x:v>O</x:v>
      </x:c>
      <x:c r="V129" s="9" t="str">
        <x:v>black cup</x:v>
      </x:c>
      <x:c r="W129" s="9"/>
      <x:c r="X129" s="10"/>
      <x:c r="Y129" s="10"/>
      <x:c r="Z129" s="9"/>
      <x:c r="AA129" s="9"/>
      <x:c r="AB129" s="9"/>
      <x:c r="AC129" s="9"/>
      <x:c r="AD129" s="9"/>
      <x:c r="AE129" s="9"/>
      <x:c r="AF129" s="9"/>
      <x:c r="AG129" s="9"/>
      <x:c r="AH129" s="9"/>
      <x:c r="AI129" s="11"/>
      <x:c r="AJ129" s="9"/>
      <x:c r="AK129" s="9" t="str">
        <x:v>Eval_State_Recognition.xlsm</x:v>
      </x:c>
      <x:c r="AL129" s="9" t="str">
        <x:v>GR00T vision only Results</x:v>
      </x:c>
      <x:c r="AM129" s="9" t="n">
        <x:v>129</x:v>
      </x:c>
      <x:c r="AN129" s="9" t="n">
        <x:v>129</x:v>
      </x:c>
    </x:row>
    <x:row r="130">
      <x:c r="A130" s="9" t="str">
        <x:v>Failure</x:v>
      </x:c>
      <x:c r="B130" s="9" t="str">
        <x:v>State Recognition</x:v>
      </x:c>
      <x:c r="C130" s="10" t="n">
        <x:v>128</x:v>
      </x:c>
      <x:c r="D130" s="9" t="str">
        <x:v>Place the upside-down black cup in the bowl.</x:v>
      </x:c>
      <x:c r="E130" s="9" t="str">
        <x:v>black cup A (C, UD); black cup B (C, RU); yellow-white striped cup B (O, UD)</x:v>
      </x:c>
      <x:c r="F130" s="9" t="str">
        <x:v>black cup A</x:v>
      </x:c>
      <x:c r="G130" s="9" t="str">
        <x:v>picked the upright cup</x:v>
      </x:c>
      <x:c r="H130" s="9" t="str">
        <x:v>Novel-object state reasoning</x:v>
      </x:c>
      <x:c r="I130" s="9" t="str">
        <x:v>SR-BLACK-CF10</x:v>
      </x:c>
      <x:c r="J130" s="9" t="str">
        <x:v>Exact-scene counterfactual globally unseen black-cup state reasoning</x:v>
      </x:c>
      <x:c r="K130" s="9"/>
      <x:c r="L130" s="9" t="n">
        <x:v>78</x:v>
      </x:c>
      <x:c r="M130" s="9" t="str">
        <x:v>State-word concept reference from training episode 78; black cups are globally unseen. This is an exact-scene state counterfactual pair, not a direct-name manipulation control.</x:v>
      </x:c>
      <x:c r="N130" s="9" t="n">
        <x:v>5</x:v>
      </x:c>
      <x:c r="O130" s="9" t="str">
        <x:v>Build the listed scene with both black cups and an empty bowl.</x:v>
      </x:c>
      <x:c r="P130" s="9" t="str">
        <x:v>Counterfactual UD/RU pair: both black cups share the orthogonal C/O state (C); only the queried state word changes the correct black cup.</x:v>
      </x:c>
      <x:c r="Q130" s="9"/>
      <x:c r="R130" s="10" t="n">
        <x:v>3</x:v>
      </x:c>
      <x:c r="S130" s="10" t="n">
        <x:v>1</x:v>
      </x:c>
      <x:c r="T130" s="9" t="str">
        <x:v>Empty</x:v>
      </x:c>
      <x:c r="U130" s="9" t="str">
        <x:v>UD</x:v>
      </x:c>
      <x:c r="V130" s="9" t="str">
        <x:v>black cup</x:v>
      </x:c>
      <x:c r="W130" s="9"/>
      <x:c r="X130" s="10"/>
      <x:c r="Y130" s="10"/>
      <x:c r="Z130" s="9"/>
      <x:c r="AA130" s="9"/>
      <x:c r="AB130" s="9"/>
      <x:c r="AC130" s="9"/>
      <x:c r="AD130" s="9"/>
      <x:c r="AE130" s="9"/>
      <x:c r="AF130" s="9"/>
      <x:c r="AG130" s="9"/>
      <x:c r="AH130" s="9"/>
      <x:c r="AI130" s="11"/>
      <x:c r="AJ130" s="9"/>
      <x:c r="AK130" s="9" t="str">
        <x:v>Eval_State_Recognition.xlsm</x:v>
      </x:c>
      <x:c r="AL130" s="9" t="str">
        <x:v>GR00T vision only Results</x:v>
      </x:c>
      <x:c r="AM130" s="9" t="n">
        <x:v>130</x:v>
      </x:c>
      <x:c r="AN130" s="9" t="n">
        <x:v>130</x:v>
      </x:c>
    </x:row>
    <x:row r="131">
      <x:c r="A131" s="9" t="str">
        <x:v>Success</x:v>
      </x:c>
      <x:c r="B131" s="9" t="str">
        <x:v>State Recognition</x:v>
      </x:c>
      <x:c r="C131" s="10" t="n">
        <x:v>129</x:v>
      </x:c>
      <x:c r="D131" s="9" t="str">
        <x:v>Place the upright black cup in the bowl.</x:v>
      </x:c>
      <x:c r="E131" s="9" t="str">
        <x:v>black cup A (C, UD); black cup B (C, RU); yellow-white striped cup B (O, UD)</x:v>
      </x:c>
      <x:c r="F131" s="9" t="str">
        <x:v>black cup B</x:v>
      </x:c>
      <x:c r="G131" s="9"/>
      <x:c r="H131" s="9" t="str">
        <x:v>Novel-object state reasoning</x:v>
      </x:c>
      <x:c r="I131" s="9" t="str">
        <x:v>SR-BLACK-CF10</x:v>
      </x:c>
      <x:c r="J131" s="9" t="str">
        <x:v>Exact-scene counterfactual globally unseen black-cup state reasoning</x:v>
      </x:c>
      <x:c r="K131" s="9" t="n">
        <x:v>128</x:v>
      </x:c>
      <x:c r="L131" s="9" t="n">
        <x:v>26</x:v>
      </x:c>
      <x:c r="M131" s="9" t="str">
        <x:v>State-word concept reference from training episode 26; black cups are globally unseen. This is an exact-scene state counterfactual pair, not a direct-name manipulation control.</x:v>
      </x:c>
      <x:c r="N131" s="9" t="n">
        <x:v>5</x:v>
      </x:c>
      <x:c r="O131" s="9" t="str">
        <x:v>Reset the moved black cup to its marked pose; preserve the exact scene and change only the state word in the prompt.</x:v>
      </x:c>
      <x:c r="P131" s="9" t="str">
        <x:v>Counterfactual UD/RU pair: both black cups share the orthogonal C/O state (C); only the queried state word changes the correct black cup.</x:v>
      </x:c>
      <x:c r="Q131" s="9"/>
      <x:c r="R131" s="10" t="n">
        <x:v>3</x:v>
      </x:c>
      <x:c r="S131" s="10" t="n">
        <x:v>1</x:v>
      </x:c>
      <x:c r="T131" s="9" t="str">
        <x:v>Empty</x:v>
      </x:c>
      <x:c r="U131" s="9" t="str">
        <x:v>RU</x:v>
      </x:c>
      <x:c r="V131" s="9" t="str">
        <x:v>black cup</x:v>
      </x:c>
      <x:c r="W131" s="9"/>
      <x:c r="X131" s="10"/>
      <x:c r="Y131" s="10"/>
      <x:c r="Z131" s="9"/>
      <x:c r="AA131" s="9"/>
      <x:c r="AB131" s="9"/>
      <x:c r="AC131" s="9"/>
      <x:c r="AD131" s="9"/>
      <x:c r="AE131" s="9"/>
      <x:c r="AF131" s="9"/>
      <x:c r="AG131" s="9"/>
      <x:c r="AH131" s="9"/>
      <x:c r="AI131" s="11"/>
      <x:c r="AJ131" s="9"/>
      <x:c r="AK131" s="9" t="str">
        <x:v>Eval_State_Recognition.xlsm</x:v>
      </x:c>
      <x:c r="AL131" s="9" t="str">
        <x:v>GR00T vision only Results</x:v>
      </x:c>
      <x:c r="AM131" s="9" t="n">
        <x:v>131</x:v>
      </x:c>
      <x:c r="AN131" s="9" t="n">
        <x:v>131</x:v>
      </x:c>
    </x:row>
    <x:row r="132">
      <x:c r="A132" s="9" t="str">
        <x:v>Failure</x:v>
      </x:c>
      <x:c r="B132" s="9" t="str">
        <x:v>State Recognition</x:v>
      </x:c>
      <x:c r="C132" s="10" t="n">
        <x:v>130</x:v>
      </x:c>
      <x:c r="D132" s="9" t="str">
        <x:v>Place the closed white cup in the bowl.</x:v>
      </x:c>
      <x:c r="E132" s="9" t="str">
        <x:v>white cup A (O, RU); white cup B (O, RU)</x:v>
      </x:c>
      <x:c r="F132" s="9" t="str">
        <x:v>NO-OP; no object has state C, so nothing should be picked up</x:v>
      </x:c>
      <x:c r="G132" s="9" t="str">
        <x:v>picked the open cup closer to the bowl</x:v>
      </x:c>
      <x:c r="H132" s="9" t="str">
        <x:v>No valid target / no movement</x:v>
      </x:c>
      <x:c r="I132" s="9" t="str">
        <x:v>SR-NOOP01</x:v>
      </x:c>
      <x:c r="J132" s="9" t="str">
        <x:v>No satisfying state present; bowl remains empty</x:v>
      </x:c>
      <x:c r="K132" s="9"/>
      <x:c r="L132" s="9" t="str">
        <x:v>0</x:v>
      </x:c>
      <x:c r="M132" s="9" t="str">
        <x:v>The state-object concept is explicitly trained, but training does not contain a no-satisfying-target abstention trajectory. All objects are upright, matching the context of every explicit open/closed training demonstration.</x:v>
      </x:c>
      <x:c r="N132" s="9" t="n">
        <x:v>6</x:v>
      </x:c>
      <x:c r="O132" s="9" t="str">
        <x:v>Build the listed no-match scene and confirm the bowl is empty.</x:v>
      </x:c>
      <x:c r="P132" s="9" t="str">
        <x:v>No object in the entire scene has the queried state. The prompt uses the same canonical frame as active trials, and the queried state-object cell is training-supported. The orthogonal orientation axis is fixed: every object is RU.</x:v>
      </x:c>
      <x:c r="Q132" s="9"/>
      <x:c r="R132" s="10" t="n">
        <x:v>2</x:v>
      </x:c>
      <x:c r="S132" s="10" t="n">
        <x:v>0</x:v>
      </x:c>
      <x:c r="T132" s="9" t="str">
        <x:v>Empty</x:v>
      </x:c>
      <x:c r="U132" s="9" t="str">
        <x:v>C</x:v>
      </x:c>
      <x:c r="V132" s="9" t="str">
        <x:v>white cup</x:v>
      </x:c>
      <x:c r="W132" s="9"/>
      <x:c r="X132" s="10"/>
      <x:c r="Y132" s="10"/>
      <x:c r="Z132" s="9"/>
      <x:c r="AA132" s="9"/>
      <x:c r="AB132" s="9"/>
      <x:c r="AC132" s="9"/>
      <x:c r="AD132" s="9"/>
      <x:c r="AE132" s="9"/>
      <x:c r="AF132" s="9"/>
      <x:c r="AG132" s="9"/>
      <x:c r="AH132" s="9"/>
      <x:c r="AI132" s="11"/>
      <x:c r="AJ132" s="9"/>
      <x:c r="AK132" s="9" t="str">
        <x:v>Eval_State_Recognition.xlsm</x:v>
      </x:c>
      <x:c r="AL132" s="9" t="str">
        <x:v>GR00T vision only Results</x:v>
      </x:c>
      <x:c r="AM132" s="9" t="n">
        <x:v>132</x:v>
      </x:c>
      <x:c r="AN132" s="9" t="n">
        <x:v>132</x:v>
      </x:c>
    </x:row>
    <x:row r="133">
      <x:c r="A133" s="9" t="str">
        <x:v>Failure</x:v>
      </x:c>
      <x:c r="B133" s="9" t="str">
        <x:v>State Recognition</x:v>
      </x:c>
      <x:c r="C133" s="10" t="n">
        <x:v>131</x:v>
      </x:c>
      <x:c r="D133" s="9" t="str">
        <x:v>Place the upside-down yellow-white striped cup in the bowl.</x:v>
      </x:c>
      <x:c r="E133" s="9" t="str">
        <x:v>yellow-white striped cup A (C, RU); yellow-white striped cup B (C, RU); brown cup B (O, RU)</x:v>
      </x:c>
      <x:c r="F133" s="9" t="str">
        <x:v>NO-OP; no object has state UD, so nothing should be picked up</x:v>
      </x:c>
      <x:c r="G133" s="9" t="str">
        <x:v>picked the striped cup furthest from the bowl</x:v>
      </x:c>
      <x:c r="H133" s="9" t="str">
        <x:v>No valid target / no movement</x:v>
      </x:c>
      <x:c r="I133" s="9" t="str">
        <x:v>SR-NOOP02</x:v>
      </x:c>
      <x:c r="J133" s="9" t="str">
        <x:v>No satisfying state present; bowl remains empty</x:v>
      </x:c>
      <x:c r="K133" s="9"/>
      <x:c r="L133" s="9" t="str">
        <x:v>78</x:v>
      </x:c>
      <x:c r="M133" s="9" t="str">
        <x:v>The state-object concept is explicitly trained, but training does not contain a no-satisfying-target abstention trajectory.</x:v>
      </x:c>
      <x:c r="N133" s="9" t="n">
        <x:v>6</x:v>
      </x:c>
      <x:c r="O133" s="9" t="str">
        <x:v>Build the listed no-match scene and confirm the bowl is empty.</x:v>
      </x:c>
      <x:c r="P133" s="9" t="str">
        <x:v>No object in the entire scene has the queried state. The prompt uses the same canonical frame as active trials, and the queried state-object cell is training-supported. The same-category candidates share the orthogonal C/O state (C).</x:v>
      </x:c>
      <x:c r="Q133" s="9"/>
      <x:c r="R133" s="10" t="n">
        <x:v>3</x:v>
      </x:c>
      <x:c r="S133" s="10" t="n">
        <x:v>0</x:v>
      </x:c>
      <x:c r="T133" s="9" t="str">
        <x:v>Empty</x:v>
      </x:c>
      <x:c r="U133" s="9" t="str">
        <x:v>UD</x:v>
      </x:c>
      <x:c r="V133" s="9" t="str">
        <x:v>yellow-white striped cup</x:v>
      </x:c>
      <x:c r="W133" s="9"/>
      <x:c r="X133" s="10"/>
      <x:c r="Y133" s="10"/>
      <x:c r="Z133" s="9"/>
      <x:c r="AA133" s="9"/>
      <x:c r="AB133" s="9"/>
      <x:c r="AC133" s="9"/>
      <x:c r="AD133" s="9"/>
      <x:c r="AE133" s="9"/>
      <x:c r="AF133" s="9"/>
      <x:c r="AG133" s="9"/>
      <x:c r="AH133" s="9"/>
      <x:c r="AI133" s="11"/>
      <x:c r="AJ133" s="9"/>
      <x:c r="AK133" s="9" t="str">
        <x:v>Eval_State_Recognition.xlsm</x:v>
      </x:c>
      <x:c r="AL133" s="9" t="str">
        <x:v>GR00T vision only Results</x:v>
      </x:c>
      <x:c r="AM133" s="9" t="n">
        <x:v>133</x:v>
      </x:c>
      <x:c r="AN133" s="9" t="n">
        <x:v>133</x:v>
      </x:c>
    </x:row>
    <x:row r="134">
      <x:c r="A134" s="9" t="str">
        <x:v>Failure</x:v>
      </x:c>
      <x:c r="B134" s="9" t="str">
        <x:v>State Recognition</x:v>
      </x:c>
      <x:c r="C134" s="10" t="n">
        <x:v>132</x:v>
      </x:c>
      <x:c r="D134" s="9" t="str">
        <x:v>Place the open brown cup in the bowl.</x:v>
      </x:c>
      <x:c r="E134" s="9" t="str">
        <x:v>brown cup A (C, RU); brown cup B (C, RU); glass spice container A (C, RU); white cup B (C, RU)</x:v>
      </x:c>
      <x:c r="F134" s="9" t="str">
        <x:v>NO-OP; no object has state O, so nothing should be picked up</x:v>
      </x:c>
      <x:c r="G134" s="9" t="str">
        <x:v>picked brown cup closest to the bowl</x:v>
      </x:c>
      <x:c r="H134" s="9" t="str">
        <x:v>No valid target / no movement</x:v>
      </x:c>
      <x:c r="I134" s="9" t="str">
        <x:v>SR-NOOP03</x:v>
      </x:c>
      <x:c r="J134" s="9" t="str">
        <x:v>No satisfying state present; bowl remains empty</x:v>
      </x:c>
      <x:c r="K134" s="9"/>
      <x:c r="L134" s="9" t="str">
        <x:v>101</x:v>
      </x:c>
      <x:c r="M134" s="9" t="str">
        <x:v>The state-object concept is explicitly trained, but training does not contain a no-satisfying-target abstention trajectory. All objects are upright, matching the context of every explicit open/closed training demonstration.</x:v>
      </x:c>
      <x:c r="N134" s="9" t="n">
        <x:v>6</x:v>
      </x:c>
      <x:c r="O134" s="9" t="str">
        <x:v>Build the listed no-match scene and confirm the bowl is empty.</x:v>
      </x:c>
      <x:c r="P134" s="9" t="str">
        <x:v>No object in the entire scene has the queried state. The prompt uses the same canonical frame as active trials, and the queried state-object cell is training-supported. The orthogonal orientation axis is fixed: every object is RU.</x:v>
      </x:c>
      <x:c r="Q134" s="9"/>
      <x:c r="R134" s="10" t="n">
        <x:v>4</x:v>
      </x:c>
      <x:c r="S134" s="10" t="n">
        <x:v>0</x:v>
      </x:c>
      <x:c r="T134" s="9" t="str">
        <x:v>Empty</x:v>
      </x:c>
      <x:c r="U134" s="9" t="str">
        <x:v>O</x:v>
      </x:c>
      <x:c r="V134" s="9" t="str">
        <x:v>brown cup</x:v>
      </x:c>
      <x:c r="W134" s="9"/>
      <x:c r="X134" s="10"/>
      <x:c r="Y134" s="10"/>
      <x:c r="Z134" s="9"/>
      <x:c r="AA134" s="9"/>
      <x:c r="AB134" s="9"/>
      <x:c r="AC134" s="9"/>
      <x:c r="AD134" s="9"/>
      <x:c r="AE134" s="9"/>
      <x:c r="AF134" s="9"/>
      <x:c r="AG134" s="9"/>
      <x:c r="AH134" s="9"/>
      <x:c r="AI134" s="11"/>
      <x:c r="AJ134" s="9"/>
      <x:c r="AK134" s="9" t="str">
        <x:v>Eval_State_Recognition.xlsm</x:v>
      </x:c>
      <x:c r="AL134" s="9" t="str">
        <x:v>GR00T vision only Results</x:v>
      </x:c>
      <x:c r="AM134" s="9" t="n">
        <x:v>134</x:v>
      </x:c>
      <x:c r="AN134" s="9" t="n">
        <x:v>134</x:v>
      </x:c>
    </x:row>
    <x:row r="135">
      <x:c r="A135" s="9" t="str">
        <x:v>Failure</x:v>
      </x:c>
      <x:c r="B135" s="9" t="str">
        <x:v>State Recognition</x:v>
      </x:c>
      <x:c r="C135" s="10" t="n">
        <x:v>133</x:v>
      </x:c>
      <x:c r="D135" s="9" t="str">
        <x:v>Place the closed glass spice container in the bowl.</x:v>
      </x:c>
      <x:c r="E135" s="9" t="str">
        <x:v>glass spice container A (O, RU); glass spice container B (O, RU)</x:v>
      </x:c>
      <x:c r="F135" s="9" t="str">
        <x:v>NO-OP; no object has state C, so nothing should be picked up</x:v>
      </x:c>
      <x:c r="G135" s="9" t="str">
        <x:v>picked container further from bowl</x:v>
      </x:c>
      <x:c r="H135" s="9" t="str">
        <x:v>No valid target / no movement</x:v>
      </x:c>
      <x:c r="I135" s="9" t="str">
        <x:v>SR-NOOP04</x:v>
      </x:c>
      <x:c r="J135" s="9" t="str">
        <x:v>No satisfying state present; bowl remains empty</x:v>
      </x:c>
      <x:c r="K135" s="9"/>
      <x:c r="L135" s="9" t="str">
        <x:v>151</x:v>
      </x:c>
      <x:c r="M135" s="9" t="str">
        <x:v>The state-object concept is explicitly trained, but training does not contain a no-satisfying-target abstention trajectory. All objects are upright, matching the context of every explicit open/closed training demonstration.</x:v>
      </x:c>
      <x:c r="N135" s="9" t="n">
        <x:v>6</x:v>
      </x:c>
      <x:c r="O135" s="9" t="str">
        <x:v>Build the listed no-match scene and confirm the bowl is empty.</x:v>
      </x:c>
      <x:c r="P135" s="9" t="str">
        <x:v>No object in the entire scene has the queried state. The prompt uses the same canonical frame as active trials, and the queried state-object cell is training-supported. The orthogonal orientation axis is fixed: every object is RU.</x:v>
      </x:c>
      <x:c r="Q135" s="9"/>
      <x:c r="R135" s="10" t="n">
        <x:v>2</x:v>
      </x:c>
      <x:c r="S135" s="10" t="n">
        <x:v>0</x:v>
      </x:c>
      <x:c r="T135" s="9" t="str">
        <x:v>Empty</x:v>
      </x:c>
      <x:c r="U135" s="9" t="str">
        <x:v>C</x:v>
      </x:c>
      <x:c r="V135" s="9" t="str">
        <x:v>glass spice container</x:v>
      </x:c>
      <x:c r="W135" s="9"/>
      <x:c r="X135" s="10"/>
      <x:c r="Y135" s="10"/>
      <x:c r="Z135" s="9"/>
      <x:c r="AA135" s="9"/>
      <x:c r="AB135" s="9"/>
      <x:c r="AC135" s="9"/>
      <x:c r="AD135" s="9"/>
      <x:c r="AE135" s="9"/>
      <x:c r="AF135" s="9"/>
      <x:c r="AG135" s="9"/>
      <x:c r="AH135" s="9"/>
      <x:c r="AI135" s="11"/>
      <x:c r="AJ135" s="9"/>
      <x:c r="AK135" s="9" t="str">
        <x:v>Eval_State_Recognition.xlsm</x:v>
      </x:c>
      <x:c r="AL135" s="9" t="str">
        <x:v>GR00T vision only Results</x:v>
      </x:c>
      <x:c r="AM135" s="9" t="n">
        <x:v>135</x:v>
      </x:c>
      <x:c r="AN135" s="9" t="n">
        <x:v>135</x:v>
      </x:c>
    </x:row>
    <x:row r="136">
      <x:c r="A136" s="9" t="str">
        <x:v>Failure</x:v>
      </x:c>
      <x:c r="B136" s="9" t="str">
        <x:v>State Recognition</x:v>
      </x:c>
      <x:c r="C136" s="10" t="n">
        <x:v>134</x:v>
      </x:c>
      <x:c r="D136" s="9" t="str">
        <x:v>Place the open white cup in the bowl.</x:v>
      </x:c>
      <x:c r="E136" s="9" t="str">
        <x:v>white cup A (C, RU); white cup B (C, RU); glass spice container B (C, RU)</x:v>
      </x:c>
      <x:c r="F136" s="9" t="str">
        <x:v>NO-OP; no object has state O, so nothing should be picked up</x:v>
      </x:c>
      <x:c r="G136" s="9" t="str">
        <x:v>picked the cup closer to the bowl</x:v>
      </x:c>
      <x:c r="H136" s="9" t="str">
        <x:v>No valid target / no movement</x:v>
      </x:c>
      <x:c r="I136" s="9" t="str">
        <x:v>SR-NOOP05</x:v>
      </x:c>
      <x:c r="J136" s="9" t="str">
        <x:v>No satisfying state present; bowl remains empty</x:v>
      </x:c>
      <x:c r="K136" s="9"/>
      <x:c r="L136" s="9" t="str">
        <x:v>1</x:v>
      </x:c>
      <x:c r="M136" s="9" t="str">
        <x:v>The state-object concept is explicitly trained, but training does not contain a no-satisfying-target abstention trajectory. All objects are upright, matching the context of every explicit open/closed training demonstration.</x:v>
      </x:c>
      <x:c r="N136" s="9" t="n">
        <x:v>6</x:v>
      </x:c>
      <x:c r="O136" s="9" t="str">
        <x:v>Build the listed no-match scene and confirm the bowl is empty.</x:v>
      </x:c>
      <x:c r="P136" s="9" t="str">
        <x:v>No object in the entire scene has the queried state. The prompt uses the same canonical frame as active trials, and the queried state-object cell is training-supported. The orthogonal orientation axis is fixed: every object is RU.</x:v>
      </x:c>
      <x:c r="Q136" s="9"/>
      <x:c r="R136" s="10" t="n">
        <x:v>3</x:v>
      </x:c>
      <x:c r="S136" s="10" t="n">
        <x:v>0</x:v>
      </x:c>
      <x:c r="T136" s="9" t="str">
        <x:v>Empty</x:v>
      </x:c>
      <x:c r="U136" s="9" t="str">
        <x:v>O</x:v>
      </x:c>
      <x:c r="V136" s="9" t="str">
        <x:v>white cup</x:v>
      </x:c>
      <x:c r="W136" s="9"/>
      <x:c r="X136" s="10"/>
      <x:c r="Y136" s="10"/>
      <x:c r="Z136" s="9"/>
      <x:c r="AA136" s="9"/>
      <x:c r="AB136" s="9"/>
      <x:c r="AC136" s="9"/>
      <x:c r="AD136" s="9"/>
      <x:c r="AE136" s="9"/>
      <x:c r="AF136" s="9"/>
      <x:c r="AG136" s="9"/>
      <x:c r="AH136" s="9"/>
      <x:c r="AI136" s="11"/>
      <x:c r="AJ136" s="9"/>
      <x:c r="AK136" s="9" t="str">
        <x:v>Eval_State_Recognition.xlsm</x:v>
      </x:c>
      <x:c r="AL136" s="9" t="str">
        <x:v>GR00T vision only Results</x:v>
      </x:c>
      <x:c r="AM136" s="9" t="n">
        <x:v>136</x:v>
      </x:c>
      <x:c r="AN136" s="9" t="n">
        <x:v>136</x:v>
      </x:c>
    </x:row>
    <x:row r="137">
      <x:c r="A137" s="9" t="str">
        <x:v>Failure</x:v>
      </x:c>
      <x:c r="B137" s="9" t="str">
        <x:v>State Recognition</x:v>
      </x:c>
      <x:c r="C137" s="10" t="n">
        <x:v>135</x:v>
      </x:c>
      <x:c r="D137" s="9" t="str">
        <x:v>Place the upright yellow-white striped cup in the bowl.</x:v>
      </x:c>
      <x:c r="E137" s="9" t="str">
        <x:v>yellow-white striped cup A (O, UD); yellow-white striped cup B (O, UD); white cup A (C, UD); brown cup B (O, UD)</x:v>
      </x:c>
      <x:c r="F137" s="9" t="str">
        <x:v>NO-OP; no object has state RU, so nothing should be picked up</x:v>
      </x:c>
      <x:c r="G137" s="9" t="str">
        <x:v>picked the upside down white cup</x:v>
      </x:c>
      <x:c r="H137" s="9" t="str">
        <x:v>No valid target / no movement</x:v>
      </x:c>
      <x:c r="I137" s="9" t="str">
        <x:v>SR-NOOP06</x:v>
      </x:c>
      <x:c r="J137" s="9" t="str">
        <x:v>No satisfying state present; bowl remains empty</x:v>
      </x:c>
      <x:c r="K137" s="9"/>
      <x:c r="L137" s="9" t="str">
        <x:v>75</x:v>
      </x:c>
      <x:c r="M137" s="9" t="str">
        <x:v>The state-object concept is explicitly trained, but training does not contain a no-satisfying-target abstention trajectory.</x:v>
      </x:c>
      <x:c r="N137" s="9" t="n">
        <x:v>6</x:v>
      </x:c>
      <x:c r="O137" s="9" t="str">
        <x:v>Build the listed no-match scene and confirm the bowl is empty.</x:v>
      </x:c>
      <x:c r="P137" s="9" t="str">
        <x:v>No object in the entire scene has the queried state. The prompt uses the same canonical frame as active trials, and the queried state-object cell is training-supported. The same-category candidates share the orthogonal C/O state (O).</x:v>
      </x:c>
      <x:c r="Q137" s="9"/>
      <x:c r="R137" s="10" t="n">
        <x:v>4</x:v>
      </x:c>
      <x:c r="S137" s="10" t="n">
        <x:v>0</x:v>
      </x:c>
      <x:c r="T137" s="9" t="str">
        <x:v>Empty</x:v>
      </x:c>
      <x:c r="U137" s="9" t="str">
        <x:v>RU</x:v>
      </x:c>
      <x:c r="V137" s="9" t="str">
        <x:v>yellow-white striped cup</x:v>
      </x:c>
      <x:c r="W137" s="9"/>
      <x:c r="X137" s="10"/>
      <x:c r="Y137" s="10"/>
      <x:c r="Z137" s="9"/>
      <x:c r="AA137" s="9"/>
      <x:c r="AB137" s="9"/>
      <x:c r="AC137" s="9"/>
      <x:c r="AD137" s="9"/>
      <x:c r="AE137" s="9"/>
      <x:c r="AF137" s="9"/>
      <x:c r="AG137" s="9"/>
      <x:c r="AH137" s="9"/>
      <x:c r="AI137" s="11"/>
      <x:c r="AJ137" s="9"/>
      <x:c r="AK137" s="9" t="str">
        <x:v>Eval_State_Recognition.xlsm</x:v>
      </x:c>
      <x:c r="AL137" s="9" t="str">
        <x:v>GR00T vision only Results</x:v>
      </x:c>
      <x:c r="AM137" s="9" t="n">
        <x:v>137</x:v>
      </x:c>
      <x:c r="AN137" s="9" t="n">
        <x:v>137</x:v>
      </x:c>
    </x:row>
    <x:row r="138">
      <x:c r="A138" s="9" t="str">
        <x:v>Failure</x:v>
      </x:c>
      <x:c r="B138" s="9" t="str">
        <x:v>State Recognition</x:v>
      </x:c>
      <x:c r="C138" s="10" t="n">
        <x:v>136</x:v>
      </x:c>
      <x:c r="D138" s="9" t="str">
        <x:v>Place the upside-down brown cup in the bowl.</x:v>
      </x:c>
      <x:c r="E138" s="9" t="str">
        <x:v>brown cup A (O, RU); brown cup B (O, RU)</x:v>
      </x:c>
      <x:c r="F138" s="9" t="str">
        <x:v>NO-OP; no object has state UD, so nothing should be picked up</x:v>
      </x:c>
      <x:c r="G138" s="9" t="str">
        <x:v>picked cup closest to bowl</x:v>
      </x:c>
      <x:c r="H138" s="9" t="str">
        <x:v>No valid target / no movement</x:v>
      </x:c>
      <x:c r="I138" s="9" t="str">
        <x:v>SR-NOOP07</x:v>
      </x:c>
      <x:c r="J138" s="9" t="str">
        <x:v>No satisfying state present; bowl remains empty</x:v>
      </x:c>
      <x:c r="K138" s="9"/>
      <x:c r="L138" s="9" t="str">
        <x:v>125</x:v>
      </x:c>
      <x:c r="M138" s="9" t="str">
        <x:v>The state-object concept is explicitly trained, but training does not contain a no-satisfying-target abstention trajectory.</x:v>
      </x:c>
      <x:c r="N138" s="9" t="n">
        <x:v>6</x:v>
      </x:c>
      <x:c r="O138" s="9" t="str">
        <x:v>Build the listed no-match scene and confirm the bowl is empty.</x:v>
      </x:c>
      <x:c r="P138" s="9" t="str">
        <x:v>No object in the entire scene has the queried state. The prompt uses the same canonical frame as active trials, and the queried state-object cell is training-supported. The same-category candidates share the orthogonal C/O state (O).</x:v>
      </x:c>
      <x:c r="Q138" s="9"/>
      <x:c r="R138" s="10" t="n">
        <x:v>2</x:v>
      </x:c>
      <x:c r="S138" s="10" t="n">
        <x:v>0</x:v>
      </x:c>
      <x:c r="T138" s="9" t="str">
        <x:v>Empty</x:v>
      </x:c>
      <x:c r="U138" s="9" t="str">
        <x:v>UD</x:v>
      </x:c>
      <x:c r="V138" s="9" t="str">
        <x:v>brown cup</x:v>
      </x:c>
      <x:c r="W138" s="9"/>
      <x:c r="X138" s="10"/>
      <x:c r="Y138" s="10"/>
      <x:c r="Z138" s="9"/>
      <x:c r="AA138" s="9"/>
      <x:c r="AB138" s="9"/>
      <x:c r="AC138" s="9"/>
      <x:c r="AD138" s="9"/>
      <x:c r="AE138" s="9"/>
      <x:c r="AF138" s="9"/>
      <x:c r="AG138" s="9"/>
      <x:c r="AH138" s="9"/>
      <x:c r="AI138" s="11"/>
      <x:c r="AJ138" s="9"/>
      <x:c r="AK138" s="9" t="str">
        <x:v>Eval_State_Recognition.xlsm</x:v>
      </x:c>
      <x:c r="AL138" s="9" t="str">
        <x:v>GR00T vision only Results</x:v>
      </x:c>
      <x:c r="AM138" s="9" t="n">
        <x:v>138</x:v>
      </x:c>
      <x:c r="AN138" s="9" t="n">
        <x:v>138</x:v>
      </x:c>
    </x:row>
    <x:row r="139">
      <x:c r="A139" s="9" t="str">
        <x:v>Failure</x:v>
      </x:c>
      <x:c r="B139" s="9" t="str">
        <x:v>State Recognition</x:v>
      </x:c>
      <x:c r="C139" s="10" t="n">
        <x:v>137</x:v>
      </x:c>
      <x:c r="D139" s="9" t="str">
        <x:v>Place the open glass spice container in the bowl.</x:v>
      </x:c>
      <x:c r="E139" s="9" t="str">
        <x:v>glass spice container A (C, RU); glass spice container B (C, RU); brown cup A (C, RU)</x:v>
      </x:c>
      <x:c r="F139" s="9" t="str">
        <x:v>NO-OP; no object has state O, so nothing should be picked up</x:v>
      </x:c>
      <x:c r="G139" s="9" t="str">
        <x:v>picked the container further from the bowl</x:v>
      </x:c>
      <x:c r="H139" s="9" t="str">
        <x:v>No valid target / no movement</x:v>
      </x:c>
      <x:c r="I139" s="9" t="str">
        <x:v>SR-NOOP08</x:v>
      </x:c>
      <x:c r="J139" s="9" t="str">
        <x:v>No satisfying state present; bowl remains empty</x:v>
      </x:c>
      <x:c r="K139" s="9"/>
      <x:c r="L139" s="9" t="str">
        <x:v>150</x:v>
      </x:c>
      <x:c r="M139" s="9" t="str">
        <x:v>The state-object concept is explicitly trained, but training does not contain a no-satisfying-target abstention trajectory. All objects are upright, matching the context of every explicit open/closed training demonstration.</x:v>
      </x:c>
      <x:c r="N139" s="9" t="n">
        <x:v>6</x:v>
      </x:c>
      <x:c r="O139" s="9" t="str">
        <x:v>Build the listed no-match scene and confirm the bowl is empty.</x:v>
      </x:c>
      <x:c r="P139" s="9" t="str">
        <x:v>No object in the entire scene has the queried state. The prompt uses the same canonical frame as active trials, and the queried state-object cell is training-supported. The orthogonal orientation axis is fixed: every object is RU.</x:v>
      </x:c>
      <x:c r="Q139" s="9"/>
      <x:c r="R139" s="10" t="n">
        <x:v>3</x:v>
      </x:c>
      <x:c r="S139" s="10" t="n">
        <x:v>0</x:v>
      </x:c>
      <x:c r="T139" s="9" t="str">
        <x:v>Empty</x:v>
      </x:c>
      <x:c r="U139" s="9" t="str">
        <x:v>O</x:v>
      </x:c>
      <x:c r="V139" s="9" t="str">
        <x:v>glass spice container</x:v>
      </x:c>
      <x:c r="W139" s="9"/>
      <x:c r="X139" s="10"/>
      <x:c r="Y139" s="10"/>
      <x:c r="Z139" s="9"/>
      <x:c r="AA139" s="9"/>
      <x:c r="AB139" s="9"/>
      <x:c r="AC139" s="9"/>
      <x:c r="AD139" s="9"/>
      <x:c r="AE139" s="9"/>
      <x:c r="AF139" s="9"/>
      <x:c r="AG139" s="9"/>
      <x:c r="AH139" s="9"/>
      <x:c r="AI139" s="11"/>
      <x:c r="AJ139" s="9"/>
      <x:c r="AK139" s="9" t="str">
        <x:v>Eval_State_Recognition.xlsm</x:v>
      </x:c>
      <x:c r="AL139" s="9" t="str">
        <x:v>GR00T vision only Results</x:v>
      </x:c>
      <x:c r="AM139" s="9" t="n">
        <x:v>139</x:v>
      </x:c>
      <x:c r="AN139" s="9" t="n">
        <x:v>139</x:v>
      </x:c>
    </x:row>
    <x:row r="140">
      <x:c r="A140" s="9" t="str">
        <x:v>Failure</x:v>
      </x:c>
      <x:c r="B140" s="9" t="str">
        <x:v>State Recognition</x:v>
      </x:c>
      <x:c r="C140" s="10" t="n">
        <x:v>138</x:v>
      </x:c>
      <x:c r="D140" s="9" t="str">
        <x:v>Place the upright white cup in the bowl.</x:v>
      </x:c>
      <x:c r="E140" s="9" t="str">
        <x:v>white cup A (C, UD); white cup B (C, UD); brown cup A (C, UD); glass spice container B (O, UD)</x:v>
      </x:c>
      <x:c r="F140" s="9" t="str">
        <x:v>NO-OP; no object has state RU, so nothing should be picked up</x:v>
      </x:c>
      <x:c r="G140" s="9" t="str">
        <x:v>picked upside down white cup furthest from bowl</x:v>
      </x:c>
      <x:c r="H140" s="9" t="str">
        <x:v>No valid target / no movement</x:v>
      </x:c>
      <x:c r="I140" s="9" t="str">
        <x:v>SR-NOOP09</x:v>
      </x:c>
      <x:c r="J140" s="9" t="str">
        <x:v>No satisfying state present; bowl remains empty</x:v>
      </x:c>
      <x:c r="K140" s="9"/>
      <x:c r="L140" s="9" t="str">
        <x:v>26</x:v>
      </x:c>
      <x:c r="M140" s="9" t="str">
        <x:v>The state-object concept is explicitly trained, but training does not contain a no-satisfying-target abstention trajectory.</x:v>
      </x:c>
      <x:c r="N140" s="9" t="n">
        <x:v>6</x:v>
      </x:c>
      <x:c r="O140" s="9" t="str">
        <x:v>Build the listed no-match scene and confirm the bowl is empty.</x:v>
      </x:c>
      <x:c r="P140" s="9" t="str">
        <x:v>No object in the entire scene has the queried state. The prompt uses the same canonical frame as active trials, and the queried state-object cell is training-supported. The same-category candidates share the orthogonal C/O state (C).</x:v>
      </x:c>
      <x:c r="Q140" s="9"/>
      <x:c r="R140" s="10" t="n">
        <x:v>4</x:v>
      </x:c>
      <x:c r="S140" s="10" t="n">
        <x:v>0</x:v>
      </x:c>
      <x:c r="T140" s="9" t="str">
        <x:v>Empty</x:v>
      </x:c>
      <x:c r="U140" s="9" t="str">
        <x:v>RU</x:v>
      </x:c>
      <x:c r="V140" s="9" t="str">
        <x:v>white cup</x:v>
      </x:c>
      <x:c r="W140" s="9"/>
      <x:c r="X140" s="10"/>
      <x:c r="Y140" s="10"/>
      <x:c r="Z140" s="9"/>
      <x:c r="AA140" s="9"/>
      <x:c r="AB140" s="9"/>
      <x:c r="AC140" s="9"/>
      <x:c r="AD140" s="9"/>
      <x:c r="AE140" s="9"/>
      <x:c r="AF140" s="9"/>
      <x:c r="AG140" s="9"/>
      <x:c r="AH140" s="9"/>
      <x:c r="AI140" s="11"/>
      <x:c r="AJ140" s="9"/>
      <x:c r="AK140" s="9" t="str">
        <x:v>Eval_State_Recognition.xlsm</x:v>
      </x:c>
      <x:c r="AL140" s="9" t="str">
        <x:v>GR00T vision only Results</x:v>
      </x:c>
      <x:c r="AM140" s="9" t="n">
        <x:v>140</x:v>
      </x:c>
      <x:c r="AN140" s="9" t="n">
        <x:v>140</x:v>
      </x:c>
    </x:row>
    <x:row r="141">
      <x:c r="A141" s="9" t="str">
        <x:v>Failure</x:v>
      </x:c>
      <x:c r="B141" s="9" t="str">
        <x:v>State Recognition</x:v>
      </x:c>
      <x:c r="C141" s="10" t="n">
        <x:v>139</x:v>
      </x:c>
      <x:c r="D141" s="9" t="str">
        <x:v>Place the closed yellow-white striped cup in the bowl.</x:v>
      </x:c>
      <x:c r="E141" s="9" t="str">
        <x:v>yellow-white striped cup A (O, RU); yellow-white striped cup B (O, RU)</x:v>
      </x:c>
      <x:c r="F141" s="9" t="str">
        <x:v>NO-OP; no object has state C, so nothing should be picked up</x:v>
      </x:c>
      <x:c r="G141" s="9" t="str">
        <x:v>picked cup furthest from bowl</x:v>
      </x:c>
      <x:c r="H141" s="9" t="str">
        <x:v>No valid target / no movement</x:v>
      </x:c>
      <x:c r="I141" s="9" t="str">
        <x:v>SR-NOOP10</x:v>
      </x:c>
      <x:c r="J141" s="9" t="str">
        <x:v>No satisfying state present; bowl remains empty</x:v>
      </x:c>
      <x:c r="K141" s="9"/>
      <x:c r="L141" s="9" t="str">
        <x:v>51</x:v>
      </x:c>
      <x:c r="M141" s="9" t="str">
        <x:v>The state-object concept is explicitly trained, but training does not contain a no-satisfying-target abstention trajectory. All objects are upright, matching the context of every explicit open/closed training demonstration.</x:v>
      </x:c>
      <x:c r="N141" s="9" t="n">
        <x:v>6</x:v>
      </x:c>
      <x:c r="O141" s="9" t="str">
        <x:v>Build the listed no-match scene and confirm the bowl is empty.</x:v>
      </x:c>
      <x:c r="P141" s="9" t="str">
        <x:v>No object in the entire scene has the queried state. The prompt uses the same canonical frame as active trials, and the queried state-object cell is training-supported. The orthogonal orientation axis is fixed: every object is RU.</x:v>
      </x:c>
      <x:c r="Q141" s="9"/>
      <x:c r="R141" s="10" t="n">
        <x:v>2</x:v>
      </x:c>
      <x:c r="S141" s="10" t="n">
        <x:v>0</x:v>
      </x:c>
      <x:c r="T141" s="9" t="str">
        <x:v>Empty</x:v>
      </x:c>
      <x:c r="U141" s="9" t="str">
        <x:v>C</x:v>
      </x:c>
      <x:c r="V141" s="9" t="str">
        <x:v>yellow-white striped cup</x:v>
      </x:c>
      <x:c r="W141" s="9"/>
      <x:c r="X141" s="10"/>
      <x:c r="Y141" s="10"/>
      <x:c r="Z141" s="9"/>
      <x:c r="AA141" s="9"/>
      <x:c r="AB141" s="9"/>
      <x:c r="AC141" s="9"/>
      <x:c r="AD141" s="9"/>
      <x:c r="AE141" s="9"/>
      <x:c r="AF141" s="9"/>
      <x:c r="AG141" s="9"/>
      <x:c r="AH141" s="9"/>
      <x:c r="AI141" s="11"/>
      <x:c r="AJ141" s="9"/>
      <x:c r="AK141" s="9" t="str">
        <x:v>Eval_State_Recognition.xlsm</x:v>
      </x:c>
      <x:c r="AL141" s="9" t="str">
        <x:v>GR00T vision only Results</x:v>
      </x:c>
      <x:c r="AM141" s="9" t="n">
        <x:v>141</x:v>
      </x:c>
      <x:c r="AN141" s="9" t="n">
        <x:v>141</x:v>
      </x:c>
    </x:row>
    <x:row r="142">
      <x:c r="A142" s="9" t="str">
        <x:v>Failure</x:v>
      </x:c>
      <x:c r="B142" s="9" t="str">
        <x:v>State Recognition</x:v>
      </x:c>
      <x:c r="C142" s="10" t="n">
        <x:v>140</x:v>
      </x:c>
      <x:c r="D142" s="9" t="str">
        <x:v>Place the upright brown cup in the bowl.</x:v>
      </x:c>
      <x:c r="E142" s="9" t="str">
        <x:v>brown cup A (C, UD); brown cup B (C, UD); white cup A (C, UD)</x:v>
      </x:c>
      <x:c r="F142" s="9" t="str">
        <x:v>NO-OP; no object has state RU, so nothing should be picked up</x:v>
      </x:c>
      <x:c r="G142" s="9" t="str">
        <x:v>placed the upside down brown cup furthest from the bowl</x:v>
      </x:c>
      <x:c r="H142" s="9" t="str">
        <x:v>No valid target / no movement</x:v>
      </x:c>
      <x:c r="I142" s="9" t="str">
        <x:v>SR-NOOP11</x:v>
      </x:c>
      <x:c r="J142" s="9" t="str">
        <x:v>No satisfying state present; bowl remains empty</x:v>
      </x:c>
      <x:c r="K142" s="9"/>
      <x:c r="L142" s="9" t="str">
        <x:v>128</x:v>
      </x:c>
      <x:c r="M142" s="9" t="str">
        <x:v>The state-object concept is explicitly trained, but training does not contain a no-satisfying-target abstention trajectory.</x:v>
      </x:c>
      <x:c r="N142" s="9" t="n">
        <x:v>6</x:v>
      </x:c>
      <x:c r="O142" s="9" t="str">
        <x:v>Build the listed no-match scene and confirm the bowl is empty.</x:v>
      </x:c>
      <x:c r="P142" s="9" t="str">
        <x:v>No object in the entire scene has the queried state. The prompt uses the same canonical frame as active trials, and the queried state-object cell is training-supported. The same-category candidates share the orthogonal C/O state (C).</x:v>
      </x:c>
      <x:c r="Q142" s="9"/>
      <x:c r="R142" s="10" t="n">
        <x:v>3</x:v>
      </x:c>
      <x:c r="S142" s="10" t="n">
        <x:v>0</x:v>
      </x:c>
      <x:c r="T142" s="9" t="str">
        <x:v>Empty</x:v>
      </x:c>
      <x:c r="U142" s="9" t="str">
        <x:v>RU</x:v>
      </x:c>
      <x:c r="V142" s="9" t="str">
        <x:v>brown cup</x:v>
      </x:c>
      <x:c r="W142" s="9"/>
      <x:c r="X142" s="10"/>
      <x:c r="Y142" s="10"/>
      <x:c r="Z142" s="9"/>
      <x:c r="AA142" s="9"/>
      <x:c r="AB142" s="9"/>
      <x:c r="AC142" s="9"/>
      <x:c r="AD142" s="9"/>
      <x:c r="AE142" s="9"/>
      <x:c r="AF142" s="9"/>
      <x:c r="AG142" s="9"/>
      <x:c r="AH142" s="9"/>
      <x:c r="AI142" s="11"/>
      <x:c r="AJ142" s="9"/>
      <x:c r="AK142" s="9" t="str">
        <x:v>Eval_State_Recognition.xlsm</x:v>
      </x:c>
      <x:c r="AL142" s="9" t="str">
        <x:v>GR00T vision only Results</x:v>
      </x:c>
      <x:c r="AM142" s="9" t="n">
        <x:v>142</x:v>
      </x:c>
      <x:c r="AN142" s="9" t="n">
        <x:v>142</x:v>
      </x:c>
    </x:row>
    <x:row r="143">
      <x:c r="A143" s="9" t="str">
        <x:v>Failure</x:v>
      </x:c>
      <x:c r="B143" s="9" t="str">
        <x:v>State Recognition</x:v>
      </x:c>
      <x:c r="C143" s="10" t="n">
        <x:v>141</x:v>
      </x:c>
      <x:c r="D143" s="9" t="str">
        <x:v>Place the upside-down glass spice container in the bowl.</x:v>
      </x:c>
      <x:c r="E143" s="9" t="str">
        <x:v>glass spice container A (C, RU); glass spice container B (C, RU); yellow-white striped cup B (O, RU); brown cup A (C, RU)</x:v>
      </x:c>
      <x:c r="F143" s="9" t="str">
        <x:v>NO-OP; no object has state UD, so nothing should be picked up</x:v>
      </x:c>
      <x:c r="G143" s="9" t="str">
        <x:v>picked conatiner further from bowl</x:v>
      </x:c>
      <x:c r="H143" s="9" t="str">
        <x:v>No valid target / no movement</x:v>
      </x:c>
      <x:c r="I143" s="9" t="str">
        <x:v>SR-NOOP12</x:v>
      </x:c>
      <x:c r="J143" s="9" t="str">
        <x:v>No satisfying state present; bowl remains empty</x:v>
      </x:c>
      <x:c r="K143" s="9"/>
      <x:c r="L143" s="9" t="str">
        <x:v>176</x:v>
      </x:c>
      <x:c r="M143" s="9" t="str">
        <x:v>The state-object concept is explicitly trained, but training does not contain a no-satisfying-target abstention trajectory.</x:v>
      </x:c>
      <x:c r="N143" s="9" t="n">
        <x:v>6</x:v>
      </x:c>
      <x:c r="O143" s="9" t="str">
        <x:v>Build the listed no-match scene and confirm the bowl is empty.</x:v>
      </x:c>
      <x:c r="P143" s="9" t="str">
        <x:v>No object in the entire scene has the queried state. The prompt uses the same canonical frame as active trials, and the queried state-object cell is training-supported. The same-category candidates share the orthogonal C/O state (C).</x:v>
      </x:c>
      <x:c r="Q143" s="9"/>
      <x:c r="R143" s="10" t="n">
        <x:v>4</x:v>
      </x:c>
      <x:c r="S143" s="10" t="n">
        <x:v>0</x:v>
      </x:c>
      <x:c r="T143" s="9" t="str">
        <x:v>Empty</x:v>
      </x:c>
      <x:c r="U143" s="9" t="str">
        <x:v>UD</x:v>
      </x:c>
      <x:c r="V143" s="9" t="str">
        <x:v>glass spice container</x:v>
      </x:c>
      <x:c r="W143" s="9"/>
      <x:c r="X143" s="10"/>
      <x:c r="Y143" s="10"/>
      <x:c r="Z143" s="9"/>
      <x:c r="AA143" s="9"/>
      <x:c r="AB143" s="9"/>
      <x:c r="AC143" s="9"/>
      <x:c r="AD143" s="9"/>
      <x:c r="AE143" s="9"/>
      <x:c r="AF143" s="9"/>
      <x:c r="AG143" s="9"/>
      <x:c r="AH143" s="9"/>
      <x:c r="AI143" s="11"/>
      <x:c r="AJ143" s="9"/>
      <x:c r="AK143" s="9" t="str">
        <x:v>Eval_State_Recognition.xlsm</x:v>
      </x:c>
      <x:c r="AL143" s="9" t="str">
        <x:v>GR00T vision only Results</x:v>
      </x:c>
      <x:c r="AM143" s="9" t="n">
        <x:v>143</x:v>
      </x:c>
      <x:c r="AN143" s="9" t="n">
        <x:v>143</x:v>
      </x:c>
    </x:row>
    <x:row r="144">
      <x:c r="A144" s="9" t="str">
        <x:v>Failure</x:v>
      </x:c>
      <x:c r="B144" s="9" t="str">
        <x:v>State Recognition</x:v>
      </x:c>
      <x:c r="C144" s="10" t="n">
        <x:v>142</x:v>
      </x:c>
      <x:c r="D144" s="9" t="str">
        <x:v>Place the closed white cup in the bowl.</x:v>
      </x:c>
      <x:c r="E144" s="9" t="str">
        <x:v>white cup A (O, RU); white cup B (O, RU)</x:v>
      </x:c>
      <x:c r="F144" s="9" t="str">
        <x:v>NO-OP; no object has state C, so nothing should be picked up</x:v>
      </x:c>
      <x:c r="G144" s="9" t="str">
        <x:v>picked cup closest to the bowl</x:v>
      </x:c>
      <x:c r="H144" s="9" t="str">
        <x:v>No valid target / no movement</x:v>
      </x:c>
      <x:c r="I144" s="9" t="str">
        <x:v>SR-NOOP13</x:v>
      </x:c>
      <x:c r="J144" s="9" t="str">
        <x:v>No satisfying state present; bowl remains empty</x:v>
      </x:c>
      <x:c r="K144" s="9"/>
      <x:c r="L144" s="9" t="str">
        <x:v>3</x:v>
      </x:c>
      <x:c r="M144" s="9" t="str">
        <x:v>The state-object concept is explicitly trained, but training does not contain a no-satisfying-target abstention trajectory. All objects are upright, matching the context of every explicit open/closed training demonstration.</x:v>
      </x:c>
      <x:c r="N144" s="9" t="n">
        <x:v>6</x:v>
      </x:c>
      <x:c r="O144" s="9" t="str">
        <x:v>Build the listed no-match scene and confirm the bowl is empty.</x:v>
      </x:c>
      <x:c r="P144" s="9" t="str">
        <x:v>No object in the entire scene has the queried state. The prompt uses the same canonical frame as active trials, and the queried state-object cell is training-supported. The orthogonal orientation axis is fixed: every object is RU.</x:v>
      </x:c>
      <x:c r="Q144" s="9"/>
      <x:c r="R144" s="10" t="n">
        <x:v>2</x:v>
      </x:c>
      <x:c r="S144" s="10" t="n">
        <x:v>0</x:v>
      </x:c>
      <x:c r="T144" s="9" t="str">
        <x:v>Empty</x:v>
      </x:c>
      <x:c r="U144" s="9" t="str">
        <x:v>C</x:v>
      </x:c>
      <x:c r="V144" s="9" t="str">
        <x:v>white cup</x:v>
      </x:c>
      <x:c r="W144" s="9"/>
      <x:c r="X144" s="10"/>
      <x:c r="Y144" s="10"/>
      <x:c r="Z144" s="9"/>
      <x:c r="AA144" s="9"/>
      <x:c r="AB144" s="9"/>
      <x:c r="AC144" s="9"/>
      <x:c r="AD144" s="9"/>
      <x:c r="AE144" s="9"/>
      <x:c r="AF144" s="9"/>
      <x:c r="AG144" s="9"/>
      <x:c r="AH144" s="9"/>
      <x:c r="AI144" s="11"/>
      <x:c r="AJ144" s="9"/>
      <x:c r="AK144" s="9" t="str">
        <x:v>Eval_State_Recognition.xlsm</x:v>
      </x:c>
      <x:c r="AL144" s="9" t="str">
        <x:v>GR00T vision only Results</x:v>
      </x:c>
      <x:c r="AM144" s="9" t="n">
        <x:v>144</x:v>
      </x:c>
      <x:c r="AN144" s="9" t="n">
        <x:v>144</x:v>
      </x:c>
    </x:row>
    <x:row r="145">
      <x:c r="A145" s="9" t="str">
        <x:v>Failure</x:v>
      </x:c>
      <x:c r="B145" s="9" t="str">
        <x:v>State Recognition</x:v>
      </x:c>
      <x:c r="C145" s="10" t="n">
        <x:v>143</x:v>
      </x:c>
      <x:c r="D145" s="9" t="str">
        <x:v>Place the upside-down yellow-white striped cup in the bowl.</x:v>
      </x:c>
      <x:c r="E145" s="9" t="str">
        <x:v>yellow-white striped cup A (O, RU); yellow-white striped cup B (O, RU); brown cup A (C, RU)</x:v>
      </x:c>
      <x:c r="F145" s="9" t="str">
        <x:v>NO-OP; no object has state UD, so nothing should be picked up</x:v>
      </x:c>
      <x:c r="G145" s="9" t="str">
        <x:v>picked cup closest to the bowl</x:v>
      </x:c>
      <x:c r="H145" s="9" t="str">
        <x:v>No valid target / no movement</x:v>
      </x:c>
      <x:c r="I145" s="9" t="str">
        <x:v>SR-NOOP14</x:v>
      </x:c>
      <x:c r="J145" s="9" t="str">
        <x:v>No satisfying state present; bowl remains empty</x:v>
      </x:c>
      <x:c r="K145" s="9"/>
      <x:c r="L145" s="9" t="str">
        <x:v>83</x:v>
      </x:c>
      <x:c r="M145" s="9" t="str">
        <x:v>The state-object concept is explicitly trained, but training does not contain a no-satisfying-target abstention trajectory.</x:v>
      </x:c>
      <x:c r="N145" s="9" t="n">
        <x:v>6</x:v>
      </x:c>
      <x:c r="O145" s="9" t="str">
        <x:v>Build the listed no-match scene and confirm the bowl is empty.</x:v>
      </x:c>
      <x:c r="P145" s="9" t="str">
        <x:v>No object in the entire scene has the queried state. The prompt uses the same canonical frame as active trials, and the queried state-object cell is training-supported. The same-category candidates share the orthogonal C/O state (O).</x:v>
      </x:c>
      <x:c r="Q145" s="9"/>
      <x:c r="R145" s="10" t="n">
        <x:v>3</x:v>
      </x:c>
      <x:c r="S145" s="10" t="n">
        <x:v>0</x:v>
      </x:c>
      <x:c r="T145" s="9" t="str">
        <x:v>Empty</x:v>
      </x:c>
      <x:c r="U145" s="9" t="str">
        <x:v>UD</x:v>
      </x:c>
      <x:c r="V145" s="9" t="str">
        <x:v>yellow-white striped cup</x:v>
      </x:c>
      <x:c r="W145" s="9"/>
      <x:c r="X145" s="10"/>
      <x:c r="Y145" s="10"/>
      <x:c r="Z145" s="9"/>
      <x:c r="AA145" s="9"/>
      <x:c r="AB145" s="9"/>
      <x:c r="AC145" s="9"/>
      <x:c r="AD145" s="9"/>
      <x:c r="AE145" s="9"/>
      <x:c r="AF145" s="9"/>
      <x:c r="AG145" s="9"/>
      <x:c r="AH145" s="9"/>
      <x:c r="AI145" s="11"/>
      <x:c r="AJ145" s="9"/>
      <x:c r="AK145" s="9" t="str">
        <x:v>Eval_State_Recognition.xlsm</x:v>
      </x:c>
      <x:c r="AL145" s="9" t="str">
        <x:v>GR00T vision only Results</x:v>
      </x:c>
      <x:c r="AM145" s="9" t="n">
        <x:v>145</x:v>
      </x:c>
      <x:c r="AN145" s="9" t="n">
        <x:v>145</x:v>
      </x:c>
    </x:row>
    <x:row r="146">
      <x:c r="A146" s="9" t="str">
        <x:v>Failure</x:v>
      </x:c>
      <x:c r="B146" s="9" t="str">
        <x:v>State Recognition</x:v>
      </x:c>
      <x:c r="C146" s="10" t="n">
        <x:v>144</x:v>
      </x:c>
      <x:c r="D146" s="9" t="str">
        <x:v>Place the upside-down brown cup in the bowl.</x:v>
      </x:c>
      <x:c r="E146" s="9" t="str">
        <x:v>brown cup A (O, RU); brown cup B (O, RU); glass spice container B (O, RU); white cup A (C, RU)</x:v>
      </x:c>
      <x:c r="F146" s="9" t="str">
        <x:v>NO-OP; no object has state UD, so nothing should be picked up</x:v>
      </x:c>
      <x:c r="G146" s="9" t="str">
        <x:v>picked brown cup furthest from bowl</x:v>
      </x:c>
      <x:c r="H146" s="9" t="str">
        <x:v>No valid target / no movement</x:v>
      </x:c>
      <x:c r="I146" s="9" t="str">
        <x:v>SR-NOOP15</x:v>
      </x:c>
      <x:c r="J146" s="9" t="str">
        <x:v>No satisfying state present; bowl remains empty</x:v>
      </x:c>
      <x:c r="K146" s="9"/>
      <x:c r="L146" s="9" t="str">
        <x:v>127</x:v>
      </x:c>
      <x:c r="M146" s="9" t="str">
        <x:v>The state-object concept is explicitly trained, but training does not contain a no-satisfying-target abstention trajectory.</x:v>
      </x:c>
      <x:c r="N146" s="9" t="n">
        <x:v>6</x:v>
      </x:c>
      <x:c r="O146" s="9" t="str">
        <x:v>Build the listed no-match scene and confirm the bowl is empty.</x:v>
      </x:c>
      <x:c r="P146" s="9" t="str">
        <x:v>No object in the entire scene has the queried state. The prompt uses the same canonical frame as active trials, and the queried state-object cell is training-supported. The same-category candidates share the orthogonal C/O state (O).</x:v>
      </x:c>
      <x:c r="Q146" s="9"/>
      <x:c r="R146" s="10" t="n">
        <x:v>4</x:v>
      </x:c>
      <x:c r="S146" s="10" t="n">
        <x:v>0</x:v>
      </x:c>
      <x:c r="T146" s="9" t="str">
        <x:v>Empty</x:v>
      </x:c>
      <x:c r="U146" s="9" t="str">
        <x:v>UD</x:v>
      </x:c>
      <x:c r="V146" s="9" t="str">
        <x:v>brown cup</x:v>
      </x:c>
      <x:c r="W146" s="9"/>
      <x:c r="X146" s="10"/>
      <x:c r="Y146" s="10"/>
      <x:c r="Z146" s="9"/>
      <x:c r="AA146" s="9"/>
      <x:c r="AB146" s="9"/>
      <x:c r="AC146" s="9"/>
      <x:c r="AD146" s="9"/>
      <x:c r="AE146" s="9"/>
      <x:c r="AF146" s="9"/>
      <x:c r="AG146" s="9"/>
      <x:c r="AH146" s="9"/>
      <x:c r="AI146" s="11"/>
      <x:c r="AJ146" s="9"/>
      <x:c r="AK146" s="9" t="str">
        <x:v>Eval_State_Recognition.xlsm</x:v>
      </x:c>
      <x:c r="AL146" s="9" t="str">
        <x:v>GR00T vision only Results</x:v>
      </x:c>
      <x:c r="AM146" s="9" t="n">
        <x:v>146</x:v>
      </x:c>
      <x:c r="AN146" s="9" t="n">
        <x:v>146</x:v>
      </x:c>
    </x:row>
    <x:row r="147">
      <x:c r="A147" s="9" t="str">
        <x:v>Failure</x:v>
      </x:c>
      <x:c r="B147" s="9" t="str">
        <x:v>State Recognition</x:v>
      </x:c>
      <x:c r="C147" s="10" t="n">
        <x:v>145</x:v>
      </x:c>
      <x:c r="D147" s="9" t="str">
        <x:v>Place the closed glass spice container in the bowl.</x:v>
      </x:c>
      <x:c r="E147" s="9" t="str">
        <x:v>glass spice container A (O, RU); glass spice container B (O, RU)</x:v>
      </x:c>
      <x:c r="F147" s="9" t="str">
        <x:v>NO-OP; no object has state C, so nothing should be picked up</x:v>
      </x:c>
      <x:c r="G147" s="9" t="str">
        <x:v>picked furthest container from bowl</x:v>
      </x:c>
      <x:c r="H147" s="9" t="str">
        <x:v>No valid target / no movement</x:v>
      </x:c>
      <x:c r="I147" s="9" t="str">
        <x:v>SR-NOOP16</x:v>
      </x:c>
      <x:c r="J147" s="9" t="str">
        <x:v>No satisfying state present; bowl remains empty</x:v>
      </x:c>
      <x:c r="K147" s="9"/>
      <x:c r="L147" s="9" t="str">
        <x:v>152</x:v>
      </x:c>
      <x:c r="M147" s="9" t="str">
        <x:v>The state-object concept is explicitly trained, but training does not contain a no-satisfying-target abstention trajectory. All objects are upright, matching the context of every explicit open/closed training demonstration.</x:v>
      </x:c>
      <x:c r="N147" s="9" t="n">
        <x:v>6</x:v>
      </x:c>
      <x:c r="O147" s="9" t="str">
        <x:v>Build the listed no-match scene and confirm the bowl is empty.</x:v>
      </x:c>
      <x:c r="P147" s="9" t="str">
        <x:v>No object in the entire scene has the queried state. The prompt uses the same canonical frame as active trials, and the queried state-object cell is training-supported. The orthogonal orientation axis is fixed: every object is RU.</x:v>
      </x:c>
      <x:c r="Q147" s="9"/>
      <x:c r="R147" s="10" t="n">
        <x:v>2</x:v>
      </x:c>
      <x:c r="S147" s="10" t="n">
        <x:v>0</x:v>
      </x:c>
      <x:c r="T147" s="9" t="str">
        <x:v>Empty</x:v>
      </x:c>
      <x:c r="U147" s="9" t="str">
        <x:v>C</x:v>
      </x:c>
      <x:c r="V147" s="9" t="str">
        <x:v>glass spice container</x:v>
      </x:c>
      <x:c r="W147" s="9"/>
      <x:c r="X147" s="10"/>
      <x:c r="Y147" s="10"/>
      <x:c r="Z147" s="9"/>
      <x:c r="AA147" s="9"/>
      <x:c r="AB147" s="9"/>
      <x:c r="AC147" s="9"/>
      <x:c r="AD147" s="9"/>
      <x:c r="AE147" s="9"/>
      <x:c r="AF147" s="9"/>
      <x:c r="AG147" s="9"/>
      <x:c r="AH147" s="9"/>
      <x:c r="AI147" s="11"/>
      <x:c r="AJ147" s="9"/>
      <x:c r="AK147" s="9" t="str">
        <x:v>Eval_State_Recognition.xlsm</x:v>
      </x:c>
      <x:c r="AL147" s="9" t="str">
        <x:v>GR00T vision only Results</x:v>
      </x:c>
      <x:c r="AM147" s="9" t="n">
        <x:v>147</x:v>
      </x:c>
      <x:c r="AN147" s="9" t="n">
        <x:v>147</x:v>
      </x:c>
    </x:row>
    <x:row r="148">
      <x:c r="A148" s="9" t="str">
        <x:v>Failure</x:v>
      </x:c>
      <x:c r="B148" s="9" t="str">
        <x:v>State Recognition</x:v>
      </x:c>
      <x:c r="C148" s="10" t="n">
        <x:v>146</x:v>
      </x:c>
      <x:c r="D148" s="9" t="str">
        <x:v>Place the open white cup in the bowl.</x:v>
      </x:c>
      <x:c r="E148" s="9" t="str">
        <x:v>white cup A (C, RU); white cup B (C, RU); glass spice container A (C, RU)</x:v>
      </x:c>
      <x:c r="F148" s="9" t="str">
        <x:v>NO-OP; no object has state O, so nothing should be picked up</x:v>
      </x:c>
      <x:c r="G148" s="9" t="str">
        <x:v>picked white cup furthest from bowl; popped off lid</x:v>
      </x:c>
      <x:c r="H148" s="9" t="str">
        <x:v>No valid target / no movement</x:v>
      </x:c>
      <x:c r="I148" s="9" t="str">
        <x:v>SR-NOOP17</x:v>
      </x:c>
      <x:c r="J148" s="9" t="str">
        <x:v>No satisfying state present; bowl remains empty</x:v>
      </x:c>
      <x:c r="K148" s="9"/>
      <x:c r="L148" s="9" t="str">
        <x:v>2</x:v>
      </x:c>
      <x:c r="M148" s="9" t="str">
        <x:v>The state-object concept is explicitly trained, but training does not contain a no-satisfying-target abstention trajectory. All objects are upright, matching the context of every explicit open/closed training demonstration.</x:v>
      </x:c>
      <x:c r="N148" s="9" t="n">
        <x:v>6</x:v>
      </x:c>
      <x:c r="O148" s="9" t="str">
        <x:v>Build the listed no-match scene and confirm the bowl is empty.</x:v>
      </x:c>
      <x:c r="P148" s="9" t="str">
        <x:v>No object in the entire scene has the queried state. The prompt uses the same canonical frame as active trials, and the queried state-object cell is training-supported. The orthogonal orientation axis is fixed: every object is RU.</x:v>
      </x:c>
      <x:c r="Q148" s="9"/>
      <x:c r="R148" s="10" t="n">
        <x:v>3</x:v>
      </x:c>
      <x:c r="S148" s="10" t="n">
        <x:v>0</x:v>
      </x:c>
      <x:c r="T148" s="9" t="str">
        <x:v>Empty</x:v>
      </x:c>
      <x:c r="U148" s="9" t="str">
        <x:v>O</x:v>
      </x:c>
      <x:c r="V148" s="9" t="str">
        <x:v>white cup</x:v>
      </x:c>
      <x:c r="W148" s="9"/>
      <x:c r="X148" s="10"/>
      <x:c r="Y148" s="10"/>
      <x:c r="Z148" s="9"/>
      <x:c r="AA148" s="9"/>
      <x:c r="AB148" s="9"/>
      <x:c r="AC148" s="9"/>
      <x:c r="AD148" s="9"/>
      <x:c r="AE148" s="9"/>
      <x:c r="AF148" s="9"/>
      <x:c r="AG148" s="9"/>
      <x:c r="AH148" s="9"/>
      <x:c r="AI148" s="11"/>
      <x:c r="AJ148" s="9"/>
      <x:c r="AK148" s="9" t="str">
        <x:v>Eval_State_Recognition.xlsm</x:v>
      </x:c>
      <x:c r="AL148" s="9" t="str">
        <x:v>GR00T vision only Results</x:v>
      </x:c>
      <x:c r="AM148" s="9" t="n">
        <x:v>148</x:v>
      </x:c>
      <x:c r="AN148" s="9" t="n">
        <x:v>148</x:v>
      </x:c>
    </x:row>
    <x:row r="149">
      <x:c r="A149" s="9" t="str">
        <x:v>Failure</x:v>
      </x:c>
      <x:c r="B149" s="9" t="str">
        <x:v>State Recognition</x:v>
      </x:c>
      <x:c r="C149" s="10" t="n">
        <x:v>147</x:v>
      </x:c>
      <x:c r="D149" s="9" t="str">
        <x:v>Place the upright yellow-white striped cup in the bowl.</x:v>
      </x:c>
      <x:c r="E149" s="9" t="str">
        <x:v>yellow-white striped cup A (C, UD); yellow-white striped cup B (C, UD); white cup B (O, UD); brown cup A (C, UD)</x:v>
      </x:c>
      <x:c r="F149" s="9" t="str">
        <x:v>NO-OP; no object has state RU, so nothing should be picked up</x:v>
      </x:c>
      <x:c r="G149" s="9" t="str">
        <x:v>picked the striped cup closest to the bowl</x:v>
      </x:c>
      <x:c r="H149" s="9" t="str">
        <x:v>No valid target / no movement</x:v>
      </x:c>
      <x:c r="I149" s="9" t="str">
        <x:v>SR-NOOP18</x:v>
      </x:c>
      <x:c r="J149" s="9" t="str">
        <x:v>No satisfying state present; bowl remains empty</x:v>
      </x:c>
      <x:c r="K149" s="9"/>
      <x:c r="L149" s="9" t="str">
        <x:v>76</x:v>
      </x:c>
      <x:c r="M149" s="9" t="str">
        <x:v>The state-object concept is explicitly trained, but training does not contain a no-satisfying-target abstention trajectory.</x:v>
      </x:c>
      <x:c r="N149" s="9" t="n">
        <x:v>6</x:v>
      </x:c>
      <x:c r="O149" s="9" t="str">
        <x:v>Build the listed no-match scene and confirm the bowl is empty.</x:v>
      </x:c>
      <x:c r="P149" s="9" t="str">
        <x:v>No object in the entire scene has the queried state. The prompt uses the same canonical frame as active trials, and the queried state-object cell is training-supported. The same-category candidates share the orthogonal C/O state (C).</x:v>
      </x:c>
      <x:c r="Q149" s="9"/>
      <x:c r="R149" s="10" t="n">
        <x:v>4</x:v>
      </x:c>
      <x:c r="S149" s="10" t="n">
        <x:v>0</x:v>
      </x:c>
      <x:c r="T149" s="9" t="str">
        <x:v>Empty</x:v>
      </x:c>
      <x:c r="U149" s="9" t="str">
        <x:v>RU</x:v>
      </x:c>
      <x:c r="V149" s="9" t="str">
        <x:v>yellow-white striped cup</x:v>
      </x:c>
      <x:c r="W149" s="9"/>
      <x:c r="X149" s="10"/>
      <x:c r="Y149" s="10"/>
      <x:c r="Z149" s="9"/>
      <x:c r="AA149" s="9"/>
      <x:c r="AB149" s="9"/>
      <x:c r="AC149" s="9"/>
      <x:c r="AD149" s="9"/>
      <x:c r="AE149" s="9"/>
      <x:c r="AF149" s="9"/>
      <x:c r="AG149" s="9"/>
      <x:c r="AH149" s="9"/>
      <x:c r="AI149" s="11"/>
      <x:c r="AJ149" s="9"/>
      <x:c r="AK149" s="9" t="str">
        <x:v>Eval_State_Recognition.xlsm</x:v>
      </x:c>
      <x:c r="AL149" s="9" t="str">
        <x:v>GR00T vision only Results</x:v>
      </x:c>
      <x:c r="AM149" s="9" t="n">
        <x:v>149</x:v>
      </x:c>
      <x:c r="AN149" s="9" t="n">
        <x:v>149</x:v>
      </x:c>
    </x:row>
    <x:row r="150">
      <x:c r="A150" s="9" t="str">
        <x:v>Failure</x:v>
      </x:c>
      <x:c r="B150" s="9" t="str">
        <x:v>State Recognition</x:v>
      </x:c>
      <x:c r="C150" s="10" t="n">
        <x:v>148</x:v>
      </x:c>
      <x:c r="D150" s="9" t="str">
        <x:v>Place the upright brown cup in the bowl.</x:v>
      </x:c>
      <x:c r="E150" s="9" t="str">
        <x:v>brown cup A (C, UD); brown cup B (C, UD)</x:v>
      </x:c>
      <x:c r="F150" s="9" t="str">
        <x:v>NO-OP; no object has state RU, so nothing should be picked up</x:v>
      </x:c>
      <x:c r="G150" s="9" t="str">
        <x:v>picked brown cup furthest from bowl; lid popped off</x:v>
      </x:c>
      <x:c r="H150" s="9" t="str">
        <x:v>No valid target / no movement</x:v>
      </x:c>
      <x:c r="I150" s="9" t="str">
        <x:v>SR-NOOP19</x:v>
      </x:c>
      <x:c r="J150" s="9" t="str">
        <x:v>No satisfying state present; bowl remains empty</x:v>
      </x:c>
      <x:c r="K150" s="9"/>
      <x:c r="L150" s="9" t="str">
        <x:v>130</x:v>
      </x:c>
      <x:c r="M150" s="9" t="str">
        <x:v>The state-object concept is explicitly trained, but training does not contain a no-satisfying-target abstention trajectory.</x:v>
      </x:c>
      <x:c r="N150" s="9" t="n">
        <x:v>6</x:v>
      </x:c>
      <x:c r="O150" s="9" t="str">
        <x:v>Build the listed no-match scene and confirm the bowl is empty.</x:v>
      </x:c>
      <x:c r="P150" s="9" t="str">
        <x:v>No object in the entire scene has the queried state. The prompt uses the same canonical frame as active trials, and the queried state-object cell is training-supported. The same-category candidates share the orthogonal C/O state (C).</x:v>
      </x:c>
      <x:c r="Q150" s="9"/>
      <x:c r="R150" s="10" t="n">
        <x:v>2</x:v>
      </x:c>
      <x:c r="S150" s="10" t="n">
        <x:v>0</x:v>
      </x:c>
      <x:c r="T150" s="9" t="str">
        <x:v>Empty</x:v>
      </x:c>
      <x:c r="U150" s="9" t="str">
        <x:v>RU</x:v>
      </x:c>
      <x:c r="V150" s="9" t="str">
        <x:v>brown cup</x:v>
      </x:c>
      <x:c r="W150" s="9"/>
      <x:c r="X150" s="10"/>
      <x:c r="Y150" s="10"/>
      <x:c r="Z150" s="9"/>
      <x:c r="AA150" s="9"/>
      <x:c r="AB150" s="9"/>
      <x:c r="AC150" s="9"/>
      <x:c r="AD150" s="9"/>
      <x:c r="AE150" s="9"/>
      <x:c r="AF150" s="9"/>
      <x:c r="AG150" s="9"/>
      <x:c r="AH150" s="9"/>
      <x:c r="AI150" s="11"/>
      <x:c r="AJ150" s="9"/>
      <x:c r="AK150" s="9" t="str">
        <x:v>Eval_State_Recognition.xlsm</x:v>
      </x:c>
      <x:c r="AL150" s="9" t="str">
        <x:v>GR00T vision only Results</x:v>
      </x:c>
      <x:c r="AM150" s="9" t="n">
        <x:v>150</x:v>
      </x:c>
      <x:c r="AN150" s="9" t="n">
        <x:v>150</x:v>
      </x:c>
    </x:row>
    <x:row r="151">
      <x:c r="A151" s="9" t="str">
        <x:v>Failure</x:v>
      </x:c>
      <x:c r="B151" s="9" t="str">
        <x:v>State Recognition</x:v>
      </x:c>
      <x:c r="C151" s="10" t="n">
        <x:v>149</x:v>
      </x:c>
      <x:c r="D151" s="9" t="str">
        <x:v>Place the open glass spice container in the bowl.</x:v>
      </x:c>
      <x:c r="E151" s="9" t="str">
        <x:v>glass spice container A (C, RU); glass spice container B (C, RU); brown cup B (C, RU)</x:v>
      </x:c>
      <x:c r="F151" s="9" t="str">
        <x:v>NO-OP; no object has state O, so nothing should be picked up</x:v>
      </x:c>
      <x:c r="G151" s="9" t="str">
        <x:v>picked the container closest to the bowl</x:v>
      </x:c>
      <x:c r="H151" s="9" t="str">
        <x:v>No valid target / no movement</x:v>
      </x:c>
      <x:c r="I151" s="9" t="str">
        <x:v>SR-NOOP20</x:v>
      </x:c>
      <x:c r="J151" s="9" t="str">
        <x:v>No satisfying state present; bowl remains empty</x:v>
      </x:c>
      <x:c r="K151" s="9"/>
      <x:c r="L151" s="9" t="str">
        <x:v>154</x:v>
      </x:c>
      <x:c r="M151" s="9" t="str">
        <x:v>The state-object concept is explicitly trained, but training does not contain a no-satisfying-target abstention trajectory. All objects are upright, matching the context of every explicit open/closed training demonstration.</x:v>
      </x:c>
      <x:c r="N151" s="9" t="n">
        <x:v>6</x:v>
      </x:c>
      <x:c r="O151" s="9" t="str">
        <x:v>Build the listed no-match scene and confirm the bowl is empty.</x:v>
      </x:c>
      <x:c r="P151" s="9" t="str">
        <x:v>No object in the entire scene has the queried state. The prompt uses the same canonical frame as active trials, and the queried state-object cell is training-supported. The orthogonal orientation axis is fixed: every object is RU.</x:v>
      </x:c>
      <x:c r="Q151" s="9"/>
      <x:c r="R151" s="10" t="n">
        <x:v>3</x:v>
      </x:c>
      <x:c r="S151" s="10" t="n">
        <x:v>0</x:v>
      </x:c>
      <x:c r="T151" s="9" t="str">
        <x:v>Empty</x:v>
      </x:c>
      <x:c r="U151" s="9" t="str">
        <x:v>O</x:v>
      </x:c>
      <x:c r="V151" s="9" t="str">
        <x:v>glass spice container</x:v>
      </x:c>
      <x:c r="W151" s="9"/>
      <x:c r="X151" s="10"/>
      <x:c r="Y151" s="10"/>
      <x:c r="Z151" s="9"/>
      <x:c r="AA151" s="9"/>
      <x:c r="AB151" s="9"/>
      <x:c r="AC151" s="9"/>
      <x:c r="AD151" s="9"/>
      <x:c r="AE151" s="9"/>
      <x:c r="AF151" s="9"/>
      <x:c r="AG151" s="9"/>
      <x:c r="AH151" s="9"/>
      <x:c r="AI151" s="11"/>
      <x:c r="AJ151" s="9"/>
      <x:c r="AK151" s="9" t="str">
        <x:v>Eval_State_Recognition.xlsm</x:v>
      </x:c>
      <x:c r="AL151" s="9" t="str">
        <x:v>GR00T vision only Results</x:v>
      </x:c>
      <x:c r="AM151" s="9" t="n">
        <x:v>151</x:v>
      </x:c>
      <x:c r="AN151" s="9" t="n">
        <x:v>151</x:v>
      </x:c>
    </x:row>
    <x:row r="152">
      <x:c r="A152" s="9" t="str">
        <x:v>Success</x:v>
      </x:c>
      <x:c r="B152" s="9" t="str">
        <x:v>Counting</x:v>
      </x:c>
      <x:c r="C152" s="10" t="n">
        <x:v>0</x:v>
      </x:c>
      <x:c r="D152" s="9" t="str">
        <x:v>Leave exactly one object in the bowl.</x:v>
      </x:c>
      <x:c r="E152" s="9" t="str">
        <x:v>Bowl objects: [none] | Table objects: [blue pen, yellow block, green pencil sharpener]</x:v>
      </x:c>
      <x:c r="F152" s="9" t="str">
        <x:v>ADD any one table object; finish with 1 object in the bowl</x:v>
      </x:c>
      <x:c r="G152" s="9" t="str">
        <x:v>picked the yellow block</x:v>
      </x:c>
      <x:c r="H152" s="9" t="str">
        <x:v>In-distribution concept baseline</x:v>
      </x:c>
      <x:c r="I152" s="9" t="str">
        <x:v>ID-F01</x:v>
      </x:c>
      <x:c r="J152" s="9" t="str">
        <x:v>In-distribution: one via trained 0→1 addition</x:v>
      </x:c>
      <x:c r="K152" s="9"/>
      <x:c r="L152" s="9" t="str">
        <x:v>801</x:v>
      </x:c>
      <x:c r="M152" s="9" t="str">
        <x:v>Exact trained cell: prompt, count transition, and scene-object membership match; physical layout is not copied exactly.</x:v>
      </x:c>
      <x:c r="N152" s="9" t="n">
        <x:v>1</x:v>
      </x:c>
      <x:c r="O152" s="9" t="str">
        <x:v>Recreate the listed bowl/table membership from training episode 801.</x:v>
      </x:c>
      <x:c r="P152" s="9" t="str">
        <x:v>Exact trained count transition and scene-object membership. Any object that reaches the requested final count is acceptable.</x:v>
      </x:c>
      <x:c r="Q152" s="9"/>
      <x:c r="R152" s="10"/>
      <x:c r="S152" s="10"/>
      <x:c r="T152" s="9"/>
      <x:c r="U152" s="9"/>
      <x:c r="V152" s="9"/>
      <x:c r="W152" s="9" t="str">
        <x:v>ID-F01</x:v>
      </x:c>
      <x:c r="X152" s="10" t="n">
        <x:v>0</x:v>
      </x:c>
      <x:c r="Y152" s="10" t="n">
        <x:v>1</x:v>
      </x:c>
      <x:c r="Z152" s="9" t="str">
        <x:v>ADD</x:v>
      </x:c>
      <x:c r="AA152" s="9"/>
      <x:c r="AB152" s="9"/>
      <x:c r="AC152" s="9"/>
      <x:c r="AD152" s="9"/>
      <x:c r="AE152" s="9"/>
      <x:c r="AF152" s="9"/>
      <x:c r="AG152" s="9"/>
      <x:c r="AH152" s="9"/>
      <x:c r="AI152" s="11"/>
      <x:c r="AJ152" s="9"/>
      <x:c r="AK152" s="9" t="str">
        <x:v>Eval_Counting.xlsm</x:v>
      </x:c>
      <x:c r="AL152" s="9" t="str">
        <x:v>GR00T vision only Results</x:v>
      </x:c>
      <x:c r="AM152" s="9" t="n">
        <x:v>2</x:v>
      </x:c>
      <x:c r="AN152" s="9" t="n">
        <x:v>2</x:v>
      </x:c>
    </x:row>
    <x:row r="153">
      <x:c r="A153" s="9" t="str">
        <x:v>Failure</x:v>
      </x:c>
      <x:c r="B153" s="9" t="str">
        <x:v>Counting</x:v>
      </x:c>
      <x:c r="C153" s="10" t="n">
        <x:v>1</x:v>
      </x:c>
      <x:c r="D153" s="9" t="str">
        <x:v>Adjust the bowl so that it contains two objects.</x:v>
      </x:c>
      <x:c r="E153" s="9" t="str">
        <x:v>Bowl objects: [yellow block] | Table objects: [blue pen, green pencil sharpener]</x:v>
      </x:c>
      <x:c r="F153" s="9" t="str">
        <x:v>ADD any one table object; finish with 2 objects in the bowl</x:v>
      </x:c>
      <x:c r="G153" s="9" t="str">
        <x:v>didn't move</x:v>
      </x:c>
      <x:c r="H153" s="9" t="str">
        <x:v>In-distribution concept baseline</x:v>
      </x:c>
      <x:c r="I153" s="9" t="str">
        <x:v>ID-F01</x:v>
      </x:c>
      <x:c r="J153" s="9" t="str">
        <x:v>In-distribution: two via trained 1→2 addition</x:v>
      </x:c>
      <x:c r="K153" s="9"/>
      <x:c r="L153" s="9" t="str">
        <x:v>809</x:v>
      </x:c>
      <x:c r="M153" s="9" t="str">
        <x:v>Exact trained cell: prompt, count transition, and scene-object membership match; physical layout is not copied exactly.</x:v>
      </x:c>
      <x:c r="N153" s="9" t="n">
        <x:v>1</x:v>
      </x:c>
      <x:c r="O153" s="9" t="str">
        <x:v>Recreate the listed bowl/table membership from training episode 809.</x:v>
      </x:c>
      <x:c r="P153" s="9" t="str">
        <x:v>Exact trained count transition and scene-object membership. Any object that reaches the requested final count is acceptable.</x:v>
      </x:c>
      <x:c r="Q153" s="9"/>
      <x:c r="R153" s="10"/>
      <x:c r="S153" s="10"/>
      <x:c r="T153" s="9"/>
      <x:c r="U153" s="9"/>
      <x:c r="V153" s="9"/>
      <x:c r="W153" s="9" t="str">
        <x:v>ID-F01</x:v>
      </x:c>
      <x:c r="X153" s="10" t="n">
        <x:v>1</x:v>
      </x:c>
      <x:c r="Y153" s="10" t="n">
        <x:v>2</x:v>
      </x:c>
      <x:c r="Z153" s="9" t="str">
        <x:v>ADD</x:v>
      </x:c>
      <x:c r="AA153" s="9"/>
      <x:c r="AB153" s="9"/>
      <x:c r="AC153" s="9"/>
      <x:c r="AD153" s="9"/>
      <x:c r="AE153" s="9"/>
      <x:c r="AF153" s="9"/>
      <x:c r="AG153" s="9"/>
      <x:c r="AH153" s="9"/>
      <x:c r="AI153" s="11"/>
      <x:c r="AJ153" s="9"/>
      <x:c r="AK153" s="9" t="str">
        <x:v>Eval_Counting.xlsm</x:v>
      </x:c>
      <x:c r="AL153" s="9" t="str">
        <x:v>GR00T vision only Results</x:v>
      </x:c>
      <x:c r="AM153" s="9" t="n">
        <x:v>3</x:v>
      </x:c>
      <x:c r="AN153" s="9" t="n">
        <x:v>3</x:v>
      </x:c>
    </x:row>
    <x:row r="154">
      <x:c r="A154" s="9" t="str">
        <x:v>Failure</x:v>
      </x:c>
      <x:c r="B154" s="9" t="str">
        <x:v>Counting</x:v>
      </x:c>
      <x:c r="C154" s="10" t="n">
        <x:v>2</x:v>
      </x:c>
      <x:c r="D154" s="9" t="str">
        <x:v>Leave exactly three objects in the bowl.</x:v>
      </x:c>
      <x:c r="E154" s="9" t="str">
        <x:v>Bowl objects: [blue pen, yellow block, green pencil sharpener, airplane toy without propellers] | Table objects: [none]</x:v>
      </x:c>
      <x:c r="F154" s="9" t="str">
        <x:v>REMOVE any one bowl object; finish with 3 objects in the bowl</x:v>
      </x:c>
      <x:c r="G154" s="9" t="str">
        <x:v>picked both the airplane toy and green pencil sharpener simulataneously so left two items int he bowl</x:v>
      </x:c>
      <x:c r="H154" s="9" t="str">
        <x:v>In-distribution concept baseline</x:v>
      </x:c>
      <x:c r="I154" s="9" t="str">
        <x:v>ID-F01</x:v>
      </x:c>
      <x:c r="J154" s="9" t="str">
        <x:v>In-distribution: three via trained 4→3 removal</x:v>
      </x:c>
      <x:c r="K154" s="9"/>
      <x:c r="L154" s="9" t="str">
        <x:v>843</x:v>
      </x:c>
      <x:c r="M154" s="9" t="str">
        <x:v>Exact trained cell: prompt, count transition, and scene-object membership match; physical layout is not copied exactly.</x:v>
      </x:c>
      <x:c r="N154" s="9" t="n">
        <x:v>1</x:v>
      </x:c>
      <x:c r="O154" s="9" t="str">
        <x:v>Recreate the listed bowl/table membership from training episode 843.</x:v>
      </x:c>
      <x:c r="P154" s="9" t="str">
        <x:v>Exact trained count transition and scene-object membership. Any object that reaches the requested final count is acceptable.</x:v>
      </x:c>
      <x:c r="Q154" s="9"/>
      <x:c r="R154" s="10"/>
      <x:c r="S154" s="10"/>
      <x:c r="T154" s="9"/>
      <x:c r="U154" s="9"/>
      <x:c r="V154" s="9"/>
      <x:c r="W154" s="9" t="str">
        <x:v>ID-F01</x:v>
      </x:c>
      <x:c r="X154" s="10" t="n">
        <x:v>4</x:v>
      </x:c>
      <x:c r="Y154" s="10" t="n">
        <x:v>3</x:v>
      </x:c>
      <x:c r="Z154" s="9" t="str">
        <x:v>REMOVE</x:v>
      </x:c>
      <x:c r="AA154" s="9"/>
      <x:c r="AB154" s="9"/>
      <x:c r="AC154" s="9"/>
      <x:c r="AD154" s="9"/>
      <x:c r="AE154" s="9"/>
      <x:c r="AF154" s="9"/>
      <x:c r="AG154" s="9"/>
      <x:c r="AH154" s="9"/>
      <x:c r="AI154" s="11"/>
      <x:c r="AJ154" s="9"/>
      <x:c r="AK154" s="9" t="str">
        <x:v>Eval_Counting.xlsm</x:v>
      </x:c>
      <x:c r="AL154" s="9" t="str">
        <x:v>GR00T vision only Results</x:v>
      </x:c>
      <x:c r="AM154" s="9" t="n">
        <x:v>4</x:v>
      </x:c>
      <x:c r="AN154" s="9" t="n">
        <x:v>4</x:v>
      </x:c>
    </x:row>
    <x:row r="155">
      <x:c r="A155" s="9" t="str">
        <x:v>Success</x:v>
      </x:c>
      <x:c r="B155" s="9" t="str">
        <x:v>Counting</x:v>
      </x:c>
      <x:c r="C155" s="10" t="n">
        <x:v>3</x:v>
      </x:c>
      <x:c r="D155" s="9" t="str">
        <x:v>Adjust the bowl so that it contains zero objects.</x:v>
      </x:c>
      <x:c r="E155" s="9" t="str">
        <x:v>Bowl objects: [blue pen] | Table objects: [green pencil sharpener, airplane toy without propellers]</x:v>
      </x:c>
      <x:c r="F155" s="9" t="str">
        <x:v>REMOVE the only bowl object; finish with 0 objects in the bowl</x:v>
      </x:c>
      <x:c r="G155" s="9"/>
      <x:c r="H155" s="9" t="str">
        <x:v>In-distribution concept baseline</x:v>
      </x:c>
      <x:c r="I155" s="9" t="str">
        <x:v>ID-F01</x:v>
      </x:c>
      <x:c r="J155" s="9" t="str">
        <x:v>In-distribution: zero via trained 1→0 removal</x:v>
      </x:c>
      <x:c r="K155" s="9"/>
      <x:c r="L155" s="9" t="str">
        <x:v>826</x:v>
      </x:c>
      <x:c r="M155" s="9" t="str">
        <x:v>Exact trained cell: prompt, count transition, and scene-object membership match; physical layout is not copied exactly.</x:v>
      </x:c>
      <x:c r="N155" s="9" t="n">
        <x:v>1</x:v>
      </x:c>
      <x:c r="O155" s="9" t="str">
        <x:v>Recreate the listed bowl/table membership from training episode 826.</x:v>
      </x:c>
      <x:c r="P155" s="9" t="str">
        <x:v>Exact trained count transition and scene-object membership. Any object that reaches the requested final count is acceptable.</x:v>
      </x:c>
      <x:c r="Q155" s="9"/>
      <x:c r="R155" s="10"/>
      <x:c r="S155" s="10"/>
      <x:c r="T155" s="9"/>
      <x:c r="U155" s="9"/>
      <x:c r="V155" s="9"/>
      <x:c r="W155" s="9" t="str">
        <x:v>ID-F01</x:v>
      </x:c>
      <x:c r="X155" s="10" t="n">
        <x:v>1</x:v>
      </x:c>
      <x:c r="Y155" s="10" t="n">
        <x:v>0</x:v>
      </x:c>
      <x:c r="Z155" s="9" t="str">
        <x:v>REMOVE</x:v>
      </x:c>
      <x:c r="AA155" s="9"/>
      <x:c r="AB155" s="9"/>
      <x:c r="AC155" s="9"/>
      <x:c r="AD155" s="9"/>
      <x:c r="AE155" s="9"/>
      <x:c r="AF155" s="9"/>
      <x:c r="AG155" s="9"/>
      <x:c r="AH155" s="9"/>
      <x:c r="AI155" s="11"/>
      <x:c r="AJ155" s="9"/>
      <x:c r="AK155" s="9" t="str">
        <x:v>Eval_Counting.xlsm</x:v>
      </x:c>
      <x:c r="AL155" s="9" t="str">
        <x:v>GR00T vision only Results</x:v>
      </x:c>
      <x:c r="AM155" s="9" t="n">
        <x:v>5</x:v>
      </x:c>
      <x:c r="AN155" s="9" t="n">
        <x:v>5</x:v>
      </x:c>
    </x:row>
    <x:row r="156">
      <x:c r="A156" s="9" t="str">
        <x:v>Success</x:v>
      </x:c>
      <x:c r="B156" s="9" t="str">
        <x:v>Counting</x:v>
      </x:c>
      <x:c r="C156" s="10" t="n">
        <x:v>4</x:v>
      </x:c>
      <x:c r="D156" s="9" t="str">
        <x:v>Leave exactly one object in the bowl.</x:v>
      </x:c>
      <x:c r="E156" s="9" t="str">
        <x:v>Bowl objects: [none] | Table objects: [yellow block, blue pen]</x:v>
      </x:c>
      <x:c r="F156" s="9" t="str">
        <x:v>ADD any one table object; finish with 1 object in the bowl</x:v>
      </x:c>
      <x:c r="G156" s="9"/>
      <x:c r="H156" s="9" t="str">
        <x:v>In-distribution concept baseline</x:v>
      </x:c>
      <x:c r="I156" s="9" t="str">
        <x:v>ID-F02</x:v>
      </x:c>
      <x:c r="J156" s="9" t="str">
        <x:v>In-distribution: one via trained 0→1 addition</x:v>
      </x:c>
      <x:c r="K156" s="9"/>
      <x:c r="L156" s="9" t="str">
        <x:v>852</x:v>
      </x:c>
      <x:c r="M156" s="9" t="str">
        <x:v>Exact trained cell: prompt, count transition, and scene-object membership match; physical layout is not copied exactly.</x:v>
      </x:c>
      <x:c r="N156" s="9" t="n">
        <x:v>1</x:v>
      </x:c>
      <x:c r="O156" s="9" t="str">
        <x:v>Recreate the listed bowl/table membership from training episode 852.</x:v>
      </x:c>
      <x:c r="P156" s="9" t="str">
        <x:v>Exact trained count transition and scene-object membership. Any object that reaches the requested final count is acceptable.</x:v>
      </x:c>
      <x:c r="Q156" s="9"/>
      <x:c r="R156" s="10"/>
      <x:c r="S156" s="10"/>
      <x:c r="T156" s="9"/>
      <x:c r="U156" s="9"/>
      <x:c r="V156" s="9"/>
      <x:c r="W156" s="9" t="str">
        <x:v>ID-F02</x:v>
      </x:c>
      <x:c r="X156" s="10" t="n">
        <x:v>0</x:v>
      </x:c>
      <x:c r="Y156" s="10" t="n">
        <x:v>1</x:v>
      </x:c>
      <x:c r="Z156" s="9" t="str">
        <x:v>ADD</x:v>
      </x:c>
      <x:c r="AA156" s="9"/>
      <x:c r="AB156" s="9"/>
      <x:c r="AC156" s="9"/>
      <x:c r="AD156" s="9"/>
      <x:c r="AE156" s="9"/>
      <x:c r="AF156" s="9"/>
      <x:c r="AG156" s="9"/>
      <x:c r="AH156" s="9"/>
      <x:c r="AI156" s="11"/>
      <x:c r="AJ156" s="9"/>
      <x:c r="AK156" s="9" t="str">
        <x:v>Eval_Counting.xlsm</x:v>
      </x:c>
      <x:c r="AL156" s="9" t="str">
        <x:v>GR00T vision only Results</x:v>
      </x:c>
      <x:c r="AM156" s="9" t="n">
        <x:v>6</x:v>
      </x:c>
      <x:c r="AN156" s="9" t="n">
        <x:v>6</x:v>
      </x:c>
    </x:row>
    <x:row r="157">
      <x:c r="A157" s="9" t="str">
        <x:v>Failure</x:v>
      </x:c>
      <x:c r="B157" s="9" t="str">
        <x:v>Counting</x:v>
      </x:c>
      <x:c r="C157" s="10" t="n">
        <x:v>5</x:v>
      </x:c>
      <x:c r="D157" s="9" t="str">
        <x:v>Adjust the bowl so that it contains two objects.</x:v>
      </x:c>
      <x:c r="E157" s="9" t="str">
        <x:v>Bowl objects: [green pencil sharpener] | Table objects: [yellow block, airplane toy without propellers]</x:v>
      </x:c>
      <x:c r="F157" s="9" t="str">
        <x:v>ADD any one table object; finish with 2 objects in the bowl</x:v>
      </x:c>
      <x:c r="G157" s="9" t="str">
        <x:v>tried to pick yellow block but couldn't</x:v>
      </x:c>
      <x:c r="H157" s="9" t="str">
        <x:v>In-distribution concept baseline</x:v>
      </x:c>
      <x:c r="I157" s="9" t="str">
        <x:v>ID-F02</x:v>
      </x:c>
      <x:c r="J157" s="9" t="str">
        <x:v>In-distribution: two via trained 1→2 addition</x:v>
      </x:c>
      <x:c r="K157" s="9"/>
      <x:c r="L157" s="9" t="str">
        <x:v>859</x:v>
      </x:c>
      <x:c r="M157" s="9" t="str">
        <x:v>Exact trained cell: prompt, count transition, and scene-object membership match; physical layout is not copied exactly.</x:v>
      </x:c>
      <x:c r="N157" s="9" t="n">
        <x:v>1</x:v>
      </x:c>
      <x:c r="O157" s="9" t="str">
        <x:v>Recreate the listed bowl/table membership from training episode 859.</x:v>
      </x:c>
      <x:c r="P157" s="9" t="str">
        <x:v>Exact trained count transition and scene-object membership. Any object that reaches the requested final count is acceptable.</x:v>
      </x:c>
      <x:c r="Q157" s="9"/>
      <x:c r="R157" s="10"/>
      <x:c r="S157" s="10"/>
      <x:c r="T157" s="9"/>
      <x:c r="U157" s="9"/>
      <x:c r="V157" s="9"/>
      <x:c r="W157" s="9" t="str">
        <x:v>ID-F02</x:v>
      </x:c>
      <x:c r="X157" s="10" t="n">
        <x:v>1</x:v>
      </x:c>
      <x:c r="Y157" s="10" t="n">
        <x:v>2</x:v>
      </x:c>
      <x:c r="Z157" s="9" t="str">
        <x:v>ADD</x:v>
      </x:c>
      <x:c r="AA157" s="9"/>
      <x:c r="AB157" s="9"/>
      <x:c r="AC157" s="9"/>
      <x:c r="AD157" s="9"/>
      <x:c r="AE157" s="9"/>
      <x:c r="AF157" s="9"/>
      <x:c r="AG157" s="9"/>
      <x:c r="AH157" s="9"/>
      <x:c r="AI157" s="11"/>
      <x:c r="AJ157" s="9"/>
      <x:c r="AK157" s="9" t="str">
        <x:v>Eval_Counting.xlsm</x:v>
      </x:c>
      <x:c r="AL157" s="9" t="str">
        <x:v>GR00T vision only Results</x:v>
      </x:c>
      <x:c r="AM157" s="9" t="n">
        <x:v>7</x:v>
      </x:c>
      <x:c r="AN157" s="9" t="n">
        <x:v>7</x:v>
      </x:c>
    </x:row>
    <x:row r="158">
      <x:c r="A158" s="9" t="str">
        <x:v>Failure</x:v>
      </x:c>
      <x:c r="B158" s="9" t="str">
        <x:v>Counting</x:v>
      </x:c>
      <x:c r="C158" s="10" t="n">
        <x:v>6</x:v>
      </x:c>
      <x:c r="D158" s="9" t="str">
        <x:v>Leave exactly three objects in the bowl.</x:v>
      </x:c>
      <x:c r="E158" s="9" t="str">
        <x:v>Bowl objects: [yellow block, green pencil sharpener, airplane toy without propellers, blue pen] | Table objects: [none]</x:v>
      </x:c>
      <x:c r="F158" s="9" t="str">
        <x:v>REMOVE any one bowl object; finish with 3 objects in the bowl</x:v>
      </x:c>
      <x:c r="G158" s="9" t="str">
        <x:v>went to bowl, but couldn't grab anything</x:v>
      </x:c>
      <x:c r="H158" s="9" t="str">
        <x:v>In-distribution concept baseline</x:v>
      </x:c>
      <x:c r="I158" s="9" t="str">
        <x:v>ID-F02</x:v>
      </x:c>
      <x:c r="J158" s="9" t="str">
        <x:v>In-distribution: three via trained 4→3 removal</x:v>
      </x:c>
      <x:c r="K158" s="9"/>
      <x:c r="L158" s="9" t="str">
        <x:v>893</x:v>
      </x:c>
      <x:c r="M158" s="9" t="str">
        <x:v>Exact trained cell: prompt, count transition, and scene-object membership match; physical layout is not copied exactly.</x:v>
      </x:c>
      <x:c r="N158" s="9" t="n">
        <x:v>1</x:v>
      </x:c>
      <x:c r="O158" s="9" t="str">
        <x:v>Recreate the listed bowl/table membership from training episode 893.</x:v>
      </x:c>
      <x:c r="P158" s="9" t="str">
        <x:v>Exact trained count transition and scene-object membership. Any object that reaches the requested final count is acceptable.</x:v>
      </x:c>
      <x:c r="Q158" s="9"/>
      <x:c r="R158" s="10"/>
      <x:c r="S158" s="10"/>
      <x:c r="T158" s="9"/>
      <x:c r="U158" s="9"/>
      <x:c r="V158" s="9"/>
      <x:c r="W158" s="9" t="str">
        <x:v>ID-F02</x:v>
      </x:c>
      <x:c r="X158" s="10" t="n">
        <x:v>4</x:v>
      </x:c>
      <x:c r="Y158" s="10" t="n">
        <x:v>3</x:v>
      </x:c>
      <x:c r="Z158" s="9" t="str">
        <x:v>REMOVE</x:v>
      </x:c>
      <x:c r="AA158" s="9"/>
      <x:c r="AB158" s="9"/>
      <x:c r="AC158" s="9"/>
      <x:c r="AD158" s="9"/>
      <x:c r="AE158" s="9"/>
      <x:c r="AF158" s="9"/>
      <x:c r="AG158" s="9"/>
      <x:c r="AH158" s="9"/>
      <x:c r="AI158" s="11"/>
      <x:c r="AJ158" s="9"/>
      <x:c r="AK158" s="9" t="str">
        <x:v>Eval_Counting.xlsm</x:v>
      </x:c>
      <x:c r="AL158" s="9" t="str">
        <x:v>GR00T vision only Results</x:v>
      </x:c>
      <x:c r="AM158" s="9" t="n">
        <x:v>8</x:v>
      </x:c>
      <x:c r="AN158" s="9" t="n">
        <x:v>8</x:v>
      </x:c>
    </x:row>
    <x:row r="159">
      <x:c r="A159" s="9" t="str">
        <x:v>Success</x:v>
      </x:c>
      <x:c r="B159" s="9" t="str">
        <x:v>Counting</x:v>
      </x:c>
      <x:c r="C159" s="10" t="n">
        <x:v>7</x:v>
      </x:c>
      <x:c r="D159" s="9" t="str">
        <x:v>Adjust the bowl so that it contains zero objects.</x:v>
      </x:c>
      <x:c r="E159" s="9" t="str">
        <x:v>Bowl objects: [yellow block] | Table objects: [blue pen]</x:v>
      </x:c>
      <x:c r="F159" s="9" t="str">
        <x:v>REMOVE the only bowl object; finish with 0 objects in the bowl</x:v>
      </x:c>
      <x:c r="G159" s="9"/>
      <x:c r="H159" s="9" t="str">
        <x:v>In-distribution concept baseline</x:v>
      </x:c>
      <x:c r="I159" s="9" t="str">
        <x:v>ID-F02</x:v>
      </x:c>
      <x:c r="J159" s="9" t="str">
        <x:v>In-distribution: zero via trained 1→0 removal</x:v>
      </x:c>
      <x:c r="K159" s="9"/>
      <x:c r="L159" s="9" t="str">
        <x:v>878</x:v>
      </x:c>
      <x:c r="M159" s="9" t="str">
        <x:v>Exact trained cell: prompt, count transition, and scene-object membership match; physical layout is not copied exactly.</x:v>
      </x:c>
      <x:c r="N159" s="9" t="n">
        <x:v>1</x:v>
      </x:c>
      <x:c r="O159" s="9" t="str">
        <x:v>Recreate the listed bowl/table membership from training episode 878.</x:v>
      </x:c>
      <x:c r="P159" s="9" t="str">
        <x:v>Exact trained count transition and scene-object membership. Any object that reaches the requested final count is acceptable.</x:v>
      </x:c>
      <x:c r="Q159" s="9"/>
      <x:c r="R159" s="10"/>
      <x:c r="S159" s="10"/>
      <x:c r="T159" s="9"/>
      <x:c r="U159" s="9"/>
      <x:c r="V159" s="9"/>
      <x:c r="W159" s="9" t="str">
        <x:v>ID-F02</x:v>
      </x:c>
      <x:c r="X159" s="10" t="n">
        <x:v>1</x:v>
      </x:c>
      <x:c r="Y159" s="10" t="n">
        <x:v>0</x:v>
      </x:c>
      <x:c r="Z159" s="9" t="str">
        <x:v>REMOVE</x:v>
      </x:c>
      <x:c r="AA159" s="9"/>
      <x:c r="AB159" s="9"/>
      <x:c r="AC159" s="9"/>
      <x:c r="AD159" s="9"/>
      <x:c r="AE159" s="9"/>
      <x:c r="AF159" s="9"/>
      <x:c r="AG159" s="9"/>
      <x:c r="AH159" s="9"/>
      <x:c r="AI159" s="11"/>
      <x:c r="AJ159" s="9"/>
      <x:c r="AK159" s="9" t="str">
        <x:v>Eval_Counting.xlsm</x:v>
      </x:c>
      <x:c r="AL159" s="9" t="str">
        <x:v>GR00T vision only Results</x:v>
      </x:c>
      <x:c r="AM159" s="9" t="n">
        <x:v>9</x:v>
      </x:c>
      <x:c r="AN159" s="9" t="n">
        <x:v>9</x:v>
      </x:c>
    </x:row>
    <x:row r="160">
      <x:c r="A160" s="9" t="str">
        <x:v>Success</x:v>
      </x:c>
      <x:c r="B160" s="9" t="str">
        <x:v>Counting</x:v>
      </x:c>
      <x:c r="C160" s="10" t="n">
        <x:v>8</x:v>
      </x:c>
      <x:c r="D160" s="9" t="str">
        <x:v>Leave exactly one object in the bowl.</x:v>
      </x:c>
      <x:c r="E160" s="9" t="str">
        <x:v>Bowl objects: [none] | Table objects: [green pencil sharpener, yellow block]</x:v>
      </x:c>
      <x:c r="F160" s="9" t="str">
        <x:v>ADD any one table object; finish with 1 object in the bowl</x:v>
      </x:c>
      <x:c r="G160" s="9"/>
      <x:c r="H160" s="9" t="str">
        <x:v>In-distribution concept baseline</x:v>
      </x:c>
      <x:c r="I160" s="9" t="str">
        <x:v>ID-F03</x:v>
      </x:c>
      <x:c r="J160" s="9" t="str">
        <x:v>In-distribution: one via trained 0→1 addition</x:v>
      </x:c>
      <x:c r="K160" s="9"/>
      <x:c r="L160" s="9" t="str">
        <x:v>902</x:v>
      </x:c>
      <x:c r="M160" s="9" t="str">
        <x:v>Exact trained cell: prompt, count transition, and scene-object membership match; physical layout is not copied exactly.</x:v>
      </x:c>
      <x:c r="N160" s="9" t="n">
        <x:v>1</x:v>
      </x:c>
      <x:c r="O160" s="9" t="str">
        <x:v>Recreate the listed bowl/table membership from training episode 902.</x:v>
      </x:c>
      <x:c r="P160" s="9" t="str">
        <x:v>Exact trained count transition and scene-object membership. Any object that reaches the requested final count is acceptable.</x:v>
      </x:c>
      <x:c r="Q160" s="9"/>
      <x:c r="R160" s="10"/>
      <x:c r="S160" s="10"/>
      <x:c r="T160" s="9"/>
      <x:c r="U160" s="9"/>
      <x:c r="V160" s="9"/>
      <x:c r="W160" s="9" t="str">
        <x:v>ID-F03</x:v>
      </x:c>
      <x:c r="X160" s="10" t="n">
        <x:v>0</x:v>
      </x:c>
      <x:c r="Y160" s="10" t="n">
        <x:v>1</x:v>
      </x:c>
      <x:c r="Z160" s="9" t="str">
        <x:v>ADD</x:v>
      </x:c>
      <x:c r="AA160" s="9"/>
      <x:c r="AB160" s="9"/>
      <x:c r="AC160" s="9"/>
      <x:c r="AD160" s="9"/>
      <x:c r="AE160" s="9"/>
      <x:c r="AF160" s="9"/>
      <x:c r="AG160" s="9"/>
      <x:c r="AH160" s="9"/>
      <x:c r="AI160" s="11"/>
      <x:c r="AJ160" s="9"/>
      <x:c r="AK160" s="9" t="str">
        <x:v>Eval_Counting.xlsm</x:v>
      </x:c>
      <x:c r="AL160" s="9" t="str">
        <x:v>GR00T vision only Results</x:v>
      </x:c>
      <x:c r="AM160" s="9" t="n">
        <x:v>10</x:v>
      </x:c>
      <x:c r="AN160" s="9" t="n">
        <x:v>10</x:v>
      </x:c>
    </x:row>
    <x:row r="161">
      <x:c r="A161" s="9" t="str">
        <x:v>Failure</x:v>
      </x:c>
      <x:c r="B161" s="9" t="str">
        <x:v>Counting</x:v>
      </x:c>
      <x:c r="C161" s="10" t="n">
        <x:v>9</x:v>
      </x:c>
      <x:c r="D161" s="9" t="str">
        <x:v>Adjust the bowl so that it contains two objects.</x:v>
      </x:c>
      <x:c r="E161" s="9" t="str">
        <x:v>Bowl objects: [blue pen] | Table objects: [green pencil sharpener, airplane toy without propellers]</x:v>
      </x:c>
      <x:c r="F161" s="9" t="str">
        <x:v>ADD any one table object; finish with 2 objects in the bowl</x:v>
      </x:c>
      <x:c r="G161" s="9" t="str">
        <x:v>went for the airplane toy 5 times, but never moved it.</x:v>
      </x:c>
      <x:c r="H161" s="9" t="str">
        <x:v>In-distribution concept baseline</x:v>
      </x:c>
      <x:c r="I161" s="9" t="str">
        <x:v>ID-F03</x:v>
      </x:c>
      <x:c r="J161" s="9" t="str">
        <x:v>In-distribution: two via trained 1→2 addition</x:v>
      </x:c>
      <x:c r="K161" s="9"/>
      <x:c r="L161" s="9" t="str">
        <x:v>909</x:v>
      </x:c>
      <x:c r="M161" s="9" t="str">
        <x:v>Exact trained cell: prompt, count transition, and scene-object membership match; physical layout is not copied exactly.</x:v>
      </x:c>
      <x:c r="N161" s="9" t="n">
        <x:v>1</x:v>
      </x:c>
      <x:c r="O161" s="9" t="str">
        <x:v>Recreate the listed bowl/table membership from training episode 909.</x:v>
      </x:c>
      <x:c r="P161" s="9" t="str">
        <x:v>Exact trained count transition and scene-object membership. Any object that reaches the requested final count is acceptable.</x:v>
      </x:c>
      <x:c r="Q161" s="9"/>
      <x:c r="R161" s="10"/>
      <x:c r="S161" s="10"/>
      <x:c r="T161" s="9"/>
      <x:c r="U161" s="9"/>
      <x:c r="V161" s="9"/>
      <x:c r="W161" s="9" t="str">
        <x:v>ID-F03</x:v>
      </x:c>
      <x:c r="X161" s="10" t="n">
        <x:v>1</x:v>
      </x:c>
      <x:c r="Y161" s="10" t="n">
        <x:v>2</x:v>
      </x:c>
      <x:c r="Z161" s="9" t="str">
        <x:v>ADD</x:v>
      </x:c>
      <x:c r="AA161" s="9"/>
      <x:c r="AB161" s="9"/>
      <x:c r="AC161" s="9"/>
      <x:c r="AD161" s="9"/>
      <x:c r="AE161" s="9"/>
      <x:c r="AF161" s="9"/>
      <x:c r="AG161" s="9"/>
      <x:c r="AH161" s="9"/>
      <x:c r="AI161" s="11"/>
      <x:c r="AJ161" s="9"/>
      <x:c r="AK161" s="9" t="str">
        <x:v>Eval_Counting.xlsm</x:v>
      </x:c>
      <x:c r="AL161" s="9" t="str">
        <x:v>GR00T vision only Results</x:v>
      </x:c>
      <x:c r="AM161" s="9" t="n">
        <x:v>11</x:v>
      </x:c>
      <x:c r="AN161" s="9" t="n">
        <x:v>11</x:v>
      </x:c>
    </x:row>
    <x:row r="162">
      <x:c r="A162" s="9" t="str">
        <x:v>Failure</x:v>
      </x:c>
      <x:c r="B162" s="9" t="str">
        <x:v>Counting</x:v>
      </x:c>
      <x:c r="C162" s="10" t="n">
        <x:v>10</x:v>
      </x:c>
      <x:c r="D162" s="9" t="str">
        <x:v>Leave exactly three objects in the bowl.</x:v>
      </x:c>
      <x:c r="E162" s="9" t="str">
        <x:v>Bowl objects: [green pencil sharpener, airplane toy without propellers, blue pen, yellow block] | Table objects: [none]</x:v>
      </x:c>
      <x:c r="F162" s="9" t="str">
        <x:v>REMOVE any one bowl object; finish with 3 objects in the bowl</x:v>
      </x:c>
      <x:c r="G162" s="9" t="str">
        <x:v>went to bowl but couldn't pick anything up</x:v>
      </x:c>
      <x:c r="H162" s="9" t="str">
        <x:v>In-distribution concept baseline</x:v>
      </x:c>
      <x:c r="I162" s="9" t="str">
        <x:v>ID-F03</x:v>
      </x:c>
      <x:c r="J162" s="9" t="str">
        <x:v>In-distribution: three via trained 4→3 removal</x:v>
      </x:c>
      <x:c r="K162" s="9"/>
      <x:c r="L162" s="9" t="str">
        <x:v>943</x:v>
      </x:c>
      <x:c r="M162" s="9" t="str">
        <x:v>Exact trained cell: prompt, count transition, and scene-object membership match; physical layout is not copied exactly.</x:v>
      </x:c>
      <x:c r="N162" s="9" t="n">
        <x:v>1</x:v>
      </x:c>
      <x:c r="O162" s="9" t="str">
        <x:v>Recreate the listed bowl/table membership from training episode 943.</x:v>
      </x:c>
      <x:c r="P162" s="9" t="str">
        <x:v>Exact trained count transition and scene-object membership. Any object that reaches the requested final count is acceptable.</x:v>
      </x:c>
      <x:c r="Q162" s="9"/>
      <x:c r="R162" s="10"/>
      <x:c r="S162" s="10"/>
      <x:c r="T162" s="9"/>
      <x:c r="U162" s="9"/>
      <x:c r="V162" s="9"/>
      <x:c r="W162" s="9" t="str">
        <x:v>ID-F03</x:v>
      </x:c>
      <x:c r="X162" s="10" t="n">
        <x:v>4</x:v>
      </x:c>
      <x:c r="Y162" s="10" t="n">
        <x:v>3</x:v>
      </x:c>
      <x:c r="Z162" s="9" t="str">
        <x:v>REMOVE</x:v>
      </x:c>
      <x:c r="AA162" s="9"/>
      <x:c r="AB162" s="9"/>
      <x:c r="AC162" s="9"/>
      <x:c r="AD162" s="9"/>
      <x:c r="AE162" s="9"/>
      <x:c r="AF162" s="9"/>
      <x:c r="AG162" s="9"/>
      <x:c r="AH162" s="9"/>
      <x:c r="AI162" s="11"/>
      <x:c r="AJ162" s="9"/>
      <x:c r="AK162" s="9" t="str">
        <x:v>Eval_Counting.xlsm</x:v>
      </x:c>
      <x:c r="AL162" s="9" t="str">
        <x:v>GR00T vision only Results</x:v>
      </x:c>
      <x:c r="AM162" s="9" t="n">
        <x:v>12</x:v>
      </x:c>
      <x:c r="AN162" s="9" t="n">
        <x:v>12</x:v>
      </x:c>
    </x:row>
    <x:row r="163">
      <x:c r="A163" s="9" t="str">
        <x:v>Success</x:v>
      </x:c>
      <x:c r="B163" s="9" t="str">
        <x:v>Counting</x:v>
      </x:c>
      <x:c r="C163" s="10" t="n">
        <x:v>11</x:v>
      </x:c>
      <x:c r="D163" s="9" t="str">
        <x:v>Make the bowl contain exactly zero objects.</x:v>
      </x:c>
      <x:c r="E163" s="9" t="str">
        <x:v>Bowl objects: [green pencil sharpener] | Table objects: [yellow block]</x:v>
      </x:c>
      <x:c r="F163" s="9" t="str">
        <x:v>REMOVE the only bowl object; finish with 0 objects in the bowl</x:v>
      </x:c>
      <x:c r="G163" s="9"/>
      <x:c r="H163" s="9" t="str">
        <x:v>In-distribution concept baseline</x:v>
      </x:c>
      <x:c r="I163" s="9" t="str">
        <x:v>ID-F03</x:v>
      </x:c>
      <x:c r="J163" s="9" t="str">
        <x:v>In-distribution: zero via trained 1→0 removal</x:v>
      </x:c>
      <x:c r="K163" s="9"/>
      <x:c r="L163" s="9" t="str">
        <x:v>928</x:v>
      </x:c>
      <x:c r="M163" s="9" t="str">
        <x:v>Exact trained cell: prompt, count transition, and scene-object membership match; physical layout is not copied exactly.</x:v>
      </x:c>
      <x:c r="N163" s="9" t="n">
        <x:v>1</x:v>
      </x:c>
      <x:c r="O163" s="9" t="str">
        <x:v>Recreate the listed bowl/table membership from training episode 928.</x:v>
      </x:c>
      <x:c r="P163" s="9" t="str">
        <x:v>Exact trained count transition and scene-object membership. Any object that reaches the requested final count is acceptable.</x:v>
      </x:c>
      <x:c r="Q163" s="9"/>
      <x:c r="R163" s="10"/>
      <x:c r="S163" s="10"/>
      <x:c r="T163" s="9"/>
      <x:c r="U163" s="9"/>
      <x:c r="V163" s="9"/>
      <x:c r="W163" s="9" t="str">
        <x:v>ID-F03</x:v>
      </x:c>
      <x:c r="X163" s="10" t="n">
        <x:v>1</x:v>
      </x:c>
      <x:c r="Y163" s="10" t="n">
        <x:v>0</x:v>
      </x:c>
      <x:c r="Z163" s="9" t="str">
        <x:v>REMOVE</x:v>
      </x:c>
      <x:c r="AA163" s="9"/>
      <x:c r="AB163" s="9"/>
      <x:c r="AC163" s="9"/>
      <x:c r="AD163" s="9"/>
      <x:c r="AE163" s="9"/>
      <x:c r="AF163" s="9"/>
      <x:c r="AG163" s="9"/>
      <x:c r="AH163" s="9"/>
      <x:c r="AI163" s="11"/>
      <x:c r="AJ163" s="9"/>
      <x:c r="AK163" s="9" t="str">
        <x:v>Eval_Counting.xlsm</x:v>
      </x:c>
      <x:c r="AL163" s="9" t="str">
        <x:v>GR00T vision only Results</x:v>
      </x:c>
      <x:c r="AM163" s="9" t="n">
        <x:v>13</x:v>
      </x:c>
      <x:c r="AN163" s="9" t="n">
        <x:v>13</x:v>
      </x:c>
    </x:row>
    <x:row r="164">
      <x:c r="A164" s="9" t="str">
        <x:v>Success</x:v>
      </x:c>
      <x:c r="B164" s="9" t="str">
        <x:v>Counting</x:v>
      </x:c>
      <x:c r="C164" s="10" t="n">
        <x:v>12</x:v>
      </x:c>
      <x:c r="D164" s="9" t="str">
        <x:v>Leave exactly one object in the bowl.</x:v>
      </x:c>
      <x:c r="E164" s="9" t="str">
        <x:v>Bowl objects: [none] | Table objects: [airplane toy without propellers, blue pen, yellow block]</x:v>
      </x:c>
      <x:c r="F164" s="9" t="str">
        <x:v>ADD any one table object; finish with 1 object in the bowl</x:v>
      </x:c>
      <x:c r="G164" s="9"/>
      <x:c r="H164" s="9" t="str">
        <x:v>In-distribution concept baseline</x:v>
      </x:c>
      <x:c r="I164" s="9" t="str">
        <x:v>ID-F04</x:v>
      </x:c>
      <x:c r="J164" s="9" t="str">
        <x:v>In-distribution: one via trained 0→1 addition</x:v>
      </x:c>
      <x:c r="K164" s="9"/>
      <x:c r="L164" s="9" t="str">
        <x:v>951</x:v>
      </x:c>
      <x:c r="M164" s="9" t="str">
        <x:v>Exact trained cell: prompt, count transition, and scene-object membership match; physical layout is not copied exactly.</x:v>
      </x:c>
      <x:c r="N164" s="9" t="n">
        <x:v>1</x:v>
      </x:c>
      <x:c r="O164" s="9" t="str">
        <x:v>Recreate the listed bowl/table membership from training episode 951.</x:v>
      </x:c>
      <x:c r="P164" s="9" t="str">
        <x:v>Exact trained count transition and scene-object membership. Any object that reaches the requested final count is acceptable.</x:v>
      </x:c>
      <x:c r="Q164" s="9"/>
      <x:c r="R164" s="10"/>
      <x:c r="S164" s="10"/>
      <x:c r="T164" s="9"/>
      <x:c r="U164" s="9"/>
      <x:c r="V164" s="9"/>
      <x:c r="W164" s="9" t="str">
        <x:v>ID-F04</x:v>
      </x:c>
      <x:c r="X164" s="10" t="n">
        <x:v>0</x:v>
      </x:c>
      <x:c r="Y164" s="10" t="n">
        <x:v>1</x:v>
      </x:c>
      <x:c r="Z164" s="9" t="str">
        <x:v>ADD</x:v>
      </x:c>
      <x:c r="AA164" s="9"/>
      <x:c r="AB164" s="9"/>
      <x:c r="AC164" s="9"/>
      <x:c r="AD164" s="9"/>
      <x:c r="AE164" s="9"/>
      <x:c r="AF164" s="9"/>
      <x:c r="AG164" s="9"/>
      <x:c r="AH164" s="9"/>
      <x:c r="AI164" s="11"/>
      <x:c r="AJ164" s="9"/>
      <x:c r="AK164" s="9" t="str">
        <x:v>Eval_Counting.xlsm</x:v>
      </x:c>
      <x:c r="AL164" s="9" t="str">
        <x:v>GR00T vision only Results</x:v>
      </x:c>
      <x:c r="AM164" s="9" t="n">
        <x:v>14</x:v>
      </x:c>
      <x:c r="AN164" s="9" t="n">
        <x:v>14</x:v>
      </x:c>
    </x:row>
    <x:row r="165">
      <x:c r="A165" s="9" t="str">
        <x:v>Success</x:v>
      </x:c>
      <x:c r="B165" s="9" t="str">
        <x:v>Counting</x:v>
      </x:c>
      <x:c r="C165" s="10" t="n">
        <x:v>13</x:v>
      </x:c>
      <x:c r="D165" s="9" t="str">
        <x:v>Make the bowl contain exactly two objects.</x:v>
      </x:c>
      <x:c r="E165" s="9" t="str">
        <x:v>Bowl objects: [green pencil sharpener] | Table objects: [airplane toy without propellers, yellow block]</x:v>
      </x:c>
      <x:c r="F165" s="9" t="str">
        <x:v>ADD any one table object; finish with 2 objects in the bowl</x:v>
      </x:c>
      <x:c r="G165" s="9"/>
      <x:c r="H165" s="9" t="str">
        <x:v>In-distribution concept baseline</x:v>
      </x:c>
      <x:c r="I165" s="9" t="str">
        <x:v>ID-F04</x:v>
      </x:c>
      <x:c r="J165" s="9" t="str">
        <x:v>In-distribution: two via trained 1→2 addition</x:v>
      </x:c>
      <x:c r="K165" s="9"/>
      <x:c r="L165" s="9" t="str">
        <x:v>960</x:v>
      </x:c>
      <x:c r="M165" s="9" t="str">
        <x:v>Exact trained cell: prompt, count transition, and scene-object membership match; physical layout is not copied exactly.</x:v>
      </x:c>
      <x:c r="N165" s="9" t="n">
        <x:v>1</x:v>
      </x:c>
      <x:c r="O165" s="9" t="str">
        <x:v>Recreate the listed bowl/table membership from training episode 960.</x:v>
      </x:c>
      <x:c r="P165" s="9" t="str">
        <x:v>Exact trained count transition and scene-object membership. Any object that reaches the requested final count is acceptable.</x:v>
      </x:c>
      <x:c r="Q165" s="9"/>
      <x:c r="R165" s="10"/>
      <x:c r="S165" s="10"/>
      <x:c r="T165" s="9"/>
      <x:c r="U165" s="9"/>
      <x:c r="V165" s="9"/>
      <x:c r="W165" s="9" t="str">
        <x:v>ID-F04</x:v>
      </x:c>
      <x:c r="X165" s="10" t="n">
        <x:v>1</x:v>
      </x:c>
      <x:c r="Y165" s="10" t="n">
        <x:v>2</x:v>
      </x:c>
      <x:c r="Z165" s="9" t="str">
        <x:v>ADD</x:v>
      </x:c>
      <x:c r="AA165" s="9"/>
      <x:c r="AB165" s="9"/>
      <x:c r="AC165" s="9"/>
      <x:c r="AD165" s="9"/>
      <x:c r="AE165" s="9"/>
      <x:c r="AF165" s="9"/>
      <x:c r="AG165" s="9"/>
      <x:c r="AH165" s="9"/>
      <x:c r="AI165" s="11"/>
      <x:c r="AJ165" s="9"/>
      <x:c r="AK165" s="9" t="str">
        <x:v>Eval_Counting.xlsm</x:v>
      </x:c>
      <x:c r="AL165" s="9" t="str">
        <x:v>GR00T vision only Results</x:v>
      </x:c>
      <x:c r="AM165" s="9" t="n">
        <x:v>15</x:v>
      </x:c>
      <x:c r="AN165" s="9" t="n">
        <x:v>15</x:v>
      </x:c>
    </x:row>
    <x:row r="166">
      <x:c r="A166" s="9" t="str">
        <x:v>Failure</x:v>
      </x:c>
      <x:c r="B166" s="9" t="str">
        <x:v>Counting</x:v>
      </x:c>
      <x:c r="C166" s="10" t="n">
        <x:v>14</x:v>
      </x:c>
      <x:c r="D166" s="9" t="str">
        <x:v>Leave exactly three objects in the bowl.</x:v>
      </x:c>
      <x:c r="E166" s="9" t="str">
        <x:v>Bowl objects: [airplane toy without propellers, blue pen, yellow block, green pencil sharpener] | Table objects: [none]</x:v>
      </x:c>
      <x:c r="F166" s="9" t="str">
        <x:v>REMOVE any one bowl object; finish with 3 objects in the bowl</x:v>
      </x:c>
      <x:c r="G166" s="9" t="str">
        <x:v>went to bowl but couldn't remove anything</x:v>
      </x:c>
      <x:c r="H166" s="9" t="str">
        <x:v>In-distribution concept baseline</x:v>
      </x:c>
      <x:c r="I166" s="9" t="str">
        <x:v>ID-F04</x:v>
      </x:c>
      <x:c r="J166" s="9" t="str">
        <x:v>In-distribution: three via trained 4→3 removal</x:v>
      </x:c>
      <x:c r="K166" s="9"/>
      <x:c r="L166" s="9" t="str">
        <x:v>993</x:v>
      </x:c>
      <x:c r="M166" s="9" t="str">
        <x:v>Exact trained cell: prompt, count transition, and scene-object membership match; physical layout is not copied exactly.</x:v>
      </x:c>
      <x:c r="N166" s="9" t="n">
        <x:v>1</x:v>
      </x:c>
      <x:c r="O166" s="9" t="str">
        <x:v>Recreate the listed bowl/table membership from training episode 993.</x:v>
      </x:c>
      <x:c r="P166" s="9" t="str">
        <x:v>Exact trained count transition and scene-object membership. Any object that reaches the requested final count is acceptable.</x:v>
      </x:c>
      <x:c r="Q166" s="9"/>
      <x:c r="R166" s="10"/>
      <x:c r="S166" s="10"/>
      <x:c r="T166" s="9"/>
      <x:c r="U166" s="9"/>
      <x:c r="V166" s="9"/>
      <x:c r="W166" s="9" t="str">
        <x:v>ID-F04</x:v>
      </x:c>
      <x:c r="X166" s="10" t="n">
        <x:v>4</x:v>
      </x:c>
      <x:c r="Y166" s="10" t="n">
        <x:v>3</x:v>
      </x:c>
      <x:c r="Z166" s="9" t="str">
        <x:v>REMOVE</x:v>
      </x:c>
      <x:c r="AA166" s="9"/>
      <x:c r="AB166" s="9"/>
      <x:c r="AC166" s="9"/>
      <x:c r="AD166" s="9"/>
      <x:c r="AE166" s="9"/>
      <x:c r="AF166" s="9"/>
      <x:c r="AG166" s="9"/>
      <x:c r="AH166" s="9"/>
      <x:c r="AI166" s="11"/>
      <x:c r="AJ166" s="9"/>
      <x:c r="AK166" s="9" t="str">
        <x:v>Eval_Counting.xlsm</x:v>
      </x:c>
      <x:c r="AL166" s="9" t="str">
        <x:v>GR00T vision only Results</x:v>
      </x:c>
      <x:c r="AM166" s="9" t="n">
        <x:v>16</x:v>
      </x:c>
      <x:c r="AN166" s="9" t="n">
        <x:v>16</x:v>
      </x:c>
    </x:row>
    <x:row r="167">
      <x:c r="A167" s="9" t="str">
        <x:v>Success</x:v>
      </x:c>
      <x:c r="B167" s="9" t="str">
        <x:v>Counting</x:v>
      </x:c>
      <x:c r="C167" s="10" t="n">
        <x:v>15</x:v>
      </x:c>
      <x:c r="D167" s="9" t="str">
        <x:v>Leave no objects in the bowl.</x:v>
      </x:c>
      <x:c r="E167" s="9" t="str">
        <x:v>Bowl objects: [airplane toy without propellers] | Table objects: [green pencil sharpener]</x:v>
      </x:c>
      <x:c r="F167" s="9" t="str">
        <x:v>REMOVE the only bowl object; finish with 0 objects in the bowl</x:v>
      </x:c>
      <x:c r="G167" s="9"/>
      <x:c r="H167" s="9" t="str">
        <x:v>In-distribution concept baseline</x:v>
      </x:c>
      <x:c r="I167" s="9" t="str">
        <x:v>ID-F04</x:v>
      </x:c>
      <x:c r="J167" s="9" t="str">
        <x:v>In-distribution: zero via trained 1→0 removal</x:v>
      </x:c>
      <x:c r="K167" s="9"/>
      <x:c r="L167" s="9" t="str">
        <x:v>978</x:v>
      </x:c>
      <x:c r="M167" s="9" t="str">
        <x:v>Exact trained cell: prompt, count transition, and scene-object membership match; physical layout is not copied exactly.</x:v>
      </x:c>
      <x:c r="N167" s="9" t="n">
        <x:v>1</x:v>
      </x:c>
      <x:c r="O167" s="9" t="str">
        <x:v>Recreate the listed bowl/table membership from training episode 978.</x:v>
      </x:c>
      <x:c r="P167" s="9" t="str">
        <x:v>Exact trained count transition and scene-object membership. Any object that reaches the requested final count is acceptable.</x:v>
      </x:c>
      <x:c r="Q167" s="9"/>
      <x:c r="R167" s="10"/>
      <x:c r="S167" s="10"/>
      <x:c r="T167" s="9"/>
      <x:c r="U167" s="9"/>
      <x:c r="V167" s="9"/>
      <x:c r="W167" s="9" t="str">
        <x:v>ID-F04</x:v>
      </x:c>
      <x:c r="X167" s="10" t="n">
        <x:v>1</x:v>
      </x:c>
      <x:c r="Y167" s="10" t="n">
        <x:v>0</x:v>
      </x:c>
      <x:c r="Z167" s="9" t="str">
        <x:v>REMOVE</x:v>
      </x:c>
      <x:c r="AA167" s="9"/>
      <x:c r="AB167" s="9"/>
      <x:c r="AC167" s="9"/>
      <x:c r="AD167" s="9"/>
      <x:c r="AE167" s="9"/>
      <x:c r="AF167" s="9"/>
      <x:c r="AG167" s="9"/>
      <x:c r="AH167" s="9"/>
      <x:c r="AI167" s="11"/>
      <x:c r="AJ167" s="9"/>
      <x:c r="AK167" s="9" t="str">
        <x:v>Eval_Counting.xlsm</x:v>
      </x:c>
      <x:c r="AL167" s="9" t="str">
        <x:v>GR00T vision only Results</x:v>
      </x:c>
      <x:c r="AM167" s="9" t="n">
        <x:v>17</x:v>
      </x:c>
      <x:c r="AN167" s="9" t="n">
        <x:v>17</x:v>
      </x:c>
    </x:row>
    <x:row r="168">
      <x:c r="A168" s="9" t="str">
        <x:v>Success</x:v>
      </x:c>
      <x:c r="B168" s="9" t="str">
        <x:v>Counting</x:v>
      </x:c>
      <x:c r="C168" s="10" t="n">
        <x:v>16</x:v>
      </x:c>
      <x:c r="D168" s="9" t="str">
        <x:v>Leave exactly one object in the bowl.</x:v>
      </x:c>
      <x:c r="E168" s="9" t="str">
        <x:v>Bowl objects: [none] | Table objects: [yellow block]</x:v>
      </x:c>
      <x:c r="F168" s="9" t="str">
        <x:v>ADD the only table object; finish with 1 object in the bowl</x:v>
      </x:c>
      <x:c r="G168" s="9"/>
      <x:c r="H168" s="9" t="str">
        <x:v>In-distribution concept baseline</x:v>
      </x:c>
      <x:c r="I168" s="9" t="str">
        <x:v>ID-F05</x:v>
      </x:c>
      <x:c r="J168" s="9" t="str">
        <x:v>In-distribution: one via trained 0→1 addition</x:v>
      </x:c>
      <x:c r="K168" s="9"/>
      <x:c r="L168" s="9" t="str">
        <x:v>857</x:v>
      </x:c>
      <x:c r="M168" s="9" t="str">
        <x:v>Exact trained cell: prompt, count transition, and scene-object membership match; physical layout is not copied exactly.</x:v>
      </x:c>
      <x:c r="N168" s="9" t="n">
        <x:v>1</x:v>
      </x:c>
      <x:c r="O168" s="9" t="str">
        <x:v>Recreate the listed bowl/table membership from training episode 857.</x:v>
      </x:c>
      <x:c r="P168" s="9" t="str">
        <x:v>Exact trained count transition and scene-object membership. Any object that reaches the requested final count is acceptable.</x:v>
      </x:c>
      <x:c r="Q168" s="9"/>
      <x:c r="R168" s="10"/>
      <x:c r="S168" s="10"/>
      <x:c r="T168" s="9"/>
      <x:c r="U168" s="9"/>
      <x:c r="V168" s="9"/>
      <x:c r="W168" s="9" t="str">
        <x:v>ID-F05</x:v>
      </x:c>
      <x:c r="X168" s="10" t="n">
        <x:v>0</x:v>
      </x:c>
      <x:c r="Y168" s="10" t="n">
        <x:v>1</x:v>
      </x:c>
      <x:c r="Z168" s="9" t="str">
        <x:v>ADD</x:v>
      </x:c>
      <x:c r="AA168" s="9"/>
      <x:c r="AB168" s="9"/>
      <x:c r="AC168" s="9"/>
      <x:c r="AD168" s="9"/>
      <x:c r="AE168" s="9"/>
      <x:c r="AF168" s="9"/>
      <x:c r="AG168" s="9"/>
      <x:c r="AH168" s="9"/>
      <x:c r="AI168" s="11"/>
      <x:c r="AJ168" s="9"/>
      <x:c r="AK168" s="9" t="str">
        <x:v>Eval_Counting.xlsm</x:v>
      </x:c>
      <x:c r="AL168" s="9" t="str">
        <x:v>GR00T vision only Results</x:v>
      </x:c>
      <x:c r="AM168" s="9" t="n">
        <x:v>18</x:v>
      </x:c>
      <x:c r="AN168" s="9" t="n">
        <x:v>18</x:v>
      </x:c>
    </x:row>
    <x:row r="169">
      <x:c r="A169" s="9" t="str">
        <x:v>Failure</x:v>
      </x:c>
      <x:c r="B169" s="9" t="str">
        <x:v>Counting</x:v>
      </x:c>
      <x:c r="C169" s="10" t="n">
        <x:v>17</x:v>
      </x:c>
      <x:c r="D169" s="9" t="str">
        <x:v>Make the bowl contain exactly two objects.</x:v>
      </x:c>
      <x:c r="E169" s="9" t="str">
        <x:v>Bowl objects: [green pencil sharpener] | Table objects: [yellow block]</x:v>
      </x:c>
      <x:c r="F169" s="9" t="str">
        <x:v>ADD the only table object; finish with 2 objects in the bowl</x:v>
      </x:c>
      <x:c r="G169" s="9" t="str">
        <x:v>didn't move</x:v>
      </x:c>
      <x:c r="H169" s="9" t="str">
        <x:v>In-distribution concept baseline</x:v>
      </x:c>
      <x:c r="I169" s="9" t="str">
        <x:v>ID-F05</x:v>
      </x:c>
      <x:c r="J169" s="9" t="str">
        <x:v>In-distribution: two via trained 1→2 addition</x:v>
      </x:c>
      <x:c r="K169" s="9"/>
      <x:c r="L169" s="9" t="str">
        <x:v>865</x:v>
      </x:c>
      <x:c r="M169" s="9" t="str">
        <x:v>Exact trained cell: prompt, count transition, and scene-object membership match; physical layout is not copied exactly.</x:v>
      </x:c>
      <x:c r="N169" s="9" t="n">
        <x:v>1</x:v>
      </x:c>
      <x:c r="O169" s="9" t="str">
        <x:v>Recreate the listed bowl/table membership from training episode 865.</x:v>
      </x:c>
      <x:c r="P169" s="9" t="str">
        <x:v>Exact trained count transition and scene-object membership. Any object that reaches the requested final count is acceptable.</x:v>
      </x:c>
      <x:c r="Q169" s="9"/>
      <x:c r="R169" s="10"/>
      <x:c r="S169" s="10"/>
      <x:c r="T169" s="9"/>
      <x:c r="U169" s="9"/>
      <x:c r="V169" s="9"/>
      <x:c r="W169" s="9" t="str">
        <x:v>ID-F05</x:v>
      </x:c>
      <x:c r="X169" s="10" t="n">
        <x:v>1</x:v>
      </x:c>
      <x:c r="Y169" s="10" t="n">
        <x:v>2</x:v>
      </x:c>
      <x:c r="Z169" s="9" t="str">
        <x:v>ADD</x:v>
      </x:c>
      <x:c r="AA169" s="9"/>
      <x:c r="AB169" s="9"/>
      <x:c r="AC169" s="9"/>
      <x:c r="AD169" s="9"/>
      <x:c r="AE169" s="9"/>
      <x:c r="AF169" s="9"/>
      <x:c r="AG169" s="9"/>
      <x:c r="AH169" s="9"/>
      <x:c r="AI169" s="11"/>
      <x:c r="AJ169" s="9"/>
      <x:c r="AK169" s="9" t="str">
        <x:v>Eval_Counting.xlsm</x:v>
      </x:c>
      <x:c r="AL169" s="9" t="str">
        <x:v>GR00T vision only Results</x:v>
      </x:c>
      <x:c r="AM169" s="9" t="n">
        <x:v>19</x:v>
      </x:c>
      <x:c r="AN169" s="9" t="n">
        <x:v>19</x:v>
      </x:c>
    </x:row>
    <x:row r="170">
      <x:c r="A170" s="9" t="str">
        <x:v>Success</x:v>
      </x:c>
      <x:c r="B170" s="9" t="str">
        <x:v>Counting</x:v>
      </x:c>
      <x:c r="C170" s="10" t="n">
        <x:v>18</x:v>
      </x:c>
      <x:c r="D170" s="9" t="str">
        <x:v>Leave exactly three objects in the bowl.</x:v>
      </x:c>
      <x:c r="E170" s="9" t="str">
        <x:v>Bowl objects: [airplane toy without propellers, blue pen, yellow block, green pencil sharpener] | Table objects: [none]</x:v>
      </x:c>
      <x:c r="F170" s="9" t="str">
        <x:v>REMOVE any one bowl object; finish with 3 objects in the bowl</x:v>
      </x:c>
      <x:c r="G170" s="9"/>
      <x:c r="H170" s="9" t="str">
        <x:v>In-distribution concept baseline</x:v>
      </x:c>
      <x:c r="I170" s="9" t="str">
        <x:v>ID-F05</x:v>
      </x:c>
      <x:c r="J170" s="9" t="str">
        <x:v>In-distribution: three via trained 4→3 removal</x:v>
      </x:c>
      <x:c r="K170" s="9"/>
      <x:c r="L170" s="9" t="str">
        <x:v>994</x:v>
      </x:c>
      <x:c r="M170" s="9" t="str">
        <x:v>Exact trained cell: prompt, count transition, and scene-object membership match; physical layout is not copied exactly.</x:v>
      </x:c>
      <x:c r="N170" s="9" t="n">
        <x:v>1</x:v>
      </x:c>
      <x:c r="O170" s="9" t="str">
        <x:v>Recreate the listed bowl/table membership from training episode 994.</x:v>
      </x:c>
      <x:c r="P170" s="9" t="str">
        <x:v>Exact trained count transition and scene-object membership. Any object that reaches the requested final count is acceptable.</x:v>
      </x:c>
      <x:c r="Q170" s="9"/>
      <x:c r="R170" s="10"/>
      <x:c r="S170" s="10"/>
      <x:c r="T170" s="9"/>
      <x:c r="U170" s="9"/>
      <x:c r="V170" s="9"/>
      <x:c r="W170" s="9" t="str">
        <x:v>ID-F05</x:v>
      </x:c>
      <x:c r="X170" s="10" t="n">
        <x:v>4</x:v>
      </x:c>
      <x:c r="Y170" s="10" t="n">
        <x:v>3</x:v>
      </x:c>
      <x:c r="Z170" s="9" t="str">
        <x:v>REMOVE</x:v>
      </x:c>
      <x:c r="AA170" s="9"/>
      <x:c r="AB170" s="9"/>
      <x:c r="AC170" s="9"/>
      <x:c r="AD170" s="9"/>
      <x:c r="AE170" s="9"/>
      <x:c r="AF170" s="9"/>
      <x:c r="AG170" s="9"/>
      <x:c r="AH170" s="9"/>
      <x:c r="AI170" s="11"/>
      <x:c r="AJ170" s="9"/>
      <x:c r="AK170" s="9" t="str">
        <x:v>Eval_Counting.xlsm</x:v>
      </x:c>
      <x:c r="AL170" s="9" t="str">
        <x:v>GR00T vision only Results</x:v>
      </x:c>
      <x:c r="AM170" s="9" t="n">
        <x:v>20</x:v>
      </x:c>
      <x:c r="AN170" s="9" t="n">
        <x:v>20</x:v>
      </x:c>
    </x:row>
    <x:row r="171">
      <x:c r="A171" s="9" t="str">
        <x:v>Success</x:v>
      </x:c>
      <x:c r="B171" s="9" t="str">
        <x:v>Counting</x:v>
      </x:c>
      <x:c r="C171" s="10" t="n">
        <x:v>19</x:v>
      </x:c>
      <x:c r="D171" s="9" t="str">
        <x:v>Make the bowl contain exactly zero objects.</x:v>
      </x:c>
      <x:c r="E171" s="9" t="str">
        <x:v>Bowl objects: [yellow block] | Table objects: [none]</x:v>
      </x:c>
      <x:c r="F171" s="9" t="str">
        <x:v>REMOVE the only bowl object; finish with 0 objects in the bowl</x:v>
      </x:c>
      <x:c r="G171" s="9"/>
      <x:c r="H171" s="9" t="str">
        <x:v>In-distribution concept baseline</x:v>
      </x:c>
      <x:c r="I171" s="9" t="str">
        <x:v>ID-F05</x:v>
      </x:c>
      <x:c r="J171" s="9" t="str">
        <x:v>In-distribution: zero via trained 1→0 removal</x:v>
      </x:c>
      <x:c r="K171" s="9"/>
      <x:c r="L171" s="9" t="str">
        <x:v>880</x:v>
      </x:c>
      <x:c r="M171" s="9" t="str">
        <x:v>Exact trained cell: prompt, count transition, and scene-object membership match; physical layout is not copied exactly.</x:v>
      </x:c>
      <x:c r="N171" s="9" t="n">
        <x:v>1</x:v>
      </x:c>
      <x:c r="O171" s="9" t="str">
        <x:v>Recreate the listed bowl/table membership from training episode 880.</x:v>
      </x:c>
      <x:c r="P171" s="9" t="str">
        <x:v>Exact trained count transition and scene-object membership. Any object that reaches the requested final count is acceptable.</x:v>
      </x:c>
      <x:c r="Q171" s="9"/>
      <x:c r="R171" s="10"/>
      <x:c r="S171" s="10"/>
      <x:c r="T171" s="9"/>
      <x:c r="U171" s="9"/>
      <x:c r="V171" s="9"/>
      <x:c r="W171" s="9" t="str">
        <x:v>ID-F05</x:v>
      </x:c>
      <x:c r="X171" s="10" t="n">
        <x:v>1</x:v>
      </x:c>
      <x:c r="Y171" s="10" t="n">
        <x:v>0</x:v>
      </x:c>
      <x:c r="Z171" s="9" t="str">
        <x:v>REMOVE</x:v>
      </x:c>
      <x:c r="AA171" s="9"/>
      <x:c r="AB171" s="9"/>
      <x:c r="AC171" s="9"/>
      <x:c r="AD171" s="9"/>
      <x:c r="AE171" s="9"/>
      <x:c r="AF171" s="9"/>
      <x:c r="AG171" s="9"/>
      <x:c r="AH171" s="9"/>
      <x:c r="AI171" s="11"/>
      <x:c r="AJ171" s="9"/>
      <x:c r="AK171" s="9" t="str">
        <x:v>Eval_Counting.xlsm</x:v>
      </x:c>
      <x:c r="AL171" s="9" t="str">
        <x:v>GR00T vision only Results</x:v>
      </x:c>
      <x:c r="AM171" s="9" t="n">
        <x:v>21</x:v>
      </x:c>
      <x:c r="AN171" s="9" t="n">
        <x:v>21</x:v>
      </x:c>
    </x:row>
    <x:row r="172">
      <x:c r="A172" s="9" t="str">
        <x:v>Failure</x:v>
      </x:c>
      <x:c r="B172" s="9" t="str">
        <x:v>Counting</x:v>
      </x:c>
      <x:c r="C172" s="10" t="n">
        <x:v>20</x:v>
      </x:c>
      <x:c r="D172" s="9" t="str">
        <x:v>Leave exactly one object in the bowl.</x:v>
      </x:c>
      <x:c r="E172" s="9" t="str">
        <x:v>Bowl objects: [blue pen, airplane toy without propellers] | Table objects: [yellow block, green pencil sharpener]</x:v>
      </x:c>
      <x:c r="F172" s="9" t="str">
        <x:v>REMOVE any one bowl object; finish with 1 object in the bowl</x:v>
      </x:c>
      <x:c r="G172" s="9" t="str">
        <x:v>didn't move</x:v>
      </x:c>
      <x:c r="H172" s="9" t="str">
        <x:v>Concept/compositional transfer</x:v>
      </x:c>
      <x:c r="I172" s="9" t="str">
        <x:v>CT-CF09</x:v>
      </x:c>
      <x:c r="J172" s="9" t="str">
        <x:v>Primary: one via held-out 2→1 removal</x:v>
      </x:c>
      <x:c r="K172" s="9"/>
      <x:c r="L172" s="9" t="str">
        <x:v>831</x:v>
      </x:c>
      <x:c r="M172" s="9" t="str">
        <x:v>Representative direct-instruction trajectory for blue pen; the evaluated count × transition composition is intentionally absent.</x:v>
      </x:c>
      <x:c r="N172" s="9" t="n">
        <x:v>3</x:v>
      </x:c>
      <x:c r="O172" s="9" t="str">
        <x:v>Build the listed count-2 scene.</x:v>
      </x:c>
      <x:c r="P172" s="9" t="str">
        <x:v>The goal word one is trained, and this 2→1 trajectory is trained under a direct instruction, but the combination is withheld.</x:v>
      </x:c>
      <x:c r="Q172" s="9"/>
      <x:c r="R172" s="10"/>
      <x:c r="S172" s="10"/>
      <x:c r="T172" s="9"/>
      <x:c r="U172" s="9"/>
      <x:c r="V172" s="9"/>
      <x:c r="W172" s="9" t="str">
        <x:v>CT-CF09-REMOVE</x:v>
      </x:c>
      <x:c r="X172" s="10" t="n">
        <x:v>2</x:v>
      </x:c>
      <x:c r="Y172" s="10" t="n">
        <x:v>1</x:v>
      </x:c>
      <x:c r="Z172" s="9" t="str">
        <x:v>REMOVE</x:v>
      </x:c>
      <x:c r="AA172" s="9"/>
      <x:c r="AB172" s="9"/>
      <x:c r="AC172" s="9"/>
      <x:c r="AD172" s="9"/>
      <x:c r="AE172" s="9"/>
      <x:c r="AF172" s="9"/>
      <x:c r="AG172" s="9"/>
      <x:c r="AH172" s="9"/>
      <x:c r="AI172" s="11"/>
      <x:c r="AJ172" s="9"/>
      <x:c r="AK172" s="9" t="str">
        <x:v>Eval_Counting.xlsm</x:v>
      </x:c>
      <x:c r="AL172" s="9" t="str">
        <x:v>GR00T vision only Results</x:v>
      </x:c>
      <x:c r="AM172" s="9" t="n">
        <x:v>22</x:v>
      </x:c>
      <x:c r="AN172" s="9" t="n">
        <x:v>22</x:v>
      </x:c>
    </x:row>
    <x:row r="173">
      <x:c r="A173" s="9" t="str">
        <x:v>Success</x:v>
      </x:c>
      <x:c r="B173" s="9" t="str">
        <x:v>Counting</x:v>
      </x:c>
      <x:c r="C173" s="10" t="n">
        <x:v>21</x:v>
      </x:c>
      <x:c r="D173" s="9" t="str">
        <x:v>Move the airplane toy without propellers from the bowl to the table.</x:v>
      </x:c>
      <x:c r="E173" s="9" t="str">
        <x:v>Bowl objects: [blue pen, airplane toy without propellers] | Table objects: [yellow block, green pencil sharpener]</x:v>
      </x:c>
      <x:c r="F173" s="9" t="str">
        <x:v>REMOVE airplane toy without propellers</x:v>
      </x:c>
      <x:c r="G173" s="9"/>
      <x:c r="H173" s="9" t="str">
        <x:v>Matched manipulation control</x:v>
      </x:c>
      <x:c r="I173" s="9" t="str">
        <x:v>CT-CF09</x:v>
      </x:c>
      <x:c r="J173" s="9" t="str">
        <x:v>Matched direct REMOVE control</x:v>
      </x:c>
      <x:c r="K173" s="9" t="n">
        <x:v>20</x:v>
      </x:c>
      <x:c r="L173" s="9" t="str">
        <x:v>985</x:v>
      </x:c>
      <x:c r="M173" s="9" t="str">
        <x:v>Exact direct-prompt trajectory for the named object and action direction; evaluation layout is reset manually.</x:v>
      </x:c>
      <x:c r="N173" s="9" t="n">
        <x:v>3</x:v>
      </x:c>
      <x:c r="O173" s="9" t="str">
        <x:v>Reset the exact count-2 scene; change only the prompt.</x:v>
      </x:c>
      <x:c r="P173" s="9" t="str">
        <x:v>The direct prompt is present in Counting training for this same-task object and action direction.</x:v>
      </x:c>
      <x:c r="Q173" s="9"/>
      <x:c r="R173" s="10"/>
      <x:c r="S173" s="10"/>
      <x:c r="T173" s="9"/>
      <x:c r="U173" s="9"/>
      <x:c r="V173" s="9"/>
      <x:c r="W173" s="9" t="str">
        <x:v>CT-CF09-REMOVE</x:v>
      </x:c>
      <x:c r="X173" s="10" t="n">
        <x:v>2</x:v>
      </x:c>
      <x:c r="Y173" s="10" t="n">
        <x:v>1</x:v>
      </x:c>
      <x:c r="Z173" s="9" t="str">
        <x:v>REMOVE</x:v>
      </x:c>
      <x:c r="AA173" s="9"/>
      <x:c r="AB173" s="9"/>
      <x:c r="AC173" s="9"/>
      <x:c r="AD173" s="9"/>
      <x:c r="AE173" s="9"/>
      <x:c r="AF173" s="9"/>
      <x:c r="AG173" s="9"/>
      <x:c r="AH173" s="9"/>
      <x:c r="AI173" s="11"/>
      <x:c r="AJ173" s="9"/>
      <x:c r="AK173" s="9" t="str">
        <x:v>Eval_Counting.xlsm</x:v>
      </x:c>
      <x:c r="AL173" s="9" t="str">
        <x:v>GR00T vision only Results</x:v>
      </x:c>
      <x:c r="AM173" s="9" t="n">
        <x:v>23</x:v>
      </x:c>
      <x:c r="AN173" s="9" t="n">
        <x:v>23</x:v>
      </x:c>
    </x:row>
    <x:row r="174">
      <x:c r="A174" s="9" t="str">
        <x:v>Success</x:v>
      </x:c>
      <x:c r="B174" s="9" t="str">
        <x:v>Counting</x:v>
      </x:c>
      <x:c r="C174" s="10" t="n">
        <x:v>22</x:v>
      </x:c>
      <x:c r="D174" s="9" t="str">
        <x:v>Move the green pencil sharpener into the bowl.</x:v>
      </x:c>
      <x:c r="E174" s="9" t="str">
        <x:v>Bowl objects: [blue pen, airplane toy without propellers] | Table objects: [yellow block, green pencil sharpener]</x:v>
      </x:c>
      <x:c r="F174" s="9" t="str">
        <x:v>ADD green pencil sharpener</x:v>
      </x:c>
      <x:c r="G174" s="9"/>
      <x:c r="H174" s="9" t="str">
        <x:v>Matched manipulation control</x:v>
      </x:c>
      <x:c r="I174" s="9" t="str">
        <x:v>CT-CF09</x:v>
      </x:c>
      <x:c r="J174" s="9" t="str">
        <x:v>Matched direct ADD control</x:v>
      </x:c>
      <x:c r="K174" s="9"/>
      <x:c r="L174" s="9" t="str">
        <x:v>917</x:v>
      </x:c>
      <x:c r="M174" s="9" t="str">
        <x:v>Exact direct-prompt trajectory for the named object and action direction; evaluation layout is reset manually.</x:v>
      </x:c>
      <x:c r="N174" s="9" t="n">
        <x:v>3</x:v>
      </x:c>
      <x:c r="O174" s="9" t="str">
        <x:v>Reset the exact count-2 scene; change only the prompt.</x:v>
      </x:c>
      <x:c r="P174" s="9" t="str">
        <x:v>The direct prompt is present in Counting training for this same-task object and action direction.</x:v>
      </x:c>
      <x:c r="Q174" s="9"/>
      <x:c r="R174" s="10"/>
      <x:c r="S174" s="10"/>
      <x:c r="T174" s="9"/>
      <x:c r="U174" s="9"/>
      <x:c r="V174" s="9"/>
      <x:c r="W174" s="9" t="str">
        <x:v>CT-CF09-ADD</x:v>
      </x:c>
      <x:c r="X174" s="10" t="n">
        <x:v>2</x:v>
      </x:c>
      <x:c r="Y174" s="10" t="n">
        <x:v>3</x:v>
      </x:c>
      <x:c r="Z174" s="9" t="str">
        <x:v>ADD</x:v>
      </x:c>
      <x:c r="AA174" s="9"/>
      <x:c r="AB174" s="9"/>
      <x:c r="AC174" s="9"/>
      <x:c r="AD174" s="9"/>
      <x:c r="AE174" s="9"/>
      <x:c r="AF174" s="9"/>
      <x:c r="AG174" s="9"/>
      <x:c r="AH174" s="9"/>
      <x:c r="AI174" s="11"/>
      <x:c r="AJ174" s="9"/>
      <x:c r="AK174" s="9" t="str">
        <x:v>Eval_Counting.xlsm</x:v>
      </x:c>
      <x:c r="AL174" s="9" t="str">
        <x:v>GR00T vision only Results</x:v>
      </x:c>
      <x:c r="AM174" s="9" t="n">
        <x:v>24</x:v>
      </x:c>
      <x:c r="AN174" s="9" t="n">
        <x:v>24</x:v>
      </x:c>
    </x:row>
    <x:row r="175">
      <x:c r="A175" s="9" t="str">
        <x:v>Failure</x:v>
      </x:c>
      <x:c r="B175" s="9" t="str">
        <x:v>Counting</x:v>
      </x:c>
      <x:c r="C175" s="10" t="n">
        <x:v>23</x:v>
      </x:c>
      <x:c r="D175" s="9" t="str">
        <x:v>Leave exactly three objects in the bowl.</x:v>
      </x:c>
      <x:c r="E175" s="9" t="str">
        <x:v>Bowl objects: [blue pen, airplane toy without propellers] | Table objects: [yellow block, green pencil sharpener]</x:v>
      </x:c>
      <x:c r="F175" s="9" t="str">
        <x:v>ADD any one table object; finish with 3 objects in the bowl</x:v>
      </x:c>
      <x:c r="G175" s="9" t="str">
        <x:v>didn't move</x:v>
      </x:c>
      <x:c r="H175" s="9" t="str">
        <x:v>Concept/compositional transfer</x:v>
      </x:c>
      <x:c r="I175" s="9" t="str">
        <x:v>CT-CF09</x:v>
      </x:c>
      <x:c r="J175" s="9" t="str">
        <x:v>Primary: three via held-out 2→3 addition</x:v>
      </x:c>
      <x:c r="K175" s="9" t="n">
        <x:v>22</x:v>
      </x:c>
      <x:c r="L175" s="9" t="str">
        <x:v>916</x:v>
      </x:c>
      <x:c r="M175" s="9" t="str">
        <x:v>Representative direct-instruction trajectory for green pencil sharpener; the evaluated count × transition composition is intentionally absent.</x:v>
      </x:c>
      <x:c r="N175" s="9" t="n">
        <x:v>3</x:v>
      </x:c>
      <x:c r="O175" s="9" t="str">
        <x:v>Reset the exact count-2 scene; change only the prompt.</x:v>
      </x:c>
      <x:c r="P175" s="9" t="str">
        <x:v>The goal word three is trained, and this 2→3 trajectory is trained under a direct instruction, but the combination is withheld.</x:v>
      </x:c>
      <x:c r="Q175" s="9"/>
      <x:c r="R175" s="10"/>
      <x:c r="S175" s="10"/>
      <x:c r="T175" s="9"/>
      <x:c r="U175" s="9"/>
      <x:c r="V175" s="9"/>
      <x:c r="W175" s="9" t="str">
        <x:v>CT-CF09-ADD</x:v>
      </x:c>
      <x:c r="X175" s="10" t="n">
        <x:v>2</x:v>
      </x:c>
      <x:c r="Y175" s="10" t="n">
        <x:v>3</x:v>
      </x:c>
      <x:c r="Z175" s="9" t="str">
        <x:v>ADD</x:v>
      </x:c>
      <x:c r="AA175" s="9"/>
      <x:c r="AB175" s="9"/>
      <x:c r="AC175" s="9"/>
      <x:c r="AD175" s="9"/>
      <x:c r="AE175" s="9"/>
      <x:c r="AF175" s="9"/>
      <x:c r="AG175" s="9"/>
      <x:c r="AH175" s="9"/>
      <x:c r="AI175" s="11"/>
      <x:c r="AJ175" s="9"/>
      <x:c r="AK175" s="9" t="str">
        <x:v>Eval_Counting.xlsm</x:v>
      </x:c>
      <x:c r="AL175" s="9" t="str">
        <x:v>GR00T vision only Results</x:v>
      </x:c>
      <x:c r="AM175" s="9" t="n">
        <x:v>25</x:v>
      </x:c>
      <x:c r="AN175" s="9" t="n">
        <x:v>25</x:v>
      </x:c>
    </x:row>
    <x:row r="176">
      <x:c r="A176" s="9" t="str">
        <x:v>Failure</x:v>
      </x:c>
      <x:c r="B176" s="9" t="str">
        <x:v>Counting</x:v>
      </x:c>
      <x:c r="C176" s="10" t="n">
        <x:v>24</x:v>
      </x:c>
      <x:c r="D176" s="9" t="str">
        <x:v>Leave exactly three objects in the bowl.</x:v>
      </x:c>
      <x:c r="E176" s="9" t="str">
        <x:v>Bowl objects: [green pencil sharpener, airplane toy without propellers] | Table objects: [blue pen, yellow block]</x:v>
      </x:c>
      <x:c r="F176" s="9" t="str">
        <x:v>ADD any one table object; finish with 3 objects in the bowl</x:v>
      </x:c>
      <x:c r="G176" s="9" t="str">
        <x:v>didn't move</x:v>
      </x:c>
      <x:c r="H176" s="9" t="str">
        <x:v>Concept/compositional transfer</x:v>
      </x:c>
      <x:c r="I176" s="9" t="str">
        <x:v>CT-CF24</x:v>
      </x:c>
      <x:c r="J176" s="9" t="str">
        <x:v>Primary: three via held-out 2→3 addition</x:v>
      </x:c>
      <x:c r="K176" s="9"/>
      <x:c r="L176" s="9" t="str">
        <x:v>816</x:v>
      </x:c>
      <x:c r="M176" s="9" t="str">
        <x:v>Representative direct-instruction trajectory for blue pen; the evaluated count × transition composition is intentionally absent.</x:v>
      </x:c>
      <x:c r="N176" s="9" t="n">
        <x:v>4</x:v>
      </x:c>
      <x:c r="O176" s="9" t="str">
        <x:v>Reset the exact count-2 scene; change only the prompt.</x:v>
      </x:c>
      <x:c r="P176" s="9" t="str">
        <x:v>The goal word three is trained, and this 2→3 trajectory is trained under a direct instruction, but the combination is withheld.</x:v>
      </x:c>
      <x:c r="Q176" s="9"/>
      <x:c r="R176" s="10"/>
      <x:c r="S176" s="10"/>
      <x:c r="T176" s="9"/>
      <x:c r="U176" s="9"/>
      <x:c r="V176" s="9"/>
      <x:c r="W176" s="9" t="str">
        <x:v>CT-CF24-ADD</x:v>
      </x:c>
      <x:c r="X176" s="10" t="n">
        <x:v>2</x:v>
      </x:c>
      <x:c r="Y176" s="10" t="n">
        <x:v>3</x:v>
      </x:c>
      <x:c r="Z176" s="9" t="str">
        <x:v>ADD</x:v>
      </x:c>
      <x:c r="AA176" s="9"/>
      <x:c r="AB176" s="9"/>
      <x:c r="AC176" s="9"/>
      <x:c r="AD176" s="9"/>
      <x:c r="AE176" s="9"/>
      <x:c r="AF176" s="9"/>
      <x:c r="AG176" s="9"/>
      <x:c r="AH176" s="9"/>
      <x:c r="AI176" s="11"/>
      <x:c r="AJ176" s="9"/>
      <x:c r="AK176" s="9" t="str">
        <x:v>Eval_Counting.xlsm</x:v>
      </x:c>
      <x:c r="AL176" s="9" t="str">
        <x:v>GR00T vision only Results</x:v>
      </x:c>
      <x:c r="AM176" s="9" t="n">
        <x:v>26</x:v>
      </x:c>
      <x:c r="AN176" s="9" t="n">
        <x:v>26</x:v>
      </x:c>
    </x:row>
    <x:row r="177">
      <x:c r="A177" s="9" t="str">
        <x:v>Failure</x:v>
      </x:c>
      <x:c r="B177" s="9" t="str">
        <x:v>Counting</x:v>
      </x:c>
      <x:c r="C177" s="10" t="n">
        <x:v>25</x:v>
      </x:c>
      <x:c r="D177" s="9" t="str">
        <x:v>Leave exactly one object in the bowl.</x:v>
      </x:c>
      <x:c r="E177" s="9" t="str">
        <x:v>Bowl objects: [green pencil sharpener, airplane toy without propellers] | Table objects: [blue pen, yellow block]</x:v>
      </x:c>
      <x:c r="F177" s="9" t="str">
        <x:v>REMOVE any one bowl object; finish with 1 object in the bowl</x:v>
      </x:c>
      <x:c r="G177" s="9" t="str">
        <x:v>didn't move</x:v>
      </x:c>
      <x:c r="H177" s="9" t="str">
        <x:v>Concept/compositional transfer</x:v>
      </x:c>
      <x:c r="I177" s="9" t="str">
        <x:v>CT-CF24</x:v>
      </x:c>
      <x:c r="J177" s="9" t="str">
        <x:v>Primary: one via held-out 2→1 removal</x:v>
      </x:c>
      <x:c r="K177" s="9" t="n">
        <x:v>24</x:v>
      </x:c>
      <x:c r="L177" s="9" t="str">
        <x:v>981</x:v>
      </x:c>
      <x:c r="M177" s="9" t="str">
        <x:v>Representative direct-instruction trajectory for airplane toy without propellers; the evaluated count × transition composition is intentionally absent.</x:v>
      </x:c>
      <x:c r="N177" s="9" t="n">
        <x:v>4</x:v>
      </x:c>
      <x:c r="O177" s="9" t="str">
        <x:v>Build the listed count-2 scene.</x:v>
      </x:c>
      <x:c r="P177" s="9" t="str">
        <x:v>The goal word one is trained, and this 2→1 trajectory is trained under a direct instruction, but the combination is withheld.</x:v>
      </x:c>
      <x:c r="Q177" s="9"/>
      <x:c r="R177" s="10"/>
      <x:c r="S177" s="10"/>
      <x:c r="T177" s="9"/>
      <x:c r="U177" s="9"/>
      <x:c r="V177" s="9"/>
      <x:c r="W177" s="9" t="str">
        <x:v>CT-CF24-REMOVE</x:v>
      </x:c>
      <x:c r="X177" s="10" t="n">
        <x:v>2</x:v>
      </x:c>
      <x:c r="Y177" s="10" t="n">
        <x:v>1</x:v>
      </x:c>
      <x:c r="Z177" s="9" t="str">
        <x:v>REMOVE</x:v>
      </x:c>
      <x:c r="AA177" s="9"/>
      <x:c r="AB177" s="9"/>
      <x:c r="AC177" s="9"/>
      <x:c r="AD177" s="9"/>
      <x:c r="AE177" s="9"/>
      <x:c r="AF177" s="9"/>
      <x:c r="AG177" s="9"/>
      <x:c r="AH177" s="9"/>
      <x:c r="AI177" s="11"/>
      <x:c r="AJ177" s="9"/>
      <x:c r="AK177" s="9" t="str">
        <x:v>Eval_Counting.xlsm</x:v>
      </x:c>
      <x:c r="AL177" s="9" t="str">
        <x:v>GR00T vision only Results</x:v>
      </x:c>
      <x:c r="AM177" s="9" t="n">
        <x:v>27</x:v>
      </x:c>
      <x:c r="AN177" s="9" t="n">
        <x:v>27</x:v>
      </x:c>
    </x:row>
    <x:row r="178">
      <x:c r="A178" s="9" t="str">
        <x:v>Failure</x:v>
      </x:c>
      <x:c r="B178" s="9" t="str">
        <x:v>Counting</x:v>
      </x:c>
      <x:c r="C178" s="10" t="n">
        <x:v>26</x:v>
      </x:c>
      <x:c r="D178" s="9" t="str">
        <x:v>Leave exactly one object in the bowl.</x:v>
      </x:c>
      <x:c r="E178" s="9" t="str">
        <x:v>Bowl objects: [blue pen, yellow block] | Table objects: [green pencil sharpener]</x:v>
      </x:c>
      <x:c r="F178" s="9" t="str">
        <x:v>REMOVE any one bowl object; finish with 1 object in the bowl</x:v>
      </x:c>
      <x:c r="G178" s="9" t="str">
        <x:v>didn't move</x:v>
      </x:c>
      <x:c r="H178" s="9" t="str">
        <x:v>Concept/compositional transfer</x:v>
      </x:c>
      <x:c r="I178" s="9" t="str">
        <x:v>CT-CF01</x:v>
      </x:c>
      <x:c r="J178" s="9" t="str">
        <x:v>Primary: one via held-out 2→1 removal</x:v>
      </x:c>
      <x:c r="K178" s="9"/>
      <x:c r="L178" s="9" t="str">
        <x:v>831</x:v>
      </x:c>
      <x:c r="M178" s="9" t="str">
        <x:v>Representative direct-instruction trajectory for blue pen; the evaluated count × transition composition is intentionally absent.</x:v>
      </x:c>
      <x:c r="N178" s="9" t="n">
        <x:v>2</x:v>
      </x:c>
      <x:c r="O178" s="9" t="str">
        <x:v>Build the listed count-2 scene.</x:v>
      </x:c>
      <x:c r="P178" s="9" t="str">
        <x:v>The goal word one is trained, and this 2→1 trajectory is trained under a direct instruction, but the combination is withheld.</x:v>
      </x:c>
      <x:c r="Q178" s="9"/>
      <x:c r="R178" s="10"/>
      <x:c r="S178" s="10"/>
      <x:c r="T178" s="9"/>
      <x:c r="U178" s="9"/>
      <x:c r="V178" s="9"/>
      <x:c r="W178" s="9" t="str">
        <x:v>CT-CF01-REMOVE</x:v>
      </x:c>
      <x:c r="X178" s="10" t="n">
        <x:v>2</x:v>
      </x:c>
      <x:c r="Y178" s="10" t="n">
        <x:v>1</x:v>
      </x:c>
      <x:c r="Z178" s="9" t="str">
        <x:v>REMOVE</x:v>
      </x:c>
      <x:c r="AA178" s="9"/>
      <x:c r="AB178" s="9"/>
      <x:c r="AC178" s="9"/>
      <x:c r="AD178" s="9"/>
      <x:c r="AE178" s="9"/>
      <x:c r="AF178" s="9"/>
      <x:c r="AG178" s="9"/>
      <x:c r="AH178" s="9"/>
      <x:c r="AI178" s="11"/>
      <x:c r="AJ178" s="9"/>
      <x:c r="AK178" s="9" t="str">
        <x:v>Eval_Counting.xlsm</x:v>
      </x:c>
      <x:c r="AL178" s="9" t="str">
        <x:v>GR00T vision only Results</x:v>
      </x:c>
      <x:c r="AM178" s="9" t="n">
        <x:v>28</x:v>
      </x:c>
      <x:c r="AN178" s="9" t="n">
        <x:v>28</x:v>
      </x:c>
    </x:row>
    <x:row r="179">
      <x:c r="A179" s="9" t="str">
        <x:v>Failure</x:v>
      </x:c>
      <x:c r="B179" s="9" t="str">
        <x:v>Counting</x:v>
      </x:c>
      <x:c r="C179" s="10" t="n">
        <x:v>27</x:v>
      </x:c>
      <x:c r="D179" s="9" t="str">
        <x:v>Move the blue pen from the bowl to the table.</x:v>
      </x:c>
      <x:c r="E179" s="9" t="str">
        <x:v>Bowl objects: [blue pen, yellow block] | Table objects: [green pencil sharpener]</x:v>
      </x:c>
      <x:c r="F179" s="9" t="str">
        <x:v>REMOVE blue pen</x:v>
      </x:c>
      <x:c r="G179" s="9" t="str">
        <x:v>went to bowl but couldn't take the pen out</x:v>
      </x:c>
      <x:c r="H179" s="9" t="str">
        <x:v>Matched manipulation control</x:v>
      </x:c>
      <x:c r="I179" s="9" t="str">
        <x:v>CT-CF01</x:v>
      </x:c>
      <x:c r="J179" s="9" t="str">
        <x:v>Matched direct REMOVE control</x:v>
      </x:c>
      <x:c r="K179" s="9" t="n">
        <x:v>26</x:v>
      </x:c>
      <x:c r="L179" s="9" t="str">
        <x:v>835</x:v>
      </x:c>
      <x:c r="M179" s="9" t="str">
        <x:v>Exact direct-prompt trajectory for the named object and action direction; evaluation layout is reset manually.</x:v>
      </x:c>
      <x:c r="N179" s="9" t="n">
        <x:v>2</x:v>
      </x:c>
      <x:c r="O179" s="9" t="str">
        <x:v>Reset the exact count-2 scene; change only the prompt.</x:v>
      </x:c>
      <x:c r="P179" s="9" t="str">
        <x:v>The direct prompt is present in Counting training for this same-task object and action direction.</x:v>
      </x:c>
      <x:c r="Q179" s="9"/>
      <x:c r="R179" s="10"/>
      <x:c r="S179" s="10"/>
      <x:c r="T179" s="9"/>
      <x:c r="U179" s="9"/>
      <x:c r="V179" s="9"/>
      <x:c r="W179" s="9" t="str">
        <x:v>CT-CF01-REMOVE</x:v>
      </x:c>
      <x:c r="X179" s="10" t="n">
        <x:v>2</x:v>
      </x:c>
      <x:c r="Y179" s="10" t="n">
        <x:v>1</x:v>
      </x:c>
      <x:c r="Z179" s="9" t="str">
        <x:v>REMOVE</x:v>
      </x:c>
      <x:c r="AA179" s="9"/>
      <x:c r="AB179" s="9"/>
      <x:c r="AC179" s="9"/>
      <x:c r="AD179" s="9"/>
      <x:c r="AE179" s="9"/>
      <x:c r="AF179" s="9"/>
      <x:c r="AG179" s="9"/>
      <x:c r="AH179" s="9"/>
      <x:c r="AI179" s="11"/>
      <x:c r="AJ179" s="9"/>
      <x:c r="AK179" s="9" t="str">
        <x:v>Eval_Counting.xlsm</x:v>
      </x:c>
      <x:c r="AL179" s="9" t="str">
        <x:v>GR00T vision only Results</x:v>
      </x:c>
      <x:c r="AM179" s="9" t="n">
        <x:v>29</x:v>
      </x:c>
      <x:c r="AN179" s="9" t="n">
        <x:v>29</x:v>
      </x:c>
    </x:row>
    <x:row r="180">
      <x:c r="A180" s="9" t="str">
        <x:v>Failure</x:v>
      </x:c>
      <x:c r="B180" s="9" t="str">
        <x:v>Counting</x:v>
      </x:c>
      <x:c r="C180" s="10" t="n">
        <x:v>28</x:v>
      </x:c>
      <x:c r="D180" s="9" t="str">
        <x:v>Finish with one object in the bowl.</x:v>
      </x:c>
      <x:c r="E180" s="9" t="str">
        <x:v>Bowl objects: [blue pen, yellow block] | Table objects: [green pencil sharpener]</x:v>
      </x:c>
      <x:c r="F180" s="9" t="str">
        <x:v>REMOVE any one bowl object; finish with 1 object in the bowl</x:v>
      </x:c>
      <x:c r="G180" s="9" t="str">
        <x:v>didn't move</x:v>
      </x:c>
      <x:c r="H180" s="9" t="str">
        <x:v>Language robustness</x:v>
      </x:c>
      <x:c r="I180" s="9" t="str">
        <x:v>CT-CF01</x:v>
      </x:c>
      <x:c r="J180" s="9" t="str">
        <x:v>Primary compositional paraphrase: one via 2→1 removal</x:v>
      </x:c>
      <x:c r="K180" s="9" t="n">
        <x:v>26</x:v>
      </x:c>
      <x:c r="L180" s="9" t="str">
        <x:v>831</x:v>
      </x:c>
      <x:c r="M180" s="9" t="str">
        <x:v>Representative direct-instruction trajectory for blue pen; the evaluated count × transition composition is intentionally absent. The evaluation wording is also paraphrased.</x:v>
      </x:c>
      <x:c r="N180" s="9" t="n">
        <x:v>2</x:v>
      </x:c>
      <x:c r="O180" s="9" t="str">
        <x:v>Build the listed count-2 scene.</x:v>
      </x:c>
      <x:c r="P180" s="9" t="str">
        <x:v>Exact-scene paraphrase of the canonical held-out composition.</x:v>
      </x:c>
      <x:c r="Q180" s="9"/>
      <x:c r="R180" s="10"/>
      <x:c r="S180" s="10"/>
      <x:c r="T180" s="9"/>
      <x:c r="U180" s="9"/>
      <x:c r="V180" s="9"/>
      <x:c r="W180" s="9" t="str">
        <x:v>CT-CF01-REMOVE</x:v>
      </x:c>
      <x:c r="X180" s="10" t="n">
        <x:v>2</x:v>
      </x:c>
      <x:c r="Y180" s="10" t="n">
        <x:v>1</x:v>
      </x:c>
      <x:c r="Z180" s="9" t="str">
        <x:v>REMOVE</x:v>
      </x:c>
      <x:c r="AA180" s="9"/>
      <x:c r="AB180" s="9"/>
      <x:c r="AC180" s="9"/>
      <x:c r="AD180" s="9"/>
      <x:c r="AE180" s="9"/>
      <x:c r="AF180" s="9"/>
      <x:c r="AG180" s="9"/>
      <x:c r="AH180" s="9"/>
      <x:c r="AI180" s="11"/>
      <x:c r="AJ180" s="9"/>
      <x:c r="AK180" s="9" t="str">
        <x:v>Eval_Counting.xlsm</x:v>
      </x:c>
      <x:c r="AL180" s="9" t="str">
        <x:v>GR00T vision only Results</x:v>
      </x:c>
      <x:c r="AM180" s="9" t="n">
        <x:v>30</x:v>
      </x:c>
      <x:c r="AN180" s="9" t="n">
        <x:v>30</x:v>
      </x:c>
    </x:row>
    <x:row r="181">
      <x:c r="A181" s="9" t="str">
        <x:v>Failure</x:v>
      </x:c>
      <x:c r="B181" s="9" t="str">
        <x:v>Counting</x:v>
      </x:c>
      <x:c r="C181" s="10" t="n">
        <x:v>29</x:v>
      </x:c>
      <x:c r="D181" s="9" t="str">
        <x:v>Lift the blue pen out of the bowl and set it on the table.</x:v>
      </x:c>
      <x:c r="E181" s="9" t="str">
        <x:v>Bowl objects: [blue pen, yellow block] | Table objects: [green pencil sharpener]</x:v>
      </x:c>
      <x:c r="F181" s="9" t="str">
        <x:v>REMOVE blue pen</x:v>
      </x:c>
      <x:c r="G181" s="9" t="str">
        <x:v>went to bowl but couldn't take the pen out</x:v>
      </x:c>
      <x:c r="H181" s="9" t="str">
        <x:v>Language robustness</x:v>
      </x:c>
      <x:c r="I181" s="9" t="str">
        <x:v>CT-CF01</x:v>
      </x:c>
      <x:c r="J181" s="9" t="str">
        <x:v>Matched-control paraphrase: REMOVE</x:v>
      </x:c>
      <x:c r="K181" s="9" t="n">
        <x:v>27</x:v>
      </x:c>
      <x:c r="L181" s="9" t="str">
        <x:v>835</x:v>
      </x:c>
      <x:c r="M181" s="9" t="str">
        <x:v>Canonical direct-control trajectory for the named object and action direction; evaluation wording is paraphrased.</x:v>
      </x:c>
      <x:c r="N181" s="9" t="n">
        <x:v>2</x:v>
      </x:c>
      <x:c r="O181" s="9" t="str">
        <x:v>Reset the exact count-2 scene; change only the prompt.</x:v>
      </x:c>
      <x:c r="P181" s="9" t="str">
        <x:v>Exact-scene paraphrase of the direct manipulation control.</x:v>
      </x:c>
      <x:c r="Q181" s="9"/>
      <x:c r="R181" s="10"/>
      <x:c r="S181" s="10"/>
      <x:c r="T181" s="9"/>
      <x:c r="U181" s="9"/>
      <x:c r="V181" s="9"/>
      <x:c r="W181" s="9" t="str">
        <x:v>CT-CF01-REMOVE</x:v>
      </x:c>
      <x:c r="X181" s="10" t="n">
        <x:v>2</x:v>
      </x:c>
      <x:c r="Y181" s="10" t="n">
        <x:v>1</x:v>
      </x:c>
      <x:c r="Z181" s="9" t="str">
        <x:v>REMOVE</x:v>
      </x:c>
      <x:c r="AA181" s="9"/>
      <x:c r="AB181" s="9"/>
      <x:c r="AC181" s="9"/>
      <x:c r="AD181" s="9"/>
      <x:c r="AE181" s="9"/>
      <x:c r="AF181" s="9"/>
      <x:c r="AG181" s="9"/>
      <x:c r="AH181" s="9"/>
      <x:c r="AI181" s="11"/>
      <x:c r="AJ181" s="9"/>
      <x:c r="AK181" s="9" t="str">
        <x:v>Eval_Counting.xlsm</x:v>
      </x:c>
      <x:c r="AL181" s="9" t="str">
        <x:v>GR00T vision only Results</x:v>
      </x:c>
      <x:c r="AM181" s="9" t="n">
        <x:v>31</x:v>
      </x:c>
      <x:c r="AN181" s="9" t="n">
        <x:v>31</x:v>
      </x:c>
    </x:row>
    <x:row r="182">
      <x:c r="A182" s="9" t="str">
        <x:v>Success</x:v>
      </x:c>
      <x:c r="B182" s="9" t="str">
        <x:v>Counting</x:v>
      </x:c>
      <x:c r="C182" s="10" t="n">
        <x:v>30</x:v>
      </x:c>
      <x:c r="D182" s="9" t="str">
        <x:v>Move the green pencil sharpener into the bowl.</x:v>
      </x:c>
      <x:c r="E182" s="9" t="str">
        <x:v>Bowl objects: [blue pen, yellow block] | Table objects: [green pencil sharpener]</x:v>
      </x:c>
      <x:c r="F182" s="9" t="str">
        <x:v>ADD green pencil sharpener</x:v>
      </x:c>
      <x:c r="G182" s="9"/>
      <x:c r="H182" s="9" t="str">
        <x:v>Matched manipulation control</x:v>
      </x:c>
      <x:c r="I182" s="9" t="str">
        <x:v>CT-CF01</x:v>
      </x:c>
      <x:c r="J182" s="9" t="str">
        <x:v>Matched direct ADD control</x:v>
      </x:c>
      <x:c r="K182" s="9"/>
      <x:c r="L182" s="9" t="str">
        <x:v>917</x:v>
      </x:c>
      <x:c r="M182" s="9" t="str">
        <x:v>Exact direct-prompt trajectory for the named object and action direction; evaluation layout is reset manually.</x:v>
      </x:c>
      <x:c r="N182" s="9" t="n">
        <x:v>2</x:v>
      </x:c>
      <x:c r="O182" s="9" t="str">
        <x:v>Reset the exact count-2 scene; change only the prompt.</x:v>
      </x:c>
      <x:c r="P182" s="9" t="str">
        <x:v>The direct prompt is present in Counting training for this same-task object and action direction.</x:v>
      </x:c>
      <x:c r="Q182" s="9"/>
      <x:c r="R182" s="10"/>
      <x:c r="S182" s="10"/>
      <x:c r="T182" s="9"/>
      <x:c r="U182" s="9"/>
      <x:c r="V182" s="9"/>
      <x:c r="W182" s="9" t="str">
        <x:v>CT-CF01-ADD</x:v>
      </x:c>
      <x:c r="X182" s="10" t="n">
        <x:v>2</x:v>
      </x:c>
      <x:c r="Y182" s="10" t="n">
        <x:v>3</x:v>
      </x:c>
      <x:c r="Z182" s="9" t="str">
        <x:v>ADD</x:v>
      </x:c>
      <x:c r="AA182" s="9"/>
      <x:c r="AB182" s="9"/>
      <x:c r="AC182" s="9"/>
      <x:c r="AD182" s="9"/>
      <x:c r="AE182" s="9"/>
      <x:c r="AF182" s="9"/>
      <x:c r="AG182" s="9"/>
      <x:c r="AH182" s="9"/>
      <x:c r="AI182" s="11"/>
      <x:c r="AJ182" s="9"/>
      <x:c r="AK182" s="9" t="str">
        <x:v>Eval_Counting.xlsm</x:v>
      </x:c>
      <x:c r="AL182" s="9" t="str">
        <x:v>GR00T vision only Results</x:v>
      </x:c>
      <x:c r="AM182" s="9" t="n">
        <x:v>32</x:v>
      </x:c>
      <x:c r="AN182" s="9" t="n">
        <x:v>32</x:v>
      </x:c>
    </x:row>
    <x:row r="183">
      <x:c r="A183" s="9" t="str">
        <x:v>Failure</x:v>
      </x:c>
      <x:c r="B183" s="9" t="str">
        <x:v>Counting</x:v>
      </x:c>
      <x:c r="C183" s="10" t="n">
        <x:v>31</x:v>
      </x:c>
      <x:c r="D183" s="9" t="str">
        <x:v>Leave exactly three objects in the bowl.</x:v>
      </x:c>
      <x:c r="E183" s="9" t="str">
        <x:v>Bowl objects: [blue pen, yellow block] | Table objects: [green pencil sharpener]</x:v>
      </x:c>
      <x:c r="F183" s="9" t="str">
        <x:v>ADD any one table object; finish with 3 objects in the bowl</x:v>
      </x:c>
      <x:c r="G183" s="9" t="str">
        <x:v>didn't move</x:v>
      </x:c>
      <x:c r="H183" s="9" t="str">
        <x:v>Concept/compositional transfer</x:v>
      </x:c>
      <x:c r="I183" s="9" t="str">
        <x:v>CT-CF01</x:v>
      </x:c>
      <x:c r="J183" s="9" t="str">
        <x:v>Primary: three via held-out 2→3 addition</x:v>
      </x:c>
      <x:c r="K183" s="9" t="n">
        <x:v>30</x:v>
      </x:c>
      <x:c r="L183" s="9" t="str">
        <x:v>916</x:v>
      </x:c>
      <x:c r="M183" s="9" t="str">
        <x:v>Representative direct-instruction trajectory for green pencil sharpener; the evaluated count × transition composition is intentionally absent.</x:v>
      </x:c>
      <x:c r="N183" s="9" t="n">
        <x:v>2</x:v>
      </x:c>
      <x:c r="O183" s="9" t="str">
        <x:v>Reset the exact count-2 scene; change only the prompt.</x:v>
      </x:c>
      <x:c r="P183" s="9" t="str">
        <x:v>The goal word three is trained, and this 2→3 trajectory is trained under a direct instruction, but the combination is withheld.</x:v>
      </x:c>
      <x:c r="Q183" s="9"/>
      <x:c r="R183" s="10"/>
      <x:c r="S183" s="10"/>
      <x:c r="T183" s="9"/>
      <x:c r="U183" s="9"/>
      <x:c r="V183" s="9"/>
      <x:c r="W183" s="9" t="str">
        <x:v>CT-CF01-ADD</x:v>
      </x:c>
      <x:c r="X183" s="10" t="n">
        <x:v>2</x:v>
      </x:c>
      <x:c r="Y183" s="10" t="n">
        <x:v>3</x:v>
      </x:c>
      <x:c r="Z183" s="9" t="str">
        <x:v>ADD</x:v>
      </x:c>
      <x:c r="AA183" s="9"/>
      <x:c r="AB183" s="9"/>
      <x:c r="AC183" s="9"/>
      <x:c r="AD183" s="9"/>
      <x:c r="AE183" s="9"/>
      <x:c r="AF183" s="9"/>
      <x:c r="AG183" s="9"/>
      <x:c r="AH183" s="9"/>
      <x:c r="AI183" s="11"/>
      <x:c r="AJ183" s="9"/>
      <x:c r="AK183" s="9" t="str">
        <x:v>Eval_Counting.xlsm</x:v>
      </x:c>
      <x:c r="AL183" s="9" t="str">
        <x:v>GR00T vision only Results</x:v>
      </x:c>
      <x:c r="AM183" s="9" t="n">
        <x:v>33</x:v>
      </x:c>
      <x:c r="AN183" s="9" t="n">
        <x:v>33</x:v>
      </x:c>
    </x:row>
    <x:row r="184">
      <x:c r="A184" s="9" t="str">
        <x:v>Failure</x:v>
      </x:c>
      <x:c r="B184" s="9" t="str">
        <x:v>Counting</x:v>
      </x:c>
      <x:c r="C184" s="10" t="n">
        <x:v>32</x:v>
      </x:c>
      <x:c r="D184" s="9" t="str">
        <x:v>Lift the green pencil sharpener from the table and set it inside the bowl.</x:v>
      </x:c>
      <x:c r="E184" s="9" t="str">
        <x:v>Bowl objects: [blue pen, yellow block] | Table objects: [green pencil sharpener]</x:v>
      </x:c>
      <x:c r="F184" s="9" t="str">
        <x:v>ADD green pencil sharpener</x:v>
      </x:c>
      <x:c r="G184" s="9" t="str">
        <x:v>didn't move</x:v>
      </x:c>
      <x:c r="H184" s="9" t="str">
        <x:v>Language robustness</x:v>
      </x:c>
      <x:c r="I184" s="9" t="str">
        <x:v>CT-CF01</x:v>
      </x:c>
      <x:c r="J184" s="9" t="str">
        <x:v>Matched-control paraphrase: ADD</x:v>
      </x:c>
      <x:c r="K184" s="9" t="n">
        <x:v>30</x:v>
      </x:c>
      <x:c r="L184" s="9" t="str">
        <x:v>917</x:v>
      </x:c>
      <x:c r="M184" s="9" t="str">
        <x:v>Canonical direct-control trajectory for the named object and action direction; evaluation wording is paraphrased.</x:v>
      </x:c>
      <x:c r="N184" s="9" t="n">
        <x:v>2</x:v>
      </x:c>
      <x:c r="O184" s="9" t="str">
        <x:v>Reset the exact count-2 scene; change only the prompt.</x:v>
      </x:c>
      <x:c r="P184" s="9" t="str">
        <x:v>Exact-scene paraphrase of the direct manipulation control.</x:v>
      </x:c>
      <x:c r="Q184" s="9"/>
      <x:c r="R184" s="10"/>
      <x:c r="S184" s="10"/>
      <x:c r="T184" s="9"/>
      <x:c r="U184" s="9"/>
      <x:c r="V184" s="9"/>
      <x:c r="W184" s="9" t="str">
        <x:v>CT-CF01-ADD</x:v>
      </x:c>
      <x:c r="X184" s="10" t="n">
        <x:v>2</x:v>
      </x:c>
      <x:c r="Y184" s="10" t="n">
        <x:v>3</x:v>
      </x:c>
      <x:c r="Z184" s="9" t="str">
        <x:v>ADD</x:v>
      </x:c>
      <x:c r="AA184" s="9"/>
      <x:c r="AB184" s="9"/>
      <x:c r="AC184" s="9"/>
      <x:c r="AD184" s="9"/>
      <x:c r="AE184" s="9"/>
      <x:c r="AF184" s="9"/>
      <x:c r="AG184" s="9"/>
      <x:c r="AH184" s="9"/>
      <x:c r="AI184" s="11"/>
      <x:c r="AJ184" s="9"/>
      <x:c r="AK184" s="9" t="str">
        <x:v>Eval_Counting.xlsm</x:v>
      </x:c>
      <x:c r="AL184" s="9" t="str">
        <x:v>GR00T vision only Results</x:v>
      </x:c>
      <x:c r="AM184" s="9" t="n">
        <x:v>34</x:v>
      </x:c>
      <x:c r="AN184" s="9" t="n">
        <x:v>34</x:v>
      </x:c>
    </x:row>
    <x:row r="185">
      <x:c r="A185" s="9" t="str">
        <x:v>Failure</x:v>
      </x:c>
      <x:c r="B185" s="9" t="str">
        <x:v>Counting</x:v>
      </x:c>
      <x:c r="C185" s="10" t="n">
        <x:v>33</x:v>
      </x:c>
      <x:c r="D185" s="9" t="str">
        <x:v>Finish with three objects in the bowl.</x:v>
      </x:c>
      <x:c r="E185" s="9" t="str">
        <x:v>Bowl objects: [blue pen, yellow block] | Table objects: [green pencil sharpener]</x:v>
      </x:c>
      <x:c r="F185" s="9" t="str">
        <x:v>ADD any one table object; finish with 3 objects in the bowl</x:v>
      </x:c>
      <x:c r="G185" s="9" t="str">
        <x:v>didn't move</x:v>
      </x:c>
      <x:c r="H185" s="9" t="str">
        <x:v>Language robustness</x:v>
      </x:c>
      <x:c r="I185" s="9" t="str">
        <x:v>CT-CF01</x:v>
      </x:c>
      <x:c r="J185" s="9" t="str">
        <x:v>Primary compositional paraphrase: three via 2→3 addition</x:v>
      </x:c>
      <x:c r="K185" s="9" t="n">
        <x:v>31</x:v>
      </x:c>
      <x:c r="L185" s="9" t="str">
        <x:v>916</x:v>
      </x:c>
      <x:c r="M185" s="9" t="str">
        <x:v>Representative direct-instruction trajectory for green pencil sharpener; the evaluated count × transition composition is intentionally absent. The evaluation wording is also paraphrased.</x:v>
      </x:c>
      <x:c r="N185" s="9" t="n">
        <x:v>2</x:v>
      </x:c>
      <x:c r="O185" s="9" t="str">
        <x:v>Reset the exact count-2 scene; change only the prompt.</x:v>
      </x:c>
      <x:c r="P185" s="9" t="str">
        <x:v>Exact-scene paraphrase of the canonical held-out composition.</x:v>
      </x:c>
      <x:c r="Q185" s="9"/>
      <x:c r="R185" s="10"/>
      <x:c r="S185" s="10"/>
      <x:c r="T185" s="9"/>
      <x:c r="U185" s="9"/>
      <x:c r="V185" s="9"/>
      <x:c r="W185" s="9" t="str">
        <x:v>CT-CF01-ADD</x:v>
      </x:c>
      <x:c r="X185" s="10" t="n">
        <x:v>2</x:v>
      </x:c>
      <x:c r="Y185" s="10" t="n">
        <x:v>3</x:v>
      </x:c>
      <x:c r="Z185" s="9" t="str">
        <x:v>ADD</x:v>
      </x:c>
      <x:c r="AA185" s="9"/>
      <x:c r="AB185" s="9"/>
      <x:c r="AC185" s="9"/>
      <x:c r="AD185" s="9"/>
      <x:c r="AE185" s="9"/>
      <x:c r="AF185" s="9"/>
      <x:c r="AG185" s="9"/>
      <x:c r="AH185" s="9"/>
      <x:c r="AI185" s="11"/>
      <x:c r="AJ185" s="9"/>
      <x:c r="AK185" s="9" t="str">
        <x:v>Eval_Counting.xlsm</x:v>
      </x:c>
      <x:c r="AL185" s="9" t="str">
        <x:v>GR00T vision only Results</x:v>
      </x:c>
      <x:c r="AM185" s="9" t="n">
        <x:v>35</x:v>
      </x:c>
      <x:c r="AN185" s="9" t="n">
        <x:v>35</x:v>
      </x:c>
    </x:row>
    <x:row r="186">
      <x:c r="A186" s="9" t="str">
        <x:v>Failure</x:v>
      </x:c>
      <x:c r="B186" s="9" t="str">
        <x:v>Counting</x:v>
      </x:c>
      <x:c r="C186" s="10" t="n">
        <x:v>34</x:v>
      </x:c>
      <x:c r="D186" s="9" t="str">
        <x:v>Leave exactly three objects in the bowl.</x:v>
      </x:c>
      <x:c r="E186" s="9" t="str">
        <x:v>Bowl objects: [yellow block, green pencil sharpener] | Table objects: [blue pen, airplane toy without propellers]</x:v>
      </x:c>
      <x:c r="F186" s="9" t="str">
        <x:v>ADD any one table object; finish with 3 objects in the bowl</x:v>
      </x:c>
      <x:c r="G186" s="9" t="str">
        <x:v>didn't move</x:v>
      </x:c>
      <x:c r="H186" s="9" t="str">
        <x:v>Concept/compositional transfer</x:v>
      </x:c>
      <x:c r="I186" s="9" t="str">
        <x:v>CT-CF10</x:v>
      </x:c>
      <x:c r="J186" s="9" t="str">
        <x:v>Primary: three via held-out 2→3 addition</x:v>
      </x:c>
      <x:c r="K186" s="9"/>
      <x:c r="L186" s="9" t="str">
        <x:v>816</x:v>
      </x:c>
      <x:c r="M186" s="9" t="str">
        <x:v>Representative direct-instruction trajectory for blue pen; the evaluated count × transition composition is intentionally absent.</x:v>
      </x:c>
      <x:c r="N186" s="9" t="n">
        <x:v>3</x:v>
      </x:c>
      <x:c r="O186" s="9" t="str">
        <x:v>Reset the exact count-2 scene; change only the prompt.</x:v>
      </x:c>
      <x:c r="P186" s="9" t="str">
        <x:v>The goal word three is trained, and this 2→3 trajectory is trained under a direct instruction, but the combination is withheld.</x:v>
      </x:c>
      <x:c r="Q186" s="9"/>
      <x:c r="R186" s="10"/>
      <x:c r="S186" s="10"/>
      <x:c r="T186" s="9"/>
      <x:c r="U186" s="9"/>
      <x:c r="V186" s="9"/>
      <x:c r="W186" s="9" t="str">
        <x:v>CT-CF10-ADD</x:v>
      </x:c>
      <x:c r="X186" s="10" t="n">
        <x:v>2</x:v>
      </x:c>
      <x:c r="Y186" s="10" t="n">
        <x:v>3</x:v>
      </x:c>
      <x:c r="Z186" s="9" t="str">
        <x:v>ADD</x:v>
      </x:c>
      <x:c r="AA186" s="9"/>
      <x:c r="AB186" s="9"/>
      <x:c r="AC186" s="9"/>
      <x:c r="AD186" s="9"/>
      <x:c r="AE186" s="9"/>
      <x:c r="AF186" s="9"/>
      <x:c r="AG186" s="9"/>
      <x:c r="AH186" s="9"/>
      <x:c r="AI186" s="11"/>
      <x:c r="AJ186" s="9"/>
      <x:c r="AK186" s="9" t="str">
        <x:v>Eval_Counting.xlsm</x:v>
      </x:c>
      <x:c r="AL186" s="9" t="str">
        <x:v>GR00T vision only Results</x:v>
      </x:c>
      <x:c r="AM186" s="9" t="n">
        <x:v>36</x:v>
      </x:c>
      <x:c r="AN186" s="9" t="n">
        <x:v>36</x:v>
      </x:c>
    </x:row>
    <x:row r="187">
      <x:c r="A187" s="9" t="str">
        <x:v>Failure</x:v>
      </x:c>
      <x:c r="B187" s="9" t="str">
        <x:v>Counting</x:v>
      </x:c>
      <x:c r="C187" s="10" t="n">
        <x:v>35</x:v>
      </x:c>
      <x:c r="D187" s="9" t="str">
        <x:v>Move the airplane toy without propellers into the bowl.</x:v>
      </x:c>
      <x:c r="E187" s="9" t="str">
        <x:v>Bowl objects: [yellow block, green pencil sharpener] | Table objects: [blue pen, airplane toy without propellers]</x:v>
      </x:c>
      <x:c r="F187" s="9" t="str">
        <x:v>ADD airplane toy without propellers</x:v>
      </x:c>
      <x:c r="G187" s="9" t="str">
        <x:v>didn't move</x:v>
      </x:c>
      <x:c r="H187" s="9" t="str">
        <x:v>Matched manipulation control</x:v>
      </x:c>
      <x:c r="I187" s="9" t="str">
        <x:v>CT-CF10</x:v>
      </x:c>
      <x:c r="J187" s="9" t="str">
        <x:v>Matched direct ADD control</x:v>
      </x:c>
      <x:c r="K187" s="9" t="n">
        <x:v>34</x:v>
      </x:c>
      <x:c r="L187" s="9" t="str">
        <x:v>968</x:v>
      </x:c>
      <x:c r="M187" s="9" t="str">
        <x:v>Exact direct-prompt trajectory for the named object and action direction; evaluation layout is reset manually.</x:v>
      </x:c>
      <x:c r="N187" s="9" t="n">
        <x:v>3</x:v>
      </x:c>
      <x:c r="O187" s="9" t="str">
        <x:v>Reset the exact count-2 scene; change only the prompt.</x:v>
      </x:c>
      <x:c r="P187" s="9" t="str">
        <x:v>The direct prompt is present in Counting training for this same-task object and action direction.</x:v>
      </x:c>
      <x:c r="Q187" s="9"/>
      <x:c r="R187" s="10"/>
      <x:c r="S187" s="10"/>
      <x:c r="T187" s="9"/>
      <x:c r="U187" s="9"/>
      <x:c r="V187" s="9"/>
      <x:c r="W187" s="9" t="str">
        <x:v>CT-CF10-ADD</x:v>
      </x:c>
      <x:c r="X187" s="10" t="n">
        <x:v>2</x:v>
      </x:c>
      <x:c r="Y187" s="10" t="n">
        <x:v>3</x:v>
      </x:c>
      <x:c r="Z187" s="9" t="str">
        <x:v>ADD</x:v>
      </x:c>
      <x:c r="AA187" s="9"/>
      <x:c r="AB187" s="9"/>
      <x:c r="AC187" s="9"/>
      <x:c r="AD187" s="9"/>
      <x:c r="AE187" s="9"/>
      <x:c r="AF187" s="9"/>
      <x:c r="AG187" s="9"/>
      <x:c r="AH187" s="9"/>
      <x:c r="AI187" s="11"/>
      <x:c r="AJ187" s="9"/>
      <x:c r="AK187" s="9" t="str">
        <x:v>Eval_Counting.xlsm</x:v>
      </x:c>
      <x:c r="AL187" s="9" t="str">
        <x:v>GR00T vision only Results</x:v>
      </x:c>
      <x:c r="AM187" s="9" t="n">
        <x:v>37</x:v>
      </x:c>
      <x:c r="AN187" s="9" t="n">
        <x:v>37</x:v>
      </x:c>
    </x:row>
    <x:row r="188">
      <x:c r="A188" s="9" t="str">
        <x:v>Success</x:v>
      </x:c>
      <x:c r="B188" s="9" t="str">
        <x:v>Counting</x:v>
      </x:c>
      <x:c r="C188" s="10" t="n">
        <x:v>36</x:v>
      </x:c>
      <x:c r="D188" s="9" t="str">
        <x:v>Move the green pencil sharpener from the bowl to the table.</x:v>
      </x:c>
      <x:c r="E188" s="9" t="str">
        <x:v>Bowl objects: [yellow block, green pencil sharpener] | Table objects: [blue pen, airplane toy without propellers]</x:v>
      </x:c>
      <x:c r="F188" s="9" t="str">
        <x:v>REMOVE green pencil sharpener</x:v>
      </x:c>
      <x:c r="G188" s="9"/>
      <x:c r="H188" s="9" t="str">
        <x:v>Matched manipulation control</x:v>
      </x:c>
      <x:c r="I188" s="9" t="str">
        <x:v>CT-CF10</x:v>
      </x:c>
      <x:c r="J188" s="9" t="str">
        <x:v>Matched direct REMOVE control</x:v>
      </x:c>
      <x:c r="K188" s="9"/>
      <x:c r="L188" s="9" t="str">
        <x:v>935</x:v>
      </x:c>
      <x:c r="M188" s="9" t="str">
        <x:v>Exact direct-prompt trajectory for the named object and action direction; evaluation layout is reset manually.</x:v>
      </x:c>
      <x:c r="N188" s="9" t="n">
        <x:v>3</x:v>
      </x:c>
      <x:c r="O188" s="9" t="str">
        <x:v>Reset the exact count-2 scene; change only the prompt.</x:v>
      </x:c>
      <x:c r="P188" s="9" t="str">
        <x:v>The direct prompt is present in Counting training for this same-task object and action direction.</x:v>
      </x:c>
      <x:c r="Q188" s="9"/>
      <x:c r="R188" s="10"/>
      <x:c r="S188" s="10"/>
      <x:c r="T188" s="9"/>
      <x:c r="U188" s="9"/>
      <x:c r="V188" s="9"/>
      <x:c r="W188" s="9" t="str">
        <x:v>CT-CF10-REMOVE</x:v>
      </x:c>
      <x:c r="X188" s="10" t="n">
        <x:v>2</x:v>
      </x:c>
      <x:c r="Y188" s="10" t="n">
        <x:v>1</x:v>
      </x:c>
      <x:c r="Z188" s="9" t="str">
        <x:v>REMOVE</x:v>
      </x:c>
      <x:c r="AA188" s="9"/>
      <x:c r="AB188" s="9"/>
      <x:c r="AC188" s="9"/>
      <x:c r="AD188" s="9"/>
      <x:c r="AE188" s="9"/>
      <x:c r="AF188" s="9"/>
      <x:c r="AG188" s="9"/>
      <x:c r="AH188" s="9"/>
      <x:c r="AI188" s="11"/>
      <x:c r="AJ188" s="9"/>
      <x:c r="AK188" s="9" t="str">
        <x:v>Eval_Counting.xlsm</x:v>
      </x:c>
      <x:c r="AL188" s="9" t="str">
        <x:v>GR00T vision only Results</x:v>
      </x:c>
      <x:c r="AM188" s="9" t="n">
        <x:v>38</x:v>
      </x:c>
      <x:c r="AN188" s="9" t="n">
        <x:v>38</x:v>
      </x:c>
    </x:row>
    <x:row r="189">
      <x:c r="A189" s="9" t="str">
        <x:v>Failure</x:v>
      </x:c>
      <x:c r="B189" s="9" t="str">
        <x:v>Counting</x:v>
      </x:c>
      <x:c r="C189" s="10" t="n">
        <x:v>37</x:v>
      </x:c>
      <x:c r="D189" s="9" t="str">
        <x:v>Leave exactly one object in the bowl.</x:v>
      </x:c>
      <x:c r="E189" s="9" t="str">
        <x:v>Bowl objects: [yellow block, green pencil sharpener] | Table objects: [blue pen, airplane toy without propellers]</x:v>
      </x:c>
      <x:c r="F189" s="9" t="str">
        <x:v>REMOVE any one bowl object; finish with 1 object in the bowl</x:v>
      </x:c>
      <x:c r="G189" s="9" t="str">
        <x:v>didn't move</x:v>
      </x:c>
      <x:c r="H189" s="9" t="str">
        <x:v>Concept/compositional transfer</x:v>
      </x:c>
      <x:c r="I189" s="9" t="str">
        <x:v>CT-CF10</x:v>
      </x:c>
      <x:c r="J189" s="9" t="str">
        <x:v>Primary: one via held-out 2→1 removal</x:v>
      </x:c>
      <x:c r="K189" s="9" t="n">
        <x:v>36</x:v>
      </x:c>
      <x:c r="L189" s="9" t="str">
        <x:v>931</x:v>
      </x:c>
      <x:c r="M189" s="9" t="str">
        <x:v>Representative direct-instruction trajectory for green pencil sharpener; the evaluated count × transition composition is intentionally absent.</x:v>
      </x:c>
      <x:c r="N189" s="9" t="n">
        <x:v>3</x:v>
      </x:c>
      <x:c r="O189" s="9" t="str">
        <x:v>Build the listed count-2 scene.</x:v>
      </x:c>
      <x:c r="P189" s="9" t="str">
        <x:v>The goal word one is trained, and this 2→1 trajectory is trained under a direct instruction, but the combination is withheld.</x:v>
      </x:c>
      <x:c r="Q189" s="9"/>
      <x:c r="R189" s="10"/>
      <x:c r="S189" s="10"/>
      <x:c r="T189" s="9"/>
      <x:c r="U189" s="9"/>
      <x:c r="V189" s="9"/>
      <x:c r="W189" s="9" t="str">
        <x:v>CT-CF10-REMOVE</x:v>
      </x:c>
      <x:c r="X189" s="10" t="n">
        <x:v>2</x:v>
      </x:c>
      <x:c r="Y189" s="10" t="n">
        <x:v>1</x:v>
      </x:c>
      <x:c r="Z189" s="9" t="str">
        <x:v>REMOVE</x:v>
      </x:c>
      <x:c r="AA189" s="9"/>
      <x:c r="AB189" s="9"/>
      <x:c r="AC189" s="9"/>
      <x:c r="AD189" s="9"/>
      <x:c r="AE189" s="9"/>
      <x:c r="AF189" s="9"/>
      <x:c r="AG189" s="9"/>
      <x:c r="AH189" s="9"/>
      <x:c r="AI189" s="11"/>
      <x:c r="AJ189" s="9"/>
      <x:c r="AK189" s="9" t="str">
        <x:v>Eval_Counting.xlsm</x:v>
      </x:c>
      <x:c r="AL189" s="9" t="str">
        <x:v>GR00T vision only Results</x:v>
      </x:c>
      <x:c r="AM189" s="9" t="n">
        <x:v>39</x:v>
      </x:c>
      <x:c r="AN189" s="9" t="n">
        <x:v>39</x:v>
      </x:c>
    </x:row>
    <x:row r="190">
      <x:c r="A190" s="9" t="str">
        <x:v>Success</x:v>
      </x:c>
      <x:c r="B190" s="9" t="str">
        <x:v>Counting</x:v>
      </x:c>
      <x:c r="C190" s="10" t="n">
        <x:v>38</x:v>
      </x:c>
      <x:c r="D190" s="9" t="str">
        <x:v>Leave exactly three objects in the bowl.</x:v>
      </x:c>
      <x:c r="E190" s="9" t="str">
        <x:v>Bowl objects: [airplane toy without propellers, green pencil sharpener, yellow block] | Table objects: [blue pen]</x:v>
      </x:c>
      <x:c r="F190" s="9" t="str">
        <x:v>NO-OP; preserve 3 objects in the bowl and do not initiate a grasp</x:v>
      </x:c>
      <x:c r="G190" s="9"/>
      <x:c r="H190" s="9" t="str">
        <x:v>Goal already satisfied / no movement</x:v>
      </x:c>
      <x:c r="I190" s="9" t="str">
        <x:v>NOOP-04</x:v>
      </x:c>
      <x:c r="J190" s="9" t="str">
        <x:v>Goal already satisfied: 3→3</x:v>
      </x:c>
      <x:c r="K190" s="9"/>
      <x:c r="L190" s="9" t="str">
        <x:v>843</x:v>
      </x:c>
      <x:c r="M190" s="9" t="str">
        <x:v>Prompt/concept grounding only. Training does not contain a goal-already-satisfied no-movement trajectory.</x:v>
      </x:c>
      <x:c r="N190" s="9" t="n">
        <x:v>6</x:v>
      </x:c>
      <x:c r="O190" s="9" t="str">
        <x:v>Build the first no-movement scene in this family.</x:v>
      </x:c>
      <x:c r="P190" s="9" t="str">
        <x:v>Visible-object count varies across no-op families. Table objects are distractors where present; success requires leaving the satisfied scene unchanged.</x:v>
      </x:c>
      <x:c r="Q190" s="9"/>
      <x:c r="R190" s="10"/>
      <x:c r="S190" s="10"/>
      <x:c r="T190" s="9"/>
      <x:c r="U190" s="9"/>
      <x:c r="V190" s="9"/>
      <x:c r="W190" s="9" t="str">
        <x:v>NOOP-04</x:v>
      </x:c>
      <x:c r="X190" s="10" t="n">
        <x:v>3</x:v>
      </x:c>
      <x:c r="Y190" s="10" t="n">
        <x:v>3</x:v>
      </x:c>
      <x:c r="Z190" s="9" t="str">
        <x:v>NO-OP</x:v>
      </x:c>
      <x:c r="AA190" s="9"/>
      <x:c r="AB190" s="9"/>
      <x:c r="AC190" s="9"/>
      <x:c r="AD190" s="9"/>
      <x:c r="AE190" s="9"/>
      <x:c r="AF190" s="9"/>
      <x:c r="AG190" s="9"/>
      <x:c r="AH190" s="9"/>
      <x:c r="AI190" s="11"/>
      <x:c r="AJ190" s="9"/>
      <x:c r="AK190" s="9" t="str">
        <x:v>Eval_Counting.xlsm</x:v>
      </x:c>
      <x:c r="AL190" s="9" t="str">
        <x:v>GR00T vision only Results</x:v>
      </x:c>
      <x:c r="AM190" s="9" t="n">
        <x:v>40</x:v>
      </x:c>
      <x:c r="AN190" s="9" t="n">
        <x:v>40</x:v>
      </x:c>
    </x:row>
    <x:row r="191">
      <x:c r="A191" s="9" t="str">
        <x:v>Success</x:v>
      </x:c>
      <x:c r="B191" s="9" t="str">
        <x:v>Counting</x:v>
      </x:c>
      <x:c r="C191" s="10" t="n">
        <x:v>39</x:v>
      </x:c>
      <x:c r="D191" s="9" t="str">
        <x:v>Leave exactly two objects in the bowl.</x:v>
      </x:c>
      <x:c r="E191" s="9" t="str">
        <x:v>Bowl objects: [airplane toy without propellers, green pencil sharpener] | Table objects: [yellow block]</x:v>
      </x:c>
      <x:c r="F191" s="9" t="str">
        <x:v>NO-OP; preserve 2 objects in the bowl and do not initiate a grasp</x:v>
      </x:c>
      <x:c r="G191" s="9"/>
      <x:c r="H191" s="9" t="str">
        <x:v>Goal already satisfied / no movement</x:v>
      </x:c>
      <x:c r="I191" s="9" t="str">
        <x:v>NOOP-04</x:v>
      </x:c>
      <x:c r="J191" s="9" t="str">
        <x:v>Goal already satisfied: 2→2</x:v>
      </x:c>
      <x:c r="K191" s="9"/>
      <x:c r="L191" s="9" t="str">
        <x:v>861</x:v>
      </x:c>
      <x:c r="M191" s="9" t="str">
        <x:v>Prompt/concept grounding only. Training does not contain a goal-already-satisfied no-movement trajectory.</x:v>
      </x:c>
      <x:c r="N191" s="9" t="n">
        <x:v>6</x:v>
      </x:c>
      <x:c r="O191" s="9" t="str">
        <x:v>Move only the minimum listed objects between bowl and table for the next count.</x:v>
      </x:c>
      <x:c r="P191" s="9" t="str">
        <x:v>Visible-object count varies across no-op families. Table objects are distractors where present; success requires leaving the satisfied scene unchanged.</x:v>
      </x:c>
      <x:c r="Q191" s="9"/>
      <x:c r="R191" s="10"/>
      <x:c r="S191" s="10"/>
      <x:c r="T191" s="9"/>
      <x:c r="U191" s="9"/>
      <x:c r="V191" s="9"/>
      <x:c r="W191" s="9" t="str">
        <x:v>NOOP-04</x:v>
      </x:c>
      <x:c r="X191" s="10" t="n">
        <x:v>2</x:v>
      </x:c>
      <x:c r="Y191" s="10" t="n">
        <x:v>2</x:v>
      </x:c>
      <x:c r="Z191" s="9" t="str">
        <x:v>NO-OP</x:v>
      </x:c>
      <x:c r="AA191" s="9"/>
      <x:c r="AB191" s="9"/>
      <x:c r="AC191" s="9"/>
      <x:c r="AD191" s="9"/>
      <x:c r="AE191" s="9"/>
      <x:c r="AF191" s="9"/>
      <x:c r="AG191" s="9"/>
      <x:c r="AH191" s="9"/>
      <x:c r="AI191" s="11"/>
      <x:c r="AJ191" s="9"/>
      <x:c r="AK191" s="9" t="str">
        <x:v>Eval_Counting.xlsm</x:v>
      </x:c>
      <x:c r="AL191" s="9" t="str">
        <x:v>GR00T vision only Results</x:v>
      </x:c>
      <x:c r="AM191" s="9" t="n">
        <x:v>41</x:v>
      </x:c>
      <x:c r="AN191" s="9" t="n">
        <x:v>41</x:v>
      </x:c>
    </x:row>
    <x:row r="192">
      <x:c r="A192" s="9" t="str">
        <x:v>Success</x:v>
      </x:c>
      <x:c r="B192" s="9" t="str">
        <x:v>Counting</x:v>
      </x:c>
      <x:c r="C192" s="10" t="n">
        <x:v>40</x:v>
      </x:c>
      <x:c r="D192" s="9" t="str">
        <x:v>Leave exactly one object in the bowl.</x:v>
      </x:c>
      <x:c r="E192" s="9" t="str">
        <x:v>Bowl objects: [airplane toy without propellers] | Table objects: [green pencil sharpener]</x:v>
      </x:c>
      <x:c r="F192" s="9" t="str">
        <x:v>NO-OP; preserve 1 object in the bowl and do not initiate a grasp</x:v>
      </x:c>
      <x:c r="G192" s="9"/>
      <x:c r="H192" s="9" t="str">
        <x:v>Goal already satisfied / no movement</x:v>
      </x:c>
      <x:c r="I192" s="9" t="str">
        <x:v>NOOP-04</x:v>
      </x:c>
      <x:c r="J192" s="9" t="str">
        <x:v>Goal already satisfied: 1→1</x:v>
      </x:c>
      <x:c r="K192" s="9"/>
      <x:c r="L192" s="9" t="str">
        <x:v>800</x:v>
      </x:c>
      <x:c r="M192" s="9" t="str">
        <x:v>Prompt/concept grounding only. Training does not contain a goal-already-satisfied no-movement trajectory.</x:v>
      </x:c>
      <x:c r="N192" s="9" t="n">
        <x:v>6</x:v>
      </x:c>
      <x:c r="O192" s="9" t="str">
        <x:v>Move only the minimum listed objects between bowl and table for the next count.</x:v>
      </x:c>
      <x:c r="P192" s="9" t="str">
        <x:v>Visible-object count varies across no-op families. Table objects are distractors where present; success requires leaving the satisfied scene unchanged.</x:v>
      </x:c>
      <x:c r="Q192" s="9"/>
      <x:c r="R192" s="10"/>
      <x:c r="S192" s="10"/>
      <x:c r="T192" s="9"/>
      <x:c r="U192" s="9"/>
      <x:c r="V192" s="9"/>
      <x:c r="W192" s="9" t="str">
        <x:v>NOOP-04</x:v>
      </x:c>
      <x:c r="X192" s="10" t="n">
        <x:v>1</x:v>
      </x:c>
      <x:c r="Y192" s="10" t="n">
        <x:v>1</x:v>
      </x:c>
      <x:c r="Z192" s="9" t="str">
        <x:v>NO-OP</x:v>
      </x:c>
      <x:c r="AA192" s="9"/>
      <x:c r="AB192" s="9"/>
      <x:c r="AC192" s="9"/>
      <x:c r="AD192" s="9"/>
      <x:c r="AE192" s="9"/>
      <x:c r="AF192" s="9"/>
      <x:c r="AG192" s="9"/>
      <x:c r="AH192" s="9"/>
      <x:c r="AI192" s="11"/>
      <x:c r="AJ192" s="9"/>
      <x:c r="AK192" s="9" t="str">
        <x:v>Eval_Counting.xlsm</x:v>
      </x:c>
      <x:c r="AL192" s="9" t="str">
        <x:v>GR00T vision only Results</x:v>
      </x:c>
      <x:c r="AM192" s="9" t="n">
        <x:v>42</x:v>
      </x:c>
      <x:c r="AN192" s="9" t="n">
        <x:v>42</x:v>
      </x:c>
    </x:row>
    <x:row r="193">
      <x:c r="A193" s="9" t="str">
        <x:v>Success</x:v>
      </x:c>
      <x:c r="B193" s="9" t="str">
        <x:v>Counting</x:v>
      </x:c>
      <x:c r="C193" s="10" t="n">
        <x:v>41</x:v>
      </x:c>
      <x:c r="D193" s="9" t="str">
        <x:v>Leave no objects in the bowl.</x:v>
      </x:c>
      <x:c r="E193" s="9" t="str">
        <x:v>Bowl objects: [none] | Table objects: [airplane toy without propellers]</x:v>
      </x:c>
      <x:c r="F193" s="9" t="str">
        <x:v>NO-OP; preserve 0 objects in the bowl and do not initiate a grasp</x:v>
      </x:c>
      <x:c r="G193" s="9"/>
      <x:c r="H193" s="9" t="str">
        <x:v>Goal already satisfied / no movement</x:v>
      </x:c>
      <x:c r="I193" s="9" t="str">
        <x:v>NOOP-04</x:v>
      </x:c>
      <x:c r="J193" s="9" t="str">
        <x:v>Goal already satisfied: 0→0</x:v>
      </x:c>
      <x:c r="K193" s="9"/>
      <x:c r="L193" s="9" t="str">
        <x:v>975</x:v>
      </x:c>
      <x:c r="M193" s="9" t="str">
        <x:v>Prompt/concept grounding only. Training does not contain a goal-already-satisfied no-movement trajectory.</x:v>
      </x:c>
      <x:c r="N193" s="9" t="n">
        <x:v>6</x:v>
      </x:c>
      <x:c r="O193" s="9" t="str">
        <x:v>Move only the minimum listed objects between bowl and table for the next count.</x:v>
      </x:c>
      <x:c r="P193" s="9" t="str">
        <x:v>Visible-object count varies across no-op families. Table objects are distractors where present; success requires leaving the satisfied scene unchanged.</x:v>
      </x:c>
      <x:c r="Q193" s="9"/>
      <x:c r="R193" s="10"/>
      <x:c r="S193" s="10"/>
      <x:c r="T193" s="9"/>
      <x:c r="U193" s="9"/>
      <x:c r="V193" s="9"/>
      <x:c r="W193" s="9" t="str">
        <x:v>NOOP-04</x:v>
      </x:c>
      <x:c r="X193" s="10" t="n">
        <x:v>0</x:v>
      </x:c>
      <x:c r="Y193" s="10" t="n">
        <x:v>0</x:v>
      </x:c>
      <x:c r="Z193" s="9" t="str">
        <x:v>NO-OP</x:v>
      </x:c>
      <x:c r="AA193" s="9"/>
      <x:c r="AB193" s="9"/>
      <x:c r="AC193" s="9"/>
      <x:c r="AD193" s="9"/>
      <x:c r="AE193" s="9"/>
      <x:c r="AF193" s="9"/>
      <x:c r="AG193" s="9"/>
      <x:c r="AH193" s="9"/>
      <x:c r="AI193" s="11"/>
      <x:c r="AJ193" s="9"/>
      <x:c r="AK193" s="9" t="str">
        <x:v>Eval_Counting.xlsm</x:v>
      </x:c>
      <x:c r="AL193" s="9" t="str">
        <x:v>GR00T vision only Results</x:v>
      </x:c>
      <x:c r="AM193" s="9" t="n">
        <x:v>43</x:v>
      </x:c>
      <x:c r="AN193" s="9" t="n">
        <x:v>43</x:v>
      </x:c>
    </x:row>
    <x:row r="194">
      <x:c r="A194" s="9" t="str">
        <x:v>Success</x:v>
      </x:c>
      <x:c r="B194" s="9" t="str">
        <x:v>Counting</x:v>
      </x:c>
      <x:c r="C194" s="10" t="n">
        <x:v>42</x:v>
      </x:c>
      <x:c r="D194" s="9" t="str">
        <x:v>Leave no objects in the bowl.</x:v>
      </x:c>
      <x:c r="E194" s="9" t="str">
        <x:v>Bowl objects: [none] | Table objects: [blue pen]</x:v>
      </x:c>
      <x:c r="F194" s="9" t="str">
        <x:v>NO-OP; preserve 0 objects in the bowl and do not initiate a grasp</x:v>
      </x:c>
      <x:c r="G194" s="9"/>
      <x:c r="H194" s="9" t="str">
        <x:v>Goal already satisfied / no movement</x:v>
      </x:c>
      <x:c r="I194" s="9" t="str">
        <x:v>NOOP-01</x:v>
      </x:c>
      <x:c r="J194" s="9" t="str">
        <x:v>Goal already satisfied: 0→0</x:v>
      </x:c>
      <x:c r="K194" s="9"/>
      <x:c r="L194" s="9" t="str">
        <x:v>975</x:v>
      </x:c>
      <x:c r="M194" s="9" t="str">
        <x:v>Prompt/concept grounding only. Training does not contain a goal-already-satisfied no-movement trajectory.</x:v>
      </x:c>
      <x:c r="N194" s="9" t="n">
        <x:v>6</x:v>
      </x:c>
      <x:c r="O194" s="9" t="str">
        <x:v>Build the first no-movement scene in this family.</x:v>
      </x:c>
      <x:c r="P194" s="9" t="str">
        <x:v>Visible-object count varies across no-op families. Table objects are distractors where present; success requires leaving the satisfied scene unchanged.</x:v>
      </x:c>
      <x:c r="Q194" s="9"/>
      <x:c r="R194" s="10"/>
      <x:c r="S194" s="10"/>
      <x:c r="T194" s="9"/>
      <x:c r="U194" s="9"/>
      <x:c r="V194" s="9"/>
      <x:c r="W194" s="9" t="str">
        <x:v>NOOP-01</x:v>
      </x:c>
      <x:c r="X194" s="10" t="n">
        <x:v>0</x:v>
      </x:c>
      <x:c r="Y194" s="10" t="n">
        <x:v>0</x:v>
      </x:c>
      <x:c r="Z194" s="9" t="str">
        <x:v>NO-OP</x:v>
      </x:c>
      <x:c r="AA194" s="9"/>
      <x:c r="AB194" s="9"/>
      <x:c r="AC194" s="9"/>
      <x:c r="AD194" s="9"/>
      <x:c r="AE194" s="9"/>
      <x:c r="AF194" s="9"/>
      <x:c r="AG194" s="9"/>
      <x:c r="AH194" s="9"/>
      <x:c r="AI194" s="11"/>
      <x:c r="AJ194" s="9"/>
      <x:c r="AK194" s="9" t="str">
        <x:v>Eval_Counting.xlsm</x:v>
      </x:c>
      <x:c r="AL194" s="9" t="str">
        <x:v>GR00T vision only Results</x:v>
      </x:c>
      <x:c r="AM194" s="9" t="n">
        <x:v>44</x:v>
      </x:c>
      <x:c r="AN194" s="9" t="n">
        <x:v>44</x:v>
      </x:c>
    </x:row>
    <x:row r="195">
      <x:c r="A195" s="9" t="str">
        <x:v>Success</x:v>
      </x:c>
      <x:c r="B195" s="9" t="str">
        <x:v>Counting</x:v>
      </x:c>
      <x:c r="C195" s="10" t="n">
        <x:v>43</x:v>
      </x:c>
      <x:c r="D195" s="9" t="str">
        <x:v>Leave exactly one object in the bowl.</x:v>
      </x:c>
      <x:c r="E195" s="9" t="str">
        <x:v>Bowl objects: [blue pen] | Table objects: [none]</x:v>
      </x:c>
      <x:c r="F195" s="9" t="str">
        <x:v>NO-OP; preserve 1 object in the bowl and do not initiate a grasp</x:v>
      </x:c>
      <x:c r="G195" s="9"/>
      <x:c r="H195" s="9" t="str">
        <x:v>Goal already satisfied / no movement</x:v>
      </x:c>
      <x:c r="I195" s="9" t="str">
        <x:v>NOOP-01</x:v>
      </x:c>
      <x:c r="J195" s="9" t="str">
        <x:v>Goal already satisfied: 1→1</x:v>
      </x:c>
      <x:c r="K195" s="9"/>
      <x:c r="L195" s="9" t="str">
        <x:v>800</x:v>
      </x:c>
      <x:c r="M195" s="9" t="str">
        <x:v>Prompt/concept grounding only. Training does not contain a goal-already-satisfied no-movement trajectory.</x:v>
      </x:c>
      <x:c r="N195" s="9" t="n">
        <x:v>6</x:v>
      </x:c>
      <x:c r="O195" s="9" t="str">
        <x:v>Move only the minimum listed objects between bowl and table for the next count.</x:v>
      </x:c>
      <x:c r="P195" s="9" t="str">
        <x:v>Visible-object count varies across no-op families. Table objects are distractors where present; success requires leaving the satisfied scene unchanged.</x:v>
      </x:c>
      <x:c r="Q195" s="9"/>
      <x:c r="R195" s="10"/>
      <x:c r="S195" s="10"/>
      <x:c r="T195" s="9"/>
      <x:c r="U195" s="9"/>
      <x:c r="V195" s="9"/>
      <x:c r="W195" s="9" t="str">
        <x:v>NOOP-01</x:v>
      </x:c>
      <x:c r="X195" s="10" t="n">
        <x:v>1</x:v>
      </x:c>
      <x:c r="Y195" s="10" t="n">
        <x:v>1</x:v>
      </x:c>
      <x:c r="Z195" s="9" t="str">
        <x:v>NO-OP</x:v>
      </x:c>
      <x:c r="AA195" s="9"/>
      <x:c r="AB195" s="9"/>
      <x:c r="AC195" s="9"/>
      <x:c r="AD195" s="9"/>
      <x:c r="AE195" s="9"/>
      <x:c r="AF195" s="9"/>
      <x:c r="AG195" s="9"/>
      <x:c r="AH195" s="9"/>
      <x:c r="AI195" s="11"/>
      <x:c r="AJ195" s="9"/>
      <x:c r="AK195" s="9" t="str">
        <x:v>Eval_Counting.xlsm</x:v>
      </x:c>
      <x:c r="AL195" s="9" t="str">
        <x:v>GR00T vision only Results</x:v>
      </x:c>
      <x:c r="AM195" s="9" t="n">
        <x:v>45</x:v>
      </x:c>
      <x:c r="AN195" s="9" t="n">
        <x:v>45</x:v>
      </x:c>
    </x:row>
    <x:row r="196">
      <x:c r="A196" s="9" t="str">
        <x:v>Failure</x:v>
      </x:c>
      <x:c r="B196" s="9" t="str">
        <x:v>Counting</x:v>
      </x:c>
      <x:c r="C196" s="10" t="n">
        <x:v>44</x:v>
      </x:c>
      <x:c r="D196" s="9" t="str">
        <x:v>Leave exactly two objects in the bowl.</x:v>
      </x:c>
      <x:c r="E196" s="9" t="str">
        <x:v>Bowl objects: [blue pen, yellow block] | Table objects: [none]</x:v>
      </x:c>
      <x:c r="F196" s="9" t="str">
        <x:v>NO-OP; preserve 2 objects in the bowl and do not initiate a grasp</x:v>
      </x:c>
      <x:c r="G196" s="9" t="str">
        <x:v>tried to remove the yellow block</x:v>
      </x:c>
      <x:c r="H196" s="9" t="str">
        <x:v>Goal already satisfied / no movement</x:v>
      </x:c>
      <x:c r="I196" s="9" t="str">
        <x:v>NOOP-01</x:v>
      </x:c>
      <x:c r="J196" s="9" t="str">
        <x:v>Goal already satisfied: 2→2</x:v>
      </x:c>
      <x:c r="K196" s="9"/>
      <x:c r="L196" s="9" t="str">
        <x:v>861</x:v>
      </x:c>
      <x:c r="M196" s="9" t="str">
        <x:v>Prompt/concept grounding only. Training does not contain a goal-already-satisfied no-movement trajectory.</x:v>
      </x:c>
      <x:c r="N196" s="9" t="n">
        <x:v>6</x:v>
      </x:c>
      <x:c r="O196" s="9" t="str">
        <x:v>Move only the minimum listed objects between bowl and table for the next count.</x:v>
      </x:c>
      <x:c r="P196" s="9" t="str">
        <x:v>Visible-object count varies across no-op families. Table objects are distractors where present; success requires leaving the satisfied scene unchanged.</x:v>
      </x:c>
      <x:c r="Q196" s="9"/>
      <x:c r="R196" s="10"/>
      <x:c r="S196" s="10"/>
      <x:c r="T196" s="9"/>
      <x:c r="U196" s="9"/>
      <x:c r="V196" s="9"/>
      <x:c r="W196" s="9" t="str">
        <x:v>NOOP-01</x:v>
      </x:c>
      <x:c r="X196" s="10" t="n">
        <x:v>2</x:v>
      </x:c>
      <x:c r="Y196" s="10" t="n">
        <x:v>2</x:v>
      </x:c>
      <x:c r="Z196" s="9" t="str">
        <x:v>NO-OP</x:v>
      </x:c>
      <x:c r="AA196" s="9"/>
      <x:c r="AB196" s="9"/>
      <x:c r="AC196" s="9"/>
      <x:c r="AD196" s="9"/>
      <x:c r="AE196" s="9"/>
      <x:c r="AF196" s="9"/>
      <x:c r="AG196" s="9"/>
      <x:c r="AH196" s="9"/>
      <x:c r="AI196" s="11"/>
      <x:c r="AJ196" s="9"/>
      <x:c r="AK196" s="9" t="str">
        <x:v>Eval_Counting.xlsm</x:v>
      </x:c>
      <x:c r="AL196" s="9" t="str">
        <x:v>GR00T vision only Results</x:v>
      </x:c>
      <x:c r="AM196" s="9" t="n">
        <x:v>46</x:v>
      </x:c>
      <x:c r="AN196" s="9" t="n">
        <x:v>46</x:v>
      </x:c>
    </x:row>
    <x:row r="197">
      <x:c r="A197" s="9" t="str">
        <x:v>Failure</x:v>
      </x:c>
      <x:c r="B197" s="9" t="str">
        <x:v>Counting</x:v>
      </x:c>
      <x:c r="C197" s="10" t="n">
        <x:v>45</x:v>
      </x:c>
      <x:c r="D197" s="9" t="str">
        <x:v>Leave exactly three objects in the bowl.</x:v>
      </x:c>
      <x:c r="E197" s="9" t="str">
        <x:v>Bowl objects: [blue pen, yellow block, green pencil sharpener] | Table objects: [none]</x:v>
      </x:c>
      <x:c r="F197" s="9" t="str">
        <x:v>NO-OP; preserve 3 objects in the bowl and do not initiate a grasp</x:v>
      </x:c>
      <x:c r="G197" s="9" t="str">
        <x:v>went to the bowl</x:v>
      </x:c>
      <x:c r="H197" s="9" t="str">
        <x:v>Goal already satisfied / no movement</x:v>
      </x:c>
      <x:c r="I197" s="9" t="str">
        <x:v>NOOP-01</x:v>
      </x:c>
      <x:c r="J197" s="9" t="str">
        <x:v>Goal already satisfied: 3→3</x:v>
      </x:c>
      <x:c r="K197" s="9"/>
      <x:c r="L197" s="9" t="str">
        <x:v>843</x:v>
      </x:c>
      <x:c r="M197" s="9" t="str">
        <x:v>Prompt/concept grounding only. Training does not contain a goal-already-satisfied no-movement trajectory.</x:v>
      </x:c>
      <x:c r="N197" s="9" t="n">
        <x:v>6</x:v>
      </x:c>
      <x:c r="O197" s="9" t="str">
        <x:v>Move only the minimum listed objects between bowl and table for the next count.</x:v>
      </x:c>
      <x:c r="P197" s="9" t="str">
        <x:v>Visible-object count varies across no-op families. Table objects are distractors where present; success requires leaving the satisfied scene unchanged.</x:v>
      </x:c>
      <x:c r="Q197" s="9"/>
      <x:c r="R197" s="10"/>
      <x:c r="S197" s="10"/>
      <x:c r="T197" s="9"/>
      <x:c r="U197" s="9"/>
      <x:c r="V197" s="9"/>
      <x:c r="W197" s="9" t="str">
        <x:v>NOOP-01</x:v>
      </x:c>
      <x:c r="X197" s="10" t="n">
        <x:v>3</x:v>
      </x:c>
      <x:c r="Y197" s="10" t="n">
        <x:v>3</x:v>
      </x:c>
      <x:c r="Z197" s="9" t="str">
        <x:v>NO-OP</x:v>
      </x:c>
      <x:c r="AA197" s="9"/>
      <x:c r="AB197" s="9"/>
      <x:c r="AC197" s="9"/>
      <x:c r="AD197" s="9"/>
      <x:c r="AE197" s="9"/>
      <x:c r="AF197" s="9"/>
      <x:c r="AG197" s="9"/>
      <x:c r="AH197" s="9"/>
      <x:c r="AI197" s="11"/>
      <x:c r="AJ197" s="9"/>
      <x:c r="AK197" s="9" t="str">
        <x:v>Eval_Counting.xlsm</x:v>
      </x:c>
      <x:c r="AL197" s="9" t="str">
        <x:v>GR00T vision only Results</x:v>
      </x:c>
      <x:c r="AM197" s="9" t="n">
        <x:v>47</x:v>
      </x:c>
      <x:c r="AN197" s="9" t="n">
        <x:v>47</x:v>
      </x:c>
    </x:row>
    <x:row r="198">
      <x:c r="A198" s="9" t="str">
        <x:v>Failure</x:v>
      </x:c>
      <x:c r="B198" s="9" t="str">
        <x:v>Counting</x:v>
      </x:c>
      <x:c r="C198" s="10" t="n">
        <x:v>46</x:v>
      </x:c>
      <x:c r="D198" s="9" t="str">
        <x:v>Leave exactly three objects in the bowl.</x:v>
      </x:c>
      <x:c r="E198" s="9" t="str">
        <x:v>Bowl objects: [green pencil sharpener, airplane toy without propellers] | Table objects: [yellow block]</x:v>
      </x:c>
      <x:c r="F198" s="9" t="str">
        <x:v>ADD any one table object; finish with 3 objects in the bowl</x:v>
      </x:c>
      <x:c r="G198" s="9" t="str">
        <x:v>didn't move</x:v>
      </x:c>
      <x:c r="H198" s="9" t="str">
        <x:v>Concept/compositional transfer</x:v>
      </x:c>
      <x:c r="I198" s="9" t="str">
        <x:v>CT-CF06</x:v>
      </x:c>
      <x:c r="J198" s="9" t="str">
        <x:v>Primary: three via held-out 2→3 addition</x:v>
      </x:c>
      <x:c r="K198" s="9"/>
      <x:c r="L198" s="9" t="str">
        <x:v>866</x:v>
      </x:c>
      <x:c r="M198" s="9" t="str">
        <x:v>Representative direct-instruction trajectory for yellow block; the evaluated count × transition composition is intentionally absent.</x:v>
      </x:c>
      <x:c r="N198" s="9" t="n">
        <x:v>3</x:v>
      </x:c>
      <x:c r="O198" s="9" t="str">
        <x:v>Reset the exact count-2 scene; change only the prompt.</x:v>
      </x:c>
      <x:c r="P198" s="9" t="str">
        <x:v>The goal word three is trained, and this 2→3 trajectory is trained under a direct instruction, but the combination is withheld.</x:v>
      </x:c>
      <x:c r="Q198" s="9"/>
      <x:c r="R198" s="10"/>
      <x:c r="S198" s="10"/>
      <x:c r="T198" s="9"/>
      <x:c r="U198" s="9"/>
      <x:c r="V198" s="9"/>
      <x:c r="W198" s="9" t="str">
        <x:v>CT-CF06-ADD</x:v>
      </x:c>
      <x:c r="X198" s="10" t="n">
        <x:v>2</x:v>
      </x:c>
      <x:c r="Y198" s="10" t="n">
        <x:v>3</x:v>
      </x:c>
      <x:c r="Z198" s="9" t="str">
        <x:v>ADD</x:v>
      </x:c>
      <x:c r="AA198" s="9"/>
      <x:c r="AB198" s="9"/>
      <x:c r="AC198" s="9"/>
      <x:c r="AD198" s="9"/>
      <x:c r="AE198" s="9"/>
      <x:c r="AF198" s="9"/>
      <x:c r="AG198" s="9"/>
      <x:c r="AH198" s="9"/>
      <x:c r="AI198" s="11"/>
      <x:c r="AJ198" s="9"/>
      <x:c r="AK198" s="9" t="str">
        <x:v>Eval_Counting.xlsm</x:v>
      </x:c>
      <x:c r="AL198" s="9" t="str">
        <x:v>GR00T vision only Results</x:v>
      </x:c>
      <x:c r="AM198" s="9" t="n">
        <x:v>48</x:v>
      </x:c>
      <x:c r="AN198" s="9" t="n">
        <x:v>48</x:v>
      </x:c>
    </x:row>
    <x:row r="199">
      <x:c r="A199" s="9" t="str">
        <x:v>Success</x:v>
      </x:c>
      <x:c r="B199" s="9" t="str">
        <x:v>Counting</x:v>
      </x:c>
      <x:c r="C199" s="10" t="n">
        <x:v>47</x:v>
      </x:c>
      <x:c r="D199" s="9" t="str">
        <x:v>Move the yellow block into the bowl.</x:v>
      </x:c>
      <x:c r="E199" s="9" t="str">
        <x:v>Bowl objects: [green pencil sharpener, airplane toy without propellers] | Table objects: [yellow block]</x:v>
      </x:c>
      <x:c r="F199" s="9" t="str">
        <x:v>ADD yellow block</x:v>
      </x:c>
      <x:c r="G199" s="9"/>
      <x:c r="H199" s="9" t="str">
        <x:v>Matched manipulation control</x:v>
      </x:c>
      <x:c r="I199" s="9" t="str">
        <x:v>CT-CF06</x:v>
      </x:c>
      <x:c r="J199" s="9" t="str">
        <x:v>Matched direct ADD control</x:v>
      </x:c>
      <x:c r="K199" s="9" t="n">
        <x:v>46</x:v>
      </x:c>
      <x:c r="L199" s="9" t="str">
        <x:v>872</x:v>
      </x:c>
      <x:c r="M199" s="9" t="str">
        <x:v>Exact direct-prompt trajectory for the named object and action direction; evaluation layout is reset manually.</x:v>
      </x:c>
      <x:c r="N199" s="9" t="n">
        <x:v>3</x:v>
      </x:c>
      <x:c r="O199" s="9" t="str">
        <x:v>Reset the exact count-2 scene; change only the prompt.</x:v>
      </x:c>
      <x:c r="P199" s="9" t="str">
        <x:v>The direct prompt is present in Counting training for this same-task object and action direction.</x:v>
      </x:c>
      <x:c r="Q199" s="9"/>
      <x:c r="R199" s="10"/>
      <x:c r="S199" s="10"/>
      <x:c r="T199" s="9"/>
      <x:c r="U199" s="9"/>
      <x:c r="V199" s="9"/>
      <x:c r="W199" s="9" t="str">
        <x:v>CT-CF06-ADD</x:v>
      </x:c>
      <x:c r="X199" s="10" t="n">
        <x:v>2</x:v>
      </x:c>
      <x:c r="Y199" s="10" t="n">
        <x:v>3</x:v>
      </x:c>
      <x:c r="Z199" s="9" t="str">
        <x:v>ADD</x:v>
      </x:c>
      <x:c r="AA199" s="9"/>
      <x:c r="AB199" s="9"/>
      <x:c r="AC199" s="9"/>
      <x:c r="AD199" s="9"/>
      <x:c r="AE199" s="9"/>
      <x:c r="AF199" s="9"/>
      <x:c r="AG199" s="9"/>
      <x:c r="AH199" s="9"/>
      <x:c r="AI199" s="11"/>
      <x:c r="AJ199" s="9"/>
      <x:c r="AK199" s="9" t="str">
        <x:v>Eval_Counting.xlsm</x:v>
      </x:c>
      <x:c r="AL199" s="9" t="str">
        <x:v>GR00T vision only Results</x:v>
      </x:c>
      <x:c r="AM199" s="9" t="n">
        <x:v>49</x:v>
      </x:c>
      <x:c r="AN199" s="9" t="n">
        <x:v>49</x:v>
      </x:c>
    </x:row>
    <x:row r="200">
      <x:c r="A200" s="9" t="str">
        <x:v>Failure</x:v>
      </x:c>
      <x:c r="B200" s="9" t="str">
        <x:v>Counting</x:v>
      </x:c>
      <x:c r="C200" s="10" t="n">
        <x:v>48</x:v>
      </x:c>
      <x:c r="D200" s="9" t="str">
        <x:v>Move the airplane toy without propellers from the bowl to the table.</x:v>
      </x:c>
      <x:c r="E200" s="9" t="str">
        <x:v>Bowl objects: [green pencil sharpener, airplane toy without propellers] | Table objects: [yellow block]</x:v>
      </x:c>
      <x:c r="F200" s="9" t="str">
        <x:v>REMOVE airplane toy without propellers</x:v>
      </x:c>
      <x:c r="G200" s="9" t="str">
        <x:v>tried to get the airplane toy out of the bowl, but didn't </x:v>
      </x:c>
      <x:c r="H200" s="9" t="str">
        <x:v>Matched manipulation control</x:v>
      </x:c>
      <x:c r="I200" s="9" t="str">
        <x:v>CT-CF06</x:v>
      </x:c>
      <x:c r="J200" s="9" t="str">
        <x:v>Matched direct REMOVE control</x:v>
      </x:c>
      <x:c r="K200" s="9"/>
      <x:c r="L200" s="9" t="str">
        <x:v>985</x:v>
      </x:c>
      <x:c r="M200" s="9" t="str">
        <x:v>Exact direct-prompt trajectory for the named object and action direction; evaluation layout is reset manually.</x:v>
      </x:c>
      <x:c r="N200" s="9" t="n">
        <x:v>3</x:v>
      </x:c>
      <x:c r="O200" s="9" t="str">
        <x:v>Reset the exact count-2 scene; change only the prompt.</x:v>
      </x:c>
      <x:c r="P200" s="9" t="str">
        <x:v>The direct prompt is present in Counting training for this same-task object and action direction.</x:v>
      </x:c>
      <x:c r="Q200" s="9"/>
      <x:c r="R200" s="10"/>
      <x:c r="S200" s="10"/>
      <x:c r="T200" s="9"/>
      <x:c r="U200" s="9"/>
      <x:c r="V200" s="9"/>
      <x:c r="W200" s="9" t="str">
        <x:v>CT-CF06-REMOVE</x:v>
      </x:c>
      <x:c r="X200" s="10" t="n">
        <x:v>2</x:v>
      </x:c>
      <x:c r="Y200" s="10" t="n">
        <x:v>1</x:v>
      </x:c>
      <x:c r="Z200" s="9" t="str">
        <x:v>REMOVE</x:v>
      </x:c>
      <x:c r="AA200" s="9"/>
      <x:c r="AB200" s="9"/>
      <x:c r="AC200" s="9"/>
      <x:c r="AD200" s="9"/>
      <x:c r="AE200" s="9"/>
      <x:c r="AF200" s="9"/>
      <x:c r="AG200" s="9"/>
      <x:c r="AH200" s="9"/>
      <x:c r="AI200" s="11"/>
      <x:c r="AJ200" s="9"/>
      <x:c r="AK200" s="9" t="str">
        <x:v>Eval_Counting.xlsm</x:v>
      </x:c>
      <x:c r="AL200" s="9" t="str">
        <x:v>GR00T vision only Results</x:v>
      </x:c>
      <x:c r="AM200" s="9" t="n">
        <x:v>50</x:v>
      </x:c>
      <x:c r="AN200" s="9" t="n">
        <x:v>50</x:v>
      </x:c>
    </x:row>
    <x:row r="201">
      <x:c r="A201" s="9" t="str">
        <x:v>Failure</x:v>
      </x:c>
      <x:c r="B201" s="9" t="str">
        <x:v>Counting</x:v>
      </x:c>
      <x:c r="C201" s="10" t="n">
        <x:v>49</x:v>
      </x:c>
      <x:c r="D201" s="9" t="str">
        <x:v>Leave exactly one object in the bowl.</x:v>
      </x:c>
      <x:c r="E201" s="9" t="str">
        <x:v>Bowl objects: [green pencil sharpener, airplane toy without propellers] | Table objects: [yellow block]</x:v>
      </x:c>
      <x:c r="F201" s="9" t="str">
        <x:v>REMOVE any one bowl object; finish with 1 object in the bowl</x:v>
      </x:c>
      <x:c r="G201" s="9" t="str">
        <x:v>didn't move</x:v>
      </x:c>
      <x:c r="H201" s="9" t="str">
        <x:v>Concept/compositional transfer</x:v>
      </x:c>
      <x:c r="I201" s="9" t="str">
        <x:v>CT-CF06</x:v>
      </x:c>
      <x:c r="J201" s="9" t="str">
        <x:v>Primary: one via held-out 2→1 removal</x:v>
      </x:c>
      <x:c r="K201" s="9" t="n">
        <x:v>48</x:v>
      </x:c>
      <x:c r="L201" s="9" t="str">
        <x:v>981</x:v>
      </x:c>
      <x:c r="M201" s="9" t="str">
        <x:v>Representative direct-instruction trajectory for airplane toy without propellers; the evaluated count × transition composition is intentionally absent.</x:v>
      </x:c>
      <x:c r="N201" s="9" t="n">
        <x:v>3</x:v>
      </x:c>
      <x:c r="O201" s="9" t="str">
        <x:v>Build the listed count-2 scene.</x:v>
      </x:c>
      <x:c r="P201" s="9" t="str">
        <x:v>The goal word one is trained, and this 2→1 trajectory is trained under a direct instruction, but the combination is withheld.</x:v>
      </x:c>
      <x:c r="Q201" s="9"/>
      <x:c r="R201" s="10"/>
      <x:c r="S201" s="10"/>
      <x:c r="T201" s="9"/>
      <x:c r="U201" s="9"/>
      <x:c r="V201" s="9"/>
      <x:c r="W201" s="9" t="str">
        <x:v>CT-CF06-REMOVE</x:v>
      </x:c>
      <x:c r="X201" s="10" t="n">
        <x:v>2</x:v>
      </x:c>
      <x:c r="Y201" s="10" t="n">
        <x:v>1</x:v>
      </x:c>
      <x:c r="Z201" s="9" t="str">
        <x:v>REMOVE</x:v>
      </x:c>
      <x:c r="AA201" s="9"/>
      <x:c r="AB201" s="9"/>
      <x:c r="AC201" s="9"/>
      <x:c r="AD201" s="9"/>
      <x:c r="AE201" s="9"/>
      <x:c r="AF201" s="9"/>
      <x:c r="AG201" s="9"/>
      <x:c r="AH201" s="9"/>
      <x:c r="AI201" s="11"/>
      <x:c r="AJ201" s="9"/>
      <x:c r="AK201" s="9" t="str">
        <x:v>Eval_Counting.xlsm</x:v>
      </x:c>
      <x:c r="AL201" s="9" t="str">
        <x:v>GR00T vision only Results</x:v>
      </x:c>
      <x:c r="AM201" s="9" t="n">
        <x:v>51</x:v>
      </x:c>
      <x:c r="AN201" s="9" t="n">
        <x:v>51</x:v>
      </x:c>
    </x:row>
    <x:row r="202">
      <x:c r="A202" s="9" t="str">
        <x:v>Failure</x:v>
      </x:c>
      <x:c r="B202" s="9" t="str">
        <x:v>Counting</x:v>
      </x:c>
      <x:c r="C202" s="10" t="n">
        <x:v>50</x:v>
      </x:c>
      <x:c r="D202" s="9" t="str">
        <x:v>Leave exactly one object in the bowl.</x:v>
      </x:c>
      <x:c r="E202" s="9" t="str">
        <x:v>Bowl objects: [blue pen, airplane toy without propellers] | Table objects: [yellow block, green pencil sharpener]</x:v>
      </x:c>
      <x:c r="F202" s="9" t="str">
        <x:v>REMOVE any one bowl object; finish with 1 object in the bowl</x:v>
      </x:c>
      <x:c r="G202" s="9" t="str">
        <x:v>didn't move</x:v>
      </x:c>
      <x:c r="H202" s="9" t="str">
        <x:v>Concept/compositional transfer</x:v>
      </x:c>
      <x:c r="I202" s="9" t="str">
        <x:v>CT-CF15</x:v>
      </x:c>
      <x:c r="J202" s="9" t="str">
        <x:v>Primary: one via held-out 2→1 removal</x:v>
      </x:c>
      <x:c r="K202" s="9"/>
      <x:c r="L202" s="9" t="str">
        <x:v>831</x:v>
      </x:c>
      <x:c r="M202" s="9" t="str">
        <x:v>Representative direct-instruction trajectory for blue pen; the evaluated count × transition composition is intentionally absent.</x:v>
      </x:c>
      <x:c r="N202" s="9" t="n">
        <x:v>4</x:v>
      </x:c>
      <x:c r="O202" s="9" t="str">
        <x:v>Build the listed count-2 scene.</x:v>
      </x:c>
      <x:c r="P202" s="9" t="str">
        <x:v>The goal word one is trained, and this 2→1 trajectory is trained under a direct instruction, but the combination is withheld.</x:v>
      </x:c>
      <x:c r="Q202" s="9"/>
      <x:c r="R202" s="10"/>
      <x:c r="S202" s="10"/>
      <x:c r="T202" s="9"/>
      <x:c r="U202" s="9"/>
      <x:c r="V202" s="9"/>
      <x:c r="W202" s="9" t="str">
        <x:v>CT-CF15-REMOVE</x:v>
      </x:c>
      <x:c r="X202" s="10" t="n">
        <x:v>2</x:v>
      </x:c>
      <x:c r="Y202" s="10" t="n">
        <x:v>1</x:v>
      </x:c>
      <x:c r="Z202" s="9" t="str">
        <x:v>REMOVE</x:v>
      </x:c>
      <x:c r="AA202" s="9"/>
      <x:c r="AB202" s="9"/>
      <x:c r="AC202" s="9"/>
      <x:c r="AD202" s="9"/>
      <x:c r="AE202" s="9"/>
      <x:c r="AF202" s="9"/>
      <x:c r="AG202" s="9"/>
      <x:c r="AH202" s="9"/>
      <x:c r="AI202" s="11"/>
      <x:c r="AJ202" s="9"/>
      <x:c r="AK202" s="9" t="str">
        <x:v>Eval_Counting.xlsm</x:v>
      </x:c>
      <x:c r="AL202" s="9" t="str">
        <x:v>GR00T vision only Results</x:v>
      </x:c>
      <x:c r="AM202" s="9" t="n">
        <x:v>52</x:v>
      </x:c>
      <x:c r="AN202" s="9" t="n">
        <x:v>52</x:v>
      </x:c>
    </x:row>
    <x:row r="203">
      <x:c r="A203" s="9" t="str">
        <x:v>Failure</x:v>
      </x:c>
      <x:c r="B203" s="9" t="str">
        <x:v>Counting</x:v>
      </x:c>
      <x:c r="C203" s="10" t="n">
        <x:v>51</x:v>
      </x:c>
      <x:c r="D203" s="9" t="str">
        <x:v>Leave exactly three objects in the bowl.</x:v>
      </x:c>
      <x:c r="E203" s="9" t="str">
        <x:v>Bowl objects: [blue pen, airplane toy without propellers] | Table objects: [yellow block, green pencil sharpener]</x:v>
      </x:c>
      <x:c r="F203" s="9" t="str">
        <x:v>ADD any one table object; finish with 3 objects in the bowl</x:v>
      </x:c>
      <x:c r="G203" s="9" t="str">
        <x:v>didn't move</x:v>
      </x:c>
      <x:c r="H203" s="9" t="str">
        <x:v>Concept/compositional transfer</x:v>
      </x:c>
      <x:c r="I203" s="9" t="str">
        <x:v>CT-CF15</x:v>
      </x:c>
      <x:c r="J203" s="9" t="str">
        <x:v>Primary: three via held-out 2→3 addition</x:v>
      </x:c>
      <x:c r="K203" s="9" t="n">
        <x:v>50</x:v>
      </x:c>
      <x:c r="L203" s="9" t="str">
        <x:v>916</x:v>
      </x:c>
      <x:c r="M203" s="9" t="str">
        <x:v>Representative direct-instruction trajectory for green pencil sharpener; the evaluated count × transition composition is intentionally absent.</x:v>
      </x:c>
      <x:c r="N203" s="9" t="n">
        <x:v>4</x:v>
      </x:c>
      <x:c r="O203" s="9" t="str">
        <x:v>Reset the exact count-2 scene; change only the prompt.</x:v>
      </x:c>
      <x:c r="P203" s="9" t="str">
        <x:v>The goal word three is trained, and this 2→3 trajectory is trained under a direct instruction, but the combination is withheld.</x:v>
      </x:c>
      <x:c r="Q203" s="9"/>
      <x:c r="R203" s="10"/>
      <x:c r="S203" s="10"/>
      <x:c r="T203" s="9"/>
      <x:c r="U203" s="9"/>
      <x:c r="V203" s="9"/>
      <x:c r="W203" s="9" t="str">
        <x:v>CT-CF15-ADD</x:v>
      </x:c>
      <x:c r="X203" s="10" t="n">
        <x:v>2</x:v>
      </x:c>
      <x:c r="Y203" s="10" t="n">
        <x:v>3</x:v>
      </x:c>
      <x:c r="Z203" s="9" t="str">
        <x:v>ADD</x:v>
      </x:c>
      <x:c r="AA203" s="9"/>
      <x:c r="AB203" s="9"/>
      <x:c r="AC203" s="9"/>
      <x:c r="AD203" s="9"/>
      <x:c r="AE203" s="9"/>
      <x:c r="AF203" s="9"/>
      <x:c r="AG203" s="9"/>
      <x:c r="AH203" s="9"/>
      <x:c r="AI203" s="11"/>
      <x:c r="AJ203" s="9"/>
      <x:c r="AK203" s="9" t="str">
        <x:v>Eval_Counting.xlsm</x:v>
      </x:c>
      <x:c r="AL203" s="9" t="str">
        <x:v>GR00T vision only Results</x:v>
      </x:c>
      <x:c r="AM203" s="9" t="n">
        <x:v>53</x:v>
      </x:c>
      <x:c r="AN203" s="9" t="n">
        <x:v>53</x:v>
      </x:c>
    </x:row>
    <x:row r="204">
      <x:c r="A204" s="9" t="str">
        <x:v>Failure</x:v>
      </x:c>
      <x:c r="B204" s="9" t="str">
        <x:v>Counting</x:v>
      </x:c>
      <x:c r="C204" s="10" t="n">
        <x:v>52</x:v>
      </x:c>
      <x:c r="D204" s="9" t="str">
        <x:v>Leave exactly one object in the bowl.</x:v>
      </x:c>
      <x:c r="E204" s="9" t="str">
        <x:v>Bowl objects: [blue pen, yellow block] | Table objects: [green pencil sharpener, airplane toy without propellers]</x:v>
      </x:c>
      <x:c r="F204" s="9" t="str">
        <x:v>REMOVE any one bowl object; finish with 1 object in the bowl</x:v>
      </x:c>
      <x:c r="G204" s="9" t="str">
        <x:v>didn't move</x:v>
      </x:c>
      <x:c r="H204" s="9" t="str">
        <x:v>Concept/compositional transfer</x:v>
      </x:c>
      <x:c r="I204" s="9" t="str">
        <x:v>CT-CF13</x:v>
      </x:c>
      <x:c r="J204" s="9" t="str">
        <x:v>Primary: one via held-out 2→1 removal</x:v>
      </x:c>
      <x:c r="K204" s="9"/>
      <x:c r="L204" s="9" t="str">
        <x:v>831</x:v>
      </x:c>
      <x:c r="M204" s="9" t="str">
        <x:v>Representative direct-instruction trajectory for blue pen; the evaluated count × transition composition is intentionally absent.</x:v>
      </x:c>
      <x:c r="N204" s="9" t="n">
        <x:v>4</x:v>
      </x:c>
      <x:c r="O204" s="9" t="str">
        <x:v>Build the listed count-2 scene.</x:v>
      </x:c>
      <x:c r="P204" s="9" t="str">
        <x:v>The goal word one is trained, and this 2→1 trajectory is trained under a direct instruction, but the combination is withheld.</x:v>
      </x:c>
      <x:c r="Q204" s="9"/>
      <x:c r="R204" s="10"/>
      <x:c r="S204" s="10"/>
      <x:c r="T204" s="9"/>
      <x:c r="U204" s="9"/>
      <x:c r="V204" s="9"/>
      <x:c r="W204" s="9" t="str">
        <x:v>CT-CF13-REMOVE</x:v>
      </x:c>
      <x:c r="X204" s="10" t="n">
        <x:v>2</x:v>
      </x:c>
      <x:c r="Y204" s="10" t="n">
        <x:v>1</x:v>
      </x:c>
      <x:c r="Z204" s="9" t="str">
        <x:v>REMOVE</x:v>
      </x:c>
      <x:c r="AA204" s="9"/>
      <x:c r="AB204" s="9"/>
      <x:c r="AC204" s="9"/>
      <x:c r="AD204" s="9"/>
      <x:c r="AE204" s="9"/>
      <x:c r="AF204" s="9"/>
      <x:c r="AG204" s="9"/>
      <x:c r="AH204" s="9"/>
      <x:c r="AI204" s="11"/>
      <x:c r="AJ204" s="9"/>
      <x:c r="AK204" s="9" t="str">
        <x:v>Eval_Counting.xlsm</x:v>
      </x:c>
      <x:c r="AL204" s="9" t="str">
        <x:v>GR00T vision only Results</x:v>
      </x:c>
      <x:c r="AM204" s="9" t="n">
        <x:v>54</x:v>
      </x:c>
      <x:c r="AN204" s="9" t="n">
        <x:v>54</x:v>
      </x:c>
    </x:row>
    <x:row r="205">
      <x:c r="A205" s="9" t="str">
        <x:v>Failure</x:v>
      </x:c>
      <x:c r="B205" s="9" t="str">
        <x:v>Counting</x:v>
      </x:c>
      <x:c r="C205" s="10" t="n">
        <x:v>53</x:v>
      </x:c>
      <x:c r="D205" s="9" t="str">
        <x:v>Leave exactly three objects in the bowl.</x:v>
      </x:c>
      <x:c r="E205" s="9" t="str">
        <x:v>Bowl objects: [blue pen, yellow block] | Table objects: [green pencil sharpener, airplane toy without propellers]</x:v>
      </x:c>
      <x:c r="F205" s="9" t="str">
        <x:v>ADD any one table object; finish with 3 objects in the bowl</x:v>
      </x:c>
      <x:c r="G205" s="9" t="str">
        <x:v>didn't move</x:v>
      </x:c>
      <x:c r="H205" s="9" t="str">
        <x:v>Concept/compositional transfer</x:v>
      </x:c>
      <x:c r="I205" s="9" t="str">
        <x:v>CT-CF13</x:v>
      </x:c>
      <x:c r="J205" s="9" t="str">
        <x:v>Primary: three via held-out 2→3 addition</x:v>
      </x:c>
      <x:c r="K205" s="9" t="n">
        <x:v>52</x:v>
      </x:c>
      <x:c r="L205" s="9" t="str">
        <x:v>966</x:v>
      </x:c>
      <x:c r="M205" s="9" t="str">
        <x:v>Representative direct-instruction trajectory for airplane toy without propellers; the evaluated count × transition composition is intentionally absent.</x:v>
      </x:c>
      <x:c r="N205" s="9" t="n">
        <x:v>4</x:v>
      </x:c>
      <x:c r="O205" s="9" t="str">
        <x:v>Reset the exact count-2 scene; change only the prompt.</x:v>
      </x:c>
      <x:c r="P205" s="9" t="str">
        <x:v>The goal word three is trained, and this 2→3 trajectory is trained under a direct instruction, but the combination is withheld.</x:v>
      </x:c>
      <x:c r="Q205" s="9"/>
      <x:c r="R205" s="10"/>
      <x:c r="S205" s="10"/>
      <x:c r="T205" s="9"/>
      <x:c r="U205" s="9"/>
      <x:c r="V205" s="9"/>
      <x:c r="W205" s="9" t="str">
        <x:v>CT-CF13-ADD</x:v>
      </x:c>
      <x:c r="X205" s="10" t="n">
        <x:v>2</x:v>
      </x:c>
      <x:c r="Y205" s="10" t="n">
        <x:v>3</x:v>
      </x:c>
      <x:c r="Z205" s="9" t="str">
        <x:v>ADD</x:v>
      </x:c>
      <x:c r="AA205" s="9"/>
      <x:c r="AB205" s="9"/>
      <x:c r="AC205" s="9"/>
      <x:c r="AD205" s="9"/>
      <x:c r="AE205" s="9"/>
      <x:c r="AF205" s="9"/>
      <x:c r="AG205" s="9"/>
      <x:c r="AH205" s="9"/>
      <x:c r="AI205" s="11"/>
      <x:c r="AJ205" s="9"/>
      <x:c r="AK205" s="9" t="str">
        <x:v>Eval_Counting.xlsm</x:v>
      </x:c>
      <x:c r="AL205" s="9" t="str">
        <x:v>GR00T vision only Results</x:v>
      </x:c>
      <x:c r="AM205" s="9" t="n">
        <x:v>55</x:v>
      </x:c>
      <x:c r="AN205" s="9" t="n">
        <x:v>55</x:v>
      </x:c>
    </x:row>
    <x:row r="206">
      <x:c r="A206" s="9" t="str">
        <x:v>Success</x:v>
      </x:c>
      <x:c r="B206" s="9" t="str">
        <x:v>Counting</x:v>
      </x:c>
      <x:c r="C206" s="10" t="n">
        <x:v>54</x:v>
      </x:c>
      <x:c r="D206" s="9" t="str">
        <x:v>Make the bowl contain exactly zero objects.</x:v>
      </x:c>
      <x:c r="E206" s="9" t="str">
        <x:v>Bowl objects: [green highlighter] | Table objects: [blue pen]</x:v>
      </x:c>
      <x:c r="F206" s="9" t="str">
        <x:v>REMOVE green highlighter; finish with 0 objects in the bowl</x:v>
      </x:c>
      <x:c r="G206" s="9"/>
      <x:c r="H206" s="9" t="str">
        <x:v>Cross-task object reasoning</x:v>
      </x:c>
      <x:c r="I206" s="9" t="str">
        <x:v>XT-GH01</x:v>
      </x:c>
      <x:c r="J206" s="9" t="str">
        <x:v>Reasoning-only cross-task target: 1→0 removal</x:v>
      </x:c>
      <x:c r="K206" s="9"/>
      <x:c r="L206" s="9" t="str">
        <x:v>825; 708</x:v>
      </x:c>
      <x:c r="M206" s="9" t="str">
        <x:v>First episode grounds the Counting prompt/transition; episode 708 grounds direct green-highlighter manipulation. No exact green-highlighter Counting cell exists.</x:v>
      </x:c>
      <x:c r="N206" s="9" t="n">
        <x:v>5</x:v>
      </x:c>
      <x:c r="O206" s="9" t="str">
        <x:v>Build counterfactual cross-task scene A.</x:v>
      </x:c>
      <x:c r="P206" s="9" t="str">
        <x:v>The prompt never names the highlighter. The highlighter is the required object; the familiar Counting transition determines the action.</x:v>
      </x:c>
      <x:c r="Q206" s="9"/>
      <x:c r="R206" s="10"/>
      <x:c r="S206" s="10"/>
      <x:c r="T206" s="9"/>
      <x:c r="U206" s="9"/>
      <x:c r="V206" s="9"/>
      <x:c r="W206" s="9" t="str">
        <x:v>XT-GH01-A</x:v>
      </x:c>
      <x:c r="X206" s="10" t="n">
        <x:v>1</x:v>
      </x:c>
      <x:c r="Y206" s="10" t="n">
        <x:v>0</x:v>
      </x:c>
      <x:c r="Z206" s="9" t="str">
        <x:v>REMOVE</x:v>
      </x:c>
      <x:c r="AA206" s="9"/>
      <x:c r="AB206" s="9"/>
      <x:c r="AC206" s="9"/>
      <x:c r="AD206" s="9"/>
      <x:c r="AE206" s="9"/>
      <x:c r="AF206" s="9"/>
      <x:c r="AG206" s="9"/>
      <x:c r="AH206" s="9"/>
      <x:c r="AI206" s="11"/>
      <x:c r="AJ206" s="9"/>
      <x:c r="AK206" s="9" t="str">
        <x:v>Eval_Counting.xlsm</x:v>
      </x:c>
      <x:c r="AL206" s="9" t="str">
        <x:v>GR00T vision only Results</x:v>
      </x:c>
      <x:c r="AM206" s="9" t="n">
        <x:v>56</x:v>
      </x:c>
      <x:c r="AN206" s="9" t="n">
        <x:v>56</x:v>
      </x:c>
    </x:row>
    <x:row r="207">
      <x:c r="A207" s="9" t="str">
        <x:v>Failure</x:v>
      </x:c>
      <x:c r="B207" s="9" t="str">
        <x:v>Counting</x:v>
      </x:c>
      <x:c r="C207" s="10" t="n">
        <x:v>55</x:v>
      </x:c>
      <x:c r="D207" s="9" t="str">
        <x:v>Make the bowl contain exactly two objects.</x:v>
      </x:c>
      <x:c r="E207" s="9" t="str">
        <x:v>Bowl objects: [green highlighter] | Table objects: [blue pen]</x:v>
      </x:c>
      <x:c r="F207" s="9" t="str">
        <x:v>ADD blue pen; finish with 2 objects in the bowl</x:v>
      </x:c>
      <x:c r="G207" s="9" t="str">
        <x:v>didn't move</x:v>
      </x:c>
      <x:c r="H207" s="9" t="str">
        <x:v>Cross-task object reasoning</x:v>
      </x:c>
      <x:c r="I207" s="9" t="str">
        <x:v>XT-GH01</x:v>
      </x:c>
      <x:c r="J207" s="9" t="str">
        <x:v>Reasoning-only cross-task distractor: 1→2 addition</x:v>
      </x:c>
      <x:c r="K207" s="9" t="n">
        <x:v>54</x:v>
      </x:c>
      <x:c r="L207" s="9" t="str">
        <x:v>808; 708</x:v>
      </x:c>
      <x:c r="M207" s="9" t="str">
        <x:v>First episode grounds the Counting prompt/transition; episode 708 grounds direct green-highlighter manipulation. No exact green-highlighter Counting cell exists.</x:v>
      </x:c>
      <x:c r="N207" s="9" t="n">
        <x:v>5</x:v>
      </x:c>
      <x:c r="O207" s="9" t="str">
        <x:v>Reset the exact scene; change only the requested final count.</x:v>
      </x:c>
      <x:c r="P207" s="9" t="str">
        <x:v>The prompt never names the highlighter. The highlighter is a distractor; the familiar Counting transition determines the action.</x:v>
      </x:c>
      <x:c r="Q207" s="9"/>
      <x:c r="R207" s="10"/>
      <x:c r="S207" s="10"/>
      <x:c r="T207" s="9"/>
      <x:c r="U207" s="9"/>
      <x:c r="V207" s="9"/>
      <x:c r="W207" s="9" t="str">
        <x:v>XT-GH01-A</x:v>
      </x:c>
      <x:c r="X207" s="10" t="n">
        <x:v>1</x:v>
      </x:c>
      <x:c r="Y207" s="10" t="n">
        <x:v>2</x:v>
      </x:c>
      <x:c r="Z207" s="9" t="str">
        <x:v>ADD</x:v>
      </x:c>
      <x:c r="AA207" s="9"/>
      <x:c r="AB207" s="9"/>
      <x:c r="AC207" s="9"/>
      <x:c r="AD207" s="9"/>
      <x:c r="AE207" s="9"/>
      <x:c r="AF207" s="9"/>
      <x:c r="AG207" s="9"/>
      <x:c r="AH207" s="9"/>
      <x:c r="AI207" s="11"/>
      <x:c r="AJ207" s="9"/>
      <x:c r="AK207" s="9" t="str">
        <x:v>Eval_Counting.xlsm</x:v>
      </x:c>
      <x:c r="AL207" s="9" t="str">
        <x:v>GR00T vision only Results</x:v>
      </x:c>
      <x:c r="AM207" s="9" t="n">
        <x:v>57</x:v>
      </x:c>
      <x:c r="AN207" s="9" t="n">
        <x:v>57</x:v>
      </x:c>
    </x:row>
    <x:row r="208">
      <x:c r="A208" s="9" t="str">
        <x:v>Success</x:v>
      </x:c>
      <x:c r="B208" s="9" t="str">
        <x:v>Counting</x:v>
      </x:c>
      <x:c r="C208" s="10" t="n">
        <x:v>56</x:v>
      </x:c>
      <x:c r="D208" s="9" t="str">
        <x:v>Make the bowl contain exactly two objects.</x:v>
      </x:c>
      <x:c r="E208" s="9" t="str">
        <x:v>Bowl objects: [blue pen] | Table objects: [green highlighter]</x:v>
      </x:c>
      <x:c r="F208" s="9" t="str">
        <x:v>ADD green highlighter; finish with 2 objects in the bowl</x:v>
      </x:c>
      <x:c r="G208" s="9"/>
      <x:c r="H208" s="9" t="str">
        <x:v>Cross-task object reasoning</x:v>
      </x:c>
      <x:c r="I208" s="9" t="str">
        <x:v>XT-GH01</x:v>
      </x:c>
      <x:c r="J208" s="9" t="str">
        <x:v>Reasoning-only cross-task target: 1→2 addition</x:v>
      </x:c>
      <x:c r="K208" s="9"/>
      <x:c r="L208" s="9" t="str">
        <x:v>808; 708</x:v>
      </x:c>
      <x:c r="M208" s="9" t="str">
        <x:v>First episode grounds the Counting prompt/transition; episode 708 grounds direct green-highlighter manipulation. No exact green-highlighter Counting cell exists.</x:v>
      </x:c>
      <x:c r="N208" s="9" t="n">
        <x:v>5</x:v>
      </x:c>
      <x:c r="O208" s="9" t="str">
        <x:v>Build counterfactual cross-task scene B.</x:v>
      </x:c>
      <x:c r="P208" s="9" t="str">
        <x:v>The prompt never names the highlighter. The highlighter is the required object; the familiar Counting transition determines the action.</x:v>
      </x:c>
      <x:c r="Q208" s="9"/>
      <x:c r="R208" s="10"/>
      <x:c r="S208" s="10"/>
      <x:c r="T208" s="9"/>
      <x:c r="U208" s="9"/>
      <x:c r="V208" s="9"/>
      <x:c r="W208" s="9" t="str">
        <x:v>XT-GH01-B</x:v>
      </x:c>
      <x:c r="X208" s="10" t="n">
        <x:v>1</x:v>
      </x:c>
      <x:c r="Y208" s="10" t="n">
        <x:v>2</x:v>
      </x:c>
      <x:c r="Z208" s="9" t="str">
        <x:v>ADD</x:v>
      </x:c>
      <x:c r="AA208" s="9"/>
      <x:c r="AB208" s="9"/>
      <x:c r="AC208" s="9"/>
      <x:c r="AD208" s="9"/>
      <x:c r="AE208" s="9"/>
      <x:c r="AF208" s="9"/>
      <x:c r="AG208" s="9"/>
      <x:c r="AH208" s="9"/>
      <x:c r="AI208" s="11"/>
      <x:c r="AJ208" s="9"/>
      <x:c r="AK208" s="9" t="str">
        <x:v>Eval_Counting.xlsm</x:v>
      </x:c>
      <x:c r="AL208" s="9" t="str">
        <x:v>GR00T vision only Results</x:v>
      </x:c>
      <x:c r="AM208" s="9" t="n">
        <x:v>58</x:v>
      </x:c>
      <x:c r="AN208" s="9" t="n">
        <x:v>58</x:v>
      </x:c>
    </x:row>
    <x:row r="209">
      <x:c r="A209" s="9" t="str">
        <x:v>Failure</x:v>
      </x:c>
      <x:c r="B209" s="9" t="str">
        <x:v>Counting</x:v>
      </x:c>
      <x:c r="C209" s="10" t="n">
        <x:v>57</x:v>
      </x:c>
      <x:c r="D209" s="9" t="str">
        <x:v>Make the bowl contain exactly zero objects.</x:v>
      </x:c>
      <x:c r="E209" s="9" t="str">
        <x:v>Bowl objects: [blue pen] | Table objects: [green highlighter]</x:v>
      </x:c>
      <x:c r="F209" s="9" t="str">
        <x:v>REMOVE blue pen; finish with 0 objects in the bowl</x:v>
      </x:c>
      <x:c r="G209" s="9" t="str">
        <x:v>picked up the green highlighter and moved it closer to the bowl, but didn't put it in . Went back for green highlighter, but couldn't grab it</x:v>
      </x:c>
      <x:c r="H209" s="9" t="str">
        <x:v>Cross-task object reasoning</x:v>
      </x:c>
      <x:c r="I209" s="9" t="str">
        <x:v>XT-GH01</x:v>
      </x:c>
      <x:c r="J209" s="9" t="str">
        <x:v>Reasoning-only cross-task distractor: 1→0 removal</x:v>
      </x:c>
      <x:c r="K209" s="9" t="n">
        <x:v>56</x:v>
      </x:c>
      <x:c r="L209" s="9" t="str">
        <x:v>825; 708</x:v>
      </x:c>
      <x:c r="M209" s="9" t="str">
        <x:v>First episode grounds the Counting prompt/transition; episode 708 grounds direct green-highlighter manipulation. No exact green-highlighter Counting cell exists.</x:v>
      </x:c>
      <x:c r="N209" s="9" t="n">
        <x:v>5</x:v>
      </x:c>
      <x:c r="O209" s="9" t="str">
        <x:v>Reset the exact scene; change only the requested final count.</x:v>
      </x:c>
      <x:c r="P209" s="9" t="str">
        <x:v>The prompt never names the highlighter. The highlighter is a distractor; the familiar Counting transition determines the action.</x:v>
      </x:c>
      <x:c r="Q209" s="9"/>
      <x:c r="R209" s="10"/>
      <x:c r="S209" s="10"/>
      <x:c r="T209" s="9"/>
      <x:c r="U209" s="9"/>
      <x:c r="V209" s="9"/>
      <x:c r="W209" s="9" t="str">
        <x:v>XT-GH01-B</x:v>
      </x:c>
      <x:c r="X209" s="10" t="n">
        <x:v>1</x:v>
      </x:c>
      <x:c r="Y209" s="10" t="n">
        <x:v>0</x:v>
      </x:c>
      <x:c r="Z209" s="9" t="str">
        <x:v>REMOVE</x:v>
      </x:c>
      <x:c r="AA209" s="9"/>
      <x:c r="AB209" s="9"/>
      <x:c r="AC209" s="9"/>
      <x:c r="AD209" s="9"/>
      <x:c r="AE209" s="9"/>
      <x:c r="AF209" s="9"/>
      <x:c r="AG209" s="9"/>
      <x:c r="AH209" s="9"/>
      <x:c r="AI209" s="11"/>
      <x:c r="AJ209" s="9"/>
      <x:c r="AK209" s="9" t="str">
        <x:v>Eval_Counting.xlsm</x:v>
      </x:c>
      <x:c r="AL209" s="9" t="str">
        <x:v>GR00T vision only Results</x:v>
      </x:c>
      <x:c r="AM209" s="9" t="n">
        <x:v>59</x:v>
      </x:c>
      <x:c r="AN209" s="9" t="n">
        <x:v>59</x:v>
      </x:c>
    </x:row>
    <x:row r="210">
      <x:c r="A210" s="9" t="str">
        <x:v>Success</x:v>
      </x:c>
      <x:c r="B210" s="9" t="str">
        <x:v>Counting</x:v>
      </x:c>
      <x:c r="C210" s="10" t="n">
        <x:v>58</x:v>
      </x:c>
      <x:c r="D210" s="9" t="str">
        <x:v>Make the bowl contain exactly zero objects.</x:v>
      </x:c>
      <x:c r="E210" s="9" t="str">
        <x:v>Bowl objects: [green highlighter] | Table objects: [blue pen]</x:v>
      </x:c>
      <x:c r="F210" s="9" t="str">
        <x:v>REMOVE green highlighter; finish with 0 objects in the bowl</x:v>
      </x:c>
      <x:c r="G210" s="9"/>
      <x:c r="H210" s="9" t="str">
        <x:v>Cross-task object reasoning</x:v>
      </x:c>
      <x:c r="I210" s="9" t="str">
        <x:v>XT-GH05</x:v>
      </x:c>
      <x:c r="J210" s="9" t="str">
        <x:v>Reasoning-only cross-task target: 1→0 removal</x:v>
      </x:c>
      <x:c r="K210" s="9"/>
      <x:c r="L210" s="9" t="str">
        <x:v>825; 708</x:v>
      </x:c>
      <x:c r="M210" s="9" t="str">
        <x:v>First episode grounds the Counting prompt/transition; episode 708 grounds direct green-highlighter manipulation. No exact green-highlighter Counting cell exists.</x:v>
      </x:c>
      <x:c r="N210" s="9" t="n">
        <x:v>5</x:v>
      </x:c>
      <x:c r="O210" s="9" t="str">
        <x:v>Build counterfactual cross-task scene A.</x:v>
      </x:c>
      <x:c r="P210" s="9" t="str">
        <x:v>The prompt never names the highlighter. The highlighter is the required object; the familiar Counting transition determines the action.</x:v>
      </x:c>
      <x:c r="Q210" s="9"/>
      <x:c r="R210" s="10"/>
      <x:c r="S210" s="10"/>
      <x:c r="T210" s="9"/>
      <x:c r="U210" s="9"/>
      <x:c r="V210" s="9"/>
      <x:c r="W210" s="9" t="str">
        <x:v>XT-GH05-A</x:v>
      </x:c>
      <x:c r="X210" s="10" t="n">
        <x:v>1</x:v>
      </x:c>
      <x:c r="Y210" s="10" t="n">
        <x:v>0</x:v>
      </x:c>
      <x:c r="Z210" s="9" t="str">
        <x:v>REMOVE</x:v>
      </x:c>
      <x:c r="AA210" s="9"/>
      <x:c r="AB210" s="9"/>
      <x:c r="AC210" s="9"/>
      <x:c r="AD210" s="9"/>
      <x:c r="AE210" s="9"/>
      <x:c r="AF210" s="9"/>
      <x:c r="AG210" s="9"/>
      <x:c r="AH210" s="9"/>
      <x:c r="AI210" s="11"/>
      <x:c r="AJ210" s="9"/>
      <x:c r="AK210" s="9" t="str">
        <x:v>Eval_Counting.xlsm</x:v>
      </x:c>
      <x:c r="AL210" s="9" t="str">
        <x:v>GR00T vision only Results</x:v>
      </x:c>
      <x:c r="AM210" s="9" t="n">
        <x:v>60</x:v>
      </x:c>
      <x:c r="AN210" s="9" t="n">
        <x:v>60</x:v>
      </x:c>
    </x:row>
    <x:row r="211">
      <x:c r="A211" s="9" t="str">
        <x:v>Failure</x:v>
      </x:c>
      <x:c r="B211" s="9" t="str">
        <x:v>Counting</x:v>
      </x:c>
      <x:c r="C211" s="10" t="n">
        <x:v>59</x:v>
      </x:c>
      <x:c r="D211" s="9" t="str">
        <x:v>Make the bowl contain exactly two objects.</x:v>
      </x:c>
      <x:c r="E211" s="9" t="str">
        <x:v>Bowl objects: [green highlighter] | Table objects: [blue pen]</x:v>
      </x:c>
      <x:c r="F211" s="9" t="str">
        <x:v>ADD blue pen; finish with 2 objects in the bowl</x:v>
      </x:c>
      <x:c r="G211" s="9" t="str">
        <x:v>didn't move</x:v>
      </x:c>
      <x:c r="H211" s="9" t="str">
        <x:v>Cross-task object reasoning</x:v>
      </x:c>
      <x:c r="I211" s="9" t="str">
        <x:v>XT-GH05</x:v>
      </x:c>
      <x:c r="J211" s="9" t="str">
        <x:v>Reasoning-only cross-task distractor: 1→2 addition</x:v>
      </x:c>
      <x:c r="K211" s="9" t="n">
        <x:v>58</x:v>
      </x:c>
      <x:c r="L211" s="9" t="str">
        <x:v>808; 708</x:v>
      </x:c>
      <x:c r="M211" s="9" t="str">
        <x:v>First episode grounds the Counting prompt/transition; episode 708 grounds direct green-highlighter manipulation. No exact green-highlighter Counting cell exists.</x:v>
      </x:c>
      <x:c r="N211" s="9" t="n">
        <x:v>5</x:v>
      </x:c>
      <x:c r="O211" s="9" t="str">
        <x:v>Reset the exact scene; change only the requested final count.</x:v>
      </x:c>
      <x:c r="P211" s="9" t="str">
        <x:v>The prompt never names the highlighter. The highlighter is a distractor; the familiar Counting transition determines the action.</x:v>
      </x:c>
      <x:c r="Q211" s="9"/>
      <x:c r="R211" s="10"/>
      <x:c r="S211" s="10"/>
      <x:c r="T211" s="9"/>
      <x:c r="U211" s="9"/>
      <x:c r="V211" s="9"/>
      <x:c r="W211" s="9" t="str">
        <x:v>XT-GH05-A</x:v>
      </x:c>
      <x:c r="X211" s="10" t="n">
        <x:v>1</x:v>
      </x:c>
      <x:c r="Y211" s="10" t="n">
        <x:v>2</x:v>
      </x:c>
      <x:c r="Z211" s="9" t="str">
        <x:v>ADD</x:v>
      </x:c>
      <x:c r="AA211" s="9"/>
      <x:c r="AB211" s="9"/>
      <x:c r="AC211" s="9"/>
      <x:c r="AD211" s="9"/>
      <x:c r="AE211" s="9"/>
      <x:c r="AF211" s="9"/>
      <x:c r="AG211" s="9"/>
      <x:c r="AH211" s="9"/>
      <x:c r="AI211" s="11"/>
      <x:c r="AJ211" s="9"/>
      <x:c r="AK211" s="9" t="str">
        <x:v>Eval_Counting.xlsm</x:v>
      </x:c>
      <x:c r="AL211" s="9" t="str">
        <x:v>GR00T vision only Results</x:v>
      </x:c>
      <x:c r="AM211" s="9" t="n">
        <x:v>61</x:v>
      </x:c>
      <x:c r="AN211" s="9" t="n">
        <x:v>61</x:v>
      </x:c>
    </x:row>
    <x:row r="212">
      <x:c r="A212" s="9" t="str">
        <x:v>Success</x:v>
      </x:c>
      <x:c r="B212" s="9" t="str">
        <x:v>Counting</x:v>
      </x:c>
      <x:c r="C212" s="10" t="n">
        <x:v>60</x:v>
      </x:c>
      <x:c r="D212" s="9" t="str">
        <x:v>Make the bowl contain exactly two objects.</x:v>
      </x:c>
      <x:c r="E212" s="9" t="str">
        <x:v>Bowl objects: [blue pen] | Table objects: [green highlighter]</x:v>
      </x:c>
      <x:c r="F212" s="9" t="str">
        <x:v>ADD green highlighter; finish with 2 objects in the bowl</x:v>
      </x:c>
      <x:c r="G212" s="9"/>
      <x:c r="H212" s="9" t="str">
        <x:v>Cross-task object reasoning</x:v>
      </x:c>
      <x:c r="I212" s="9" t="str">
        <x:v>XT-GH05</x:v>
      </x:c>
      <x:c r="J212" s="9" t="str">
        <x:v>Reasoning-only cross-task target: 1→2 addition</x:v>
      </x:c>
      <x:c r="K212" s="9"/>
      <x:c r="L212" s="9" t="str">
        <x:v>808; 708</x:v>
      </x:c>
      <x:c r="M212" s="9" t="str">
        <x:v>First episode grounds the Counting prompt/transition; episode 708 grounds direct green-highlighter manipulation. No exact green-highlighter Counting cell exists.</x:v>
      </x:c>
      <x:c r="N212" s="9" t="n">
        <x:v>5</x:v>
      </x:c>
      <x:c r="O212" s="9" t="str">
        <x:v>Build counterfactual cross-task scene B.</x:v>
      </x:c>
      <x:c r="P212" s="9" t="str">
        <x:v>The prompt never names the highlighter. The highlighter is the required object; the familiar Counting transition determines the action.</x:v>
      </x:c>
      <x:c r="Q212" s="9"/>
      <x:c r="R212" s="10"/>
      <x:c r="S212" s="10"/>
      <x:c r="T212" s="9"/>
      <x:c r="U212" s="9"/>
      <x:c r="V212" s="9"/>
      <x:c r="W212" s="9" t="str">
        <x:v>XT-GH05-B</x:v>
      </x:c>
      <x:c r="X212" s="10" t="n">
        <x:v>1</x:v>
      </x:c>
      <x:c r="Y212" s="10" t="n">
        <x:v>2</x:v>
      </x:c>
      <x:c r="Z212" s="9" t="str">
        <x:v>ADD</x:v>
      </x:c>
      <x:c r="AA212" s="9"/>
      <x:c r="AB212" s="9"/>
      <x:c r="AC212" s="9"/>
      <x:c r="AD212" s="9"/>
      <x:c r="AE212" s="9"/>
      <x:c r="AF212" s="9"/>
      <x:c r="AG212" s="9"/>
      <x:c r="AH212" s="9"/>
      <x:c r="AI212" s="11"/>
      <x:c r="AJ212" s="9"/>
      <x:c r="AK212" s="9" t="str">
        <x:v>Eval_Counting.xlsm</x:v>
      </x:c>
      <x:c r="AL212" s="9" t="str">
        <x:v>GR00T vision only Results</x:v>
      </x:c>
      <x:c r="AM212" s="9" t="n">
        <x:v>62</x:v>
      </x:c>
      <x:c r="AN212" s="9" t="n">
        <x:v>62</x:v>
      </x:c>
    </x:row>
    <x:row r="213">
      <x:c r="A213" s="9" t="str">
        <x:v>Success</x:v>
      </x:c>
      <x:c r="B213" s="9" t="str">
        <x:v>Counting</x:v>
      </x:c>
      <x:c r="C213" s="10" t="n">
        <x:v>61</x:v>
      </x:c>
      <x:c r="D213" s="9" t="str">
        <x:v>Make the bowl contain exactly zero objects.</x:v>
      </x:c>
      <x:c r="E213" s="9" t="str">
        <x:v>Bowl objects: [blue pen] | Table objects: [green highlighter]</x:v>
      </x:c>
      <x:c r="F213" s="9" t="str">
        <x:v>REMOVE blue pen; finish with 0 objects in the bowl</x:v>
      </x:c>
      <x:c r="G213" s="9"/>
      <x:c r="H213" s="9" t="str">
        <x:v>Cross-task object reasoning</x:v>
      </x:c>
      <x:c r="I213" s="9" t="str">
        <x:v>XT-GH05</x:v>
      </x:c>
      <x:c r="J213" s="9" t="str">
        <x:v>Reasoning-only cross-task distractor: 1→0 removal</x:v>
      </x:c>
      <x:c r="K213" s="9" t="n">
        <x:v>60</x:v>
      </x:c>
      <x:c r="L213" s="9" t="str">
        <x:v>825; 708</x:v>
      </x:c>
      <x:c r="M213" s="9" t="str">
        <x:v>First episode grounds the Counting prompt/transition; episode 708 grounds direct green-highlighter manipulation. No exact green-highlighter Counting cell exists.</x:v>
      </x:c>
      <x:c r="N213" s="9" t="n">
        <x:v>5</x:v>
      </x:c>
      <x:c r="O213" s="9" t="str">
        <x:v>Reset the exact scene; change only the requested final count.</x:v>
      </x:c>
      <x:c r="P213" s="9" t="str">
        <x:v>The prompt never names the highlighter. The highlighter is a distractor; the familiar Counting transition determines the action.</x:v>
      </x:c>
      <x:c r="Q213" s="9"/>
      <x:c r="R213" s="10"/>
      <x:c r="S213" s="10"/>
      <x:c r="T213" s="9"/>
      <x:c r="U213" s="9"/>
      <x:c r="V213" s="9"/>
      <x:c r="W213" s="9" t="str">
        <x:v>XT-GH05-B</x:v>
      </x:c>
      <x:c r="X213" s="10" t="n">
        <x:v>1</x:v>
      </x:c>
      <x:c r="Y213" s="10" t="n">
        <x:v>0</x:v>
      </x:c>
      <x:c r="Z213" s="9" t="str">
        <x:v>REMOVE</x:v>
      </x:c>
      <x:c r="AA213" s="9"/>
      <x:c r="AB213" s="9"/>
      <x:c r="AC213" s="9"/>
      <x:c r="AD213" s="9"/>
      <x:c r="AE213" s="9"/>
      <x:c r="AF213" s="9"/>
      <x:c r="AG213" s="9"/>
      <x:c r="AH213" s="9"/>
      <x:c r="AI213" s="11"/>
      <x:c r="AJ213" s="9"/>
      <x:c r="AK213" s="9" t="str">
        <x:v>Eval_Counting.xlsm</x:v>
      </x:c>
      <x:c r="AL213" s="9" t="str">
        <x:v>GR00T vision only Results</x:v>
      </x:c>
      <x:c r="AM213" s="9" t="n">
        <x:v>63</x:v>
      </x:c>
      <x:c r="AN213" s="9" t="n">
        <x:v>63</x:v>
      </x:c>
    </x:row>
    <x:row r="214">
      <x:c r="A214" s="9" t="str">
        <x:v>Failure</x:v>
      </x:c>
      <x:c r="B214" s="9" t="str">
        <x:v>Counting</x:v>
      </x:c>
      <x:c r="C214" s="10" t="n">
        <x:v>62</x:v>
      </x:c>
      <x:c r="D214" s="9" t="str">
        <x:v>Leave exactly one object in the bowl.</x:v>
      </x:c>
      <x:c r="E214" s="9" t="str">
        <x:v>Bowl objects: [blue pen, yellow block] | Table objects: [green pencil sharpener, airplane toy without propellers]</x:v>
      </x:c>
      <x:c r="F214" s="9" t="str">
        <x:v>REMOVE any one bowl object; finish with 1 object in the bowl</x:v>
      </x:c>
      <x:c r="G214" s="9" t="str">
        <x:v>didn't move</x:v>
      </x:c>
      <x:c r="H214" s="9" t="str">
        <x:v>Concept/compositional transfer</x:v>
      </x:c>
      <x:c r="I214" s="9" t="str">
        <x:v>CT-CF25</x:v>
      </x:c>
      <x:c r="J214" s="9" t="str">
        <x:v>Primary: one via held-out 2→1 removal</x:v>
      </x:c>
      <x:c r="K214" s="9"/>
      <x:c r="L214" s="9" t="str">
        <x:v>831</x:v>
      </x:c>
      <x:c r="M214" s="9" t="str">
        <x:v>Representative direct-instruction trajectory for blue pen; the evaluated count × transition composition is intentionally absent.</x:v>
      </x:c>
      <x:c r="N214" s="9" t="n">
        <x:v>4</x:v>
      </x:c>
      <x:c r="O214" s="9" t="str">
        <x:v>Build the listed count-2 scene.</x:v>
      </x:c>
      <x:c r="P214" s="9" t="str">
        <x:v>The goal word one is trained, and this 2→1 trajectory is trained under a direct instruction, but the combination is withheld.</x:v>
      </x:c>
      <x:c r="Q214" s="9"/>
      <x:c r="R214" s="10"/>
      <x:c r="S214" s="10"/>
      <x:c r="T214" s="9"/>
      <x:c r="U214" s="9"/>
      <x:c r="V214" s="9"/>
      <x:c r="W214" s="9" t="str">
        <x:v>CT-CF25-REMOVE</x:v>
      </x:c>
      <x:c r="X214" s="10" t="n">
        <x:v>2</x:v>
      </x:c>
      <x:c r="Y214" s="10" t="n">
        <x:v>1</x:v>
      </x:c>
      <x:c r="Z214" s="9" t="str">
        <x:v>REMOVE</x:v>
      </x:c>
      <x:c r="AA214" s="9"/>
      <x:c r="AB214" s="9"/>
      <x:c r="AC214" s="9"/>
      <x:c r="AD214" s="9"/>
      <x:c r="AE214" s="9"/>
      <x:c r="AF214" s="9"/>
      <x:c r="AG214" s="9"/>
      <x:c r="AH214" s="9"/>
      <x:c r="AI214" s="11"/>
      <x:c r="AJ214" s="9"/>
      <x:c r="AK214" s="9" t="str">
        <x:v>Eval_Counting.xlsm</x:v>
      </x:c>
      <x:c r="AL214" s="9" t="str">
        <x:v>GR00T vision only Results</x:v>
      </x:c>
      <x:c r="AM214" s="9" t="n">
        <x:v>64</x:v>
      </x:c>
      <x:c r="AN214" s="9" t="n">
        <x:v>64</x:v>
      </x:c>
    </x:row>
    <x:row r="215">
      <x:c r="A215" s="9" t="str">
        <x:v>Failure</x:v>
      </x:c>
      <x:c r="B215" s="9" t="str">
        <x:v>Counting</x:v>
      </x:c>
      <x:c r="C215" s="10" t="n">
        <x:v>63</x:v>
      </x:c>
      <x:c r="D215" s="9" t="str">
        <x:v>Leave exactly three objects in the bowl.</x:v>
      </x:c>
      <x:c r="E215" s="9" t="str">
        <x:v>Bowl objects: [blue pen, yellow block] | Table objects: [green pencil sharpener, airplane toy without propellers]</x:v>
      </x:c>
      <x:c r="F215" s="9" t="str">
        <x:v>ADD any one table object; finish with 3 objects in the bowl</x:v>
      </x:c>
      <x:c r="G215" s="9" t="str">
        <x:v>didn't move</x:v>
      </x:c>
      <x:c r="H215" s="9" t="str">
        <x:v>Concept/compositional transfer</x:v>
      </x:c>
      <x:c r="I215" s="9" t="str">
        <x:v>CT-CF25</x:v>
      </x:c>
      <x:c r="J215" s="9" t="str">
        <x:v>Primary: three via held-out 2→3 addition</x:v>
      </x:c>
      <x:c r="K215" s="9" t="n">
        <x:v>62</x:v>
      </x:c>
      <x:c r="L215" s="9" t="str">
        <x:v>966</x:v>
      </x:c>
      <x:c r="M215" s="9" t="str">
        <x:v>Representative direct-instruction trajectory for airplane toy without propellers; the evaluated count × transition composition is intentionally absent.</x:v>
      </x:c>
      <x:c r="N215" s="9" t="n">
        <x:v>4</x:v>
      </x:c>
      <x:c r="O215" s="9" t="str">
        <x:v>Reset the exact count-2 scene; change only the prompt.</x:v>
      </x:c>
      <x:c r="P215" s="9" t="str">
        <x:v>The goal word three is trained, and this 2→3 trajectory is trained under a direct instruction, but the combination is withheld.</x:v>
      </x:c>
      <x:c r="Q215" s="9"/>
      <x:c r="R215" s="10"/>
      <x:c r="S215" s="10"/>
      <x:c r="T215" s="9"/>
      <x:c r="U215" s="9"/>
      <x:c r="V215" s="9"/>
      <x:c r="W215" s="9" t="str">
        <x:v>CT-CF25-ADD</x:v>
      </x:c>
      <x:c r="X215" s="10" t="n">
        <x:v>2</x:v>
      </x:c>
      <x:c r="Y215" s="10" t="n">
        <x:v>3</x:v>
      </x:c>
      <x:c r="Z215" s="9" t="str">
        <x:v>ADD</x:v>
      </x:c>
      <x:c r="AA215" s="9"/>
      <x:c r="AB215" s="9"/>
      <x:c r="AC215" s="9"/>
      <x:c r="AD215" s="9"/>
      <x:c r="AE215" s="9"/>
      <x:c r="AF215" s="9"/>
      <x:c r="AG215" s="9"/>
      <x:c r="AH215" s="9"/>
      <x:c r="AI215" s="11"/>
      <x:c r="AJ215" s="9"/>
      <x:c r="AK215" s="9" t="str">
        <x:v>Eval_Counting.xlsm</x:v>
      </x:c>
      <x:c r="AL215" s="9" t="str">
        <x:v>GR00T vision only Results</x:v>
      </x:c>
      <x:c r="AM215" s="9" t="n">
        <x:v>65</x:v>
      </x:c>
      <x:c r="AN215" s="9" t="n">
        <x:v>65</x:v>
      </x:c>
    </x:row>
    <x:row r="216">
      <x:c r="A216" s="9" t="str">
        <x:v>Failure</x:v>
      </x:c>
      <x:c r="B216" s="9" t="str">
        <x:v>Counting</x:v>
      </x:c>
      <x:c r="C216" s="10" t="n">
        <x:v>64</x:v>
      </x:c>
      <x:c r="D216" s="9" t="str">
        <x:v>Leave exactly three objects in the bowl.</x:v>
      </x:c>
      <x:c r="E216" s="9" t="str">
        <x:v>Bowl objects: [blue pen, green pencil sharpener] | Table objects: [yellow block, airplane toy without propellers]</x:v>
      </x:c>
      <x:c r="F216" s="9" t="str">
        <x:v>ADD any one table object; finish with 3 objects in the bowl</x:v>
      </x:c>
      <x:c r="G216" s="9" t="str">
        <x:v>didn't move</x:v>
      </x:c>
      <x:c r="H216" s="9" t="str">
        <x:v>Concept/compositional transfer</x:v>
      </x:c>
      <x:c r="I216" s="9" t="str">
        <x:v>CT-CF14</x:v>
      </x:c>
      <x:c r="J216" s="9" t="str">
        <x:v>Primary: three via held-out 2→3 addition</x:v>
      </x:c>
      <x:c r="K216" s="9"/>
      <x:c r="L216" s="9" t="str">
        <x:v>866</x:v>
      </x:c>
      <x:c r="M216" s="9" t="str">
        <x:v>Representative direct-instruction trajectory for yellow block; the evaluated count × transition composition is intentionally absent.</x:v>
      </x:c>
      <x:c r="N216" s="9" t="n">
        <x:v>4</x:v>
      </x:c>
      <x:c r="O216" s="9" t="str">
        <x:v>Reset the exact count-2 scene; change only the prompt.</x:v>
      </x:c>
      <x:c r="P216" s="9" t="str">
        <x:v>The goal word three is trained, and this 2→3 trajectory is trained under a direct instruction, but the combination is withheld.</x:v>
      </x:c>
      <x:c r="Q216" s="9"/>
      <x:c r="R216" s="10"/>
      <x:c r="S216" s="10"/>
      <x:c r="T216" s="9"/>
      <x:c r="U216" s="9"/>
      <x:c r="V216" s="9"/>
      <x:c r="W216" s="9" t="str">
        <x:v>CT-CF14-ADD</x:v>
      </x:c>
      <x:c r="X216" s="10" t="n">
        <x:v>2</x:v>
      </x:c>
      <x:c r="Y216" s="10" t="n">
        <x:v>3</x:v>
      </x:c>
      <x:c r="Z216" s="9" t="str">
        <x:v>ADD</x:v>
      </x:c>
      <x:c r="AA216" s="9"/>
      <x:c r="AB216" s="9"/>
      <x:c r="AC216" s="9"/>
      <x:c r="AD216" s="9"/>
      <x:c r="AE216" s="9"/>
      <x:c r="AF216" s="9"/>
      <x:c r="AG216" s="9"/>
      <x:c r="AH216" s="9"/>
      <x:c r="AI216" s="11"/>
      <x:c r="AJ216" s="9"/>
      <x:c r="AK216" s="9" t="str">
        <x:v>Eval_Counting.xlsm</x:v>
      </x:c>
      <x:c r="AL216" s="9" t="str">
        <x:v>GR00T vision only Results</x:v>
      </x:c>
      <x:c r="AM216" s="9" t="n">
        <x:v>66</x:v>
      </x:c>
      <x:c r="AN216" s="9" t="n">
        <x:v>66</x:v>
      </x:c>
    </x:row>
    <x:row r="217">
      <x:c r="A217" s="9" t="str">
        <x:v>Failure</x:v>
      </x:c>
      <x:c r="B217" s="9" t="str">
        <x:v>Counting</x:v>
      </x:c>
      <x:c r="C217" s="10" t="n">
        <x:v>65</x:v>
      </x:c>
      <x:c r="D217" s="9" t="str">
        <x:v>Leave exactly one object in the bowl.</x:v>
      </x:c>
      <x:c r="E217" s="9" t="str">
        <x:v>Bowl objects: [blue pen, green pencil sharpener] | Table objects: [yellow block, airplane toy without propellers]</x:v>
      </x:c>
      <x:c r="F217" s="9" t="str">
        <x:v>REMOVE any one bowl object; finish with 1 object in the bowl</x:v>
      </x:c>
      <x:c r="G217" s="9" t="str">
        <x:v>didn't move</x:v>
      </x:c>
      <x:c r="H217" s="9" t="str">
        <x:v>Concept/compositional transfer</x:v>
      </x:c>
      <x:c r="I217" s="9" t="str">
        <x:v>CT-CF14</x:v>
      </x:c>
      <x:c r="J217" s="9" t="str">
        <x:v>Primary: one via held-out 2→1 removal</x:v>
      </x:c>
      <x:c r="K217" s="9" t="n">
        <x:v>64</x:v>
      </x:c>
      <x:c r="L217" s="9" t="str">
        <x:v>931</x:v>
      </x:c>
      <x:c r="M217" s="9" t="str">
        <x:v>Representative direct-instruction trajectory for green pencil sharpener; the evaluated count × transition composition is intentionally absent.</x:v>
      </x:c>
      <x:c r="N217" s="9" t="n">
        <x:v>4</x:v>
      </x:c>
      <x:c r="O217" s="9" t="str">
        <x:v>Build the listed count-2 scene.</x:v>
      </x:c>
      <x:c r="P217" s="9" t="str">
        <x:v>The goal word one is trained, and this 2→1 trajectory is trained under a direct instruction, but the combination is withheld.</x:v>
      </x:c>
      <x:c r="Q217" s="9"/>
      <x:c r="R217" s="10"/>
      <x:c r="S217" s="10"/>
      <x:c r="T217" s="9"/>
      <x:c r="U217" s="9"/>
      <x:c r="V217" s="9"/>
      <x:c r="W217" s="9" t="str">
        <x:v>CT-CF14-REMOVE</x:v>
      </x:c>
      <x:c r="X217" s="10" t="n">
        <x:v>2</x:v>
      </x:c>
      <x:c r="Y217" s="10" t="n">
        <x:v>1</x:v>
      </x:c>
      <x:c r="Z217" s="9" t="str">
        <x:v>REMOVE</x:v>
      </x:c>
      <x:c r="AA217" s="9"/>
      <x:c r="AB217" s="9"/>
      <x:c r="AC217" s="9"/>
      <x:c r="AD217" s="9"/>
      <x:c r="AE217" s="9"/>
      <x:c r="AF217" s="9"/>
      <x:c r="AG217" s="9"/>
      <x:c r="AH217" s="9"/>
      <x:c r="AI217" s="11"/>
      <x:c r="AJ217" s="9"/>
      <x:c r="AK217" s="9" t="str">
        <x:v>Eval_Counting.xlsm</x:v>
      </x:c>
      <x:c r="AL217" s="9" t="str">
        <x:v>GR00T vision only Results</x:v>
      </x:c>
      <x:c r="AM217" s="9" t="n">
        <x:v>67</x:v>
      </x:c>
      <x:c r="AN217" s="9" t="n">
        <x:v>67</x:v>
      </x:c>
    </x:row>
    <x:row r="218">
      <x:c r="A218" s="9" t="str">
        <x:v>Failure</x:v>
      </x:c>
      <x:c r="B218" s="9" t="str">
        <x:v>Counting</x:v>
      </x:c>
      <x:c r="C218" s="10" t="n">
        <x:v>66</x:v>
      </x:c>
      <x:c r="D218" s="9" t="str">
        <x:v>Leave exactly three objects in the bowl.</x:v>
      </x:c>
      <x:c r="E218" s="9" t="str">
        <x:v>Bowl objects: [blue pen, green pencil sharpener] | Table objects: [yellow block, airplane toy without propellers]</x:v>
      </x:c>
      <x:c r="F218" s="9" t="str">
        <x:v>ADD any one table object; finish with 3 objects in the bowl</x:v>
      </x:c>
      <x:c r="G218" s="9" t="str">
        <x:v>didn't move</x:v>
      </x:c>
      <x:c r="H218" s="9" t="str">
        <x:v>Concept/compositional transfer</x:v>
      </x:c>
      <x:c r="I218" s="9" t="str">
        <x:v>CT-CF20</x:v>
      </x:c>
      <x:c r="J218" s="9" t="str">
        <x:v>Primary: three via held-out 2→3 addition</x:v>
      </x:c>
      <x:c r="K218" s="9"/>
      <x:c r="L218" s="9" t="str">
        <x:v>866</x:v>
      </x:c>
      <x:c r="M218" s="9" t="str">
        <x:v>Representative direct-instruction trajectory for yellow block; the evaluated count × transition composition is intentionally absent.</x:v>
      </x:c>
      <x:c r="N218" s="9" t="n">
        <x:v>4</x:v>
      </x:c>
      <x:c r="O218" s="9" t="str">
        <x:v>Reset the exact count-2 scene; change only the prompt.</x:v>
      </x:c>
      <x:c r="P218" s="9" t="str">
        <x:v>The goal word three is trained, and this 2→3 trajectory is trained under a direct instruction, but the combination is withheld.</x:v>
      </x:c>
      <x:c r="Q218" s="9"/>
      <x:c r="R218" s="10"/>
      <x:c r="S218" s="10"/>
      <x:c r="T218" s="9"/>
      <x:c r="U218" s="9"/>
      <x:c r="V218" s="9"/>
      <x:c r="W218" s="9" t="str">
        <x:v>CT-CF20-ADD</x:v>
      </x:c>
      <x:c r="X218" s="10" t="n">
        <x:v>2</x:v>
      </x:c>
      <x:c r="Y218" s="10" t="n">
        <x:v>3</x:v>
      </x:c>
      <x:c r="Z218" s="9" t="str">
        <x:v>ADD</x:v>
      </x:c>
      <x:c r="AA218" s="9"/>
      <x:c r="AB218" s="9"/>
      <x:c r="AC218" s="9"/>
      <x:c r="AD218" s="9"/>
      <x:c r="AE218" s="9"/>
      <x:c r="AF218" s="9"/>
      <x:c r="AG218" s="9"/>
      <x:c r="AH218" s="9"/>
      <x:c r="AI218" s="11"/>
      <x:c r="AJ218" s="9"/>
      <x:c r="AK218" s="9" t="str">
        <x:v>Eval_Counting.xlsm</x:v>
      </x:c>
      <x:c r="AL218" s="9" t="str">
        <x:v>GR00T vision only Results</x:v>
      </x:c>
      <x:c r="AM218" s="9" t="n">
        <x:v>68</x:v>
      </x:c>
      <x:c r="AN218" s="9" t="n">
        <x:v>68</x:v>
      </x:c>
    </x:row>
    <x:row r="219">
      <x:c r="A219" s="9" t="str">
        <x:v>Failure</x:v>
      </x:c>
      <x:c r="B219" s="9" t="str">
        <x:v>Counting</x:v>
      </x:c>
      <x:c r="C219" s="10" t="n">
        <x:v>67</x:v>
      </x:c>
      <x:c r="D219" s="9" t="str">
        <x:v>Leave exactly one object in the bowl.</x:v>
      </x:c>
      <x:c r="E219" s="9" t="str">
        <x:v>Bowl objects: [blue pen, green pencil sharpener] | Table objects: [yellow block, airplane toy without propellers]</x:v>
      </x:c>
      <x:c r="F219" s="9" t="str">
        <x:v>REMOVE any one bowl object; finish with 1 object in the bowl</x:v>
      </x:c>
      <x:c r="G219" s="9" t="str">
        <x:v>didn't move</x:v>
      </x:c>
      <x:c r="H219" s="9" t="str">
        <x:v>Concept/compositional transfer</x:v>
      </x:c>
      <x:c r="I219" s="9" t="str">
        <x:v>CT-CF20</x:v>
      </x:c>
      <x:c r="J219" s="9" t="str">
        <x:v>Primary: one via held-out 2→1 removal</x:v>
      </x:c>
      <x:c r="K219" s="9" t="n">
        <x:v>66</x:v>
      </x:c>
      <x:c r="L219" s="9" t="str">
        <x:v>931</x:v>
      </x:c>
      <x:c r="M219" s="9" t="str">
        <x:v>Representative direct-instruction trajectory for green pencil sharpener; the evaluated count × transition composition is intentionally absent.</x:v>
      </x:c>
      <x:c r="N219" s="9" t="n">
        <x:v>4</x:v>
      </x:c>
      <x:c r="O219" s="9" t="str">
        <x:v>Build the listed count-2 scene.</x:v>
      </x:c>
      <x:c r="P219" s="9" t="str">
        <x:v>The goal word one is trained, and this 2→1 trajectory is trained under a direct instruction, but the combination is withheld.</x:v>
      </x:c>
      <x:c r="Q219" s="9"/>
      <x:c r="R219" s="10"/>
      <x:c r="S219" s="10"/>
      <x:c r="T219" s="9"/>
      <x:c r="U219" s="9"/>
      <x:c r="V219" s="9"/>
      <x:c r="W219" s="9" t="str">
        <x:v>CT-CF20-REMOVE</x:v>
      </x:c>
      <x:c r="X219" s="10" t="n">
        <x:v>2</x:v>
      </x:c>
      <x:c r="Y219" s="10" t="n">
        <x:v>1</x:v>
      </x:c>
      <x:c r="Z219" s="9" t="str">
        <x:v>REMOVE</x:v>
      </x:c>
      <x:c r="AA219" s="9"/>
      <x:c r="AB219" s="9"/>
      <x:c r="AC219" s="9"/>
      <x:c r="AD219" s="9"/>
      <x:c r="AE219" s="9"/>
      <x:c r="AF219" s="9"/>
      <x:c r="AG219" s="9"/>
      <x:c r="AH219" s="9"/>
      <x:c r="AI219" s="11"/>
      <x:c r="AJ219" s="9"/>
      <x:c r="AK219" s="9" t="str">
        <x:v>Eval_Counting.xlsm</x:v>
      </x:c>
      <x:c r="AL219" s="9" t="str">
        <x:v>GR00T vision only Results</x:v>
      </x:c>
      <x:c r="AM219" s="9" t="n">
        <x:v>69</x:v>
      </x:c>
      <x:c r="AN219" s="9" t="n">
        <x:v>69</x:v>
      </x:c>
    </x:row>
    <x:row r="220">
      <x:c r="A220" s="9" t="str">
        <x:v>Failure</x:v>
      </x:c>
      <x:c r="B220" s="9" t="str">
        <x:v>Counting</x:v>
      </x:c>
      <x:c r="C220" s="10" t="n">
        <x:v>68</x:v>
      </x:c>
      <x:c r="D220" s="9" t="str">
        <x:v>Leave exactly one object in the bowl.</x:v>
      </x:c>
      <x:c r="E220" s="9" t="str">
        <x:v>Bowl objects: [blue pen, yellow block] | Table objects: [green pencil sharpener]</x:v>
      </x:c>
      <x:c r="F220" s="9" t="str">
        <x:v>REMOVE any one bowl object; finish with 1 object in the bowl</x:v>
      </x:c>
      <x:c r="G220" s="9" t="str">
        <x:v>didn't move</x:v>
      </x:c>
      <x:c r="H220" s="9" t="str">
        <x:v>Concept/compositional transfer</x:v>
      </x:c>
      <x:c r="I220" s="9" t="str">
        <x:v>CT-CF07</x:v>
      </x:c>
      <x:c r="J220" s="9" t="str">
        <x:v>Primary: one via held-out 2→1 removal</x:v>
      </x:c>
      <x:c r="K220" s="9"/>
      <x:c r="L220" s="9" t="str">
        <x:v>831</x:v>
      </x:c>
      <x:c r="M220" s="9" t="str">
        <x:v>Representative direct-instruction trajectory for blue pen; the evaluated count × transition composition is intentionally absent.</x:v>
      </x:c>
      <x:c r="N220" s="9" t="n">
        <x:v>3</x:v>
      </x:c>
      <x:c r="O220" s="9" t="str">
        <x:v>Build the listed count-2 scene.</x:v>
      </x:c>
      <x:c r="P220" s="9" t="str">
        <x:v>The goal word one is trained, and this 2→1 trajectory is trained under a direct instruction, but the combination is withheld.</x:v>
      </x:c>
      <x:c r="Q220" s="9"/>
      <x:c r="R220" s="10"/>
      <x:c r="S220" s="10"/>
      <x:c r="T220" s="9"/>
      <x:c r="U220" s="9"/>
      <x:c r="V220" s="9"/>
      <x:c r="W220" s="9" t="str">
        <x:v>CT-CF07-REMOVE</x:v>
      </x:c>
      <x:c r="X220" s="10" t="n">
        <x:v>2</x:v>
      </x:c>
      <x:c r="Y220" s="10" t="n">
        <x:v>1</x:v>
      </x:c>
      <x:c r="Z220" s="9" t="str">
        <x:v>REMOVE</x:v>
      </x:c>
      <x:c r="AA220" s="9"/>
      <x:c r="AB220" s="9"/>
      <x:c r="AC220" s="9"/>
      <x:c r="AD220" s="9"/>
      <x:c r="AE220" s="9"/>
      <x:c r="AF220" s="9"/>
      <x:c r="AG220" s="9"/>
      <x:c r="AH220" s="9"/>
      <x:c r="AI220" s="11"/>
      <x:c r="AJ220" s="9"/>
      <x:c r="AK220" s="9" t="str">
        <x:v>Eval_Counting.xlsm</x:v>
      </x:c>
      <x:c r="AL220" s="9" t="str">
        <x:v>GR00T vision only Results</x:v>
      </x:c>
      <x:c r="AM220" s="9" t="n">
        <x:v>70</x:v>
      </x:c>
      <x:c r="AN220" s="9" t="n">
        <x:v>70</x:v>
      </x:c>
    </x:row>
    <x:row r="221">
      <x:c r="A221" s="9" t="str">
        <x:v>Failure</x:v>
      </x:c>
      <x:c r="B221" s="9" t="str">
        <x:v>Counting</x:v>
      </x:c>
      <x:c r="C221" s="10" t="n">
        <x:v>69</x:v>
      </x:c>
      <x:c r="D221" s="9" t="str">
        <x:v>Move the yellow block from the bowl to the table.</x:v>
      </x:c>
      <x:c r="E221" s="9" t="str">
        <x:v>Bowl objects: [blue pen, yellow block] | Table objects: [green pencil sharpener]</x:v>
      </x:c>
      <x:c r="F221" s="9" t="str">
        <x:v>REMOVE yellow block</x:v>
      </x:c>
      <x:c r="G221" s="9" t="str">
        <x:v>removed the blue pen and left the yellow block in the bowl</x:v>
      </x:c>
      <x:c r="H221" s="9" t="str">
        <x:v>Matched manipulation control</x:v>
      </x:c>
      <x:c r="I221" s="9" t="str">
        <x:v>CT-CF07</x:v>
      </x:c>
      <x:c r="J221" s="9" t="str">
        <x:v>Matched direct REMOVE control</x:v>
      </x:c>
      <x:c r="K221" s="9" t="n">
        <x:v>68</x:v>
      </x:c>
      <x:c r="L221" s="9" t="str">
        <x:v>885</x:v>
      </x:c>
      <x:c r="M221" s="9" t="str">
        <x:v>Exact direct-prompt trajectory for the named object and action direction; evaluation layout is reset manually.</x:v>
      </x:c>
      <x:c r="N221" s="9" t="n">
        <x:v>3</x:v>
      </x:c>
      <x:c r="O221" s="9" t="str">
        <x:v>Reset the exact count-2 scene; change only the prompt.</x:v>
      </x:c>
      <x:c r="P221" s="9" t="str">
        <x:v>The direct prompt is present in Counting training for this same-task object and action direction.</x:v>
      </x:c>
      <x:c r="Q221" s="9"/>
      <x:c r="R221" s="10"/>
      <x:c r="S221" s="10"/>
      <x:c r="T221" s="9"/>
      <x:c r="U221" s="9"/>
      <x:c r="V221" s="9"/>
      <x:c r="W221" s="9" t="str">
        <x:v>CT-CF07-REMOVE</x:v>
      </x:c>
      <x:c r="X221" s="10" t="n">
        <x:v>2</x:v>
      </x:c>
      <x:c r="Y221" s="10" t="n">
        <x:v>1</x:v>
      </x:c>
      <x:c r="Z221" s="9" t="str">
        <x:v>REMOVE</x:v>
      </x:c>
      <x:c r="AA221" s="9"/>
      <x:c r="AB221" s="9"/>
      <x:c r="AC221" s="9"/>
      <x:c r="AD221" s="9"/>
      <x:c r="AE221" s="9"/>
      <x:c r="AF221" s="9"/>
      <x:c r="AG221" s="9"/>
      <x:c r="AH221" s="9"/>
      <x:c r="AI221" s="11"/>
      <x:c r="AJ221" s="9"/>
      <x:c r="AK221" s="9" t="str">
        <x:v>Eval_Counting.xlsm</x:v>
      </x:c>
      <x:c r="AL221" s="9" t="str">
        <x:v>GR00T vision only Results</x:v>
      </x:c>
      <x:c r="AM221" s="9" t="n">
        <x:v>71</x:v>
      </x:c>
      <x:c r="AN221" s="9" t="n">
        <x:v>71</x:v>
      </x:c>
    </x:row>
    <x:row r="222">
      <x:c r="A222" s="9" t="str">
        <x:v>Success</x:v>
      </x:c>
      <x:c r="B222" s="9" t="str">
        <x:v>Counting</x:v>
      </x:c>
      <x:c r="C222" s="10" t="n">
        <x:v>70</x:v>
      </x:c>
      <x:c r="D222" s="9" t="str">
        <x:v>Move the green pencil sharpener into the bowl.</x:v>
      </x:c>
      <x:c r="E222" s="9" t="str">
        <x:v>Bowl objects: [blue pen, yellow block] | Table objects: [green pencil sharpener]</x:v>
      </x:c>
      <x:c r="F222" s="9" t="str">
        <x:v>ADD green pencil sharpener</x:v>
      </x:c>
      <x:c r="G222" s="9"/>
      <x:c r="H222" s="9" t="str">
        <x:v>Matched manipulation control</x:v>
      </x:c>
      <x:c r="I222" s="9" t="str">
        <x:v>CT-CF07</x:v>
      </x:c>
      <x:c r="J222" s="9" t="str">
        <x:v>Matched direct ADD control</x:v>
      </x:c>
      <x:c r="K222" s="9"/>
      <x:c r="L222" s="9" t="str">
        <x:v>917</x:v>
      </x:c>
      <x:c r="M222" s="9" t="str">
        <x:v>Exact direct-prompt trajectory for the named object and action direction; evaluation layout is reset manually.</x:v>
      </x:c>
      <x:c r="N222" s="9" t="n">
        <x:v>3</x:v>
      </x:c>
      <x:c r="O222" s="9" t="str">
        <x:v>Reset the exact count-2 scene; change only the prompt.</x:v>
      </x:c>
      <x:c r="P222" s="9" t="str">
        <x:v>The direct prompt is present in Counting training for this same-task object and action direction.</x:v>
      </x:c>
      <x:c r="Q222" s="9"/>
      <x:c r="R222" s="10"/>
      <x:c r="S222" s="10"/>
      <x:c r="T222" s="9"/>
      <x:c r="U222" s="9"/>
      <x:c r="V222" s="9"/>
      <x:c r="W222" s="9" t="str">
        <x:v>CT-CF07-ADD</x:v>
      </x:c>
      <x:c r="X222" s="10" t="n">
        <x:v>2</x:v>
      </x:c>
      <x:c r="Y222" s="10" t="n">
        <x:v>3</x:v>
      </x:c>
      <x:c r="Z222" s="9" t="str">
        <x:v>ADD</x:v>
      </x:c>
      <x:c r="AA222" s="9"/>
      <x:c r="AB222" s="9"/>
      <x:c r="AC222" s="9"/>
      <x:c r="AD222" s="9"/>
      <x:c r="AE222" s="9"/>
      <x:c r="AF222" s="9"/>
      <x:c r="AG222" s="9"/>
      <x:c r="AH222" s="9"/>
      <x:c r="AI222" s="11"/>
      <x:c r="AJ222" s="9"/>
      <x:c r="AK222" s="9" t="str">
        <x:v>Eval_Counting.xlsm</x:v>
      </x:c>
      <x:c r="AL222" s="9" t="str">
        <x:v>GR00T vision only Results</x:v>
      </x:c>
      <x:c r="AM222" s="9" t="n">
        <x:v>72</x:v>
      </x:c>
      <x:c r="AN222" s="9" t="n">
        <x:v>72</x:v>
      </x:c>
    </x:row>
    <x:row r="223">
      <x:c r="A223" s="9" t="str">
        <x:v>Failure</x:v>
      </x:c>
      <x:c r="B223" s="9" t="str">
        <x:v>Counting</x:v>
      </x:c>
      <x:c r="C223" s="10" t="n">
        <x:v>71</x:v>
      </x:c>
      <x:c r="D223" s="9" t="str">
        <x:v>Leave exactly three objects in the bowl.</x:v>
      </x:c>
      <x:c r="E223" s="9" t="str">
        <x:v>Bowl objects: [blue pen, yellow block] | Table objects: [green pencil sharpener]</x:v>
      </x:c>
      <x:c r="F223" s="9" t="str">
        <x:v>ADD any one table object; finish with 3 objects in the bowl</x:v>
      </x:c>
      <x:c r="G223" s="9" t="str">
        <x:v>didn't move</x:v>
      </x:c>
      <x:c r="H223" s="9" t="str">
        <x:v>Concept/compositional transfer</x:v>
      </x:c>
      <x:c r="I223" s="9" t="str">
        <x:v>CT-CF07</x:v>
      </x:c>
      <x:c r="J223" s="9" t="str">
        <x:v>Primary: three via held-out 2→3 addition</x:v>
      </x:c>
      <x:c r="K223" s="9" t="n">
        <x:v>70</x:v>
      </x:c>
      <x:c r="L223" s="9" t="str">
        <x:v>916</x:v>
      </x:c>
      <x:c r="M223" s="9" t="str">
        <x:v>Representative direct-instruction trajectory for green pencil sharpener; the evaluated count × transition composition is intentionally absent.</x:v>
      </x:c>
      <x:c r="N223" s="9" t="n">
        <x:v>3</x:v>
      </x:c>
      <x:c r="O223" s="9" t="str">
        <x:v>Reset the exact count-2 scene; change only the prompt.</x:v>
      </x:c>
      <x:c r="P223" s="9" t="str">
        <x:v>The goal word three is trained, and this 2→3 trajectory is trained under a direct instruction, but the combination is withheld.</x:v>
      </x:c>
      <x:c r="Q223" s="9"/>
      <x:c r="R223" s="10"/>
      <x:c r="S223" s="10"/>
      <x:c r="T223" s="9"/>
      <x:c r="U223" s="9"/>
      <x:c r="V223" s="9"/>
      <x:c r="W223" s="9" t="str">
        <x:v>CT-CF07-ADD</x:v>
      </x:c>
      <x:c r="X223" s="10" t="n">
        <x:v>2</x:v>
      </x:c>
      <x:c r="Y223" s="10" t="n">
        <x:v>3</x:v>
      </x:c>
      <x:c r="Z223" s="9" t="str">
        <x:v>ADD</x:v>
      </x:c>
      <x:c r="AA223" s="9"/>
      <x:c r="AB223" s="9"/>
      <x:c r="AC223" s="9"/>
      <x:c r="AD223" s="9"/>
      <x:c r="AE223" s="9"/>
      <x:c r="AF223" s="9"/>
      <x:c r="AG223" s="9"/>
      <x:c r="AH223" s="9"/>
      <x:c r="AI223" s="11"/>
      <x:c r="AJ223" s="9"/>
      <x:c r="AK223" s="9" t="str">
        <x:v>Eval_Counting.xlsm</x:v>
      </x:c>
      <x:c r="AL223" s="9" t="str">
        <x:v>GR00T vision only Results</x:v>
      </x:c>
      <x:c r="AM223" s="9" t="n">
        <x:v>73</x:v>
      </x:c>
      <x:c r="AN223" s="9" t="n">
        <x:v>73</x:v>
      </x:c>
    </x:row>
    <x:row r="224">
      <x:c r="A224" s="9" t="str">
        <x:v>Failure</x:v>
      </x:c>
      <x:c r="B224" s="9" t="str">
        <x:v>Counting</x:v>
      </x:c>
      <x:c r="C224" s="10" t="n">
        <x:v>72</x:v>
      </x:c>
      <x:c r="D224" s="9" t="str">
        <x:v>Leave exactly three objects in the bowl.</x:v>
      </x:c>
      <x:c r="E224" s="9" t="str">
        <x:v>Bowl objects: [blue pen, green pencil sharpener] | Table objects: [yellow block, airplane toy without propellers]</x:v>
      </x:c>
      <x:c r="F224" s="9" t="str">
        <x:v>ADD any one table object; finish with 3 objects in the bowl</x:v>
      </x:c>
      <x:c r="G224" s="9" t="str">
        <x:v>didn't move</x:v>
      </x:c>
      <x:c r="H224" s="9" t="str">
        <x:v>Concept/compositional transfer</x:v>
      </x:c>
      <x:c r="I224" s="9" t="str">
        <x:v>CT-CF08</x:v>
      </x:c>
      <x:c r="J224" s="9" t="str">
        <x:v>Primary: three via held-out 2→3 addition</x:v>
      </x:c>
      <x:c r="K224" s="9"/>
      <x:c r="L224" s="9" t="str">
        <x:v>866</x:v>
      </x:c>
      <x:c r="M224" s="9" t="str">
        <x:v>Representative direct-instruction trajectory for yellow block; the evaluated count × transition composition is intentionally absent.</x:v>
      </x:c>
      <x:c r="N224" s="9" t="n">
        <x:v>3</x:v>
      </x:c>
      <x:c r="O224" s="9" t="str">
        <x:v>Reset the exact count-2 scene; change only the prompt.</x:v>
      </x:c>
      <x:c r="P224" s="9" t="str">
        <x:v>The goal word three is trained, and this 2→3 trajectory is trained under a direct instruction, but the combination is withheld.</x:v>
      </x:c>
      <x:c r="Q224" s="9"/>
      <x:c r="R224" s="10"/>
      <x:c r="S224" s="10"/>
      <x:c r="T224" s="9"/>
      <x:c r="U224" s="9"/>
      <x:c r="V224" s="9"/>
      <x:c r="W224" s="9" t="str">
        <x:v>CT-CF08-ADD</x:v>
      </x:c>
      <x:c r="X224" s="10" t="n">
        <x:v>2</x:v>
      </x:c>
      <x:c r="Y224" s="10" t="n">
        <x:v>3</x:v>
      </x:c>
      <x:c r="Z224" s="9" t="str">
        <x:v>ADD</x:v>
      </x:c>
      <x:c r="AA224" s="9"/>
      <x:c r="AB224" s="9"/>
      <x:c r="AC224" s="9"/>
      <x:c r="AD224" s="9"/>
      <x:c r="AE224" s="9"/>
      <x:c r="AF224" s="9"/>
      <x:c r="AG224" s="9"/>
      <x:c r="AH224" s="9"/>
      <x:c r="AI224" s="11"/>
      <x:c r="AJ224" s="9"/>
      <x:c r="AK224" s="9" t="str">
        <x:v>Eval_Counting.xlsm</x:v>
      </x:c>
      <x:c r="AL224" s="9" t="str">
        <x:v>GR00T vision only Results</x:v>
      </x:c>
      <x:c r="AM224" s="9" t="n">
        <x:v>74</x:v>
      </x:c>
      <x:c r="AN224" s="9" t="n">
        <x:v>74</x:v>
      </x:c>
    </x:row>
    <x:row r="225">
      <x:c r="A225" s="9" t="str">
        <x:v>Success</x:v>
      </x:c>
      <x:c r="B225" s="9" t="str">
        <x:v>Counting</x:v>
      </x:c>
      <x:c r="C225" s="10" t="n">
        <x:v>73</x:v>
      </x:c>
      <x:c r="D225" s="9" t="str">
        <x:v>Move the airplane toy without propellers into the bowl.</x:v>
      </x:c>
      <x:c r="E225" s="9" t="str">
        <x:v>Bowl objects: [blue pen, green pencil sharpener] | Table objects: [yellow block, airplane toy without propellers]</x:v>
      </x:c>
      <x:c r="F225" s="9" t="str">
        <x:v>ADD airplane toy without propellers</x:v>
      </x:c>
      <x:c r="G225" s="9"/>
      <x:c r="H225" s="9" t="str">
        <x:v>Matched manipulation control</x:v>
      </x:c>
      <x:c r="I225" s="9" t="str">
        <x:v>CT-CF08</x:v>
      </x:c>
      <x:c r="J225" s="9" t="str">
        <x:v>Matched direct ADD control</x:v>
      </x:c>
      <x:c r="K225" s="9" t="n">
        <x:v>72</x:v>
      </x:c>
      <x:c r="L225" s="9" t="str">
        <x:v>968</x:v>
      </x:c>
      <x:c r="M225" s="9" t="str">
        <x:v>Exact direct-prompt trajectory for the named object and action direction; evaluation layout is reset manually.</x:v>
      </x:c>
      <x:c r="N225" s="9" t="n">
        <x:v>3</x:v>
      </x:c>
      <x:c r="O225" s="9" t="str">
        <x:v>Reset the exact count-2 scene; change only the prompt.</x:v>
      </x:c>
      <x:c r="P225" s="9" t="str">
        <x:v>The direct prompt is present in Counting training for this same-task object and action direction.</x:v>
      </x:c>
      <x:c r="Q225" s="9"/>
      <x:c r="R225" s="10"/>
      <x:c r="S225" s="10"/>
      <x:c r="T225" s="9"/>
      <x:c r="U225" s="9"/>
      <x:c r="V225" s="9"/>
      <x:c r="W225" s="9" t="str">
        <x:v>CT-CF08-ADD</x:v>
      </x:c>
      <x:c r="X225" s="10" t="n">
        <x:v>2</x:v>
      </x:c>
      <x:c r="Y225" s="10" t="n">
        <x:v>3</x:v>
      </x:c>
      <x:c r="Z225" s="9" t="str">
        <x:v>ADD</x:v>
      </x:c>
      <x:c r="AA225" s="9"/>
      <x:c r="AB225" s="9"/>
      <x:c r="AC225" s="9"/>
      <x:c r="AD225" s="9"/>
      <x:c r="AE225" s="9"/>
      <x:c r="AF225" s="9"/>
      <x:c r="AG225" s="9"/>
      <x:c r="AH225" s="9"/>
      <x:c r="AI225" s="11"/>
      <x:c r="AJ225" s="9"/>
      <x:c r="AK225" s="9" t="str">
        <x:v>Eval_Counting.xlsm</x:v>
      </x:c>
      <x:c r="AL225" s="9" t="str">
        <x:v>GR00T vision only Results</x:v>
      </x:c>
      <x:c r="AM225" s="9" t="n">
        <x:v>75</x:v>
      </x:c>
      <x:c r="AN225" s="9" t="n">
        <x:v>75</x:v>
      </x:c>
    </x:row>
    <x:row r="226">
      <x:c r="A226" s="9" t="str">
        <x:v>Failure</x:v>
      </x:c>
      <x:c r="B226" s="9" t="str">
        <x:v>Counting</x:v>
      </x:c>
      <x:c r="C226" s="10" t="n">
        <x:v>74</x:v>
      </x:c>
      <x:c r="D226" s="9" t="str">
        <x:v>Move the green pencil sharpener from the bowl to the table.</x:v>
      </x:c>
      <x:c r="E226" s="9" t="str">
        <x:v>Bowl objects: [blue pen, green pencil sharpener] | Table objects: [yellow block, airplane toy without propellers]</x:v>
      </x:c>
      <x:c r="F226" s="9" t="str">
        <x:v>REMOVE green pencil sharpener</x:v>
      </x:c>
      <x:c r="G226" s="9" t="str">
        <x:v>picked the pen first, then tried to pick the green pencil sharpener, but timed out </x:v>
      </x:c>
      <x:c r="H226" s="9" t="str">
        <x:v>Matched manipulation control</x:v>
      </x:c>
      <x:c r="I226" s="9" t="str">
        <x:v>CT-CF08</x:v>
      </x:c>
      <x:c r="J226" s="9" t="str">
        <x:v>Matched direct REMOVE control</x:v>
      </x:c>
      <x:c r="K226" s="9"/>
      <x:c r="L226" s="9" t="str">
        <x:v>935</x:v>
      </x:c>
      <x:c r="M226" s="9" t="str">
        <x:v>Exact direct-prompt trajectory for the named object and action direction; evaluation layout is reset manually.</x:v>
      </x:c>
      <x:c r="N226" s="9" t="n">
        <x:v>3</x:v>
      </x:c>
      <x:c r="O226" s="9" t="str">
        <x:v>Reset the exact count-2 scene; change only the prompt.</x:v>
      </x:c>
      <x:c r="P226" s="9" t="str">
        <x:v>The direct prompt is present in Counting training for this same-task object and action direction.</x:v>
      </x:c>
      <x:c r="Q226" s="9"/>
      <x:c r="R226" s="10"/>
      <x:c r="S226" s="10"/>
      <x:c r="T226" s="9"/>
      <x:c r="U226" s="9"/>
      <x:c r="V226" s="9"/>
      <x:c r="W226" s="9" t="str">
        <x:v>CT-CF08-REMOVE</x:v>
      </x:c>
      <x:c r="X226" s="10" t="n">
        <x:v>2</x:v>
      </x:c>
      <x:c r="Y226" s="10" t="n">
        <x:v>1</x:v>
      </x:c>
      <x:c r="Z226" s="9" t="str">
        <x:v>REMOVE</x:v>
      </x:c>
      <x:c r="AA226" s="9"/>
      <x:c r="AB226" s="9"/>
      <x:c r="AC226" s="9"/>
      <x:c r="AD226" s="9"/>
      <x:c r="AE226" s="9"/>
      <x:c r="AF226" s="9"/>
      <x:c r="AG226" s="9"/>
      <x:c r="AH226" s="9"/>
      <x:c r="AI226" s="11"/>
      <x:c r="AJ226" s="9"/>
      <x:c r="AK226" s="9" t="str">
        <x:v>Eval_Counting.xlsm</x:v>
      </x:c>
      <x:c r="AL226" s="9" t="str">
        <x:v>GR00T vision only Results</x:v>
      </x:c>
      <x:c r="AM226" s="9" t="n">
        <x:v>76</x:v>
      </x:c>
      <x:c r="AN226" s="9" t="n">
        <x:v>76</x:v>
      </x:c>
    </x:row>
    <x:row r="227">
      <x:c r="A227" s="9" t="str">
        <x:v>Failure</x:v>
      </x:c>
      <x:c r="B227" s="9" t="str">
        <x:v>Counting</x:v>
      </x:c>
      <x:c r="C227" s="10" t="n">
        <x:v>75</x:v>
      </x:c>
      <x:c r="D227" s="9" t="str">
        <x:v>Leave exactly one object in the bowl.</x:v>
      </x:c>
      <x:c r="E227" s="9" t="str">
        <x:v>Bowl objects: [blue pen, green pencil sharpener] | Table objects: [yellow block, airplane toy without propellers]</x:v>
      </x:c>
      <x:c r="F227" s="9" t="str">
        <x:v>REMOVE any one bowl object; finish with 1 object in the bowl</x:v>
      </x:c>
      <x:c r="G227" s="9" t="str">
        <x:v>didn't move</x:v>
      </x:c>
      <x:c r="H227" s="9" t="str">
        <x:v>Concept/compositional transfer</x:v>
      </x:c>
      <x:c r="I227" s="9" t="str">
        <x:v>CT-CF08</x:v>
      </x:c>
      <x:c r="J227" s="9" t="str">
        <x:v>Primary: one via held-out 2→1 removal</x:v>
      </x:c>
      <x:c r="K227" s="9" t="n">
        <x:v>74</x:v>
      </x:c>
      <x:c r="L227" s="9" t="str">
        <x:v>931</x:v>
      </x:c>
      <x:c r="M227" s="9" t="str">
        <x:v>Representative direct-instruction trajectory for green pencil sharpener; the evaluated count × transition composition is intentionally absent.</x:v>
      </x:c>
      <x:c r="N227" s="9" t="n">
        <x:v>3</x:v>
      </x:c>
      <x:c r="O227" s="9" t="str">
        <x:v>Build the listed count-2 scene.</x:v>
      </x:c>
      <x:c r="P227" s="9" t="str">
        <x:v>The goal word one is trained, and this 2→1 trajectory is trained under a direct instruction, but the combination is withheld.</x:v>
      </x:c>
      <x:c r="Q227" s="9"/>
      <x:c r="R227" s="10"/>
      <x:c r="S227" s="10"/>
      <x:c r="T227" s="9"/>
      <x:c r="U227" s="9"/>
      <x:c r="V227" s="9"/>
      <x:c r="W227" s="9" t="str">
        <x:v>CT-CF08-REMOVE</x:v>
      </x:c>
      <x:c r="X227" s="10" t="n">
        <x:v>2</x:v>
      </x:c>
      <x:c r="Y227" s="10" t="n">
        <x:v>1</x:v>
      </x:c>
      <x:c r="Z227" s="9" t="str">
        <x:v>REMOVE</x:v>
      </x:c>
      <x:c r="AA227" s="9"/>
      <x:c r="AB227" s="9"/>
      <x:c r="AC227" s="9"/>
      <x:c r="AD227" s="9"/>
      <x:c r="AE227" s="9"/>
      <x:c r="AF227" s="9"/>
      <x:c r="AG227" s="9"/>
      <x:c r="AH227" s="9"/>
      <x:c r="AI227" s="11"/>
      <x:c r="AJ227" s="9"/>
      <x:c r="AK227" s="9" t="str">
        <x:v>Eval_Counting.xlsm</x:v>
      </x:c>
      <x:c r="AL227" s="9" t="str">
        <x:v>GR00T vision only Results</x:v>
      </x:c>
      <x:c r="AM227" s="9" t="n">
        <x:v>77</x:v>
      </x:c>
      <x:c r="AN227" s="9" t="n">
        <x:v>77</x:v>
      </x:c>
    </x:row>
    <x:row r="228">
      <x:c r="A228" s="9" t="str">
        <x:v>Failure</x:v>
      </x:c>
      <x:c r="B228" s="9" t="str">
        <x:v>Counting</x:v>
      </x:c>
      <x:c r="C228" s="10" t="n">
        <x:v>76</x:v>
      </x:c>
      <x:c r="D228" s="9" t="str">
        <x:v>Leave exactly one object in the bowl.</x:v>
      </x:c>
      <x:c r="E228" s="9" t="str">
        <x:v>Bowl objects: [yellow block, airplane toy without propellers] | Table objects: [blue pen]</x:v>
      </x:c>
      <x:c r="F228" s="9" t="str">
        <x:v>REMOVE any one bowl object; finish with 1 object in the bowl</x:v>
      </x:c>
      <x:c r="G228" s="9" t="str">
        <x:v>didn't move</x:v>
      </x:c>
      <x:c r="H228" s="9" t="str">
        <x:v>Concept/compositional transfer</x:v>
      </x:c>
      <x:c r="I228" s="9" t="str">
        <x:v>CT-CF11</x:v>
      </x:c>
      <x:c r="J228" s="9" t="str">
        <x:v>Primary: one via held-out 2→1 removal</x:v>
      </x:c>
      <x:c r="K228" s="9"/>
      <x:c r="L228" s="9" t="str">
        <x:v>881</x:v>
      </x:c>
      <x:c r="M228" s="9" t="str">
        <x:v>Representative direct-instruction trajectory for yellow block; the evaluated count × transition composition is intentionally absent.</x:v>
      </x:c>
      <x:c r="N228" s="9" t="n">
        <x:v>4</x:v>
      </x:c>
      <x:c r="O228" s="9" t="str">
        <x:v>Build the listed count-2 scene.</x:v>
      </x:c>
      <x:c r="P228" s="9" t="str">
        <x:v>The goal word one is trained, and this 2→1 trajectory is trained under a direct instruction, but the combination is withheld.</x:v>
      </x:c>
      <x:c r="Q228" s="9"/>
      <x:c r="R228" s="10"/>
      <x:c r="S228" s="10"/>
      <x:c r="T228" s="9"/>
      <x:c r="U228" s="9"/>
      <x:c r="V228" s="9"/>
      <x:c r="W228" s="9" t="str">
        <x:v>CT-CF11-REMOVE</x:v>
      </x:c>
      <x:c r="X228" s="10" t="n">
        <x:v>2</x:v>
      </x:c>
      <x:c r="Y228" s="10" t="n">
        <x:v>1</x:v>
      </x:c>
      <x:c r="Z228" s="9" t="str">
        <x:v>REMOVE</x:v>
      </x:c>
      <x:c r="AA228" s="9"/>
      <x:c r="AB228" s="9"/>
      <x:c r="AC228" s="9"/>
      <x:c r="AD228" s="9"/>
      <x:c r="AE228" s="9"/>
      <x:c r="AF228" s="9"/>
      <x:c r="AG228" s="9"/>
      <x:c r="AH228" s="9"/>
      <x:c r="AI228" s="11"/>
      <x:c r="AJ228" s="9"/>
      <x:c r="AK228" s="9" t="str">
        <x:v>Eval_Counting.xlsm</x:v>
      </x:c>
      <x:c r="AL228" s="9" t="str">
        <x:v>GR00T vision only Results</x:v>
      </x:c>
      <x:c r="AM228" s="9" t="n">
        <x:v>78</x:v>
      </x:c>
      <x:c r="AN228" s="9" t="n">
        <x:v>78</x:v>
      </x:c>
    </x:row>
    <x:row r="229">
      <x:c r="A229" s="9" t="str">
        <x:v>Failure</x:v>
      </x:c>
      <x:c r="B229" s="9" t="str">
        <x:v>Counting</x:v>
      </x:c>
      <x:c r="C229" s="10" t="n">
        <x:v>77</x:v>
      </x:c>
      <x:c r="D229" s="9" t="str">
        <x:v>Leave exactly three objects in the bowl.</x:v>
      </x:c>
      <x:c r="E229" s="9" t="str">
        <x:v>Bowl objects: [yellow block, airplane toy without propellers] | Table objects: [blue pen]</x:v>
      </x:c>
      <x:c r="F229" s="9" t="str">
        <x:v>ADD any one table object; finish with 3 objects in the bowl</x:v>
      </x:c>
      <x:c r="G229" s="9" t="str">
        <x:v>didn't move</x:v>
      </x:c>
      <x:c r="H229" s="9" t="str">
        <x:v>Concept/compositional transfer</x:v>
      </x:c>
      <x:c r="I229" s="9" t="str">
        <x:v>CT-CF11</x:v>
      </x:c>
      <x:c r="J229" s="9" t="str">
        <x:v>Primary: three via held-out 2→3 addition</x:v>
      </x:c>
      <x:c r="K229" s="9" t="n">
        <x:v>76</x:v>
      </x:c>
      <x:c r="L229" s="9" t="str">
        <x:v>816</x:v>
      </x:c>
      <x:c r="M229" s="9" t="str">
        <x:v>Representative direct-instruction trajectory for blue pen; the evaluated count × transition composition is intentionally absent.</x:v>
      </x:c>
      <x:c r="N229" s="9" t="n">
        <x:v>4</x:v>
      </x:c>
      <x:c r="O229" s="9" t="str">
        <x:v>Reset the exact count-2 scene; change only the prompt.</x:v>
      </x:c>
      <x:c r="P229" s="9" t="str">
        <x:v>The goal word three is trained, and this 2→3 trajectory is trained under a direct instruction, but the combination is withheld.</x:v>
      </x:c>
      <x:c r="Q229" s="9"/>
      <x:c r="R229" s="10"/>
      <x:c r="S229" s="10"/>
      <x:c r="T229" s="9"/>
      <x:c r="U229" s="9"/>
      <x:c r="V229" s="9"/>
      <x:c r="W229" s="9" t="str">
        <x:v>CT-CF11-ADD</x:v>
      </x:c>
      <x:c r="X229" s="10" t="n">
        <x:v>2</x:v>
      </x:c>
      <x:c r="Y229" s="10" t="n">
        <x:v>3</x:v>
      </x:c>
      <x:c r="Z229" s="9" t="str">
        <x:v>ADD</x:v>
      </x:c>
      <x:c r="AA229" s="9"/>
      <x:c r="AB229" s="9"/>
      <x:c r="AC229" s="9"/>
      <x:c r="AD229" s="9"/>
      <x:c r="AE229" s="9"/>
      <x:c r="AF229" s="9"/>
      <x:c r="AG229" s="9"/>
      <x:c r="AH229" s="9"/>
      <x:c r="AI229" s="11"/>
      <x:c r="AJ229" s="9"/>
      <x:c r="AK229" s="9" t="str">
        <x:v>Eval_Counting.xlsm</x:v>
      </x:c>
      <x:c r="AL229" s="9" t="str">
        <x:v>GR00T vision only Results</x:v>
      </x:c>
      <x:c r="AM229" s="9" t="n">
        <x:v>79</x:v>
      </x:c>
      <x:c r="AN229" s="9" t="n">
        <x:v>79</x:v>
      </x:c>
    </x:row>
    <x:row r="230">
      <x:c r="A230" s="9" t="str">
        <x:v>Success</x:v>
      </x:c>
      <x:c r="B230" s="9" t="str">
        <x:v>Counting</x:v>
      </x:c>
      <x:c r="C230" s="10" t="n">
        <x:v>78</x:v>
      </x:c>
      <x:c r="D230" s="9" t="str">
        <x:v>Make the bowl contain exactly zero objects.</x:v>
      </x:c>
      <x:c r="E230" s="9" t="str">
        <x:v>Bowl objects: [green highlighter] | Table objects: [green pencil sharpener]</x:v>
      </x:c>
      <x:c r="F230" s="9" t="str">
        <x:v>REMOVE green highlighter; finish with 0 objects in the bowl</x:v>
      </x:c>
      <x:c r="G230" s="9"/>
      <x:c r="H230" s="9" t="str">
        <x:v>Cross-task object reasoning</x:v>
      </x:c>
      <x:c r="I230" s="9" t="str">
        <x:v>XT-GH03</x:v>
      </x:c>
      <x:c r="J230" s="9" t="str">
        <x:v>Reasoning-only cross-task target: 1→0 removal</x:v>
      </x:c>
      <x:c r="K230" s="9"/>
      <x:c r="L230" s="9" t="str">
        <x:v>825; 708</x:v>
      </x:c>
      <x:c r="M230" s="9" t="str">
        <x:v>First episode grounds the Counting prompt/transition; episode 708 grounds direct green-highlighter manipulation. No exact green-highlighter Counting cell exists.</x:v>
      </x:c>
      <x:c r="N230" s="9" t="n">
        <x:v>5</x:v>
      </x:c>
      <x:c r="O230" s="9" t="str">
        <x:v>Build counterfactual cross-task scene A.</x:v>
      </x:c>
      <x:c r="P230" s="9" t="str">
        <x:v>The prompt never names the highlighter. The highlighter is the required object; the familiar Counting transition determines the action.</x:v>
      </x:c>
      <x:c r="Q230" s="9"/>
      <x:c r="R230" s="10"/>
      <x:c r="S230" s="10"/>
      <x:c r="T230" s="9"/>
      <x:c r="U230" s="9"/>
      <x:c r="V230" s="9"/>
      <x:c r="W230" s="9" t="str">
        <x:v>XT-GH03-A</x:v>
      </x:c>
      <x:c r="X230" s="10" t="n">
        <x:v>1</x:v>
      </x:c>
      <x:c r="Y230" s="10" t="n">
        <x:v>0</x:v>
      </x:c>
      <x:c r="Z230" s="9" t="str">
        <x:v>REMOVE</x:v>
      </x:c>
      <x:c r="AA230" s="9"/>
      <x:c r="AB230" s="9"/>
      <x:c r="AC230" s="9"/>
      <x:c r="AD230" s="9"/>
      <x:c r="AE230" s="9"/>
      <x:c r="AF230" s="9"/>
      <x:c r="AG230" s="9"/>
      <x:c r="AH230" s="9"/>
      <x:c r="AI230" s="11"/>
      <x:c r="AJ230" s="9"/>
      <x:c r="AK230" s="9" t="str">
        <x:v>Eval_Counting.xlsm</x:v>
      </x:c>
      <x:c r="AL230" s="9" t="str">
        <x:v>GR00T vision only Results</x:v>
      </x:c>
      <x:c r="AM230" s="9" t="n">
        <x:v>80</x:v>
      </x:c>
      <x:c r="AN230" s="9" t="n">
        <x:v>80</x:v>
      </x:c>
    </x:row>
    <x:row r="231">
      <x:c r="A231" s="9" t="str">
        <x:v>Failure</x:v>
      </x:c>
      <x:c r="B231" s="9" t="str">
        <x:v>Counting</x:v>
      </x:c>
      <x:c r="C231" s="10" t="n">
        <x:v>79</x:v>
      </x:c>
      <x:c r="D231" s="9" t="str">
        <x:v>Make the bowl contain exactly two objects.</x:v>
      </x:c>
      <x:c r="E231" s="9" t="str">
        <x:v>Bowl objects: [green highlighter] | Table objects: [green pencil sharpener]</x:v>
      </x:c>
      <x:c r="F231" s="9" t="str">
        <x:v>ADD green pencil sharpener; finish with 2 objects in the bowl</x:v>
      </x:c>
      <x:c r="G231" s="9" t="str">
        <x:v>didn't move</x:v>
      </x:c>
      <x:c r="H231" s="9" t="str">
        <x:v>Cross-task object reasoning</x:v>
      </x:c>
      <x:c r="I231" s="9" t="str">
        <x:v>XT-GH03</x:v>
      </x:c>
      <x:c r="J231" s="9" t="str">
        <x:v>Reasoning-only cross-task distractor: 1→2 addition</x:v>
      </x:c>
      <x:c r="K231" s="9" t="n">
        <x:v>78</x:v>
      </x:c>
      <x:c r="L231" s="9" t="str">
        <x:v>808; 708</x:v>
      </x:c>
      <x:c r="M231" s="9" t="str">
        <x:v>First episode grounds the Counting prompt/transition; episode 708 grounds direct green-highlighter manipulation. No exact green-highlighter Counting cell exists.</x:v>
      </x:c>
      <x:c r="N231" s="9" t="n">
        <x:v>5</x:v>
      </x:c>
      <x:c r="O231" s="9" t="str">
        <x:v>Reset the exact scene; change only the requested final count.</x:v>
      </x:c>
      <x:c r="P231" s="9" t="str">
        <x:v>The prompt never names the highlighter. The highlighter is a distractor; the familiar Counting transition determines the action.</x:v>
      </x:c>
      <x:c r="Q231" s="9"/>
      <x:c r="R231" s="10"/>
      <x:c r="S231" s="10"/>
      <x:c r="T231" s="9"/>
      <x:c r="U231" s="9"/>
      <x:c r="V231" s="9"/>
      <x:c r="W231" s="9" t="str">
        <x:v>XT-GH03-A</x:v>
      </x:c>
      <x:c r="X231" s="10" t="n">
        <x:v>1</x:v>
      </x:c>
      <x:c r="Y231" s="10" t="n">
        <x:v>2</x:v>
      </x:c>
      <x:c r="Z231" s="9" t="str">
        <x:v>ADD</x:v>
      </x:c>
      <x:c r="AA231" s="9"/>
      <x:c r="AB231" s="9"/>
      <x:c r="AC231" s="9"/>
      <x:c r="AD231" s="9"/>
      <x:c r="AE231" s="9"/>
      <x:c r="AF231" s="9"/>
      <x:c r="AG231" s="9"/>
      <x:c r="AH231" s="9"/>
      <x:c r="AI231" s="11"/>
      <x:c r="AJ231" s="9"/>
      <x:c r="AK231" s="9" t="str">
        <x:v>Eval_Counting.xlsm</x:v>
      </x:c>
      <x:c r="AL231" s="9" t="str">
        <x:v>GR00T vision only Results</x:v>
      </x:c>
      <x:c r="AM231" s="9" t="n">
        <x:v>81</x:v>
      </x:c>
      <x:c r="AN231" s="9" t="n">
        <x:v>81</x:v>
      </x:c>
    </x:row>
    <x:row r="232">
      <x:c r="A232" s="9" t="str">
        <x:v>Failure</x:v>
      </x:c>
      <x:c r="B232" s="9" t="str">
        <x:v>Counting</x:v>
      </x:c>
      <x:c r="C232" s="10" t="n">
        <x:v>80</x:v>
      </x:c>
      <x:c r="D232" s="9" t="str">
        <x:v>Make the bowl contain exactly two objects.</x:v>
      </x:c>
      <x:c r="E232" s="9" t="str">
        <x:v>Bowl objects: [green pencil sharpener] | Table objects: [green highlighter]</x:v>
      </x:c>
      <x:c r="F232" s="9" t="str">
        <x:v>ADD green highlighter; finish with 2 objects in the bowl</x:v>
      </x:c>
      <x:c r="G232" s="9" t="str">
        <x:v>went to the highlighter and was pinching it hten went back home. Then proceded to go back and forth to the green highlighter 3 times</x:v>
      </x:c>
      <x:c r="H232" s="9" t="str">
        <x:v>Cross-task object reasoning</x:v>
      </x:c>
      <x:c r="I232" s="9" t="str">
        <x:v>XT-GH03</x:v>
      </x:c>
      <x:c r="J232" s="9" t="str">
        <x:v>Reasoning-only cross-task target: 1→2 addition</x:v>
      </x:c>
      <x:c r="K232" s="9"/>
      <x:c r="L232" s="9" t="str">
        <x:v>808; 708</x:v>
      </x:c>
      <x:c r="M232" s="9" t="str">
        <x:v>First episode grounds the Counting prompt/transition; episode 708 grounds direct green-highlighter manipulation. No exact green-highlighter Counting cell exists.</x:v>
      </x:c>
      <x:c r="N232" s="9" t="n">
        <x:v>5</x:v>
      </x:c>
      <x:c r="O232" s="9" t="str">
        <x:v>Build counterfactual cross-task scene B.</x:v>
      </x:c>
      <x:c r="P232" s="9" t="str">
        <x:v>The prompt never names the highlighter. The highlighter is the required object; the familiar Counting transition determines the action.</x:v>
      </x:c>
      <x:c r="Q232" s="9"/>
      <x:c r="R232" s="10"/>
      <x:c r="S232" s="10"/>
      <x:c r="T232" s="9"/>
      <x:c r="U232" s="9"/>
      <x:c r="V232" s="9"/>
      <x:c r="W232" s="9" t="str">
        <x:v>XT-GH03-B</x:v>
      </x:c>
      <x:c r="X232" s="10" t="n">
        <x:v>1</x:v>
      </x:c>
      <x:c r="Y232" s="10" t="n">
        <x:v>2</x:v>
      </x:c>
      <x:c r="Z232" s="9" t="str">
        <x:v>ADD</x:v>
      </x:c>
      <x:c r="AA232" s="9"/>
      <x:c r="AB232" s="9"/>
      <x:c r="AC232" s="9"/>
      <x:c r="AD232" s="9"/>
      <x:c r="AE232" s="9"/>
      <x:c r="AF232" s="9"/>
      <x:c r="AG232" s="9"/>
      <x:c r="AH232" s="9"/>
      <x:c r="AI232" s="11"/>
      <x:c r="AJ232" s="9"/>
      <x:c r="AK232" s="9" t="str">
        <x:v>Eval_Counting.xlsm</x:v>
      </x:c>
      <x:c r="AL232" s="9" t="str">
        <x:v>GR00T vision only Results</x:v>
      </x:c>
      <x:c r="AM232" s="9" t="n">
        <x:v>82</x:v>
      </x:c>
      <x:c r="AN232" s="9" t="n">
        <x:v>82</x:v>
      </x:c>
    </x:row>
    <x:row r="233">
      <x:c r="A233" s="9" t="str">
        <x:v>Success</x:v>
      </x:c>
      <x:c r="B233" s="9" t="str">
        <x:v>Counting</x:v>
      </x:c>
      <x:c r="C233" s="10" t="n">
        <x:v>81</x:v>
      </x:c>
      <x:c r="D233" s="9" t="str">
        <x:v>Make the bowl contain exactly zero objects.</x:v>
      </x:c>
      <x:c r="E233" s="9" t="str">
        <x:v>Bowl objects: [green pencil sharpener] | Table objects: [green highlighter]</x:v>
      </x:c>
      <x:c r="F233" s="9" t="str">
        <x:v>REMOVE green pencil sharpener; finish with 0 objects in the bowl</x:v>
      </x:c>
      <x:c r="G233" s="9"/>
      <x:c r="H233" s="9" t="str">
        <x:v>Cross-task object reasoning</x:v>
      </x:c>
      <x:c r="I233" s="9" t="str">
        <x:v>XT-GH03</x:v>
      </x:c>
      <x:c r="J233" s="9" t="str">
        <x:v>Reasoning-only cross-task distractor: 1→0 removal</x:v>
      </x:c>
      <x:c r="K233" s="9" t="n">
        <x:v>80</x:v>
      </x:c>
      <x:c r="L233" s="9" t="str">
        <x:v>825; 708</x:v>
      </x:c>
      <x:c r="M233" s="9" t="str">
        <x:v>First episode grounds the Counting prompt/transition; episode 708 grounds direct green-highlighter manipulation. No exact green-highlighter Counting cell exists.</x:v>
      </x:c>
      <x:c r="N233" s="9" t="n">
        <x:v>5</x:v>
      </x:c>
      <x:c r="O233" s="9" t="str">
        <x:v>Reset the exact scene; change only the requested final count.</x:v>
      </x:c>
      <x:c r="P233" s="9" t="str">
        <x:v>The prompt never names the highlighter. The highlighter is a distractor; the familiar Counting transition determines the action.</x:v>
      </x:c>
      <x:c r="Q233" s="9"/>
      <x:c r="R233" s="10"/>
      <x:c r="S233" s="10"/>
      <x:c r="T233" s="9"/>
      <x:c r="U233" s="9"/>
      <x:c r="V233" s="9"/>
      <x:c r="W233" s="9" t="str">
        <x:v>XT-GH03-B</x:v>
      </x:c>
      <x:c r="X233" s="10" t="n">
        <x:v>1</x:v>
      </x:c>
      <x:c r="Y233" s="10" t="n">
        <x:v>0</x:v>
      </x:c>
      <x:c r="Z233" s="9" t="str">
        <x:v>REMOVE</x:v>
      </x:c>
      <x:c r="AA233" s="9"/>
      <x:c r="AB233" s="9"/>
      <x:c r="AC233" s="9"/>
      <x:c r="AD233" s="9"/>
      <x:c r="AE233" s="9"/>
      <x:c r="AF233" s="9"/>
      <x:c r="AG233" s="9"/>
      <x:c r="AH233" s="9"/>
      <x:c r="AI233" s="11"/>
      <x:c r="AJ233" s="9"/>
      <x:c r="AK233" s="9" t="str">
        <x:v>Eval_Counting.xlsm</x:v>
      </x:c>
      <x:c r="AL233" s="9" t="str">
        <x:v>GR00T vision only Results</x:v>
      </x:c>
      <x:c r="AM233" s="9" t="n">
        <x:v>83</x:v>
      </x:c>
      <x:c r="AN233" s="9" t="n">
        <x:v>83</x:v>
      </x:c>
    </x:row>
    <x:row r="234">
      <x:c r="A234" s="9" t="str">
        <x:v>Failure</x:v>
      </x:c>
      <x:c r="B234" s="9" t="str">
        <x:v>Counting</x:v>
      </x:c>
      <x:c r="C234" s="10" t="n">
        <x:v>82</x:v>
      </x:c>
      <x:c r="D234" s="9" t="str">
        <x:v>Leave exactly one object in the bowl.</x:v>
      </x:c>
      <x:c r="E234" s="9" t="str">
        <x:v>Bowl objects: [yellow block, airplane toy without propellers] | Table objects: [blue pen]</x:v>
      </x:c>
      <x:c r="F234" s="9" t="str">
        <x:v>REMOVE any one bowl object; finish with 1 object in the bowl</x:v>
      </x:c>
      <x:c r="G234" s="9" t="str">
        <x:v>didn't move</x:v>
      </x:c>
      <x:c r="H234" s="9" t="str">
        <x:v>Concept/compositional transfer</x:v>
      </x:c>
      <x:c r="I234" s="9" t="str">
        <x:v>CT-CF17</x:v>
      </x:c>
      <x:c r="J234" s="9" t="str">
        <x:v>Primary: one via held-out 2→1 removal</x:v>
      </x:c>
      <x:c r="K234" s="9"/>
      <x:c r="L234" s="9" t="str">
        <x:v>881</x:v>
      </x:c>
      <x:c r="M234" s="9" t="str">
        <x:v>Representative direct-instruction trajectory for yellow block; the evaluated count × transition composition is intentionally absent.</x:v>
      </x:c>
      <x:c r="N234" s="9" t="n">
        <x:v>4</x:v>
      </x:c>
      <x:c r="O234" s="9" t="str">
        <x:v>Build the listed count-2 scene.</x:v>
      </x:c>
      <x:c r="P234" s="9" t="str">
        <x:v>The goal word one is trained, and this 2→1 trajectory is trained under a direct instruction, but the combination is withheld.</x:v>
      </x:c>
      <x:c r="Q234" s="9"/>
      <x:c r="R234" s="10"/>
      <x:c r="S234" s="10"/>
      <x:c r="T234" s="9"/>
      <x:c r="U234" s="9"/>
      <x:c r="V234" s="9"/>
      <x:c r="W234" s="9" t="str">
        <x:v>CT-CF17-REMOVE</x:v>
      </x:c>
      <x:c r="X234" s="10" t="n">
        <x:v>2</x:v>
      </x:c>
      <x:c r="Y234" s="10" t="n">
        <x:v>1</x:v>
      </x:c>
      <x:c r="Z234" s="9" t="str">
        <x:v>REMOVE</x:v>
      </x:c>
      <x:c r="AA234" s="9"/>
      <x:c r="AB234" s="9"/>
      <x:c r="AC234" s="9"/>
      <x:c r="AD234" s="9"/>
      <x:c r="AE234" s="9"/>
      <x:c r="AF234" s="9"/>
      <x:c r="AG234" s="9"/>
      <x:c r="AH234" s="9"/>
      <x:c r="AI234" s="11"/>
      <x:c r="AJ234" s="9"/>
      <x:c r="AK234" s="9" t="str">
        <x:v>Eval_Counting.xlsm</x:v>
      </x:c>
      <x:c r="AL234" s="9" t="str">
        <x:v>GR00T vision only Results</x:v>
      </x:c>
      <x:c r="AM234" s="9" t="n">
        <x:v>84</x:v>
      </x:c>
      <x:c r="AN234" s="9" t="n">
        <x:v>84</x:v>
      </x:c>
    </x:row>
    <x:row r="235">
      <x:c r="A235" s="9" t="str">
        <x:v>Failure</x:v>
      </x:c>
      <x:c r="B235" s="9" t="str">
        <x:v>Counting</x:v>
      </x:c>
      <x:c r="C235" s="10" t="n">
        <x:v>83</x:v>
      </x:c>
      <x:c r="D235" s="9" t="str">
        <x:v>Leave exactly three objects in the bowl.</x:v>
      </x:c>
      <x:c r="E235" s="9" t="str">
        <x:v>Bowl objects: [yellow block, airplane toy without propellers] | Table objects: [blue pen]</x:v>
      </x:c>
      <x:c r="F235" s="9" t="str">
        <x:v>ADD any one table object; finish with 3 objects in the bowl</x:v>
      </x:c>
      <x:c r="G235" s="9" t="str">
        <x:v>didn't move</x:v>
      </x:c>
      <x:c r="H235" s="9" t="str">
        <x:v>Concept/compositional transfer</x:v>
      </x:c>
      <x:c r="I235" s="9" t="str">
        <x:v>CT-CF17</x:v>
      </x:c>
      <x:c r="J235" s="9" t="str">
        <x:v>Primary: three via held-out 2→3 addition</x:v>
      </x:c>
      <x:c r="K235" s="9" t="n">
        <x:v>82</x:v>
      </x:c>
      <x:c r="L235" s="9" t="str">
        <x:v>816</x:v>
      </x:c>
      <x:c r="M235" s="9" t="str">
        <x:v>Representative direct-instruction trajectory for blue pen; the evaluated count × transition composition is intentionally absent.</x:v>
      </x:c>
      <x:c r="N235" s="9" t="n">
        <x:v>4</x:v>
      </x:c>
      <x:c r="O235" s="9" t="str">
        <x:v>Reset the exact count-2 scene; change only the prompt.</x:v>
      </x:c>
      <x:c r="P235" s="9" t="str">
        <x:v>The goal word three is trained, and this 2→3 trajectory is trained under a direct instruction, but the combination is withheld.</x:v>
      </x:c>
      <x:c r="Q235" s="9"/>
      <x:c r="R235" s="10"/>
      <x:c r="S235" s="10"/>
      <x:c r="T235" s="9"/>
      <x:c r="U235" s="9"/>
      <x:c r="V235" s="9"/>
      <x:c r="W235" s="9" t="str">
        <x:v>CT-CF17-ADD</x:v>
      </x:c>
      <x:c r="X235" s="10" t="n">
        <x:v>2</x:v>
      </x:c>
      <x:c r="Y235" s="10" t="n">
        <x:v>3</x:v>
      </x:c>
      <x:c r="Z235" s="9" t="str">
        <x:v>ADD</x:v>
      </x:c>
      <x:c r="AA235" s="9"/>
      <x:c r="AB235" s="9"/>
      <x:c r="AC235" s="9"/>
      <x:c r="AD235" s="9"/>
      <x:c r="AE235" s="9"/>
      <x:c r="AF235" s="9"/>
      <x:c r="AG235" s="9"/>
      <x:c r="AH235" s="9"/>
      <x:c r="AI235" s="11"/>
      <x:c r="AJ235" s="9"/>
      <x:c r="AK235" s="9" t="str">
        <x:v>Eval_Counting.xlsm</x:v>
      </x:c>
      <x:c r="AL235" s="9" t="str">
        <x:v>GR00T vision only Results</x:v>
      </x:c>
      <x:c r="AM235" s="9" t="n">
        <x:v>85</x:v>
      </x:c>
      <x:c r="AN235" s="9" t="n">
        <x:v>85</x:v>
      </x:c>
    </x:row>
    <x:row r="236">
      <x:c r="A236" s="9" t="str">
        <x:v>Failure</x:v>
      </x:c>
      <x:c r="B236" s="9" t="str">
        <x:v>Counting</x:v>
      </x:c>
      <x:c r="C236" s="10" t="n">
        <x:v>84</x:v>
      </x:c>
      <x:c r="D236" s="9" t="str">
        <x:v>Leave exactly one object in the bowl.</x:v>
      </x:c>
      <x:c r="E236" s="9" t="str">
        <x:v>Bowl objects: [blue pen, airplane toy without propellers] | Table objects: [yellow block, green pencil sharpener]</x:v>
      </x:c>
      <x:c r="F236" s="9" t="str">
        <x:v>REMOVE any one bowl object; finish with 1 object in the bowl</x:v>
      </x:c>
      <x:c r="G236" s="9" t="str">
        <x:v>didn't move</x:v>
      </x:c>
      <x:c r="H236" s="9" t="str">
        <x:v>Concept/compositional transfer</x:v>
      </x:c>
      <x:c r="I236" s="9" t="str">
        <x:v>CT-CF03</x:v>
      </x:c>
      <x:c r="J236" s="9" t="str">
        <x:v>Primary: one via held-out 2→1 removal</x:v>
      </x:c>
      <x:c r="K236" s="9"/>
      <x:c r="L236" s="9" t="str">
        <x:v>831</x:v>
      </x:c>
      <x:c r="M236" s="9" t="str">
        <x:v>Representative direct-instruction trajectory for blue pen; the evaluated count × transition composition is intentionally absent.</x:v>
      </x:c>
      <x:c r="N236" s="9" t="n">
        <x:v>2</x:v>
      </x:c>
      <x:c r="O236" s="9" t="str">
        <x:v>Build the listed count-2 scene.</x:v>
      </x:c>
      <x:c r="P236" s="9" t="str">
        <x:v>The goal word one is trained, and this 2→1 trajectory is trained under a direct instruction, but the combination is withheld.</x:v>
      </x:c>
      <x:c r="Q236" s="9"/>
      <x:c r="R236" s="10"/>
      <x:c r="S236" s="10"/>
      <x:c r="T236" s="9"/>
      <x:c r="U236" s="9"/>
      <x:c r="V236" s="9"/>
      <x:c r="W236" s="9" t="str">
        <x:v>CT-CF03-REMOVE</x:v>
      </x:c>
      <x:c r="X236" s="10" t="n">
        <x:v>2</x:v>
      </x:c>
      <x:c r="Y236" s="10" t="n">
        <x:v>1</x:v>
      </x:c>
      <x:c r="Z236" s="9" t="str">
        <x:v>REMOVE</x:v>
      </x:c>
      <x:c r="AA236" s="9"/>
      <x:c r="AB236" s="9"/>
      <x:c r="AC236" s="9"/>
      <x:c r="AD236" s="9"/>
      <x:c r="AE236" s="9"/>
      <x:c r="AF236" s="9"/>
      <x:c r="AG236" s="9"/>
      <x:c r="AH236" s="9"/>
      <x:c r="AI236" s="11"/>
      <x:c r="AJ236" s="9"/>
      <x:c r="AK236" s="9" t="str">
        <x:v>Eval_Counting.xlsm</x:v>
      </x:c>
      <x:c r="AL236" s="9" t="str">
        <x:v>GR00T vision only Results</x:v>
      </x:c>
      <x:c r="AM236" s="9" t="n">
        <x:v>86</x:v>
      </x:c>
      <x:c r="AN236" s="9" t="n">
        <x:v>86</x:v>
      </x:c>
    </x:row>
    <x:row r="237">
      <x:c r="A237" s="9" t="str">
        <x:v>Success</x:v>
      </x:c>
      <x:c r="B237" s="9" t="str">
        <x:v>Counting</x:v>
      </x:c>
      <x:c r="C237" s="10" t="n">
        <x:v>85</x:v>
      </x:c>
      <x:c r="D237" s="9" t="str">
        <x:v>Move the blue pen from the bowl to the table.</x:v>
      </x:c>
      <x:c r="E237" s="9" t="str">
        <x:v>Bowl objects: [blue pen, airplane toy without propellers] | Table objects: [yellow block, green pencil sharpener]</x:v>
      </x:c>
      <x:c r="F237" s="9" t="str">
        <x:v>REMOVE blue pen</x:v>
      </x:c>
      <x:c r="G237" s="9"/>
      <x:c r="H237" s="9" t="str">
        <x:v>Matched manipulation control</x:v>
      </x:c>
      <x:c r="I237" s="9" t="str">
        <x:v>CT-CF03</x:v>
      </x:c>
      <x:c r="J237" s="9" t="str">
        <x:v>Matched direct REMOVE control</x:v>
      </x:c>
      <x:c r="K237" s="9" t="n">
        <x:v>84</x:v>
      </x:c>
      <x:c r="L237" s="9" t="str">
        <x:v>835</x:v>
      </x:c>
      <x:c r="M237" s="9" t="str">
        <x:v>Exact direct-prompt trajectory for the named object and action direction; evaluation layout is reset manually.</x:v>
      </x:c>
      <x:c r="N237" s="9" t="n">
        <x:v>2</x:v>
      </x:c>
      <x:c r="O237" s="9" t="str">
        <x:v>Reset the exact count-2 scene; change only the prompt.</x:v>
      </x:c>
      <x:c r="P237" s="9" t="str">
        <x:v>The direct prompt is present in Counting training for this same-task object and action direction.</x:v>
      </x:c>
      <x:c r="Q237" s="9"/>
      <x:c r="R237" s="10"/>
      <x:c r="S237" s="10"/>
      <x:c r="T237" s="9"/>
      <x:c r="U237" s="9"/>
      <x:c r="V237" s="9"/>
      <x:c r="W237" s="9" t="str">
        <x:v>CT-CF03-REMOVE</x:v>
      </x:c>
      <x:c r="X237" s="10" t="n">
        <x:v>2</x:v>
      </x:c>
      <x:c r="Y237" s="10" t="n">
        <x:v>1</x:v>
      </x:c>
      <x:c r="Z237" s="9" t="str">
        <x:v>REMOVE</x:v>
      </x:c>
      <x:c r="AA237" s="9"/>
      <x:c r="AB237" s="9"/>
      <x:c r="AC237" s="9"/>
      <x:c r="AD237" s="9"/>
      <x:c r="AE237" s="9"/>
      <x:c r="AF237" s="9"/>
      <x:c r="AG237" s="9"/>
      <x:c r="AH237" s="9"/>
      <x:c r="AI237" s="11"/>
      <x:c r="AJ237" s="9"/>
      <x:c r="AK237" s="9" t="str">
        <x:v>Eval_Counting.xlsm</x:v>
      </x:c>
      <x:c r="AL237" s="9" t="str">
        <x:v>GR00T vision only Results</x:v>
      </x:c>
      <x:c r="AM237" s="9" t="n">
        <x:v>87</x:v>
      </x:c>
      <x:c r="AN237" s="9" t="n">
        <x:v>87</x:v>
      </x:c>
    </x:row>
    <x:row r="238">
      <x:c r="A238" s="9" t="str">
        <x:v>Failure</x:v>
      </x:c>
      <x:c r="B238" s="9" t="str">
        <x:v>Counting</x:v>
      </x:c>
      <x:c r="C238" s="10" t="n">
        <x:v>86</x:v>
      </x:c>
      <x:c r="D238" s="9" t="str">
        <x:v>Change the contents so the bowl ends up holding one item.</x:v>
      </x:c>
      <x:c r="E238" s="9" t="str">
        <x:v>Bowl objects: [blue pen, airplane toy without propellers] | Table objects: [yellow block, green pencil sharpener]</x:v>
      </x:c>
      <x:c r="F238" s="9" t="str">
        <x:v>REMOVE any one bowl object; finish with 1 object in the bowl</x:v>
      </x:c>
      <x:c r="G238" s="9" t="str">
        <x:v>didn't move</x:v>
      </x:c>
      <x:c r="H238" s="9" t="str">
        <x:v>Language robustness</x:v>
      </x:c>
      <x:c r="I238" s="9" t="str">
        <x:v>CT-CF03</x:v>
      </x:c>
      <x:c r="J238" s="9" t="str">
        <x:v>Primary compositional paraphrase: one via 2→1 removal</x:v>
      </x:c>
      <x:c r="K238" s="9" t="n">
        <x:v>84</x:v>
      </x:c>
      <x:c r="L238" s="9" t="str">
        <x:v>831</x:v>
      </x:c>
      <x:c r="M238" s="9" t="str">
        <x:v>Representative direct-instruction trajectory for blue pen; the evaluated count × transition composition is intentionally absent. The evaluation wording is also paraphrased.</x:v>
      </x:c>
      <x:c r="N238" s="9" t="n">
        <x:v>2</x:v>
      </x:c>
      <x:c r="O238" s="9" t="str">
        <x:v>Build the listed count-2 scene.</x:v>
      </x:c>
      <x:c r="P238" s="9" t="str">
        <x:v>Exact-scene paraphrase of the canonical held-out composition.</x:v>
      </x:c>
      <x:c r="Q238" s="9"/>
      <x:c r="R238" s="10"/>
      <x:c r="S238" s="10"/>
      <x:c r="T238" s="9"/>
      <x:c r="U238" s="9"/>
      <x:c r="V238" s="9"/>
      <x:c r="W238" s="9" t="str">
        <x:v>CT-CF03-REMOVE</x:v>
      </x:c>
      <x:c r="X238" s="10" t="n">
        <x:v>2</x:v>
      </x:c>
      <x:c r="Y238" s="10" t="n">
        <x:v>1</x:v>
      </x:c>
      <x:c r="Z238" s="9" t="str">
        <x:v>REMOVE</x:v>
      </x:c>
      <x:c r="AA238" s="9"/>
      <x:c r="AB238" s="9"/>
      <x:c r="AC238" s="9"/>
      <x:c r="AD238" s="9"/>
      <x:c r="AE238" s="9"/>
      <x:c r="AF238" s="9"/>
      <x:c r="AG238" s="9"/>
      <x:c r="AH238" s="9"/>
      <x:c r="AI238" s="11"/>
      <x:c r="AJ238" s="9"/>
      <x:c r="AK238" s="9" t="str">
        <x:v>Eval_Counting.xlsm</x:v>
      </x:c>
      <x:c r="AL238" s="9" t="str">
        <x:v>GR00T vision only Results</x:v>
      </x:c>
      <x:c r="AM238" s="9" t="n">
        <x:v>88</x:v>
      </x:c>
      <x:c r="AN238" s="9" t="n">
        <x:v>88</x:v>
      </x:c>
    </x:row>
    <x:row r="239">
      <x:c r="A239" s="9" t="str">
        <x:v>Success</x:v>
      </x:c>
      <x:c r="B239" s="9" t="str">
        <x:v>Counting</x:v>
      </x:c>
      <x:c r="C239" s="10" t="n">
        <x:v>87</x:v>
      </x:c>
      <x:c r="D239" s="9" t="str">
        <x:v>Lift the blue pen out of the bowl and set it on the table.</x:v>
      </x:c>
      <x:c r="E239" s="9" t="str">
        <x:v>Bowl objects: [blue pen, airplane toy without propellers] | Table objects: [yellow block, green pencil sharpener]</x:v>
      </x:c>
      <x:c r="F239" s="9" t="str">
        <x:v>REMOVE blue pen</x:v>
      </x:c>
      <x:c r="G239" s="9"/>
      <x:c r="H239" s="9" t="str">
        <x:v>Language robustness</x:v>
      </x:c>
      <x:c r="I239" s="9" t="str">
        <x:v>CT-CF03</x:v>
      </x:c>
      <x:c r="J239" s="9" t="str">
        <x:v>Matched-control paraphrase: REMOVE</x:v>
      </x:c>
      <x:c r="K239" s="9" t="n">
        <x:v>85</x:v>
      </x:c>
      <x:c r="L239" s="9" t="str">
        <x:v>835</x:v>
      </x:c>
      <x:c r="M239" s="9" t="str">
        <x:v>Canonical direct-control trajectory for the named object and action direction; evaluation wording is paraphrased.</x:v>
      </x:c>
      <x:c r="N239" s="9" t="n">
        <x:v>2</x:v>
      </x:c>
      <x:c r="O239" s="9" t="str">
        <x:v>Reset the exact count-2 scene; change only the prompt.</x:v>
      </x:c>
      <x:c r="P239" s="9" t="str">
        <x:v>Exact-scene paraphrase of the direct manipulation control.</x:v>
      </x:c>
      <x:c r="Q239" s="9"/>
      <x:c r="R239" s="10"/>
      <x:c r="S239" s="10"/>
      <x:c r="T239" s="9"/>
      <x:c r="U239" s="9"/>
      <x:c r="V239" s="9"/>
      <x:c r="W239" s="9" t="str">
        <x:v>CT-CF03-REMOVE</x:v>
      </x:c>
      <x:c r="X239" s="10" t="n">
        <x:v>2</x:v>
      </x:c>
      <x:c r="Y239" s="10" t="n">
        <x:v>1</x:v>
      </x:c>
      <x:c r="Z239" s="9" t="str">
        <x:v>REMOVE</x:v>
      </x:c>
      <x:c r="AA239" s="9"/>
      <x:c r="AB239" s="9"/>
      <x:c r="AC239" s="9"/>
      <x:c r="AD239" s="9"/>
      <x:c r="AE239" s="9"/>
      <x:c r="AF239" s="9"/>
      <x:c r="AG239" s="9"/>
      <x:c r="AH239" s="9"/>
      <x:c r="AI239" s="11"/>
      <x:c r="AJ239" s="9"/>
      <x:c r="AK239" s="9" t="str">
        <x:v>Eval_Counting.xlsm</x:v>
      </x:c>
      <x:c r="AL239" s="9" t="str">
        <x:v>GR00T vision only Results</x:v>
      </x:c>
      <x:c r="AM239" s="9" t="n">
        <x:v>89</x:v>
      </x:c>
      <x:c r="AN239" s="9" t="n">
        <x:v>89</x:v>
      </x:c>
    </x:row>
    <x:row r="240">
      <x:c r="A240" s="9" t="str">
        <x:v>Failure</x:v>
      </x:c>
      <x:c r="B240" s="9" t="str">
        <x:v>Counting</x:v>
      </x:c>
      <x:c r="C240" s="10" t="n">
        <x:v>88</x:v>
      </x:c>
      <x:c r="D240" s="9" t="str">
        <x:v>Move the yellow block into the bowl.</x:v>
      </x:c>
      <x:c r="E240" s="9" t="str">
        <x:v>Bowl objects: [blue pen, airplane toy without propellers] | Table objects: [yellow block, green pencil sharpener]</x:v>
      </x:c>
      <x:c r="F240" s="9" t="str">
        <x:v>ADD yellow block</x:v>
      </x:c>
      <x:c r="G240" s="9" t="str">
        <x:v>succeeded reasoning; got the block to the bowl, but didn't return home</x:v>
      </x:c>
      <x:c r="H240" s="9" t="str">
        <x:v>Matched manipulation control</x:v>
      </x:c>
      <x:c r="I240" s="9" t="str">
        <x:v>CT-CF03</x:v>
      </x:c>
      <x:c r="J240" s="9" t="str">
        <x:v>Matched direct ADD control</x:v>
      </x:c>
      <x:c r="K240" s="9"/>
      <x:c r="L240" s="9" t="str">
        <x:v>872</x:v>
      </x:c>
      <x:c r="M240" s="9" t="str">
        <x:v>Exact direct-prompt trajectory for the named object and action direction; evaluation layout is reset manually.</x:v>
      </x:c>
      <x:c r="N240" s="9" t="n">
        <x:v>2</x:v>
      </x:c>
      <x:c r="O240" s="9" t="str">
        <x:v>Reset the exact count-2 scene; change only the prompt.</x:v>
      </x:c>
      <x:c r="P240" s="9" t="str">
        <x:v>The direct prompt is present in Counting training for this same-task object and action direction.</x:v>
      </x:c>
      <x:c r="Q240" s="9"/>
      <x:c r="R240" s="10"/>
      <x:c r="S240" s="10"/>
      <x:c r="T240" s="9"/>
      <x:c r="U240" s="9"/>
      <x:c r="V240" s="9"/>
      <x:c r="W240" s="9" t="str">
        <x:v>CT-CF03-ADD</x:v>
      </x:c>
      <x:c r="X240" s="10" t="n">
        <x:v>2</x:v>
      </x:c>
      <x:c r="Y240" s="10" t="n">
        <x:v>3</x:v>
      </x:c>
      <x:c r="Z240" s="9" t="str">
        <x:v>ADD</x:v>
      </x:c>
      <x:c r="AA240" s="9"/>
      <x:c r="AB240" s="9"/>
      <x:c r="AC240" s="9"/>
      <x:c r="AD240" s="9"/>
      <x:c r="AE240" s="9"/>
      <x:c r="AF240" s="9"/>
      <x:c r="AG240" s="9"/>
      <x:c r="AH240" s="9"/>
      <x:c r="AI240" s="11"/>
      <x:c r="AJ240" s="9"/>
      <x:c r="AK240" s="9" t="str">
        <x:v>Eval_Counting.xlsm</x:v>
      </x:c>
      <x:c r="AL240" s="9" t="str">
        <x:v>GR00T vision only Results</x:v>
      </x:c>
      <x:c r="AM240" s="9" t="n">
        <x:v>90</x:v>
      </x:c>
      <x:c r="AN240" s="9" t="n">
        <x:v>90</x:v>
      </x:c>
    </x:row>
    <x:row r="241">
      <x:c r="A241" s="9" t="str">
        <x:v>Failure</x:v>
      </x:c>
      <x:c r="B241" s="9" t="str">
        <x:v>Counting</x:v>
      </x:c>
      <x:c r="C241" s="10" t="n">
        <x:v>89</x:v>
      </x:c>
      <x:c r="D241" s="9" t="str">
        <x:v>Leave exactly three objects in the bowl.</x:v>
      </x:c>
      <x:c r="E241" s="9" t="str">
        <x:v>Bowl objects: [blue pen, airplane toy without propellers] | Table objects: [yellow block, green pencil sharpener]</x:v>
      </x:c>
      <x:c r="F241" s="9" t="str">
        <x:v>ADD any one table object; finish with 3 objects in the bowl</x:v>
      </x:c>
      <x:c r="G241" s="9" t="str">
        <x:v>didn't move</x:v>
      </x:c>
      <x:c r="H241" s="9" t="str">
        <x:v>Concept/compositional transfer</x:v>
      </x:c>
      <x:c r="I241" s="9" t="str">
        <x:v>CT-CF03</x:v>
      </x:c>
      <x:c r="J241" s="9" t="str">
        <x:v>Primary: three via held-out 2→3 addition</x:v>
      </x:c>
      <x:c r="K241" s="9" t="n">
        <x:v>88</x:v>
      </x:c>
      <x:c r="L241" s="9" t="str">
        <x:v>916</x:v>
      </x:c>
      <x:c r="M241" s="9" t="str">
        <x:v>Representative direct-instruction trajectory for green pencil sharpener; the evaluated count × transition composition is intentionally absent.</x:v>
      </x:c>
      <x:c r="N241" s="9" t="n">
        <x:v>2</x:v>
      </x:c>
      <x:c r="O241" s="9" t="str">
        <x:v>Reset the exact count-2 scene; change only the prompt.</x:v>
      </x:c>
      <x:c r="P241" s="9" t="str">
        <x:v>The goal word three is trained, and this 2→3 trajectory is trained under a direct instruction, but the combination is withheld.</x:v>
      </x:c>
      <x:c r="Q241" s="9"/>
      <x:c r="R241" s="10"/>
      <x:c r="S241" s="10"/>
      <x:c r="T241" s="9"/>
      <x:c r="U241" s="9"/>
      <x:c r="V241" s="9"/>
      <x:c r="W241" s="9" t="str">
        <x:v>CT-CF03-ADD</x:v>
      </x:c>
      <x:c r="X241" s="10" t="n">
        <x:v>2</x:v>
      </x:c>
      <x:c r="Y241" s="10" t="n">
        <x:v>3</x:v>
      </x:c>
      <x:c r="Z241" s="9" t="str">
        <x:v>ADD</x:v>
      </x:c>
      <x:c r="AA241" s="9"/>
      <x:c r="AB241" s="9"/>
      <x:c r="AC241" s="9"/>
      <x:c r="AD241" s="9"/>
      <x:c r="AE241" s="9"/>
      <x:c r="AF241" s="9"/>
      <x:c r="AG241" s="9"/>
      <x:c r="AH241" s="9"/>
      <x:c r="AI241" s="11"/>
      <x:c r="AJ241" s="9"/>
      <x:c r="AK241" s="9" t="str">
        <x:v>Eval_Counting.xlsm</x:v>
      </x:c>
      <x:c r="AL241" s="9" t="str">
        <x:v>GR00T vision only Results</x:v>
      </x:c>
      <x:c r="AM241" s="9" t="n">
        <x:v>91</x:v>
      </x:c>
      <x:c r="AN241" s="9" t="n">
        <x:v>91</x:v>
      </x:c>
    </x:row>
    <x:row r="242">
      <x:c r="A242" s="9" t="str">
        <x:v>Failure</x:v>
      </x:c>
      <x:c r="B242" s="9" t="str">
        <x:v>Counting</x:v>
      </x:c>
      <x:c r="C242" s="10" t="n">
        <x:v>90</x:v>
      </x:c>
      <x:c r="D242" s="9" t="str">
        <x:v>Lift the yellow block from the table and set it inside the bowl.</x:v>
      </x:c>
      <x:c r="E242" s="9" t="str">
        <x:v>Bowl objects: [blue pen, airplane toy without propellers] | Table objects: [yellow block, green pencil sharpener]</x:v>
      </x:c>
      <x:c r="F242" s="9" t="str">
        <x:v>ADD yellow block</x:v>
      </x:c>
      <x:c r="G242" s="9" t="str">
        <x:v>didn't move</x:v>
      </x:c>
      <x:c r="H242" s="9" t="str">
        <x:v>Language robustness</x:v>
      </x:c>
      <x:c r="I242" s="9" t="str">
        <x:v>CT-CF03</x:v>
      </x:c>
      <x:c r="J242" s="9" t="str">
        <x:v>Matched-control paraphrase: ADD</x:v>
      </x:c>
      <x:c r="K242" s="9" t="n">
        <x:v>88</x:v>
      </x:c>
      <x:c r="L242" s="9" t="str">
        <x:v>872</x:v>
      </x:c>
      <x:c r="M242" s="9" t="str">
        <x:v>Canonical direct-control trajectory for the named object and action direction; evaluation wording is paraphrased.</x:v>
      </x:c>
      <x:c r="N242" s="9" t="n">
        <x:v>2</x:v>
      </x:c>
      <x:c r="O242" s="9" t="str">
        <x:v>Reset the exact count-2 scene; change only the prompt.</x:v>
      </x:c>
      <x:c r="P242" s="9" t="str">
        <x:v>Exact-scene paraphrase of the direct manipulation control.</x:v>
      </x:c>
      <x:c r="Q242" s="9"/>
      <x:c r="R242" s="10"/>
      <x:c r="S242" s="10"/>
      <x:c r="T242" s="9"/>
      <x:c r="U242" s="9"/>
      <x:c r="V242" s="9"/>
      <x:c r="W242" s="9" t="str">
        <x:v>CT-CF03-ADD</x:v>
      </x:c>
      <x:c r="X242" s="10" t="n">
        <x:v>2</x:v>
      </x:c>
      <x:c r="Y242" s="10" t="n">
        <x:v>3</x:v>
      </x:c>
      <x:c r="Z242" s="9" t="str">
        <x:v>ADD</x:v>
      </x:c>
      <x:c r="AA242" s="9"/>
      <x:c r="AB242" s="9"/>
      <x:c r="AC242" s="9"/>
      <x:c r="AD242" s="9"/>
      <x:c r="AE242" s="9"/>
      <x:c r="AF242" s="9"/>
      <x:c r="AG242" s="9"/>
      <x:c r="AH242" s="9"/>
      <x:c r="AI242" s="11"/>
      <x:c r="AJ242" s="9"/>
      <x:c r="AK242" s="9" t="str">
        <x:v>Eval_Counting.xlsm</x:v>
      </x:c>
      <x:c r="AL242" s="9" t="str">
        <x:v>GR00T vision only Results</x:v>
      </x:c>
      <x:c r="AM242" s="9" t="n">
        <x:v>92</x:v>
      </x:c>
      <x:c r="AN242" s="9" t="n">
        <x:v>92</x:v>
      </x:c>
    </x:row>
    <x:row r="243">
      <x:c r="A243" s="9" t="str">
        <x:v>Failure</x:v>
      </x:c>
      <x:c r="B243" s="9" t="str">
        <x:v>Counting</x:v>
      </x:c>
      <x:c r="C243" s="10" t="n">
        <x:v>91</x:v>
      </x:c>
      <x:c r="D243" s="9" t="str">
        <x:v>Change the contents so the bowl ends up holding three items.</x:v>
      </x:c>
      <x:c r="E243" s="9" t="str">
        <x:v>Bowl objects: [blue pen, airplane toy without propellers] | Table objects: [yellow block, green pencil sharpener]</x:v>
      </x:c>
      <x:c r="F243" s="9" t="str">
        <x:v>ADD any one table object; finish with 3 objects in the bowl</x:v>
      </x:c>
      <x:c r="G243" s="9" t="str">
        <x:v>didn't move</x:v>
      </x:c>
      <x:c r="H243" s="9" t="str">
        <x:v>Language robustness</x:v>
      </x:c>
      <x:c r="I243" s="9" t="str">
        <x:v>CT-CF03</x:v>
      </x:c>
      <x:c r="J243" s="9" t="str">
        <x:v>Primary compositional paraphrase: three via 2→3 addition</x:v>
      </x:c>
      <x:c r="K243" s="9" t="n">
        <x:v>89</x:v>
      </x:c>
      <x:c r="L243" s="9" t="str">
        <x:v>916</x:v>
      </x:c>
      <x:c r="M243" s="9" t="str">
        <x:v>Representative direct-instruction trajectory for green pencil sharpener; the evaluated count × transition composition is intentionally absent. The evaluation wording is also paraphrased.</x:v>
      </x:c>
      <x:c r="N243" s="9" t="n">
        <x:v>2</x:v>
      </x:c>
      <x:c r="O243" s="9" t="str">
        <x:v>Reset the exact count-2 scene; change only the prompt.</x:v>
      </x:c>
      <x:c r="P243" s="9" t="str">
        <x:v>Exact-scene paraphrase of the canonical held-out composition.</x:v>
      </x:c>
      <x:c r="Q243" s="9"/>
      <x:c r="R243" s="10"/>
      <x:c r="S243" s="10"/>
      <x:c r="T243" s="9"/>
      <x:c r="U243" s="9"/>
      <x:c r="V243" s="9"/>
      <x:c r="W243" s="9" t="str">
        <x:v>CT-CF03-ADD</x:v>
      </x:c>
      <x:c r="X243" s="10" t="n">
        <x:v>2</x:v>
      </x:c>
      <x:c r="Y243" s="10" t="n">
        <x:v>3</x:v>
      </x:c>
      <x:c r="Z243" s="9" t="str">
        <x:v>ADD</x:v>
      </x:c>
      <x:c r="AA243" s="9"/>
      <x:c r="AB243" s="9"/>
      <x:c r="AC243" s="9"/>
      <x:c r="AD243" s="9"/>
      <x:c r="AE243" s="9"/>
      <x:c r="AF243" s="9"/>
      <x:c r="AG243" s="9"/>
      <x:c r="AH243" s="9"/>
      <x:c r="AI243" s="11"/>
      <x:c r="AJ243" s="9"/>
      <x:c r="AK243" s="9" t="str">
        <x:v>Eval_Counting.xlsm</x:v>
      </x:c>
      <x:c r="AL243" s="9" t="str">
        <x:v>GR00T vision only Results</x:v>
      </x:c>
      <x:c r="AM243" s="9" t="n">
        <x:v>93</x:v>
      </x:c>
      <x:c r="AN243" s="9" t="n">
        <x:v>93</x:v>
      </x:c>
    </x:row>
    <x:row r="244">
      <x:c r="A244" s="9" t="str">
        <x:v>Failure</x:v>
      </x:c>
      <x:c r="B244" s="9" t="str">
        <x:v>Counting</x:v>
      </x:c>
      <x:c r="C244" s="10" t="n">
        <x:v>92</x:v>
      </x:c>
      <x:c r="D244" s="9" t="str">
        <x:v>Leave exactly one object in the bowl.</x:v>
      </x:c>
      <x:c r="E244" s="9" t="str">
        <x:v>Bowl objects: [blue pen, yellow block] | Table objects: [green pencil sharpener, airplane toy without propellers]</x:v>
      </x:c>
      <x:c r="F244" s="9" t="str">
        <x:v>REMOVE any one bowl object; finish with 1 object in the bowl</x:v>
      </x:c>
      <x:c r="G244" s="9" t="str">
        <x:v>didn't move</x:v>
      </x:c>
      <x:c r="H244" s="9" t="str">
        <x:v>Concept/compositional transfer</x:v>
      </x:c>
      <x:c r="I244" s="9" t="str">
        <x:v>CT-CF19</x:v>
      </x:c>
      <x:c r="J244" s="9" t="str">
        <x:v>Primary: one via held-out 2→1 removal</x:v>
      </x:c>
      <x:c r="K244" s="9"/>
      <x:c r="L244" s="9" t="str">
        <x:v>831</x:v>
      </x:c>
      <x:c r="M244" s="9" t="str">
        <x:v>Representative direct-instruction trajectory for blue pen; the evaluated count × transition composition is intentionally absent.</x:v>
      </x:c>
      <x:c r="N244" s="9" t="n">
        <x:v>4</x:v>
      </x:c>
      <x:c r="O244" s="9" t="str">
        <x:v>Build the listed count-2 scene.</x:v>
      </x:c>
      <x:c r="P244" s="9" t="str">
        <x:v>The goal word one is trained, and this 2→1 trajectory is trained under a direct instruction, but the combination is withheld.</x:v>
      </x:c>
      <x:c r="Q244" s="9"/>
      <x:c r="R244" s="10"/>
      <x:c r="S244" s="10"/>
      <x:c r="T244" s="9"/>
      <x:c r="U244" s="9"/>
      <x:c r="V244" s="9"/>
      <x:c r="W244" s="9" t="str">
        <x:v>CT-CF19-REMOVE</x:v>
      </x:c>
      <x:c r="X244" s="10" t="n">
        <x:v>2</x:v>
      </x:c>
      <x:c r="Y244" s="10" t="n">
        <x:v>1</x:v>
      </x:c>
      <x:c r="Z244" s="9" t="str">
        <x:v>REMOVE</x:v>
      </x:c>
      <x:c r="AA244" s="9"/>
      <x:c r="AB244" s="9"/>
      <x:c r="AC244" s="9"/>
      <x:c r="AD244" s="9"/>
      <x:c r="AE244" s="9"/>
      <x:c r="AF244" s="9"/>
      <x:c r="AG244" s="9"/>
      <x:c r="AH244" s="9"/>
      <x:c r="AI244" s="11"/>
      <x:c r="AJ244" s="9"/>
      <x:c r="AK244" s="9" t="str">
        <x:v>Eval_Counting.xlsm</x:v>
      </x:c>
      <x:c r="AL244" s="9" t="str">
        <x:v>GR00T vision only Results</x:v>
      </x:c>
      <x:c r="AM244" s="9" t="n">
        <x:v>94</x:v>
      </x:c>
      <x:c r="AN244" s="9" t="n">
        <x:v>94</x:v>
      </x:c>
    </x:row>
    <x:row r="245">
      <x:c r="A245" s="9" t="str">
        <x:v>Failure</x:v>
      </x:c>
      <x:c r="B245" s="9" t="str">
        <x:v>Counting</x:v>
      </x:c>
      <x:c r="C245" s="10" t="n">
        <x:v>93</x:v>
      </x:c>
      <x:c r="D245" s="9" t="str">
        <x:v>Leave exactly three objects in the bowl.</x:v>
      </x:c>
      <x:c r="E245" s="9" t="str">
        <x:v>Bowl objects: [blue pen, yellow block] | Table objects: [green pencil sharpener, airplane toy without propellers]</x:v>
      </x:c>
      <x:c r="F245" s="9" t="str">
        <x:v>ADD any one table object; finish with 3 objects in the bowl</x:v>
      </x:c>
      <x:c r="G245" s="9" t="str">
        <x:v>didn't move</x:v>
      </x:c>
      <x:c r="H245" s="9" t="str">
        <x:v>Concept/compositional transfer</x:v>
      </x:c>
      <x:c r="I245" s="9" t="str">
        <x:v>CT-CF19</x:v>
      </x:c>
      <x:c r="J245" s="9" t="str">
        <x:v>Primary: three via held-out 2→3 addition</x:v>
      </x:c>
      <x:c r="K245" s="9" t="n">
        <x:v>92</x:v>
      </x:c>
      <x:c r="L245" s="9" t="str">
        <x:v>966</x:v>
      </x:c>
      <x:c r="M245" s="9" t="str">
        <x:v>Representative direct-instruction trajectory for airplane toy without propellers; the evaluated count × transition composition is intentionally absent.</x:v>
      </x:c>
      <x:c r="N245" s="9" t="n">
        <x:v>4</x:v>
      </x:c>
      <x:c r="O245" s="9" t="str">
        <x:v>Reset the exact count-2 scene; change only the prompt.</x:v>
      </x:c>
      <x:c r="P245" s="9" t="str">
        <x:v>The goal word three is trained, and this 2→3 trajectory is trained under a direct instruction, but the combination is withheld.</x:v>
      </x:c>
      <x:c r="Q245" s="9"/>
      <x:c r="R245" s="10"/>
      <x:c r="S245" s="10"/>
      <x:c r="T245" s="9"/>
      <x:c r="U245" s="9"/>
      <x:c r="V245" s="9"/>
      <x:c r="W245" s="9" t="str">
        <x:v>CT-CF19-ADD</x:v>
      </x:c>
      <x:c r="X245" s="10" t="n">
        <x:v>2</x:v>
      </x:c>
      <x:c r="Y245" s="10" t="n">
        <x:v>3</x:v>
      </x:c>
      <x:c r="Z245" s="9" t="str">
        <x:v>ADD</x:v>
      </x:c>
      <x:c r="AA245" s="9"/>
      <x:c r="AB245" s="9"/>
      <x:c r="AC245" s="9"/>
      <x:c r="AD245" s="9"/>
      <x:c r="AE245" s="9"/>
      <x:c r="AF245" s="9"/>
      <x:c r="AG245" s="9"/>
      <x:c r="AH245" s="9"/>
      <x:c r="AI245" s="11"/>
      <x:c r="AJ245" s="9"/>
      <x:c r="AK245" s="9" t="str">
        <x:v>Eval_Counting.xlsm</x:v>
      </x:c>
      <x:c r="AL245" s="9" t="str">
        <x:v>GR00T vision only Results</x:v>
      </x:c>
      <x:c r="AM245" s="9" t="n">
        <x:v>95</x:v>
      </x:c>
      <x:c r="AN245" s="9" t="n">
        <x:v>95</x:v>
      </x:c>
    </x:row>
    <x:row r="246">
      <x:c r="A246" s="9" t="str">
        <x:v>Failure</x:v>
      </x:c>
      <x:c r="B246" s="9" t="str">
        <x:v>Counting</x:v>
      </x:c>
      <x:c r="C246" s="10" t="n">
        <x:v>94</x:v>
      </x:c>
      <x:c r="D246" s="9" t="str">
        <x:v>Leave exactly three objects in the bowl.</x:v>
      </x:c>
      <x:c r="E246" s="9" t="str">
        <x:v>Bowl objects: [yellow block, green pencil sharpener] | Table objects: [blue pen, airplane toy without propellers]</x:v>
      </x:c>
      <x:c r="F246" s="9" t="str">
        <x:v>ADD any one table object; finish with 3 objects in the bowl</x:v>
      </x:c>
      <x:c r="G246" s="9" t="str">
        <x:v>didn't move</x:v>
      </x:c>
      <x:c r="H246" s="9" t="str">
        <x:v>Concept/compositional transfer</x:v>
      </x:c>
      <x:c r="I246" s="9" t="str">
        <x:v>CT-CF04</x:v>
      </x:c>
      <x:c r="J246" s="9" t="str">
        <x:v>Primary: three via held-out 2→3 addition</x:v>
      </x:c>
      <x:c r="K246" s="9"/>
      <x:c r="L246" s="9" t="str">
        <x:v>816</x:v>
      </x:c>
      <x:c r="M246" s="9" t="str">
        <x:v>Representative direct-instruction trajectory for blue pen; the evaluated count × transition composition is intentionally absent.</x:v>
      </x:c>
      <x:c r="N246" s="9" t="n">
        <x:v>2</x:v>
      </x:c>
      <x:c r="O246" s="9" t="str">
        <x:v>Reset the exact count-2 scene; change only the prompt.</x:v>
      </x:c>
      <x:c r="P246" s="9" t="str">
        <x:v>The goal word three is trained, and this 2→3 trajectory is trained under a direct instruction, but the combination is withheld.</x:v>
      </x:c>
      <x:c r="Q246" s="9"/>
      <x:c r="R246" s="10"/>
      <x:c r="S246" s="10"/>
      <x:c r="T246" s="9"/>
      <x:c r="U246" s="9"/>
      <x:c r="V246" s="9"/>
      <x:c r="W246" s="9" t="str">
        <x:v>CT-CF04-ADD</x:v>
      </x:c>
      <x:c r="X246" s="10" t="n">
        <x:v>2</x:v>
      </x:c>
      <x:c r="Y246" s="10" t="n">
        <x:v>3</x:v>
      </x:c>
      <x:c r="Z246" s="9" t="str">
        <x:v>ADD</x:v>
      </x:c>
      <x:c r="AA246" s="9"/>
      <x:c r="AB246" s="9"/>
      <x:c r="AC246" s="9"/>
      <x:c r="AD246" s="9"/>
      <x:c r="AE246" s="9"/>
      <x:c r="AF246" s="9"/>
      <x:c r="AG246" s="9"/>
      <x:c r="AH246" s="9"/>
      <x:c r="AI246" s="11"/>
      <x:c r="AJ246" s="9"/>
      <x:c r="AK246" s="9" t="str">
        <x:v>Eval_Counting.xlsm</x:v>
      </x:c>
      <x:c r="AL246" s="9" t="str">
        <x:v>GR00T vision only Results</x:v>
      </x:c>
      <x:c r="AM246" s="9" t="n">
        <x:v>96</x:v>
      </x:c>
      <x:c r="AN246" s="9" t="n">
        <x:v>96</x:v>
      </x:c>
    </x:row>
    <x:row r="247">
      <x:c r="A247" s="9" t="str">
        <x:v>Success</x:v>
      </x:c>
      <x:c r="B247" s="9" t="str">
        <x:v>Counting</x:v>
      </x:c>
      <x:c r="C247" s="10" t="n">
        <x:v>95</x:v>
      </x:c>
      <x:c r="D247" s="9" t="str">
        <x:v>Move the blue pen into the bowl.</x:v>
      </x:c>
      <x:c r="E247" s="9" t="str">
        <x:v>Bowl objects: [yellow block, green pencil sharpener] | Table objects: [blue pen, airplane toy without propellers]</x:v>
      </x:c>
      <x:c r="F247" s="9" t="str">
        <x:v>ADD blue pen</x:v>
      </x:c>
      <x:c r="G247" s="9"/>
      <x:c r="H247" s="9" t="str">
        <x:v>Matched manipulation control</x:v>
      </x:c>
      <x:c r="I247" s="9" t="str">
        <x:v>CT-CF04</x:v>
      </x:c>
      <x:c r="J247" s="9" t="str">
        <x:v>Matched direct ADD control</x:v>
      </x:c>
      <x:c r="K247" s="9" t="n">
        <x:v>94</x:v>
      </x:c>
      <x:c r="L247" s="9" t="str">
        <x:v>817</x:v>
      </x:c>
      <x:c r="M247" s="9" t="str">
        <x:v>Exact direct-prompt trajectory for the named object and action direction; evaluation layout is reset manually.</x:v>
      </x:c>
      <x:c r="N247" s="9" t="n">
        <x:v>2</x:v>
      </x:c>
      <x:c r="O247" s="9" t="str">
        <x:v>Reset the exact count-2 scene; change only the prompt.</x:v>
      </x:c>
      <x:c r="P247" s="9" t="str">
        <x:v>The direct prompt is present in Counting training for this same-task object and action direction.</x:v>
      </x:c>
      <x:c r="Q247" s="9"/>
      <x:c r="R247" s="10"/>
      <x:c r="S247" s="10"/>
      <x:c r="T247" s="9"/>
      <x:c r="U247" s="9"/>
      <x:c r="V247" s="9"/>
      <x:c r="W247" s="9" t="str">
        <x:v>CT-CF04-ADD</x:v>
      </x:c>
      <x:c r="X247" s="10" t="n">
        <x:v>2</x:v>
      </x:c>
      <x:c r="Y247" s="10" t="n">
        <x:v>3</x:v>
      </x:c>
      <x:c r="Z247" s="9" t="str">
        <x:v>ADD</x:v>
      </x:c>
      <x:c r="AA247" s="9"/>
      <x:c r="AB247" s="9"/>
      <x:c r="AC247" s="9"/>
      <x:c r="AD247" s="9"/>
      <x:c r="AE247" s="9"/>
      <x:c r="AF247" s="9"/>
      <x:c r="AG247" s="9"/>
      <x:c r="AH247" s="9"/>
      <x:c r="AI247" s="11"/>
      <x:c r="AJ247" s="9"/>
      <x:c r="AK247" s="9" t="str">
        <x:v>Eval_Counting.xlsm</x:v>
      </x:c>
      <x:c r="AL247" s="9" t="str">
        <x:v>GR00T vision only Results</x:v>
      </x:c>
      <x:c r="AM247" s="9" t="n">
        <x:v>97</x:v>
      </x:c>
      <x:c r="AN247" s="9" t="n">
        <x:v>97</x:v>
      </x:c>
    </x:row>
    <x:row r="248">
      <x:c r="A248" s="9" t="str">
        <x:v>Failure</x:v>
      </x:c>
      <x:c r="B248" s="9" t="str">
        <x:v>Counting</x:v>
      </x:c>
      <x:c r="C248" s="10" t="n">
        <x:v>96</x:v>
      </x:c>
      <x:c r="D248" s="9" t="str">
        <x:v>End with three items inside the bowl.</x:v>
      </x:c>
      <x:c r="E248" s="9" t="str">
        <x:v>Bowl objects: [yellow block, green pencil sharpener] | Table objects: [blue pen, airplane toy without propellers]</x:v>
      </x:c>
      <x:c r="F248" s="9" t="str">
        <x:v>ADD any one table object; finish with 3 objects in the bowl</x:v>
      </x:c>
      <x:c r="G248" s="9" t="str">
        <x:v>didn't move</x:v>
      </x:c>
      <x:c r="H248" s="9" t="str">
        <x:v>Language robustness</x:v>
      </x:c>
      <x:c r="I248" s="9" t="str">
        <x:v>CT-CF04</x:v>
      </x:c>
      <x:c r="J248" s="9" t="str">
        <x:v>Primary compositional paraphrase: three via 2→3 addition</x:v>
      </x:c>
      <x:c r="K248" s="9" t="n">
        <x:v>94</x:v>
      </x:c>
      <x:c r="L248" s="9" t="str">
        <x:v>816</x:v>
      </x:c>
      <x:c r="M248" s="9" t="str">
        <x:v>Representative direct-instruction trajectory for blue pen; the evaluated count × transition composition is intentionally absent. The evaluation wording is also paraphrased.</x:v>
      </x:c>
      <x:c r="N248" s="9" t="n">
        <x:v>2</x:v>
      </x:c>
      <x:c r="O248" s="9" t="str">
        <x:v>Reset the exact count-2 scene; change only the prompt.</x:v>
      </x:c>
      <x:c r="P248" s="9" t="str">
        <x:v>Exact-scene paraphrase of the canonical held-out composition.</x:v>
      </x:c>
      <x:c r="Q248" s="9"/>
      <x:c r="R248" s="10"/>
      <x:c r="S248" s="10"/>
      <x:c r="T248" s="9"/>
      <x:c r="U248" s="9"/>
      <x:c r="V248" s="9"/>
      <x:c r="W248" s="9" t="str">
        <x:v>CT-CF04-ADD</x:v>
      </x:c>
      <x:c r="X248" s="10" t="n">
        <x:v>2</x:v>
      </x:c>
      <x:c r="Y248" s="10" t="n">
        <x:v>3</x:v>
      </x:c>
      <x:c r="Z248" s="9" t="str">
        <x:v>ADD</x:v>
      </x:c>
      <x:c r="AA248" s="9"/>
      <x:c r="AB248" s="9"/>
      <x:c r="AC248" s="9"/>
      <x:c r="AD248" s="9"/>
      <x:c r="AE248" s="9"/>
      <x:c r="AF248" s="9"/>
      <x:c r="AG248" s="9"/>
      <x:c r="AH248" s="9"/>
      <x:c r="AI248" s="11"/>
      <x:c r="AJ248" s="9"/>
      <x:c r="AK248" s="9" t="str">
        <x:v>Eval_Counting.xlsm</x:v>
      </x:c>
      <x:c r="AL248" s="9" t="str">
        <x:v>GR00T vision only Results</x:v>
      </x:c>
      <x:c r="AM248" s="9" t="n">
        <x:v>98</x:v>
      </x:c>
      <x:c r="AN248" s="9" t="n">
        <x:v>98</x:v>
      </x:c>
    </x:row>
    <x:row r="249">
      <x:c r="A249" s="9" t="str">
        <x:v>Success</x:v>
      </x:c>
      <x:c r="B249" s="9" t="str">
        <x:v>Counting</x:v>
      </x:c>
      <x:c r="C249" s="10" t="n">
        <x:v>97</x:v>
      </x:c>
      <x:c r="D249" s="9" t="str">
        <x:v>Lift the blue pen from the table and set it inside the bowl.</x:v>
      </x:c>
      <x:c r="E249" s="9" t="str">
        <x:v>Bowl objects: [yellow block, green pencil sharpener] | Table objects: [blue pen, airplane toy without propellers]</x:v>
      </x:c>
      <x:c r="F249" s="9" t="str">
        <x:v>ADD blue pen</x:v>
      </x:c>
      <x:c r="G249" s="9"/>
      <x:c r="H249" s="9" t="str">
        <x:v>Language robustness</x:v>
      </x:c>
      <x:c r="I249" s="9" t="str">
        <x:v>CT-CF04</x:v>
      </x:c>
      <x:c r="J249" s="9" t="str">
        <x:v>Matched-control paraphrase: ADD</x:v>
      </x:c>
      <x:c r="K249" s="9" t="n">
        <x:v>95</x:v>
      </x:c>
      <x:c r="L249" s="9" t="str">
        <x:v>817</x:v>
      </x:c>
      <x:c r="M249" s="9" t="str">
        <x:v>Canonical direct-control trajectory for the named object and action direction; evaluation wording is paraphrased.</x:v>
      </x:c>
      <x:c r="N249" s="9" t="n">
        <x:v>2</x:v>
      </x:c>
      <x:c r="O249" s="9" t="str">
        <x:v>Reset the exact count-2 scene; change only the prompt.</x:v>
      </x:c>
      <x:c r="P249" s="9" t="str">
        <x:v>Exact-scene paraphrase of the direct manipulation control.</x:v>
      </x:c>
      <x:c r="Q249" s="9"/>
      <x:c r="R249" s="10"/>
      <x:c r="S249" s="10"/>
      <x:c r="T249" s="9"/>
      <x:c r="U249" s="9"/>
      <x:c r="V249" s="9"/>
      <x:c r="W249" s="9" t="str">
        <x:v>CT-CF04-ADD</x:v>
      </x:c>
      <x:c r="X249" s="10" t="n">
        <x:v>2</x:v>
      </x:c>
      <x:c r="Y249" s="10" t="n">
        <x:v>3</x:v>
      </x:c>
      <x:c r="Z249" s="9" t="str">
        <x:v>ADD</x:v>
      </x:c>
      <x:c r="AA249" s="9"/>
      <x:c r="AB249" s="9"/>
      <x:c r="AC249" s="9"/>
      <x:c r="AD249" s="9"/>
      <x:c r="AE249" s="9"/>
      <x:c r="AF249" s="9"/>
      <x:c r="AG249" s="9"/>
      <x:c r="AH249" s="9"/>
      <x:c r="AI249" s="11"/>
      <x:c r="AJ249" s="9"/>
      <x:c r="AK249" s="9" t="str">
        <x:v>Eval_Counting.xlsm</x:v>
      </x:c>
      <x:c r="AL249" s="9" t="str">
        <x:v>GR00T vision only Results</x:v>
      </x:c>
      <x:c r="AM249" s="9" t="n">
        <x:v>99</x:v>
      </x:c>
      <x:c r="AN249" s="9" t="n">
        <x:v>99</x:v>
      </x:c>
    </x:row>
    <x:row r="250">
      <x:c r="A250" s="9" t="str">
        <x:v>Failure</x:v>
      </x:c>
      <x:c r="B250" s="9" t="str">
        <x:v>Counting</x:v>
      </x:c>
      <x:c r="C250" s="10" t="n">
        <x:v>98</x:v>
      </x:c>
      <x:c r="D250" s="9" t="str">
        <x:v>Move the yellow block from the bowl to the table.</x:v>
      </x:c>
      <x:c r="E250" s="9" t="str">
        <x:v>Bowl objects: [yellow block, green pencil sharpener] | Table objects: [blue pen, airplane toy without propellers]</x:v>
      </x:c>
      <x:c r="F250" s="9" t="str">
        <x:v>REMOVE yellow block</x:v>
      </x:c>
      <x:c r="G250" s="9" t="str">
        <x:v>succeeded reasoning; tried to pick the yellow block but couldn't</x:v>
      </x:c>
      <x:c r="H250" s="9" t="str">
        <x:v>Matched manipulation control</x:v>
      </x:c>
      <x:c r="I250" s="9" t="str">
        <x:v>CT-CF04</x:v>
      </x:c>
      <x:c r="J250" s="9" t="str">
        <x:v>Matched direct REMOVE control</x:v>
      </x:c>
      <x:c r="K250" s="9"/>
      <x:c r="L250" s="9" t="str">
        <x:v>885</x:v>
      </x:c>
      <x:c r="M250" s="9" t="str">
        <x:v>Exact direct-prompt trajectory for the named object and action direction; evaluation layout is reset manually.</x:v>
      </x:c>
      <x:c r="N250" s="9" t="n">
        <x:v>2</x:v>
      </x:c>
      <x:c r="O250" s="9" t="str">
        <x:v>Reset the exact count-2 scene; change only the prompt.</x:v>
      </x:c>
      <x:c r="P250" s="9" t="str">
        <x:v>The direct prompt is present in Counting training for this same-task object and action direction.</x:v>
      </x:c>
      <x:c r="Q250" s="9"/>
      <x:c r="R250" s="10"/>
      <x:c r="S250" s="10"/>
      <x:c r="T250" s="9"/>
      <x:c r="U250" s="9"/>
      <x:c r="V250" s="9"/>
      <x:c r="W250" s="9" t="str">
        <x:v>CT-CF04-REMOVE</x:v>
      </x:c>
      <x:c r="X250" s="10" t="n">
        <x:v>2</x:v>
      </x:c>
      <x:c r="Y250" s="10" t="n">
        <x:v>1</x:v>
      </x:c>
      <x:c r="Z250" s="9" t="str">
        <x:v>REMOVE</x:v>
      </x:c>
      <x:c r="AA250" s="9"/>
      <x:c r="AB250" s="9"/>
      <x:c r="AC250" s="9"/>
      <x:c r="AD250" s="9"/>
      <x:c r="AE250" s="9"/>
      <x:c r="AF250" s="9"/>
      <x:c r="AG250" s="9"/>
      <x:c r="AH250" s="9"/>
      <x:c r="AI250" s="11"/>
      <x:c r="AJ250" s="9"/>
      <x:c r="AK250" s="9" t="str">
        <x:v>Eval_Counting.xlsm</x:v>
      </x:c>
      <x:c r="AL250" s="9" t="str">
        <x:v>GR00T vision only Results</x:v>
      </x:c>
      <x:c r="AM250" s="9" t="n">
        <x:v>100</x:v>
      </x:c>
      <x:c r="AN250" s="9" t="n">
        <x:v>100</x:v>
      </x:c>
    </x:row>
    <x:row r="251">
      <x:c r="A251" s="9" t="str">
        <x:v>Failure</x:v>
      </x:c>
      <x:c r="B251" s="9" t="str">
        <x:v>Counting</x:v>
      </x:c>
      <x:c r="C251" s="10" t="n">
        <x:v>99</x:v>
      </x:c>
      <x:c r="D251" s="9" t="str">
        <x:v>Leave exactly one object in the bowl.</x:v>
      </x:c>
      <x:c r="E251" s="9" t="str">
        <x:v>Bowl objects: [yellow block, green pencil sharpener] | Table objects: [blue pen, airplane toy without propellers]</x:v>
      </x:c>
      <x:c r="F251" s="9" t="str">
        <x:v>REMOVE any one bowl object; finish with 1 object in the bowl</x:v>
      </x:c>
      <x:c r="G251" s="9" t="str">
        <x:v>didn't move</x:v>
      </x:c>
      <x:c r="H251" s="9" t="str">
        <x:v>Concept/compositional transfer</x:v>
      </x:c>
      <x:c r="I251" s="9" t="str">
        <x:v>CT-CF04</x:v>
      </x:c>
      <x:c r="J251" s="9" t="str">
        <x:v>Primary: one via held-out 2→1 removal</x:v>
      </x:c>
      <x:c r="K251" s="9" t="n">
        <x:v>98</x:v>
      </x:c>
      <x:c r="L251" s="9" t="str">
        <x:v>931</x:v>
      </x:c>
      <x:c r="M251" s="9" t="str">
        <x:v>Representative direct-instruction trajectory for green pencil sharpener; the evaluated count × transition composition is intentionally absent.</x:v>
      </x:c>
      <x:c r="N251" s="9" t="n">
        <x:v>2</x:v>
      </x:c>
      <x:c r="O251" s="9" t="str">
        <x:v>Build the listed count-2 scene.</x:v>
      </x:c>
      <x:c r="P251" s="9" t="str">
        <x:v>The goal word one is trained, and this 2→1 trajectory is trained under a direct instruction, but the combination is withheld.</x:v>
      </x:c>
      <x:c r="Q251" s="9"/>
      <x:c r="R251" s="10"/>
      <x:c r="S251" s="10"/>
      <x:c r="T251" s="9"/>
      <x:c r="U251" s="9"/>
      <x:c r="V251" s="9"/>
      <x:c r="W251" s="9" t="str">
        <x:v>CT-CF04-REMOVE</x:v>
      </x:c>
      <x:c r="X251" s="10" t="n">
        <x:v>2</x:v>
      </x:c>
      <x:c r="Y251" s="10" t="n">
        <x:v>1</x:v>
      </x:c>
      <x:c r="Z251" s="9" t="str">
        <x:v>REMOVE</x:v>
      </x:c>
      <x:c r="AA251" s="9"/>
      <x:c r="AB251" s="9"/>
      <x:c r="AC251" s="9"/>
      <x:c r="AD251" s="9"/>
      <x:c r="AE251" s="9"/>
      <x:c r="AF251" s="9"/>
      <x:c r="AG251" s="9"/>
      <x:c r="AH251" s="9"/>
      <x:c r="AI251" s="11"/>
      <x:c r="AJ251" s="9"/>
      <x:c r="AK251" s="9" t="str">
        <x:v>Eval_Counting.xlsm</x:v>
      </x:c>
      <x:c r="AL251" s="9" t="str">
        <x:v>GR00T vision only Results</x:v>
      </x:c>
      <x:c r="AM251" s="9" t="n">
        <x:v>101</x:v>
      </x:c>
      <x:c r="AN251" s="9" t="n">
        <x:v>101</x:v>
      </x:c>
    </x:row>
    <x:row r="252">
      <x:c r="A252" s="9" t="str">
        <x:v>Failure</x:v>
      </x:c>
      <x:c r="B252" s="9" t="str">
        <x:v>Counting</x:v>
      </x:c>
      <x:c r="C252" s="10" t="n">
        <x:v>100</x:v>
      </x:c>
      <x:c r="D252" s="9" t="str">
        <x:v>Lift the yellow block out of the bowl and set it on the table.</x:v>
      </x:c>
      <x:c r="E252" s="9" t="str">
        <x:v>Bowl objects: [yellow block, green pencil sharpener] | Table objects: [blue pen, airplane toy without propellers]</x:v>
      </x:c>
      <x:c r="F252" s="9" t="str">
        <x:v>REMOVE yellow block</x:v>
      </x:c>
      <x:c r="G252" s="9" t="str">
        <x:v>took out the green pencil sharpener</x:v>
      </x:c>
      <x:c r="H252" s="9" t="str">
        <x:v>Language robustness</x:v>
      </x:c>
      <x:c r="I252" s="9" t="str">
        <x:v>CT-CF04</x:v>
      </x:c>
      <x:c r="J252" s="9" t="str">
        <x:v>Matched-control paraphrase: REMOVE</x:v>
      </x:c>
      <x:c r="K252" s="9" t="n">
        <x:v>98</x:v>
      </x:c>
      <x:c r="L252" s="9" t="str">
        <x:v>885</x:v>
      </x:c>
      <x:c r="M252" s="9" t="str">
        <x:v>Canonical direct-control trajectory for the named object and action direction; evaluation wording is paraphrased.</x:v>
      </x:c>
      <x:c r="N252" s="9" t="n">
        <x:v>2</x:v>
      </x:c>
      <x:c r="O252" s="9" t="str">
        <x:v>Reset the exact count-2 scene; change only the prompt.</x:v>
      </x:c>
      <x:c r="P252" s="9" t="str">
        <x:v>Exact-scene paraphrase of the direct manipulation control.</x:v>
      </x:c>
      <x:c r="Q252" s="9"/>
      <x:c r="R252" s="10"/>
      <x:c r="S252" s="10"/>
      <x:c r="T252" s="9"/>
      <x:c r="U252" s="9"/>
      <x:c r="V252" s="9"/>
      <x:c r="W252" s="9" t="str">
        <x:v>CT-CF04-REMOVE</x:v>
      </x:c>
      <x:c r="X252" s="10" t="n">
        <x:v>2</x:v>
      </x:c>
      <x:c r="Y252" s="10" t="n">
        <x:v>1</x:v>
      </x:c>
      <x:c r="Z252" s="9" t="str">
        <x:v>REMOVE</x:v>
      </x:c>
      <x:c r="AA252" s="9"/>
      <x:c r="AB252" s="9"/>
      <x:c r="AC252" s="9"/>
      <x:c r="AD252" s="9"/>
      <x:c r="AE252" s="9"/>
      <x:c r="AF252" s="9"/>
      <x:c r="AG252" s="9"/>
      <x:c r="AH252" s="9"/>
      <x:c r="AI252" s="11"/>
      <x:c r="AJ252" s="9"/>
      <x:c r="AK252" s="9" t="str">
        <x:v>Eval_Counting.xlsm</x:v>
      </x:c>
      <x:c r="AL252" s="9" t="str">
        <x:v>GR00T vision only Results</x:v>
      </x:c>
      <x:c r="AM252" s="9" t="n">
        <x:v>102</x:v>
      </x:c>
      <x:c r="AN252" s="9" t="n">
        <x:v>102</x:v>
      </x:c>
    </x:row>
    <x:row r="253">
      <x:c r="A253" s="9" t="str">
        <x:v>Failure</x:v>
      </x:c>
      <x:c r="B253" s="9" t="str">
        <x:v>Counting</x:v>
      </x:c>
      <x:c r="C253" s="10" t="n">
        <x:v>101</x:v>
      </x:c>
      <x:c r="D253" s="9" t="str">
        <x:v>End with a single object in the bowl.</x:v>
      </x:c>
      <x:c r="E253" s="9" t="str">
        <x:v>Bowl objects: [yellow block, green pencil sharpener] | Table objects: [blue pen, airplane toy without propellers]</x:v>
      </x:c>
      <x:c r="F253" s="9" t="str">
        <x:v>REMOVE any one bowl object; finish with 1 object in the bowl</x:v>
      </x:c>
      <x:c r="G253" s="9" t="str">
        <x:v>didn't move</x:v>
      </x:c>
      <x:c r="H253" s="9" t="str">
        <x:v>Language robustness</x:v>
      </x:c>
      <x:c r="I253" s="9" t="str">
        <x:v>CT-CF04</x:v>
      </x:c>
      <x:c r="J253" s="9" t="str">
        <x:v>Primary compositional paraphrase: one via 2→1 removal</x:v>
      </x:c>
      <x:c r="K253" s="9" t="n">
        <x:v>99</x:v>
      </x:c>
      <x:c r="L253" s="9" t="str">
        <x:v>931</x:v>
      </x:c>
      <x:c r="M253" s="9" t="str">
        <x:v>Representative direct-instruction trajectory for green pencil sharpener; the evaluated count × transition composition is intentionally absent. The evaluation wording is also paraphrased.</x:v>
      </x:c>
      <x:c r="N253" s="9" t="n">
        <x:v>2</x:v>
      </x:c>
      <x:c r="O253" s="9" t="str">
        <x:v>Build the listed count-2 scene.</x:v>
      </x:c>
      <x:c r="P253" s="9" t="str">
        <x:v>Exact-scene paraphrase of the canonical held-out composition.</x:v>
      </x:c>
      <x:c r="Q253" s="9"/>
      <x:c r="R253" s="10"/>
      <x:c r="S253" s="10"/>
      <x:c r="T253" s="9"/>
      <x:c r="U253" s="9"/>
      <x:c r="V253" s="9"/>
      <x:c r="W253" s="9" t="str">
        <x:v>CT-CF04-REMOVE</x:v>
      </x:c>
      <x:c r="X253" s="10" t="n">
        <x:v>2</x:v>
      </x:c>
      <x:c r="Y253" s="10" t="n">
        <x:v>1</x:v>
      </x:c>
      <x:c r="Z253" s="9" t="str">
        <x:v>REMOVE</x:v>
      </x:c>
      <x:c r="AA253" s="9"/>
      <x:c r="AB253" s="9"/>
      <x:c r="AC253" s="9"/>
      <x:c r="AD253" s="9"/>
      <x:c r="AE253" s="9"/>
      <x:c r="AF253" s="9"/>
      <x:c r="AG253" s="9"/>
      <x:c r="AH253" s="9"/>
      <x:c r="AI253" s="11"/>
      <x:c r="AJ253" s="9"/>
      <x:c r="AK253" s="9" t="str">
        <x:v>Eval_Counting.xlsm</x:v>
      </x:c>
      <x:c r="AL253" s="9" t="str">
        <x:v>GR00T vision only Results</x:v>
      </x:c>
      <x:c r="AM253" s="9" t="n">
        <x:v>103</x:v>
      </x:c>
      <x:c r="AN253" s="9" t="n">
        <x:v>103</x:v>
      </x:c>
    </x:row>
    <x:row r="254">
      <x:c r="A254" s="9" t="str">
        <x:v>Success</x:v>
      </x:c>
      <x:c r="B254" s="9" t="str">
        <x:v>Counting</x:v>
      </x:c>
      <x:c r="C254" s="10" t="n">
        <x:v>102</x:v>
      </x:c>
      <x:c r="D254" s="9" t="str">
        <x:v>Leave no objects in the bowl.</x:v>
      </x:c>
      <x:c r="E254" s="9" t="str">
        <x:v>Bowl objects: [none] | Table objects: [green pencil sharpener]</x:v>
      </x:c>
      <x:c r="F254" s="9" t="str">
        <x:v>NO-OP; preserve 0 objects in the bowl and do not initiate a grasp</x:v>
      </x:c>
      <x:c r="G254" s="9"/>
      <x:c r="H254" s="9" t="str">
        <x:v>Goal already satisfied / no movement</x:v>
      </x:c>
      <x:c r="I254" s="9" t="str">
        <x:v>NOOP-03</x:v>
      </x:c>
      <x:c r="J254" s="9" t="str">
        <x:v>Goal already satisfied: 0→0</x:v>
      </x:c>
      <x:c r="K254" s="9"/>
      <x:c r="L254" s="9" t="str">
        <x:v>975</x:v>
      </x:c>
      <x:c r="M254" s="9" t="str">
        <x:v>Prompt/concept grounding only. Training does not contain a goal-already-satisfied no-movement trajectory.</x:v>
      </x:c>
      <x:c r="N254" s="9" t="n">
        <x:v>6</x:v>
      </x:c>
      <x:c r="O254" s="9" t="str">
        <x:v>Build the first no-movement scene in this family.</x:v>
      </x:c>
      <x:c r="P254" s="9" t="str">
        <x:v>Visible-object count varies across no-op families. Table objects are distractors where present; success requires leaving the satisfied scene unchanged.</x:v>
      </x:c>
      <x:c r="Q254" s="9"/>
      <x:c r="R254" s="10"/>
      <x:c r="S254" s="10"/>
      <x:c r="T254" s="9"/>
      <x:c r="U254" s="9"/>
      <x:c r="V254" s="9"/>
      <x:c r="W254" s="9" t="str">
        <x:v>NOOP-03</x:v>
      </x:c>
      <x:c r="X254" s="10" t="n">
        <x:v>0</x:v>
      </x:c>
      <x:c r="Y254" s="10" t="n">
        <x:v>0</x:v>
      </x:c>
      <x:c r="Z254" s="9" t="str">
        <x:v>NO-OP</x:v>
      </x:c>
      <x:c r="AA254" s="9"/>
      <x:c r="AB254" s="9"/>
      <x:c r="AC254" s="9"/>
      <x:c r="AD254" s="9"/>
      <x:c r="AE254" s="9"/>
      <x:c r="AF254" s="9"/>
      <x:c r="AG254" s="9"/>
      <x:c r="AH254" s="9"/>
      <x:c r="AI254" s="11"/>
      <x:c r="AJ254" s="9"/>
      <x:c r="AK254" s="9" t="str">
        <x:v>Eval_Counting.xlsm</x:v>
      </x:c>
      <x:c r="AL254" s="9" t="str">
        <x:v>GR00T vision only Results</x:v>
      </x:c>
      <x:c r="AM254" s="9" t="n">
        <x:v>104</x:v>
      </x:c>
      <x:c r="AN254" s="9" t="n">
        <x:v>104</x:v>
      </x:c>
    </x:row>
    <x:row r="255">
      <x:c r="A255" s="9" t="str">
        <x:v>Success</x:v>
      </x:c>
      <x:c r="B255" s="9" t="str">
        <x:v>Counting</x:v>
      </x:c>
      <x:c r="C255" s="10" t="n">
        <x:v>103</x:v>
      </x:c>
      <x:c r="D255" s="9" t="str">
        <x:v>Leave exactly one object in the bowl.</x:v>
      </x:c>
      <x:c r="E255" s="9" t="str">
        <x:v>Bowl objects: [green pencil sharpener] | Table objects: [airplane toy without propellers]</x:v>
      </x:c>
      <x:c r="F255" s="9" t="str">
        <x:v>NO-OP; preserve 1 object in the bowl and do not initiate a grasp</x:v>
      </x:c>
      <x:c r="G255" s="9"/>
      <x:c r="H255" s="9" t="str">
        <x:v>Goal already satisfied / no movement</x:v>
      </x:c>
      <x:c r="I255" s="9" t="str">
        <x:v>NOOP-03</x:v>
      </x:c>
      <x:c r="J255" s="9" t="str">
        <x:v>Goal already satisfied: 1→1</x:v>
      </x:c>
      <x:c r="K255" s="9"/>
      <x:c r="L255" s="9" t="str">
        <x:v>800</x:v>
      </x:c>
      <x:c r="M255" s="9" t="str">
        <x:v>Prompt/concept grounding only. Training does not contain a goal-already-satisfied no-movement trajectory.</x:v>
      </x:c>
      <x:c r="N255" s="9" t="n">
        <x:v>6</x:v>
      </x:c>
      <x:c r="O255" s="9" t="str">
        <x:v>Move only the minimum listed objects between bowl and table for the next count.</x:v>
      </x:c>
      <x:c r="P255" s="9" t="str">
        <x:v>Visible-object count varies across no-op families. Table objects are distractors where present; success requires leaving the satisfied scene unchanged.</x:v>
      </x:c>
      <x:c r="Q255" s="9"/>
      <x:c r="R255" s="10"/>
      <x:c r="S255" s="10"/>
      <x:c r="T255" s="9"/>
      <x:c r="U255" s="9"/>
      <x:c r="V255" s="9"/>
      <x:c r="W255" s="9" t="str">
        <x:v>NOOP-03</x:v>
      </x:c>
      <x:c r="X255" s="10" t="n">
        <x:v>1</x:v>
      </x:c>
      <x:c r="Y255" s="10" t="n">
        <x:v>1</x:v>
      </x:c>
      <x:c r="Z255" s="9" t="str">
        <x:v>NO-OP</x:v>
      </x:c>
      <x:c r="AA255" s="9"/>
      <x:c r="AB255" s="9"/>
      <x:c r="AC255" s="9"/>
      <x:c r="AD255" s="9"/>
      <x:c r="AE255" s="9"/>
      <x:c r="AF255" s="9"/>
      <x:c r="AG255" s="9"/>
      <x:c r="AH255" s="9"/>
      <x:c r="AI255" s="11"/>
      <x:c r="AJ255" s="9"/>
      <x:c r="AK255" s="9" t="str">
        <x:v>Eval_Counting.xlsm</x:v>
      </x:c>
      <x:c r="AL255" s="9" t="str">
        <x:v>GR00T vision only Results</x:v>
      </x:c>
      <x:c r="AM255" s="9" t="n">
        <x:v>105</x:v>
      </x:c>
      <x:c r="AN255" s="9" t="n">
        <x:v>105</x:v>
      </x:c>
    </x:row>
    <x:row r="256">
      <x:c r="A256" s="9" t="str">
        <x:v>Success</x:v>
      </x:c>
      <x:c r="B256" s="9" t="str">
        <x:v>Counting</x:v>
      </x:c>
      <x:c r="C256" s="10" t="n">
        <x:v>104</x:v>
      </x:c>
      <x:c r="D256" s="9" t="str">
        <x:v>Leave exactly two objects in the bowl.</x:v>
      </x:c>
      <x:c r="E256" s="9" t="str">
        <x:v>Bowl objects: [green pencil sharpener, airplane toy without propellers] | Table objects: [blue pen]</x:v>
      </x:c>
      <x:c r="F256" s="9" t="str">
        <x:v>NO-OP; preserve 2 objects in the bowl and do not initiate a grasp</x:v>
      </x:c>
      <x:c r="G256" s="9"/>
      <x:c r="H256" s="9" t="str">
        <x:v>Goal already satisfied / no movement</x:v>
      </x:c>
      <x:c r="I256" s="9" t="str">
        <x:v>NOOP-03</x:v>
      </x:c>
      <x:c r="J256" s="9" t="str">
        <x:v>Goal already satisfied: 2→2</x:v>
      </x:c>
      <x:c r="K256" s="9"/>
      <x:c r="L256" s="9" t="str">
        <x:v>861</x:v>
      </x:c>
      <x:c r="M256" s="9" t="str">
        <x:v>Prompt/concept grounding only. Training does not contain a goal-already-satisfied no-movement trajectory.</x:v>
      </x:c>
      <x:c r="N256" s="9" t="n">
        <x:v>6</x:v>
      </x:c>
      <x:c r="O256" s="9" t="str">
        <x:v>Move only the minimum listed objects between bowl and table for the next count.</x:v>
      </x:c>
      <x:c r="P256" s="9" t="str">
        <x:v>Visible-object count varies across no-op families. Table objects are distractors where present; success requires leaving the satisfied scene unchanged.</x:v>
      </x:c>
      <x:c r="Q256" s="9"/>
      <x:c r="R256" s="10"/>
      <x:c r="S256" s="10"/>
      <x:c r="T256" s="9"/>
      <x:c r="U256" s="9"/>
      <x:c r="V256" s="9"/>
      <x:c r="W256" s="9" t="str">
        <x:v>NOOP-03</x:v>
      </x:c>
      <x:c r="X256" s="10" t="n">
        <x:v>2</x:v>
      </x:c>
      <x:c r="Y256" s="10" t="n">
        <x:v>2</x:v>
      </x:c>
      <x:c r="Z256" s="9" t="str">
        <x:v>NO-OP</x:v>
      </x:c>
      <x:c r="AA256" s="9"/>
      <x:c r="AB256" s="9"/>
      <x:c r="AC256" s="9"/>
      <x:c r="AD256" s="9"/>
      <x:c r="AE256" s="9"/>
      <x:c r="AF256" s="9"/>
      <x:c r="AG256" s="9"/>
      <x:c r="AH256" s="9"/>
      <x:c r="AI256" s="11"/>
      <x:c r="AJ256" s="9"/>
      <x:c r="AK256" s="9" t="str">
        <x:v>Eval_Counting.xlsm</x:v>
      </x:c>
      <x:c r="AL256" s="9" t="str">
        <x:v>GR00T vision only Results</x:v>
      </x:c>
      <x:c r="AM256" s="9" t="n">
        <x:v>106</x:v>
      </x:c>
      <x:c r="AN256" s="9" t="n">
        <x:v>106</x:v>
      </x:c>
    </x:row>
    <x:row r="257">
      <x:c r="A257" s="9" t="str">
        <x:v>Success</x:v>
      </x:c>
      <x:c r="B257" s="9" t="str">
        <x:v>Counting</x:v>
      </x:c>
      <x:c r="C257" s="10" t="n">
        <x:v>105</x:v>
      </x:c>
      <x:c r="D257" s="9" t="str">
        <x:v>Leave exactly three objects in the bowl.</x:v>
      </x:c>
      <x:c r="E257" s="9" t="str">
        <x:v>Bowl objects: [green pencil sharpener, airplane toy without propellers, blue pen] | Table objects: [yellow block]</x:v>
      </x:c>
      <x:c r="F257" s="9" t="str">
        <x:v>NO-OP; preserve 3 objects in the bowl and do not initiate a grasp</x:v>
      </x:c>
      <x:c r="G257" s="9"/>
      <x:c r="H257" s="9" t="str">
        <x:v>Goal already satisfied / no movement</x:v>
      </x:c>
      <x:c r="I257" s="9" t="str">
        <x:v>NOOP-03</x:v>
      </x:c>
      <x:c r="J257" s="9" t="str">
        <x:v>Goal already satisfied: 3→3</x:v>
      </x:c>
      <x:c r="K257" s="9"/>
      <x:c r="L257" s="9" t="str">
        <x:v>843</x:v>
      </x:c>
      <x:c r="M257" s="9" t="str">
        <x:v>Prompt/concept grounding only. Training does not contain a goal-already-satisfied no-movement trajectory.</x:v>
      </x:c>
      <x:c r="N257" s="9" t="n">
        <x:v>6</x:v>
      </x:c>
      <x:c r="O257" s="9" t="str">
        <x:v>Move only the minimum listed objects between bowl and table for the next count.</x:v>
      </x:c>
      <x:c r="P257" s="9" t="str">
        <x:v>Visible-object count varies across no-op families. Table objects are distractors where present; success requires leaving the satisfied scene unchanged.</x:v>
      </x:c>
      <x:c r="Q257" s="9"/>
      <x:c r="R257" s="10"/>
      <x:c r="S257" s="10"/>
      <x:c r="T257" s="9"/>
      <x:c r="U257" s="9"/>
      <x:c r="V257" s="9"/>
      <x:c r="W257" s="9" t="str">
        <x:v>NOOP-03</x:v>
      </x:c>
      <x:c r="X257" s="10" t="n">
        <x:v>3</x:v>
      </x:c>
      <x:c r="Y257" s="10" t="n">
        <x:v>3</x:v>
      </x:c>
      <x:c r="Z257" s="9" t="str">
        <x:v>NO-OP</x:v>
      </x:c>
      <x:c r="AA257" s="9"/>
      <x:c r="AB257" s="9"/>
      <x:c r="AC257" s="9"/>
      <x:c r="AD257" s="9"/>
      <x:c r="AE257" s="9"/>
      <x:c r="AF257" s="9"/>
      <x:c r="AG257" s="9"/>
      <x:c r="AH257" s="9"/>
      <x:c r="AI257" s="11"/>
      <x:c r="AJ257" s="9"/>
      <x:c r="AK257" s="9" t="str">
        <x:v>Eval_Counting.xlsm</x:v>
      </x:c>
      <x:c r="AL257" s="9" t="str">
        <x:v>GR00T vision only Results</x:v>
      </x:c>
      <x:c r="AM257" s="9" t="n">
        <x:v>107</x:v>
      </x:c>
      <x:c r="AN257" s="9" t="n">
        <x:v>107</x:v>
      </x:c>
    </x:row>
    <x:row r="258">
      <x:c r="A258" s="9" t="str">
        <x:v>Failure</x:v>
      </x:c>
      <x:c r="B258" s="9" t="str">
        <x:v>Counting</x:v>
      </x:c>
      <x:c r="C258" s="10" t="n">
        <x:v>106</x:v>
      </x:c>
      <x:c r="D258" s="9" t="str">
        <x:v>Leave exactly one object in the bowl.</x:v>
      </x:c>
      <x:c r="E258" s="9" t="str">
        <x:v>Bowl objects: [yellow block, airplane toy without propellers] | Table objects: [blue pen, green pencil sharpener]</x:v>
      </x:c>
      <x:c r="F258" s="9" t="str">
        <x:v>REMOVE any one bowl object; finish with 1 object in the bowl</x:v>
      </x:c>
      <x:c r="G258" s="9" t="str">
        <x:v>didn't move</x:v>
      </x:c>
      <x:c r="H258" s="9" t="str">
        <x:v>Concept/compositional transfer</x:v>
      </x:c>
      <x:c r="I258" s="9" t="str">
        <x:v>CT-CF05</x:v>
      </x:c>
      <x:c r="J258" s="9" t="str">
        <x:v>Primary: one via held-out 2→1 removal</x:v>
      </x:c>
      <x:c r="K258" s="9"/>
      <x:c r="L258" s="9" t="str">
        <x:v>881</x:v>
      </x:c>
      <x:c r="M258" s="9" t="str">
        <x:v>Representative direct-instruction trajectory for yellow block; the evaluated count × transition composition is intentionally absent.</x:v>
      </x:c>
      <x:c r="N258" s="9" t="n">
        <x:v>2</x:v>
      </x:c>
      <x:c r="O258" s="9" t="str">
        <x:v>Build the listed count-2 scene.</x:v>
      </x:c>
      <x:c r="P258" s="9" t="str">
        <x:v>The goal word one is trained, and this 2→1 trajectory is trained under a direct instruction, but the combination is withheld.</x:v>
      </x:c>
      <x:c r="Q258" s="9"/>
      <x:c r="R258" s="10"/>
      <x:c r="S258" s="10"/>
      <x:c r="T258" s="9"/>
      <x:c r="U258" s="9"/>
      <x:c r="V258" s="9"/>
      <x:c r="W258" s="9" t="str">
        <x:v>CT-CF05-REMOVE</x:v>
      </x:c>
      <x:c r="X258" s="10" t="n">
        <x:v>2</x:v>
      </x:c>
      <x:c r="Y258" s="10" t="n">
        <x:v>1</x:v>
      </x:c>
      <x:c r="Z258" s="9" t="str">
        <x:v>REMOVE</x:v>
      </x:c>
      <x:c r="AA258" s="9"/>
      <x:c r="AB258" s="9"/>
      <x:c r="AC258" s="9"/>
      <x:c r="AD258" s="9"/>
      <x:c r="AE258" s="9"/>
      <x:c r="AF258" s="9"/>
      <x:c r="AG258" s="9"/>
      <x:c r="AH258" s="9"/>
      <x:c r="AI258" s="11"/>
      <x:c r="AJ258" s="9"/>
      <x:c r="AK258" s="9" t="str">
        <x:v>Eval_Counting.xlsm</x:v>
      </x:c>
      <x:c r="AL258" s="9" t="str">
        <x:v>GR00T vision only Results</x:v>
      </x:c>
      <x:c r="AM258" s="9" t="n">
        <x:v>108</x:v>
      </x:c>
      <x:c r="AN258" s="9" t="n">
        <x:v>108</x:v>
      </x:c>
    </x:row>
    <x:row r="259">
      <x:c r="A259" s="9" t="str">
        <x:v>Success</x:v>
      </x:c>
      <x:c r="B259" s="9" t="str">
        <x:v>Counting</x:v>
      </x:c>
      <x:c r="C259" s="10" t="n">
        <x:v>107</x:v>
      </x:c>
      <x:c r="D259" s="9" t="str">
        <x:v>Move the yellow block from the bowl to the table.</x:v>
      </x:c>
      <x:c r="E259" s="9" t="str">
        <x:v>Bowl objects: [yellow block, airplane toy without propellers] | Table objects: [blue pen, green pencil sharpener]</x:v>
      </x:c>
      <x:c r="F259" s="9" t="str">
        <x:v>REMOVE yellow block</x:v>
      </x:c>
      <x:c r="G259" s="9"/>
      <x:c r="H259" s="9" t="str">
        <x:v>Matched manipulation control</x:v>
      </x:c>
      <x:c r="I259" s="9" t="str">
        <x:v>CT-CF05</x:v>
      </x:c>
      <x:c r="J259" s="9" t="str">
        <x:v>Matched direct REMOVE control</x:v>
      </x:c>
      <x:c r="K259" s="9" t="n">
        <x:v>106</x:v>
      </x:c>
      <x:c r="L259" s="9" t="str">
        <x:v>885</x:v>
      </x:c>
      <x:c r="M259" s="9" t="str">
        <x:v>Exact direct-prompt trajectory for the named object and action direction; evaluation layout is reset manually.</x:v>
      </x:c>
      <x:c r="N259" s="9" t="n">
        <x:v>2</x:v>
      </x:c>
      <x:c r="O259" s="9" t="str">
        <x:v>Reset the exact count-2 scene; change only the prompt.</x:v>
      </x:c>
      <x:c r="P259" s="9" t="str">
        <x:v>The direct prompt is present in Counting training for this same-task object and action direction.</x:v>
      </x:c>
      <x:c r="Q259" s="9"/>
      <x:c r="R259" s="10"/>
      <x:c r="S259" s="10"/>
      <x:c r="T259" s="9"/>
      <x:c r="U259" s="9"/>
      <x:c r="V259" s="9"/>
      <x:c r="W259" s="9" t="str">
        <x:v>CT-CF05-REMOVE</x:v>
      </x:c>
      <x:c r="X259" s="10" t="n">
        <x:v>2</x:v>
      </x:c>
      <x:c r="Y259" s="10" t="n">
        <x:v>1</x:v>
      </x:c>
      <x:c r="Z259" s="9" t="str">
        <x:v>REMOVE</x:v>
      </x:c>
      <x:c r="AA259" s="9"/>
      <x:c r="AB259" s="9"/>
      <x:c r="AC259" s="9"/>
      <x:c r="AD259" s="9"/>
      <x:c r="AE259" s="9"/>
      <x:c r="AF259" s="9"/>
      <x:c r="AG259" s="9"/>
      <x:c r="AH259" s="9"/>
      <x:c r="AI259" s="11"/>
      <x:c r="AJ259" s="9"/>
      <x:c r="AK259" s="9" t="str">
        <x:v>Eval_Counting.xlsm</x:v>
      </x:c>
      <x:c r="AL259" s="9" t="str">
        <x:v>GR00T vision only Results</x:v>
      </x:c>
      <x:c r="AM259" s="9" t="n">
        <x:v>109</x:v>
      </x:c>
      <x:c r="AN259" s="9" t="n">
        <x:v>109</x:v>
      </x:c>
    </x:row>
    <x:row r="260">
      <x:c r="A260" s="9" t="str">
        <x:v>Failure</x:v>
      </x:c>
      <x:c r="B260" s="9" t="str">
        <x:v>Counting</x:v>
      </x:c>
      <x:c r="C260" s="10" t="n">
        <x:v>108</x:v>
      </x:c>
      <x:c r="D260" s="9" t="str">
        <x:v>Adjust the contents until only one object remains in the bowl.</x:v>
      </x:c>
      <x:c r="E260" s="9" t="str">
        <x:v>Bowl objects: [yellow block, airplane toy without propellers] | Table objects: [blue pen, green pencil sharpener]</x:v>
      </x:c>
      <x:c r="F260" s="9" t="str">
        <x:v>REMOVE any one bowl object; finish with 1 object in the bowl</x:v>
      </x:c>
      <x:c r="G260" s="9" t="str">
        <x:v>didn't move</x:v>
      </x:c>
      <x:c r="H260" s="9" t="str">
        <x:v>Language robustness</x:v>
      </x:c>
      <x:c r="I260" s="9" t="str">
        <x:v>CT-CF05</x:v>
      </x:c>
      <x:c r="J260" s="9" t="str">
        <x:v>Primary compositional paraphrase: one via 2→1 removal</x:v>
      </x:c>
      <x:c r="K260" s="9" t="n">
        <x:v>106</x:v>
      </x:c>
      <x:c r="L260" s="9" t="str">
        <x:v>881</x:v>
      </x:c>
      <x:c r="M260" s="9" t="str">
        <x:v>Representative direct-instruction trajectory for yellow block; the evaluated count × transition composition is intentionally absent. The evaluation wording is also paraphrased.</x:v>
      </x:c>
      <x:c r="N260" s="9" t="n">
        <x:v>2</x:v>
      </x:c>
      <x:c r="O260" s="9" t="str">
        <x:v>Build the listed count-2 scene.</x:v>
      </x:c>
      <x:c r="P260" s="9" t="str">
        <x:v>Exact-scene paraphrase of the canonical held-out composition.</x:v>
      </x:c>
      <x:c r="Q260" s="9"/>
      <x:c r="R260" s="10"/>
      <x:c r="S260" s="10"/>
      <x:c r="T260" s="9"/>
      <x:c r="U260" s="9"/>
      <x:c r="V260" s="9"/>
      <x:c r="W260" s="9" t="str">
        <x:v>CT-CF05-REMOVE</x:v>
      </x:c>
      <x:c r="X260" s="10" t="n">
        <x:v>2</x:v>
      </x:c>
      <x:c r="Y260" s="10" t="n">
        <x:v>1</x:v>
      </x:c>
      <x:c r="Z260" s="9" t="str">
        <x:v>REMOVE</x:v>
      </x:c>
      <x:c r="AA260" s="9"/>
      <x:c r="AB260" s="9"/>
      <x:c r="AC260" s="9"/>
      <x:c r="AD260" s="9"/>
      <x:c r="AE260" s="9"/>
      <x:c r="AF260" s="9"/>
      <x:c r="AG260" s="9"/>
      <x:c r="AH260" s="9"/>
      <x:c r="AI260" s="11"/>
      <x:c r="AJ260" s="9"/>
      <x:c r="AK260" s="9" t="str">
        <x:v>Eval_Counting.xlsm</x:v>
      </x:c>
      <x:c r="AL260" s="9" t="str">
        <x:v>GR00T vision only Results</x:v>
      </x:c>
      <x:c r="AM260" s="9" t="n">
        <x:v>110</x:v>
      </x:c>
      <x:c r="AN260" s="9" t="n">
        <x:v>110</x:v>
      </x:c>
    </x:row>
    <x:row r="261">
      <x:c r="A261" s="9" t="str">
        <x:v>Failure</x:v>
      </x:c>
      <x:c r="B261" s="9" t="str">
        <x:v>Counting</x:v>
      </x:c>
      <x:c r="C261" s="10" t="n">
        <x:v>109</x:v>
      </x:c>
      <x:c r="D261" s="9" t="str">
        <x:v>Lift the yellow block out of the bowl and set it on the table.</x:v>
      </x:c>
      <x:c r="E261" s="9" t="str">
        <x:v>Bowl objects: [yellow block, airplane toy without propellers] | Table objects: [blue pen, green pencil sharpener]</x:v>
      </x:c>
      <x:c r="F261" s="9" t="str">
        <x:v>REMOVE yellow block</x:v>
      </x:c>
      <x:c r="G261" s="9" t="str">
        <x:v>didn't move</x:v>
      </x:c>
      <x:c r="H261" s="9" t="str">
        <x:v>Language robustness</x:v>
      </x:c>
      <x:c r="I261" s="9" t="str">
        <x:v>CT-CF05</x:v>
      </x:c>
      <x:c r="J261" s="9" t="str">
        <x:v>Matched-control paraphrase: REMOVE</x:v>
      </x:c>
      <x:c r="K261" s="9" t="n">
        <x:v>107</x:v>
      </x:c>
      <x:c r="L261" s="9" t="str">
        <x:v>885</x:v>
      </x:c>
      <x:c r="M261" s="9" t="str">
        <x:v>Canonical direct-control trajectory for the named object and action direction; evaluation wording is paraphrased.</x:v>
      </x:c>
      <x:c r="N261" s="9" t="n">
        <x:v>2</x:v>
      </x:c>
      <x:c r="O261" s="9" t="str">
        <x:v>Reset the exact count-2 scene; change only the prompt.</x:v>
      </x:c>
      <x:c r="P261" s="9" t="str">
        <x:v>Exact-scene paraphrase of the direct manipulation control.</x:v>
      </x:c>
      <x:c r="Q261" s="9"/>
      <x:c r="R261" s="10"/>
      <x:c r="S261" s="10"/>
      <x:c r="T261" s="9"/>
      <x:c r="U261" s="9"/>
      <x:c r="V261" s="9"/>
      <x:c r="W261" s="9" t="str">
        <x:v>CT-CF05-REMOVE</x:v>
      </x:c>
      <x:c r="X261" s="10" t="n">
        <x:v>2</x:v>
      </x:c>
      <x:c r="Y261" s="10" t="n">
        <x:v>1</x:v>
      </x:c>
      <x:c r="Z261" s="9" t="str">
        <x:v>REMOVE</x:v>
      </x:c>
      <x:c r="AA261" s="9"/>
      <x:c r="AB261" s="9"/>
      <x:c r="AC261" s="9"/>
      <x:c r="AD261" s="9"/>
      <x:c r="AE261" s="9"/>
      <x:c r="AF261" s="9"/>
      <x:c r="AG261" s="9"/>
      <x:c r="AH261" s="9"/>
      <x:c r="AI261" s="11"/>
      <x:c r="AJ261" s="9"/>
      <x:c r="AK261" s="9" t="str">
        <x:v>Eval_Counting.xlsm</x:v>
      </x:c>
      <x:c r="AL261" s="9" t="str">
        <x:v>GR00T vision only Results</x:v>
      </x:c>
      <x:c r="AM261" s="9" t="n">
        <x:v>111</x:v>
      </x:c>
      <x:c r="AN261" s="9" t="n">
        <x:v>111</x:v>
      </x:c>
    </x:row>
    <x:row r="262">
      <x:c r="A262" s="9" t="str">
        <x:v>Success</x:v>
      </x:c>
      <x:c r="B262" s="9" t="str">
        <x:v>Counting</x:v>
      </x:c>
      <x:c r="C262" s="10" t="n">
        <x:v>110</x:v>
      </x:c>
      <x:c r="D262" s="9" t="str">
        <x:v>Move the blue pen into the bowl.</x:v>
      </x:c>
      <x:c r="E262" s="9" t="str">
        <x:v>Bowl objects: [yellow block, airplane toy without propellers] | Table objects: [blue pen, green pencil sharpener]</x:v>
      </x:c>
      <x:c r="F262" s="9" t="str">
        <x:v>ADD blue pen</x:v>
      </x:c>
      <x:c r="G262" s="9"/>
      <x:c r="H262" s="9" t="str">
        <x:v>Matched manipulation control</x:v>
      </x:c>
      <x:c r="I262" s="9" t="str">
        <x:v>CT-CF05</x:v>
      </x:c>
      <x:c r="J262" s="9" t="str">
        <x:v>Matched direct ADD control</x:v>
      </x:c>
      <x:c r="K262" s="9"/>
      <x:c r="L262" s="9" t="str">
        <x:v>817</x:v>
      </x:c>
      <x:c r="M262" s="9" t="str">
        <x:v>Exact direct-prompt trajectory for the named object and action direction; evaluation layout is reset manually.</x:v>
      </x:c>
      <x:c r="N262" s="9" t="n">
        <x:v>2</x:v>
      </x:c>
      <x:c r="O262" s="9" t="str">
        <x:v>Reset the exact count-2 scene; change only the prompt.</x:v>
      </x:c>
      <x:c r="P262" s="9" t="str">
        <x:v>The direct prompt is present in Counting training for this same-task object and action direction.</x:v>
      </x:c>
      <x:c r="Q262" s="9"/>
      <x:c r="R262" s="10"/>
      <x:c r="S262" s="10"/>
      <x:c r="T262" s="9"/>
      <x:c r="U262" s="9"/>
      <x:c r="V262" s="9"/>
      <x:c r="W262" s="9" t="str">
        <x:v>CT-CF05-ADD</x:v>
      </x:c>
      <x:c r="X262" s="10" t="n">
        <x:v>2</x:v>
      </x:c>
      <x:c r="Y262" s="10" t="n">
        <x:v>3</x:v>
      </x:c>
      <x:c r="Z262" s="9" t="str">
        <x:v>ADD</x:v>
      </x:c>
      <x:c r="AA262" s="9"/>
      <x:c r="AB262" s="9"/>
      <x:c r="AC262" s="9"/>
      <x:c r="AD262" s="9"/>
      <x:c r="AE262" s="9"/>
      <x:c r="AF262" s="9"/>
      <x:c r="AG262" s="9"/>
      <x:c r="AH262" s="9"/>
      <x:c r="AI262" s="11"/>
      <x:c r="AJ262" s="9"/>
      <x:c r="AK262" s="9" t="str">
        <x:v>Eval_Counting.xlsm</x:v>
      </x:c>
      <x:c r="AL262" s="9" t="str">
        <x:v>GR00T vision only Results</x:v>
      </x:c>
      <x:c r="AM262" s="9" t="n">
        <x:v>112</x:v>
      </x:c>
      <x:c r="AN262" s="9" t="n">
        <x:v>112</x:v>
      </x:c>
    </x:row>
    <x:row r="263">
      <x:c r="A263" s="9" t="str">
        <x:v>Failure</x:v>
      </x:c>
      <x:c r="B263" s="9" t="str">
        <x:v>Counting</x:v>
      </x:c>
      <x:c r="C263" s="10" t="n">
        <x:v>111</x:v>
      </x:c>
      <x:c r="D263" s="9" t="str">
        <x:v>Leave exactly three objects in the bowl.</x:v>
      </x:c>
      <x:c r="E263" s="9" t="str">
        <x:v>Bowl objects: [yellow block, airplane toy without propellers] | Table objects: [blue pen, green pencil sharpener]</x:v>
      </x:c>
      <x:c r="F263" s="9" t="str">
        <x:v>ADD any one table object; finish with 3 objects in the bowl</x:v>
      </x:c>
      <x:c r="G263" s="9" t="str">
        <x:v>didn't move</x:v>
      </x:c>
      <x:c r="H263" s="9" t="str">
        <x:v>Concept/compositional transfer</x:v>
      </x:c>
      <x:c r="I263" s="9" t="str">
        <x:v>CT-CF05</x:v>
      </x:c>
      <x:c r="J263" s="9" t="str">
        <x:v>Primary: three via held-out 2→3 addition</x:v>
      </x:c>
      <x:c r="K263" s="9" t="n">
        <x:v>110</x:v>
      </x:c>
      <x:c r="L263" s="9" t="str">
        <x:v>916</x:v>
      </x:c>
      <x:c r="M263" s="9" t="str">
        <x:v>Representative direct-instruction trajectory for green pencil sharpener; the evaluated count × transition composition is intentionally absent.</x:v>
      </x:c>
      <x:c r="N263" s="9" t="n">
        <x:v>2</x:v>
      </x:c>
      <x:c r="O263" s="9" t="str">
        <x:v>Reset the exact count-2 scene; change only the prompt.</x:v>
      </x:c>
      <x:c r="P263" s="9" t="str">
        <x:v>The goal word three is trained, and this 2→3 trajectory is trained under a direct instruction, but the combination is withheld.</x:v>
      </x:c>
      <x:c r="Q263" s="9"/>
      <x:c r="R263" s="10"/>
      <x:c r="S263" s="10"/>
      <x:c r="T263" s="9"/>
      <x:c r="U263" s="9"/>
      <x:c r="V263" s="9"/>
      <x:c r="W263" s="9" t="str">
        <x:v>CT-CF05-ADD</x:v>
      </x:c>
      <x:c r="X263" s="10" t="n">
        <x:v>2</x:v>
      </x:c>
      <x:c r="Y263" s="10" t="n">
        <x:v>3</x:v>
      </x:c>
      <x:c r="Z263" s="9" t="str">
        <x:v>ADD</x:v>
      </x:c>
      <x:c r="AA263" s="9"/>
      <x:c r="AB263" s="9"/>
      <x:c r="AC263" s="9"/>
      <x:c r="AD263" s="9"/>
      <x:c r="AE263" s="9"/>
      <x:c r="AF263" s="9"/>
      <x:c r="AG263" s="9"/>
      <x:c r="AH263" s="9"/>
      <x:c r="AI263" s="11"/>
      <x:c r="AJ263" s="9"/>
      <x:c r="AK263" s="9" t="str">
        <x:v>Eval_Counting.xlsm</x:v>
      </x:c>
      <x:c r="AL263" s="9" t="str">
        <x:v>GR00T vision only Results</x:v>
      </x:c>
      <x:c r="AM263" s="9" t="n">
        <x:v>113</x:v>
      </x:c>
      <x:c r="AN263" s="9" t="n">
        <x:v>113</x:v>
      </x:c>
    </x:row>
    <x:row r="264">
      <x:c r="A264" s="9" t="str">
        <x:v>Success</x:v>
      </x:c>
      <x:c r="B264" s="9" t="str">
        <x:v>Counting</x:v>
      </x:c>
      <x:c r="C264" s="10" t="n">
        <x:v>112</x:v>
      </x:c>
      <x:c r="D264" s="9" t="str">
        <x:v>Lift the blue pen from the table and set it inside the bowl.</x:v>
      </x:c>
      <x:c r="E264" s="9" t="str">
        <x:v>Bowl objects: [yellow block, airplane toy without propellers] | Table objects: [blue pen, green pencil sharpener]</x:v>
      </x:c>
      <x:c r="F264" s="9" t="str">
        <x:v>ADD blue pen</x:v>
      </x:c>
      <x:c r="G264" s="9"/>
      <x:c r="H264" s="9" t="str">
        <x:v>Language robustness</x:v>
      </x:c>
      <x:c r="I264" s="9" t="str">
        <x:v>CT-CF05</x:v>
      </x:c>
      <x:c r="J264" s="9" t="str">
        <x:v>Matched-control paraphrase: ADD</x:v>
      </x:c>
      <x:c r="K264" s="9" t="n">
        <x:v>110</x:v>
      </x:c>
      <x:c r="L264" s="9" t="str">
        <x:v>817</x:v>
      </x:c>
      <x:c r="M264" s="9" t="str">
        <x:v>Canonical direct-control trajectory for the named object and action direction; evaluation wording is paraphrased.</x:v>
      </x:c>
      <x:c r="N264" s="9" t="n">
        <x:v>2</x:v>
      </x:c>
      <x:c r="O264" s="9" t="str">
        <x:v>Reset the exact count-2 scene; change only the prompt.</x:v>
      </x:c>
      <x:c r="P264" s="9" t="str">
        <x:v>Exact-scene paraphrase of the direct manipulation control.</x:v>
      </x:c>
      <x:c r="Q264" s="9"/>
      <x:c r="R264" s="10"/>
      <x:c r="S264" s="10"/>
      <x:c r="T264" s="9"/>
      <x:c r="U264" s="9"/>
      <x:c r="V264" s="9"/>
      <x:c r="W264" s="9" t="str">
        <x:v>CT-CF05-ADD</x:v>
      </x:c>
      <x:c r="X264" s="10" t="n">
        <x:v>2</x:v>
      </x:c>
      <x:c r="Y264" s="10" t="n">
        <x:v>3</x:v>
      </x:c>
      <x:c r="Z264" s="9" t="str">
        <x:v>ADD</x:v>
      </x:c>
      <x:c r="AA264" s="9"/>
      <x:c r="AB264" s="9"/>
      <x:c r="AC264" s="9"/>
      <x:c r="AD264" s="9"/>
      <x:c r="AE264" s="9"/>
      <x:c r="AF264" s="9"/>
      <x:c r="AG264" s="9"/>
      <x:c r="AH264" s="9"/>
      <x:c r="AI264" s="11"/>
      <x:c r="AJ264" s="9"/>
      <x:c r="AK264" s="9" t="str">
        <x:v>Eval_Counting.xlsm</x:v>
      </x:c>
      <x:c r="AL264" s="9" t="str">
        <x:v>GR00T vision only Results</x:v>
      </x:c>
      <x:c r="AM264" s="9" t="n">
        <x:v>114</x:v>
      </x:c>
      <x:c r="AN264" s="9" t="n">
        <x:v>114</x:v>
      </x:c>
    </x:row>
    <x:row r="265">
      <x:c r="A265" s="9" t="str">
        <x:v>Failure</x:v>
      </x:c>
      <x:c r="B265" s="9" t="str">
        <x:v>Counting</x:v>
      </x:c>
      <x:c r="C265" s="10" t="n">
        <x:v>113</x:v>
      </x:c>
      <x:c r="D265" s="9" t="str">
        <x:v>Adjust the contents until three objects remain in the bowl.</x:v>
      </x:c>
      <x:c r="E265" s="9" t="str">
        <x:v>Bowl objects: [yellow block, airplane toy without propellers] | Table objects: [blue pen, green pencil sharpener]</x:v>
      </x:c>
      <x:c r="F265" s="9" t="str">
        <x:v>ADD any one table object; finish with 3 objects in the bowl</x:v>
      </x:c>
      <x:c r="G265" s="9" t="str">
        <x:v>didn't move</x:v>
      </x:c>
      <x:c r="H265" s="9" t="str">
        <x:v>Language robustness</x:v>
      </x:c>
      <x:c r="I265" s="9" t="str">
        <x:v>CT-CF05</x:v>
      </x:c>
      <x:c r="J265" s="9" t="str">
        <x:v>Primary compositional paraphrase: three via 2→3 addition</x:v>
      </x:c>
      <x:c r="K265" s="9" t="n">
        <x:v>111</x:v>
      </x:c>
      <x:c r="L265" s="9" t="str">
        <x:v>916</x:v>
      </x:c>
      <x:c r="M265" s="9" t="str">
        <x:v>Representative direct-instruction trajectory for green pencil sharpener; the evaluated count × transition composition is intentionally absent. The evaluation wording is also paraphrased.</x:v>
      </x:c>
      <x:c r="N265" s="9" t="n">
        <x:v>2</x:v>
      </x:c>
      <x:c r="O265" s="9" t="str">
        <x:v>Reset the exact count-2 scene; change only the prompt.</x:v>
      </x:c>
      <x:c r="P265" s="9" t="str">
        <x:v>Exact-scene paraphrase of the canonical held-out composition.</x:v>
      </x:c>
      <x:c r="Q265" s="9"/>
      <x:c r="R265" s="10"/>
      <x:c r="S265" s="10"/>
      <x:c r="T265" s="9"/>
      <x:c r="U265" s="9"/>
      <x:c r="V265" s="9"/>
      <x:c r="W265" s="9" t="str">
        <x:v>CT-CF05-ADD</x:v>
      </x:c>
      <x:c r="X265" s="10" t="n">
        <x:v>2</x:v>
      </x:c>
      <x:c r="Y265" s="10" t="n">
        <x:v>3</x:v>
      </x:c>
      <x:c r="Z265" s="9" t="str">
        <x:v>ADD</x:v>
      </x:c>
      <x:c r="AA265" s="9"/>
      <x:c r="AB265" s="9"/>
      <x:c r="AC265" s="9"/>
      <x:c r="AD265" s="9"/>
      <x:c r="AE265" s="9"/>
      <x:c r="AF265" s="9"/>
      <x:c r="AG265" s="9"/>
      <x:c r="AH265" s="9"/>
      <x:c r="AI265" s="11"/>
      <x:c r="AJ265" s="9"/>
      <x:c r="AK265" s="9" t="str">
        <x:v>Eval_Counting.xlsm</x:v>
      </x:c>
      <x:c r="AL265" s="9" t="str">
        <x:v>GR00T vision only Results</x:v>
      </x:c>
      <x:c r="AM265" s="9" t="n">
        <x:v>115</x:v>
      </x:c>
      <x:c r="AN265" s="9" t="n">
        <x:v>115</x:v>
      </x:c>
    </x:row>
    <x:row r="266">
      <x:c r="A266" s="9" t="str">
        <x:v>Failure</x:v>
      </x:c>
      <x:c r="B266" s="9" t="str">
        <x:v>Counting</x:v>
      </x:c>
      <x:c r="C266" s="10" t="n">
        <x:v>114</x:v>
      </x:c>
      <x:c r="D266" s="9" t="str">
        <x:v>Leave exactly three objects in the bowl.</x:v>
      </x:c>
      <x:c r="E266" s="9" t="str">
        <x:v>Bowl objects: [yellow block, green pencil sharpener] | Table objects: [airplane toy without propellers]</x:v>
      </x:c>
      <x:c r="F266" s="9" t="str">
        <x:v>ADD any one table object; finish with 3 objects in the bowl</x:v>
      </x:c>
      <x:c r="G266" s="9" t="str">
        <x:v>didn't move</x:v>
      </x:c>
      <x:c r="H266" s="9" t="str">
        <x:v>Concept/compositional transfer</x:v>
      </x:c>
      <x:c r="I266" s="9" t="str">
        <x:v>CT-CF22</x:v>
      </x:c>
      <x:c r="J266" s="9" t="str">
        <x:v>Primary: three via held-out 2→3 addition</x:v>
      </x:c>
      <x:c r="K266" s="9"/>
      <x:c r="L266" s="9" t="str">
        <x:v>966</x:v>
      </x:c>
      <x:c r="M266" s="9" t="str">
        <x:v>Representative direct-instruction trajectory for airplane toy without propellers; the evaluated count × transition composition is intentionally absent.</x:v>
      </x:c>
      <x:c r="N266" s="9" t="n">
        <x:v>4</x:v>
      </x:c>
      <x:c r="O266" s="9" t="str">
        <x:v>Reset the exact count-2 scene; change only the prompt.</x:v>
      </x:c>
      <x:c r="P266" s="9" t="str">
        <x:v>The goal word three is trained, and this 2→3 trajectory is trained under a direct instruction, but the combination is withheld.</x:v>
      </x:c>
      <x:c r="Q266" s="9"/>
      <x:c r="R266" s="10"/>
      <x:c r="S266" s="10"/>
      <x:c r="T266" s="9"/>
      <x:c r="U266" s="9"/>
      <x:c r="V266" s="9"/>
      <x:c r="W266" s="9" t="str">
        <x:v>CT-CF22-ADD</x:v>
      </x:c>
      <x:c r="X266" s="10" t="n">
        <x:v>2</x:v>
      </x:c>
      <x:c r="Y266" s="10" t="n">
        <x:v>3</x:v>
      </x:c>
      <x:c r="Z266" s="9" t="str">
        <x:v>ADD</x:v>
      </x:c>
      <x:c r="AA266" s="9"/>
      <x:c r="AB266" s="9"/>
      <x:c r="AC266" s="9"/>
      <x:c r="AD266" s="9"/>
      <x:c r="AE266" s="9"/>
      <x:c r="AF266" s="9"/>
      <x:c r="AG266" s="9"/>
      <x:c r="AH266" s="9"/>
      <x:c r="AI266" s="11"/>
      <x:c r="AJ266" s="9"/>
      <x:c r="AK266" s="9" t="str">
        <x:v>Eval_Counting.xlsm</x:v>
      </x:c>
      <x:c r="AL266" s="9" t="str">
        <x:v>GR00T vision only Results</x:v>
      </x:c>
      <x:c r="AM266" s="9" t="n">
        <x:v>116</x:v>
      </x:c>
      <x:c r="AN266" s="9" t="n">
        <x:v>116</x:v>
      </x:c>
    </x:row>
    <x:row r="267">
      <x:c r="A267" s="9" t="str">
        <x:v>Failure</x:v>
      </x:c>
      <x:c r="B267" s="9" t="str">
        <x:v>Counting</x:v>
      </x:c>
      <x:c r="C267" s="10" t="n">
        <x:v>115</x:v>
      </x:c>
      <x:c r="D267" s="9" t="str">
        <x:v>Leave exactly one object in the bowl.</x:v>
      </x:c>
      <x:c r="E267" s="9" t="str">
        <x:v>Bowl objects: [yellow block, green pencil sharpener] | Table objects: [airplane toy without propellers]</x:v>
      </x:c>
      <x:c r="F267" s="9" t="str">
        <x:v>REMOVE any one bowl object; finish with 1 object in the bowl</x:v>
      </x:c>
      <x:c r="G267" s="9" t="str">
        <x:v>didn't move</x:v>
      </x:c>
      <x:c r="H267" s="9" t="str">
        <x:v>Concept/compositional transfer</x:v>
      </x:c>
      <x:c r="I267" s="9" t="str">
        <x:v>CT-CF22</x:v>
      </x:c>
      <x:c r="J267" s="9" t="str">
        <x:v>Primary: one via held-out 2→1 removal</x:v>
      </x:c>
      <x:c r="K267" s="9" t="n">
        <x:v>114</x:v>
      </x:c>
      <x:c r="L267" s="9" t="str">
        <x:v>931</x:v>
      </x:c>
      <x:c r="M267" s="9" t="str">
        <x:v>Representative direct-instruction trajectory for green pencil sharpener; the evaluated count × transition composition is intentionally absent.</x:v>
      </x:c>
      <x:c r="N267" s="9" t="n">
        <x:v>4</x:v>
      </x:c>
      <x:c r="O267" s="9" t="str">
        <x:v>Build the listed count-2 scene.</x:v>
      </x:c>
      <x:c r="P267" s="9" t="str">
        <x:v>The goal word one is trained, and this 2→1 trajectory is trained under a direct instruction, but the combination is withheld.</x:v>
      </x:c>
      <x:c r="Q267" s="9"/>
      <x:c r="R267" s="10"/>
      <x:c r="S267" s="10"/>
      <x:c r="T267" s="9"/>
      <x:c r="U267" s="9"/>
      <x:c r="V267" s="9"/>
      <x:c r="W267" s="9" t="str">
        <x:v>CT-CF22-REMOVE</x:v>
      </x:c>
      <x:c r="X267" s="10" t="n">
        <x:v>2</x:v>
      </x:c>
      <x:c r="Y267" s="10" t="n">
        <x:v>1</x:v>
      </x:c>
      <x:c r="Z267" s="9" t="str">
        <x:v>REMOVE</x:v>
      </x:c>
      <x:c r="AA267" s="9"/>
      <x:c r="AB267" s="9"/>
      <x:c r="AC267" s="9"/>
      <x:c r="AD267" s="9"/>
      <x:c r="AE267" s="9"/>
      <x:c r="AF267" s="9"/>
      <x:c r="AG267" s="9"/>
      <x:c r="AH267" s="9"/>
      <x:c r="AI267" s="11"/>
      <x:c r="AJ267" s="9"/>
      <x:c r="AK267" s="9" t="str">
        <x:v>Eval_Counting.xlsm</x:v>
      </x:c>
      <x:c r="AL267" s="9" t="str">
        <x:v>GR00T vision only Results</x:v>
      </x:c>
      <x:c r="AM267" s="9" t="n">
        <x:v>117</x:v>
      </x:c>
      <x:c r="AN267" s="9" t="n">
        <x:v>117</x:v>
      </x:c>
    </x:row>
    <x:row r="268">
      <x:c r="A268" s="9" t="str">
        <x:v>Failure</x:v>
      </x:c>
      <x:c r="B268" s="9" t="str">
        <x:v>Counting</x:v>
      </x:c>
      <x:c r="C268" s="10" t="n">
        <x:v>116</x:v>
      </x:c>
      <x:c r="D268" s="9" t="str">
        <x:v>Leave exactly one object in the bowl.</x:v>
      </x:c>
      <x:c r="E268" s="9" t="str">
        <x:v>Bowl objects: [blue pen, airplane toy without propellers] | Table objects: [yellow block]</x:v>
      </x:c>
      <x:c r="F268" s="9" t="str">
        <x:v>REMOVE any one bowl object; finish with 1 object in the bowl</x:v>
      </x:c>
      <x:c r="G268" s="9" t="str">
        <x:v>didn't move</x:v>
      </x:c>
      <x:c r="H268" s="9" t="str">
        <x:v>Concept/compositional transfer</x:v>
      </x:c>
      <x:c r="I268" s="9" t="str">
        <x:v>CT-CF21</x:v>
      </x:c>
      <x:c r="J268" s="9" t="str">
        <x:v>Primary: one via held-out 2→1 removal</x:v>
      </x:c>
      <x:c r="K268" s="9"/>
      <x:c r="L268" s="9" t="str">
        <x:v>831</x:v>
      </x:c>
      <x:c r="M268" s="9" t="str">
        <x:v>Representative direct-instruction trajectory for blue pen; the evaluated count × transition composition is intentionally absent.</x:v>
      </x:c>
      <x:c r="N268" s="9" t="n">
        <x:v>4</x:v>
      </x:c>
      <x:c r="O268" s="9" t="str">
        <x:v>Build the listed count-2 scene.</x:v>
      </x:c>
      <x:c r="P268" s="9" t="str">
        <x:v>The goal word one is trained, and this 2→1 trajectory is trained under a direct instruction, but the combination is withheld.</x:v>
      </x:c>
      <x:c r="Q268" s="9"/>
      <x:c r="R268" s="10"/>
      <x:c r="S268" s="10"/>
      <x:c r="T268" s="9"/>
      <x:c r="U268" s="9"/>
      <x:c r="V268" s="9"/>
      <x:c r="W268" s="9" t="str">
        <x:v>CT-CF21-REMOVE</x:v>
      </x:c>
      <x:c r="X268" s="10" t="n">
        <x:v>2</x:v>
      </x:c>
      <x:c r="Y268" s="10" t="n">
        <x:v>1</x:v>
      </x:c>
      <x:c r="Z268" s="9" t="str">
        <x:v>REMOVE</x:v>
      </x:c>
      <x:c r="AA268" s="9"/>
      <x:c r="AB268" s="9"/>
      <x:c r="AC268" s="9"/>
      <x:c r="AD268" s="9"/>
      <x:c r="AE268" s="9"/>
      <x:c r="AF268" s="9"/>
      <x:c r="AG268" s="9"/>
      <x:c r="AH268" s="9"/>
      <x:c r="AI268" s="11"/>
      <x:c r="AJ268" s="9"/>
      <x:c r="AK268" s="9" t="str">
        <x:v>Eval_Counting.xlsm</x:v>
      </x:c>
      <x:c r="AL268" s="9" t="str">
        <x:v>GR00T vision only Results</x:v>
      </x:c>
      <x:c r="AM268" s="9" t="n">
        <x:v>118</x:v>
      </x:c>
      <x:c r="AN268" s="9" t="n">
        <x:v>118</x:v>
      </x:c>
    </x:row>
    <x:row r="269">
      <x:c r="A269" s="9" t="str">
        <x:v>Failure</x:v>
      </x:c>
      <x:c r="B269" s="9" t="str">
        <x:v>Counting</x:v>
      </x:c>
      <x:c r="C269" s="10" t="n">
        <x:v>117</x:v>
      </x:c>
      <x:c r="D269" s="9" t="str">
        <x:v>Leave exactly three objects in the bowl.</x:v>
      </x:c>
      <x:c r="E269" s="9" t="str">
        <x:v>Bowl objects: [blue pen, airplane toy without propellers] | Table objects: [yellow block]</x:v>
      </x:c>
      <x:c r="F269" s="9" t="str">
        <x:v>ADD any one table object; finish with 3 objects in the bowl</x:v>
      </x:c>
      <x:c r="G269" s="9" t="str">
        <x:v>didn't move</x:v>
      </x:c>
      <x:c r="H269" s="9" t="str">
        <x:v>Concept/compositional transfer</x:v>
      </x:c>
      <x:c r="I269" s="9" t="str">
        <x:v>CT-CF21</x:v>
      </x:c>
      <x:c r="J269" s="9" t="str">
        <x:v>Primary: three via held-out 2→3 addition</x:v>
      </x:c>
      <x:c r="K269" s="9" t="n">
        <x:v>116</x:v>
      </x:c>
      <x:c r="L269" s="9" t="str">
        <x:v>866</x:v>
      </x:c>
      <x:c r="M269" s="9" t="str">
        <x:v>Representative direct-instruction trajectory for yellow block; the evaluated count × transition composition is intentionally absent.</x:v>
      </x:c>
      <x:c r="N269" s="9" t="n">
        <x:v>4</x:v>
      </x:c>
      <x:c r="O269" s="9" t="str">
        <x:v>Reset the exact count-2 scene; change only the prompt.</x:v>
      </x:c>
      <x:c r="P269" s="9" t="str">
        <x:v>The goal word three is trained, and this 2→3 trajectory is trained under a direct instruction, but the combination is withheld.</x:v>
      </x:c>
      <x:c r="Q269" s="9"/>
      <x:c r="R269" s="10"/>
      <x:c r="S269" s="10"/>
      <x:c r="T269" s="9"/>
      <x:c r="U269" s="9"/>
      <x:c r="V269" s="9"/>
      <x:c r="W269" s="9" t="str">
        <x:v>CT-CF21-ADD</x:v>
      </x:c>
      <x:c r="X269" s="10" t="n">
        <x:v>2</x:v>
      </x:c>
      <x:c r="Y269" s="10" t="n">
        <x:v>3</x:v>
      </x:c>
      <x:c r="Z269" s="9" t="str">
        <x:v>ADD</x:v>
      </x:c>
      <x:c r="AA269" s="9"/>
      <x:c r="AB269" s="9"/>
      <x:c r="AC269" s="9"/>
      <x:c r="AD269" s="9"/>
      <x:c r="AE269" s="9"/>
      <x:c r="AF269" s="9"/>
      <x:c r="AG269" s="9"/>
      <x:c r="AH269" s="9"/>
      <x:c r="AI269" s="11"/>
      <x:c r="AJ269" s="9"/>
      <x:c r="AK269" s="9" t="str">
        <x:v>Eval_Counting.xlsm</x:v>
      </x:c>
      <x:c r="AL269" s="9" t="str">
        <x:v>GR00T vision only Results</x:v>
      </x:c>
      <x:c r="AM269" s="9" t="n">
        <x:v>119</x:v>
      </x:c>
      <x:c r="AN269" s="9" t="n">
        <x:v>119</x:v>
      </x:c>
    </x:row>
    <x:row r="270">
      <x:c r="A270" s="9" t="str">
        <x:v>Success</x:v>
      </x:c>
      <x:c r="B270" s="9" t="str">
        <x:v>Counting</x:v>
      </x:c>
      <x:c r="C270" s="10" t="n">
        <x:v>118</x:v>
      </x:c>
      <x:c r="D270" s="9" t="str">
        <x:v>Make the bowl contain exactly zero objects.</x:v>
      </x:c>
      <x:c r="E270" s="9" t="str">
        <x:v>Bowl objects: [yellow block] | Table objects: [green highlighter]</x:v>
      </x:c>
      <x:c r="F270" s="9" t="str">
        <x:v>REMOVE yellow block; finish with 0 objects in the bowl</x:v>
      </x:c>
      <x:c r="G270" s="9"/>
      <x:c r="H270" s="9" t="str">
        <x:v>Cross-task object reasoning</x:v>
      </x:c>
      <x:c r="I270" s="9" t="str">
        <x:v>XT-GH02</x:v>
      </x:c>
      <x:c r="J270" s="9" t="str">
        <x:v>Reasoning-only cross-task distractor: 1→0 removal</x:v>
      </x:c>
      <x:c r="K270" s="9"/>
      <x:c r="L270" s="9" t="str">
        <x:v>825; 708</x:v>
      </x:c>
      <x:c r="M270" s="9" t="str">
        <x:v>First episode grounds the Counting prompt/transition; episode 708 grounds direct green-highlighter manipulation. No exact green-highlighter Counting cell exists.</x:v>
      </x:c>
      <x:c r="N270" s="9" t="n">
        <x:v>5</x:v>
      </x:c>
      <x:c r="O270" s="9" t="str">
        <x:v>Build counterfactual cross-task scene B.</x:v>
      </x:c>
      <x:c r="P270" s="9" t="str">
        <x:v>The prompt never names the highlighter. The highlighter is a distractor; the familiar Counting transition determines the action.</x:v>
      </x:c>
      <x:c r="Q270" s="9"/>
      <x:c r="R270" s="10"/>
      <x:c r="S270" s="10"/>
      <x:c r="T270" s="9"/>
      <x:c r="U270" s="9"/>
      <x:c r="V270" s="9"/>
      <x:c r="W270" s="9" t="str">
        <x:v>XT-GH02-B</x:v>
      </x:c>
      <x:c r="X270" s="10" t="n">
        <x:v>1</x:v>
      </x:c>
      <x:c r="Y270" s="10" t="n">
        <x:v>0</x:v>
      </x:c>
      <x:c r="Z270" s="9" t="str">
        <x:v>REMOVE</x:v>
      </x:c>
      <x:c r="AA270" s="9"/>
      <x:c r="AB270" s="9"/>
      <x:c r="AC270" s="9"/>
      <x:c r="AD270" s="9"/>
      <x:c r="AE270" s="9"/>
      <x:c r="AF270" s="9"/>
      <x:c r="AG270" s="9"/>
      <x:c r="AH270" s="9"/>
      <x:c r="AI270" s="11"/>
      <x:c r="AJ270" s="9"/>
      <x:c r="AK270" s="9" t="str">
        <x:v>Eval_Counting.xlsm</x:v>
      </x:c>
      <x:c r="AL270" s="9" t="str">
        <x:v>GR00T vision only Results</x:v>
      </x:c>
      <x:c r="AM270" s="9" t="n">
        <x:v>120</x:v>
      </x:c>
      <x:c r="AN270" s="9" t="n">
        <x:v>120</x:v>
      </x:c>
    </x:row>
    <x:row r="271">
      <x:c r="A271" s="9" t="str">
        <x:v>Failure</x:v>
      </x:c>
      <x:c r="B271" s="9" t="str">
        <x:v>Counting</x:v>
      </x:c>
      <x:c r="C271" s="10" t="n">
        <x:v>119</x:v>
      </x:c>
      <x:c r="D271" s="9" t="str">
        <x:v>Make the bowl contain exactly two objects.</x:v>
      </x:c>
      <x:c r="E271" s="9" t="str">
        <x:v>Bowl objects: [yellow block] | Table objects: [green highlighter]</x:v>
      </x:c>
      <x:c r="F271" s="9" t="str">
        <x:v>ADD green highlighter; finish with 2 objects in the bowl</x:v>
      </x:c>
      <x:c r="G271" s="9" t="str">
        <x:v>didn't move</x:v>
      </x:c>
      <x:c r="H271" s="9" t="str">
        <x:v>Cross-task object reasoning</x:v>
      </x:c>
      <x:c r="I271" s="9" t="str">
        <x:v>XT-GH02</x:v>
      </x:c>
      <x:c r="J271" s="9" t="str">
        <x:v>Reasoning-only cross-task target: 1→2 addition</x:v>
      </x:c>
      <x:c r="K271" s="9" t="n">
        <x:v>118</x:v>
      </x:c>
      <x:c r="L271" s="9" t="str">
        <x:v>808; 708</x:v>
      </x:c>
      <x:c r="M271" s="9" t="str">
        <x:v>First episode grounds the Counting prompt/transition; episode 708 grounds direct green-highlighter manipulation. No exact green-highlighter Counting cell exists.</x:v>
      </x:c>
      <x:c r="N271" s="9" t="n">
        <x:v>5</x:v>
      </x:c>
      <x:c r="O271" s="9" t="str">
        <x:v>Reset the exact scene; change only the requested final count.</x:v>
      </x:c>
      <x:c r="P271" s="9" t="str">
        <x:v>The prompt never names the highlighter. The highlighter is the required object; the familiar Counting transition determines the action.</x:v>
      </x:c>
      <x:c r="Q271" s="9"/>
      <x:c r="R271" s="10"/>
      <x:c r="S271" s="10"/>
      <x:c r="T271" s="9"/>
      <x:c r="U271" s="9"/>
      <x:c r="V271" s="9"/>
      <x:c r="W271" s="9" t="str">
        <x:v>XT-GH02-B</x:v>
      </x:c>
      <x:c r="X271" s="10" t="n">
        <x:v>1</x:v>
      </x:c>
      <x:c r="Y271" s="10" t="n">
        <x:v>2</x:v>
      </x:c>
      <x:c r="Z271" s="9" t="str">
        <x:v>ADD</x:v>
      </x:c>
      <x:c r="AA271" s="9"/>
      <x:c r="AB271" s="9"/>
      <x:c r="AC271" s="9"/>
      <x:c r="AD271" s="9"/>
      <x:c r="AE271" s="9"/>
      <x:c r="AF271" s="9"/>
      <x:c r="AG271" s="9"/>
      <x:c r="AH271" s="9"/>
      <x:c r="AI271" s="11"/>
      <x:c r="AJ271" s="9"/>
      <x:c r="AK271" s="9" t="str">
        <x:v>Eval_Counting.xlsm</x:v>
      </x:c>
      <x:c r="AL271" s="9" t="str">
        <x:v>GR00T vision only Results</x:v>
      </x:c>
      <x:c r="AM271" s="9" t="n">
        <x:v>121</x:v>
      </x:c>
      <x:c r="AN271" s="9" t="n">
        <x:v>121</x:v>
      </x:c>
    </x:row>
    <x:row r="272">
      <x:c r="A272" s="9" t="str">
        <x:v>Failure</x:v>
      </x:c>
      <x:c r="B272" s="9" t="str">
        <x:v>Counting</x:v>
      </x:c>
      <x:c r="C272" s="10" t="n">
        <x:v>120</x:v>
      </x:c>
      <x:c r="D272" s="9" t="str">
        <x:v>Make the bowl contain exactly two objects.</x:v>
      </x:c>
      <x:c r="E272" s="9" t="str">
        <x:v>Bowl objects: [green highlighter] | Table objects: [yellow block]</x:v>
      </x:c>
      <x:c r="F272" s="9" t="str">
        <x:v>ADD yellow block; finish with 2 objects in the bowl</x:v>
      </x:c>
      <x:c r="G272" s="9" t="str">
        <x:v>didn't move</x:v>
      </x:c>
      <x:c r="H272" s="9" t="str">
        <x:v>Cross-task object reasoning</x:v>
      </x:c>
      <x:c r="I272" s="9" t="str">
        <x:v>XT-GH02</x:v>
      </x:c>
      <x:c r="J272" s="9" t="str">
        <x:v>Reasoning-only cross-task distractor: 1→2 addition</x:v>
      </x:c>
      <x:c r="K272" s="9"/>
      <x:c r="L272" s="9" t="str">
        <x:v>808; 708</x:v>
      </x:c>
      <x:c r="M272" s="9" t="str">
        <x:v>First episode grounds the Counting prompt/transition; episode 708 grounds direct green-highlighter manipulation. No exact green-highlighter Counting cell exists.</x:v>
      </x:c>
      <x:c r="N272" s="9" t="n">
        <x:v>5</x:v>
      </x:c>
      <x:c r="O272" s="9" t="str">
        <x:v>Build counterfactual cross-task scene A.</x:v>
      </x:c>
      <x:c r="P272" s="9" t="str">
        <x:v>The prompt never names the highlighter. The highlighter is a distractor; the familiar Counting transition determines the action.</x:v>
      </x:c>
      <x:c r="Q272" s="9"/>
      <x:c r="R272" s="10"/>
      <x:c r="S272" s="10"/>
      <x:c r="T272" s="9"/>
      <x:c r="U272" s="9"/>
      <x:c r="V272" s="9"/>
      <x:c r="W272" s="9" t="str">
        <x:v>XT-GH02-A</x:v>
      </x:c>
      <x:c r="X272" s="10" t="n">
        <x:v>1</x:v>
      </x:c>
      <x:c r="Y272" s="10" t="n">
        <x:v>2</x:v>
      </x:c>
      <x:c r="Z272" s="9" t="str">
        <x:v>ADD</x:v>
      </x:c>
      <x:c r="AA272" s="9"/>
      <x:c r="AB272" s="9"/>
      <x:c r="AC272" s="9"/>
      <x:c r="AD272" s="9"/>
      <x:c r="AE272" s="9"/>
      <x:c r="AF272" s="9"/>
      <x:c r="AG272" s="9"/>
      <x:c r="AH272" s="9"/>
      <x:c r="AI272" s="11"/>
      <x:c r="AJ272" s="9"/>
      <x:c r="AK272" s="9" t="str">
        <x:v>Eval_Counting.xlsm</x:v>
      </x:c>
      <x:c r="AL272" s="9" t="str">
        <x:v>GR00T vision only Results</x:v>
      </x:c>
      <x:c r="AM272" s="9" t="n">
        <x:v>122</x:v>
      </x:c>
      <x:c r="AN272" s="9" t="n">
        <x:v>122</x:v>
      </x:c>
    </x:row>
    <x:row r="273">
      <x:c r="A273" s="9" t="str">
        <x:v>Success</x:v>
      </x:c>
      <x:c r="B273" s="9" t="str">
        <x:v>Counting</x:v>
      </x:c>
      <x:c r="C273" s="10" t="n">
        <x:v>121</x:v>
      </x:c>
      <x:c r="D273" s="9" t="str">
        <x:v>Make the bowl contain exactly zero objects.</x:v>
      </x:c>
      <x:c r="E273" s="9" t="str">
        <x:v>Bowl objects: [green highlighter] | Table objects: [yellow block]</x:v>
      </x:c>
      <x:c r="F273" s="9" t="str">
        <x:v>REMOVE green highlighter; finish with 0 objects in the bowl</x:v>
      </x:c>
      <x:c r="G273" s="9"/>
      <x:c r="H273" s="9" t="str">
        <x:v>Cross-task object reasoning</x:v>
      </x:c>
      <x:c r="I273" s="9" t="str">
        <x:v>XT-GH02</x:v>
      </x:c>
      <x:c r="J273" s="9" t="str">
        <x:v>Reasoning-only cross-task target: 1→0 removal</x:v>
      </x:c>
      <x:c r="K273" s="9" t="n">
        <x:v>120</x:v>
      </x:c>
      <x:c r="L273" s="9" t="str">
        <x:v>825; 708</x:v>
      </x:c>
      <x:c r="M273" s="9" t="str">
        <x:v>First episode grounds the Counting prompt/transition; episode 708 grounds direct green-highlighter manipulation. No exact green-highlighter Counting cell exists.</x:v>
      </x:c>
      <x:c r="N273" s="9" t="n">
        <x:v>5</x:v>
      </x:c>
      <x:c r="O273" s="9" t="str">
        <x:v>Reset the exact scene; change only the requested final count.</x:v>
      </x:c>
      <x:c r="P273" s="9" t="str">
        <x:v>The prompt never names the highlighter. The highlighter is the required object; the familiar Counting transition determines the action.</x:v>
      </x:c>
      <x:c r="Q273" s="9"/>
      <x:c r="R273" s="10"/>
      <x:c r="S273" s="10"/>
      <x:c r="T273" s="9"/>
      <x:c r="U273" s="9"/>
      <x:c r="V273" s="9"/>
      <x:c r="W273" s="9" t="str">
        <x:v>XT-GH02-A</x:v>
      </x:c>
      <x:c r="X273" s="10" t="n">
        <x:v>1</x:v>
      </x:c>
      <x:c r="Y273" s="10" t="n">
        <x:v>0</x:v>
      </x:c>
      <x:c r="Z273" s="9" t="str">
        <x:v>REMOVE</x:v>
      </x:c>
      <x:c r="AA273" s="9"/>
      <x:c r="AB273" s="9"/>
      <x:c r="AC273" s="9"/>
      <x:c r="AD273" s="9"/>
      <x:c r="AE273" s="9"/>
      <x:c r="AF273" s="9"/>
      <x:c r="AG273" s="9"/>
      <x:c r="AH273" s="9"/>
      <x:c r="AI273" s="11"/>
      <x:c r="AJ273" s="9"/>
      <x:c r="AK273" s="9" t="str">
        <x:v>Eval_Counting.xlsm</x:v>
      </x:c>
      <x:c r="AL273" s="9" t="str">
        <x:v>GR00T vision only Results</x:v>
      </x:c>
      <x:c r="AM273" s="9" t="n">
        <x:v>123</x:v>
      </x:c>
      <x:c r="AN273" s="9" t="n">
        <x:v>123</x:v>
      </x:c>
    </x:row>
    <x:row r="274">
      <x:c r="A274" s="9" t="str">
        <x:v>Failure</x:v>
      </x:c>
      <x:c r="B274" s="9" t="str">
        <x:v>Counting</x:v>
      </x:c>
      <x:c r="C274" s="10" t="n">
        <x:v>122</x:v>
      </x:c>
      <x:c r="D274" s="9" t="str">
        <x:v>Leave exactly three objects in the bowl.</x:v>
      </x:c>
      <x:c r="E274" s="9" t="str">
        <x:v>Bowl objects: [yellow block, green pencil sharpener] | Table objects: [airplane toy without propellers]</x:v>
      </x:c>
      <x:c r="F274" s="9" t="str">
        <x:v>ADD any one table object; finish with 3 objects in the bowl</x:v>
      </x:c>
      <x:c r="G274" s="9" t="str">
        <x:v>didn't move</x:v>
      </x:c>
      <x:c r="H274" s="9" t="str">
        <x:v>Concept/compositional transfer</x:v>
      </x:c>
      <x:c r="I274" s="9" t="str">
        <x:v>CT-CF16</x:v>
      </x:c>
      <x:c r="J274" s="9" t="str">
        <x:v>Primary: three via held-out 2→3 addition</x:v>
      </x:c>
      <x:c r="K274" s="9"/>
      <x:c r="L274" s="9" t="str">
        <x:v>966</x:v>
      </x:c>
      <x:c r="M274" s="9" t="str">
        <x:v>Representative direct-instruction trajectory for airplane toy without propellers; the evaluated count × transition composition is intentionally absent.</x:v>
      </x:c>
      <x:c r="N274" s="9" t="n">
        <x:v>4</x:v>
      </x:c>
      <x:c r="O274" s="9" t="str">
        <x:v>Reset the exact count-2 scene; change only the prompt.</x:v>
      </x:c>
      <x:c r="P274" s="9" t="str">
        <x:v>The goal word three is trained, and this 2→3 trajectory is trained under a direct instruction, but the combination is withheld.</x:v>
      </x:c>
      <x:c r="Q274" s="9"/>
      <x:c r="R274" s="10"/>
      <x:c r="S274" s="10"/>
      <x:c r="T274" s="9"/>
      <x:c r="U274" s="9"/>
      <x:c r="V274" s="9"/>
      <x:c r="W274" s="9" t="str">
        <x:v>CT-CF16-ADD</x:v>
      </x:c>
      <x:c r="X274" s="10" t="n">
        <x:v>2</x:v>
      </x:c>
      <x:c r="Y274" s="10" t="n">
        <x:v>3</x:v>
      </x:c>
      <x:c r="Z274" s="9" t="str">
        <x:v>ADD</x:v>
      </x:c>
      <x:c r="AA274" s="9"/>
      <x:c r="AB274" s="9"/>
      <x:c r="AC274" s="9"/>
      <x:c r="AD274" s="9"/>
      <x:c r="AE274" s="9"/>
      <x:c r="AF274" s="9"/>
      <x:c r="AG274" s="9"/>
      <x:c r="AH274" s="9"/>
      <x:c r="AI274" s="11"/>
      <x:c r="AJ274" s="9"/>
      <x:c r="AK274" s="9" t="str">
        <x:v>Eval_Counting.xlsm</x:v>
      </x:c>
      <x:c r="AL274" s="9" t="str">
        <x:v>GR00T vision only Results</x:v>
      </x:c>
      <x:c r="AM274" s="9" t="n">
        <x:v>124</x:v>
      </x:c>
      <x:c r="AN274" s="9" t="n">
        <x:v>124</x:v>
      </x:c>
    </x:row>
    <x:row r="275">
      <x:c r="A275" s="9" t="str">
        <x:v>Failure</x:v>
      </x:c>
      <x:c r="B275" s="9" t="str">
        <x:v>Counting</x:v>
      </x:c>
      <x:c r="C275" s="10" t="n">
        <x:v>123</x:v>
      </x:c>
      <x:c r="D275" s="9" t="str">
        <x:v>Leave exactly one object in the bowl.</x:v>
      </x:c>
      <x:c r="E275" s="9" t="str">
        <x:v>Bowl objects: [yellow block, green pencil sharpener] | Table objects: [airplane toy without propellers]</x:v>
      </x:c>
      <x:c r="F275" s="9" t="str">
        <x:v>REMOVE any one bowl object; finish with 1 object in the bowl</x:v>
      </x:c>
      <x:c r="G275" s="9" t="str">
        <x:v>didn't move</x:v>
      </x:c>
      <x:c r="H275" s="9" t="str">
        <x:v>Concept/compositional transfer</x:v>
      </x:c>
      <x:c r="I275" s="9" t="str">
        <x:v>CT-CF16</x:v>
      </x:c>
      <x:c r="J275" s="9" t="str">
        <x:v>Primary: one via held-out 2→1 removal</x:v>
      </x:c>
      <x:c r="K275" s="9" t="n">
        <x:v>122</x:v>
      </x:c>
      <x:c r="L275" s="9" t="str">
        <x:v>931</x:v>
      </x:c>
      <x:c r="M275" s="9" t="str">
        <x:v>Representative direct-instruction trajectory for green pencil sharpener; the evaluated count × transition composition is intentionally absent.</x:v>
      </x:c>
      <x:c r="N275" s="9" t="n">
        <x:v>4</x:v>
      </x:c>
      <x:c r="O275" s="9" t="str">
        <x:v>Build the listed count-2 scene.</x:v>
      </x:c>
      <x:c r="P275" s="9" t="str">
        <x:v>The goal word one is trained, and this 2→1 trajectory is trained under a direct instruction, but the combination is withheld.</x:v>
      </x:c>
      <x:c r="Q275" s="9"/>
      <x:c r="R275" s="10"/>
      <x:c r="S275" s="10"/>
      <x:c r="T275" s="9"/>
      <x:c r="U275" s="9"/>
      <x:c r="V275" s="9"/>
      <x:c r="W275" s="9" t="str">
        <x:v>CT-CF16-REMOVE</x:v>
      </x:c>
      <x:c r="X275" s="10" t="n">
        <x:v>2</x:v>
      </x:c>
      <x:c r="Y275" s="10" t="n">
        <x:v>1</x:v>
      </x:c>
      <x:c r="Z275" s="9" t="str">
        <x:v>REMOVE</x:v>
      </x:c>
      <x:c r="AA275" s="9"/>
      <x:c r="AB275" s="9"/>
      <x:c r="AC275" s="9"/>
      <x:c r="AD275" s="9"/>
      <x:c r="AE275" s="9"/>
      <x:c r="AF275" s="9"/>
      <x:c r="AG275" s="9"/>
      <x:c r="AH275" s="9"/>
      <x:c r="AI275" s="11"/>
      <x:c r="AJ275" s="9"/>
      <x:c r="AK275" s="9" t="str">
        <x:v>Eval_Counting.xlsm</x:v>
      </x:c>
      <x:c r="AL275" s="9" t="str">
        <x:v>GR00T vision only Results</x:v>
      </x:c>
      <x:c r="AM275" s="9" t="n">
        <x:v>125</x:v>
      </x:c>
      <x:c r="AN275" s="9" t="n">
        <x:v>125</x:v>
      </x:c>
    </x:row>
    <x:row r="276">
      <x:c r="A276" s="9" t="str">
        <x:v>Success</x:v>
      </x:c>
      <x:c r="B276" s="9" t="str">
        <x:v>Counting</x:v>
      </x:c>
      <x:c r="C276" s="10" t="n">
        <x:v>124</x:v>
      </x:c>
      <x:c r="D276" s="9" t="str">
        <x:v>Make the bowl contain exactly zero objects.</x:v>
      </x:c>
      <x:c r="E276" s="9" t="str">
        <x:v>Bowl objects: [airplane toy without propellers] | Table objects: [green highlighter]</x:v>
      </x:c>
      <x:c r="F276" s="9" t="str">
        <x:v>REMOVE airplane toy without propellers; finish with 0 objects in the bowl</x:v>
      </x:c>
      <x:c r="G276" s="9"/>
      <x:c r="H276" s="9" t="str">
        <x:v>Cross-task object reasoning</x:v>
      </x:c>
      <x:c r="I276" s="9" t="str">
        <x:v>XT-GH04</x:v>
      </x:c>
      <x:c r="J276" s="9" t="str">
        <x:v>Reasoning-only cross-task distractor: 1→0 removal</x:v>
      </x:c>
      <x:c r="K276" s="9"/>
      <x:c r="L276" s="9" t="str">
        <x:v>825; 708</x:v>
      </x:c>
      <x:c r="M276" s="9" t="str">
        <x:v>First episode grounds the Counting prompt/transition; episode 708 grounds direct green-highlighter manipulation. No exact green-highlighter Counting cell exists.</x:v>
      </x:c>
      <x:c r="N276" s="9" t="n">
        <x:v>5</x:v>
      </x:c>
      <x:c r="O276" s="9" t="str">
        <x:v>Build counterfactual cross-task scene B.</x:v>
      </x:c>
      <x:c r="P276" s="9" t="str">
        <x:v>The prompt never names the highlighter. The highlighter is a distractor; the familiar Counting transition determines the action.</x:v>
      </x:c>
      <x:c r="Q276" s="9"/>
      <x:c r="R276" s="10"/>
      <x:c r="S276" s="10"/>
      <x:c r="T276" s="9"/>
      <x:c r="U276" s="9"/>
      <x:c r="V276" s="9"/>
      <x:c r="W276" s="9" t="str">
        <x:v>XT-GH04-B</x:v>
      </x:c>
      <x:c r="X276" s="10" t="n">
        <x:v>1</x:v>
      </x:c>
      <x:c r="Y276" s="10" t="n">
        <x:v>0</x:v>
      </x:c>
      <x:c r="Z276" s="9" t="str">
        <x:v>REMOVE</x:v>
      </x:c>
      <x:c r="AA276" s="9"/>
      <x:c r="AB276" s="9"/>
      <x:c r="AC276" s="9"/>
      <x:c r="AD276" s="9"/>
      <x:c r="AE276" s="9"/>
      <x:c r="AF276" s="9"/>
      <x:c r="AG276" s="9"/>
      <x:c r="AH276" s="9"/>
      <x:c r="AI276" s="11"/>
      <x:c r="AJ276" s="9"/>
      <x:c r="AK276" s="9" t="str">
        <x:v>Eval_Counting.xlsm</x:v>
      </x:c>
      <x:c r="AL276" s="9" t="str">
        <x:v>GR00T vision only Results</x:v>
      </x:c>
      <x:c r="AM276" s="9" t="n">
        <x:v>126</x:v>
      </x:c>
      <x:c r="AN276" s="9" t="n">
        <x:v>126</x:v>
      </x:c>
    </x:row>
    <x:row r="277">
      <x:c r="A277" s="9" t="str">
        <x:v>Failure</x:v>
      </x:c>
      <x:c r="B277" s="9" t="str">
        <x:v>Counting</x:v>
      </x:c>
      <x:c r="C277" s="10" t="n">
        <x:v>125</x:v>
      </x:c>
      <x:c r="D277" s="9" t="str">
        <x:v>Make the bowl contain exactly two objects.</x:v>
      </x:c>
      <x:c r="E277" s="9" t="str">
        <x:v>Bowl objects: [airplane toy without propellers] | Table objects: [green highlighter]</x:v>
      </x:c>
      <x:c r="F277" s="9" t="str">
        <x:v>ADD green highlighter; finish with 2 objects in the bowl</x:v>
      </x:c>
      <x:c r="G277" s="9" t="str">
        <x:v>put the green highlighter in and then took out the airplane toy</x:v>
      </x:c>
      <x:c r="H277" s="9" t="str">
        <x:v>Cross-task object reasoning</x:v>
      </x:c>
      <x:c r="I277" s="9" t="str">
        <x:v>XT-GH04</x:v>
      </x:c>
      <x:c r="J277" s="9" t="str">
        <x:v>Reasoning-only cross-task target: 1→2 addition</x:v>
      </x:c>
      <x:c r="K277" s="9" t="n">
        <x:v>124</x:v>
      </x:c>
      <x:c r="L277" s="9" t="str">
        <x:v>808; 708</x:v>
      </x:c>
      <x:c r="M277" s="9" t="str">
        <x:v>First episode grounds the Counting prompt/transition; episode 708 grounds direct green-highlighter manipulation. No exact green-highlighter Counting cell exists.</x:v>
      </x:c>
      <x:c r="N277" s="9" t="n">
        <x:v>5</x:v>
      </x:c>
      <x:c r="O277" s="9" t="str">
        <x:v>Reset the exact scene; change only the requested final count.</x:v>
      </x:c>
      <x:c r="P277" s="9" t="str">
        <x:v>The prompt never names the highlighter. The highlighter is the required object; the familiar Counting transition determines the action.</x:v>
      </x:c>
      <x:c r="Q277" s="9"/>
      <x:c r="R277" s="10"/>
      <x:c r="S277" s="10"/>
      <x:c r="T277" s="9"/>
      <x:c r="U277" s="9"/>
      <x:c r="V277" s="9"/>
      <x:c r="W277" s="9" t="str">
        <x:v>XT-GH04-B</x:v>
      </x:c>
      <x:c r="X277" s="10" t="n">
        <x:v>1</x:v>
      </x:c>
      <x:c r="Y277" s="10" t="n">
        <x:v>2</x:v>
      </x:c>
      <x:c r="Z277" s="9" t="str">
        <x:v>ADD</x:v>
      </x:c>
      <x:c r="AA277" s="9"/>
      <x:c r="AB277" s="9"/>
      <x:c r="AC277" s="9"/>
      <x:c r="AD277" s="9"/>
      <x:c r="AE277" s="9"/>
      <x:c r="AF277" s="9"/>
      <x:c r="AG277" s="9"/>
      <x:c r="AH277" s="9"/>
      <x:c r="AI277" s="11"/>
      <x:c r="AJ277" s="9"/>
      <x:c r="AK277" s="9" t="str">
        <x:v>Eval_Counting.xlsm</x:v>
      </x:c>
      <x:c r="AL277" s="9" t="str">
        <x:v>GR00T vision only Results</x:v>
      </x:c>
      <x:c r="AM277" s="9" t="n">
        <x:v>127</x:v>
      </x:c>
      <x:c r="AN277" s="9" t="n">
        <x:v>127</x:v>
      </x:c>
    </x:row>
    <x:row r="278">
      <x:c r="A278" s="9" t="str">
        <x:v>Failure</x:v>
      </x:c>
      <x:c r="B278" s="9" t="str">
        <x:v>Counting</x:v>
      </x:c>
      <x:c r="C278" s="10" t="n">
        <x:v>126</x:v>
      </x:c>
      <x:c r="D278" s="9" t="str">
        <x:v>Make the bowl contain exactly two objects.</x:v>
      </x:c>
      <x:c r="E278" s="9" t="str">
        <x:v>Bowl objects: [green highlighter] | Table objects: [airplane toy without propellers]</x:v>
      </x:c>
      <x:c r="F278" s="9" t="str">
        <x:v>ADD airplane toy without propellers; finish with 2 objects in the bowl</x:v>
      </x:c>
      <x:c r="G278" s="9" t="str">
        <x:v>put the green highlighter in the bowl and then took it out. the robot then drifted to the right edge of workspace</x:v>
      </x:c>
      <x:c r="H278" s="9" t="str">
        <x:v>Cross-task object reasoning</x:v>
      </x:c>
      <x:c r="I278" s="9" t="str">
        <x:v>XT-GH04</x:v>
      </x:c>
      <x:c r="J278" s="9" t="str">
        <x:v>Reasoning-only cross-task distractor: 1→2 addition</x:v>
      </x:c>
      <x:c r="K278" s="9"/>
      <x:c r="L278" s="9" t="str">
        <x:v>808; 708</x:v>
      </x:c>
      <x:c r="M278" s="9" t="str">
        <x:v>First episode grounds the Counting prompt/transition; episode 708 grounds direct green-highlighter manipulation. No exact green-highlighter Counting cell exists.</x:v>
      </x:c>
      <x:c r="N278" s="9" t="n">
        <x:v>5</x:v>
      </x:c>
      <x:c r="O278" s="9" t="str">
        <x:v>Build counterfactual cross-task scene A.</x:v>
      </x:c>
      <x:c r="P278" s="9" t="str">
        <x:v>The prompt never names the highlighter. The highlighter is a distractor; the familiar Counting transition determines the action.</x:v>
      </x:c>
      <x:c r="Q278" s="9"/>
      <x:c r="R278" s="10"/>
      <x:c r="S278" s="10"/>
      <x:c r="T278" s="9"/>
      <x:c r="U278" s="9"/>
      <x:c r="V278" s="9"/>
      <x:c r="W278" s="9" t="str">
        <x:v>XT-GH04-A</x:v>
      </x:c>
      <x:c r="X278" s="10" t="n">
        <x:v>1</x:v>
      </x:c>
      <x:c r="Y278" s="10" t="n">
        <x:v>2</x:v>
      </x:c>
      <x:c r="Z278" s="9" t="str">
        <x:v>ADD</x:v>
      </x:c>
      <x:c r="AA278" s="9"/>
      <x:c r="AB278" s="9"/>
      <x:c r="AC278" s="9"/>
      <x:c r="AD278" s="9"/>
      <x:c r="AE278" s="9"/>
      <x:c r="AF278" s="9"/>
      <x:c r="AG278" s="9"/>
      <x:c r="AH278" s="9"/>
      <x:c r="AI278" s="11"/>
      <x:c r="AJ278" s="9"/>
      <x:c r="AK278" s="9" t="str">
        <x:v>Eval_Counting.xlsm</x:v>
      </x:c>
      <x:c r="AL278" s="9" t="str">
        <x:v>GR00T vision only Results</x:v>
      </x:c>
      <x:c r="AM278" s="9" t="n">
        <x:v>128</x:v>
      </x:c>
      <x:c r="AN278" s="9" t="n">
        <x:v>128</x:v>
      </x:c>
    </x:row>
    <x:row r="279">
      <x:c r="A279" s="9" t="str">
        <x:v>Success</x:v>
      </x:c>
      <x:c r="B279" s="9" t="str">
        <x:v>Counting</x:v>
      </x:c>
      <x:c r="C279" s="10" t="n">
        <x:v>127</x:v>
      </x:c>
      <x:c r="D279" s="9" t="str">
        <x:v>Make the bowl contain exactly zero objects.</x:v>
      </x:c>
      <x:c r="E279" s="9" t="str">
        <x:v>Bowl objects: [green highlighter] | Table objects: [airplane toy without propellers]</x:v>
      </x:c>
      <x:c r="F279" s="9" t="str">
        <x:v>REMOVE green highlighter; finish with 0 objects in the bowl</x:v>
      </x:c>
      <x:c r="G279" s="9"/>
      <x:c r="H279" s="9" t="str">
        <x:v>Cross-task object reasoning</x:v>
      </x:c>
      <x:c r="I279" s="9" t="str">
        <x:v>XT-GH04</x:v>
      </x:c>
      <x:c r="J279" s="9" t="str">
        <x:v>Reasoning-only cross-task target: 1→0 removal</x:v>
      </x:c>
      <x:c r="K279" s="9" t="n">
        <x:v>126</x:v>
      </x:c>
      <x:c r="L279" s="9" t="str">
        <x:v>825; 708</x:v>
      </x:c>
      <x:c r="M279" s="9" t="str">
        <x:v>First episode grounds the Counting prompt/transition; episode 708 grounds direct green-highlighter manipulation. No exact green-highlighter Counting cell exists.</x:v>
      </x:c>
      <x:c r="N279" s="9" t="n">
        <x:v>5</x:v>
      </x:c>
      <x:c r="O279" s="9" t="str">
        <x:v>Reset the exact scene; change only the requested final count.</x:v>
      </x:c>
      <x:c r="P279" s="9" t="str">
        <x:v>The prompt never names the highlighter. The highlighter is the required object; the familiar Counting transition determines the action.</x:v>
      </x:c>
      <x:c r="Q279" s="9"/>
      <x:c r="R279" s="10"/>
      <x:c r="S279" s="10"/>
      <x:c r="T279" s="9"/>
      <x:c r="U279" s="9"/>
      <x:c r="V279" s="9"/>
      <x:c r="W279" s="9" t="str">
        <x:v>XT-GH04-A</x:v>
      </x:c>
      <x:c r="X279" s="10" t="n">
        <x:v>1</x:v>
      </x:c>
      <x:c r="Y279" s="10" t="n">
        <x:v>0</x:v>
      </x:c>
      <x:c r="Z279" s="9" t="str">
        <x:v>REMOVE</x:v>
      </x:c>
      <x:c r="AA279" s="9"/>
      <x:c r="AB279" s="9"/>
      <x:c r="AC279" s="9"/>
      <x:c r="AD279" s="9"/>
      <x:c r="AE279" s="9"/>
      <x:c r="AF279" s="9"/>
      <x:c r="AG279" s="9"/>
      <x:c r="AH279" s="9"/>
      <x:c r="AI279" s="11"/>
      <x:c r="AJ279" s="9"/>
      <x:c r="AK279" s="9" t="str">
        <x:v>Eval_Counting.xlsm</x:v>
      </x:c>
      <x:c r="AL279" s="9" t="str">
        <x:v>GR00T vision only Results</x:v>
      </x:c>
      <x:c r="AM279" s="9" t="n">
        <x:v>129</x:v>
      </x:c>
      <x:c r="AN279" s="9" t="n">
        <x:v>129</x:v>
      </x:c>
    </x:row>
    <x:row r="280">
      <x:c r="A280" s="9" t="str">
        <x:v>Success</x:v>
      </x:c>
      <x:c r="B280" s="9" t="str">
        <x:v>Counting</x:v>
      </x:c>
      <x:c r="C280" s="10" t="n">
        <x:v>128</x:v>
      </x:c>
      <x:c r="D280" s="9" t="str">
        <x:v>Leave no objects in the bowl.</x:v>
      </x:c>
      <x:c r="E280" s="9" t="str">
        <x:v>Bowl objects: [none] | Table objects: [yellow block]</x:v>
      </x:c>
      <x:c r="F280" s="9" t="str">
        <x:v>NO-OP; preserve 0 objects in the bowl and do not initiate a grasp</x:v>
      </x:c>
      <x:c r="G280" s="9"/>
      <x:c r="H280" s="9" t="str">
        <x:v>Goal already satisfied / no movement</x:v>
      </x:c>
      <x:c r="I280" s="9" t="str">
        <x:v>NOOP-05</x:v>
      </x:c>
      <x:c r="J280" s="9" t="str">
        <x:v>Goal already satisfied: 0→0</x:v>
      </x:c>
      <x:c r="K280" s="9"/>
      <x:c r="L280" s="9" t="str">
        <x:v>975</x:v>
      </x:c>
      <x:c r="M280" s="9" t="str">
        <x:v>Prompt/concept grounding only. Training does not contain a goal-already-satisfied no-movement trajectory.</x:v>
      </x:c>
      <x:c r="N280" s="9" t="n">
        <x:v>6</x:v>
      </x:c>
      <x:c r="O280" s="9" t="str">
        <x:v>Build the first no-movement scene in this family.</x:v>
      </x:c>
      <x:c r="P280" s="9" t="str">
        <x:v>Visible-object count varies across no-op families. Table objects are distractors where present; success requires leaving the satisfied scene unchanged.</x:v>
      </x:c>
      <x:c r="Q280" s="9"/>
      <x:c r="R280" s="10"/>
      <x:c r="S280" s="10"/>
      <x:c r="T280" s="9"/>
      <x:c r="U280" s="9"/>
      <x:c r="V280" s="9"/>
      <x:c r="W280" s="9" t="str">
        <x:v>NOOP-05</x:v>
      </x:c>
      <x:c r="X280" s="10" t="n">
        <x:v>0</x:v>
      </x:c>
      <x:c r="Y280" s="10" t="n">
        <x:v>0</x:v>
      </x:c>
      <x:c r="Z280" s="9" t="str">
        <x:v>NO-OP</x:v>
      </x:c>
      <x:c r="AA280" s="9"/>
      <x:c r="AB280" s="9"/>
      <x:c r="AC280" s="9"/>
      <x:c r="AD280" s="9"/>
      <x:c r="AE280" s="9"/>
      <x:c r="AF280" s="9"/>
      <x:c r="AG280" s="9"/>
      <x:c r="AH280" s="9"/>
      <x:c r="AI280" s="11"/>
      <x:c r="AJ280" s="9"/>
      <x:c r="AK280" s="9" t="str">
        <x:v>Eval_Counting.xlsm</x:v>
      </x:c>
      <x:c r="AL280" s="9" t="str">
        <x:v>GR00T vision only Results</x:v>
      </x:c>
      <x:c r="AM280" s="9" t="n">
        <x:v>130</x:v>
      </x:c>
      <x:c r="AN280" s="9" t="n">
        <x:v>130</x:v>
      </x:c>
    </x:row>
    <x:row r="281">
      <x:c r="A281" s="9" t="str">
        <x:v>Success</x:v>
      </x:c>
      <x:c r="B281" s="9" t="str">
        <x:v>Counting</x:v>
      </x:c>
      <x:c r="C281" s="10" t="n">
        <x:v>129</x:v>
      </x:c>
      <x:c r="D281" s="9" t="str">
        <x:v>Leave exactly one object in the bowl.</x:v>
      </x:c>
      <x:c r="E281" s="9" t="str">
        <x:v>Bowl objects: [yellow block] | Table objects: [blue pen]</x:v>
      </x:c>
      <x:c r="F281" s="9" t="str">
        <x:v>NO-OP; preserve 1 object in the bowl and do not initiate a grasp</x:v>
      </x:c>
      <x:c r="G281" s="9"/>
      <x:c r="H281" s="9" t="str">
        <x:v>Goal already satisfied / no movement</x:v>
      </x:c>
      <x:c r="I281" s="9" t="str">
        <x:v>NOOP-05</x:v>
      </x:c>
      <x:c r="J281" s="9" t="str">
        <x:v>Goal already satisfied: 1→1</x:v>
      </x:c>
      <x:c r="K281" s="9"/>
      <x:c r="L281" s="9" t="str">
        <x:v>800</x:v>
      </x:c>
      <x:c r="M281" s="9" t="str">
        <x:v>Prompt/concept grounding only. Training does not contain a goal-already-satisfied no-movement trajectory.</x:v>
      </x:c>
      <x:c r="N281" s="9" t="n">
        <x:v>6</x:v>
      </x:c>
      <x:c r="O281" s="9" t="str">
        <x:v>Move only the minimum listed objects between bowl and table for the next count.</x:v>
      </x:c>
      <x:c r="P281" s="9" t="str">
        <x:v>Visible-object count varies across no-op families. Table objects are distractors where present; success requires leaving the satisfied scene unchanged.</x:v>
      </x:c>
      <x:c r="Q281" s="9"/>
      <x:c r="R281" s="10"/>
      <x:c r="S281" s="10"/>
      <x:c r="T281" s="9"/>
      <x:c r="U281" s="9"/>
      <x:c r="V281" s="9"/>
      <x:c r="W281" s="9" t="str">
        <x:v>NOOP-05</x:v>
      </x:c>
      <x:c r="X281" s="10" t="n">
        <x:v>1</x:v>
      </x:c>
      <x:c r="Y281" s="10" t="n">
        <x:v>1</x:v>
      </x:c>
      <x:c r="Z281" s="9" t="str">
        <x:v>NO-OP</x:v>
      </x:c>
      <x:c r="AA281" s="9"/>
      <x:c r="AB281" s="9"/>
      <x:c r="AC281" s="9"/>
      <x:c r="AD281" s="9"/>
      <x:c r="AE281" s="9"/>
      <x:c r="AF281" s="9"/>
      <x:c r="AG281" s="9"/>
      <x:c r="AH281" s="9"/>
      <x:c r="AI281" s="11"/>
      <x:c r="AJ281" s="9"/>
      <x:c r="AK281" s="9" t="str">
        <x:v>Eval_Counting.xlsm</x:v>
      </x:c>
      <x:c r="AL281" s="9" t="str">
        <x:v>GR00T vision only Results</x:v>
      </x:c>
      <x:c r="AM281" s="9" t="n">
        <x:v>131</x:v>
      </x:c>
      <x:c r="AN281" s="9" t="n">
        <x:v>131</x:v>
      </x:c>
    </x:row>
    <x:row r="282">
      <x:c r="A282" s="9" t="str">
        <x:v>Success</x:v>
      </x:c>
      <x:c r="B282" s="9" t="str">
        <x:v>Counting</x:v>
      </x:c>
      <x:c r="C282" s="10" t="n">
        <x:v>130</x:v>
      </x:c>
      <x:c r="D282" s="9" t="str">
        <x:v>Leave exactly two objects in the bowl.</x:v>
      </x:c>
      <x:c r="E282" s="9" t="str">
        <x:v>Bowl objects: [yellow block, blue pen] | Table objects: [airplane toy without propellers]</x:v>
      </x:c>
      <x:c r="F282" s="9" t="str">
        <x:v>NO-OP; preserve 2 objects in the bowl and do not initiate a grasp</x:v>
      </x:c>
      <x:c r="G282" s="9"/>
      <x:c r="H282" s="9" t="str">
        <x:v>Goal already satisfied / no movement</x:v>
      </x:c>
      <x:c r="I282" s="9" t="str">
        <x:v>NOOP-05</x:v>
      </x:c>
      <x:c r="J282" s="9" t="str">
        <x:v>Goal already satisfied: 2→2</x:v>
      </x:c>
      <x:c r="K282" s="9"/>
      <x:c r="L282" s="9" t="str">
        <x:v>861</x:v>
      </x:c>
      <x:c r="M282" s="9" t="str">
        <x:v>Prompt/concept grounding only. Training does not contain a goal-already-satisfied no-movement trajectory.</x:v>
      </x:c>
      <x:c r="N282" s="9" t="n">
        <x:v>6</x:v>
      </x:c>
      <x:c r="O282" s="9" t="str">
        <x:v>Move only the minimum listed objects between bowl and table for the next count.</x:v>
      </x:c>
      <x:c r="P282" s="9" t="str">
        <x:v>Visible-object count varies across no-op families. Table objects are distractors where present; success requires leaving the satisfied scene unchanged.</x:v>
      </x:c>
      <x:c r="Q282" s="9"/>
      <x:c r="R282" s="10"/>
      <x:c r="S282" s="10"/>
      <x:c r="T282" s="9"/>
      <x:c r="U282" s="9"/>
      <x:c r="V282" s="9"/>
      <x:c r="W282" s="9" t="str">
        <x:v>NOOP-05</x:v>
      </x:c>
      <x:c r="X282" s="10" t="n">
        <x:v>2</x:v>
      </x:c>
      <x:c r="Y282" s="10" t="n">
        <x:v>2</x:v>
      </x:c>
      <x:c r="Z282" s="9" t="str">
        <x:v>NO-OP</x:v>
      </x:c>
      <x:c r="AA282" s="9"/>
      <x:c r="AB282" s="9"/>
      <x:c r="AC282" s="9"/>
      <x:c r="AD282" s="9"/>
      <x:c r="AE282" s="9"/>
      <x:c r="AF282" s="9"/>
      <x:c r="AG282" s="9"/>
      <x:c r="AH282" s="9"/>
      <x:c r="AI282" s="11"/>
      <x:c r="AJ282" s="9"/>
      <x:c r="AK282" s="9" t="str">
        <x:v>Eval_Counting.xlsm</x:v>
      </x:c>
      <x:c r="AL282" s="9" t="str">
        <x:v>GR00T vision only Results</x:v>
      </x:c>
      <x:c r="AM282" s="9" t="n">
        <x:v>132</x:v>
      </x:c>
      <x:c r="AN282" s="9" t="n">
        <x:v>132</x:v>
      </x:c>
    </x:row>
    <x:row r="283">
      <x:c r="A283" s="9" t="str">
        <x:v>Success</x:v>
      </x:c>
      <x:c r="B283" s="9" t="str">
        <x:v>Counting</x:v>
      </x:c>
      <x:c r="C283" s="10" t="n">
        <x:v>131</x:v>
      </x:c>
      <x:c r="D283" s="9" t="str">
        <x:v>Leave exactly three objects in the bowl.</x:v>
      </x:c>
      <x:c r="E283" s="9" t="str">
        <x:v>Bowl objects: [yellow block, blue pen, airplane toy without propellers] | Table objects: [green pencil sharpener]</x:v>
      </x:c>
      <x:c r="F283" s="9" t="str">
        <x:v>NO-OP; preserve 3 objects in the bowl and do not initiate a grasp</x:v>
      </x:c>
      <x:c r="G283" s="9"/>
      <x:c r="H283" s="9" t="str">
        <x:v>Goal already satisfied / no movement</x:v>
      </x:c>
      <x:c r="I283" s="9" t="str">
        <x:v>NOOP-05</x:v>
      </x:c>
      <x:c r="J283" s="9" t="str">
        <x:v>Goal already satisfied: 3→3</x:v>
      </x:c>
      <x:c r="K283" s="9"/>
      <x:c r="L283" s="9" t="str">
        <x:v>843</x:v>
      </x:c>
      <x:c r="M283" s="9" t="str">
        <x:v>Prompt/concept grounding only. Training does not contain a goal-already-satisfied no-movement trajectory.</x:v>
      </x:c>
      <x:c r="N283" s="9" t="n">
        <x:v>6</x:v>
      </x:c>
      <x:c r="O283" s="9" t="str">
        <x:v>Move only the minimum listed objects between bowl and table for the next count.</x:v>
      </x:c>
      <x:c r="P283" s="9" t="str">
        <x:v>Visible-object count varies across no-op families. Table objects are distractors where present; success requires leaving the satisfied scene unchanged.</x:v>
      </x:c>
      <x:c r="Q283" s="9"/>
      <x:c r="R283" s="10"/>
      <x:c r="S283" s="10"/>
      <x:c r="T283" s="9"/>
      <x:c r="U283" s="9"/>
      <x:c r="V283" s="9"/>
      <x:c r="W283" s="9" t="str">
        <x:v>NOOP-05</x:v>
      </x:c>
      <x:c r="X283" s="10" t="n">
        <x:v>3</x:v>
      </x:c>
      <x:c r="Y283" s="10" t="n">
        <x:v>3</x:v>
      </x:c>
      <x:c r="Z283" s="9" t="str">
        <x:v>NO-OP</x:v>
      </x:c>
      <x:c r="AA283" s="9"/>
      <x:c r="AB283" s="9"/>
      <x:c r="AC283" s="9"/>
      <x:c r="AD283" s="9"/>
      <x:c r="AE283" s="9"/>
      <x:c r="AF283" s="9"/>
      <x:c r="AG283" s="9"/>
      <x:c r="AH283" s="9"/>
      <x:c r="AI283" s="11"/>
      <x:c r="AJ283" s="9"/>
      <x:c r="AK283" s="9" t="str">
        <x:v>Eval_Counting.xlsm</x:v>
      </x:c>
      <x:c r="AL283" s="9" t="str">
        <x:v>GR00T vision only Results</x:v>
      </x:c>
      <x:c r="AM283" s="9" t="n">
        <x:v>133</x:v>
      </x:c>
      <x:c r="AN283" s="9" t="n">
        <x:v>133</x:v>
      </x:c>
    </x:row>
    <x:row r="284">
      <x:c r="A284" s="9" t="str">
        <x:v>Failure</x:v>
      </x:c>
      <x:c r="B284" s="9" t="str">
        <x:v>Counting</x:v>
      </x:c>
      <x:c r="C284" s="10" t="n">
        <x:v>132</x:v>
      </x:c>
      <x:c r="D284" s="9" t="str">
        <x:v>Leave exactly three objects in the bowl.</x:v>
      </x:c>
      <x:c r="E284" s="9" t="str">
        <x:v>Bowl objects: [blue pen, green pencil sharpener] | Table objects: [airplane toy without propellers]</x:v>
      </x:c>
      <x:c r="F284" s="9" t="str">
        <x:v>ADD any one table object; finish with 3 objects in the bowl</x:v>
      </x:c>
      <x:c r="G284" s="9" t="str">
        <x:v>didn't move</x:v>
      </x:c>
      <x:c r="H284" s="9" t="str">
        <x:v>Concept/compositional transfer</x:v>
      </x:c>
      <x:c r="I284" s="9" t="str">
        <x:v>CT-CF02</x:v>
      </x:c>
      <x:c r="J284" s="9" t="str">
        <x:v>Primary: three via held-out 2→3 addition</x:v>
      </x:c>
      <x:c r="K284" s="9"/>
      <x:c r="L284" s="9" t="str">
        <x:v>966</x:v>
      </x:c>
      <x:c r="M284" s="9" t="str">
        <x:v>Representative direct-instruction trajectory for airplane toy without propellers; the evaluated count × transition composition is intentionally absent.</x:v>
      </x:c>
      <x:c r="N284" s="9" t="n">
        <x:v>2</x:v>
      </x:c>
      <x:c r="O284" s="9" t="str">
        <x:v>Reset the exact count-2 scene; change only the prompt.</x:v>
      </x:c>
      <x:c r="P284" s="9" t="str">
        <x:v>The goal word three is trained, and this 2→3 trajectory is trained under a direct instruction, but the combination is withheld.</x:v>
      </x:c>
      <x:c r="Q284" s="9"/>
      <x:c r="R284" s="10"/>
      <x:c r="S284" s="10"/>
      <x:c r="T284" s="9"/>
      <x:c r="U284" s="9"/>
      <x:c r="V284" s="9"/>
      <x:c r="W284" s="9" t="str">
        <x:v>CT-CF02-ADD</x:v>
      </x:c>
      <x:c r="X284" s="10" t="n">
        <x:v>2</x:v>
      </x:c>
      <x:c r="Y284" s="10" t="n">
        <x:v>3</x:v>
      </x:c>
      <x:c r="Z284" s="9" t="str">
        <x:v>ADD</x:v>
      </x:c>
      <x:c r="AA284" s="9"/>
      <x:c r="AB284" s="9"/>
      <x:c r="AC284" s="9"/>
      <x:c r="AD284" s="9"/>
      <x:c r="AE284" s="9"/>
      <x:c r="AF284" s="9"/>
      <x:c r="AG284" s="9"/>
      <x:c r="AH284" s="9"/>
      <x:c r="AI284" s="11"/>
      <x:c r="AJ284" s="9"/>
      <x:c r="AK284" s="9" t="str">
        <x:v>Eval_Counting.xlsm</x:v>
      </x:c>
      <x:c r="AL284" s="9" t="str">
        <x:v>GR00T vision only Results</x:v>
      </x:c>
      <x:c r="AM284" s="9" t="n">
        <x:v>134</x:v>
      </x:c>
      <x:c r="AN284" s="9" t="n">
        <x:v>134</x:v>
      </x:c>
    </x:row>
    <x:row r="285">
      <x:c r="A285" s="9" t="str">
        <x:v>Success</x:v>
      </x:c>
      <x:c r="B285" s="9" t="str">
        <x:v>Counting</x:v>
      </x:c>
      <x:c r="C285" s="10" t="n">
        <x:v>133</x:v>
      </x:c>
      <x:c r="D285" s="9" t="str">
        <x:v>Move the airplane toy without propellers into the bowl.</x:v>
      </x:c>
      <x:c r="E285" s="9" t="str">
        <x:v>Bowl objects: [blue pen, green pencil sharpener] | Table objects: [airplane toy without propellers]</x:v>
      </x:c>
      <x:c r="F285" s="9" t="str">
        <x:v>ADD airplane toy without propellers</x:v>
      </x:c>
      <x:c r="G285" s="9"/>
      <x:c r="H285" s="9" t="str">
        <x:v>Matched manipulation control</x:v>
      </x:c>
      <x:c r="I285" s="9" t="str">
        <x:v>CT-CF02</x:v>
      </x:c>
      <x:c r="J285" s="9" t="str">
        <x:v>Matched direct ADD control</x:v>
      </x:c>
      <x:c r="K285" s="9" t="n">
        <x:v>132</x:v>
      </x:c>
      <x:c r="L285" s="9" t="str">
        <x:v>968</x:v>
      </x:c>
      <x:c r="M285" s="9" t="str">
        <x:v>Exact direct-prompt trajectory for the named object and action direction; evaluation layout is reset manually.</x:v>
      </x:c>
      <x:c r="N285" s="9" t="n">
        <x:v>2</x:v>
      </x:c>
      <x:c r="O285" s="9" t="str">
        <x:v>Reset the exact count-2 scene; change only the prompt.</x:v>
      </x:c>
      <x:c r="P285" s="9" t="str">
        <x:v>The direct prompt is present in Counting training for this same-task object and action direction.</x:v>
      </x:c>
      <x:c r="Q285" s="9"/>
      <x:c r="R285" s="10"/>
      <x:c r="S285" s="10"/>
      <x:c r="T285" s="9"/>
      <x:c r="U285" s="9"/>
      <x:c r="V285" s="9"/>
      <x:c r="W285" s="9" t="str">
        <x:v>CT-CF02-ADD</x:v>
      </x:c>
      <x:c r="X285" s="10" t="n">
        <x:v>2</x:v>
      </x:c>
      <x:c r="Y285" s="10" t="n">
        <x:v>3</x:v>
      </x:c>
      <x:c r="Z285" s="9" t="str">
        <x:v>ADD</x:v>
      </x:c>
      <x:c r="AA285" s="9"/>
      <x:c r="AB285" s="9"/>
      <x:c r="AC285" s="9"/>
      <x:c r="AD285" s="9"/>
      <x:c r="AE285" s="9"/>
      <x:c r="AF285" s="9"/>
      <x:c r="AG285" s="9"/>
      <x:c r="AH285" s="9"/>
      <x:c r="AI285" s="11"/>
      <x:c r="AJ285" s="9"/>
      <x:c r="AK285" s="9" t="str">
        <x:v>Eval_Counting.xlsm</x:v>
      </x:c>
      <x:c r="AL285" s="9" t="str">
        <x:v>GR00T vision only Results</x:v>
      </x:c>
      <x:c r="AM285" s="9" t="n">
        <x:v>135</x:v>
      </x:c>
      <x:c r="AN285" s="9" t="n">
        <x:v>135</x:v>
      </x:c>
    </x:row>
    <x:row r="286">
      <x:c r="A286" s="9" t="str">
        <x:v>Failure</x:v>
      </x:c>
      <x:c r="B286" s="9" t="str">
        <x:v>Counting</x:v>
      </x:c>
      <x:c r="C286" s="10" t="n">
        <x:v>134</x:v>
      </x:c>
      <x:c r="D286" s="9" t="str">
        <x:v>Set the bowl's final object count to three.</x:v>
      </x:c>
      <x:c r="E286" s="9" t="str">
        <x:v>Bowl objects: [blue pen, green pencil sharpener] | Table objects: [airplane toy without propellers]</x:v>
      </x:c>
      <x:c r="F286" s="9" t="str">
        <x:v>ADD any one table object; finish with 3 objects in the bowl</x:v>
      </x:c>
      <x:c r="G286" s="9" t="str">
        <x:v>didn't move</x:v>
      </x:c>
      <x:c r="H286" s="9" t="str">
        <x:v>Language robustness</x:v>
      </x:c>
      <x:c r="I286" s="9" t="str">
        <x:v>CT-CF02</x:v>
      </x:c>
      <x:c r="J286" s="9" t="str">
        <x:v>Primary compositional paraphrase: three via 2→3 addition</x:v>
      </x:c>
      <x:c r="K286" s="9" t="n">
        <x:v>132</x:v>
      </x:c>
      <x:c r="L286" s="9" t="str">
        <x:v>966</x:v>
      </x:c>
      <x:c r="M286" s="9" t="str">
        <x:v>Representative direct-instruction trajectory for airplane toy without propellers; the evaluated count × transition composition is intentionally absent. The evaluation wording is also paraphrased.</x:v>
      </x:c>
      <x:c r="N286" s="9" t="n">
        <x:v>2</x:v>
      </x:c>
      <x:c r="O286" s="9" t="str">
        <x:v>Reset the exact count-2 scene; change only the prompt.</x:v>
      </x:c>
      <x:c r="P286" s="9" t="str">
        <x:v>Exact-scene paraphrase of the canonical held-out composition.</x:v>
      </x:c>
      <x:c r="Q286" s="9"/>
      <x:c r="R286" s="10"/>
      <x:c r="S286" s="10"/>
      <x:c r="T286" s="9"/>
      <x:c r="U286" s="9"/>
      <x:c r="V286" s="9"/>
      <x:c r="W286" s="9" t="str">
        <x:v>CT-CF02-ADD</x:v>
      </x:c>
      <x:c r="X286" s="10" t="n">
        <x:v>2</x:v>
      </x:c>
      <x:c r="Y286" s="10" t="n">
        <x:v>3</x:v>
      </x:c>
      <x:c r="Z286" s="9" t="str">
        <x:v>ADD</x:v>
      </x:c>
      <x:c r="AA286" s="9"/>
      <x:c r="AB286" s="9"/>
      <x:c r="AC286" s="9"/>
      <x:c r="AD286" s="9"/>
      <x:c r="AE286" s="9"/>
      <x:c r="AF286" s="9"/>
      <x:c r="AG286" s="9"/>
      <x:c r="AH286" s="9"/>
      <x:c r="AI286" s="11"/>
      <x:c r="AJ286" s="9"/>
      <x:c r="AK286" s="9" t="str">
        <x:v>Eval_Counting.xlsm</x:v>
      </x:c>
      <x:c r="AL286" s="9" t="str">
        <x:v>GR00T vision only Results</x:v>
      </x:c>
      <x:c r="AM286" s="9" t="n">
        <x:v>136</x:v>
      </x:c>
      <x:c r="AN286" s="9" t="n">
        <x:v>136</x:v>
      </x:c>
    </x:row>
    <x:row r="287">
      <x:c r="A287" s="9" t="str">
        <x:v>Failure</x:v>
      </x:c>
      <x:c r="B287" s="9" t="str">
        <x:v>Counting</x:v>
      </x:c>
      <x:c r="C287" s="10" t="n">
        <x:v>135</x:v>
      </x:c>
      <x:c r="D287" s="9" t="str">
        <x:v>Lift the airplane toy without propellers from the table and set it inside the bowl.</x:v>
      </x:c>
      <x:c r="E287" s="9" t="str">
        <x:v>Bowl objects: [blue pen, green pencil sharpener] | Table objects: [airplane toy without propellers]</x:v>
      </x:c>
      <x:c r="F287" s="9" t="str">
        <x:v>ADD airplane toy without propellers</x:v>
      </x:c>
      <x:c r="G287" s="9" t="str">
        <x:v>knocked the airplane out of range and then the arm drifted to the right edge of the workspace</x:v>
      </x:c>
      <x:c r="H287" s="9" t="str">
        <x:v>Language robustness</x:v>
      </x:c>
      <x:c r="I287" s="9" t="str">
        <x:v>CT-CF02</x:v>
      </x:c>
      <x:c r="J287" s="9" t="str">
        <x:v>Matched-control paraphrase: ADD</x:v>
      </x:c>
      <x:c r="K287" s="9" t="n">
        <x:v>133</x:v>
      </x:c>
      <x:c r="L287" s="9" t="str">
        <x:v>968</x:v>
      </x:c>
      <x:c r="M287" s="9" t="str">
        <x:v>Canonical direct-control trajectory for the named object and action direction; evaluation wording is paraphrased.</x:v>
      </x:c>
      <x:c r="N287" s="9" t="n">
        <x:v>2</x:v>
      </x:c>
      <x:c r="O287" s="9" t="str">
        <x:v>Reset the exact count-2 scene; change only the prompt.</x:v>
      </x:c>
      <x:c r="P287" s="9" t="str">
        <x:v>Exact-scene paraphrase of the direct manipulation control.</x:v>
      </x:c>
      <x:c r="Q287" s="9"/>
      <x:c r="R287" s="10"/>
      <x:c r="S287" s="10"/>
      <x:c r="T287" s="9"/>
      <x:c r="U287" s="9"/>
      <x:c r="V287" s="9"/>
      <x:c r="W287" s="9" t="str">
        <x:v>CT-CF02-ADD</x:v>
      </x:c>
      <x:c r="X287" s="10" t="n">
        <x:v>2</x:v>
      </x:c>
      <x:c r="Y287" s="10" t="n">
        <x:v>3</x:v>
      </x:c>
      <x:c r="Z287" s="9" t="str">
        <x:v>ADD</x:v>
      </x:c>
      <x:c r="AA287" s="9"/>
      <x:c r="AB287" s="9"/>
      <x:c r="AC287" s="9"/>
      <x:c r="AD287" s="9"/>
      <x:c r="AE287" s="9"/>
      <x:c r="AF287" s="9"/>
      <x:c r="AG287" s="9"/>
      <x:c r="AH287" s="9"/>
      <x:c r="AI287" s="11"/>
      <x:c r="AJ287" s="9"/>
      <x:c r="AK287" s="9" t="str">
        <x:v>Eval_Counting.xlsm</x:v>
      </x:c>
      <x:c r="AL287" s="9" t="str">
        <x:v>GR00T vision only Results</x:v>
      </x:c>
      <x:c r="AM287" s="9" t="n">
        <x:v>137</x:v>
      </x:c>
      <x:c r="AN287" s="9" t="n">
        <x:v>137</x:v>
      </x:c>
    </x:row>
    <x:row r="288">
      <x:c r="A288" s="9" t="str">
        <x:v>Failure</x:v>
      </x:c>
      <x:c r="B288" s="9" t="str">
        <x:v>Counting</x:v>
      </x:c>
      <x:c r="C288" s="10" t="n">
        <x:v>136</x:v>
      </x:c>
      <x:c r="D288" s="9" t="str">
        <x:v>Move the blue pen from the bowl to the table.</x:v>
      </x:c>
      <x:c r="E288" s="9" t="str">
        <x:v>Bowl objects: [blue pen, green pencil sharpener] | Table objects: [airplane toy without propellers]</x:v>
      </x:c>
      <x:c r="F288" s="9" t="str">
        <x:v>REMOVE blue pen</x:v>
      </x:c>
      <x:c r="G288" s="9" t="str">
        <x:v>went to the bowl, but couldn't grab the blue pen</x:v>
      </x:c>
      <x:c r="H288" s="9" t="str">
        <x:v>Matched manipulation control</x:v>
      </x:c>
      <x:c r="I288" s="9" t="str">
        <x:v>CT-CF02</x:v>
      </x:c>
      <x:c r="J288" s="9" t="str">
        <x:v>Matched direct REMOVE control</x:v>
      </x:c>
      <x:c r="K288" s="9"/>
      <x:c r="L288" s="9" t="str">
        <x:v>835</x:v>
      </x:c>
      <x:c r="M288" s="9" t="str">
        <x:v>Exact direct-prompt trajectory for the named object and action direction; evaluation layout is reset manually.</x:v>
      </x:c>
      <x:c r="N288" s="9" t="n">
        <x:v>2</x:v>
      </x:c>
      <x:c r="O288" s="9" t="str">
        <x:v>Reset the exact count-2 scene; change only the prompt.</x:v>
      </x:c>
      <x:c r="P288" s="9" t="str">
        <x:v>The direct prompt is present in Counting training for this same-task object and action direction.</x:v>
      </x:c>
      <x:c r="Q288" s="9"/>
      <x:c r="R288" s="10"/>
      <x:c r="S288" s="10"/>
      <x:c r="T288" s="9"/>
      <x:c r="U288" s="9"/>
      <x:c r="V288" s="9"/>
      <x:c r="W288" s="9" t="str">
        <x:v>CT-CF02-REMOVE</x:v>
      </x:c>
      <x:c r="X288" s="10" t="n">
        <x:v>2</x:v>
      </x:c>
      <x:c r="Y288" s="10" t="n">
        <x:v>1</x:v>
      </x:c>
      <x:c r="Z288" s="9" t="str">
        <x:v>REMOVE</x:v>
      </x:c>
      <x:c r="AA288" s="9"/>
      <x:c r="AB288" s="9"/>
      <x:c r="AC288" s="9"/>
      <x:c r="AD288" s="9"/>
      <x:c r="AE288" s="9"/>
      <x:c r="AF288" s="9"/>
      <x:c r="AG288" s="9"/>
      <x:c r="AH288" s="9"/>
      <x:c r="AI288" s="11"/>
      <x:c r="AJ288" s="9"/>
      <x:c r="AK288" s="9" t="str">
        <x:v>Eval_Counting.xlsm</x:v>
      </x:c>
      <x:c r="AL288" s="9" t="str">
        <x:v>GR00T vision only Results</x:v>
      </x:c>
      <x:c r="AM288" s="9" t="n">
        <x:v>138</x:v>
      </x:c>
      <x:c r="AN288" s="9" t="n">
        <x:v>138</x:v>
      </x:c>
    </x:row>
    <x:row r="289">
      <x:c r="A289" s="9" t="str">
        <x:v>Failure</x:v>
      </x:c>
      <x:c r="B289" s="9" t="str">
        <x:v>Counting</x:v>
      </x:c>
      <x:c r="C289" s="10" t="n">
        <x:v>137</x:v>
      </x:c>
      <x:c r="D289" s="9" t="str">
        <x:v>Leave exactly one object in the bowl.</x:v>
      </x:c>
      <x:c r="E289" s="9" t="str">
        <x:v>Bowl objects: [blue pen, green pencil sharpener] | Table objects: [airplane toy without propellers]</x:v>
      </x:c>
      <x:c r="F289" s="9" t="str">
        <x:v>REMOVE any one bowl object; finish with 1 object in the bowl</x:v>
      </x:c>
      <x:c r="G289" s="9" t="str">
        <x:v>didn't move</x:v>
      </x:c>
      <x:c r="H289" s="9" t="str">
        <x:v>Concept/compositional transfer</x:v>
      </x:c>
      <x:c r="I289" s="9" t="str">
        <x:v>CT-CF02</x:v>
      </x:c>
      <x:c r="J289" s="9" t="str">
        <x:v>Primary: one via held-out 2→1 removal</x:v>
      </x:c>
      <x:c r="K289" s="9" t="n">
        <x:v>136</x:v>
      </x:c>
      <x:c r="L289" s="9" t="str">
        <x:v>931</x:v>
      </x:c>
      <x:c r="M289" s="9" t="str">
        <x:v>Representative direct-instruction trajectory for green pencil sharpener; the evaluated count × transition composition is intentionally absent.</x:v>
      </x:c>
      <x:c r="N289" s="9" t="n">
        <x:v>2</x:v>
      </x:c>
      <x:c r="O289" s="9" t="str">
        <x:v>Build the listed count-2 scene.</x:v>
      </x:c>
      <x:c r="P289" s="9" t="str">
        <x:v>The goal word one is trained, and this 2→1 trajectory is trained under a direct instruction, but the combination is withheld.</x:v>
      </x:c>
      <x:c r="Q289" s="9"/>
      <x:c r="R289" s="10"/>
      <x:c r="S289" s="10"/>
      <x:c r="T289" s="9"/>
      <x:c r="U289" s="9"/>
      <x:c r="V289" s="9"/>
      <x:c r="W289" s="9" t="str">
        <x:v>CT-CF02-REMOVE</x:v>
      </x:c>
      <x:c r="X289" s="10" t="n">
        <x:v>2</x:v>
      </x:c>
      <x:c r="Y289" s="10" t="n">
        <x:v>1</x:v>
      </x:c>
      <x:c r="Z289" s="9" t="str">
        <x:v>REMOVE</x:v>
      </x:c>
      <x:c r="AA289" s="9"/>
      <x:c r="AB289" s="9"/>
      <x:c r="AC289" s="9"/>
      <x:c r="AD289" s="9"/>
      <x:c r="AE289" s="9"/>
      <x:c r="AF289" s="9"/>
      <x:c r="AG289" s="9"/>
      <x:c r="AH289" s="9"/>
      <x:c r="AI289" s="11"/>
      <x:c r="AJ289" s="9"/>
      <x:c r="AK289" s="9" t="str">
        <x:v>Eval_Counting.xlsm</x:v>
      </x:c>
      <x:c r="AL289" s="9" t="str">
        <x:v>GR00T vision only Results</x:v>
      </x:c>
      <x:c r="AM289" s="9" t="n">
        <x:v>139</x:v>
      </x:c>
      <x:c r="AN289" s="9" t="n">
        <x:v>139</x:v>
      </x:c>
    </x:row>
    <x:row r="290">
      <x:c r="A290" s="9" t="str">
        <x:v>Failure</x:v>
      </x:c>
      <x:c r="B290" s="9" t="str">
        <x:v>Counting</x:v>
      </x:c>
      <x:c r="C290" s="10" t="n">
        <x:v>138</x:v>
      </x:c>
      <x:c r="D290" s="9" t="str">
        <x:v>Lift the blue pen out of the bowl and set it on the table.</x:v>
      </x:c>
      <x:c r="E290" s="9" t="str">
        <x:v>Bowl objects: [blue pen, green pencil sharpener] | Table objects: [airplane toy without propellers]</x:v>
      </x:c>
      <x:c r="F290" s="9" t="str">
        <x:v>REMOVE blue pen</x:v>
      </x:c>
      <x:c r="G290" s="9" t="str">
        <x:v>took pencil sharpener out</x:v>
      </x:c>
      <x:c r="H290" s="9" t="str">
        <x:v>Language robustness</x:v>
      </x:c>
      <x:c r="I290" s="9" t="str">
        <x:v>CT-CF02</x:v>
      </x:c>
      <x:c r="J290" s="9" t="str">
        <x:v>Matched-control paraphrase: REMOVE</x:v>
      </x:c>
      <x:c r="K290" s="9" t="n">
        <x:v>136</x:v>
      </x:c>
      <x:c r="L290" s="9" t="str">
        <x:v>835</x:v>
      </x:c>
      <x:c r="M290" s="9" t="str">
        <x:v>Canonical direct-control trajectory for the named object and action direction; evaluation wording is paraphrased.</x:v>
      </x:c>
      <x:c r="N290" s="9" t="n">
        <x:v>2</x:v>
      </x:c>
      <x:c r="O290" s="9" t="str">
        <x:v>Reset the exact count-2 scene; change only the prompt.</x:v>
      </x:c>
      <x:c r="P290" s="9" t="str">
        <x:v>Exact-scene paraphrase of the direct manipulation control.</x:v>
      </x:c>
      <x:c r="Q290" s="9"/>
      <x:c r="R290" s="10"/>
      <x:c r="S290" s="10"/>
      <x:c r="T290" s="9"/>
      <x:c r="U290" s="9"/>
      <x:c r="V290" s="9"/>
      <x:c r="W290" s="9" t="str">
        <x:v>CT-CF02-REMOVE</x:v>
      </x:c>
      <x:c r="X290" s="10" t="n">
        <x:v>2</x:v>
      </x:c>
      <x:c r="Y290" s="10" t="n">
        <x:v>1</x:v>
      </x:c>
      <x:c r="Z290" s="9" t="str">
        <x:v>REMOVE</x:v>
      </x:c>
      <x:c r="AA290" s="9"/>
      <x:c r="AB290" s="9"/>
      <x:c r="AC290" s="9"/>
      <x:c r="AD290" s="9"/>
      <x:c r="AE290" s="9"/>
      <x:c r="AF290" s="9"/>
      <x:c r="AG290" s="9"/>
      <x:c r="AH290" s="9"/>
      <x:c r="AI290" s="11"/>
      <x:c r="AJ290" s="9"/>
      <x:c r="AK290" s="9" t="str">
        <x:v>Eval_Counting.xlsm</x:v>
      </x:c>
      <x:c r="AL290" s="9" t="str">
        <x:v>GR00T vision only Results</x:v>
      </x:c>
      <x:c r="AM290" s="9" t="n">
        <x:v>140</x:v>
      </x:c>
      <x:c r="AN290" s="9" t="n">
        <x:v>140</x:v>
      </x:c>
    </x:row>
    <x:row r="291">
      <x:c r="A291" s="9" t="str">
        <x:v>Failure</x:v>
      </x:c>
      <x:c r="B291" s="9" t="str">
        <x:v>Counting</x:v>
      </x:c>
      <x:c r="C291" s="10" t="n">
        <x:v>139</x:v>
      </x:c>
      <x:c r="D291" s="9" t="str">
        <x:v>Set the bowl's final object count to one.</x:v>
      </x:c>
      <x:c r="E291" s="9" t="str">
        <x:v>Bowl objects: [blue pen, green pencil sharpener] | Table objects: [airplane toy without propellers]</x:v>
      </x:c>
      <x:c r="F291" s="9" t="str">
        <x:v>REMOVE any one bowl object; finish with 1 object in the bowl</x:v>
      </x:c>
      <x:c r="G291" s="9" t="str">
        <x:v>didn't move</x:v>
      </x:c>
      <x:c r="H291" s="9" t="str">
        <x:v>Language robustness</x:v>
      </x:c>
      <x:c r="I291" s="9" t="str">
        <x:v>CT-CF02</x:v>
      </x:c>
      <x:c r="J291" s="9" t="str">
        <x:v>Primary compositional paraphrase: one via 2→1 removal</x:v>
      </x:c>
      <x:c r="K291" s="9" t="n">
        <x:v>137</x:v>
      </x:c>
      <x:c r="L291" s="9" t="str">
        <x:v>931</x:v>
      </x:c>
      <x:c r="M291" s="9" t="str">
        <x:v>Representative direct-instruction trajectory for green pencil sharpener; the evaluated count × transition composition is intentionally absent. The evaluation wording is also paraphrased.</x:v>
      </x:c>
      <x:c r="N291" s="9" t="n">
        <x:v>2</x:v>
      </x:c>
      <x:c r="O291" s="9" t="str">
        <x:v>Build the listed count-2 scene.</x:v>
      </x:c>
      <x:c r="P291" s="9" t="str">
        <x:v>Exact-scene paraphrase of the canonical held-out composition.</x:v>
      </x:c>
      <x:c r="Q291" s="9"/>
      <x:c r="R291" s="10"/>
      <x:c r="S291" s="10"/>
      <x:c r="T291" s="9"/>
      <x:c r="U291" s="9"/>
      <x:c r="V291" s="9"/>
      <x:c r="W291" s="9" t="str">
        <x:v>CT-CF02-REMOVE</x:v>
      </x:c>
      <x:c r="X291" s="10" t="n">
        <x:v>2</x:v>
      </x:c>
      <x:c r="Y291" s="10" t="n">
        <x:v>1</x:v>
      </x:c>
      <x:c r="Z291" s="9" t="str">
        <x:v>REMOVE</x:v>
      </x:c>
      <x:c r="AA291" s="9"/>
      <x:c r="AB291" s="9"/>
      <x:c r="AC291" s="9"/>
      <x:c r="AD291" s="9"/>
      <x:c r="AE291" s="9"/>
      <x:c r="AF291" s="9"/>
      <x:c r="AG291" s="9"/>
      <x:c r="AH291" s="9"/>
      <x:c r="AI291" s="11"/>
      <x:c r="AJ291" s="9"/>
      <x:c r="AK291" s="9" t="str">
        <x:v>Eval_Counting.xlsm</x:v>
      </x:c>
      <x:c r="AL291" s="9" t="str">
        <x:v>GR00T vision only Results</x:v>
      </x:c>
      <x:c r="AM291" s="9" t="n">
        <x:v>141</x:v>
      </x:c>
      <x:c r="AN291" s="9" t="n">
        <x:v>141</x:v>
      </x:c>
    </x:row>
    <x:row r="292">
      <x:c r="A292" s="9" t="str">
        <x:v>Failure</x:v>
      </x:c>
      <x:c r="B292" s="9" t="str">
        <x:v>Counting</x:v>
      </x:c>
      <x:c r="C292" s="10" t="n">
        <x:v>140</x:v>
      </x:c>
      <x:c r="D292" s="9" t="str">
        <x:v>Leave exactly three objects in the bowl.</x:v>
      </x:c>
      <x:c r="E292" s="9" t="str">
        <x:v>Bowl objects: [green pencil sharpener, airplane toy without propellers] | Table objects: [yellow block]</x:v>
      </x:c>
      <x:c r="F292" s="9" t="str">
        <x:v>ADD any one table object; finish with 3 objects in the bowl</x:v>
      </x:c>
      <x:c r="G292" s="9" t="str">
        <x:v>didn't move</x:v>
      </x:c>
      <x:c r="H292" s="9" t="str">
        <x:v>Concept/compositional transfer</x:v>
      </x:c>
      <x:c r="I292" s="9" t="str">
        <x:v>CT-CF12</x:v>
      </x:c>
      <x:c r="J292" s="9" t="str">
        <x:v>Primary: three via held-out 2→3 addition</x:v>
      </x:c>
      <x:c r="K292" s="9"/>
      <x:c r="L292" s="9" t="str">
        <x:v>866</x:v>
      </x:c>
      <x:c r="M292" s="9" t="str">
        <x:v>Representative direct-instruction trajectory for yellow block; the evaluated count × transition composition is intentionally absent.</x:v>
      </x:c>
      <x:c r="N292" s="9" t="n">
        <x:v>4</x:v>
      </x:c>
      <x:c r="O292" s="9" t="str">
        <x:v>Reset the exact count-2 scene; change only the prompt.</x:v>
      </x:c>
      <x:c r="P292" s="9" t="str">
        <x:v>The goal word three is trained, and this 2→3 trajectory is trained under a direct instruction, but the combination is withheld.</x:v>
      </x:c>
      <x:c r="Q292" s="9"/>
      <x:c r="R292" s="10"/>
      <x:c r="S292" s="10"/>
      <x:c r="T292" s="9"/>
      <x:c r="U292" s="9"/>
      <x:c r="V292" s="9"/>
      <x:c r="W292" s="9" t="str">
        <x:v>CT-CF12-ADD</x:v>
      </x:c>
      <x:c r="X292" s="10" t="n">
        <x:v>2</x:v>
      </x:c>
      <x:c r="Y292" s="10" t="n">
        <x:v>3</x:v>
      </x:c>
      <x:c r="Z292" s="9" t="str">
        <x:v>ADD</x:v>
      </x:c>
      <x:c r="AA292" s="9"/>
      <x:c r="AB292" s="9"/>
      <x:c r="AC292" s="9"/>
      <x:c r="AD292" s="9"/>
      <x:c r="AE292" s="9"/>
      <x:c r="AF292" s="9"/>
      <x:c r="AG292" s="9"/>
      <x:c r="AH292" s="9"/>
      <x:c r="AI292" s="11"/>
      <x:c r="AJ292" s="9"/>
      <x:c r="AK292" s="9" t="str">
        <x:v>Eval_Counting.xlsm</x:v>
      </x:c>
      <x:c r="AL292" s="9" t="str">
        <x:v>GR00T vision only Results</x:v>
      </x:c>
      <x:c r="AM292" s="9" t="n">
        <x:v>142</x:v>
      </x:c>
      <x:c r="AN292" s="9" t="n">
        <x:v>142</x:v>
      </x:c>
    </x:row>
    <x:row r="293">
      <x:c r="A293" s="9" t="str">
        <x:v>Failure</x:v>
      </x:c>
      <x:c r="B293" s="9" t="str">
        <x:v>Counting</x:v>
      </x:c>
      <x:c r="C293" s="10" t="n">
        <x:v>141</x:v>
      </x:c>
      <x:c r="D293" s="9" t="str">
        <x:v>Leave exactly one object in the bowl.</x:v>
      </x:c>
      <x:c r="E293" s="9" t="str">
        <x:v>Bowl objects: [green pencil sharpener, airplane toy without propellers] | Table objects: [yellow block]</x:v>
      </x:c>
      <x:c r="F293" s="9" t="str">
        <x:v>REMOVE any one bowl object; finish with 1 object in the bowl</x:v>
      </x:c>
      <x:c r="G293" s="9" t="str">
        <x:v>didn't move</x:v>
      </x:c>
      <x:c r="H293" s="9" t="str">
        <x:v>Concept/compositional transfer</x:v>
      </x:c>
      <x:c r="I293" s="9" t="str">
        <x:v>CT-CF12</x:v>
      </x:c>
      <x:c r="J293" s="9" t="str">
        <x:v>Primary: one via held-out 2→1 removal</x:v>
      </x:c>
      <x:c r="K293" s="9" t="n">
        <x:v>140</x:v>
      </x:c>
      <x:c r="L293" s="9" t="str">
        <x:v>981</x:v>
      </x:c>
      <x:c r="M293" s="9" t="str">
        <x:v>Representative direct-instruction trajectory for airplane toy without propellers; the evaluated count × transition composition is intentionally absent.</x:v>
      </x:c>
      <x:c r="N293" s="9" t="n">
        <x:v>4</x:v>
      </x:c>
      <x:c r="O293" s="9" t="str">
        <x:v>Build the listed count-2 scene.</x:v>
      </x:c>
      <x:c r="P293" s="9" t="str">
        <x:v>The goal word one is trained, and this 2→1 trajectory is trained under a direct instruction, but the combination is withheld.</x:v>
      </x:c>
      <x:c r="Q293" s="9"/>
      <x:c r="R293" s="10"/>
      <x:c r="S293" s="10"/>
      <x:c r="T293" s="9"/>
      <x:c r="U293" s="9"/>
      <x:c r="V293" s="9"/>
      <x:c r="W293" s="9" t="str">
        <x:v>CT-CF12-REMOVE</x:v>
      </x:c>
      <x:c r="X293" s="10" t="n">
        <x:v>2</x:v>
      </x:c>
      <x:c r="Y293" s="10" t="n">
        <x:v>1</x:v>
      </x:c>
      <x:c r="Z293" s="9" t="str">
        <x:v>REMOVE</x:v>
      </x:c>
      <x:c r="AA293" s="9"/>
      <x:c r="AB293" s="9"/>
      <x:c r="AC293" s="9"/>
      <x:c r="AD293" s="9"/>
      <x:c r="AE293" s="9"/>
      <x:c r="AF293" s="9"/>
      <x:c r="AG293" s="9"/>
      <x:c r="AH293" s="9"/>
      <x:c r="AI293" s="11"/>
      <x:c r="AJ293" s="9"/>
      <x:c r="AK293" s="9" t="str">
        <x:v>Eval_Counting.xlsm</x:v>
      </x:c>
      <x:c r="AL293" s="9" t="str">
        <x:v>GR00T vision only Results</x:v>
      </x:c>
      <x:c r="AM293" s="9" t="n">
        <x:v>143</x:v>
      </x:c>
      <x:c r="AN293" s="9" t="n">
        <x:v>143</x:v>
      </x:c>
    </x:row>
    <x:row r="294">
      <x:c r="A294" s="9" t="str">
        <x:v>Failure</x:v>
      </x:c>
      <x:c r="B294" s="9" t="str">
        <x:v>Counting</x:v>
      </x:c>
      <x:c r="C294" s="10" t="n">
        <x:v>142</x:v>
      </x:c>
      <x:c r="D294" s="9" t="str">
        <x:v>Leave exactly three objects in the bowl.</x:v>
      </x:c>
      <x:c r="E294" s="9" t="str">
        <x:v>Bowl objects: [yellow block, airplane toy without propellers, blue pen] | Table objects: [none]</x:v>
      </x:c>
      <x:c r="F294" s="9" t="str">
        <x:v>NO-OP; preserve 3 objects in the bowl and do not initiate a grasp</x:v>
      </x:c>
      <x:c r="G294" s="9" t="str">
        <x:v>took the blue pen out</x:v>
      </x:c>
      <x:c r="H294" s="9" t="str">
        <x:v>Goal already satisfied / no movement</x:v>
      </x:c>
      <x:c r="I294" s="9" t="str">
        <x:v>NOOP-02</x:v>
      </x:c>
      <x:c r="J294" s="9" t="str">
        <x:v>Goal already satisfied: 3→3</x:v>
      </x:c>
      <x:c r="K294" s="9"/>
      <x:c r="L294" s="9" t="str">
        <x:v>843</x:v>
      </x:c>
      <x:c r="M294" s="9" t="str">
        <x:v>Prompt/concept grounding only. Training does not contain a goal-already-satisfied no-movement trajectory.</x:v>
      </x:c>
      <x:c r="N294" s="9" t="n">
        <x:v>6</x:v>
      </x:c>
      <x:c r="O294" s="9" t="str">
        <x:v>Build the first no-movement scene in this family.</x:v>
      </x:c>
      <x:c r="P294" s="9" t="str">
        <x:v>Visible-object count varies across no-op families. Table objects are distractors where present; success requires leaving the satisfied scene unchanged.</x:v>
      </x:c>
      <x:c r="Q294" s="9"/>
      <x:c r="R294" s="10"/>
      <x:c r="S294" s="10"/>
      <x:c r="T294" s="9"/>
      <x:c r="U294" s="9"/>
      <x:c r="V294" s="9"/>
      <x:c r="W294" s="9" t="str">
        <x:v>NOOP-02</x:v>
      </x:c>
      <x:c r="X294" s="10" t="n">
        <x:v>3</x:v>
      </x:c>
      <x:c r="Y294" s="10" t="n">
        <x:v>3</x:v>
      </x:c>
      <x:c r="Z294" s="9" t="str">
        <x:v>NO-OP</x:v>
      </x:c>
      <x:c r="AA294" s="9"/>
      <x:c r="AB294" s="9"/>
      <x:c r="AC294" s="9"/>
      <x:c r="AD294" s="9"/>
      <x:c r="AE294" s="9"/>
      <x:c r="AF294" s="9"/>
      <x:c r="AG294" s="9"/>
      <x:c r="AH294" s="9"/>
      <x:c r="AI294" s="11"/>
      <x:c r="AJ294" s="9"/>
      <x:c r="AK294" s="9" t="str">
        <x:v>Eval_Counting.xlsm</x:v>
      </x:c>
      <x:c r="AL294" s="9" t="str">
        <x:v>GR00T vision only Results</x:v>
      </x:c>
      <x:c r="AM294" s="9" t="n">
        <x:v>144</x:v>
      </x:c>
      <x:c r="AN294" s="9" t="n">
        <x:v>144</x:v>
      </x:c>
    </x:row>
    <x:row r="295">
      <x:c r="A295" s="9" t="str">
        <x:v>Success</x:v>
      </x:c>
      <x:c r="B295" s="9" t="str">
        <x:v>Counting</x:v>
      </x:c>
      <x:c r="C295" s="10" t="n">
        <x:v>143</x:v>
      </x:c>
      <x:c r="D295" s="9" t="str">
        <x:v>Leave exactly two objects in the bowl.</x:v>
      </x:c>
      <x:c r="E295" s="9" t="str">
        <x:v>Bowl objects: [yellow block, airplane toy without propellers] | Table objects: [none]</x:v>
      </x:c>
      <x:c r="F295" s="9" t="str">
        <x:v>NO-OP; preserve 2 objects in the bowl and do not initiate a grasp</x:v>
      </x:c>
      <x:c r="G295" s="9"/>
      <x:c r="H295" s="9" t="str">
        <x:v>Goal already satisfied / no movement</x:v>
      </x:c>
      <x:c r="I295" s="9" t="str">
        <x:v>NOOP-02</x:v>
      </x:c>
      <x:c r="J295" s="9" t="str">
        <x:v>Goal already satisfied: 2→2</x:v>
      </x:c>
      <x:c r="K295" s="9"/>
      <x:c r="L295" s="9" t="str">
        <x:v>861</x:v>
      </x:c>
      <x:c r="M295" s="9" t="str">
        <x:v>Prompt/concept grounding only. Training does not contain a goal-already-satisfied no-movement trajectory.</x:v>
      </x:c>
      <x:c r="N295" s="9" t="n">
        <x:v>6</x:v>
      </x:c>
      <x:c r="O295" s="9" t="str">
        <x:v>Move only the minimum listed objects between bowl and table for the next count.</x:v>
      </x:c>
      <x:c r="P295" s="9" t="str">
        <x:v>Visible-object count varies across no-op families. Table objects are distractors where present; success requires leaving the satisfied scene unchanged.</x:v>
      </x:c>
      <x:c r="Q295" s="9"/>
      <x:c r="R295" s="10"/>
      <x:c r="S295" s="10"/>
      <x:c r="T295" s="9"/>
      <x:c r="U295" s="9"/>
      <x:c r="V295" s="9"/>
      <x:c r="W295" s="9" t="str">
        <x:v>NOOP-02</x:v>
      </x:c>
      <x:c r="X295" s="10" t="n">
        <x:v>2</x:v>
      </x:c>
      <x:c r="Y295" s="10" t="n">
        <x:v>2</x:v>
      </x:c>
      <x:c r="Z295" s="9" t="str">
        <x:v>NO-OP</x:v>
      </x:c>
      <x:c r="AA295" s="9"/>
      <x:c r="AB295" s="9"/>
      <x:c r="AC295" s="9"/>
      <x:c r="AD295" s="9"/>
      <x:c r="AE295" s="9"/>
      <x:c r="AF295" s="9"/>
      <x:c r="AG295" s="9"/>
      <x:c r="AH295" s="9"/>
      <x:c r="AI295" s="11"/>
      <x:c r="AJ295" s="9"/>
      <x:c r="AK295" s="9" t="str">
        <x:v>Eval_Counting.xlsm</x:v>
      </x:c>
      <x:c r="AL295" s="9" t="str">
        <x:v>GR00T vision only Results</x:v>
      </x:c>
      <x:c r="AM295" s="9" t="n">
        <x:v>145</x:v>
      </x:c>
      <x:c r="AN295" s="9" t="n">
        <x:v>145</x:v>
      </x:c>
    </x:row>
    <x:row r="296">
      <x:c r="A296" s="9" t="str">
        <x:v>Success</x:v>
      </x:c>
      <x:c r="B296" s="9" t="str">
        <x:v>Counting</x:v>
      </x:c>
      <x:c r="C296" s="10" t="n">
        <x:v>144</x:v>
      </x:c>
      <x:c r="D296" s="9" t="str">
        <x:v>Leave exactly one object in the bowl.</x:v>
      </x:c>
      <x:c r="E296" s="9" t="str">
        <x:v>Bowl objects: [yellow block] | Table objects: [none]</x:v>
      </x:c>
      <x:c r="F296" s="9" t="str">
        <x:v>NO-OP; preserve 1 object in the bowl and do not initiate a grasp</x:v>
      </x:c>
      <x:c r="G296" s="9"/>
      <x:c r="H296" s="9" t="str">
        <x:v>Goal already satisfied / no movement</x:v>
      </x:c>
      <x:c r="I296" s="9" t="str">
        <x:v>NOOP-02</x:v>
      </x:c>
      <x:c r="J296" s="9" t="str">
        <x:v>Goal already satisfied: 1→1</x:v>
      </x:c>
      <x:c r="K296" s="9"/>
      <x:c r="L296" s="9" t="str">
        <x:v>800</x:v>
      </x:c>
      <x:c r="M296" s="9" t="str">
        <x:v>Prompt/concept grounding only. Training does not contain a goal-already-satisfied no-movement trajectory.</x:v>
      </x:c>
      <x:c r="N296" s="9" t="n">
        <x:v>6</x:v>
      </x:c>
      <x:c r="O296" s="9" t="str">
        <x:v>Move only the minimum listed objects between bowl and table for the next count.</x:v>
      </x:c>
      <x:c r="P296" s="9" t="str">
        <x:v>Visible-object count varies across no-op families. Table objects are distractors where present; success requires leaving the satisfied scene unchanged.</x:v>
      </x:c>
      <x:c r="Q296" s="9"/>
      <x:c r="R296" s="10"/>
      <x:c r="S296" s="10"/>
      <x:c r="T296" s="9"/>
      <x:c r="U296" s="9"/>
      <x:c r="V296" s="9"/>
      <x:c r="W296" s="9" t="str">
        <x:v>NOOP-02</x:v>
      </x:c>
      <x:c r="X296" s="10" t="n">
        <x:v>1</x:v>
      </x:c>
      <x:c r="Y296" s="10" t="n">
        <x:v>1</x:v>
      </x:c>
      <x:c r="Z296" s="9" t="str">
        <x:v>NO-OP</x:v>
      </x:c>
      <x:c r="AA296" s="9"/>
      <x:c r="AB296" s="9"/>
      <x:c r="AC296" s="9"/>
      <x:c r="AD296" s="9"/>
      <x:c r="AE296" s="9"/>
      <x:c r="AF296" s="9"/>
      <x:c r="AG296" s="9"/>
      <x:c r="AH296" s="9"/>
      <x:c r="AI296" s="11"/>
      <x:c r="AJ296" s="9"/>
      <x:c r="AK296" s="9" t="str">
        <x:v>Eval_Counting.xlsm</x:v>
      </x:c>
      <x:c r="AL296" s="9" t="str">
        <x:v>GR00T vision only Results</x:v>
      </x:c>
      <x:c r="AM296" s="9" t="n">
        <x:v>146</x:v>
      </x:c>
      <x:c r="AN296" s="9" t="n">
        <x:v>146</x:v>
      </x:c>
    </x:row>
    <x:row r="297">
      <x:c r="A297" s="9" t="str">
        <x:v>Success</x:v>
      </x:c>
      <x:c r="B297" s="9" t="str">
        <x:v>Counting</x:v>
      </x:c>
      <x:c r="C297" s="10" t="n">
        <x:v>145</x:v>
      </x:c>
      <x:c r="D297" s="9" t="str">
        <x:v>Leave no objects in the bowl.</x:v>
      </x:c>
      <x:c r="E297" s="9" t="str">
        <x:v>Bowl objects: [none] | Table objects: [yellow block]</x:v>
      </x:c>
      <x:c r="F297" s="9" t="str">
        <x:v>NO-OP; preserve 0 objects in the bowl and do not initiate a grasp</x:v>
      </x:c>
      <x:c r="G297" s="9"/>
      <x:c r="H297" s="9" t="str">
        <x:v>Goal already satisfied / no movement</x:v>
      </x:c>
      <x:c r="I297" s="9" t="str">
        <x:v>NOOP-02</x:v>
      </x:c>
      <x:c r="J297" s="9" t="str">
        <x:v>Goal already satisfied: 0→0</x:v>
      </x:c>
      <x:c r="K297" s="9"/>
      <x:c r="L297" s="9" t="str">
        <x:v>975</x:v>
      </x:c>
      <x:c r="M297" s="9" t="str">
        <x:v>Prompt/concept grounding only. Training does not contain a goal-already-satisfied no-movement trajectory.</x:v>
      </x:c>
      <x:c r="N297" s="9" t="n">
        <x:v>6</x:v>
      </x:c>
      <x:c r="O297" s="9" t="str">
        <x:v>Move only the minimum listed objects between bowl and table for the next count.</x:v>
      </x:c>
      <x:c r="P297" s="9" t="str">
        <x:v>Visible-object count varies across no-op families. Table objects are distractors where present; success requires leaving the satisfied scene unchanged.</x:v>
      </x:c>
      <x:c r="Q297" s="9"/>
      <x:c r="R297" s="10"/>
      <x:c r="S297" s="10"/>
      <x:c r="T297" s="9"/>
      <x:c r="U297" s="9"/>
      <x:c r="V297" s="9"/>
      <x:c r="W297" s="9" t="str">
        <x:v>NOOP-02</x:v>
      </x:c>
      <x:c r="X297" s="10" t="n">
        <x:v>0</x:v>
      </x:c>
      <x:c r="Y297" s="10" t="n">
        <x:v>0</x:v>
      </x:c>
      <x:c r="Z297" s="9" t="str">
        <x:v>NO-OP</x:v>
      </x:c>
      <x:c r="AA297" s="9"/>
      <x:c r="AB297" s="9"/>
      <x:c r="AC297" s="9"/>
      <x:c r="AD297" s="9"/>
      <x:c r="AE297" s="9"/>
      <x:c r="AF297" s="9"/>
      <x:c r="AG297" s="9"/>
      <x:c r="AH297" s="9"/>
      <x:c r="AI297" s="11"/>
      <x:c r="AJ297" s="9"/>
      <x:c r="AK297" s="9" t="str">
        <x:v>Eval_Counting.xlsm</x:v>
      </x:c>
      <x:c r="AL297" s="9" t="str">
        <x:v>GR00T vision only Results</x:v>
      </x:c>
      <x:c r="AM297" s="9" t="n">
        <x:v>147</x:v>
      </x:c>
      <x:c r="AN297" s="9" t="n">
        <x:v>147</x:v>
      </x:c>
    </x:row>
    <x:row r="298">
      <x:c r="A298" s="9" t="str">
        <x:v>Failure</x:v>
      </x:c>
      <x:c r="B298" s="9" t="str">
        <x:v>Counting</x:v>
      </x:c>
      <x:c r="C298" s="10" t="n">
        <x:v>146</x:v>
      </x:c>
      <x:c r="D298" s="9" t="str">
        <x:v>Leave exactly three objects in the bowl.</x:v>
      </x:c>
      <x:c r="E298" s="9" t="str">
        <x:v>Bowl objects: [green pencil sharpener, airplane toy without propellers] | Table objects: [blue pen, yellow block]</x:v>
      </x:c>
      <x:c r="F298" s="9" t="str">
        <x:v>ADD any one table object; finish with 3 objects in the bowl</x:v>
      </x:c>
      <x:c r="G298" s="9" t="str">
        <x:v>didn't move</x:v>
      </x:c>
      <x:c r="H298" s="9" t="str">
        <x:v>Concept/compositional transfer</x:v>
      </x:c>
      <x:c r="I298" s="9" t="str">
        <x:v>CT-CF18</x:v>
      </x:c>
      <x:c r="J298" s="9" t="str">
        <x:v>Primary: three via held-out 2→3 addition</x:v>
      </x:c>
      <x:c r="K298" s="9"/>
      <x:c r="L298" s="9" t="str">
        <x:v>816</x:v>
      </x:c>
      <x:c r="M298" s="9" t="str">
        <x:v>Representative direct-instruction trajectory for blue pen; the evaluated count × transition composition is intentionally absent.</x:v>
      </x:c>
      <x:c r="N298" s="9" t="n">
        <x:v>4</x:v>
      </x:c>
      <x:c r="O298" s="9" t="str">
        <x:v>Reset the exact count-2 scene; change only the prompt.</x:v>
      </x:c>
      <x:c r="P298" s="9" t="str">
        <x:v>The goal word three is trained, and this 2→3 trajectory is trained under a direct instruction, but the combination is withheld.</x:v>
      </x:c>
      <x:c r="Q298" s="9"/>
      <x:c r="R298" s="10"/>
      <x:c r="S298" s="10"/>
      <x:c r="T298" s="9"/>
      <x:c r="U298" s="9"/>
      <x:c r="V298" s="9"/>
      <x:c r="W298" s="9" t="str">
        <x:v>CT-CF18-ADD</x:v>
      </x:c>
      <x:c r="X298" s="10" t="n">
        <x:v>2</x:v>
      </x:c>
      <x:c r="Y298" s="10" t="n">
        <x:v>3</x:v>
      </x:c>
      <x:c r="Z298" s="9" t="str">
        <x:v>ADD</x:v>
      </x:c>
      <x:c r="AA298" s="9"/>
      <x:c r="AB298" s="9"/>
      <x:c r="AC298" s="9"/>
      <x:c r="AD298" s="9"/>
      <x:c r="AE298" s="9"/>
      <x:c r="AF298" s="9"/>
      <x:c r="AG298" s="9"/>
      <x:c r="AH298" s="9"/>
      <x:c r="AI298" s="11"/>
      <x:c r="AJ298" s="9"/>
      <x:c r="AK298" s="9" t="str">
        <x:v>Eval_Counting.xlsm</x:v>
      </x:c>
      <x:c r="AL298" s="9" t="str">
        <x:v>GR00T vision only Results</x:v>
      </x:c>
      <x:c r="AM298" s="9" t="n">
        <x:v>148</x:v>
      </x:c>
      <x:c r="AN298" s="9" t="n">
        <x:v>148</x:v>
      </x:c>
    </x:row>
    <x:row r="299">
      <x:c r="A299" s="9" t="str">
        <x:v>Failure</x:v>
      </x:c>
      <x:c r="B299" s="9" t="str">
        <x:v>Counting</x:v>
      </x:c>
      <x:c r="C299" s="10" t="n">
        <x:v>147</x:v>
      </x:c>
      <x:c r="D299" s="9" t="str">
        <x:v>Leave exactly one object in the bowl.</x:v>
      </x:c>
      <x:c r="E299" s="9" t="str">
        <x:v>Bowl objects: [green pencil sharpener, airplane toy without propellers] | Table objects: [blue pen, yellow block]</x:v>
      </x:c>
      <x:c r="F299" s="9" t="str">
        <x:v>REMOVE any one bowl object; finish with 1 object in the bowl</x:v>
      </x:c>
      <x:c r="G299" s="9"/>
      <x:c r="H299" s="9" t="str">
        <x:v>Concept/compositional transfer</x:v>
      </x:c>
      <x:c r="I299" s="9" t="str">
        <x:v>CT-CF18</x:v>
      </x:c>
      <x:c r="J299" s="9" t="str">
        <x:v>Primary: one via held-out 2→1 removal</x:v>
      </x:c>
      <x:c r="K299" s="9" t="n">
        <x:v>146</x:v>
      </x:c>
      <x:c r="L299" s="9" t="str">
        <x:v>981</x:v>
      </x:c>
      <x:c r="M299" s="9" t="str">
        <x:v>Representative direct-instruction trajectory for airplane toy without propellers; the evaluated count × transition composition is intentionally absent.</x:v>
      </x:c>
      <x:c r="N299" s="9" t="n">
        <x:v>4</x:v>
      </x:c>
      <x:c r="O299" s="9" t="str">
        <x:v>Build the listed count-2 scene.</x:v>
      </x:c>
      <x:c r="P299" s="9" t="str">
        <x:v>The goal word one is trained, and this 2→1 trajectory is trained under a direct instruction, but the combination is withheld.</x:v>
      </x:c>
      <x:c r="Q299" s="9"/>
      <x:c r="R299" s="10"/>
      <x:c r="S299" s="10"/>
      <x:c r="T299" s="9"/>
      <x:c r="U299" s="9"/>
      <x:c r="V299" s="9"/>
      <x:c r="W299" s="9" t="str">
        <x:v>CT-CF18-REMOVE</x:v>
      </x:c>
      <x:c r="X299" s="10" t="n">
        <x:v>2</x:v>
      </x:c>
      <x:c r="Y299" s="10" t="n">
        <x:v>1</x:v>
      </x:c>
      <x:c r="Z299" s="9" t="str">
        <x:v>REMOVE</x:v>
      </x:c>
      <x:c r="AA299" s="9"/>
      <x:c r="AB299" s="9"/>
      <x:c r="AC299" s="9"/>
      <x:c r="AD299" s="9"/>
      <x:c r="AE299" s="9"/>
      <x:c r="AF299" s="9"/>
      <x:c r="AG299" s="9"/>
      <x:c r="AH299" s="9"/>
      <x:c r="AI299" s="11"/>
      <x:c r="AJ299" s="9"/>
      <x:c r="AK299" s="9" t="str">
        <x:v>Eval_Counting.xlsm</x:v>
      </x:c>
      <x:c r="AL299" s="9" t="str">
        <x:v>GR00T vision only Results</x:v>
      </x:c>
      <x:c r="AM299" s="9" t="n">
        <x:v>149</x:v>
      </x:c>
      <x:c r="AN299" s="9" t="n">
        <x:v>149</x:v>
      </x:c>
    </x:row>
    <x:row r="300">
      <x:c r="A300" s="9" t="str">
        <x:v>Failure</x:v>
      </x:c>
      <x:c r="B300" s="9" t="str">
        <x:v>Counting</x:v>
      </x:c>
      <x:c r="C300" s="10" t="n">
        <x:v>148</x:v>
      </x:c>
      <x:c r="D300" s="9" t="str">
        <x:v>Leave exactly one object in the bowl.</x:v>
      </x:c>
      <x:c r="E300" s="9" t="str">
        <x:v>Bowl objects: [yellow block, airplane toy without propellers] | Table objects: [blue pen, green pencil sharpener]</x:v>
      </x:c>
      <x:c r="F300" s="9" t="str">
        <x:v>REMOVE any one bowl object; finish with 1 object in the bowl</x:v>
      </x:c>
      <x:c r="G300" s="9" t="str">
        <x:v>didn't move</x:v>
      </x:c>
      <x:c r="H300" s="9" t="str">
        <x:v>Concept/compositional transfer</x:v>
      </x:c>
      <x:c r="I300" s="9" t="str">
        <x:v>CT-CF23</x:v>
      </x:c>
      <x:c r="J300" s="9" t="str">
        <x:v>Primary: one via held-out 2→1 removal</x:v>
      </x:c>
      <x:c r="K300" s="9"/>
      <x:c r="L300" s="9" t="str">
        <x:v>881</x:v>
      </x:c>
      <x:c r="M300" s="9" t="str">
        <x:v>Representative direct-instruction trajectory for yellow block; the evaluated count × transition composition is intentionally absent.</x:v>
      </x:c>
      <x:c r="N300" s="9" t="n">
        <x:v>4</x:v>
      </x:c>
      <x:c r="O300" s="9" t="str">
        <x:v>Build the listed count-2 scene.</x:v>
      </x:c>
      <x:c r="P300" s="9" t="str">
        <x:v>The goal word one is trained, and this 2→1 trajectory is trained under a direct instruction, but the combination is withheld.</x:v>
      </x:c>
      <x:c r="Q300" s="9"/>
      <x:c r="R300" s="10"/>
      <x:c r="S300" s="10"/>
      <x:c r="T300" s="9"/>
      <x:c r="U300" s="9"/>
      <x:c r="V300" s="9"/>
      <x:c r="W300" s="9" t="str">
        <x:v>CT-CF23-REMOVE</x:v>
      </x:c>
      <x:c r="X300" s="10" t="n">
        <x:v>2</x:v>
      </x:c>
      <x:c r="Y300" s="10" t="n">
        <x:v>1</x:v>
      </x:c>
      <x:c r="Z300" s="9" t="str">
        <x:v>REMOVE</x:v>
      </x:c>
      <x:c r="AA300" s="9"/>
      <x:c r="AB300" s="9"/>
      <x:c r="AC300" s="9"/>
      <x:c r="AD300" s="9"/>
      <x:c r="AE300" s="9"/>
      <x:c r="AF300" s="9"/>
      <x:c r="AG300" s="9"/>
      <x:c r="AH300" s="9"/>
      <x:c r="AI300" s="11"/>
      <x:c r="AJ300" s="9"/>
      <x:c r="AK300" s="9" t="str">
        <x:v>Eval_Counting.xlsm</x:v>
      </x:c>
      <x:c r="AL300" s="9" t="str">
        <x:v>GR00T vision only Results</x:v>
      </x:c>
      <x:c r="AM300" s="9" t="n">
        <x:v>150</x:v>
      </x:c>
      <x:c r="AN300" s="9" t="n">
        <x:v>150</x:v>
      </x:c>
    </x:row>
    <x:row r="301">
      <x:c r="A301" s="9" t="str">
        <x:v>Failure</x:v>
      </x:c>
      <x:c r="B301" s="9" t="str">
        <x:v>Counting</x:v>
      </x:c>
      <x:c r="C301" s="10" t="n">
        <x:v>149</x:v>
      </x:c>
      <x:c r="D301" s="9" t="str">
        <x:v>Leave exactly three objects in the bowl.</x:v>
      </x:c>
      <x:c r="E301" s="9" t="str">
        <x:v>Bowl objects: [yellow block, airplane toy without propellers] | Table objects: [blue pen, green pencil sharpener]</x:v>
      </x:c>
      <x:c r="F301" s="9" t="str">
        <x:v>ADD any one table object; finish with 3 objects in the bowl</x:v>
      </x:c>
      <x:c r="G301" s="9"/>
      <x:c r="H301" s="9" t="str">
        <x:v>Concept/compositional transfer</x:v>
      </x:c>
      <x:c r="I301" s="9" t="str">
        <x:v>CT-CF23</x:v>
      </x:c>
      <x:c r="J301" s="9" t="str">
        <x:v>Primary: three via held-out 2→3 addition</x:v>
      </x:c>
      <x:c r="K301" s="9" t="n">
        <x:v>148</x:v>
      </x:c>
      <x:c r="L301" s="9" t="str">
        <x:v>916</x:v>
      </x:c>
      <x:c r="M301" s="9" t="str">
        <x:v>Representative direct-instruction trajectory for green pencil sharpener; the evaluated count × transition composition is intentionally absent.</x:v>
      </x:c>
      <x:c r="N301" s="9" t="n">
        <x:v>4</x:v>
      </x:c>
      <x:c r="O301" s="9" t="str">
        <x:v>Reset the exact count-2 scene; change only the prompt.</x:v>
      </x:c>
      <x:c r="P301" s="9" t="str">
        <x:v>The goal word three is trained, and this 2→3 trajectory is trained under a direct instruction, but the combination is withheld.</x:v>
      </x:c>
      <x:c r="Q301" s="9"/>
      <x:c r="R301" s="10"/>
      <x:c r="S301" s="10"/>
      <x:c r="T301" s="9"/>
      <x:c r="U301" s="9"/>
      <x:c r="V301" s="9"/>
      <x:c r="W301" s="9" t="str">
        <x:v>CT-CF23-ADD</x:v>
      </x:c>
      <x:c r="X301" s="10" t="n">
        <x:v>2</x:v>
      </x:c>
      <x:c r="Y301" s="10" t="n">
        <x:v>3</x:v>
      </x:c>
      <x:c r="Z301" s="9" t="str">
        <x:v>ADD</x:v>
      </x:c>
      <x:c r="AA301" s="9"/>
      <x:c r="AB301" s="9"/>
      <x:c r="AC301" s="9"/>
      <x:c r="AD301" s="9"/>
      <x:c r="AE301" s="9"/>
      <x:c r="AF301" s="9"/>
      <x:c r="AG301" s="9"/>
      <x:c r="AH301" s="9"/>
      <x:c r="AI301" s="11"/>
      <x:c r="AJ301" s="9"/>
      <x:c r="AK301" s="9" t="str">
        <x:v>Eval_Counting.xlsm</x:v>
      </x:c>
      <x:c r="AL301" s="9" t="str">
        <x:v>GR00T vision only Results</x:v>
      </x:c>
      <x:c r="AM301" s="9" t="n">
        <x:v>151</x:v>
      </x:c>
      <x:c r="AN301" s="9" t="n">
        <x:v>151</x:v>
      </x:c>
    </x:row>
    <x:row r="302">
      <x:c r="A302" s="9" t="str">
        <x:v>Failure</x:v>
      </x:c>
      <x:c r="B302" s="9" t="str">
        <x:v>Ordinal Reference Ordering</x:v>
      </x:c>
      <x:c r="C302" s="10" t="n">
        <x:v>0</x:v>
      </x:c>
      <x:c r="D302" s="9" t="str">
        <x:v>Put the second object from the right in the bowl.</x:v>
      </x:c>
      <x:c r="E302" s="9" t="str">
        <x:v>L1: blue tape ball, L2: airplane toy with propellers</x:v>
      </x:c>
      <x:c r="F302" s="9" t="str">
        <x:v>blue tape ball</x:v>
      </x:c>
      <x:c r="G302" s="9" t="str">
        <x:v>picked the airplane toy</x:v>
      </x:c>
      <x:c r="H302" s="9" t="str">
        <x:v>In-distribution concept baseline</x:v>
      </x:c>
      <x:c r="I302" s="9" t="str">
        <x:v>ID-EXACT01</x:v>
      </x:c>
      <x:c r="J302" s="9" t="str">
        <x:v>Exact training recreation — source episode 658</x:v>
      </x:c>
      <x:c r="K302" s="9"/>
      <x:c r="L302" s="9"/>
      <x:c r="M302" s="9"/>
      <x:c r="N302" s="9" t="str">
        <x:v>1 — In-distribution baselines</x:v>
      </x:c>
      <x:c r="O302" s="9" t="str">
        <x:v>Independently recreate the prompt and ordered object list from training episode 658; do not reuse the preceding baseline scene.</x:v>
      </x:c>
      <x:c r="P302" s="9" t="str">
        <x:v>Exact final prompt and complete left-to-right object order from explicit training episode 658: blue tape ball | airplane toy with propellers.</x:v>
      </x:c>
      <x:c r="Q302" s="9"/>
      <x:c r="R302" s="10" t="n">
        <x:v>2</x:v>
      </x:c>
      <x:c r="S302" s="10"/>
      <x:c r="T302" s="9"/>
      <x:c r="U302" s="9"/>
      <x:c r="V302" s="9"/>
      <x:c r="W302" s="9" t="str">
        <x:v>None — independent exact training recreation</x:v>
      </x:c>
      <x:c r="X302" s="10"/>
      <x:c r="Y302" s="10"/>
      <x:c r="Z302" s="9"/>
      <x:c r="AA302" s="9" t="str">
        <x:v>L1</x:v>
      </x:c>
      <x:c r="AB302" s="9" t="str">
        <x:v>second from right</x:v>
      </x:c>
      <x:c r="AC302" s="9"/>
      <x:c r="AD302" s="9"/>
      <x:c r="AE302" s="9"/>
      <x:c r="AF302" s="9"/>
      <x:c r="AG302" s="9"/>
      <x:c r="AH302" s="9"/>
      <x:c r="AI302" s="11"/>
      <x:c r="AJ302" s="9"/>
      <x:c r="AK302" s="9" t="str">
        <x:v>Eval_Ordinal_Reference_Ordering.xlsm</x:v>
      </x:c>
      <x:c r="AL302" s="9" t="str">
        <x:v>GR00T visual only Results</x:v>
      </x:c>
      <x:c r="AM302" s="9" t="n">
        <x:v>2</x:v>
      </x:c>
      <x:c r="AN302" s="9" t="n">
        <x:v>2</x:v>
      </x:c>
    </x:row>
    <x:row r="303">
      <x:c r="A303" s="9" t="str">
        <x:v>Success</x:v>
      </x:c>
      <x:c r="B303" s="9" t="str">
        <x:v>Ordinal Reference Ordering</x:v>
      </x:c>
      <x:c r="C303" s="10" t="n">
        <x:v>1</x:v>
      </x:c>
      <x:c r="D303" s="9" t="str">
        <x:v>Put the second object from the left in the bowl.</x:v>
      </x:c>
      <x:c r="E303" s="9" t="str">
        <x:v>L1: blue tape ball, L2: airplane toy with propellers</x:v>
      </x:c>
      <x:c r="F303" s="9" t="str">
        <x:v>airplane toy with propellers</x:v>
      </x:c>
      <x:c r="G303" s="9"/>
      <x:c r="H303" s="9" t="str">
        <x:v>In-distribution concept baseline</x:v>
      </x:c>
      <x:c r="I303" s="9" t="str">
        <x:v>ID-EXACT02</x:v>
      </x:c>
      <x:c r="J303" s="9" t="str">
        <x:v>Exact training recreation — source episode 619</x:v>
      </x:c>
      <x:c r="K303" s="9"/>
      <x:c r="L303" s="9"/>
      <x:c r="M303" s="9"/>
      <x:c r="N303" s="9" t="str">
        <x:v>1 — In-distribution baselines</x:v>
      </x:c>
      <x:c r="O303" s="9" t="str">
        <x:v>Independently recreate the prompt and ordered object list from training episode 619; do not reuse the preceding baseline scene.</x:v>
      </x:c>
      <x:c r="P303" s="9" t="str">
        <x:v>Exact final prompt and complete left-to-right object order from explicit training episode 619: blue tape ball | airplane toy with propellers.</x:v>
      </x:c>
      <x:c r="Q303" s="9"/>
      <x:c r="R303" s="10" t="n">
        <x:v>2</x:v>
      </x:c>
      <x:c r="S303" s="10"/>
      <x:c r="T303" s="9"/>
      <x:c r="U303" s="9"/>
      <x:c r="V303" s="9"/>
      <x:c r="W303" s="9" t="str">
        <x:v>None — independent exact training recreation</x:v>
      </x:c>
      <x:c r="X303" s="10"/>
      <x:c r="Y303" s="10"/>
      <x:c r="Z303" s="9"/>
      <x:c r="AA303" s="9" t="str">
        <x:v>L2</x:v>
      </x:c>
      <x:c r="AB303" s="9" t="str">
        <x:v>second from left</x:v>
      </x:c>
      <x:c r="AC303" s="9"/>
      <x:c r="AD303" s="9"/>
      <x:c r="AE303" s="9"/>
      <x:c r="AF303" s="9"/>
      <x:c r="AG303" s="9"/>
      <x:c r="AH303" s="9"/>
      <x:c r="AI303" s="11"/>
      <x:c r="AJ303" s="9"/>
      <x:c r="AK303" s="9" t="str">
        <x:v>Eval_Ordinal_Reference_Ordering.xlsm</x:v>
      </x:c>
      <x:c r="AL303" s="9" t="str">
        <x:v>GR00T visual only Results</x:v>
      </x:c>
      <x:c r="AM303" s="9" t="n">
        <x:v>3</x:v>
      </x:c>
      <x:c r="AN303" s="9" t="n">
        <x:v>3</x:v>
      </x:c>
    </x:row>
    <x:row r="304">
      <x:c r="A304" s="9" t="str">
        <x:v>Success</x:v>
      </x:c>
      <x:c r="B304" s="9" t="str">
        <x:v>Ordinal Reference Ordering</x:v>
      </x:c>
      <x:c r="C304" s="10" t="n">
        <x:v>2</x:v>
      </x:c>
      <x:c r="D304" s="9" t="str">
        <x:v>Move the second item counted from the left into the bowl.</x:v>
      </x:c>
      <x:c r="E304" s="9" t="str">
        <x:v>L1: airplane toy with propellers, L2: green highlighter</x:v>
      </x:c>
      <x:c r="F304" s="9" t="str">
        <x:v>green highlighter</x:v>
      </x:c>
      <x:c r="G304" s="9"/>
      <x:c r="H304" s="9" t="str">
        <x:v>In-distribution concept baseline</x:v>
      </x:c>
      <x:c r="I304" s="9" t="str">
        <x:v>ID-EXACT03</x:v>
      </x:c>
      <x:c r="J304" s="9" t="str">
        <x:v>Exact training recreation — source episode 719</x:v>
      </x:c>
      <x:c r="K304" s="9"/>
      <x:c r="L304" s="9"/>
      <x:c r="M304" s="9"/>
      <x:c r="N304" s="9" t="str">
        <x:v>1 — In-distribution baselines</x:v>
      </x:c>
      <x:c r="O304" s="9" t="str">
        <x:v>Independently recreate the prompt and ordered object list from training episode 719; do not reuse the preceding baseline scene.</x:v>
      </x:c>
      <x:c r="P304" s="9" t="str">
        <x:v>Exact final prompt and complete left-to-right object order from explicit training episode 719: airplane toy with propellers | green highlighter.</x:v>
      </x:c>
      <x:c r="Q304" s="9"/>
      <x:c r="R304" s="10" t="n">
        <x:v>2</x:v>
      </x:c>
      <x:c r="S304" s="10"/>
      <x:c r="T304" s="9"/>
      <x:c r="U304" s="9"/>
      <x:c r="V304" s="9"/>
      <x:c r="W304" s="9" t="str">
        <x:v>None — independent exact training recreation</x:v>
      </x:c>
      <x:c r="X304" s="10"/>
      <x:c r="Y304" s="10"/>
      <x:c r="Z304" s="9"/>
      <x:c r="AA304" s="9" t="str">
        <x:v>L2</x:v>
      </x:c>
      <x:c r="AB304" s="9" t="str">
        <x:v>second from left</x:v>
      </x:c>
      <x:c r="AC304" s="9"/>
      <x:c r="AD304" s="9"/>
      <x:c r="AE304" s="9"/>
      <x:c r="AF304" s="9"/>
      <x:c r="AG304" s="9"/>
      <x:c r="AH304" s="9"/>
      <x:c r="AI304" s="11"/>
      <x:c r="AJ304" s="9"/>
      <x:c r="AK304" s="9" t="str">
        <x:v>Eval_Ordinal_Reference_Ordering.xlsm</x:v>
      </x:c>
      <x:c r="AL304" s="9" t="str">
        <x:v>GR00T visual only Results</x:v>
      </x:c>
      <x:c r="AM304" s="9" t="n">
        <x:v>4</x:v>
      </x:c>
      <x:c r="AN304" s="9" t="n">
        <x:v>4</x:v>
      </x:c>
    </x:row>
    <x:row r="305">
      <x:c r="A305" s="9" t="str">
        <x:v>Success</x:v>
      </x:c>
      <x:c r="B305" s="9" t="str">
        <x:v>Ordinal Reference Ordering</x:v>
      </x:c>
      <x:c r="C305" s="10" t="n">
        <x:v>3</x:v>
      </x:c>
      <x:c r="D305" s="9" t="str">
        <x:v>Move the second item counted from the right into the bowl.</x:v>
      </x:c>
      <x:c r="E305" s="9" t="str">
        <x:v>L1: yellow pen, L2: airplane toy with propellers</x:v>
      </x:c>
      <x:c r="F305" s="9" t="str">
        <x:v>yellow pen</x:v>
      </x:c>
      <x:c r="G305" s="9" t="str">
        <x:v>failed reasoning; tried to grasp the airplane toy and failed, then in recovery, got the yellow pen</x:v>
      </x:c>
      <x:c r="H305" s="9" t="str">
        <x:v>In-distribution concept baseline</x:v>
      </x:c>
      <x:c r="I305" s="9" t="str">
        <x:v>ID-EXACT04</x:v>
      </x:c>
      <x:c r="J305" s="9" t="str">
        <x:v>Exact training recreation — source episode 758</x:v>
      </x:c>
      <x:c r="K305" s="9"/>
      <x:c r="L305" s="9"/>
      <x:c r="M305" s="9"/>
      <x:c r="N305" s="9" t="str">
        <x:v>1 — In-distribution baselines</x:v>
      </x:c>
      <x:c r="O305" s="9" t="str">
        <x:v>Independently recreate the prompt and ordered object list from training episode 758; do not reuse the preceding baseline scene.</x:v>
      </x:c>
      <x:c r="P305" s="9" t="str">
        <x:v>Exact final prompt and complete left-to-right object order from explicit training episode 758: yellow pen | airplane toy with propellers.</x:v>
      </x:c>
      <x:c r="Q305" s="9"/>
      <x:c r="R305" s="10" t="n">
        <x:v>2</x:v>
      </x:c>
      <x:c r="S305" s="10"/>
      <x:c r="T305" s="9"/>
      <x:c r="U305" s="9"/>
      <x:c r="V305" s="9"/>
      <x:c r="W305" s="9" t="str">
        <x:v>None — independent exact training recreation</x:v>
      </x:c>
      <x:c r="X305" s="10"/>
      <x:c r="Y305" s="10"/>
      <x:c r="Z305" s="9"/>
      <x:c r="AA305" s="9" t="str">
        <x:v>L1</x:v>
      </x:c>
      <x:c r="AB305" s="9" t="str">
        <x:v>second from right</x:v>
      </x:c>
      <x:c r="AC305" s="9"/>
      <x:c r="AD305" s="9"/>
      <x:c r="AE305" s="9"/>
      <x:c r="AF305" s="9"/>
      <x:c r="AG305" s="9"/>
      <x:c r="AH305" s="9"/>
      <x:c r="AI305" s="11"/>
      <x:c r="AJ305" s="9"/>
      <x:c r="AK305" s="9" t="str">
        <x:v>Eval_Ordinal_Reference_Ordering.xlsm</x:v>
      </x:c>
      <x:c r="AL305" s="9" t="str">
        <x:v>GR00T visual only Results</x:v>
      </x:c>
      <x:c r="AM305" s="9" t="n">
        <x:v>5</x:v>
      </x:c>
      <x:c r="AN305" s="9" t="n">
        <x:v>5</x:v>
      </x:c>
    </x:row>
    <x:row r="306">
      <x:c r="A306" s="9" t="str">
        <x:v>Failure</x:v>
      </x:c>
      <x:c r="B306" s="9" t="str">
        <x:v>Ordinal Reference Ordering</x:v>
      </x:c>
      <x:c r="C306" s="10" t="n">
        <x:v>4</x:v>
      </x:c>
      <x:c r="D306" s="9" t="str">
        <x:v>Put the third object from the right in the bowl.</x:v>
      </x:c>
      <x:c r="E306" s="9" t="str">
        <x:v>L1: airplane toy with propellers, L2: yellow pen, L3: blue tape ball</x:v>
      </x:c>
      <x:c r="F306" s="9" t="str">
        <x:v>airplane toy with propellers</x:v>
      </x:c>
      <x:c r="G306" s="9" t="str">
        <x:v>picked yellow pen</x:v>
      </x:c>
      <x:c r="H306" s="9" t="str">
        <x:v>In-distribution concept baseline</x:v>
      </x:c>
      <x:c r="I306" s="9" t="str">
        <x:v>ID-EXACT05</x:v>
      </x:c>
      <x:c r="J306" s="9" t="str">
        <x:v>Exact training recreation — source episode 604</x:v>
      </x:c>
      <x:c r="K306" s="9"/>
      <x:c r="L306" s="9"/>
      <x:c r="M306" s="9"/>
      <x:c r="N306" s="9" t="str">
        <x:v>1 — In-distribution baselines</x:v>
      </x:c>
      <x:c r="O306" s="9" t="str">
        <x:v>Independently recreate the prompt and ordered object list from training episode 604; do not reuse the preceding baseline scene.</x:v>
      </x:c>
      <x:c r="P306" s="9" t="str">
        <x:v>Exact final prompt and complete left-to-right object order from explicit training episode 604: airplane toy with propellers | yellow pen | blue tape ball.</x:v>
      </x:c>
      <x:c r="Q306" s="9"/>
      <x:c r="R306" s="10" t="n">
        <x:v>3</x:v>
      </x:c>
      <x:c r="S306" s="10"/>
      <x:c r="T306" s="9"/>
      <x:c r="U306" s="9"/>
      <x:c r="V306" s="9"/>
      <x:c r="W306" s="9" t="str">
        <x:v>None — independent exact training recreation</x:v>
      </x:c>
      <x:c r="X306" s="10"/>
      <x:c r="Y306" s="10"/>
      <x:c r="Z306" s="9"/>
      <x:c r="AA306" s="9" t="str">
        <x:v>L1</x:v>
      </x:c>
      <x:c r="AB306" s="9" t="str">
        <x:v>third from right</x:v>
      </x:c>
      <x:c r="AC306" s="9"/>
      <x:c r="AD306" s="9"/>
      <x:c r="AE306" s="9"/>
      <x:c r="AF306" s="9"/>
      <x:c r="AG306" s="9"/>
      <x:c r="AH306" s="9"/>
      <x:c r="AI306" s="11"/>
      <x:c r="AJ306" s="9"/>
      <x:c r="AK306" s="9" t="str">
        <x:v>Eval_Ordinal_Reference_Ordering.xlsm</x:v>
      </x:c>
      <x:c r="AL306" s="9" t="str">
        <x:v>GR00T visual only Results</x:v>
      </x:c>
      <x:c r="AM306" s="9" t="n">
        <x:v>6</x:v>
      </x:c>
      <x:c r="AN306" s="9" t="n">
        <x:v>6</x:v>
      </x:c>
    </x:row>
    <x:row r="307">
      <x:c r="A307" s="9" t="str">
        <x:v>Success</x:v>
      </x:c>
      <x:c r="B307" s="9" t="str">
        <x:v>Ordinal Reference Ordering</x:v>
      </x:c>
      <x:c r="C307" s="10" t="n">
        <x:v>5</x:v>
      </x:c>
      <x:c r="D307" s="9" t="str">
        <x:v>Put the object that is first from the right in the bowl.</x:v>
      </x:c>
      <x:c r="E307" s="9" t="str">
        <x:v>L1: airplane toy with propellers, L2: green highlighter, L3: blue tape ball</x:v>
      </x:c>
      <x:c r="F307" s="9" t="str">
        <x:v>blue tape ball</x:v>
      </x:c>
      <x:c r="G307" s="9"/>
      <x:c r="H307" s="9" t="str">
        <x:v>In-distribution concept baseline</x:v>
      </x:c>
      <x:c r="I307" s="9" t="str">
        <x:v>ID-EXACT06</x:v>
      </x:c>
      <x:c r="J307" s="9" t="str">
        <x:v>Exact training recreation — source episode 679</x:v>
      </x:c>
      <x:c r="K307" s="9"/>
      <x:c r="L307" s="9"/>
      <x:c r="M307" s="9"/>
      <x:c r="N307" s="9" t="str">
        <x:v>1 — In-distribution baselines</x:v>
      </x:c>
      <x:c r="O307" s="9" t="str">
        <x:v>Independently recreate the prompt and ordered object list from training episode 679; do not reuse the preceding baseline scene.</x:v>
      </x:c>
      <x:c r="P307" s="9" t="str">
        <x:v>Exact final prompt and complete left-to-right object order from explicit training episode 679: airplane toy with propellers | green highlighter | blue tape ball.</x:v>
      </x:c>
      <x:c r="Q307" s="9"/>
      <x:c r="R307" s="10" t="n">
        <x:v>3</x:v>
      </x:c>
      <x:c r="S307" s="10"/>
      <x:c r="T307" s="9"/>
      <x:c r="U307" s="9"/>
      <x:c r="V307" s="9"/>
      <x:c r="W307" s="9" t="str">
        <x:v>None — independent exact training recreation</x:v>
      </x:c>
      <x:c r="X307" s="10"/>
      <x:c r="Y307" s="10"/>
      <x:c r="Z307" s="9"/>
      <x:c r="AA307" s="9" t="str">
        <x:v>L3</x:v>
      </x:c>
      <x:c r="AB307" s="9" t="str">
        <x:v>first from right</x:v>
      </x:c>
      <x:c r="AC307" s="9"/>
      <x:c r="AD307" s="9"/>
      <x:c r="AE307" s="9"/>
      <x:c r="AF307" s="9"/>
      <x:c r="AG307" s="9"/>
      <x:c r="AH307" s="9"/>
      <x:c r="AI307" s="11"/>
      <x:c r="AJ307" s="9"/>
      <x:c r="AK307" s="9" t="str">
        <x:v>Eval_Ordinal_Reference_Ordering.xlsm</x:v>
      </x:c>
      <x:c r="AL307" s="9" t="str">
        <x:v>GR00T visual only Results</x:v>
      </x:c>
      <x:c r="AM307" s="9" t="n">
        <x:v>7</x:v>
      </x:c>
      <x:c r="AN307" s="9" t="n">
        <x:v>7</x:v>
      </x:c>
    </x:row>
    <x:row r="308">
      <x:c r="A308" s="9" t="str">
        <x:v>Failure</x:v>
      </x:c>
      <x:c r="B308" s="9" t="str">
        <x:v>Ordinal Reference Ordering</x:v>
      </x:c>
      <x:c r="C308" s="10" t="n">
        <x:v>6</x:v>
      </x:c>
      <x:c r="D308" s="9" t="str">
        <x:v>Put the object that is third from the left in the bowl.</x:v>
      </x:c>
      <x:c r="E308" s="9" t="str">
        <x:v>L1: green highlighter, L2: blue tape ball, L3: yellow pen</x:v>
      </x:c>
      <x:c r="F308" s="9" t="str">
        <x:v>yellow pen</x:v>
      </x:c>
      <x:c r="G308" s="9" t="str">
        <x:v>picked tape ball</x:v>
      </x:c>
      <x:c r="H308" s="9" t="str">
        <x:v>In-distribution concept baseline</x:v>
      </x:c>
      <x:c r="I308" s="9" t="str">
        <x:v>ID-EXACT07</x:v>
      </x:c>
      <x:c r="J308" s="9" t="str">
        <x:v>Exact training recreation — source episode 784</x:v>
      </x:c>
      <x:c r="K308" s="9"/>
      <x:c r="L308" s="9"/>
      <x:c r="M308" s="9"/>
      <x:c r="N308" s="9" t="str">
        <x:v>1 — In-distribution baselines</x:v>
      </x:c>
      <x:c r="O308" s="9" t="str">
        <x:v>Independently recreate the prompt and ordered object list from training episode 784; do not reuse the preceding baseline scene.</x:v>
      </x:c>
      <x:c r="P308" s="9" t="str">
        <x:v>Exact final prompt and complete left-to-right object order from explicit training episode 784: green highlighter | blue tape ball | yellow pen.</x:v>
      </x:c>
      <x:c r="Q308" s="9"/>
      <x:c r="R308" s="10" t="n">
        <x:v>3</x:v>
      </x:c>
      <x:c r="S308" s="10"/>
      <x:c r="T308" s="9"/>
      <x:c r="U308" s="9"/>
      <x:c r="V308" s="9"/>
      <x:c r="W308" s="9" t="str">
        <x:v>None — independent exact training recreation</x:v>
      </x:c>
      <x:c r="X308" s="10"/>
      <x:c r="Y308" s="10"/>
      <x:c r="Z308" s="9"/>
      <x:c r="AA308" s="9" t="str">
        <x:v>L3</x:v>
      </x:c>
      <x:c r="AB308" s="9" t="str">
        <x:v>third from left</x:v>
      </x:c>
      <x:c r="AC308" s="9"/>
      <x:c r="AD308" s="9"/>
      <x:c r="AE308" s="9"/>
      <x:c r="AF308" s="9"/>
      <x:c r="AG308" s="9"/>
      <x:c r="AH308" s="9"/>
      <x:c r="AI308" s="11"/>
      <x:c r="AJ308" s="9"/>
      <x:c r="AK308" s="9" t="str">
        <x:v>Eval_Ordinal_Reference_Ordering.xlsm</x:v>
      </x:c>
      <x:c r="AL308" s="9" t="str">
        <x:v>GR00T visual only Results</x:v>
      </x:c>
      <x:c r="AM308" s="9" t="n">
        <x:v>8</x:v>
      </x:c>
      <x:c r="AN308" s="9" t="n">
        <x:v>8</x:v>
      </x:c>
    </x:row>
    <x:row r="309">
      <x:c r="A309" s="9" t="str">
        <x:v>Success</x:v>
      </x:c>
      <x:c r="B309" s="9" t="str">
        <x:v>Ordinal Reference Ordering</x:v>
      </x:c>
      <x:c r="C309" s="10" t="n">
        <x:v>7</x:v>
      </x:c>
      <x:c r="D309" s="9" t="str">
        <x:v>Put the first object from the left in the bowl.</x:v>
      </x:c>
      <x:c r="E309" s="9" t="str">
        <x:v>L1: green highlighter, L2: airplane toy with propellers, L3: blue tape ball</x:v>
      </x:c>
      <x:c r="F309" s="9" t="str">
        <x:v>green highlighter</x:v>
      </x:c>
      <x:c r="G309" s="9" t="str">
        <x:v>succeeded reasoning; picked the green highlighter badly at first and dropped it and then recovered</x:v>
      </x:c>
      <x:c r="H309" s="9" t="str">
        <x:v>In-distribution concept baseline</x:v>
      </x:c>
      <x:c r="I309" s="9" t="str">
        <x:v>ID-EXACT08</x:v>
      </x:c>
      <x:c r="J309" s="9" t="str">
        <x:v>Exact training recreation — source episode 706</x:v>
      </x:c>
      <x:c r="K309" s="9"/>
      <x:c r="L309" s="9"/>
      <x:c r="M309" s="9"/>
      <x:c r="N309" s="9" t="str">
        <x:v>1 — In-distribution baselines</x:v>
      </x:c>
      <x:c r="O309" s="9" t="str">
        <x:v>Independently recreate the prompt and ordered object list from training episode 706; do not reuse the preceding baseline scene.</x:v>
      </x:c>
      <x:c r="P309" s="9" t="str">
        <x:v>Exact final prompt and complete left-to-right object order from explicit training episode 706: green highlighter | airplane toy with propellers | blue tape ball.</x:v>
      </x:c>
      <x:c r="Q309" s="9"/>
      <x:c r="R309" s="10" t="n">
        <x:v>3</x:v>
      </x:c>
      <x:c r="S309" s="10"/>
      <x:c r="T309" s="9"/>
      <x:c r="U309" s="9"/>
      <x:c r="V309" s="9"/>
      <x:c r="W309" s="9" t="str">
        <x:v>None — independent exact training recreation</x:v>
      </x:c>
      <x:c r="X309" s="10"/>
      <x:c r="Y309" s="10"/>
      <x:c r="Z309" s="9"/>
      <x:c r="AA309" s="9" t="str">
        <x:v>L1</x:v>
      </x:c>
      <x:c r="AB309" s="9" t="str">
        <x:v>first from left</x:v>
      </x:c>
      <x:c r="AC309" s="9"/>
      <x:c r="AD309" s="9"/>
      <x:c r="AE309" s="9"/>
      <x:c r="AF309" s="9"/>
      <x:c r="AG309" s="9"/>
      <x:c r="AH309" s="9"/>
      <x:c r="AI309" s="11"/>
      <x:c r="AJ309" s="9"/>
      <x:c r="AK309" s="9" t="str">
        <x:v>Eval_Ordinal_Reference_Ordering.xlsm</x:v>
      </x:c>
      <x:c r="AL309" s="9" t="str">
        <x:v>GR00T visual only Results</x:v>
      </x:c>
      <x:c r="AM309" s="9" t="n">
        <x:v>9</x:v>
      </x:c>
      <x:c r="AN309" s="9" t="n">
        <x:v>9</x:v>
      </x:c>
    </x:row>
    <x:row r="310">
      <x:c r="A310" s="9" t="str">
        <x:v>Failure</x:v>
      </x:c>
      <x:c r="B310" s="9" t="str">
        <x:v>Ordinal Reference Ordering</x:v>
      </x:c>
      <x:c r="C310" s="10" t="n">
        <x:v>8</x:v>
      </x:c>
      <x:c r="D310" s="9" t="str">
        <x:v>Put the fourth object from the right in the bowl.</x:v>
      </x:c>
      <x:c r="E310" s="9" t="str">
        <x:v>L1: blue tape ball, L2: green highlighter, L3: airplane toy with propellers, L4: yellow pen</x:v>
      </x:c>
      <x:c r="F310" s="9" t="str">
        <x:v>blue tape ball</x:v>
      </x:c>
      <x:c r="G310" s="9" t="str">
        <x:v>went for airplane toy but couldn't get it; knocked it out of range</x:v>
      </x:c>
      <x:c r="H310" s="9" t="str">
        <x:v>In-distribution concept baseline</x:v>
      </x:c>
      <x:c r="I310" s="9" t="str">
        <x:v>ID-EXACT09</x:v>
      </x:c>
      <x:c r="J310" s="9" t="str">
        <x:v>Exact training recreation — source episode 652</x:v>
      </x:c>
      <x:c r="K310" s="9"/>
      <x:c r="L310" s="9"/>
      <x:c r="M310" s="9"/>
      <x:c r="N310" s="9" t="str">
        <x:v>1 — In-distribution baselines</x:v>
      </x:c>
      <x:c r="O310" s="9" t="str">
        <x:v>Independently recreate the prompt and ordered object list from training episode 652; do not reuse the preceding baseline scene.</x:v>
      </x:c>
      <x:c r="P310" s="9" t="str">
        <x:v>Exact final prompt and complete left-to-right object order from explicit training episode 652: blue tape ball | green highlighter | airplane toy with propellers | yellow pen.</x:v>
      </x:c>
      <x:c r="Q310" s="9"/>
      <x:c r="R310" s="10" t="n">
        <x:v>4</x:v>
      </x:c>
      <x:c r="S310" s="10"/>
      <x:c r="T310" s="9"/>
      <x:c r="U310" s="9"/>
      <x:c r="V310" s="9"/>
      <x:c r="W310" s="9" t="str">
        <x:v>None — independent exact training recreation</x:v>
      </x:c>
      <x:c r="X310" s="10"/>
      <x:c r="Y310" s="10"/>
      <x:c r="Z310" s="9"/>
      <x:c r="AA310" s="9" t="str">
        <x:v>L1</x:v>
      </x:c>
      <x:c r="AB310" s="9" t="str">
        <x:v>fourth from right</x:v>
      </x:c>
      <x:c r="AC310" s="9"/>
      <x:c r="AD310" s="9"/>
      <x:c r="AE310" s="9"/>
      <x:c r="AF310" s="9"/>
      <x:c r="AG310" s="9"/>
      <x:c r="AH310" s="9"/>
      <x:c r="AI310" s="11"/>
      <x:c r="AJ310" s="9"/>
      <x:c r="AK310" s="9" t="str">
        <x:v>Eval_Ordinal_Reference_Ordering.xlsm</x:v>
      </x:c>
      <x:c r="AL310" s="9" t="str">
        <x:v>GR00T visual only Results</x:v>
      </x:c>
      <x:c r="AM310" s="9" t="n">
        <x:v>10</x:v>
      </x:c>
      <x:c r="AN310" s="9" t="n">
        <x:v>10</x:v>
      </x:c>
    </x:row>
    <x:row r="311">
      <x:c r="A311" s="9" t="str">
        <x:v>Failure</x:v>
      </x:c>
      <x:c r="B311" s="9" t="str">
        <x:v>Ordinal Reference Ordering</x:v>
      </x:c>
      <x:c r="C311" s="10" t="n">
        <x:v>9</x:v>
      </x:c>
      <x:c r="D311" s="9" t="str">
        <x:v>Put the second object from the left in the bowl.</x:v>
      </x:c>
      <x:c r="E311" s="9" t="str">
        <x:v>L1: blue tape ball, L2: airplane toy with propellers, L3: yellow pen, L4: green highlighter</x:v>
      </x:c>
      <x:c r="F311" s="9" t="str">
        <x:v>airplane toy with propellers</x:v>
      </x:c>
      <x:c r="G311" s="9" t="str">
        <x:v>picked the yellow pen</x:v>
      </x:c>
      <x:c r="H311" s="9" t="str">
        <x:v>In-distribution concept baseline</x:v>
      </x:c>
      <x:c r="I311" s="9" t="str">
        <x:v>ID-EXACT10</x:v>
      </x:c>
      <x:c r="J311" s="9" t="str">
        <x:v>Exact training recreation — source episode 614</x:v>
      </x:c>
      <x:c r="K311" s="9"/>
      <x:c r="L311" s="9"/>
      <x:c r="M311" s="9"/>
      <x:c r="N311" s="9" t="str">
        <x:v>1 — In-distribution baselines</x:v>
      </x:c>
      <x:c r="O311" s="9" t="str">
        <x:v>Independently recreate the prompt and ordered object list from training episode 614; do not reuse the preceding baseline scene.</x:v>
      </x:c>
      <x:c r="P311" s="9" t="str">
        <x:v>Exact final prompt and complete left-to-right object order from explicit training episode 614: blue tape ball | airplane toy with propellers | yellow pen | green highlighter.</x:v>
      </x:c>
      <x:c r="Q311" s="9"/>
      <x:c r="R311" s="10" t="n">
        <x:v>4</x:v>
      </x:c>
      <x:c r="S311" s="10"/>
      <x:c r="T311" s="9"/>
      <x:c r="U311" s="9"/>
      <x:c r="V311" s="9"/>
      <x:c r="W311" s="9" t="str">
        <x:v>None — independent exact training recreation</x:v>
      </x:c>
      <x:c r="X311" s="10"/>
      <x:c r="Y311" s="10"/>
      <x:c r="Z311" s="9"/>
      <x:c r="AA311" s="9" t="str">
        <x:v>L2</x:v>
      </x:c>
      <x:c r="AB311" s="9" t="str">
        <x:v>second from left</x:v>
      </x:c>
      <x:c r="AC311" s="9"/>
      <x:c r="AD311" s="9"/>
      <x:c r="AE311" s="9"/>
      <x:c r="AF311" s="9"/>
      <x:c r="AG311" s="9"/>
      <x:c r="AH311" s="9"/>
      <x:c r="AI311" s="11"/>
      <x:c r="AJ311" s="9"/>
      <x:c r="AK311" s="9" t="str">
        <x:v>Eval_Ordinal_Reference_Ordering.xlsm</x:v>
      </x:c>
      <x:c r="AL311" s="9" t="str">
        <x:v>GR00T visual only Results</x:v>
      </x:c>
      <x:c r="AM311" s="9" t="n">
        <x:v>11</x:v>
      </x:c>
      <x:c r="AN311" s="9" t="n">
        <x:v>11</x:v>
      </x:c>
    </x:row>
    <x:row r="312">
      <x:c r="A312" s="9" t="str">
        <x:v>Failure</x:v>
      </x:c>
      <x:c r="B312" s="9" t="str">
        <x:v>Ordinal Reference Ordering</x:v>
      </x:c>
      <x:c r="C312" s="10" t="n">
        <x:v>10</x:v>
      </x:c>
      <x:c r="D312" s="9" t="str">
        <x:v>Pick up the object that is second from the left and place it in the bowl.</x:v>
      </x:c>
      <x:c r="E312" s="9" t="str">
        <x:v>L1: blue tape ball, L2: yellow pen, L3: green highlighter, L4: airplane toy with propellers</x:v>
      </x:c>
      <x:c r="F312" s="9" t="str">
        <x:v>yellow pen</x:v>
      </x:c>
      <x:c r="G312" s="9" t="str">
        <x:v>succeeded reasoning but picked the yellow pen from the edge and dropped it; couldn't recover</x:v>
      </x:c>
      <x:c r="H312" s="9" t="str">
        <x:v>In-distribution concept baseline</x:v>
      </x:c>
      <x:c r="I312" s="9" t="str">
        <x:v>ID-EXACT11</x:v>
      </x:c>
      <x:c r="J312" s="9" t="str">
        <x:v>Exact training recreation — source episode 765</x:v>
      </x:c>
      <x:c r="K312" s="9"/>
      <x:c r="L312" s="9"/>
      <x:c r="M312" s="9"/>
      <x:c r="N312" s="9" t="str">
        <x:v>1 — In-distribution baselines</x:v>
      </x:c>
      <x:c r="O312" s="9" t="str">
        <x:v>Independently recreate the prompt and ordered object list from training episode 765; do not reuse the preceding baseline scene.</x:v>
      </x:c>
      <x:c r="P312" s="9" t="str">
        <x:v>Exact final prompt and complete left-to-right object order from explicit training episode 765: blue tape ball | yellow pen | green highlighter | airplane toy with propellers.</x:v>
      </x:c>
      <x:c r="Q312" s="9"/>
      <x:c r="R312" s="10" t="n">
        <x:v>4</x:v>
      </x:c>
      <x:c r="S312" s="10"/>
      <x:c r="T312" s="9"/>
      <x:c r="U312" s="9"/>
      <x:c r="V312" s="9"/>
      <x:c r="W312" s="9" t="str">
        <x:v>None — independent exact training recreation</x:v>
      </x:c>
      <x:c r="X312" s="10"/>
      <x:c r="Y312" s="10"/>
      <x:c r="Z312" s="9"/>
      <x:c r="AA312" s="9" t="str">
        <x:v>L2</x:v>
      </x:c>
      <x:c r="AB312" s="9" t="str">
        <x:v>second from left</x:v>
      </x:c>
      <x:c r="AC312" s="9"/>
      <x:c r="AD312" s="9"/>
      <x:c r="AE312" s="9"/>
      <x:c r="AF312" s="9"/>
      <x:c r="AG312" s="9"/>
      <x:c r="AH312" s="9"/>
      <x:c r="AI312" s="11"/>
      <x:c r="AJ312" s="9"/>
      <x:c r="AK312" s="9" t="str">
        <x:v>Eval_Ordinal_Reference_Ordering.xlsm</x:v>
      </x:c>
      <x:c r="AL312" s="9" t="str">
        <x:v>GR00T visual only Results</x:v>
      </x:c>
      <x:c r="AM312" s="9" t="n">
        <x:v>12</x:v>
      </x:c>
      <x:c r="AN312" s="9" t="n">
        <x:v>12</x:v>
      </x:c>
    </x:row>
    <x:row r="313">
      <x:c r="A313" s="9" t="str">
        <x:v>Failure</x:v>
      </x:c>
      <x:c r="B313" s="9" t="str">
        <x:v>Ordinal Reference Ordering</x:v>
      </x:c>
      <x:c r="C313" s="10" t="n">
        <x:v>11</x:v>
      </x:c>
      <x:c r="D313" s="9" t="str">
        <x:v>Pick up the object that is fourth from the right and place it in the bowl.</x:v>
      </x:c>
      <x:c r="E313" s="9" t="str">
        <x:v>L1: green highlighter, L2: airplane toy with propellers, L3: yellow pen, L4: blue tape ball</x:v>
      </x:c>
      <x:c r="F313" s="9" t="str">
        <x:v>green highlighter</x:v>
      </x:c>
      <x:c r="G313" s="9" t="str">
        <x:v>picked airplane toy</x:v>
      </x:c>
      <x:c r="H313" s="9" t="str">
        <x:v>In-distribution concept baseline</x:v>
      </x:c>
      <x:c r="I313" s="9" t="str">
        <x:v>ID-EXACT12</x:v>
      </x:c>
      <x:c r="J313" s="9" t="str">
        <x:v>Exact training recreation — source episode 701</x:v>
      </x:c>
      <x:c r="K313" s="9"/>
      <x:c r="L313" s="9"/>
      <x:c r="M313" s="9"/>
      <x:c r="N313" s="9" t="str">
        <x:v>1 — In-distribution baselines</x:v>
      </x:c>
      <x:c r="O313" s="9" t="str">
        <x:v>Independently recreate the prompt and ordered object list from training episode 701; do not reuse the preceding baseline scene.</x:v>
      </x:c>
      <x:c r="P313" s="9" t="str">
        <x:v>Exact final prompt and complete left-to-right object order from explicit training episode 701: green highlighter | airplane toy with propellers | yellow pen | blue tape ball.</x:v>
      </x:c>
      <x:c r="Q313" s="9"/>
      <x:c r="R313" s="10" t="n">
        <x:v>4</x:v>
      </x:c>
      <x:c r="S313" s="10"/>
      <x:c r="T313" s="9"/>
      <x:c r="U313" s="9"/>
      <x:c r="V313" s="9"/>
      <x:c r="W313" s="9" t="str">
        <x:v>None — independent exact training recreation</x:v>
      </x:c>
      <x:c r="X313" s="10"/>
      <x:c r="Y313" s="10"/>
      <x:c r="Z313" s="9"/>
      <x:c r="AA313" s="9" t="str">
        <x:v>L1</x:v>
      </x:c>
      <x:c r="AB313" s="9" t="str">
        <x:v>fourth from right</x:v>
      </x:c>
      <x:c r="AC313" s="9"/>
      <x:c r="AD313" s="9"/>
      <x:c r="AE313" s="9"/>
      <x:c r="AF313" s="9"/>
      <x:c r="AG313" s="9"/>
      <x:c r="AH313" s="9"/>
      <x:c r="AI313" s="11"/>
      <x:c r="AJ313" s="9"/>
      <x:c r="AK313" s="9" t="str">
        <x:v>Eval_Ordinal_Reference_Ordering.xlsm</x:v>
      </x:c>
      <x:c r="AL313" s="9" t="str">
        <x:v>GR00T visual only Results</x:v>
      </x:c>
      <x:c r="AM313" s="9" t="n">
        <x:v>13</x:v>
      </x:c>
      <x:c r="AN313" s="9" t="n">
        <x:v>13</x:v>
      </x:c>
    </x:row>
    <x:row r="314">
      <x:c r="A314" s="9" t="str">
        <x:v>Failure</x:v>
      </x:c>
      <x:c r="B314" s="9" t="str">
        <x:v>Ordinal Reference Ordering</x:v>
      </x:c>
      <x:c r="C314" s="10" t="n">
        <x:v>12</x:v>
      </x:c>
      <x:c r="D314" s="9" t="str">
        <x:v>Move the first item counted from the left into the bowl.</x:v>
      </x:c>
      <x:c r="E314" s="9" t="str">
        <x:v>L1: yellow pen, L2: airplane toy with propellers, L3: blue tape ball, L4: green highlighter</x:v>
      </x:c>
      <x:c r="F314" s="9" t="str">
        <x:v>yellow pen</x:v>
      </x:c>
      <x:c r="G314" s="9" t="str">
        <x:v>picked airplane toy</x:v>
      </x:c>
      <x:c r="H314" s="9" t="str">
        <x:v>In-distribution concept baseline</x:v>
      </x:c>
      <x:c r="I314" s="9" t="str">
        <x:v>ID-EXACT13</x:v>
      </x:c>
      <x:c r="J314" s="9" t="str">
        <x:v>Exact training recreation — source episode 750</x:v>
      </x:c>
      <x:c r="K314" s="9"/>
      <x:c r="L314" s="9"/>
      <x:c r="M314" s="9"/>
      <x:c r="N314" s="9" t="str">
        <x:v>1 — In-distribution baselines</x:v>
      </x:c>
      <x:c r="O314" s="9" t="str">
        <x:v>Independently recreate the prompt and ordered object list from training episode 750; do not reuse the preceding baseline scene.</x:v>
      </x:c>
      <x:c r="P314" s="9" t="str">
        <x:v>Exact final prompt and complete left-to-right object order from explicit training episode 750: yellow pen | airplane toy with propellers | blue tape ball | green highlighter.</x:v>
      </x:c>
      <x:c r="Q314" s="9"/>
      <x:c r="R314" s="10" t="n">
        <x:v>4</x:v>
      </x:c>
      <x:c r="S314" s="10"/>
      <x:c r="T314" s="9"/>
      <x:c r="U314" s="9"/>
      <x:c r="V314" s="9"/>
      <x:c r="W314" s="9" t="str">
        <x:v>None — independent exact training recreation</x:v>
      </x:c>
      <x:c r="X314" s="10"/>
      <x:c r="Y314" s="10"/>
      <x:c r="Z314" s="9"/>
      <x:c r="AA314" s="9" t="str">
        <x:v>L1</x:v>
      </x:c>
      <x:c r="AB314" s="9" t="str">
        <x:v>first from left</x:v>
      </x:c>
      <x:c r="AC314" s="9"/>
      <x:c r="AD314" s="9"/>
      <x:c r="AE314" s="9"/>
      <x:c r="AF314" s="9"/>
      <x:c r="AG314" s="9"/>
      <x:c r="AH314" s="9"/>
      <x:c r="AI314" s="11"/>
      <x:c r="AJ314" s="9"/>
      <x:c r="AK314" s="9" t="str">
        <x:v>Eval_Ordinal_Reference_Ordering.xlsm</x:v>
      </x:c>
      <x:c r="AL314" s="9" t="str">
        <x:v>GR00T visual only Results</x:v>
      </x:c>
      <x:c r="AM314" s="9" t="n">
        <x:v>14</x:v>
      </x:c>
      <x:c r="AN314" s="9" t="n">
        <x:v>14</x:v>
      </x:c>
    </x:row>
    <x:row r="315">
      <x:c r="A315" s="9" t="str">
        <x:v>Failure</x:v>
      </x:c>
      <x:c r="B315" s="9" t="str">
        <x:v>Ordinal Reference Ordering</x:v>
      </x:c>
      <x:c r="C315" s="10" t="n">
        <x:v>13</x:v>
      </x:c>
      <x:c r="D315" s="9" t="str">
        <x:v>Move the third item counted from the right into the bowl.</x:v>
      </x:c>
      <x:c r="E315" s="9" t="str">
        <x:v>L1: blue tape ball, L2: green highlighter, L3: yellow pen, L4: airplane toy with propellers</x:v>
      </x:c>
      <x:c r="F315" s="9" t="str">
        <x:v>green highlighter</x:v>
      </x:c>
      <x:c r="G315" s="9" t="str">
        <x:v>went for the yellow pen but didn't grab it</x:v>
      </x:c>
      <x:c r="H315" s="9" t="str">
        <x:v>In-distribution concept baseline</x:v>
      </x:c>
      <x:c r="I315" s="9" t="str">
        <x:v>ID-EXACT14</x:v>
      </x:c>
      <x:c r="J315" s="9" t="str">
        <x:v>Exact training recreation — source episode 716</x:v>
      </x:c>
      <x:c r="K315" s="9"/>
      <x:c r="L315" s="9"/>
      <x:c r="M315" s="9"/>
      <x:c r="N315" s="9" t="str">
        <x:v>1 — In-distribution baselines</x:v>
      </x:c>
      <x:c r="O315" s="9" t="str">
        <x:v>Independently recreate the prompt and ordered object list from training episode 716; do not reuse the preceding baseline scene.</x:v>
      </x:c>
      <x:c r="P315" s="9" t="str">
        <x:v>Exact final prompt and complete left-to-right object order from explicit training episode 716: blue tape ball | green highlighter | yellow pen | airplane toy with propellers.</x:v>
      </x:c>
      <x:c r="Q315" s="9"/>
      <x:c r="R315" s="10" t="n">
        <x:v>4</x:v>
      </x:c>
      <x:c r="S315" s="10"/>
      <x:c r="T315" s="9"/>
      <x:c r="U315" s="9"/>
      <x:c r="V315" s="9"/>
      <x:c r="W315" s="9" t="str">
        <x:v>None — independent exact training recreation</x:v>
      </x:c>
      <x:c r="X315" s="10"/>
      <x:c r="Y315" s="10"/>
      <x:c r="Z315" s="9"/>
      <x:c r="AA315" s="9" t="str">
        <x:v>L2</x:v>
      </x:c>
      <x:c r="AB315" s="9" t="str">
        <x:v>third from right</x:v>
      </x:c>
      <x:c r="AC315" s="9"/>
      <x:c r="AD315" s="9"/>
      <x:c r="AE315" s="9"/>
      <x:c r="AF315" s="9"/>
      <x:c r="AG315" s="9"/>
      <x:c r="AH315" s="9"/>
      <x:c r="AI315" s="11"/>
      <x:c r="AJ315" s="9"/>
      <x:c r="AK315" s="9" t="str">
        <x:v>Eval_Ordinal_Reference_Ordering.xlsm</x:v>
      </x:c>
      <x:c r="AL315" s="9" t="str">
        <x:v>GR00T visual only Results</x:v>
      </x:c>
      <x:c r="AM315" s="9" t="n">
        <x:v>15</x:v>
      </x:c>
      <x:c r="AN315" s="9" t="n">
        <x:v>15</x:v>
      </x:c>
    </x:row>
    <x:row r="316">
      <x:c r="A316" s="9" t="str">
        <x:v>Success</x:v>
      </x:c>
      <x:c r="B316" s="9" t="str">
        <x:v>Ordinal Reference Ordering</x:v>
      </x:c>
      <x:c r="C316" s="10" t="n">
        <x:v>14</x:v>
      </x:c>
      <x:c r="D316" s="9" t="str">
        <x:v>Move the fourth from the left object into the bowl.</x:v>
      </x:c>
      <x:c r="E316" s="9" t="str">
        <x:v>L1: airplane toy with propellers, L2: blue tape ball, L3: yellow pen, L4: green highlighter</x:v>
      </x:c>
      <x:c r="F316" s="9" t="str">
        <x:v>green highlighter</x:v>
      </x:c>
      <x:c r="G316" s="9"/>
      <x:c r="H316" s="9" t="str">
        <x:v>In-distribution concept baseline</x:v>
      </x:c>
      <x:c r="I316" s="9" t="str">
        <x:v>ID-EXACT15</x:v>
      </x:c>
      <x:c r="J316" s="9" t="str">
        <x:v>Exact training recreation — source episode 738</x:v>
      </x:c>
      <x:c r="K316" s="9"/>
      <x:c r="L316" s="9"/>
      <x:c r="M316" s="9"/>
      <x:c r="N316" s="9" t="str">
        <x:v>1 — In-distribution baselines</x:v>
      </x:c>
      <x:c r="O316" s="9" t="str">
        <x:v>Independently recreate the prompt and ordered object list from training episode 738; do not reuse the preceding baseline scene.</x:v>
      </x:c>
      <x:c r="P316" s="9" t="str">
        <x:v>Exact final prompt and complete left-to-right object order from explicit training episode 738: airplane toy with propellers | blue tape ball | yellow pen | green highlighter.</x:v>
      </x:c>
      <x:c r="Q316" s="9"/>
      <x:c r="R316" s="10" t="n">
        <x:v>4</x:v>
      </x:c>
      <x:c r="S316" s="10"/>
      <x:c r="T316" s="9"/>
      <x:c r="U316" s="9"/>
      <x:c r="V316" s="9"/>
      <x:c r="W316" s="9" t="str">
        <x:v>None — independent exact training recreation</x:v>
      </x:c>
      <x:c r="X316" s="10"/>
      <x:c r="Y316" s="10"/>
      <x:c r="Z316" s="9"/>
      <x:c r="AA316" s="9" t="str">
        <x:v>L4</x:v>
      </x:c>
      <x:c r="AB316" s="9" t="str">
        <x:v>fourth from left</x:v>
      </x:c>
      <x:c r="AC316" s="9"/>
      <x:c r="AD316" s="9"/>
      <x:c r="AE316" s="9"/>
      <x:c r="AF316" s="9"/>
      <x:c r="AG316" s="9"/>
      <x:c r="AH316" s="9"/>
      <x:c r="AI316" s="11"/>
      <x:c r="AJ316" s="9"/>
      <x:c r="AK316" s="9" t="str">
        <x:v>Eval_Ordinal_Reference_Ordering.xlsm</x:v>
      </x:c>
      <x:c r="AL316" s="9" t="str">
        <x:v>GR00T visual only Results</x:v>
      </x:c>
      <x:c r="AM316" s="9" t="n">
        <x:v>16</x:v>
      </x:c>
      <x:c r="AN316" s="9" t="n">
        <x:v>16</x:v>
      </x:c>
    </x:row>
    <x:row r="317">
      <x:c r="A317" s="9" t="str">
        <x:v>Failure</x:v>
      </x:c>
      <x:c r="B317" s="9" t="str">
        <x:v>Ordinal Reference Ordering</x:v>
      </x:c>
      <x:c r="C317" s="10" t="n">
        <x:v>15</x:v>
      </x:c>
      <x:c r="D317" s="9" t="str">
        <x:v>Move the second from the right object into the bowl.</x:v>
      </x:c>
      <x:c r="E317" s="9" t="str">
        <x:v>L1: green highlighter, L2: blue tape ball, L3: airplane toy with propellers, L4: yellow pen</x:v>
      </x:c>
      <x:c r="F317" s="9" t="str">
        <x:v>airplane toy with propellers</x:v>
      </x:c>
      <x:c r="G317" s="9" t="str">
        <x:v>picked the yellow pen</x:v>
      </x:c>
      <x:c r="H317" s="9" t="str">
        <x:v>In-distribution concept baseline</x:v>
      </x:c>
      <x:c r="I317" s="9" t="str">
        <x:v>ID-EXACT16</x:v>
      </x:c>
      <x:c r="J317" s="9" t="str">
        <x:v>Exact training recreation — source episode 627</x:v>
      </x:c>
      <x:c r="K317" s="9"/>
      <x:c r="L317" s="9"/>
      <x:c r="M317" s="9"/>
      <x:c r="N317" s="9" t="str">
        <x:v>1 — In-distribution baselines</x:v>
      </x:c>
      <x:c r="O317" s="9" t="str">
        <x:v>Independently recreate the prompt and ordered object list from training episode 627; do not reuse the preceding baseline scene.</x:v>
      </x:c>
      <x:c r="P317" s="9" t="str">
        <x:v>Exact final prompt and complete left-to-right object order from explicit training episode 627: green highlighter | blue tape ball | airplane toy with propellers | yellow pen.</x:v>
      </x:c>
      <x:c r="Q317" s="9"/>
      <x:c r="R317" s="10" t="n">
        <x:v>4</x:v>
      </x:c>
      <x:c r="S317" s="10"/>
      <x:c r="T317" s="9"/>
      <x:c r="U317" s="9"/>
      <x:c r="V317" s="9"/>
      <x:c r="W317" s="9" t="str">
        <x:v>None — independent exact training recreation</x:v>
      </x:c>
      <x:c r="X317" s="10"/>
      <x:c r="Y317" s="10"/>
      <x:c r="Z317" s="9"/>
      <x:c r="AA317" s="9" t="str">
        <x:v>L3</x:v>
      </x:c>
      <x:c r="AB317" s="9" t="str">
        <x:v>second from right</x:v>
      </x:c>
      <x:c r="AC317" s="9"/>
      <x:c r="AD317" s="9"/>
      <x:c r="AE317" s="9"/>
      <x:c r="AF317" s="9"/>
      <x:c r="AG317" s="9"/>
      <x:c r="AH317" s="9"/>
      <x:c r="AI317" s="11"/>
      <x:c r="AJ317" s="9"/>
      <x:c r="AK317" s="9" t="str">
        <x:v>Eval_Ordinal_Reference_Ordering.xlsm</x:v>
      </x:c>
      <x:c r="AL317" s="9" t="str">
        <x:v>GR00T visual only Results</x:v>
      </x:c>
      <x:c r="AM317" s="9" t="n">
        <x:v>17</x:v>
      </x:c>
      <x:c r="AN317" s="9" t="n">
        <x:v>17</x:v>
      </x:c>
    </x:row>
    <x:row r="318">
      <x:c r="A318" s="9" t="str">
        <x:v>Failure</x:v>
      </x:c>
      <x:c r="B318" s="9" t="str">
        <x:v>Ordinal Reference Ordering</x:v>
      </x:c>
      <x:c r="C318" s="10" t="n">
        <x:v>16</x:v>
      </x:c>
      <x:c r="D318" s="9" t="str">
        <x:v>Move the third from the left object into the bowl.</x:v>
      </x:c>
      <x:c r="E318" s="9" t="str">
        <x:v>L1: green highlighter, L2: blue tape ball, L3: yellow pen, L4: airplane toy with propellers</x:v>
      </x:c>
      <x:c r="F318" s="9" t="str">
        <x:v>yellow pen</x:v>
      </x:c>
      <x:c r="G318" s="9" t="str">
        <x:v>picked airplane toy; hesitated for a long time before taking it to the bowl</x:v>
      </x:c>
      <x:c r="H318" s="9" t="str">
        <x:v>In-distribution concept baseline</x:v>
      </x:c>
      <x:c r="I318" s="9" t="str">
        <x:v>ID-EXACT17</x:v>
      </x:c>
      <x:c r="J318" s="9" t="str">
        <x:v>Exact training recreation — source episode 786</x:v>
      </x:c>
      <x:c r="K318" s="9"/>
      <x:c r="L318" s="9"/>
      <x:c r="M318" s="9"/>
      <x:c r="N318" s="9" t="str">
        <x:v>1 — In-distribution baselines</x:v>
      </x:c>
      <x:c r="O318" s="9" t="str">
        <x:v>Independently recreate the prompt and ordered object list from training episode 786; do not reuse the preceding baseline scene.</x:v>
      </x:c>
      <x:c r="P318" s="9" t="str">
        <x:v>Exact final prompt and complete left-to-right object order from explicit training episode 786: green highlighter | blue tape ball | yellow pen | airplane toy with propellers.</x:v>
      </x:c>
      <x:c r="Q318" s="9"/>
      <x:c r="R318" s="10" t="n">
        <x:v>4</x:v>
      </x:c>
      <x:c r="S318" s="10"/>
      <x:c r="T318" s="9"/>
      <x:c r="U318" s="9"/>
      <x:c r="V318" s="9"/>
      <x:c r="W318" s="9" t="str">
        <x:v>None — independent exact training recreation</x:v>
      </x:c>
      <x:c r="X318" s="10"/>
      <x:c r="Y318" s="10"/>
      <x:c r="Z318" s="9"/>
      <x:c r="AA318" s="9" t="str">
        <x:v>L3</x:v>
      </x:c>
      <x:c r="AB318" s="9" t="str">
        <x:v>third from left</x:v>
      </x:c>
      <x:c r="AC318" s="9"/>
      <x:c r="AD318" s="9"/>
      <x:c r="AE318" s="9"/>
      <x:c r="AF318" s="9"/>
      <x:c r="AG318" s="9"/>
      <x:c r="AH318" s="9"/>
      <x:c r="AI318" s="11"/>
      <x:c r="AJ318" s="9"/>
      <x:c r="AK318" s="9" t="str">
        <x:v>Eval_Ordinal_Reference_Ordering.xlsm</x:v>
      </x:c>
      <x:c r="AL318" s="9" t="str">
        <x:v>GR00T visual only Results</x:v>
      </x:c>
      <x:c r="AM318" s="9" t="n">
        <x:v>18</x:v>
      </x:c>
      <x:c r="AN318" s="9" t="n">
        <x:v>18</x:v>
      </x:c>
    </x:row>
    <x:row r="319">
      <x:c r="A319" s="9" t="str">
        <x:v>Success</x:v>
      </x:c>
      <x:c r="B319" s="9" t="str">
        <x:v>Ordinal Reference Ordering</x:v>
      </x:c>
      <x:c r="C319" s="10" t="n">
        <x:v>17</x:v>
      </x:c>
      <x:c r="D319" s="9" t="str">
        <x:v>Move the first from the right object into the bowl.</x:v>
      </x:c>
      <x:c r="E319" s="9" t="str">
        <x:v>L1: airplane toy with propellers, L2: green highlighter, L3: yellow pen, L4: blue tape ball</x:v>
      </x:c>
      <x:c r="F319" s="9" t="str">
        <x:v>blue tape ball</x:v>
      </x:c>
      <x:c r="G319" s="9"/>
      <x:c r="H319" s="9" t="str">
        <x:v>In-distribution concept baseline</x:v>
      </x:c>
      <x:c r="I319" s="9" t="str">
        <x:v>ID-EXACT18</x:v>
      </x:c>
      <x:c r="J319" s="9" t="str">
        <x:v>Exact training recreation — source episode 687</x:v>
      </x:c>
      <x:c r="K319" s="9"/>
      <x:c r="L319" s="9"/>
      <x:c r="M319" s="9"/>
      <x:c r="N319" s="9" t="str">
        <x:v>1 — In-distribution baselines</x:v>
      </x:c>
      <x:c r="O319" s="9" t="str">
        <x:v>Independently recreate the prompt and ordered object list from training episode 687; do not reuse the preceding baseline scene.</x:v>
      </x:c>
      <x:c r="P319" s="9" t="str">
        <x:v>Exact final prompt and complete left-to-right object order from explicit training episode 687: airplane toy with propellers | green highlighter | yellow pen | blue tape ball.</x:v>
      </x:c>
      <x:c r="Q319" s="9"/>
      <x:c r="R319" s="10" t="n">
        <x:v>4</x:v>
      </x:c>
      <x:c r="S319" s="10"/>
      <x:c r="T319" s="9"/>
      <x:c r="U319" s="9"/>
      <x:c r="V319" s="9"/>
      <x:c r="W319" s="9" t="str">
        <x:v>None — independent exact training recreation</x:v>
      </x:c>
      <x:c r="X319" s="10"/>
      <x:c r="Y319" s="10"/>
      <x:c r="Z319" s="9"/>
      <x:c r="AA319" s="9" t="str">
        <x:v>L4</x:v>
      </x:c>
      <x:c r="AB319" s="9" t="str">
        <x:v>first from right</x:v>
      </x:c>
      <x:c r="AC319" s="9"/>
      <x:c r="AD319" s="9"/>
      <x:c r="AE319" s="9"/>
      <x:c r="AF319" s="9"/>
      <x:c r="AG319" s="9"/>
      <x:c r="AH319" s="9"/>
      <x:c r="AI319" s="11"/>
      <x:c r="AJ319" s="9"/>
      <x:c r="AK319" s="9" t="str">
        <x:v>Eval_Ordinal_Reference_Ordering.xlsm</x:v>
      </x:c>
      <x:c r="AL319" s="9" t="str">
        <x:v>GR00T visual only Results</x:v>
      </x:c>
      <x:c r="AM319" s="9" t="n">
        <x:v>19</x:v>
      </x:c>
      <x:c r="AN319" s="9" t="n">
        <x:v>19</x:v>
      </x:c>
    </x:row>
    <x:row r="320">
      <x:c r="A320" s="9" t="str">
        <x:v>Success</x:v>
      </x:c>
      <x:c r="B320" s="9" t="str">
        <x:v>Ordinal Reference Ordering</x:v>
      </x:c>
      <x:c r="C320" s="10" t="n">
        <x:v>18</x:v>
      </x:c>
      <x:c r="D320" s="9" t="str">
        <x:v>Pick up the object that is first from the right and place it in the bowl.</x:v>
      </x:c>
      <x:c r="E320" s="9" t="str">
        <x:v>L1: green highlighter, L2: airplane toy with propellers, L3: yellow pen, L4: blue tape ball</x:v>
      </x:c>
      <x:c r="F320" s="9" t="str">
        <x:v>blue tape ball</x:v>
      </x:c>
      <x:c r="G320" s="9"/>
      <x:c r="H320" s="9" t="str">
        <x:v>In-distribution concept baseline</x:v>
      </x:c>
      <x:c r="I320" s="9" t="str">
        <x:v>ID-EXACT19</x:v>
      </x:c>
      <x:c r="J320" s="9" t="str">
        <x:v>Exact training recreation — source episode 689</x:v>
      </x:c>
      <x:c r="K320" s="9"/>
      <x:c r="L320" s="9"/>
      <x:c r="M320" s="9"/>
      <x:c r="N320" s="9" t="str">
        <x:v>1 — In-distribution baselines</x:v>
      </x:c>
      <x:c r="O320" s="9" t="str">
        <x:v>Independently recreate the prompt and ordered object list from training episode 689; do not reuse the preceding baseline scene.</x:v>
      </x:c>
      <x:c r="P320" s="9" t="str">
        <x:v>Exact final prompt and complete left-to-right object order from explicit training episode 689: green highlighter | airplane toy with propellers | yellow pen | blue tape ball.</x:v>
      </x:c>
      <x:c r="Q320" s="9"/>
      <x:c r="R320" s="10" t="n">
        <x:v>4</x:v>
      </x:c>
      <x:c r="S320" s="10"/>
      <x:c r="T320" s="9"/>
      <x:c r="U320" s="9"/>
      <x:c r="V320" s="9"/>
      <x:c r="W320" s="9" t="str">
        <x:v>None — independent exact training recreation</x:v>
      </x:c>
      <x:c r="X320" s="10"/>
      <x:c r="Y320" s="10"/>
      <x:c r="Z320" s="9"/>
      <x:c r="AA320" s="9" t="str">
        <x:v>L4</x:v>
      </x:c>
      <x:c r="AB320" s="9" t="str">
        <x:v>first from right</x:v>
      </x:c>
      <x:c r="AC320" s="9"/>
      <x:c r="AD320" s="9"/>
      <x:c r="AE320" s="9"/>
      <x:c r="AF320" s="9"/>
      <x:c r="AG320" s="9"/>
      <x:c r="AH320" s="9"/>
      <x:c r="AI320" s="11"/>
      <x:c r="AJ320" s="9"/>
      <x:c r="AK320" s="9" t="str">
        <x:v>Eval_Ordinal_Reference_Ordering.xlsm</x:v>
      </x:c>
      <x:c r="AL320" s="9" t="str">
        <x:v>GR00T visual only Results</x:v>
      </x:c>
      <x:c r="AM320" s="9" t="n">
        <x:v>20</x:v>
      </x:c>
      <x:c r="AN320" s="9" t="n">
        <x:v>20</x:v>
      </x:c>
    </x:row>
    <x:row r="321">
      <x:c r="A321" s="9" t="str">
        <x:v>Success</x:v>
      </x:c>
      <x:c r="B321" s="9" t="str">
        <x:v>Ordinal Reference Ordering</x:v>
      </x:c>
      <x:c r="C321" s="10" t="n">
        <x:v>19</x:v>
      </x:c>
      <x:c r="D321" s="9" t="str">
        <x:v>Pick up the object that is third from the left and place it in the bowl.</x:v>
      </x:c>
      <x:c r="E321" s="9" t="str">
        <x:v>L1: blue tape ball, L2: yellow pen, L3: airplane toy with propellers, L4: green highlighter</x:v>
      </x:c>
      <x:c r="F321" s="9" t="str">
        <x:v>airplane toy with propellers</x:v>
      </x:c>
      <x:c r="G321" s="9"/>
      <x:c r="H321" s="9" t="str">
        <x:v>In-distribution concept baseline</x:v>
      </x:c>
      <x:c r="I321" s="9" t="str">
        <x:v>ID-EXACT20</x:v>
      </x:c>
      <x:c r="J321" s="9" t="str">
        <x:v>Exact training recreation — source episode 626</x:v>
      </x:c>
      <x:c r="K321" s="9"/>
      <x:c r="L321" s="9"/>
      <x:c r="M321" s="9"/>
      <x:c r="N321" s="9" t="str">
        <x:v>1 — In-distribution baselines</x:v>
      </x:c>
      <x:c r="O321" s="9" t="str">
        <x:v>Independently recreate the prompt and ordered object list from training episode 626; do not reuse the preceding baseline scene.</x:v>
      </x:c>
      <x:c r="P321" s="9" t="str">
        <x:v>Exact final prompt and complete left-to-right object order from explicit training episode 626: blue tape ball | yellow pen | airplane toy with propellers | green highlighter.</x:v>
      </x:c>
      <x:c r="Q321" s="9"/>
      <x:c r="R321" s="10" t="n">
        <x:v>4</x:v>
      </x:c>
      <x:c r="S321" s="10"/>
      <x:c r="T321" s="9"/>
      <x:c r="U321" s="9"/>
      <x:c r="V321" s="9"/>
      <x:c r="W321" s="9" t="str">
        <x:v>None — independent exact training recreation</x:v>
      </x:c>
      <x:c r="X321" s="10"/>
      <x:c r="Y321" s="10"/>
      <x:c r="Z321" s="9"/>
      <x:c r="AA321" s="9" t="str">
        <x:v>L3</x:v>
      </x:c>
      <x:c r="AB321" s="9" t="str">
        <x:v>third from left</x:v>
      </x:c>
      <x:c r="AC321" s="9"/>
      <x:c r="AD321" s="9"/>
      <x:c r="AE321" s="9"/>
      <x:c r="AF321" s="9"/>
      <x:c r="AG321" s="9"/>
      <x:c r="AH321" s="9"/>
      <x:c r="AI321" s="11"/>
      <x:c r="AJ321" s="9"/>
      <x:c r="AK321" s="9" t="str">
        <x:v>Eval_Ordinal_Reference_Ordering.xlsm</x:v>
      </x:c>
      <x:c r="AL321" s="9" t="str">
        <x:v>GR00T visual only Results</x:v>
      </x:c>
      <x:c r="AM321" s="9" t="n">
        <x:v>21</x:v>
      </x:c>
      <x:c r="AN321" s="9" t="n">
        <x:v>21</x:v>
      </x:c>
    </x:row>
    <x:row r="322">
      <x:c r="A322" s="9" t="str">
        <x:v>Failure</x:v>
      </x:c>
      <x:c r="B322" s="9" t="str">
        <x:v>Ordinal Reference Ordering</x:v>
      </x:c>
      <x:c r="C322" s="10" t="n">
        <x:v>20</x:v>
      </x:c>
      <x:c r="D322" s="9" t="str">
        <x:v>Pick up the object that is first from the left and place it in the bowl.</x:v>
      </x:c>
      <x:c r="E322" s="9" t="str">
        <x:v>L1: airplane toy with propellers, L2: blue tape ball</x:v>
      </x:c>
      <x:c r="F322" s="9" t="str">
        <x:v>airplane toy with propellers</x:v>
      </x:c>
      <x:c r="G322" s="9" t="str">
        <x:v>picked tape ball</x:v>
      </x:c>
      <x:c r="H322" s="9" t="str">
        <x:v>Concept/compositional transfer</x:v>
      </x:c>
      <x:c r="I322" s="9" t="str">
        <x:v>CT-CF01-N2-01</x:v>
      </x:c>
      <x:c r="J322" s="9" t="str">
        <x:v>Masked cell n=2, L1, airplane toy with propellers</x:v>
      </x:c>
      <x:c r="K322" s="9"/>
      <x:c r="L322" s="9"/>
      <x:c r="M322" s="9"/>
      <x:c r="N322" s="9" t="str">
        <x:v>2 — Full transfer/control/language families</x:v>
      </x:c>
      <x:c r="O322" s="9" t="str">
        <x:v>Build this new scene family exactly from the L1–L4 description and save a first-frame reference image.</x:v>
      </x:c>
      <x:c r="P322" s="9" t="str">
        <x:v>The final manifest masks this exact sequence-length × physical-position × target-identity cell. Both equivalent left- and right-based descriptions are absent for this cell, while the canonical instruction wording occurs elsewhere in training.</x:v>
      </x:c>
      <x:c r="Q322" s="9"/>
      <x:c r="R322" s="10" t="n">
        <x:v>2</x:v>
      </x:c>
      <x:c r="S322" s="10"/>
      <x:c r="T322" s="9"/>
      <x:c r="U322" s="9"/>
      <x:c r="V322" s="9"/>
      <x:c r="W322" s="9" t="str">
        <x:v>CT-CF01-N2-01</x:v>
      </x:c>
      <x:c r="X322" s="10"/>
      <x:c r="Y322" s="10"/>
      <x:c r="Z322" s="9"/>
      <x:c r="AA322" s="9" t="str">
        <x:v>L1</x:v>
      </x:c>
      <x:c r="AB322" s="9" t="str">
        <x:v>first from left</x:v>
      </x:c>
      <x:c r="AC322" s="9"/>
      <x:c r="AD322" s="9"/>
      <x:c r="AE322" s="9"/>
      <x:c r="AF322" s="9"/>
      <x:c r="AG322" s="9"/>
      <x:c r="AH322" s="9"/>
      <x:c r="AI322" s="11"/>
      <x:c r="AJ322" s="9"/>
      <x:c r="AK322" s="9" t="str">
        <x:v>Eval_Ordinal_Reference_Ordering.xlsm</x:v>
      </x:c>
      <x:c r="AL322" s="9" t="str">
        <x:v>GR00T visual only Results</x:v>
      </x:c>
      <x:c r="AM322" s="9" t="n">
        <x:v>22</x:v>
      </x:c>
      <x:c r="AN322" s="9" t="n">
        <x:v>22</x:v>
      </x:c>
    </x:row>
    <x:row r="323">
      <x:c r="A323" s="9" t="str">
        <x:v>Success</x:v>
      </x:c>
      <x:c r="B323" s="9" t="str">
        <x:v>Ordinal Reference Ordering</x:v>
      </x:c>
      <x:c r="C323" s="10" t="n">
        <x:v>21</x:v>
      </x:c>
      <x:c r="D323" s="9" t="str">
        <x:v>Pick up the airplane toy with propellers and place it in the bowl.</x:v>
      </x:c>
      <x:c r="E323" s="9" t="str">
        <x:v>L1: airplane toy with propellers, L2: blue tape ball</x:v>
      </x:c>
      <x:c r="F323" s="9" t="str">
        <x:v>airplane toy with propellers</x:v>
      </x:c>
      <x:c r="G323" s="9"/>
      <x:c r="H323" s="9" t="str">
        <x:v>Matched manipulation control</x:v>
      </x:c>
      <x:c r="I323" s="9" t="str">
        <x:v>CT-CF01-N2-01</x:v>
      </x:c>
      <x:c r="J323" s="9" t="str">
        <x:v>Exact-scene direct control; training prompt from episode 608</x:v>
      </x:c>
      <x:c r="K323" s="9" t="n">
        <x:v>20</x:v>
      </x:c>
      <x:c r="L323" s="9"/>
      <x:c r="M323" s="9"/>
      <x:c r="N323" s="9" t="str">
        <x:v>2 — Full transfer/control/language families</x:v>
      </x:c>
      <x:c r="O323" s="9" t="str">
        <x:v>Return the previously moved object to its marked position. Do not move any other object; only the prompt changes.</x:v>
      </x:c>
      <x:c r="P323" s="9" t="str">
        <x:v>This is the direct-name prompt assigned to the same masked training cell. It tests recognition and manipulation of the exact transfer target in the exact scene without requiring ordinal selection.</x:v>
      </x:c>
      <x:c r="Q323" s="9"/>
      <x:c r="R323" s="10" t="n">
        <x:v>2</x:v>
      </x:c>
      <x:c r="S323" s="10"/>
      <x:c r="T323" s="9"/>
      <x:c r="U323" s="9"/>
      <x:c r="V323" s="9"/>
      <x:c r="W323" s="9" t="str">
        <x:v>CT-CF01-N2-01</x:v>
      </x:c>
      <x:c r="X323" s="10"/>
      <x:c r="Y323" s="10"/>
      <x:c r="Z323" s="9"/>
      <x:c r="AA323" s="9" t="str">
        <x:v>L1</x:v>
      </x:c>
      <x:c r="AB323" s="9" t="str">
        <x:v>Direct-name control</x:v>
      </x:c>
      <x:c r="AC323" s="9"/>
      <x:c r="AD323" s="9"/>
      <x:c r="AE323" s="9"/>
      <x:c r="AF323" s="9"/>
      <x:c r="AG323" s="9"/>
      <x:c r="AH323" s="9"/>
      <x:c r="AI323" s="11"/>
      <x:c r="AJ323" s="9"/>
      <x:c r="AK323" s="9" t="str">
        <x:v>Eval_Ordinal_Reference_Ordering.xlsm</x:v>
      </x:c>
      <x:c r="AL323" s="9" t="str">
        <x:v>GR00T visual only Results</x:v>
      </x:c>
      <x:c r="AM323" s="9" t="n">
        <x:v>23</x:v>
      </x:c>
      <x:c r="AN323" s="9" t="n">
        <x:v>23</x:v>
      </x:c>
    </x:row>
    <x:row r="324">
      <x:c r="A324" s="9" t="str">
        <x:v>Failure</x:v>
      </x:c>
      <x:c r="B324" s="9" t="str">
        <x:v>Ordinal Reference Ordering</x:v>
      </x:c>
      <x:c r="C324" s="10" t="n">
        <x:v>22</x:v>
      </x:c>
      <x:c r="D324" s="9" t="str">
        <x:v>Place the item occupying position first when counted from the left into the bowl.</x:v>
      </x:c>
      <x:c r="E324" s="9" t="str">
        <x:v>L1: airplane toy with propellers, L2: blue tape ball</x:v>
      </x:c>
      <x:c r="F324" s="9" t="str">
        <x:v>airplane toy with propellers</x:v>
      </x:c>
      <x:c r="G324" s="9" t="str">
        <x:v>picked tape ball</x:v>
      </x:c>
      <x:c r="H324" s="9" t="str">
        <x:v>Language robustness</x:v>
      </x:c>
      <x:c r="I324" s="9" t="str">
        <x:v>CT-CF01-N2-01</x:v>
      </x:c>
      <x:c r="J324" s="9" t="str">
        <x:v>Transfer paraphrase</x:v>
      </x:c>
      <x:c r="K324" s="9" t="n">
        <x:v>20</x:v>
      </x:c>
      <x:c r="L324" s="9"/>
      <x:c r="M324" s="9"/>
      <x:c r="N324" s="9" t="str">
        <x:v>2 — Full transfer/control/language families</x:v>
      </x:c>
      <x:c r="O324" s="9" t="str">
        <x:v>Return the previously moved object to its marked position. Do not move any other object; only the prompt changes.</x:v>
      </x:c>
      <x:c r="P324" s="9" t="str">
        <x:v>Exact-scene paraphrase of the referenced canonical transfer row. Exclude this row from the 50-trial primary canonical score.</x:v>
      </x:c>
      <x:c r="Q324" s="9"/>
      <x:c r="R324" s="10" t="n">
        <x:v>2</x:v>
      </x:c>
      <x:c r="S324" s="10"/>
      <x:c r="T324" s="9"/>
      <x:c r="U324" s="9"/>
      <x:c r="V324" s="9"/>
      <x:c r="W324" s="9" t="str">
        <x:v>CT-CF01-N2-01</x:v>
      </x:c>
      <x:c r="X324" s="10"/>
      <x:c r="Y324" s="10"/>
      <x:c r="Z324" s="9"/>
      <x:c r="AA324" s="9" t="str">
        <x:v>L1</x:v>
      </x:c>
      <x:c r="AB324" s="9" t="str">
        <x:v>first from left — paraphrase</x:v>
      </x:c>
      <x:c r="AC324" s="9"/>
      <x:c r="AD324" s="9"/>
      <x:c r="AE324" s="9"/>
      <x:c r="AF324" s="9"/>
      <x:c r="AG324" s="9"/>
      <x:c r="AH324" s="9"/>
      <x:c r="AI324" s="11"/>
      <x:c r="AJ324" s="9"/>
      <x:c r="AK324" s="9" t="str">
        <x:v>Eval_Ordinal_Reference_Ordering.xlsm</x:v>
      </x:c>
      <x:c r="AL324" s="9" t="str">
        <x:v>GR00T visual only Results</x:v>
      </x:c>
      <x:c r="AM324" s="9" t="n">
        <x:v>24</x:v>
      </x:c>
      <x:c r="AN324" s="9" t="n">
        <x:v>24</x:v>
      </x:c>
    </x:row>
    <x:row r="325">
      <x:c r="A325" s="9" t="str">
        <x:v>Success</x:v>
      </x:c>
      <x:c r="B325" s="9" t="str">
        <x:v>Ordinal Reference Ordering</x:v>
      </x:c>
      <x:c r="C325" s="10" t="n">
        <x:v>23</x:v>
      </x:c>
      <x:c r="D325" s="9" t="str">
        <x:v>Take the airplane toy with propellers from the row and set it inside the bowl.</x:v>
      </x:c>
      <x:c r="E325" s="9" t="str">
        <x:v>L1: airplane toy with propellers, L2: blue tape ball</x:v>
      </x:c>
      <x:c r="F325" s="9" t="str">
        <x:v>airplane toy with propellers</x:v>
      </x:c>
      <x:c r="G325" s="9"/>
      <x:c r="H325" s="9" t="str">
        <x:v>Language robustness</x:v>
      </x:c>
      <x:c r="I325" s="9" t="str">
        <x:v>CT-CF01-N2-01</x:v>
      </x:c>
      <x:c r="J325" s="9" t="str">
        <x:v>Matched-control paraphrase</x:v>
      </x:c>
      <x:c r="K325" s="9" t="n">
        <x:v>21</x:v>
      </x:c>
      <x:c r="L325" s="9"/>
      <x:c r="M325" s="9"/>
      <x:c r="N325" s="9" t="str">
        <x:v>2 — Full transfer/control/language families</x:v>
      </x:c>
      <x:c r="O325" s="9" t="str">
        <x:v>Return the previously moved object to its marked position. Do not move any other object; only the prompt changes.</x:v>
      </x:c>
      <x:c r="P325" s="9" t="str">
        <x:v>Exact-scene paraphrase of the referenced direct-name control. This tests wording sensitivity without changing the target or physical scene.</x:v>
      </x:c>
      <x:c r="Q325" s="9"/>
      <x:c r="R325" s="10" t="n">
        <x:v>2</x:v>
      </x:c>
      <x:c r="S325" s="10"/>
      <x:c r="T325" s="9"/>
      <x:c r="U325" s="9"/>
      <x:c r="V325" s="9"/>
      <x:c r="W325" s="9" t="str">
        <x:v>CT-CF01-N2-01</x:v>
      </x:c>
      <x:c r="X325" s="10"/>
      <x:c r="Y325" s="10"/>
      <x:c r="Z325" s="9"/>
      <x:c r="AA325" s="9" t="str">
        <x:v>L1</x:v>
      </x:c>
      <x:c r="AB325" s="9" t="str">
        <x:v>Direct-name paraphrase</x:v>
      </x:c>
      <x:c r="AC325" s="9"/>
      <x:c r="AD325" s="9"/>
      <x:c r="AE325" s="9"/>
      <x:c r="AF325" s="9"/>
      <x:c r="AG325" s="9"/>
      <x:c r="AH325" s="9"/>
      <x:c r="AI325" s="11"/>
      <x:c r="AJ325" s="9"/>
      <x:c r="AK325" s="9" t="str">
        <x:v>Eval_Ordinal_Reference_Ordering.xlsm</x:v>
      </x:c>
      <x:c r="AL325" s="9" t="str">
        <x:v>GR00T visual only Results</x:v>
      </x:c>
      <x:c r="AM325" s="9" t="n">
        <x:v>25</x:v>
      </x:c>
      <x:c r="AN325" s="9" t="n">
        <x:v>25</x:v>
      </x:c>
    </x:row>
    <x:row r="326">
      <x:c r="A326" s="9" t="str">
        <x:v>Success</x:v>
      </x:c>
      <x:c r="B326" s="9" t="str">
        <x:v>Ordinal Reference Ordering</x:v>
      </x:c>
      <x:c r="C326" s="10" t="n">
        <x:v>24</x:v>
      </x:c>
      <x:c r="D326" s="9" t="str">
        <x:v>Lift the blue tape ball and leave it in the bowl.</x:v>
      </x:c>
      <x:c r="E326" s="9" t="str">
        <x:v>L1: airplane toy with propellers, L2: blue tape ball</x:v>
      </x:c>
      <x:c r="F326" s="9" t="str">
        <x:v>blue tape ball</x:v>
      </x:c>
      <x:c r="G326" s="9"/>
      <x:c r="H326" s="9" t="str">
        <x:v>Language robustness</x:v>
      </x:c>
      <x:c r="I326" s="9" t="str">
        <x:v>CT-CF01-N2-01</x:v>
      </x:c>
      <x:c r="J326" s="9" t="str">
        <x:v>Matched-control paraphrase</x:v>
      </x:c>
      <x:c r="K326" s="9" t="n">
        <x:v>26</x:v>
      </x:c>
      <x:c r="L326" s="9"/>
      <x:c r="M326" s="9"/>
      <x:c r="N326" s="9" t="str">
        <x:v>2 — Full transfer/control/language families</x:v>
      </x:c>
      <x:c r="O326" s="9" t="str">
        <x:v>Return the previously moved object to its marked position. Do not move any other object; only the prompt changes.</x:v>
      </x:c>
      <x:c r="P326" s="9" t="str">
        <x:v>Exact-scene paraphrase of the referenced direct-name control. This tests wording sensitivity without changing the target or physical scene.</x:v>
      </x:c>
      <x:c r="Q326" s="9"/>
      <x:c r="R326" s="10" t="n">
        <x:v>2</x:v>
      </x:c>
      <x:c r="S326" s="10"/>
      <x:c r="T326" s="9"/>
      <x:c r="U326" s="9"/>
      <x:c r="V326" s="9"/>
      <x:c r="W326" s="9" t="str">
        <x:v>CT-CF01-N2-01</x:v>
      </x:c>
      <x:c r="X326" s="10"/>
      <x:c r="Y326" s="10"/>
      <x:c r="Z326" s="9"/>
      <x:c r="AA326" s="9" t="str">
        <x:v>L2</x:v>
      </x:c>
      <x:c r="AB326" s="9" t="str">
        <x:v>Direct-name paraphrase</x:v>
      </x:c>
      <x:c r="AC326" s="9"/>
      <x:c r="AD326" s="9"/>
      <x:c r="AE326" s="9"/>
      <x:c r="AF326" s="9"/>
      <x:c r="AG326" s="9"/>
      <x:c r="AH326" s="9"/>
      <x:c r="AI326" s="11"/>
      <x:c r="AJ326" s="9"/>
      <x:c r="AK326" s="9" t="str">
        <x:v>Eval_Ordinal_Reference_Ordering.xlsm</x:v>
      </x:c>
      <x:c r="AL326" s="9" t="str">
        <x:v>GR00T visual only Results</x:v>
      </x:c>
      <x:c r="AM326" s="9" t="n">
        <x:v>26</x:v>
      </x:c>
      <x:c r="AN326" s="9" t="n">
        <x:v>26</x:v>
      </x:c>
    </x:row>
    <x:row r="327">
      <x:c r="A327" s="9" t="str">
        <x:v>Success</x:v>
      </x:c>
      <x:c r="B327" s="9" t="str">
        <x:v>Ordinal Reference Ordering</x:v>
      </x:c>
      <x:c r="C327" s="10" t="n">
        <x:v>25</x:v>
      </x:c>
      <x:c r="D327" s="9" t="str">
        <x:v>Starting at the left, count to the second item and put that item in the bowl.</x:v>
      </x:c>
      <x:c r="E327" s="9" t="str">
        <x:v>L1: airplane toy with propellers, L2: blue tape ball</x:v>
      </x:c>
      <x:c r="F327" s="9" t="str">
        <x:v>blue tape ball</x:v>
      </x:c>
      <x:c r="G327" s="9"/>
      <x:c r="H327" s="9" t="str">
        <x:v>Language robustness</x:v>
      </x:c>
      <x:c r="I327" s="9" t="str">
        <x:v>CT-CF01-N2-01</x:v>
      </x:c>
      <x:c r="J327" s="9" t="str">
        <x:v>Transfer paraphrase</x:v>
      </x:c>
      <x:c r="K327" s="9" t="n">
        <x:v>27</x:v>
      </x:c>
      <x:c r="L327" s="9"/>
      <x:c r="M327" s="9"/>
      <x:c r="N327" s="9" t="str">
        <x:v>2 — Full transfer/control/language families</x:v>
      </x:c>
      <x:c r="O327" s="9" t="str">
        <x:v>Return the previously moved object to its marked position. Do not move any other object; only the prompt changes.</x:v>
      </x:c>
      <x:c r="P327" s="9" t="str">
        <x:v>Exact-scene paraphrase of the referenced canonical transfer row. Exclude this row from the 50-trial primary canonical score.</x:v>
      </x:c>
      <x:c r="Q327" s="9"/>
      <x:c r="R327" s="10" t="n">
        <x:v>2</x:v>
      </x:c>
      <x:c r="S327" s="10"/>
      <x:c r="T327" s="9"/>
      <x:c r="U327" s="9"/>
      <x:c r="V327" s="9"/>
      <x:c r="W327" s="9" t="str">
        <x:v>CT-CF01-N2-01</x:v>
      </x:c>
      <x:c r="X327" s="10"/>
      <x:c r="Y327" s="10"/>
      <x:c r="Z327" s="9"/>
      <x:c r="AA327" s="9" t="str">
        <x:v>L2</x:v>
      </x:c>
      <x:c r="AB327" s="9" t="str">
        <x:v>second from left — paraphrase</x:v>
      </x:c>
      <x:c r="AC327" s="9"/>
      <x:c r="AD327" s="9"/>
      <x:c r="AE327" s="9"/>
      <x:c r="AF327" s="9"/>
      <x:c r="AG327" s="9"/>
      <x:c r="AH327" s="9"/>
      <x:c r="AI327" s="11"/>
      <x:c r="AJ327" s="9"/>
      <x:c r="AK327" s="9" t="str">
        <x:v>Eval_Ordinal_Reference_Ordering.xlsm</x:v>
      </x:c>
      <x:c r="AL327" s="9" t="str">
        <x:v>GR00T visual only Results</x:v>
      </x:c>
      <x:c r="AM327" s="9" t="n">
        <x:v>27</x:v>
      </x:c>
      <x:c r="AN327" s="9" t="n">
        <x:v>27</x:v>
      </x:c>
    </x:row>
    <x:row r="328">
      <x:c r="A328" s="9" t="str">
        <x:v>Success</x:v>
      </x:c>
      <x:c r="B328" s="9" t="str">
        <x:v>Ordinal Reference Ordering</x:v>
      </x:c>
      <x:c r="C328" s="10" t="n">
        <x:v>26</x:v>
      </x:c>
      <x:c r="D328" s="9" t="str">
        <x:v>Move the blue tape ball into the bowl.</x:v>
      </x:c>
      <x:c r="E328" s="9" t="str">
        <x:v>L1: airplane toy with propellers, L2: blue tape ball</x:v>
      </x:c>
      <x:c r="F328" s="9" t="str">
        <x:v>blue tape ball</x:v>
      </x:c>
      <x:c r="G328" s="9"/>
      <x:c r="H328" s="9" t="str">
        <x:v>Matched manipulation control</x:v>
      </x:c>
      <x:c r="I328" s="9" t="str">
        <x:v>CT-CF01-N2-01</x:v>
      </x:c>
      <x:c r="J328" s="9" t="str">
        <x:v>Exact-scene direct control; training prompt from episode 669</x:v>
      </x:c>
      <x:c r="K328" s="9" t="n">
        <x:v>27</x:v>
      </x:c>
      <x:c r="L328" s="9"/>
      <x:c r="M328" s="9"/>
      <x:c r="N328" s="9" t="str">
        <x:v>2 — Full transfer/control/language families</x:v>
      </x:c>
      <x:c r="O328" s="9" t="str">
        <x:v>Return the previously moved object to its marked position. Do not move any other object; only the prompt changes.</x:v>
      </x:c>
      <x:c r="P328" s="9" t="str">
        <x:v>This is the direct-name prompt assigned to the same masked training cell. It tests recognition and manipulation of the exact transfer target in the exact scene without requiring ordinal selection.</x:v>
      </x:c>
      <x:c r="Q328" s="9"/>
      <x:c r="R328" s="10" t="n">
        <x:v>2</x:v>
      </x:c>
      <x:c r="S328" s="10"/>
      <x:c r="T328" s="9"/>
      <x:c r="U328" s="9"/>
      <x:c r="V328" s="9"/>
      <x:c r="W328" s="9" t="str">
        <x:v>CT-CF01-N2-01</x:v>
      </x:c>
      <x:c r="X328" s="10"/>
      <x:c r="Y328" s="10"/>
      <x:c r="Z328" s="9"/>
      <x:c r="AA328" s="9" t="str">
        <x:v>L2</x:v>
      </x:c>
      <x:c r="AB328" s="9" t="str">
        <x:v>Direct-name control</x:v>
      </x:c>
      <x:c r="AC328" s="9"/>
      <x:c r="AD328" s="9"/>
      <x:c r="AE328" s="9"/>
      <x:c r="AF328" s="9"/>
      <x:c r="AG328" s="9"/>
      <x:c r="AH328" s="9"/>
      <x:c r="AI328" s="11"/>
      <x:c r="AJ328" s="9"/>
      <x:c r="AK328" s="9" t="str">
        <x:v>Eval_Ordinal_Reference_Ordering.xlsm</x:v>
      </x:c>
      <x:c r="AL328" s="9" t="str">
        <x:v>GR00T visual only Results</x:v>
      </x:c>
      <x:c r="AM328" s="9" t="n">
        <x:v>28</x:v>
      </x:c>
      <x:c r="AN328" s="9" t="n">
        <x:v>28</x:v>
      </x:c>
    </x:row>
    <x:row r="329">
      <x:c r="A329" s="9" t="str">
        <x:v>Success</x:v>
      </x:c>
      <x:c r="B329" s="9" t="str">
        <x:v>Ordinal Reference Ordering</x:v>
      </x:c>
      <x:c r="C329" s="10" t="n">
        <x:v>27</x:v>
      </x:c>
      <x:c r="D329" s="9" t="str">
        <x:v>Pick up the object that is second from the left and place it in the bowl.</x:v>
      </x:c>
      <x:c r="E329" s="9" t="str">
        <x:v>L1: airplane toy with propellers, L2: blue tape ball</x:v>
      </x:c>
      <x:c r="F329" s="9" t="str">
        <x:v>blue tape ball</x:v>
      </x:c>
      <x:c r="G329" s="9"/>
      <x:c r="H329" s="9" t="str">
        <x:v>Concept/compositional transfer</x:v>
      </x:c>
      <x:c r="I329" s="9" t="str">
        <x:v>CT-CF01-N2-01</x:v>
      </x:c>
      <x:c r="J329" s="9" t="str">
        <x:v>Masked cell n=2, L2, blue tape ball</x:v>
      </x:c>
      <x:c r="K329" s="9" t="n">
        <x:v>20</x:v>
      </x:c>
      <x:c r="L329" s="9"/>
      <x:c r="M329" s="9"/>
      <x:c r="N329" s="9" t="str">
        <x:v>2 — Full transfer/control/language families</x:v>
      </x:c>
      <x:c r="O329" s="9" t="str">
        <x:v>Return the previously moved object to its marked position. Do not move any other object; only the prompt changes.</x:v>
      </x:c>
      <x:c r="P329" s="9" t="str">
        <x:v>The final manifest masks this exact sequence-length × physical-position × target-identity cell. Both equivalent left- and right-based descriptions are absent for this cell, while the canonical instruction wording occurs elsewhere in training.</x:v>
      </x:c>
      <x:c r="Q329" s="9"/>
      <x:c r="R329" s="10" t="n">
        <x:v>2</x:v>
      </x:c>
      <x:c r="S329" s="10"/>
      <x:c r="T329" s="9"/>
      <x:c r="U329" s="9"/>
      <x:c r="V329" s="9"/>
      <x:c r="W329" s="9" t="str">
        <x:v>CT-CF01-N2-01</x:v>
      </x:c>
      <x:c r="X329" s="10"/>
      <x:c r="Y329" s="10"/>
      <x:c r="Z329" s="9"/>
      <x:c r="AA329" s="9" t="str">
        <x:v>L2</x:v>
      </x:c>
      <x:c r="AB329" s="9" t="str">
        <x:v>second from left</x:v>
      </x:c>
      <x:c r="AC329" s="9"/>
      <x:c r="AD329" s="9"/>
      <x:c r="AE329" s="9"/>
      <x:c r="AF329" s="9"/>
      <x:c r="AG329" s="9"/>
      <x:c r="AH329" s="9"/>
      <x:c r="AI329" s="11"/>
      <x:c r="AJ329" s="9"/>
      <x:c r="AK329" s="9" t="str">
        <x:v>Eval_Ordinal_Reference_Ordering.xlsm</x:v>
      </x:c>
      <x:c r="AL329" s="9" t="str">
        <x:v>GR00T visual only Results</x:v>
      </x:c>
      <x:c r="AM329" s="9" t="n">
        <x:v>29</x:v>
      </x:c>
      <x:c r="AN329" s="9" t="n">
        <x:v>29</x:v>
      </x:c>
    </x:row>
    <x:row r="330">
      <x:c r="A330" s="9" t="str">
        <x:v>Failure</x:v>
      </x:c>
      <x:c r="B330" s="9" t="str">
        <x:v>Ordinal Reference Ordering</x:v>
      </x:c>
      <x:c r="C330" s="10" t="n">
        <x:v>28</x:v>
      </x:c>
      <x:c r="D330" s="9" t="str">
        <x:v>Pick up the object that is third from the left and place it in the bowl.</x:v>
      </x:c>
      <x:c r="E330" s="9" t="str">
        <x:v>L1: blue tape ball, L2: green highlighter, L3: airplane toy with propellers</x:v>
      </x:c>
      <x:c r="F330" s="9" t="str">
        <x:v>airplane toy with propellers</x:v>
      </x:c>
      <x:c r="G330" s="9" t="str">
        <x:v>picked green highlighter</x:v>
      </x:c>
      <x:c r="H330" s="9" t="str">
        <x:v>Concept/compositional transfer</x:v>
      </x:c>
      <x:c r="I330" s="9" t="str">
        <x:v>CT-CF02-N3-01</x:v>
      </x:c>
      <x:c r="J330" s="9" t="str">
        <x:v>Masked cell n=3, L3, airplane toy with propellers</x:v>
      </x:c>
      <x:c r="K330" s="9"/>
      <x:c r="L330" s="9"/>
      <x:c r="M330" s="9"/>
      <x:c r="N330" s="9" t="str">
        <x:v>2 — Full transfer/control/language families</x:v>
      </x:c>
      <x:c r="O330" s="9" t="str">
        <x:v>Build this new scene family exactly from the L1–L4 description and save a first-frame reference image.</x:v>
      </x:c>
      <x:c r="P330" s="9" t="str">
        <x:v>The final manifest masks this exact sequence-length × physical-position × target-identity cell. Both equivalent left- and right-based descriptions are absent for this cell, while the canonical instruction wording occurs elsewhere in training.</x:v>
      </x:c>
      <x:c r="Q330" s="9"/>
      <x:c r="R330" s="10" t="n">
        <x:v>3</x:v>
      </x:c>
      <x:c r="S330" s="10"/>
      <x:c r="T330" s="9"/>
      <x:c r="U330" s="9"/>
      <x:c r="V330" s="9"/>
      <x:c r="W330" s="9" t="str">
        <x:v>CT-CF02-N3-01</x:v>
      </x:c>
      <x:c r="X330" s="10"/>
      <x:c r="Y330" s="10"/>
      <x:c r="Z330" s="9"/>
      <x:c r="AA330" s="9" t="str">
        <x:v>L3</x:v>
      </x:c>
      <x:c r="AB330" s="9" t="str">
        <x:v>third from left</x:v>
      </x:c>
      <x:c r="AC330" s="9"/>
      <x:c r="AD330" s="9"/>
      <x:c r="AE330" s="9"/>
      <x:c r="AF330" s="9"/>
      <x:c r="AG330" s="9"/>
      <x:c r="AH330" s="9"/>
      <x:c r="AI330" s="11"/>
      <x:c r="AJ330" s="9"/>
      <x:c r="AK330" s="9" t="str">
        <x:v>Eval_Ordinal_Reference_Ordering.xlsm</x:v>
      </x:c>
      <x:c r="AL330" s="9" t="str">
        <x:v>GR00T visual only Results</x:v>
      </x:c>
      <x:c r="AM330" s="9" t="n">
        <x:v>30</x:v>
      </x:c>
      <x:c r="AN330" s="9" t="n">
        <x:v>30</x:v>
      </x:c>
    </x:row>
    <x:row r="331">
      <x:c r="A331" s="9" t="str">
        <x:v>Success</x:v>
      </x:c>
      <x:c r="B331" s="9" t="str">
        <x:v>Ordinal Reference Ordering</x:v>
      </x:c>
      <x:c r="C331" s="10" t="n">
        <x:v>29</x:v>
      </x:c>
      <x:c r="D331" s="9" t="str">
        <x:v>Put the airplane toy with propellers in the bowl.</x:v>
      </x:c>
      <x:c r="E331" s="9" t="str">
        <x:v>L1: blue tape ball, L2: green highlighter, L3: airplane toy with propellers</x:v>
      </x:c>
      <x:c r="F331" s="9" t="str">
        <x:v>airplane toy with propellers</x:v>
      </x:c>
      <x:c r="G331" s="9"/>
      <x:c r="H331" s="9" t="str">
        <x:v>Matched manipulation control</x:v>
      </x:c>
      <x:c r="I331" s="9" t="str">
        <x:v>CT-CF02-N3-01</x:v>
      </x:c>
      <x:c r="J331" s="9" t="str">
        <x:v>Exact-scene direct control; training prompt from episode 631</x:v>
      </x:c>
      <x:c r="K331" s="9" t="n">
        <x:v>28</x:v>
      </x:c>
      <x:c r="L331" s="9"/>
      <x:c r="M331" s="9"/>
      <x:c r="N331" s="9" t="str">
        <x:v>2 — Full transfer/control/language families</x:v>
      </x:c>
      <x:c r="O331" s="9" t="str">
        <x:v>Return the previously moved object to its marked position. Do not move any other object; only the prompt changes.</x:v>
      </x:c>
      <x:c r="P331" s="9" t="str">
        <x:v>This is the direct-name prompt assigned to the same masked training cell. It tests recognition and manipulation of the exact transfer target in the exact scene without requiring ordinal selection.</x:v>
      </x:c>
      <x:c r="Q331" s="9"/>
      <x:c r="R331" s="10" t="n">
        <x:v>3</x:v>
      </x:c>
      <x:c r="S331" s="10"/>
      <x:c r="T331" s="9"/>
      <x:c r="U331" s="9"/>
      <x:c r="V331" s="9"/>
      <x:c r="W331" s="9" t="str">
        <x:v>CT-CF02-N3-01</x:v>
      </x:c>
      <x:c r="X331" s="10"/>
      <x:c r="Y331" s="10"/>
      <x:c r="Z331" s="9"/>
      <x:c r="AA331" s="9" t="str">
        <x:v>L3</x:v>
      </x:c>
      <x:c r="AB331" s="9" t="str">
        <x:v>Direct-name control</x:v>
      </x:c>
      <x:c r="AC331" s="9"/>
      <x:c r="AD331" s="9"/>
      <x:c r="AE331" s="9"/>
      <x:c r="AF331" s="9"/>
      <x:c r="AG331" s="9"/>
      <x:c r="AH331" s="9"/>
      <x:c r="AI331" s="11"/>
      <x:c r="AJ331" s="9"/>
      <x:c r="AK331" s="9" t="str">
        <x:v>Eval_Ordinal_Reference_Ordering.xlsm</x:v>
      </x:c>
      <x:c r="AL331" s="9" t="str">
        <x:v>GR00T visual only Results</x:v>
      </x:c>
      <x:c r="AM331" s="9" t="n">
        <x:v>31</x:v>
      </x:c>
      <x:c r="AN331" s="9" t="n">
        <x:v>31</x:v>
      </x:c>
    </x:row>
    <x:row r="332">
      <x:c r="A332" s="9" t="str">
        <x:v>Failure</x:v>
      </x:c>
      <x:c r="B332" s="9" t="str">
        <x:v>Ordinal Reference Ordering</x:v>
      </x:c>
      <x:c r="C332" s="10" t="n">
        <x:v>30</x:v>
      </x:c>
      <x:c r="D332" s="9" t="str">
        <x:v>Move whichever item comes third when you count from the left into the bowl.</x:v>
      </x:c>
      <x:c r="E332" s="9" t="str">
        <x:v>L1: blue tape ball, L2: green highlighter, L3: airplane toy with propellers</x:v>
      </x:c>
      <x:c r="F332" s="9" t="str">
        <x:v>airplane toy with propellers</x:v>
      </x:c>
      <x:c r="G332" s="9" t="str">
        <x:v>picked green highlighter</x:v>
      </x:c>
      <x:c r="H332" s="9" t="str">
        <x:v>Language robustness</x:v>
      </x:c>
      <x:c r="I332" s="9" t="str">
        <x:v>CT-CF02-N3-01</x:v>
      </x:c>
      <x:c r="J332" s="9" t="str">
        <x:v>Transfer paraphrase</x:v>
      </x:c>
      <x:c r="K332" s="9" t="n">
        <x:v>28</x:v>
      </x:c>
      <x:c r="L332" s="9"/>
      <x:c r="M332" s="9"/>
      <x:c r="N332" s="9" t="str">
        <x:v>2 — Full transfer/control/language families</x:v>
      </x:c>
      <x:c r="O332" s="9" t="str">
        <x:v>Return the previously moved object to its marked position. Do not move any other object; only the prompt changes.</x:v>
      </x:c>
      <x:c r="P332" s="9" t="str">
        <x:v>Exact-scene paraphrase of the referenced canonical transfer row. Exclude this row from the 50-trial primary canonical score.</x:v>
      </x:c>
      <x:c r="Q332" s="9"/>
      <x:c r="R332" s="10" t="n">
        <x:v>3</x:v>
      </x:c>
      <x:c r="S332" s="10"/>
      <x:c r="T332" s="9"/>
      <x:c r="U332" s="9"/>
      <x:c r="V332" s="9"/>
      <x:c r="W332" s="9" t="str">
        <x:v>CT-CF02-N3-01</x:v>
      </x:c>
      <x:c r="X332" s="10"/>
      <x:c r="Y332" s="10"/>
      <x:c r="Z332" s="9"/>
      <x:c r="AA332" s="9" t="str">
        <x:v>L3</x:v>
      </x:c>
      <x:c r="AB332" s="9" t="str">
        <x:v>third from left — paraphrase</x:v>
      </x:c>
      <x:c r="AC332" s="9"/>
      <x:c r="AD332" s="9"/>
      <x:c r="AE332" s="9"/>
      <x:c r="AF332" s="9"/>
      <x:c r="AG332" s="9"/>
      <x:c r="AH332" s="9"/>
      <x:c r="AI332" s="11"/>
      <x:c r="AJ332" s="9"/>
      <x:c r="AK332" s="9" t="str">
        <x:v>Eval_Ordinal_Reference_Ordering.xlsm</x:v>
      </x:c>
      <x:c r="AL332" s="9" t="str">
        <x:v>GR00T visual only Results</x:v>
      </x:c>
      <x:c r="AM332" s="9" t="n">
        <x:v>32</x:v>
      </x:c>
      <x:c r="AN332" s="9" t="n">
        <x:v>32</x:v>
      </x:c>
    </x:row>
    <x:row r="333">
      <x:c r="A333" s="9" t="str">
        <x:v>Failure</x:v>
      </x:c>
      <x:c r="B333" s="9" t="str">
        <x:v>Ordinal Reference Ordering</x:v>
      </x:c>
      <x:c r="C333" s="10" t="n">
        <x:v>31</x:v>
      </x:c>
      <x:c r="D333" s="9" t="str">
        <x:v>Transfer the airplane toy with propellers from its marked position into the bowl.</x:v>
      </x:c>
      <x:c r="E333" s="9" t="str">
        <x:v>L1: blue tape ball, L2: green highlighter, L3: airplane toy with propellers</x:v>
      </x:c>
      <x:c r="F333" s="9" t="str">
        <x:v>airplane toy with propellers</x:v>
      </x:c>
      <x:c r="G333" s="9" t="str">
        <x:v>succeeded reasoning and was trying to grab airplane toy, and couldn't during recovery, picked the green highlighter</x:v>
      </x:c>
      <x:c r="H333" s="9" t="str">
        <x:v>Language robustness</x:v>
      </x:c>
      <x:c r="I333" s="9" t="str">
        <x:v>CT-CF02-N3-01</x:v>
      </x:c>
      <x:c r="J333" s="9" t="str">
        <x:v>Matched-control paraphrase</x:v>
      </x:c>
      <x:c r="K333" s="9" t="n">
        <x:v>29</x:v>
      </x:c>
      <x:c r="L333" s="9"/>
      <x:c r="M333" s="9"/>
      <x:c r="N333" s="9" t="str">
        <x:v>2 — Full transfer/control/language families</x:v>
      </x:c>
      <x:c r="O333" s="9" t="str">
        <x:v>Return the previously moved object to its marked position. Do not move any other object; only the prompt changes.</x:v>
      </x:c>
      <x:c r="P333" s="9" t="str">
        <x:v>Exact-scene paraphrase of the referenced direct-name control. This tests wording sensitivity without changing the target or physical scene.</x:v>
      </x:c>
      <x:c r="Q333" s="9"/>
      <x:c r="R333" s="10" t="n">
        <x:v>3</x:v>
      </x:c>
      <x:c r="S333" s="10"/>
      <x:c r="T333" s="9"/>
      <x:c r="U333" s="9"/>
      <x:c r="V333" s="9"/>
      <x:c r="W333" s="9" t="str">
        <x:v>CT-CF02-N3-01</x:v>
      </x:c>
      <x:c r="X333" s="10"/>
      <x:c r="Y333" s="10"/>
      <x:c r="Z333" s="9"/>
      <x:c r="AA333" s="9" t="str">
        <x:v>L3</x:v>
      </x:c>
      <x:c r="AB333" s="9" t="str">
        <x:v>Direct-name paraphrase</x:v>
      </x:c>
      <x:c r="AC333" s="9"/>
      <x:c r="AD333" s="9"/>
      <x:c r="AE333" s="9"/>
      <x:c r="AF333" s="9"/>
      <x:c r="AG333" s="9"/>
      <x:c r="AH333" s="9"/>
      <x:c r="AI333" s="11"/>
      <x:c r="AJ333" s="9"/>
      <x:c r="AK333" s="9" t="str">
        <x:v>Eval_Ordinal_Reference_Ordering.xlsm</x:v>
      </x:c>
      <x:c r="AL333" s="9" t="str">
        <x:v>GR00T visual only Results</x:v>
      </x:c>
      <x:c r="AM333" s="9" t="n">
        <x:v>33</x:v>
      </x:c>
      <x:c r="AN333" s="9" t="n">
        <x:v>33</x:v>
      </x:c>
    </x:row>
    <x:row r="334">
      <x:c r="A334" s="9" t="str">
        <x:v>Success</x:v>
      </x:c>
      <x:c r="B334" s="9" t="str">
        <x:v>Ordinal Reference Ordering</x:v>
      </x:c>
      <x:c r="C334" s="10" t="n">
        <x:v>32</x:v>
      </x:c>
      <x:c r="D334" s="9" t="str">
        <x:v>Lift the blue tape ball and leave it in the bowl.</x:v>
      </x:c>
      <x:c r="E334" s="9" t="str">
        <x:v>L1: blue tape ball, L2: green highlighter, L3: airplane toy with propellers</x:v>
      </x:c>
      <x:c r="F334" s="9" t="str">
        <x:v>blue tape ball</x:v>
      </x:c>
      <x:c r="G334" s="9"/>
      <x:c r="H334" s="9" t="str">
        <x:v>Language robustness</x:v>
      </x:c>
      <x:c r="I334" s="9" t="str">
        <x:v>CT-CF02-N3-01</x:v>
      </x:c>
      <x:c r="J334" s="9" t="str">
        <x:v>Matched-control paraphrase</x:v>
      </x:c>
      <x:c r="K334" s="9" t="n">
        <x:v>34</x:v>
      </x:c>
      <x:c r="L334" s="9"/>
      <x:c r="M334" s="9"/>
      <x:c r="N334" s="9" t="str">
        <x:v>2 — Full transfer/control/language families</x:v>
      </x:c>
      <x:c r="O334" s="9" t="str">
        <x:v>Return the previously moved object to its marked position. Do not move any other object; only the prompt changes.</x:v>
      </x:c>
      <x:c r="P334" s="9" t="str">
        <x:v>Exact-scene paraphrase of the referenced direct-name control. This tests wording sensitivity without changing the target or physical scene.</x:v>
      </x:c>
      <x:c r="Q334" s="9"/>
      <x:c r="R334" s="10" t="n">
        <x:v>3</x:v>
      </x:c>
      <x:c r="S334" s="10"/>
      <x:c r="T334" s="9"/>
      <x:c r="U334" s="9"/>
      <x:c r="V334" s="9"/>
      <x:c r="W334" s="9" t="str">
        <x:v>CT-CF02-N3-01</x:v>
      </x:c>
      <x:c r="X334" s="10"/>
      <x:c r="Y334" s="10"/>
      <x:c r="Z334" s="9"/>
      <x:c r="AA334" s="9" t="str">
        <x:v>L1</x:v>
      </x:c>
      <x:c r="AB334" s="9" t="str">
        <x:v>Direct-name paraphrase</x:v>
      </x:c>
      <x:c r="AC334" s="9"/>
      <x:c r="AD334" s="9"/>
      <x:c r="AE334" s="9"/>
      <x:c r="AF334" s="9"/>
      <x:c r="AG334" s="9"/>
      <x:c r="AH334" s="9"/>
      <x:c r="AI334" s="11"/>
      <x:c r="AJ334" s="9"/>
      <x:c r="AK334" s="9" t="str">
        <x:v>Eval_Ordinal_Reference_Ordering.xlsm</x:v>
      </x:c>
      <x:c r="AL334" s="9" t="str">
        <x:v>GR00T visual only Results</x:v>
      </x:c>
      <x:c r="AM334" s="9" t="n">
        <x:v>34</x:v>
      </x:c>
      <x:c r="AN334" s="9" t="n">
        <x:v>34</x:v>
      </x:c>
    </x:row>
    <x:row r="335">
      <x:c r="A335" s="9" t="str">
        <x:v>Failure</x:v>
      </x:c>
      <x:c r="B335" s="9" t="str">
        <x:v>Ordinal Reference Ordering</x:v>
      </x:c>
      <x:c r="C335" s="10" t="n">
        <x:v>33</x:v>
      </x:c>
      <x:c r="D335" s="9" t="str">
        <x:v>Starting at the left, count to the first item and put that item in the bowl.</x:v>
      </x:c>
      <x:c r="E335" s="9" t="str">
        <x:v>L1: blue tape ball, L2: green highlighter, L3: airplane toy with propellers</x:v>
      </x:c>
      <x:c r="F335" s="9" t="str">
        <x:v>blue tape ball</x:v>
      </x:c>
      <x:c r="G335" s="9" t="str">
        <x:v>tried picking the airplane toy, couldn't then grabbed the green highlighter</x:v>
      </x:c>
      <x:c r="H335" s="9" t="str">
        <x:v>Language robustness</x:v>
      </x:c>
      <x:c r="I335" s="9" t="str">
        <x:v>CT-CF02-N3-01</x:v>
      </x:c>
      <x:c r="J335" s="9" t="str">
        <x:v>Transfer paraphrase</x:v>
      </x:c>
      <x:c r="K335" s="9" t="n">
        <x:v>35</x:v>
      </x:c>
      <x:c r="L335" s="9"/>
      <x:c r="M335" s="9"/>
      <x:c r="N335" s="9" t="str">
        <x:v>2 — Full transfer/control/language families</x:v>
      </x:c>
      <x:c r="O335" s="9" t="str">
        <x:v>Return the previously moved object to its marked position. Do not move any other object; only the prompt changes.</x:v>
      </x:c>
      <x:c r="P335" s="9" t="str">
        <x:v>Exact-scene paraphrase of the referenced canonical transfer row. Exclude this row from the 50-trial primary canonical score.</x:v>
      </x:c>
      <x:c r="Q335" s="9"/>
      <x:c r="R335" s="10" t="n">
        <x:v>3</x:v>
      </x:c>
      <x:c r="S335" s="10"/>
      <x:c r="T335" s="9"/>
      <x:c r="U335" s="9"/>
      <x:c r="V335" s="9"/>
      <x:c r="W335" s="9" t="str">
        <x:v>CT-CF02-N3-01</x:v>
      </x:c>
      <x:c r="X335" s="10"/>
      <x:c r="Y335" s="10"/>
      <x:c r="Z335" s="9"/>
      <x:c r="AA335" s="9" t="str">
        <x:v>L1</x:v>
      </x:c>
      <x:c r="AB335" s="9" t="str">
        <x:v>first from left — paraphrase</x:v>
      </x:c>
      <x:c r="AC335" s="9"/>
      <x:c r="AD335" s="9"/>
      <x:c r="AE335" s="9"/>
      <x:c r="AF335" s="9"/>
      <x:c r="AG335" s="9"/>
      <x:c r="AH335" s="9"/>
      <x:c r="AI335" s="11"/>
      <x:c r="AJ335" s="9"/>
      <x:c r="AK335" s="9" t="str">
        <x:v>Eval_Ordinal_Reference_Ordering.xlsm</x:v>
      </x:c>
      <x:c r="AL335" s="9" t="str">
        <x:v>GR00T visual only Results</x:v>
      </x:c>
      <x:c r="AM335" s="9" t="n">
        <x:v>35</x:v>
      </x:c>
      <x:c r="AN335" s="9" t="n">
        <x:v>35</x:v>
      </x:c>
    </x:row>
    <x:row r="336">
      <x:c r="A336" s="9" t="str">
        <x:v>Failure</x:v>
      </x:c>
      <x:c r="B336" s="9" t="str">
        <x:v>Ordinal Reference Ordering</x:v>
      </x:c>
      <x:c r="C336" s="10" t="n">
        <x:v>34</x:v>
      </x:c>
      <x:c r="D336" s="9" t="str">
        <x:v>Put the blue tape ball in the bowl.</x:v>
      </x:c>
      <x:c r="E336" s="9" t="str">
        <x:v>L1: blue tape ball, L2: green highlighter, L3: airplane toy with propellers</x:v>
      </x:c>
      <x:c r="F336" s="9" t="str">
        <x:v>blue tape ball</x:v>
      </x:c>
      <x:c r="G336" s="9" t="str">
        <x:v>succeeded reasoning; went for the blue tape ball, but knocked it out of range and couldn't recover</x:v>
      </x:c>
      <x:c r="H336" s="9" t="str">
        <x:v>Matched manipulation control</x:v>
      </x:c>
      <x:c r="I336" s="9" t="str">
        <x:v>CT-CF02-N3-01</x:v>
      </x:c>
      <x:c r="J336" s="9" t="str">
        <x:v>Exact-scene direct control; training prompt from episode 655</x:v>
      </x:c>
      <x:c r="K336" s="9" t="n">
        <x:v>35</x:v>
      </x:c>
      <x:c r="L336" s="9"/>
      <x:c r="M336" s="9"/>
      <x:c r="N336" s="9" t="str">
        <x:v>2 — Full transfer/control/language families</x:v>
      </x:c>
      <x:c r="O336" s="9" t="str">
        <x:v>Return the previously moved object to its marked position. Do not move any other object; only the prompt changes.</x:v>
      </x:c>
      <x:c r="P336" s="9" t="str">
        <x:v>This is the direct-name prompt assigned to the same masked training cell. It tests recognition and manipulation of the exact transfer target in the exact scene without requiring ordinal selection.</x:v>
      </x:c>
      <x:c r="Q336" s="9"/>
      <x:c r="R336" s="10" t="n">
        <x:v>3</x:v>
      </x:c>
      <x:c r="S336" s="10"/>
      <x:c r="T336" s="9"/>
      <x:c r="U336" s="9"/>
      <x:c r="V336" s="9"/>
      <x:c r="W336" s="9" t="str">
        <x:v>CT-CF02-N3-01</x:v>
      </x:c>
      <x:c r="X336" s="10"/>
      <x:c r="Y336" s="10"/>
      <x:c r="Z336" s="9"/>
      <x:c r="AA336" s="9" t="str">
        <x:v>L1</x:v>
      </x:c>
      <x:c r="AB336" s="9" t="str">
        <x:v>Direct-name control</x:v>
      </x:c>
      <x:c r="AC336" s="9"/>
      <x:c r="AD336" s="9"/>
      <x:c r="AE336" s="9"/>
      <x:c r="AF336" s="9"/>
      <x:c r="AG336" s="9"/>
      <x:c r="AH336" s="9"/>
      <x:c r="AI336" s="11"/>
      <x:c r="AJ336" s="9"/>
      <x:c r="AK336" s="9" t="str">
        <x:v>Eval_Ordinal_Reference_Ordering.xlsm</x:v>
      </x:c>
      <x:c r="AL336" s="9" t="str">
        <x:v>GR00T visual only Results</x:v>
      </x:c>
      <x:c r="AM336" s="9" t="n">
        <x:v>36</x:v>
      </x:c>
      <x:c r="AN336" s="9" t="n">
        <x:v>36</x:v>
      </x:c>
    </x:row>
    <x:row r="337">
      <x:c r="A337" s="9" t="str">
        <x:v>Success</x:v>
      </x:c>
      <x:c r="B337" s="9" t="str">
        <x:v>Ordinal Reference Ordering</x:v>
      </x:c>
      <x:c r="C337" s="10" t="n">
        <x:v>35</x:v>
      </x:c>
      <x:c r="D337" s="9" t="str">
        <x:v>Pick up the object that is first from the left and place it in the bowl.</x:v>
      </x:c>
      <x:c r="E337" s="9" t="str">
        <x:v>L1: blue tape ball, L2: green highlighter, L3: airplane toy with propellers</x:v>
      </x:c>
      <x:c r="F337" s="9" t="str">
        <x:v>blue tape ball</x:v>
      </x:c>
      <x:c r="G337" s="9"/>
      <x:c r="H337" s="9" t="str">
        <x:v>Concept/compositional transfer</x:v>
      </x:c>
      <x:c r="I337" s="9" t="str">
        <x:v>CT-CF02-N3-01</x:v>
      </x:c>
      <x:c r="J337" s="9" t="str">
        <x:v>Masked cell n=3, L1, blue tape ball</x:v>
      </x:c>
      <x:c r="K337" s="9" t="n">
        <x:v>28</x:v>
      </x:c>
      <x:c r="L337" s="9"/>
      <x:c r="M337" s="9"/>
      <x:c r="N337" s="9" t="str">
        <x:v>2 — Full transfer/control/language families</x:v>
      </x:c>
      <x:c r="O337" s="9" t="str">
        <x:v>Return the previously moved object to its marked position. Do not move any other object; only the prompt changes.</x:v>
      </x:c>
      <x:c r="P337" s="9" t="str">
        <x:v>The final manifest masks this exact sequence-length × physical-position × target-identity cell. Both equivalent left- and right-based descriptions are absent for this cell, while the canonical instruction wording occurs elsewhere in training.</x:v>
      </x:c>
      <x:c r="Q337" s="9"/>
      <x:c r="R337" s="10" t="n">
        <x:v>3</x:v>
      </x:c>
      <x:c r="S337" s="10"/>
      <x:c r="T337" s="9"/>
      <x:c r="U337" s="9"/>
      <x:c r="V337" s="9"/>
      <x:c r="W337" s="9" t="str">
        <x:v>CT-CF02-N3-01</x:v>
      </x:c>
      <x:c r="X337" s="10"/>
      <x:c r="Y337" s="10"/>
      <x:c r="Z337" s="9"/>
      <x:c r="AA337" s="9" t="str">
        <x:v>L1</x:v>
      </x:c>
      <x:c r="AB337" s="9" t="str">
        <x:v>first from left</x:v>
      </x:c>
      <x:c r="AC337" s="9"/>
      <x:c r="AD337" s="9"/>
      <x:c r="AE337" s="9"/>
      <x:c r="AF337" s="9"/>
      <x:c r="AG337" s="9"/>
      <x:c r="AH337" s="9"/>
      <x:c r="AI337" s="11"/>
      <x:c r="AJ337" s="9"/>
      <x:c r="AK337" s="9" t="str">
        <x:v>Eval_Ordinal_Reference_Ordering.xlsm</x:v>
      </x:c>
      <x:c r="AL337" s="9" t="str">
        <x:v>GR00T visual only Results</x:v>
      </x:c>
      <x:c r="AM337" s="9" t="n">
        <x:v>37</x:v>
      </x:c>
      <x:c r="AN337" s="9" t="n">
        <x:v>37</x:v>
      </x:c>
    </x:row>
    <x:row r="338">
      <x:c r="A338" s="9" t="str">
        <x:v>Failure</x:v>
      </x:c>
      <x:c r="B338" s="9" t="str">
        <x:v>Ordinal Reference Ordering</x:v>
      </x:c>
      <x:c r="C338" s="10" t="n">
        <x:v>36</x:v>
      </x:c>
      <x:c r="D338" s="9" t="str">
        <x:v>Pick up the object that is second from the right and place it in the bowl.</x:v>
      </x:c>
      <x:c r="E338" s="9" t="str">
        <x:v>L1: green highlighter, L2: yellow pen</x:v>
      </x:c>
      <x:c r="F338" s="9" t="str">
        <x:v>green highlighter</x:v>
      </x:c>
      <x:c r="G338" s="9" t="str">
        <x:v>picked the yellow pen</x:v>
      </x:c>
      <x:c r="H338" s="9" t="str">
        <x:v>Concept/compositional transfer</x:v>
      </x:c>
      <x:c r="I338" s="9" t="str">
        <x:v>CT-CF03-N2-04</x:v>
      </x:c>
      <x:c r="J338" s="9" t="str">
        <x:v>Masked cell n=2, L1, green highlighter</x:v>
      </x:c>
      <x:c r="K338" s="9"/>
      <x:c r="L338" s="9"/>
      <x:c r="M338" s="9"/>
      <x:c r="N338" s="9" t="str">
        <x:v>2 — Full transfer/control/language families</x:v>
      </x:c>
      <x:c r="O338" s="9" t="str">
        <x:v>Build this new scene family exactly from the L1–L4 description and save a first-frame reference image.</x:v>
      </x:c>
      <x:c r="P338" s="9" t="str">
        <x:v>The final manifest masks this exact sequence-length × physical-position × target-identity cell. Both equivalent left- and right-based descriptions are absent for this cell, while the canonical instruction wording occurs elsewhere in training.</x:v>
      </x:c>
      <x:c r="Q338" s="9"/>
      <x:c r="R338" s="10" t="n">
        <x:v>2</x:v>
      </x:c>
      <x:c r="S338" s="10"/>
      <x:c r="T338" s="9"/>
      <x:c r="U338" s="9"/>
      <x:c r="V338" s="9"/>
      <x:c r="W338" s="9" t="str">
        <x:v>CT-CF03-N2-04</x:v>
      </x:c>
      <x:c r="X338" s="10"/>
      <x:c r="Y338" s="10"/>
      <x:c r="Z338" s="9"/>
      <x:c r="AA338" s="9" t="str">
        <x:v>L1</x:v>
      </x:c>
      <x:c r="AB338" s="9" t="str">
        <x:v>second from right</x:v>
      </x:c>
      <x:c r="AC338" s="9"/>
      <x:c r="AD338" s="9"/>
      <x:c r="AE338" s="9"/>
      <x:c r="AF338" s="9"/>
      <x:c r="AG338" s="9"/>
      <x:c r="AH338" s="9"/>
      <x:c r="AI338" s="11"/>
      <x:c r="AJ338" s="9"/>
      <x:c r="AK338" s="9" t="str">
        <x:v>Eval_Ordinal_Reference_Ordering.xlsm</x:v>
      </x:c>
      <x:c r="AL338" s="9" t="str">
        <x:v>GR00T visual only Results</x:v>
      </x:c>
      <x:c r="AM338" s="9" t="n">
        <x:v>38</x:v>
      </x:c>
      <x:c r="AN338" s="9" t="n">
        <x:v>38</x:v>
      </x:c>
    </x:row>
    <x:row r="339">
      <x:c r="A339" s="9" t="str">
        <x:v>Success</x:v>
      </x:c>
      <x:c r="B339" s="9" t="str">
        <x:v>Ordinal Reference Ordering</x:v>
      </x:c>
      <x:c r="C339" s="10" t="n">
        <x:v>37</x:v>
      </x:c>
      <x:c r="D339" s="9" t="str">
        <x:v>Pick up the green highlighter and place it in the bowl.</x:v>
      </x:c>
      <x:c r="E339" s="9" t="str">
        <x:v>L1: green highlighter, L2: yellow pen</x:v>
      </x:c>
      <x:c r="F339" s="9" t="str">
        <x:v>green highlighter</x:v>
      </x:c>
      <x:c r="G339" s="9"/>
      <x:c r="H339" s="9" t="str">
        <x:v>Matched manipulation control</x:v>
      </x:c>
      <x:c r="I339" s="9" t="str">
        <x:v>CT-CF03-N2-04</x:v>
      </x:c>
      <x:c r="J339" s="9" t="str">
        <x:v>Exact-scene direct control; training prompt from episode 710</x:v>
      </x:c>
      <x:c r="K339" s="9" t="n">
        <x:v>36</x:v>
      </x:c>
      <x:c r="L339" s="9"/>
      <x:c r="M339" s="9"/>
      <x:c r="N339" s="9" t="str">
        <x:v>2 — Full transfer/control/language families</x:v>
      </x:c>
      <x:c r="O339" s="9" t="str">
        <x:v>Return the previously moved object to its marked position. Do not move any other object; only the prompt changes.</x:v>
      </x:c>
      <x:c r="P339" s="9" t="str">
        <x:v>This is the direct-name prompt assigned to the same masked training cell. It tests recognition and manipulation of the exact transfer target in the exact scene without requiring ordinal selection.</x:v>
      </x:c>
      <x:c r="Q339" s="9"/>
      <x:c r="R339" s="10" t="n">
        <x:v>2</x:v>
      </x:c>
      <x:c r="S339" s="10"/>
      <x:c r="T339" s="9"/>
      <x:c r="U339" s="9"/>
      <x:c r="V339" s="9"/>
      <x:c r="W339" s="9" t="str">
        <x:v>CT-CF03-N2-04</x:v>
      </x:c>
      <x:c r="X339" s="10"/>
      <x:c r="Y339" s="10"/>
      <x:c r="Z339" s="9"/>
      <x:c r="AA339" s="9" t="str">
        <x:v>L1</x:v>
      </x:c>
      <x:c r="AB339" s="9" t="str">
        <x:v>Direct-name control</x:v>
      </x:c>
      <x:c r="AC339" s="9"/>
      <x:c r="AD339" s="9"/>
      <x:c r="AE339" s="9"/>
      <x:c r="AF339" s="9"/>
      <x:c r="AG339" s="9"/>
      <x:c r="AH339" s="9"/>
      <x:c r="AI339" s="11"/>
      <x:c r="AJ339" s="9"/>
      <x:c r="AK339" s="9" t="str">
        <x:v>Eval_Ordinal_Reference_Ordering.xlsm</x:v>
      </x:c>
      <x:c r="AL339" s="9" t="str">
        <x:v>GR00T visual only Results</x:v>
      </x:c>
      <x:c r="AM339" s="9" t="n">
        <x:v>39</x:v>
      </x:c>
      <x:c r="AN339" s="9" t="n">
        <x:v>39</x:v>
      </x:c>
    </x:row>
    <x:row r="340">
      <x:c r="A340" s="9" t="str">
        <x:v>Failure</x:v>
      </x:c>
      <x:c r="B340" s="9" t="str">
        <x:v>Ordinal Reference Ordering</x:v>
      </x:c>
      <x:c r="C340" s="10" t="n">
        <x:v>38</x:v>
      </x:c>
      <x:c r="D340" s="9" t="str">
        <x:v>Move whichever item comes second when you count from the right into the bowl.</x:v>
      </x:c>
      <x:c r="E340" s="9" t="str">
        <x:v>L1: green highlighter, L2: yellow pen</x:v>
      </x:c>
      <x:c r="F340" s="9" t="str">
        <x:v>green highlighter</x:v>
      </x:c>
      <x:c r="G340" s="9" t="str">
        <x:v>got gripper on the green highlighter, but couldn't pick it up</x:v>
      </x:c>
      <x:c r="H340" s="9" t="str">
        <x:v>Language robustness</x:v>
      </x:c>
      <x:c r="I340" s="9" t="str">
        <x:v>CT-CF03-N2-04</x:v>
      </x:c>
      <x:c r="J340" s="9" t="str">
        <x:v>Transfer paraphrase</x:v>
      </x:c>
      <x:c r="K340" s="9" t="n">
        <x:v>36</x:v>
      </x:c>
      <x:c r="L340" s="9"/>
      <x:c r="M340" s="9"/>
      <x:c r="N340" s="9" t="str">
        <x:v>2 — Full transfer/control/language families</x:v>
      </x:c>
      <x:c r="O340" s="9" t="str">
        <x:v>Return the previously moved object to its marked position. Do not move any other object; only the prompt changes.</x:v>
      </x:c>
      <x:c r="P340" s="9" t="str">
        <x:v>Exact-scene paraphrase of the referenced canonical transfer row. Exclude this row from the 50-trial primary canonical score.</x:v>
      </x:c>
      <x:c r="Q340" s="9"/>
      <x:c r="R340" s="10" t="n">
        <x:v>2</x:v>
      </x:c>
      <x:c r="S340" s="10"/>
      <x:c r="T340" s="9"/>
      <x:c r="U340" s="9"/>
      <x:c r="V340" s="9"/>
      <x:c r="W340" s="9" t="str">
        <x:v>CT-CF03-N2-04</x:v>
      </x:c>
      <x:c r="X340" s="10"/>
      <x:c r="Y340" s="10"/>
      <x:c r="Z340" s="9"/>
      <x:c r="AA340" s="9" t="str">
        <x:v>L1</x:v>
      </x:c>
      <x:c r="AB340" s="9" t="str">
        <x:v>second from right — paraphrase</x:v>
      </x:c>
      <x:c r="AC340" s="9"/>
      <x:c r="AD340" s="9"/>
      <x:c r="AE340" s="9"/>
      <x:c r="AF340" s="9"/>
      <x:c r="AG340" s="9"/>
      <x:c r="AH340" s="9"/>
      <x:c r="AI340" s="11"/>
      <x:c r="AJ340" s="9"/>
      <x:c r="AK340" s="9" t="str">
        <x:v>Eval_Ordinal_Reference_Ordering.xlsm</x:v>
      </x:c>
      <x:c r="AL340" s="9" t="str">
        <x:v>GR00T visual only Results</x:v>
      </x:c>
      <x:c r="AM340" s="9" t="n">
        <x:v>40</x:v>
      </x:c>
      <x:c r="AN340" s="9" t="n">
        <x:v>40</x:v>
      </x:c>
    </x:row>
    <x:row r="341">
      <x:c r="A341" s="9" t="str">
        <x:v>Success</x:v>
      </x:c>
      <x:c r="B341" s="9" t="str">
        <x:v>Ordinal Reference Ordering</x:v>
      </x:c>
      <x:c r="C341" s="10" t="n">
        <x:v>39</x:v>
      </x:c>
      <x:c r="D341" s="9" t="str">
        <x:v>Transfer the green highlighter from its marked position into the bowl.</x:v>
      </x:c>
      <x:c r="E341" s="9" t="str">
        <x:v>L1: green highlighter, L2: yellow pen</x:v>
      </x:c>
      <x:c r="F341" s="9" t="str">
        <x:v>green highlighter</x:v>
      </x:c>
      <x:c r="G341" s="9"/>
      <x:c r="H341" s="9" t="str">
        <x:v>Language robustness</x:v>
      </x:c>
      <x:c r="I341" s="9" t="str">
        <x:v>CT-CF03-N2-04</x:v>
      </x:c>
      <x:c r="J341" s="9" t="str">
        <x:v>Matched-control paraphrase</x:v>
      </x:c>
      <x:c r="K341" s="9" t="n">
        <x:v>37</x:v>
      </x:c>
      <x:c r="L341" s="9"/>
      <x:c r="M341" s="9"/>
      <x:c r="N341" s="9" t="str">
        <x:v>2 — Full transfer/control/language families</x:v>
      </x:c>
      <x:c r="O341" s="9" t="str">
        <x:v>Return the previously moved object to its marked position. Do not move any other object; only the prompt changes.</x:v>
      </x:c>
      <x:c r="P341" s="9" t="str">
        <x:v>Exact-scene paraphrase of the referenced direct-name control. This tests wording sensitivity without changing the target or physical scene.</x:v>
      </x:c>
      <x:c r="Q341" s="9"/>
      <x:c r="R341" s="10" t="n">
        <x:v>2</x:v>
      </x:c>
      <x:c r="S341" s="10"/>
      <x:c r="T341" s="9"/>
      <x:c r="U341" s="9"/>
      <x:c r="V341" s="9"/>
      <x:c r="W341" s="9" t="str">
        <x:v>CT-CF03-N2-04</x:v>
      </x:c>
      <x:c r="X341" s="10"/>
      <x:c r="Y341" s="10"/>
      <x:c r="Z341" s="9"/>
      <x:c r="AA341" s="9" t="str">
        <x:v>L1</x:v>
      </x:c>
      <x:c r="AB341" s="9" t="str">
        <x:v>Direct-name paraphrase</x:v>
      </x:c>
      <x:c r="AC341" s="9"/>
      <x:c r="AD341" s="9"/>
      <x:c r="AE341" s="9"/>
      <x:c r="AF341" s="9"/>
      <x:c r="AG341" s="9"/>
      <x:c r="AH341" s="9"/>
      <x:c r="AI341" s="11"/>
      <x:c r="AJ341" s="9"/>
      <x:c r="AK341" s="9" t="str">
        <x:v>Eval_Ordinal_Reference_Ordering.xlsm</x:v>
      </x:c>
      <x:c r="AL341" s="9" t="str">
        <x:v>GR00T visual only Results</x:v>
      </x:c>
      <x:c r="AM341" s="9" t="n">
        <x:v>41</x:v>
      </x:c>
      <x:c r="AN341" s="9" t="n">
        <x:v>41</x:v>
      </x:c>
    </x:row>
    <x:row r="342">
      <x:c r="A342" s="9" t="str">
        <x:v>Success</x:v>
      </x:c>
      <x:c r="B342" s="9" t="str">
        <x:v>Ordinal Reference Ordering</x:v>
      </x:c>
      <x:c r="C342" s="10" t="n">
        <x:v>40</x:v>
      </x:c>
      <x:c r="D342" s="9" t="str">
        <x:v>Grasp the yellow pen, then release it inside the bowl.</x:v>
      </x:c>
      <x:c r="E342" s="9" t="str">
        <x:v>L1: green highlighter, L2: yellow pen</x:v>
      </x:c>
      <x:c r="F342" s="9" t="str">
        <x:v>yellow pen</x:v>
      </x:c>
      <x:c r="G342" s="9"/>
      <x:c r="H342" s="9" t="str">
        <x:v>Language robustness</x:v>
      </x:c>
      <x:c r="I342" s="9" t="str">
        <x:v>CT-CF03-N2-04</x:v>
      </x:c>
      <x:c r="J342" s="9" t="str">
        <x:v>Matched-control paraphrase</x:v>
      </x:c>
      <x:c r="K342" s="9" t="n">
        <x:v>42</x:v>
      </x:c>
      <x:c r="L342" s="9"/>
      <x:c r="M342" s="9"/>
      <x:c r="N342" s="9" t="str">
        <x:v>2 — Full transfer/control/language families</x:v>
      </x:c>
      <x:c r="O342" s="9" t="str">
        <x:v>Return the previously moved object to its marked position. Do not move any other object; only the prompt changes.</x:v>
      </x:c>
      <x:c r="P342" s="9" t="str">
        <x:v>Exact-scene paraphrase of the referenced direct-name control. This tests wording sensitivity without changing the target or physical scene.</x:v>
      </x:c>
      <x:c r="Q342" s="9"/>
      <x:c r="R342" s="10" t="n">
        <x:v>2</x:v>
      </x:c>
      <x:c r="S342" s="10"/>
      <x:c r="T342" s="9"/>
      <x:c r="U342" s="9"/>
      <x:c r="V342" s="9"/>
      <x:c r="W342" s="9" t="str">
        <x:v>CT-CF03-N2-04</x:v>
      </x:c>
      <x:c r="X342" s="10"/>
      <x:c r="Y342" s="10"/>
      <x:c r="Z342" s="9"/>
      <x:c r="AA342" s="9" t="str">
        <x:v>L2</x:v>
      </x:c>
      <x:c r="AB342" s="9" t="str">
        <x:v>Direct-name paraphrase</x:v>
      </x:c>
      <x:c r="AC342" s="9"/>
      <x:c r="AD342" s="9"/>
      <x:c r="AE342" s="9"/>
      <x:c r="AF342" s="9"/>
      <x:c r="AG342" s="9"/>
      <x:c r="AH342" s="9"/>
      <x:c r="AI342" s="11"/>
      <x:c r="AJ342" s="9"/>
      <x:c r="AK342" s="9" t="str">
        <x:v>Eval_Ordinal_Reference_Ordering.xlsm</x:v>
      </x:c>
      <x:c r="AL342" s="9" t="str">
        <x:v>GR00T visual only Results</x:v>
      </x:c>
      <x:c r="AM342" s="9" t="n">
        <x:v>42</x:v>
      </x:c>
      <x:c r="AN342" s="9" t="n">
        <x:v>42</x:v>
      </x:c>
    </x:row>
    <x:row r="343">
      <x:c r="A343" s="9" t="str">
        <x:v>Failure</x:v>
      </x:c>
      <x:c r="B343" s="9" t="str">
        <x:v>Ordinal Reference Ordering</x:v>
      </x:c>
      <x:c r="C343" s="10" t="n">
        <x:v>41</x:v>
      </x:c>
      <x:c r="D343" s="9" t="str">
        <x:v>Count from the left; place item number 2 in the bowl.</x:v>
      </x:c>
      <x:c r="E343" s="9" t="str">
        <x:v>L1: green highlighter, L2: yellow pen</x:v>
      </x:c>
      <x:c r="F343" s="9" t="str">
        <x:v>yellow pen</x:v>
      </x:c>
      <x:c r="G343" s="9" t="str">
        <x:v>got gripper on the green highlighter and then didn't move</x:v>
      </x:c>
      <x:c r="H343" s="9" t="str">
        <x:v>Language robustness</x:v>
      </x:c>
      <x:c r="I343" s="9" t="str">
        <x:v>CT-CF03-N2-04</x:v>
      </x:c>
      <x:c r="J343" s="9" t="str">
        <x:v>Transfer paraphrase</x:v>
      </x:c>
      <x:c r="K343" s="9" t="n">
        <x:v>43</x:v>
      </x:c>
      <x:c r="L343" s="9"/>
      <x:c r="M343" s="9"/>
      <x:c r="N343" s="9" t="str">
        <x:v>2 — Full transfer/control/language families</x:v>
      </x:c>
      <x:c r="O343" s="9" t="str">
        <x:v>Return the previously moved object to its marked position. Do not move any other object; only the prompt changes.</x:v>
      </x:c>
      <x:c r="P343" s="9" t="str">
        <x:v>Exact-scene paraphrase of the referenced canonical transfer row. Exclude this row from the 50-trial primary canonical score.</x:v>
      </x:c>
      <x:c r="Q343" s="9"/>
      <x:c r="R343" s="10" t="n">
        <x:v>2</x:v>
      </x:c>
      <x:c r="S343" s="10"/>
      <x:c r="T343" s="9"/>
      <x:c r="U343" s="9"/>
      <x:c r="V343" s="9"/>
      <x:c r="W343" s="9" t="str">
        <x:v>CT-CF03-N2-04</x:v>
      </x:c>
      <x:c r="X343" s="10"/>
      <x:c r="Y343" s="10"/>
      <x:c r="Z343" s="9"/>
      <x:c r="AA343" s="9" t="str">
        <x:v>L2</x:v>
      </x:c>
      <x:c r="AB343" s="9" t="str">
        <x:v>second from left — paraphrase</x:v>
      </x:c>
      <x:c r="AC343" s="9"/>
      <x:c r="AD343" s="9"/>
      <x:c r="AE343" s="9"/>
      <x:c r="AF343" s="9"/>
      <x:c r="AG343" s="9"/>
      <x:c r="AH343" s="9"/>
      <x:c r="AI343" s="11"/>
      <x:c r="AJ343" s="9"/>
      <x:c r="AK343" s="9" t="str">
        <x:v>Eval_Ordinal_Reference_Ordering.xlsm</x:v>
      </x:c>
      <x:c r="AL343" s="9" t="str">
        <x:v>GR00T visual only Results</x:v>
      </x:c>
      <x:c r="AM343" s="9" t="n">
        <x:v>43</x:v>
      </x:c>
      <x:c r="AN343" s="9" t="n">
        <x:v>43</x:v>
      </x:c>
    </x:row>
    <x:row r="344">
      <x:c r="A344" s="9" t="str">
        <x:v>Success</x:v>
      </x:c>
      <x:c r="B344" s="9" t="str">
        <x:v>Ordinal Reference Ordering</x:v>
      </x:c>
      <x:c r="C344" s="10" t="n">
        <x:v>42</x:v>
      </x:c>
      <x:c r="D344" s="9" t="str">
        <x:v>Move the yellow pen into the bowl.</x:v>
      </x:c>
      <x:c r="E344" s="9" t="str">
        <x:v>L1: green highlighter, L2: yellow pen</x:v>
      </x:c>
      <x:c r="F344" s="9" t="str">
        <x:v>yellow pen</x:v>
      </x:c>
      <x:c r="G344" s="9"/>
      <x:c r="H344" s="9" t="str">
        <x:v>Matched manipulation control</x:v>
      </x:c>
      <x:c r="I344" s="9" t="str">
        <x:v>CT-CF03-N2-04</x:v>
      </x:c>
      <x:c r="J344" s="9" t="str">
        <x:v>Exact-scene direct control; training prompt from episode 771</x:v>
      </x:c>
      <x:c r="K344" s="9" t="n">
        <x:v>43</x:v>
      </x:c>
      <x:c r="L344" s="9"/>
      <x:c r="M344" s="9"/>
      <x:c r="N344" s="9" t="str">
        <x:v>2 — Full transfer/control/language families</x:v>
      </x:c>
      <x:c r="O344" s="9" t="str">
        <x:v>Return the previously moved object to its marked position. Do not move any other object; only the prompt changes.</x:v>
      </x:c>
      <x:c r="P344" s="9" t="str">
        <x:v>This is the direct-name prompt assigned to the same masked training cell. It tests recognition and manipulation of the exact transfer target in the exact scene without requiring ordinal selection.</x:v>
      </x:c>
      <x:c r="Q344" s="9"/>
      <x:c r="R344" s="10" t="n">
        <x:v>2</x:v>
      </x:c>
      <x:c r="S344" s="10"/>
      <x:c r="T344" s="9"/>
      <x:c r="U344" s="9"/>
      <x:c r="V344" s="9"/>
      <x:c r="W344" s="9" t="str">
        <x:v>CT-CF03-N2-04</x:v>
      </x:c>
      <x:c r="X344" s="10"/>
      <x:c r="Y344" s="10"/>
      <x:c r="Z344" s="9"/>
      <x:c r="AA344" s="9" t="str">
        <x:v>L2</x:v>
      </x:c>
      <x:c r="AB344" s="9" t="str">
        <x:v>Direct-name control</x:v>
      </x:c>
      <x:c r="AC344" s="9"/>
      <x:c r="AD344" s="9"/>
      <x:c r="AE344" s="9"/>
      <x:c r="AF344" s="9"/>
      <x:c r="AG344" s="9"/>
      <x:c r="AH344" s="9"/>
      <x:c r="AI344" s="11"/>
      <x:c r="AJ344" s="9"/>
      <x:c r="AK344" s="9" t="str">
        <x:v>Eval_Ordinal_Reference_Ordering.xlsm</x:v>
      </x:c>
      <x:c r="AL344" s="9" t="str">
        <x:v>GR00T visual only Results</x:v>
      </x:c>
      <x:c r="AM344" s="9" t="n">
        <x:v>44</x:v>
      </x:c>
      <x:c r="AN344" s="9" t="n">
        <x:v>44</x:v>
      </x:c>
    </x:row>
    <x:row r="345">
      <x:c r="A345" s="9" t="str">
        <x:v>Success</x:v>
      </x:c>
      <x:c r="B345" s="9" t="str">
        <x:v>Ordinal Reference Ordering</x:v>
      </x:c>
      <x:c r="C345" s="10" t="n">
        <x:v>43</x:v>
      </x:c>
      <x:c r="D345" s="9" t="str">
        <x:v>Pick up the object that is second from the left and place it in the bowl.</x:v>
      </x:c>
      <x:c r="E345" s="9" t="str">
        <x:v>L1: green highlighter, L2: yellow pen</x:v>
      </x:c>
      <x:c r="F345" s="9" t="str">
        <x:v>yellow pen</x:v>
      </x:c>
      <x:c r="G345" s="9"/>
      <x:c r="H345" s="9" t="str">
        <x:v>Concept/compositional transfer</x:v>
      </x:c>
      <x:c r="I345" s="9" t="str">
        <x:v>CT-CF03-N2-04</x:v>
      </x:c>
      <x:c r="J345" s="9" t="str">
        <x:v>Masked cell n=2, L2, yellow pen</x:v>
      </x:c>
      <x:c r="K345" s="9" t="n">
        <x:v>36</x:v>
      </x:c>
      <x:c r="L345" s="9"/>
      <x:c r="M345" s="9"/>
      <x:c r="N345" s="9" t="str">
        <x:v>2 — Full transfer/control/language families</x:v>
      </x:c>
      <x:c r="O345" s="9" t="str">
        <x:v>Return the previously moved object to its marked position. Do not move any other object; only the prompt changes.</x:v>
      </x:c>
      <x:c r="P345" s="9" t="str">
        <x:v>The final manifest masks this exact sequence-length × physical-position × target-identity cell. Both equivalent left- and right-based descriptions are absent for this cell, while the canonical instruction wording occurs elsewhere in training.</x:v>
      </x:c>
      <x:c r="Q345" s="9"/>
      <x:c r="R345" s="10" t="n">
        <x:v>2</x:v>
      </x:c>
      <x:c r="S345" s="10"/>
      <x:c r="T345" s="9"/>
      <x:c r="U345" s="9"/>
      <x:c r="V345" s="9"/>
      <x:c r="W345" s="9" t="str">
        <x:v>CT-CF03-N2-04</x:v>
      </x:c>
      <x:c r="X345" s="10"/>
      <x:c r="Y345" s="10"/>
      <x:c r="Z345" s="9"/>
      <x:c r="AA345" s="9" t="str">
        <x:v>L2</x:v>
      </x:c>
      <x:c r="AB345" s="9" t="str">
        <x:v>second from left</x:v>
      </x:c>
      <x:c r="AC345" s="9"/>
      <x:c r="AD345" s="9"/>
      <x:c r="AE345" s="9"/>
      <x:c r="AF345" s="9"/>
      <x:c r="AG345" s="9"/>
      <x:c r="AH345" s="9"/>
      <x:c r="AI345" s="11"/>
      <x:c r="AJ345" s="9"/>
      <x:c r="AK345" s="9" t="str">
        <x:v>Eval_Ordinal_Reference_Ordering.xlsm</x:v>
      </x:c>
      <x:c r="AL345" s="9" t="str">
        <x:v>GR00T visual only Results</x:v>
      </x:c>
      <x:c r="AM345" s="9" t="n">
        <x:v>45</x:v>
      </x:c>
      <x:c r="AN345" s="9" t="n">
        <x:v>45</x:v>
      </x:c>
    </x:row>
    <x:row r="346">
      <x:c r="A346" s="9" t="str">
        <x:v>Success</x:v>
      </x:c>
      <x:c r="B346" s="9" t="str">
        <x:v>Ordinal Reference Ordering</x:v>
      </x:c>
      <x:c r="C346" s="10" t="n">
        <x:v>44</x:v>
      </x:c>
      <x:c r="D346" s="9" t="str">
        <x:v>Pick up the object that is third from the left and place it in the bowl.</x:v>
      </x:c>
      <x:c r="E346" s="9" t="str">
        <x:v>L1: yellow pen, L2: airplane toy with propellers, L3: green highlighter</x:v>
      </x:c>
      <x:c r="F346" s="9" t="str">
        <x:v>green highlighter</x:v>
      </x:c>
      <x:c r="G346" s="9"/>
      <x:c r="H346" s="9" t="str">
        <x:v>Concept/compositional transfer</x:v>
      </x:c>
      <x:c r="I346" s="9" t="str">
        <x:v>CT-CF04-N3-04</x:v>
      </x:c>
      <x:c r="J346" s="9" t="str">
        <x:v>Masked cell n=3, L3, green highlighter</x:v>
      </x:c>
      <x:c r="K346" s="9"/>
      <x:c r="L346" s="9"/>
      <x:c r="M346" s="9"/>
      <x:c r="N346" s="9" t="str">
        <x:v>2 — Full transfer/control/language families</x:v>
      </x:c>
      <x:c r="O346" s="9" t="str">
        <x:v>Build this new scene family exactly from the L1–L4 description and save a first-frame reference image.</x:v>
      </x:c>
      <x:c r="P346" s="9" t="str">
        <x:v>The final manifest masks this exact sequence-length × physical-position × target-identity cell. Both equivalent left- and right-based descriptions are absent for this cell, while the canonical instruction wording occurs elsewhere in training.</x:v>
      </x:c>
      <x:c r="Q346" s="9"/>
      <x:c r="R346" s="10" t="n">
        <x:v>3</x:v>
      </x:c>
      <x:c r="S346" s="10"/>
      <x:c r="T346" s="9"/>
      <x:c r="U346" s="9"/>
      <x:c r="V346" s="9"/>
      <x:c r="W346" s="9" t="str">
        <x:v>CT-CF04-N3-04</x:v>
      </x:c>
      <x:c r="X346" s="10"/>
      <x:c r="Y346" s="10"/>
      <x:c r="Z346" s="9"/>
      <x:c r="AA346" s="9" t="str">
        <x:v>L3</x:v>
      </x:c>
      <x:c r="AB346" s="9" t="str">
        <x:v>third from left</x:v>
      </x:c>
      <x:c r="AC346" s="9"/>
      <x:c r="AD346" s="9"/>
      <x:c r="AE346" s="9"/>
      <x:c r="AF346" s="9"/>
      <x:c r="AG346" s="9"/>
      <x:c r="AH346" s="9"/>
      <x:c r="AI346" s="11"/>
      <x:c r="AJ346" s="9"/>
      <x:c r="AK346" s="9" t="str">
        <x:v>Eval_Ordinal_Reference_Ordering.xlsm</x:v>
      </x:c>
      <x:c r="AL346" s="9" t="str">
        <x:v>GR00T visual only Results</x:v>
      </x:c>
      <x:c r="AM346" s="9" t="n">
        <x:v>46</x:v>
      </x:c>
      <x:c r="AN346" s="9" t="n">
        <x:v>46</x:v>
      </x:c>
    </x:row>
    <x:row r="347">
      <x:c r="A347" s="9" t="str">
        <x:v>Success</x:v>
      </x:c>
      <x:c r="B347" s="9" t="str">
        <x:v>Ordinal Reference Ordering</x:v>
      </x:c>
      <x:c r="C347" s="10" t="n">
        <x:v>45</x:v>
      </x:c>
      <x:c r="D347" s="9" t="str">
        <x:v>Put the green highlighter in the bowl.</x:v>
      </x:c>
      <x:c r="E347" s="9" t="str">
        <x:v>L1: yellow pen, L2: airplane toy with propellers, L3: green highlighter</x:v>
      </x:c>
      <x:c r="F347" s="9" t="str">
        <x:v>green highlighter</x:v>
      </x:c>
      <x:c r="G347" s="9"/>
      <x:c r="H347" s="9" t="str">
        <x:v>Matched manipulation control</x:v>
      </x:c>
      <x:c r="I347" s="9" t="str">
        <x:v>CT-CF04-N3-04</x:v>
      </x:c>
      <x:c r="J347" s="9" t="str">
        <x:v>Exact-scene direct control; training prompt from episode 733</x:v>
      </x:c>
      <x:c r="K347" s="9" t="n">
        <x:v>44</x:v>
      </x:c>
      <x:c r="L347" s="9"/>
      <x:c r="M347" s="9"/>
      <x:c r="N347" s="9" t="str">
        <x:v>2 — Full transfer/control/language families</x:v>
      </x:c>
      <x:c r="O347" s="9" t="str">
        <x:v>Return the previously moved object to its marked position. Do not move any other object; only the prompt changes.</x:v>
      </x:c>
      <x:c r="P347" s="9" t="str">
        <x:v>This is the direct-name prompt assigned to the same masked training cell. It tests recognition and manipulation of the exact transfer target in the exact scene without requiring ordinal selection.</x:v>
      </x:c>
      <x:c r="Q347" s="9"/>
      <x:c r="R347" s="10" t="n">
        <x:v>3</x:v>
      </x:c>
      <x:c r="S347" s="10"/>
      <x:c r="T347" s="9"/>
      <x:c r="U347" s="9"/>
      <x:c r="V347" s="9"/>
      <x:c r="W347" s="9" t="str">
        <x:v>CT-CF04-N3-04</x:v>
      </x:c>
      <x:c r="X347" s="10"/>
      <x:c r="Y347" s="10"/>
      <x:c r="Z347" s="9"/>
      <x:c r="AA347" s="9" t="str">
        <x:v>L3</x:v>
      </x:c>
      <x:c r="AB347" s="9" t="str">
        <x:v>Direct-name control</x:v>
      </x:c>
      <x:c r="AC347" s="9"/>
      <x:c r="AD347" s="9"/>
      <x:c r="AE347" s="9"/>
      <x:c r="AF347" s="9"/>
      <x:c r="AG347" s="9"/>
      <x:c r="AH347" s="9"/>
      <x:c r="AI347" s="11"/>
      <x:c r="AJ347" s="9"/>
      <x:c r="AK347" s="9" t="str">
        <x:v>Eval_Ordinal_Reference_Ordering.xlsm</x:v>
      </x:c>
      <x:c r="AL347" s="9" t="str">
        <x:v>GR00T visual only Results</x:v>
      </x:c>
      <x:c r="AM347" s="9" t="n">
        <x:v>47</x:v>
      </x:c>
      <x:c r="AN347" s="9" t="n">
        <x:v>47</x:v>
      </x:c>
    </x:row>
    <x:row r="348">
      <x:c r="A348" s="9" t="str">
        <x:v>Success</x:v>
      </x:c>
      <x:c r="B348" s="9" t="str">
        <x:v>Ordinal Reference Ordering</x:v>
      </x:c>
      <x:c r="C348" s="10" t="n">
        <x:v>46</x:v>
      </x:c>
      <x:c r="D348" s="9" t="str">
        <x:v>Put the item in the third position from the left into the bowl.</x:v>
      </x:c>
      <x:c r="E348" s="9" t="str">
        <x:v>L1: yellow pen, L2: airplane toy with propellers, L3: green highlighter</x:v>
      </x:c>
      <x:c r="F348" s="9" t="str">
        <x:v>green highlighter</x:v>
      </x:c>
      <x:c r="G348" s="9"/>
      <x:c r="H348" s="9" t="str">
        <x:v>Language robustness</x:v>
      </x:c>
      <x:c r="I348" s="9" t="str">
        <x:v>CT-CF04-N3-04</x:v>
      </x:c>
      <x:c r="J348" s="9" t="str">
        <x:v>Transfer paraphrase</x:v>
      </x:c>
      <x:c r="K348" s="9" t="n">
        <x:v>44</x:v>
      </x:c>
      <x:c r="L348" s="9"/>
      <x:c r="M348" s="9"/>
      <x:c r="N348" s="9" t="str">
        <x:v>2 — Full transfer/control/language families</x:v>
      </x:c>
      <x:c r="O348" s="9" t="str">
        <x:v>Return the previously moved object to its marked position. Do not move any other object; only the prompt changes.</x:v>
      </x:c>
      <x:c r="P348" s="9" t="str">
        <x:v>Exact-scene paraphrase of the referenced canonical transfer row. Exclude this row from the 50-trial primary canonical score.</x:v>
      </x:c>
      <x:c r="Q348" s="9"/>
      <x:c r="R348" s="10" t="n">
        <x:v>3</x:v>
      </x:c>
      <x:c r="S348" s="10"/>
      <x:c r="T348" s="9"/>
      <x:c r="U348" s="9"/>
      <x:c r="V348" s="9"/>
      <x:c r="W348" s="9" t="str">
        <x:v>CT-CF04-N3-04</x:v>
      </x:c>
      <x:c r="X348" s="10"/>
      <x:c r="Y348" s="10"/>
      <x:c r="Z348" s="9"/>
      <x:c r="AA348" s="9" t="str">
        <x:v>L3</x:v>
      </x:c>
      <x:c r="AB348" s="9" t="str">
        <x:v>third from left — paraphrase</x:v>
      </x:c>
      <x:c r="AC348" s="9"/>
      <x:c r="AD348" s="9"/>
      <x:c r="AE348" s="9"/>
      <x:c r="AF348" s="9"/>
      <x:c r="AG348" s="9"/>
      <x:c r="AH348" s="9"/>
      <x:c r="AI348" s="11"/>
      <x:c r="AJ348" s="9"/>
      <x:c r="AK348" s="9" t="str">
        <x:v>Eval_Ordinal_Reference_Ordering.xlsm</x:v>
      </x:c>
      <x:c r="AL348" s="9" t="str">
        <x:v>GR00T visual only Results</x:v>
      </x:c>
      <x:c r="AM348" s="9" t="n">
        <x:v>48</x:v>
      </x:c>
      <x:c r="AN348" s="9" t="n">
        <x:v>48</x:v>
      </x:c>
    </x:row>
    <x:row r="349">
      <x:c r="A349" s="9" t="str">
        <x:v>Success</x:v>
      </x:c>
      <x:c r="B349" s="9" t="str">
        <x:v>Ordinal Reference Ordering</x:v>
      </x:c>
      <x:c r="C349" s="10" t="n">
        <x:v>47</x:v>
      </x:c>
      <x:c r="D349" s="9" t="str">
        <x:v>Move the row's green highlighter into the bowl.</x:v>
      </x:c>
      <x:c r="E349" s="9" t="str">
        <x:v>L1: yellow pen, L2: airplane toy with propellers, L3: green highlighter</x:v>
      </x:c>
      <x:c r="F349" s="9" t="str">
        <x:v>green highlighter</x:v>
      </x:c>
      <x:c r="G349" s="9"/>
      <x:c r="H349" s="9" t="str">
        <x:v>Language robustness</x:v>
      </x:c>
      <x:c r="I349" s="9" t="str">
        <x:v>CT-CF04-N3-04</x:v>
      </x:c>
      <x:c r="J349" s="9" t="str">
        <x:v>Matched-control paraphrase</x:v>
      </x:c>
      <x:c r="K349" s="9" t="n">
        <x:v>45</x:v>
      </x:c>
      <x:c r="L349" s="9"/>
      <x:c r="M349" s="9"/>
      <x:c r="N349" s="9" t="str">
        <x:v>2 — Full transfer/control/language families</x:v>
      </x:c>
      <x:c r="O349" s="9" t="str">
        <x:v>Return the previously moved object to its marked position. Do not move any other object; only the prompt changes.</x:v>
      </x:c>
      <x:c r="P349" s="9" t="str">
        <x:v>Exact-scene paraphrase of the referenced direct-name control. This tests wording sensitivity without changing the target or physical scene.</x:v>
      </x:c>
      <x:c r="Q349" s="9"/>
      <x:c r="R349" s="10" t="n">
        <x:v>3</x:v>
      </x:c>
      <x:c r="S349" s="10"/>
      <x:c r="T349" s="9"/>
      <x:c r="U349" s="9"/>
      <x:c r="V349" s="9"/>
      <x:c r="W349" s="9" t="str">
        <x:v>CT-CF04-N3-04</x:v>
      </x:c>
      <x:c r="X349" s="10"/>
      <x:c r="Y349" s="10"/>
      <x:c r="Z349" s="9"/>
      <x:c r="AA349" s="9" t="str">
        <x:v>L3</x:v>
      </x:c>
      <x:c r="AB349" s="9" t="str">
        <x:v>Direct-name paraphrase</x:v>
      </x:c>
      <x:c r="AC349" s="9"/>
      <x:c r="AD349" s="9"/>
      <x:c r="AE349" s="9"/>
      <x:c r="AF349" s="9"/>
      <x:c r="AG349" s="9"/>
      <x:c r="AH349" s="9"/>
      <x:c r="AI349" s="11"/>
      <x:c r="AJ349" s="9"/>
      <x:c r="AK349" s="9" t="str">
        <x:v>Eval_Ordinal_Reference_Ordering.xlsm</x:v>
      </x:c>
      <x:c r="AL349" s="9" t="str">
        <x:v>GR00T visual only Results</x:v>
      </x:c>
      <x:c r="AM349" s="9" t="n">
        <x:v>49</x:v>
      </x:c>
      <x:c r="AN349" s="9" t="n">
        <x:v>49</x:v>
      </x:c>
    </x:row>
    <x:row r="350">
      <x:c r="A350" s="9" t="str">
        <x:v>Success</x:v>
      </x:c>
      <x:c r="B350" s="9" t="str">
        <x:v>Ordinal Reference Ordering</x:v>
      </x:c>
      <x:c r="C350" s="10" t="n">
        <x:v>48</x:v>
      </x:c>
      <x:c r="D350" s="9" t="str">
        <x:v>Grasp the yellow pen, then release it inside the bowl.</x:v>
      </x:c>
      <x:c r="E350" s="9" t="str">
        <x:v>L1: yellow pen, L2: airplane toy with propellers, L3: green highlighter</x:v>
      </x:c>
      <x:c r="F350" s="9" t="str">
        <x:v>yellow pen</x:v>
      </x:c>
      <x:c r="G350" s="9"/>
      <x:c r="H350" s="9" t="str">
        <x:v>Language robustness</x:v>
      </x:c>
      <x:c r="I350" s="9" t="str">
        <x:v>CT-CF04-N3-04</x:v>
      </x:c>
      <x:c r="J350" s="9" t="str">
        <x:v>Matched-control paraphrase</x:v>
      </x:c>
      <x:c r="K350" s="9" t="n">
        <x:v>50</x:v>
      </x:c>
      <x:c r="L350" s="9"/>
      <x:c r="M350" s="9"/>
      <x:c r="N350" s="9" t="str">
        <x:v>2 — Full transfer/control/language families</x:v>
      </x:c>
      <x:c r="O350" s="9" t="str">
        <x:v>Return the previously moved object to its marked position. Do not move any other object; only the prompt changes.</x:v>
      </x:c>
      <x:c r="P350" s="9" t="str">
        <x:v>Exact-scene paraphrase of the referenced direct-name control. This tests wording sensitivity without changing the target or physical scene.</x:v>
      </x:c>
      <x:c r="Q350" s="9"/>
      <x:c r="R350" s="10" t="n">
        <x:v>3</x:v>
      </x:c>
      <x:c r="S350" s="10"/>
      <x:c r="T350" s="9"/>
      <x:c r="U350" s="9"/>
      <x:c r="V350" s="9"/>
      <x:c r="W350" s="9" t="str">
        <x:v>CT-CF04-N3-04</x:v>
      </x:c>
      <x:c r="X350" s="10"/>
      <x:c r="Y350" s="10"/>
      <x:c r="Z350" s="9"/>
      <x:c r="AA350" s="9" t="str">
        <x:v>L1</x:v>
      </x:c>
      <x:c r="AB350" s="9" t="str">
        <x:v>Direct-name paraphrase</x:v>
      </x:c>
      <x:c r="AC350" s="9"/>
      <x:c r="AD350" s="9"/>
      <x:c r="AE350" s="9"/>
      <x:c r="AF350" s="9"/>
      <x:c r="AG350" s="9"/>
      <x:c r="AH350" s="9"/>
      <x:c r="AI350" s="11"/>
      <x:c r="AJ350" s="9"/>
      <x:c r="AK350" s="9" t="str">
        <x:v>Eval_Ordinal_Reference_Ordering.xlsm</x:v>
      </x:c>
      <x:c r="AL350" s="9" t="str">
        <x:v>GR00T visual only Results</x:v>
      </x:c>
      <x:c r="AM350" s="9" t="n">
        <x:v>50</x:v>
      </x:c>
      <x:c r="AN350" s="9" t="n">
        <x:v>50</x:v>
      </x:c>
    </x:row>
    <x:row r="351">
      <x:c r="A351" s="9" t="str">
        <x:v>Failure</x:v>
      </x:c>
      <x:c r="B351" s="9" t="str">
        <x:v>Ordinal Reference Ordering</x:v>
      </x:c>
      <x:c r="C351" s="10" t="n">
        <x:v>49</x:v>
      </x:c>
      <x:c r="D351" s="9" t="str">
        <x:v>Count from the left; place item number 1 in the bowl.</x:v>
      </x:c>
      <x:c r="E351" s="9" t="str">
        <x:v>L1: yellow pen, L2: airplane toy with propellers, L3: green highlighter</x:v>
      </x:c>
      <x:c r="F351" s="9" t="str">
        <x:v>yellow pen</x:v>
      </x:c>
      <x:c r="G351" s="9" t="str">
        <x:v>picked green highlighter</x:v>
      </x:c>
      <x:c r="H351" s="9" t="str">
        <x:v>Language robustness</x:v>
      </x:c>
      <x:c r="I351" s="9" t="str">
        <x:v>CT-CF04-N3-04</x:v>
      </x:c>
      <x:c r="J351" s="9" t="str">
        <x:v>Transfer paraphrase</x:v>
      </x:c>
      <x:c r="K351" s="9" t="n">
        <x:v>51</x:v>
      </x:c>
      <x:c r="L351" s="9"/>
      <x:c r="M351" s="9"/>
      <x:c r="N351" s="9" t="str">
        <x:v>2 — Full transfer/control/language families</x:v>
      </x:c>
      <x:c r="O351" s="9" t="str">
        <x:v>Return the previously moved object to its marked position. Do not move any other object; only the prompt changes.</x:v>
      </x:c>
      <x:c r="P351" s="9" t="str">
        <x:v>Exact-scene paraphrase of the referenced canonical transfer row. Exclude this row from the 50-trial primary canonical score.</x:v>
      </x:c>
      <x:c r="Q351" s="9"/>
      <x:c r="R351" s="10" t="n">
        <x:v>3</x:v>
      </x:c>
      <x:c r="S351" s="10"/>
      <x:c r="T351" s="9"/>
      <x:c r="U351" s="9"/>
      <x:c r="V351" s="9"/>
      <x:c r="W351" s="9" t="str">
        <x:v>CT-CF04-N3-04</x:v>
      </x:c>
      <x:c r="X351" s="10"/>
      <x:c r="Y351" s="10"/>
      <x:c r="Z351" s="9"/>
      <x:c r="AA351" s="9" t="str">
        <x:v>L1</x:v>
      </x:c>
      <x:c r="AB351" s="9" t="str">
        <x:v>first from left — paraphrase</x:v>
      </x:c>
      <x:c r="AC351" s="9"/>
      <x:c r="AD351" s="9"/>
      <x:c r="AE351" s="9"/>
      <x:c r="AF351" s="9"/>
      <x:c r="AG351" s="9"/>
      <x:c r="AH351" s="9"/>
      <x:c r="AI351" s="11"/>
      <x:c r="AJ351" s="9"/>
      <x:c r="AK351" s="9" t="str">
        <x:v>Eval_Ordinal_Reference_Ordering.xlsm</x:v>
      </x:c>
      <x:c r="AL351" s="9" t="str">
        <x:v>GR00T visual only Results</x:v>
      </x:c>
      <x:c r="AM351" s="9" t="n">
        <x:v>51</x:v>
      </x:c>
      <x:c r="AN351" s="9" t="n">
        <x:v>51</x:v>
      </x:c>
    </x:row>
    <x:row r="352">
      <x:c r="A352" s="9" t="str">
        <x:v>Success</x:v>
      </x:c>
      <x:c r="B352" s="9" t="str">
        <x:v>Ordinal Reference Ordering</x:v>
      </x:c>
      <x:c r="C352" s="10" t="n">
        <x:v>50</x:v>
      </x:c>
      <x:c r="D352" s="9" t="str">
        <x:v>Put the yellow pen in the bowl.</x:v>
      </x:c>
      <x:c r="E352" s="9" t="str">
        <x:v>L1: yellow pen, L2: airplane toy with propellers, L3: green highlighter</x:v>
      </x:c>
      <x:c r="F352" s="9" t="str">
        <x:v>yellow pen</x:v>
      </x:c>
      <x:c r="G352" s="9"/>
      <x:c r="H352" s="9" t="str">
        <x:v>Matched manipulation control</x:v>
      </x:c>
      <x:c r="I352" s="9" t="str">
        <x:v>CT-CF04-N3-04</x:v>
      </x:c>
      <x:c r="J352" s="9" t="str">
        <x:v>Exact-scene direct control; training prompt from episode 757</x:v>
      </x:c>
      <x:c r="K352" s="9" t="n">
        <x:v>51</x:v>
      </x:c>
      <x:c r="L352" s="9"/>
      <x:c r="M352" s="9"/>
      <x:c r="N352" s="9" t="str">
        <x:v>2 — Full transfer/control/language families</x:v>
      </x:c>
      <x:c r="O352" s="9" t="str">
        <x:v>Return the previously moved object to its marked position. Do not move any other object; only the prompt changes.</x:v>
      </x:c>
      <x:c r="P352" s="9" t="str">
        <x:v>This is the direct-name prompt assigned to the same masked training cell. It tests recognition and manipulation of the exact transfer target in the exact scene without requiring ordinal selection.</x:v>
      </x:c>
      <x:c r="Q352" s="9"/>
      <x:c r="R352" s="10" t="n">
        <x:v>3</x:v>
      </x:c>
      <x:c r="S352" s="10"/>
      <x:c r="T352" s="9"/>
      <x:c r="U352" s="9"/>
      <x:c r="V352" s="9"/>
      <x:c r="W352" s="9" t="str">
        <x:v>CT-CF04-N3-04</x:v>
      </x:c>
      <x:c r="X352" s="10"/>
      <x:c r="Y352" s="10"/>
      <x:c r="Z352" s="9"/>
      <x:c r="AA352" s="9" t="str">
        <x:v>L1</x:v>
      </x:c>
      <x:c r="AB352" s="9" t="str">
        <x:v>Direct-name control</x:v>
      </x:c>
      <x:c r="AC352" s="9"/>
      <x:c r="AD352" s="9"/>
      <x:c r="AE352" s="9"/>
      <x:c r="AF352" s="9"/>
      <x:c r="AG352" s="9"/>
      <x:c r="AH352" s="9"/>
      <x:c r="AI352" s="11"/>
      <x:c r="AJ352" s="9"/>
      <x:c r="AK352" s="9" t="str">
        <x:v>Eval_Ordinal_Reference_Ordering.xlsm</x:v>
      </x:c>
      <x:c r="AL352" s="9" t="str">
        <x:v>GR00T visual only Results</x:v>
      </x:c>
      <x:c r="AM352" s="9" t="n">
        <x:v>52</x:v>
      </x:c>
      <x:c r="AN352" s="9" t="n">
        <x:v>52</x:v>
      </x:c>
    </x:row>
    <x:row r="353">
      <x:c r="A353" s="9" t="str">
        <x:v>Failure</x:v>
      </x:c>
      <x:c r="B353" s="9" t="str">
        <x:v>Ordinal Reference Ordering</x:v>
      </x:c>
      <x:c r="C353" s="10" t="n">
        <x:v>51</x:v>
      </x:c>
      <x:c r="D353" s="9" t="str">
        <x:v>Pick up the object that is first from the left and place it in the bowl.</x:v>
      </x:c>
      <x:c r="E353" s="9" t="str">
        <x:v>L1: yellow pen, L2: airplane toy with propellers, L3: green highlighter</x:v>
      </x:c>
      <x:c r="F353" s="9" t="str">
        <x:v>yellow pen</x:v>
      </x:c>
      <x:c r="G353" s="9" t="str">
        <x:v>picked the airplane toy</x:v>
      </x:c>
      <x:c r="H353" s="9" t="str">
        <x:v>Concept/compositional transfer</x:v>
      </x:c>
      <x:c r="I353" s="9" t="str">
        <x:v>CT-CF04-N3-04</x:v>
      </x:c>
      <x:c r="J353" s="9" t="str">
        <x:v>Masked cell n=3, L1, yellow pen</x:v>
      </x:c>
      <x:c r="K353" s="9" t="n">
        <x:v>44</x:v>
      </x:c>
      <x:c r="L353" s="9"/>
      <x:c r="M353" s="9"/>
      <x:c r="N353" s="9" t="str">
        <x:v>2 — Full transfer/control/language families</x:v>
      </x:c>
      <x:c r="O353" s="9" t="str">
        <x:v>Return the previously moved object to its marked position. Do not move any other object; only the prompt changes.</x:v>
      </x:c>
      <x:c r="P353" s="9" t="str">
        <x:v>The final manifest masks this exact sequence-length × physical-position × target-identity cell. Both equivalent left- and right-based descriptions are absent for this cell, while the canonical instruction wording occurs elsewhere in training.</x:v>
      </x:c>
      <x:c r="Q353" s="9"/>
      <x:c r="R353" s="10" t="n">
        <x:v>3</x:v>
      </x:c>
      <x:c r="S353" s="10"/>
      <x:c r="T353" s="9"/>
      <x:c r="U353" s="9"/>
      <x:c r="V353" s="9"/>
      <x:c r="W353" s="9" t="str">
        <x:v>CT-CF04-N3-04</x:v>
      </x:c>
      <x:c r="X353" s="10"/>
      <x:c r="Y353" s="10"/>
      <x:c r="Z353" s="9"/>
      <x:c r="AA353" s="9" t="str">
        <x:v>L1</x:v>
      </x:c>
      <x:c r="AB353" s="9" t="str">
        <x:v>first from left</x:v>
      </x:c>
      <x:c r="AC353" s="9"/>
      <x:c r="AD353" s="9"/>
      <x:c r="AE353" s="9"/>
      <x:c r="AF353" s="9"/>
      <x:c r="AG353" s="9"/>
      <x:c r="AH353" s="9"/>
      <x:c r="AI353" s="11"/>
      <x:c r="AJ353" s="9"/>
      <x:c r="AK353" s="9" t="str">
        <x:v>Eval_Ordinal_Reference_Ordering.xlsm</x:v>
      </x:c>
      <x:c r="AL353" s="9" t="str">
        <x:v>GR00T visual only Results</x:v>
      </x:c>
      <x:c r="AM353" s="9" t="n">
        <x:v>53</x:v>
      </x:c>
      <x:c r="AN353" s="9" t="n">
        <x:v>53</x:v>
      </x:c>
    </x:row>
    <x:row r="354">
      <x:c r="A354" s="9" t="str">
        <x:v>Failure</x:v>
      </x:c>
      <x:c r="B354" s="9" t="str">
        <x:v>Ordinal Reference Ordering</x:v>
      </x:c>
      <x:c r="C354" s="10" t="n">
        <x:v>52</x:v>
      </x:c>
      <x:c r="D354" s="9" t="str">
        <x:v>Pick up the object that is fourth from the right and place it in the bowl.</x:v>
      </x:c>
      <x:c r="E354" s="9" t="str">
        <x:v>L1: airplane toy with propellers, L2: blue tape ball, L3: yellow pen, L4: green highlighter</x:v>
      </x:c>
      <x:c r="F354" s="9" t="str">
        <x:v>airplane toy with propellers</x:v>
      </x:c>
      <x:c r="G354" s="9" t="str">
        <x:v>picked blue tape ball</x:v>
      </x:c>
      <x:c r="H354" s="9" t="str">
        <x:v>Concept/compositional transfer</x:v>
      </x:c>
      <x:c r="I354" s="9" t="str">
        <x:v>CT-CF05-N4-01</x:v>
      </x:c>
      <x:c r="J354" s="9" t="str">
        <x:v>Masked cell n=4, L1, airplane toy with propellers</x:v>
      </x:c>
      <x:c r="K354" s="9"/>
      <x:c r="L354" s="9"/>
      <x:c r="M354" s="9"/>
      <x:c r="N354" s="9" t="str">
        <x:v>2 — Full transfer/control/language families</x:v>
      </x:c>
      <x:c r="O354" s="9" t="str">
        <x:v>Build this new scene family exactly from the L1–L4 description and save a first-frame reference image.</x:v>
      </x:c>
      <x:c r="P354" s="9" t="str">
        <x:v>The final manifest masks this exact sequence-length × physical-position × target-identity cell. Both equivalent left- and right-based descriptions are absent for this cell, while the canonical instruction wording occurs elsewhere in training.</x:v>
      </x:c>
      <x:c r="Q354" s="9"/>
      <x:c r="R354" s="10" t="n">
        <x:v>4</x:v>
      </x:c>
      <x:c r="S354" s="10"/>
      <x:c r="T354" s="9"/>
      <x:c r="U354" s="9"/>
      <x:c r="V354" s="9"/>
      <x:c r="W354" s="9" t="str">
        <x:v>CT-CF05-N4-01</x:v>
      </x:c>
      <x:c r="X354" s="10"/>
      <x:c r="Y354" s="10"/>
      <x:c r="Z354" s="9"/>
      <x:c r="AA354" s="9" t="str">
        <x:v>L1</x:v>
      </x:c>
      <x:c r="AB354" s="9" t="str">
        <x:v>fourth from right</x:v>
      </x:c>
      <x:c r="AC354" s="9"/>
      <x:c r="AD354" s="9"/>
      <x:c r="AE354" s="9"/>
      <x:c r="AF354" s="9"/>
      <x:c r="AG354" s="9"/>
      <x:c r="AH354" s="9"/>
      <x:c r="AI354" s="11"/>
      <x:c r="AJ354" s="9"/>
      <x:c r="AK354" s="9" t="str">
        <x:v>Eval_Ordinal_Reference_Ordering.xlsm</x:v>
      </x:c>
      <x:c r="AL354" s="9" t="str">
        <x:v>GR00T visual only Results</x:v>
      </x:c>
      <x:c r="AM354" s="9" t="n">
        <x:v>54</x:v>
      </x:c>
      <x:c r="AN354" s="9" t="n">
        <x:v>54</x:v>
      </x:c>
    </x:row>
    <x:row r="355">
      <x:c r="A355" s="9" t="str">
        <x:v>Success</x:v>
      </x:c>
      <x:c r="B355" s="9" t="str">
        <x:v>Ordinal Reference Ordering</x:v>
      </x:c>
      <x:c r="C355" s="10" t="n">
        <x:v>53</x:v>
      </x:c>
      <x:c r="D355" s="9" t="str">
        <x:v>Move the airplane toy with propellers into the bowl.</x:v>
      </x:c>
      <x:c r="E355" s="9" t="str">
        <x:v>L1: airplane toy with propellers, L2: blue tape ball, L3: yellow pen, L4: green highlighter</x:v>
      </x:c>
      <x:c r="F355" s="9" t="str">
        <x:v>airplane toy with propellers</x:v>
      </x:c>
      <x:c r="G355" s="9"/>
      <x:c r="H355" s="9" t="str">
        <x:v>Matched manipulation control</x:v>
      </x:c>
      <x:c r="I355" s="9" t="str">
        <x:v>CT-CF05-N4-01</x:v>
      </x:c>
      <x:c r="J355" s="9" t="str">
        <x:v>Exact-scene direct control; training prompt from episode 600</x:v>
      </x:c>
      <x:c r="K355" s="9" t="n">
        <x:v>52</x:v>
      </x:c>
      <x:c r="L355" s="9"/>
      <x:c r="M355" s="9"/>
      <x:c r="N355" s="9" t="str">
        <x:v>2 — Full transfer/control/language families</x:v>
      </x:c>
      <x:c r="O355" s="9" t="str">
        <x:v>Return the previously moved object to its marked position. Do not move any other object; only the prompt changes.</x:v>
      </x:c>
      <x:c r="P355" s="9" t="str">
        <x:v>This is the direct-name prompt assigned to the same masked training cell. It tests recognition and manipulation of the exact transfer target in the exact scene without requiring ordinal selection.</x:v>
      </x:c>
      <x:c r="Q355" s="9"/>
      <x:c r="R355" s="10" t="n">
        <x:v>4</x:v>
      </x:c>
      <x:c r="S355" s="10"/>
      <x:c r="T355" s="9"/>
      <x:c r="U355" s="9"/>
      <x:c r="V355" s="9"/>
      <x:c r="W355" s="9" t="str">
        <x:v>CT-CF05-N4-01</x:v>
      </x:c>
      <x:c r="X355" s="10"/>
      <x:c r="Y355" s="10"/>
      <x:c r="Z355" s="9"/>
      <x:c r="AA355" s="9" t="str">
        <x:v>L1</x:v>
      </x:c>
      <x:c r="AB355" s="9" t="str">
        <x:v>Direct-name control</x:v>
      </x:c>
      <x:c r="AC355" s="9"/>
      <x:c r="AD355" s="9"/>
      <x:c r="AE355" s="9"/>
      <x:c r="AF355" s="9"/>
      <x:c r="AG355" s="9"/>
      <x:c r="AH355" s="9"/>
      <x:c r="AI355" s="11"/>
      <x:c r="AJ355" s="9"/>
      <x:c r="AK355" s="9" t="str">
        <x:v>Eval_Ordinal_Reference_Ordering.xlsm</x:v>
      </x:c>
      <x:c r="AL355" s="9" t="str">
        <x:v>GR00T visual only Results</x:v>
      </x:c>
      <x:c r="AM355" s="9" t="n">
        <x:v>55</x:v>
      </x:c>
      <x:c r="AN355" s="9" t="n">
        <x:v>55</x:v>
      </x:c>
    </x:row>
    <x:row r="356">
      <x:c r="A356" s="9" t="str">
        <x:v>Failure</x:v>
      </x:c>
      <x:c r="B356" s="9" t="str">
        <x:v>Ordinal Reference Ordering</x:v>
      </x:c>
      <x:c r="C356" s="10" t="n">
        <x:v>54</x:v>
      </x:c>
      <x:c r="D356" s="9" t="str">
        <x:v>Put the item in the fourth position from the right into the bowl.</x:v>
      </x:c>
      <x:c r="E356" s="9" t="str">
        <x:v>L1: airplane toy with propellers, L2: blue tape ball, L3: yellow pen, L4: green highlighter</x:v>
      </x:c>
      <x:c r="F356" s="9" t="str">
        <x:v>airplane toy with propellers</x:v>
      </x:c>
      <x:c r="G356" s="9" t="str">
        <x:v>picked green highlighter</x:v>
      </x:c>
      <x:c r="H356" s="9" t="str">
        <x:v>Language robustness</x:v>
      </x:c>
      <x:c r="I356" s="9" t="str">
        <x:v>CT-CF05-N4-01</x:v>
      </x:c>
      <x:c r="J356" s="9" t="str">
        <x:v>Transfer paraphrase</x:v>
      </x:c>
      <x:c r="K356" s="9" t="n">
        <x:v>52</x:v>
      </x:c>
      <x:c r="L356" s="9"/>
      <x:c r="M356" s="9"/>
      <x:c r="N356" s="9" t="str">
        <x:v>2 — Full transfer/control/language families</x:v>
      </x:c>
      <x:c r="O356" s="9" t="str">
        <x:v>Return the previously moved object to its marked position. Do not move any other object; only the prompt changes.</x:v>
      </x:c>
      <x:c r="P356" s="9" t="str">
        <x:v>Exact-scene paraphrase of the referenced canonical transfer row. Exclude this row from the 50-trial primary canonical score.</x:v>
      </x:c>
      <x:c r="Q356" s="9"/>
      <x:c r="R356" s="10" t="n">
        <x:v>4</x:v>
      </x:c>
      <x:c r="S356" s="10"/>
      <x:c r="T356" s="9"/>
      <x:c r="U356" s="9"/>
      <x:c r="V356" s="9"/>
      <x:c r="W356" s="9" t="str">
        <x:v>CT-CF05-N4-01</x:v>
      </x:c>
      <x:c r="X356" s="10"/>
      <x:c r="Y356" s="10"/>
      <x:c r="Z356" s="9"/>
      <x:c r="AA356" s="9" t="str">
        <x:v>L1</x:v>
      </x:c>
      <x:c r="AB356" s="9" t="str">
        <x:v>fourth from right — paraphrase</x:v>
      </x:c>
      <x:c r="AC356" s="9"/>
      <x:c r="AD356" s="9"/>
      <x:c r="AE356" s="9"/>
      <x:c r="AF356" s="9"/>
      <x:c r="AG356" s="9"/>
      <x:c r="AH356" s="9"/>
      <x:c r="AI356" s="11"/>
      <x:c r="AJ356" s="9"/>
      <x:c r="AK356" s="9" t="str">
        <x:v>Eval_Ordinal_Reference_Ordering.xlsm</x:v>
      </x:c>
      <x:c r="AL356" s="9" t="str">
        <x:v>GR00T visual only Results</x:v>
      </x:c>
      <x:c r="AM356" s="9" t="n">
        <x:v>56</x:v>
      </x:c>
      <x:c r="AN356" s="9" t="n">
        <x:v>56</x:v>
      </x:c>
    </x:row>
    <x:row r="357">
      <x:c r="A357" s="9" t="str">
        <x:v>Failure</x:v>
      </x:c>
      <x:c r="B357" s="9" t="str">
        <x:v>Ordinal Reference Ordering</x:v>
      </x:c>
      <x:c r="C357" s="10" t="n">
        <x:v>55</x:v>
      </x:c>
      <x:c r="D357" s="9" t="str">
        <x:v>Move the row's airplane toy with propellers into the bowl.</x:v>
      </x:c>
      <x:c r="E357" s="9" t="str">
        <x:v>L1: airplane toy with propellers, L2: blue tape ball, L3: yellow pen, L4: green highlighter</x:v>
      </x:c>
      <x:c r="F357" s="9" t="str">
        <x:v>airplane toy with propellers</x:v>
      </x:c>
      <x:c r="G357" s="9" t="str">
        <x:v>picked blue tape ball</x:v>
      </x:c>
      <x:c r="H357" s="9" t="str">
        <x:v>Language robustness</x:v>
      </x:c>
      <x:c r="I357" s="9" t="str">
        <x:v>CT-CF05-N4-01</x:v>
      </x:c>
      <x:c r="J357" s="9" t="str">
        <x:v>Matched-control paraphrase</x:v>
      </x:c>
      <x:c r="K357" s="9" t="n">
        <x:v>53</x:v>
      </x:c>
      <x:c r="L357" s="9"/>
      <x:c r="M357" s="9"/>
      <x:c r="N357" s="9" t="str">
        <x:v>2 — Full transfer/control/language families</x:v>
      </x:c>
      <x:c r="O357" s="9" t="str">
        <x:v>Return the previously moved object to its marked position. Do not move any other object; only the prompt changes.</x:v>
      </x:c>
      <x:c r="P357" s="9" t="str">
        <x:v>Exact-scene paraphrase of the referenced direct-name control. This tests wording sensitivity without changing the target or physical scene.</x:v>
      </x:c>
      <x:c r="Q357" s="9"/>
      <x:c r="R357" s="10" t="n">
        <x:v>4</x:v>
      </x:c>
      <x:c r="S357" s="10"/>
      <x:c r="T357" s="9"/>
      <x:c r="U357" s="9"/>
      <x:c r="V357" s="9"/>
      <x:c r="W357" s="9" t="str">
        <x:v>CT-CF05-N4-01</x:v>
      </x:c>
      <x:c r="X357" s="10"/>
      <x:c r="Y357" s="10"/>
      <x:c r="Z357" s="9"/>
      <x:c r="AA357" s="9" t="str">
        <x:v>L1</x:v>
      </x:c>
      <x:c r="AB357" s="9" t="str">
        <x:v>Direct-name paraphrase</x:v>
      </x:c>
      <x:c r="AC357" s="9"/>
      <x:c r="AD357" s="9"/>
      <x:c r="AE357" s="9"/>
      <x:c r="AF357" s="9"/>
      <x:c r="AG357" s="9"/>
      <x:c r="AH357" s="9"/>
      <x:c r="AI357" s="11"/>
      <x:c r="AJ357" s="9"/>
      <x:c r="AK357" s="9" t="str">
        <x:v>Eval_Ordinal_Reference_Ordering.xlsm</x:v>
      </x:c>
      <x:c r="AL357" s="9" t="str">
        <x:v>GR00T visual only Results</x:v>
      </x:c>
      <x:c r="AM357" s="9" t="n">
        <x:v>57</x:v>
      </x:c>
      <x:c r="AN357" s="9" t="n">
        <x:v>57</x:v>
      </x:c>
    </x:row>
    <x:row r="358">
      <x:c r="A358" s="9" t="str">
        <x:v>Failure</x:v>
      </x:c>
      <x:c r="B358" s="9" t="str">
        <x:v>Ordinal Reference Ordering</x:v>
      </x:c>
      <x:c r="C358" s="10" t="n">
        <x:v>56</x:v>
      </x:c>
      <x:c r="D358" s="9" t="str">
        <x:v>Take the blue tape ball from the row and set it inside the bowl.</x:v>
      </x:c>
      <x:c r="E358" s="9" t="str">
        <x:v>L1: airplane toy with propellers, L2: blue tape ball, L3: yellow pen, L4: green highlighter</x:v>
      </x:c>
      <x:c r="F358" s="9" t="str">
        <x:v>blue tape ball</x:v>
      </x:c>
      <x:c r="G358" s="9" t="str">
        <x:v>succeeded in going to the tape ball but didn't grasp it; knocked it out of range</x:v>
      </x:c>
      <x:c r="H358" s="9" t="str">
        <x:v>Language robustness</x:v>
      </x:c>
      <x:c r="I358" s="9" t="str">
        <x:v>CT-CF05-N4-01</x:v>
      </x:c>
      <x:c r="J358" s="9" t="str">
        <x:v>Matched-control paraphrase</x:v>
      </x:c>
      <x:c r="K358" s="9" t="n">
        <x:v>58</x:v>
      </x:c>
      <x:c r="L358" s="9"/>
      <x:c r="M358" s="9"/>
      <x:c r="N358" s="9" t="str">
        <x:v>2 — Full transfer/control/language families</x:v>
      </x:c>
      <x:c r="O358" s="9" t="str">
        <x:v>Return the previously moved object to its marked position. Do not move any other object; only the prompt changes.</x:v>
      </x:c>
      <x:c r="P358" s="9" t="str">
        <x:v>Exact-scene paraphrase of the referenced direct-name control. This tests wording sensitivity without changing the target or physical scene.</x:v>
      </x:c>
      <x:c r="Q358" s="9"/>
      <x:c r="R358" s="10" t="n">
        <x:v>4</x:v>
      </x:c>
      <x:c r="S358" s="10"/>
      <x:c r="T358" s="9"/>
      <x:c r="U358" s="9"/>
      <x:c r="V358" s="9"/>
      <x:c r="W358" s="9" t="str">
        <x:v>CT-CF05-N4-01</x:v>
      </x:c>
      <x:c r="X358" s="10"/>
      <x:c r="Y358" s="10"/>
      <x:c r="Z358" s="9"/>
      <x:c r="AA358" s="9" t="str">
        <x:v>L2</x:v>
      </x:c>
      <x:c r="AB358" s="9" t="str">
        <x:v>Direct-name paraphrase</x:v>
      </x:c>
      <x:c r="AC358" s="9"/>
      <x:c r="AD358" s="9"/>
      <x:c r="AE358" s="9"/>
      <x:c r="AF358" s="9"/>
      <x:c r="AG358" s="9"/>
      <x:c r="AH358" s="9"/>
      <x:c r="AI358" s="11"/>
      <x:c r="AJ358" s="9"/>
      <x:c r="AK358" s="9" t="str">
        <x:v>Eval_Ordinal_Reference_Ordering.xlsm</x:v>
      </x:c>
      <x:c r="AL358" s="9" t="str">
        <x:v>GR00T visual only Results</x:v>
      </x:c>
      <x:c r="AM358" s="9" t="n">
        <x:v>58</x:v>
      </x:c>
      <x:c r="AN358" s="9" t="n">
        <x:v>58</x:v>
      </x:c>
    </x:row>
    <x:row r="359">
      <x:c r="A359" s="9" t="str">
        <x:v>Failure</x:v>
      </x:c>
      <x:c r="B359" s="9" t="str">
        <x:v>Ordinal Reference Ordering</x:v>
      </x:c>
      <x:c r="C359" s="10" t="n">
        <x:v>57</x:v>
      </x:c>
      <x:c r="D359" s="9" t="str">
        <x:v>Place the item occupying position second when counted from the left into the bowl.</x:v>
      </x:c>
      <x:c r="E359" s="9" t="str">
        <x:v>L1: airplane toy with propellers, L2: blue tape ball, L3: yellow pen, L4: green highlighter</x:v>
      </x:c>
      <x:c r="F359" s="9" t="str">
        <x:v>blue tape ball</x:v>
      </x:c>
      <x:c r="G359" s="9" t="str">
        <x:v>picked yellow pen</x:v>
      </x:c>
      <x:c r="H359" s="9" t="str">
        <x:v>Language robustness</x:v>
      </x:c>
      <x:c r="I359" s="9" t="str">
        <x:v>CT-CF05-N4-01</x:v>
      </x:c>
      <x:c r="J359" s="9" t="str">
        <x:v>Transfer paraphrase</x:v>
      </x:c>
      <x:c r="K359" s="9" t="n">
        <x:v>59</x:v>
      </x:c>
      <x:c r="L359" s="9"/>
      <x:c r="M359" s="9"/>
      <x:c r="N359" s="9" t="str">
        <x:v>2 — Full transfer/control/language families</x:v>
      </x:c>
      <x:c r="O359" s="9" t="str">
        <x:v>Return the previously moved object to its marked position. Do not move any other object; only the prompt changes.</x:v>
      </x:c>
      <x:c r="P359" s="9" t="str">
        <x:v>Exact-scene paraphrase of the referenced canonical transfer row. Exclude this row from the 50-trial primary canonical score.</x:v>
      </x:c>
      <x:c r="Q359" s="9"/>
      <x:c r="R359" s="10" t="n">
        <x:v>4</x:v>
      </x:c>
      <x:c r="S359" s="10"/>
      <x:c r="T359" s="9"/>
      <x:c r="U359" s="9"/>
      <x:c r="V359" s="9"/>
      <x:c r="W359" s="9" t="str">
        <x:v>CT-CF05-N4-01</x:v>
      </x:c>
      <x:c r="X359" s="10"/>
      <x:c r="Y359" s="10"/>
      <x:c r="Z359" s="9"/>
      <x:c r="AA359" s="9" t="str">
        <x:v>L2</x:v>
      </x:c>
      <x:c r="AB359" s="9" t="str">
        <x:v>second from left — paraphrase</x:v>
      </x:c>
      <x:c r="AC359" s="9"/>
      <x:c r="AD359" s="9"/>
      <x:c r="AE359" s="9"/>
      <x:c r="AF359" s="9"/>
      <x:c r="AG359" s="9"/>
      <x:c r="AH359" s="9"/>
      <x:c r="AI359" s="11"/>
      <x:c r="AJ359" s="9"/>
      <x:c r="AK359" s="9" t="str">
        <x:v>Eval_Ordinal_Reference_Ordering.xlsm</x:v>
      </x:c>
      <x:c r="AL359" s="9" t="str">
        <x:v>GR00T visual only Results</x:v>
      </x:c>
      <x:c r="AM359" s="9" t="n">
        <x:v>59</x:v>
      </x:c>
      <x:c r="AN359" s="9" t="n">
        <x:v>59</x:v>
      </x:c>
    </x:row>
    <x:row r="360">
      <x:c r="A360" s="9" t="str">
        <x:v>Success</x:v>
      </x:c>
      <x:c r="B360" s="9" t="str">
        <x:v>Ordinal Reference Ordering</x:v>
      </x:c>
      <x:c r="C360" s="10" t="n">
        <x:v>58</x:v>
      </x:c>
      <x:c r="D360" s="9" t="str">
        <x:v>Put the blue tape ball in the bowl.</x:v>
      </x:c>
      <x:c r="E360" s="9" t="str">
        <x:v>L1: airplane toy with propellers, L2: blue tape ball, L3: yellow pen, L4: green highlighter</x:v>
      </x:c>
      <x:c r="F360" s="9" t="str">
        <x:v>blue tape ball</x:v>
      </x:c>
      <x:c r="G360" s="9"/>
      <x:c r="H360" s="9" t="str">
        <x:v>Matched manipulation control</x:v>
      </x:c>
      <x:c r="I360" s="9" t="str">
        <x:v>CT-CF05-N4-01</x:v>
      </x:c>
      <x:c r="J360" s="9" t="str">
        <x:v>Exact-scene direct control; training prompt from episode 667</x:v>
      </x:c>
      <x:c r="K360" s="9" t="n">
        <x:v>59</x:v>
      </x:c>
      <x:c r="L360" s="9"/>
      <x:c r="M360" s="9"/>
      <x:c r="N360" s="9" t="str">
        <x:v>2 — Full transfer/control/language families</x:v>
      </x:c>
      <x:c r="O360" s="9" t="str">
        <x:v>Return the previously moved object to its marked position. Do not move any other object; only the prompt changes.</x:v>
      </x:c>
      <x:c r="P360" s="9" t="str">
        <x:v>This is the direct-name prompt assigned to the same masked training cell. It tests recognition and manipulation of the exact transfer target in the exact scene without requiring ordinal selection.</x:v>
      </x:c>
      <x:c r="Q360" s="9"/>
      <x:c r="R360" s="10" t="n">
        <x:v>4</x:v>
      </x:c>
      <x:c r="S360" s="10"/>
      <x:c r="T360" s="9"/>
      <x:c r="U360" s="9"/>
      <x:c r="V360" s="9"/>
      <x:c r="W360" s="9" t="str">
        <x:v>CT-CF05-N4-01</x:v>
      </x:c>
      <x:c r="X360" s="10"/>
      <x:c r="Y360" s="10"/>
      <x:c r="Z360" s="9"/>
      <x:c r="AA360" s="9" t="str">
        <x:v>L2</x:v>
      </x:c>
      <x:c r="AB360" s="9" t="str">
        <x:v>Direct-name control</x:v>
      </x:c>
      <x:c r="AC360" s="9"/>
      <x:c r="AD360" s="9"/>
      <x:c r="AE360" s="9"/>
      <x:c r="AF360" s="9"/>
      <x:c r="AG360" s="9"/>
      <x:c r="AH360" s="9"/>
      <x:c r="AI360" s="11"/>
      <x:c r="AJ360" s="9"/>
      <x:c r="AK360" s="9" t="str">
        <x:v>Eval_Ordinal_Reference_Ordering.xlsm</x:v>
      </x:c>
      <x:c r="AL360" s="9" t="str">
        <x:v>GR00T visual only Results</x:v>
      </x:c>
      <x:c r="AM360" s="9" t="n">
        <x:v>60</x:v>
      </x:c>
      <x:c r="AN360" s="9" t="n">
        <x:v>60</x:v>
      </x:c>
    </x:row>
    <x:row r="361">
      <x:c r="A361" s="9" t="str">
        <x:v>Failure</x:v>
      </x:c>
      <x:c r="B361" s="9" t="str">
        <x:v>Ordinal Reference Ordering</x:v>
      </x:c>
      <x:c r="C361" s="10" t="n">
        <x:v>59</x:v>
      </x:c>
      <x:c r="D361" s="9" t="str">
        <x:v>Pick up the object that is second from the left and place it in the bowl.</x:v>
      </x:c>
      <x:c r="E361" s="9" t="str">
        <x:v>L1: airplane toy with propellers, L2: blue tape ball, L3: yellow pen, L4: green highlighter</x:v>
      </x:c>
      <x:c r="F361" s="9" t="str">
        <x:v>blue tape ball</x:v>
      </x:c>
      <x:c r="G361" s="9" t="str">
        <x:v>picked yellow pen</x:v>
      </x:c>
      <x:c r="H361" s="9" t="str">
        <x:v>Concept/compositional transfer</x:v>
      </x:c>
      <x:c r="I361" s="9" t="str">
        <x:v>CT-CF05-N4-01</x:v>
      </x:c>
      <x:c r="J361" s="9" t="str">
        <x:v>Masked cell n=4, L2, blue tape ball</x:v>
      </x:c>
      <x:c r="K361" s="9" t="n">
        <x:v>52</x:v>
      </x:c>
      <x:c r="L361" s="9"/>
      <x:c r="M361" s="9"/>
      <x:c r="N361" s="9" t="str">
        <x:v>2 — Full transfer/control/language families</x:v>
      </x:c>
      <x:c r="O361" s="9" t="str">
        <x:v>Return the previously moved object to its marked position. Do not move any other object; only the prompt changes.</x:v>
      </x:c>
      <x:c r="P361" s="9" t="str">
        <x:v>The final manifest masks this exact sequence-length × physical-position × target-identity cell. Both equivalent left- and right-based descriptions are absent for this cell, while the canonical instruction wording occurs elsewhere in training.</x:v>
      </x:c>
      <x:c r="Q361" s="9"/>
      <x:c r="R361" s="10" t="n">
        <x:v>4</x:v>
      </x:c>
      <x:c r="S361" s="10"/>
      <x:c r="T361" s="9"/>
      <x:c r="U361" s="9"/>
      <x:c r="V361" s="9"/>
      <x:c r="W361" s="9" t="str">
        <x:v>CT-CF05-N4-01</x:v>
      </x:c>
      <x:c r="X361" s="10"/>
      <x:c r="Y361" s="10"/>
      <x:c r="Z361" s="9"/>
      <x:c r="AA361" s="9" t="str">
        <x:v>L2</x:v>
      </x:c>
      <x:c r="AB361" s="9" t="str">
        <x:v>second from left</x:v>
      </x:c>
      <x:c r="AC361" s="9"/>
      <x:c r="AD361" s="9"/>
      <x:c r="AE361" s="9"/>
      <x:c r="AF361" s="9"/>
      <x:c r="AG361" s="9"/>
      <x:c r="AH361" s="9"/>
      <x:c r="AI361" s="11"/>
      <x:c r="AJ361" s="9"/>
      <x:c r="AK361" s="9" t="str">
        <x:v>Eval_Ordinal_Reference_Ordering.xlsm</x:v>
      </x:c>
      <x:c r="AL361" s="9" t="str">
        <x:v>GR00T visual only Results</x:v>
      </x:c>
      <x:c r="AM361" s="9" t="n">
        <x:v>61</x:v>
      </x:c>
      <x:c r="AN361" s="9" t="n">
        <x:v>61</x:v>
      </x:c>
    </x:row>
    <x:row r="362">
      <x:c r="A362" s="9" t="str">
        <x:v>Success</x:v>
      </x:c>
      <x:c r="B362" s="9" t="str">
        <x:v>Ordinal Reference Ordering</x:v>
      </x:c>
      <x:c r="C362" s="10" t="n">
        <x:v>60</x:v>
      </x:c>
      <x:c r="D362" s="9" t="str">
        <x:v>Pick up the object that is second from the left and place it in the bowl.</x:v>
      </x:c>
      <x:c r="E362" s="9" t="str">
        <x:v>L1: green highlighter, L2: blue tape ball</x:v>
      </x:c>
      <x:c r="F362" s="9" t="str">
        <x:v>blue tape ball</x:v>
      </x:c>
      <x:c r="G362" s="9"/>
      <x:c r="H362" s="9" t="str">
        <x:v>Concept/compositional transfer</x:v>
      </x:c>
      <x:c r="I362" s="9" t="str">
        <x:v>CT-CF06-N2-03</x:v>
      </x:c>
      <x:c r="J362" s="9" t="str">
        <x:v>Masked cell n=2, L2, blue tape ball</x:v>
      </x:c>
      <x:c r="K362" s="9"/>
      <x:c r="L362" s="9"/>
      <x:c r="M362" s="9"/>
      <x:c r="N362" s="9" t="str">
        <x:v>3 — Transfer + matched-control families</x:v>
      </x:c>
      <x:c r="O362" s="9" t="str">
        <x:v>Build this new scene family exactly from the L1–L4 description and save a first-frame reference image.</x:v>
      </x:c>
      <x:c r="P362" s="9" t="str">
        <x:v>The final manifest masks this exact sequence-length × physical-position × target-identity cell. Both equivalent left- and right-based descriptions are absent for this cell, while the canonical instruction wording occurs elsewhere in training.</x:v>
      </x:c>
      <x:c r="Q362" s="9"/>
      <x:c r="R362" s="10" t="n">
        <x:v>2</x:v>
      </x:c>
      <x:c r="S362" s="10"/>
      <x:c r="T362" s="9"/>
      <x:c r="U362" s="9"/>
      <x:c r="V362" s="9"/>
      <x:c r="W362" s="9" t="str">
        <x:v>CT-CF06-N2-03</x:v>
      </x:c>
      <x:c r="X362" s="10"/>
      <x:c r="Y362" s="10"/>
      <x:c r="Z362" s="9"/>
      <x:c r="AA362" s="9" t="str">
        <x:v>L2</x:v>
      </x:c>
      <x:c r="AB362" s="9" t="str">
        <x:v>second from left</x:v>
      </x:c>
      <x:c r="AC362" s="9"/>
      <x:c r="AD362" s="9"/>
      <x:c r="AE362" s="9"/>
      <x:c r="AF362" s="9"/>
      <x:c r="AG362" s="9"/>
      <x:c r="AH362" s="9"/>
      <x:c r="AI362" s="11"/>
      <x:c r="AJ362" s="9"/>
      <x:c r="AK362" s="9" t="str">
        <x:v>Eval_Ordinal_Reference_Ordering.xlsm</x:v>
      </x:c>
      <x:c r="AL362" s="9" t="str">
        <x:v>GR00T visual only Results</x:v>
      </x:c>
      <x:c r="AM362" s="9" t="n">
        <x:v>62</x:v>
      </x:c>
      <x:c r="AN362" s="9" t="n">
        <x:v>62</x:v>
      </x:c>
    </x:row>
    <x:row r="363">
      <x:c r="A363" s="9" t="str">
        <x:v>Success</x:v>
      </x:c>
      <x:c r="B363" s="9" t="str">
        <x:v>Ordinal Reference Ordering</x:v>
      </x:c>
      <x:c r="C363" s="10" t="n">
        <x:v>61</x:v>
      </x:c>
      <x:c r="D363" s="9" t="str">
        <x:v>Pick up the blue tape ball and place it in the bowl.</x:v>
      </x:c>
      <x:c r="E363" s="9" t="str">
        <x:v>L1: green highlighter, L2: blue tape ball</x:v>
      </x:c>
      <x:c r="F363" s="9" t="str">
        <x:v>blue tape ball</x:v>
      </x:c>
      <x:c r="G363" s="9"/>
      <x:c r="H363" s="9" t="str">
        <x:v>Matched manipulation control</x:v>
      </x:c>
      <x:c r="I363" s="9" t="str">
        <x:v>CT-CF06-N2-03</x:v>
      </x:c>
      <x:c r="J363" s="9" t="str">
        <x:v>Exact-scene direct control; training prompt from episode 668</x:v>
      </x:c>
      <x:c r="K363" s="9" t="n">
        <x:v>60</x:v>
      </x:c>
      <x:c r="L363" s="9"/>
      <x:c r="M363" s="9"/>
      <x:c r="N363" s="9" t="str">
        <x:v>3 — Transfer + matched-control families</x:v>
      </x:c>
      <x:c r="O363" s="9" t="str">
        <x:v>Return the previously moved object to its marked position. Do not move any other object; only the prompt changes.</x:v>
      </x:c>
      <x:c r="P363" s="9" t="str">
        <x:v>This is the direct-name prompt assigned to the same masked training cell. It tests recognition and manipulation of the exact transfer target in the exact scene without requiring ordinal selection.</x:v>
      </x:c>
      <x:c r="Q363" s="9"/>
      <x:c r="R363" s="10" t="n">
        <x:v>2</x:v>
      </x:c>
      <x:c r="S363" s="10"/>
      <x:c r="T363" s="9"/>
      <x:c r="U363" s="9"/>
      <x:c r="V363" s="9"/>
      <x:c r="W363" s="9" t="str">
        <x:v>CT-CF06-N2-03</x:v>
      </x:c>
      <x:c r="X363" s="10"/>
      <x:c r="Y363" s="10"/>
      <x:c r="Z363" s="9"/>
      <x:c r="AA363" s="9" t="str">
        <x:v>L2</x:v>
      </x:c>
      <x:c r="AB363" s="9" t="str">
        <x:v>Direct-name control</x:v>
      </x:c>
      <x:c r="AC363" s="9"/>
      <x:c r="AD363" s="9"/>
      <x:c r="AE363" s="9"/>
      <x:c r="AF363" s="9"/>
      <x:c r="AG363" s="9"/>
      <x:c r="AH363" s="9"/>
      <x:c r="AI363" s="11"/>
      <x:c r="AJ363" s="9"/>
      <x:c r="AK363" s="9" t="str">
        <x:v>Eval_Ordinal_Reference_Ordering.xlsm</x:v>
      </x:c>
      <x:c r="AL363" s="9" t="str">
        <x:v>GR00T visual only Results</x:v>
      </x:c>
      <x:c r="AM363" s="9" t="n">
        <x:v>63</x:v>
      </x:c>
      <x:c r="AN363" s="9" t="n">
        <x:v>63</x:v>
      </x:c>
    </x:row>
    <x:row r="364">
      <x:c r="A364" s="9" t="str">
        <x:v>Success</x:v>
      </x:c>
      <x:c r="B364" s="9" t="str">
        <x:v>Ordinal Reference Ordering</x:v>
      </x:c>
      <x:c r="C364" s="10" t="n">
        <x:v>62</x:v>
      </x:c>
      <x:c r="D364" s="9" t="str">
        <x:v>Move the green highlighter into the bowl.</x:v>
      </x:c>
      <x:c r="E364" s="9" t="str">
        <x:v>L1: green highlighter, L2: blue tape ball</x:v>
      </x:c>
      <x:c r="F364" s="9" t="str">
        <x:v>green highlighter</x:v>
      </x:c>
      <x:c r="G364" s="9"/>
      <x:c r="H364" s="9" t="str">
        <x:v>Matched manipulation control</x:v>
      </x:c>
      <x:c r="I364" s="9" t="str">
        <x:v>CT-CF06-N2-03</x:v>
      </x:c>
      <x:c r="J364" s="9" t="str">
        <x:v>Exact-scene direct control; training prompt from episode 708</x:v>
      </x:c>
      <x:c r="K364" s="9" t="n">
        <x:v>63</x:v>
      </x:c>
      <x:c r="L364" s="9"/>
      <x:c r="M364" s="9"/>
      <x:c r="N364" s="9" t="str">
        <x:v>3 — Transfer + matched-control families</x:v>
      </x:c>
      <x:c r="O364" s="9" t="str">
        <x:v>Return the previously moved object to its marked position. Do not move any other object; only the prompt changes.</x:v>
      </x:c>
      <x:c r="P364" s="9" t="str">
        <x:v>This is the direct-name prompt assigned to the same masked training cell. It tests recognition and manipulation of the exact transfer target in the exact scene without requiring ordinal selection.</x:v>
      </x:c>
      <x:c r="Q364" s="9"/>
      <x:c r="R364" s="10" t="n">
        <x:v>2</x:v>
      </x:c>
      <x:c r="S364" s="10"/>
      <x:c r="T364" s="9"/>
      <x:c r="U364" s="9"/>
      <x:c r="V364" s="9"/>
      <x:c r="W364" s="9" t="str">
        <x:v>CT-CF06-N2-03</x:v>
      </x:c>
      <x:c r="X364" s="10"/>
      <x:c r="Y364" s="10"/>
      <x:c r="Z364" s="9"/>
      <x:c r="AA364" s="9" t="str">
        <x:v>L1</x:v>
      </x:c>
      <x:c r="AB364" s="9" t="str">
        <x:v>Direct-name control</x:v>
      </x:c>
      <x:c r="AC364" s="9"/>
      <x:c r="AD364" s="9"/>
      <x:c r="AE364" s="9"/>
      <x:c r="AF364" s="9"/>
      <x:c r="AG364" s="9"/>
      <x:c r="AH364" s="9"/>
      <x:c r="AI364" s="11"/>
      <x:c r="AJ364" s="9"/>
      <x:c r="AK364" s="9" t="str">
        <x:v>Eval_Ordinal_Reference_Ordering.xlsm</x:v>
      </x:c>
      <x:c r="AL364" s="9" t="str">
        <x:v>GR00T visual only Results</x:v>
      </x:c>
      <x:c r="AM364" s="9" t="n">
        <x:v>64</x:v>
      </x:c>
      <x:c r="AN364" s="9" t="n">
        <x:v>64</x:v>
      </x:c>
    </x:row>
    <x:row r="365">
      <x:c r="A365" s="9" t="str">
        <x:v>Failure</x:v>
      </x:c>
      <x:c r="B365" s="9" t="str">
        <x:v>Ordinal Reference Ordering</x:v>
      </x:c>
      <x:c r="C365" s="10" t="n">
        <x:v>63</x:v>
      </x:c>
      <x:c r="D365" s="9" t="str">
        <x:v>Pick up the object that is second from the right and place it in the bowl.</x:v>
      </x:c>
      <x:c r="E365" s="9" t="str">
        <x:v>L1: green highlighter, L2: blue tape ball</x:v>
      </x:c>
      <x:c r="F365" s="9" t="str">
        <x:v>green highlighter</x:v>
      </x:c>
      <x:c r="G365" s="9" t="str">
        <x:v>picked blue tape ball</x:v>
      </x:c>
      <x:c r="H365" s="9" t="str">
        <x:v>Concept/compositional transfer</x:v>
      </x:c>
      <x:c r="I365" s="9" t="str">
        <x:v>CT-CF06-N2-03</x:v>
      </x:c>
      <x:c r="J365" s="9" t="str">
        <x:v>Masked cell n=2, L1, green highlighter</x:v>
      </x:c>
      <x:c r="K365" s="9" t="n">
        <x:v>60</x:v>
      </x:c>
      <x:c r="L365" s="9"/>
      <x:c r="M365" s="9"/>
      <x:c r="N365" s="9" t="str">
        <x:v>3 — Transfer + matched-control families</x:v>
      </x:c>
      <x:c r="O365" s="9" t="str">
        <x:v>Return the previously moved object to its marked position. Do not move any other object; only the prompt changes.</x:v>
      </x:c>
      <x:c r="P365" s="9" t="str">
        <x:v>The final manifest masks this exact sequence-length × physical-position × target-identity cell. Both equivalent left- and right-based descriptions are absent for this cell, while the canonical instruction wording occurs elsewhere in training.</x:v>
      </x:c>
      <x:c r="Q365" s="9"/>
      <x:c r="R365" s="10" t="n">
        <x:v>2</x:v>
      </x:c>
      <x:c r="S365" s="10"/>
      <x:c r="T365" s="9"/>
      <x:c r="U365" s="9"/>
      <x:c r="V365" s="9"/>
      <x:c r="W365" s="9" t="str">
        <x:v>CT-CF06-N2-03</x:v>
      </x:c>
      <x:c r="X365" s="10"/>
      <x:c r="Y365" s="10"/>
      <x:c r="Z365" s="9"/>
      <x:c r="AA365" s="9" t="str">
        <x:v>L1</x:v>
      </x:c>
      <x:c r="AB365" s="9" t="str">
        <x:v>second from right</x:v>
      </x:c>
      <x:c r="AC365" s="9"/>
      <x:c r="AD365" s="9"/>
      <x:c r="AE365" s="9"/>
      <x:c r="AF365" s="9"/>
      <x:c r="AG365" s="9"/>
      <x:c r="AH365" s="9"/>
      <x:c r="AI365" s="11"/>
      <x:c r="AJ365" s="9"/>
      <x:c r="AK365" s="9" t="str">
        <x:v>Eval_Ordinal_Reference_Ordering.xlsm</x:v>
      </x:c>
      <x:c r="AL365" s="9" t="str">
        <x:v>GR00T visual only Results</x:v>
      </x:c>
      <x:c r="AM365" s="9" t="n">
        <x:v>65</x:v>
      </x:c>
      <x:c r="AN365" s="9" t="n">
        <x:v>65</x:v>
      </x:c>
    </x:row>
    <x:row r="366">
      <x:c r="A366" s="9" t="str">
        <x:v>Failure</x:v>
      </x:c>
      <x:c r="B366" s="9" t="str">
        <x:v>Ordinal Reference Ordering</x:v>
      </x:c>
      <x:c r="C366" s="10" t="n">
        <x:v>64</x:v>
      </x:c>
      <x:c r="D366" s="9" t="str">
        <x:v>Pick up the object that is first from the left and place it in the bowl.</x:v>
      </x:c>
      <x:c r="E366" s="9" t="str">
        <x:v>L1: yellow pen, L2: blue tape ball, L3: airplane toy with propellers</x:v>
      </x:c>
      <x:c r="F366" s="9" t="str">
        <x:v>yellow pen</x:v>
      </x:c>
      <x:c r="G366" s="9" t="str">
        <x:v>picked airplane toy</x:v>
      </x:c>
      <x:c r="H366" s="9" t="str">
        <x:v>Concept/compositional transfer</x:v>
      </x:c>
      <x:c r="I366" s="9" t="str">
        <x:v>CT-CF07-N3-03</x:v>
      </x:c>
      <x:c r="J366" s="9" t="str">
        <x:v>Masked cell n=3, L1, yellow pen</x:v>
      </x:c>
      <x:c r="K366" s="9"/>
      <x:c r="L366" s="9"/>
      <x:c r="M366" s="9"/>
      <x:c r="N366" s="9" t="str">
        <x:v>3 — Transfer + matched-control families</x:v>
      </x:c>
      <x:c r="O366" s="9" t="str">
        <x:v>Build this new scene family exactly from the L1–L4 description and save a first-frame reference image.</x:v>
      </x:c>
      <x:c r="P366" s="9" t="str">
        <x:v>The final manifest masks this exact sequence-length × physical-position × target-identity cell. Both equivalent left- and right-based descriptions are absent for this cell, while the canonical instruction wording occurs elsewhere in training.</x:v>
      </x:c>
      <x:c r="Q366" s="9"/>
      <x:c r="R366" s="10" t="n">
        <x:v>3</x:v>
      </x:c>
      <x:c r="S366" s="10"/>
      <x:c r="T366" s="9"/>
      <x:c r="U366" s="9"/>
      <x:c r="V366" s="9"/>
      <x:c r="W366" s="9" t="str">
        <x:v>CT-CF07-N3-03</x:v>
      </x:c>
      <x:c r="X366" s="10"/>
      <x:c r="Y366" s="10"/>
      <x:c r="Z366" s="9"/>
      <x:c r="AA366" s="9" t="str">
        <x:v>L1</x:v>
      </x:c>
      <x:c r="AB366" s="9" t="str">
        <x:v>first from left</x:v>
      </x:c>
      <x:c r="AC366" s="9"/>
      <x:c r="AD366" s="9"/>
      <x:c r="AE366" s="9"/>
      <x:c r="AF366" s="9"/>
      <x:c r="AG366" s="9"/>
      <x:c r="AH366" s="9"/>
      <x:c r="AI366" s="11"/>
      <x:c r="AJ366" s="9"/>
      <x:c r="AK366" s="9" t="str">
        <x:v>Eval_Ordinal_Reference_Ordering.xlsm</x:v>
      </x:c>
      <x:c r="AL366" s="9" t="str">
        <x:v>GR00T visual only Results</x:v>
      </x:c>
      <x:c r="AM366" s="9" t="n">
        <x:v>66</x:v>
      </x:c>
      <x:c r="AN366" s="9" t="n">
        <x:v>66</x:v>
      </x:c>
    </x:row>
    <x:row r="367">
      <x:c r="A367" s="9" t="str">
        <x:v>Success</x:v>
      </x:c>
      <x:c r="B367" s="9" t="str">
        <x:v>Ordinal Reference Ordering</x:v>
      </x:c>
      <x:c r="C367" s="10" t="n">
        <x:v>65</x:v>
      </x:c>
      <x:c r="D367" s="9" t="str">
        <x:v>Move the yellow pen into the bowl.</x:v>
      </x:c>
      <x:c r="E367" s="9" t="str">
        <x:v>L1: yellow pen, L2: blue tape ball, L3: airplane toy with propellers</x:v>
      </x:c>
      <x:c r="F367" s="9" t="str">
        <x:v>yellow pen</x:v>
      </x:c>
      <x:c r="G367" s="9"/>
      <x:c r="H367" s="9" t="str">
        <x:v>Matched manipulation control</x:v>
      </x:c>
      <x:c r="I367" s="9" t="str">
        <x:v>CT-CF07-N3-03</x:v>
      </x:c>
      <x:c r="J367" s="9" t="str">
        <x:v>Exact-scene direct control; training prompt from episode 756</x:v>
      </x:c>
      <x:c r="K367" s="9" t="n">
        <x:v>64</x:v>
      </x:c>
      <x:c r="L367" s="9"/>
      <x:c r="M367" s="9"/>
      <x:c r="N367" s="9" t="str">
        <x:v>3 — Transfer + matched-control families</x:v>
      </x:c>
      <x:c r="O367" s="9" t="str">
        <x:v>Return the previously moved object to its marked position. Do not move any other object; only the prompt changes.</x:v>
      </x:c>
      <x:c r="P367" s="9" t="str">
        <x:v>This is the direct-name prompt assigned to the same masked training cell. It tests recognition and manipulation of the exact transfer target in the exact scene without requiring ordinal selection.</x:v>
      </x:c>
      <x:c r="Q367" s="9"/>
      <x:c r="R367" s="10" t="n">
        <x:v>3</x:v>
      </x:c>
      <x:c r="S367" s="10"/>
      <x:c r="T367" s="9"/>
      <x:c r="U367" s="9"/>
      <x:c r="V367" s="9"/>
      <x:c r="W367" s="9" t="str">
        <x:v>CT-CF07-N3-03</x:v>
      </x:c>
      <x:c r="X367" s="10"/>
      <x:c r="Y367" s="10"/>
      <x:c r="Z367" s="9"/>
      <x:c r="AA367" s="9" t="str">
        <x:v>L1</x:v>
      </x:c>
      <x:c r="AB367" s="9" t="str">
        <x:v>Direct-name control</x:v>
      </x:c>
      <x:c r="AC367" s="9"/>
      <x:c r="AD367" s="9"/>
      <x:c r="AE367" s="9"/>
      <x:c r="AF367" s="9"/>
      <x:c r="AG367" s="9"/>
      <x:c r="AH367" s="9"/>
      <x:c r="AI367" s="11"/>
      <x:c r="AJ367" s="9"/>
      <x:c r="AK367" s="9" t="str">
        <x:v>Eval_Ordinal_Reference_Ordering.xlsm</x:v>
      </x:c>
      <x:c r="AL367" s="9" t="str">
        <x:v>GR00T visual only Results</x:v>
      </x:c>
      <x:c r="AM367" s="9" t="n">
        <x:v>67</x:v>
      </x:c>
      <x:c r="AN367" s="9" t="n">
        <x:v>67</x:v>
      </x:c>
    </x:row>
    <x:row r="368">
      <x:c r="A368" s="9" t="str">
        <x:v>Success</x:v>
      </x:c>
      <x:c r="B368" s="9" t="str">
        <x:v>Ordinal Reference Ordering</x:v>
      </x:c>
      <x:c r="C368" s="10" t="n">
        <x:v>66</x:v>
      </x:c>
      <x:c r="D368" s="9" t="str">
        <x:v>Move the airplane toy with propellers into the bowl.</x:v>
      </x:c>
      <x:c r="E368" s="9" t="str">
        <x:v>L1: yellow pen, L2: blue tape ball, L3: airplane toy with propellers</x:v>
      </x:c>
      <x:c r="F368" s="9" t="str">
        <x:v>airplane toy with propellers</x:v>
      </x:c>
      <x:c r="G368" s="9"/>
      <x:c r="H368" s="9" t="str">
        <x:v>Matched manipulation control</x:v>
      </x:c>
      <x:c r="I368" s="9" t="str">
        <x:v>CT-CF07-N3-03</x:v>
      </x:c>
      <x:c r="J368" s="9" t="str">
        <x:v>Exact-scene direct control; training prompt from episode 630</x:v>
      </x:c>
      <x:c r="K368" s="9" t="n">
        <x:v>67</x:v>
      </x:c>
      <x:c r="L368" s="9"/>
      <x:c r="M368" s="9"/>
      <x:c r="N368" s="9" t="str">
        <x:v>3 — Transfer + matched-control families</x:v>
      </x:c>
      <x:c r="O368" s="9" t="str">
        <x:v>Return the previously moved object to its marked position. Do not move any other object; only the prompt changes.</x:v>
      </x:c>
      <x:c r="P368" s="9" t="str">
        <x:v>This is the direct-name prompt assigned to the same masked training cell. It tests recognition and manipulation of the exact transfer target in the exact scene without requiring ordinal selection.</x:v>
      </x:c>
      <x:c r="Q368" s="9"/>
      <x:c r="R368" s="10" t="n">
        <x:v>3</x:v>
      </x:c>
      <x:c r="S368" s="10"/>
      <x:c r="T368" s="9"/>
      <x:c r="U368" s="9"/>
      <x:c r="V368" s="9"/>
      <x:c r="W368" s="9" t="str">
        <x:v>CT-CF07-N3-03</x:v>
      </x:c>
      <x:c r="X368" s="10"/>
      <x:c r="Y368" s="10"/>
      <x:c r="Z368" s="9"/>
      <x:c r="AA368" s="9" t="str">
        <x:v>L3</x:v>
      </x:c>
      <x:c r="AB368" s="9" t="str">
        <x:v>Direct-name control</x:v>
      </x:c>
      <x:c r="AC368" s="9"/>
      <x:c r="AD368" s="9"/>
      <x:c r="AE368" s="9"/>
      <x:c r="AF368" s="9"/>
      <x:c r="AG368" s="9"/>
      <x:c r="AH368" s="9"/>
      <x:c r="AI368" s="11"/>
      <x:c r="AJ368" s="9"/>
      <x:c r="AK368" s="9" t="str">
        <x:v>Eval_Ordinal_Reference_Ordering.xlsm</x:v>
      </x:c>
      <x:c r="AL368" s="9" t="str">
        <x:v>GR00T visual only Results</x:v>
      </x:c>
      <x:c r="AM368" s="9" t="n">
        <x:v>68</x:v>
      </x:c>
      <x:c r="AN368" s="9" t="n">
        <x:v>68</x:v>
      </x:c>
    </x:row>
    <x:row r="369">
      <x:c r="A369" s="9" t="str">
        <x:v>Success</x:v>
      </x:c>
      <x:c r="B369" s="9" t="str">
        <x:v>Ordinal Reference Ordering</x:v>
      </x:c>
      <x:c r="C369" s="10" t="n">
        <x:v>67</x:v>
      </x:c>
      <x:c r="D369" s="9" t="str">
        <x:v>Pick up the object that is third from the left and place it in the bowl.</x:v>
      </x:c>
      <x:c r="E369" s="9" t="str">
        <x:v>L1: yellow pen, L2: blue tape ball, L3: airplane toy with propellers</x:v>
      </x:c>
      <x:c r="F369" s="9" t="str">
        <x:v>airplane toy with propellers</x:v>
      </x:c>
      <x:c r="G369" s="9"/>
      <x:c r="H369" s="9" t="str">
        <x:v>Concept/compositional transfer</x:v>
      </x:c>
      <x:c r="I369" s="9" t="str">
        <x:v>CT-CF07-N3-03</x:v>
      </x:c>
      <x:c r="J369" s="9" t="str">
        <x:v>Masked cell n=3, L3, airplane toy with propellers</x:v>
      </x:c>
      <x:c r="K369" s="9" t="n">
        <x:v>64</x:v>
      </x:c>
      <x:c r="L369" s="9"/>
      <x:c r="M369" s="9"/>
      <x:c r="N369" s="9" t="str">
        <x:v>3 — Transfer + matched-control families</x:v>
      </x:c>
      <x:c r="O369" s="9" t="str">
        <x:v>Return the previously moved object to its marked position. Do not move any other object; only the prompt changes.</x:v>
      </x:c>
      <x:c r="P369" s="9" t="str">
        <x:v>The final manifest masks this exact sequence-length × physical-position × target-identity cell. Both equivalent left- and right-based descriptions are absent for this cell, while the canonical instruction wording occurs elsewhere in training.</x:v>
      </x:c>
      <x:c r="Q369" s="9"/>
      <x:c r="R369" s="10" t="n">
        <x:v>3</x:v>
      </x:c>
      <x:c r="S369" s="10"/>
      <x:c r="T369" s="9"/>
      <x:c r="U369" s="9"/>
      <x:c r="V369" s="9"/>
      <x:c r="W369" s="9" t="str">
        <x:v>CT-CF07-N3-03</x:v>
      </x:c>
      <x:c r="X369" s="10"/>
      <x:c r="Y369" s="10"/>
      <x:c r="Z369" s="9"/>
      <x:c r="AA369" s="9" t="str">
        <x:v>L3</x:v>
      </x:c>
      <x:c r="AB369" s="9" t="str">
        <x:v>third from left</x:v>
      </x:c>
      <x:c r="AC369" s="9"/>
      <x:c r="AD369" s="9"/>
      <x:c r="AE369" s="9"/>
      <x:c r="AF369" s="9"/>
      <x:c r="AG369" s="9"/>
      <x:c r="AH369" s="9"/>
      <x:c r="AI369" s="11"/>
      <x:c r="AJ369" s="9"/>
      <x:c r="AK369" s="9" t="str">
        <x:v>Eval_Ordinal_Reference_Ordering.xlsm</x:v>
      </x:c>
      <x:c r="AL369" s="9" t="str">
        <x:v>GR00T visual only Results</x:v>
      </x:c>
      <x:c r="AM369" s="9" t="n">
        <x:v>69</x:v>
      </x:c>
      <x:c r="AN369" s="9" t="n">
        <x:v>69</x:v>
      </x:c>
    </x:row>
    <x:row r="370">
      <x:c r="A370" s="9" t="str">
        <x:v>Failure</x:v>
      </x:c>
      <x:c r="B370" s="9" t="str">
        <x:v>Ordinal Reference Ordering</x:v>
      </x:c>
      <x:c r="C370" s="10" t="n">
        <x:v>68</x:v>
      </x:c>
      <x:c r="D370" s="9" t="str">
        <x:v>Pick up the object that is fourth from the left and place it in the bowl.</x:v>
      </x:c>
      <x:c r="E370" s="9" t="str">
        <x:v>L1: blue tape ball, L2: airplane toy with propellers, L3: green highlighter, L4: yellow pen</x:v>
      </x:c>
      <x:c r="F370" s="9" t="str">
        <x:v>yellow pen</x:v>
      </x:c>
      <x:c r="G370" s="9" t="str">
        <x:v>picked green highlighter</x:v>
      </x:c>
      <x:c r="H370" s="9" t="str">
        <x:v>Concept/compositional transfer</x:v>
      </x:c>
      <x:c r="I370" s="9" t="str">
        <x:v>CT-CF08-N4-02</x:v>
      </x:c>
      <x:c r="J370" s="9" t="str">
        <x:v>Masked cell n=4, L4, yellow pen</x:v>
      </x:c>
      <x:c r="K370" s="9"/>
      <x:c r="L370" s="9"/>
      <x:c r="M370" s="9"/>
      <x:c r="N370" s="9" t="str">
        <x:v>3 — Transfer + matched-control families</x:v>
      </x:c>
      <x:c r="O370" s="9" t="str">
        <x:v>Build this new scene family exactly from the L1–L4 description and save a first-frame reference image.</x:v>
      </x:c>
      <x:c r="P370" s="9" t="str">
        <x:v>The final manifest masks this exact sequence-length × physical-position × target-identity cell. Both equivalent left- and right-based descriptions are absent for this cell, while the canonical instruction wording occurs elsewhere in training.</x:v>
      </x:c>
      <x:c r="Q370" s="9"/>
      <x:c r="R370" s="10" t="n">
        <x:v>4</x:v>
      </x:c>
      <x:c r="S370" s="10"/>
      <x:c r="T370" s="9"/>
      <x:c r="U370" s="9"/>
      <x:c r="V370" s="9"/>
      <x:c r="W370" s="9" t="str">
        <x:v>CT-CF08-N4-02</x:v>
      </x:c>
      <x:c r="X370" s="10"/>
      <x:c r="Y370" s="10"/>
      <x:c r="Z370" s="9"/>
      <x:c r="AA370" s="9" t="str">
        <x:v>L4</x:v>
      </x:c>
      <x:c r="AB370" s="9" t="str">
        <x:v>fourth from left</x:v>
      </x:c>
      <x:c r="AC370" s="9"/>
      <x:c r="AD370" s="9"/>
      <x:c r="AE370" s="9"/>
      <x:c r="AF370" s="9"/>
      <x:c r="AG370" s="9"/>
      <x:c r="AH370" s="9"/>
      <x:c r="AI370" s="11"/>
      <x:c r="AJ370" s="9"/>
      <x:c r="AK370" s="9" t="str">
        <x:v>Eval_Ordinal_Reference_Ordering.xlsm</x:v>
      </x:c>
      <x:c r="AL370" s="9" t="str">
        <x:v>GR00T visual only Results</x:v>
      </x:c>
      <x:c r="AM370" s="9" t="n">
        <x:v>70</x:v>
      </x:c>
      <x:c r="AN370" s="9" t="n">
        <x:v>70</x:v>
      </x:c>
    </x:row>
    <x:row r="371">
      <x:c r="A371" s="9" t="str">
        <x:v>Success</x:v>
      </x:c>
      <x:c r="B371" s="9" t="str">
        <x:v>Ordinal Reference Ordering</x:v>
      </x:c>
      <x:c r="C371" s="10" t="n">
        <x:v>69</x:v>
      </x:c>
      <x:c r="D371" s="9" t="str">
        <x:v>Pick up the yellow pen and place it in the bowl.</x:v>
      </x:c>
      <x:c r="E371" s="9" t="str">
        <x:v>L1: blue tape ball, L2: airplane toy with propellers, L3: green highlighter, L4: yellow pen</x:v>
      </x:c>
      <x:c r="F371" s="9" t="str">
        <x:v>yellow pen</x:v>
      </x:c>
      <x:c r="G371" s="9"/>
      <x:c r="H371" s="9" t="str">
        <x:v>Matched manipulation control</x:v>
      </x:c>
      <x:c r="I371" s="9" t="str">
        <x:v>CT-CF08-N4-02</x:v>
      </x:c>
      <x:c r="J371" s="9" t="str">
        <x:v>Exact-scene direct control; training prompt from episode 795</x:v>
      </x:c>
      <x:c r="K371" s="9" t="n">
        <x:v>68</x:v>
      </x:c>
      <x:c r="L371" s="9"/>
      <x:c r="M371" s="9"/>
      <x:c r="N371" s="9" t="str">
        <x:v>3 — Transfer + matched-control families</x:v>
      </x:c>
      <x:c r="O371" s="9" t="str">
        <x:v>Return the previously moved object to its marked position. Do not move any other object; only the prompt changes.</x:v>
      </x:c>
      <x:c r="P371" s="9" t="str">
        <x:v>This is the direct-name prompt assigned to the same masked training cell. It tests recognition and manipulation of the exact transfer target in the exact scene without requiring ordinal selection.</x:v>
      </x:c>
      <x:c r="Q371" s="9"/>
      <x:c r="R371" s="10" t="n">
        <x:v>4</x:v>
      </x:c>
      <x:c r="S371" s="10"/>
      <x:c r="T371" s="9"/>
      <x:c r="U371" s="9"/>
      <x:c r="V371" s="9"/>
      <x:c r="W371" s="9" t="str">
        <x:v>CT-CF08-N4-02</x:v>
      </x:c>
      <x:c r="X371" s="10"/>
      <x:c r="Y371" s="10"/>
      <x:c r="Z371" s="9"/>
      <x:c r="AA371" s="9" t="str">
        <x:v>L4</x:v>
      </x:c>
      <x:c r="AB371" s="9" t="str">
        <x:v>Direct-name control</x:v>
      </x:c>
      <x:c r="AC371" s="9"/>
      <x:c r="AD371" s="9"/>
      <x:c r="AE371" s="9"/>
      <x:c r="AF371" s="9"/>
      <x:c r="AG371" s="9"/>
      <x:c r="AH371" s="9"/>
      <x:c r="AI371" s="11"/>
      <x:c r="AJ371" s="9"/>
      <x:c r="AK371" s="9" t="str">
        <x:v>Eval_Ordinal_Reference_Ordering.xlsm</x:v>
      </x:c>
      <x:c r="AL371" s="9" t="str">
        <x:v>GR00T visual only Results</x:v>
      </x:c>
      <x:c r="AM371" s="9" t="n">
        <x:v>71</x:v>
      </x:c>
      <x:c r="AN371" s="9" t="n">
        <x:v>71</x:v>
      </x:c>
    </x:row>
    <x:row r="372">
      <x:c r="A372" s="9" t="str">
        <x:v>Success</x:v>
      </x:c>
      <x:c r="B372" s="9" t="str">
        <x:v>Ordinal Reference Ordering</x:v>
      </x:c>
      <x:c r="C372" s="10" t="n">
        <x:v>70</x:v>
      </x:c>
      <x:c r="D372" s="9" t="str">
        <x:v>Put the green highlighter in the bowl.</x:v>
      </x:c>
      <x:c r="E372" s="9" t="str">
        <x:v>L1: blue tape ball, L2: airplane toy with propellers, L3: green highlighter, L4: yellow pen</x:v>
      </x:c>
      <x:c r="F372" s="9" t="str">
        <x:v>green highlighter</x:v>
      </x:c>
      <x:c r="G372" s="9"/>
      <x:c r="H372" s="9" t="str">
        <x:v>Matched manipulation control</x:v>
      </x:c>
      <x:c r="I372" s="9" t="str">
        <x:v>CT-CF08-N4-02</x:v>
      </x:c>
      <x:c r="J372" s="9" t="str">
        <x:v>Exact-scene direct control; training prompt from episode 725</x:v>
      </x:c>
      <x:c r="K372" s="9" t="n">
        <x:v>71</x:v>
      </x:c>
      <x:c r="L372" s="9"/>
      <x:c r="M372" s="9"/>
      <x:c r="N372" s="9" t="str">
        <x:v>3 — Transfer + matched-control families</x:v>
      </x:c>
      <x:c r="O372" s="9" t="str">
        <x:v>Return the previously moved object to its marked position. Do not move any other object; only the prompt changes.</x:v>
      </x:c>
      <x:c r="P372" s="9" t="str">
        <x:v>This is the direct-name prompt assigned to the same masked training cell. It tests recognition and manipulation of the exact transfer target in the exact scene without requiring ordinal selection.</x:v>
      </x:c>
      <x:c r="Q372" s="9"/>
      <x:c r="R372" s="10" t="n">
        <x:v>4</x:v>
      </x:c>
      <x:c r="S372" s="10"/>
      <x:c r="T372" s="9"/>
      <x:c r="U372" s="9"/>
      <x:c r="V372" s="9"/>
      <x:c r="W372" s="9" t="str">
        <x:v>CT-CF08-N4-02</x:v>
      </x:c>
      <x:c r="X372" s="10"/>
      <x:c r="Y372" s="10"/>
      <x:c r="Z372" s="9"/>
      <x:c r="AA372" s="9" t="str">
        <x:v>L3</x:v>
      </x:c>
      <x:c r="AB372" s="9" t="str">
        <x:v>Direct-name control</x:v>
      </x:c>
      <x:c r="AC372" s="9"/>
      <x:c r="AD372" s="9"/>
      <x:c r="AE372" s="9"/>
      <x:c r="AF372" s="9"/>
      <x:c r="AG372" s="9"/>
      <x:c r="AH372" s="9"/>
      <x:c r="AI372" s="11"/>
      <x:c r="AJ372" s="9"/>
      <x:c r="AK372" s="9" t="str">
        <x:v>Eval_Ordinal_Reference_Ordering.xlsm</x:v>
      </x:c>
      <x:c r="AL372" s="9" t="str">
        <x:v>GR00T visual only Results</x:v>
      </x:c>
      <x:c r="AM372" s="9" t="n">
        <x:v>72</x:v>
      </x:c>
      <x:c r="AN372" s="9" t="n">
        <x:v>72</x:v>
      </x:c>
    </x:row>
    <x:row r="373">
      <x:c r="A373" s="9" t="str">
        <x:v>Failure</x:v>
      </x:c>
      <x:c r="B373" s="9" t="str">
        <x:v>Ordinal Reference Ordering</x:v>
      </x:c>
      <x:c r="C373" s="10" t="n">
        <x:v>71</x:v>
      </x:c>
      <x:c r="D373" s="9" t="str">
        <x:v>Pick up the object that is third from the left and place it in the bowl.</x:v>
      </x:c>
      <x:c r="E373" s="9" t="str">
        <x:v>L1: blue tape ball, L2: airplane toy with propellers, L3: green highlighter, L4: yellow pen</x:v>
      </x:c>
      <x:c r="F373" s="9" t="str">
        <x:v>green highlighter</x:v>
      </x:c>
      <x:c r="G373" s="9" t="str">
        <x:v>picked airplane toy</x:v>
      </x:c>
      <x:c r="H373" s="9" t="str">
        <x:v>Concept/compositional transfer</x:v>
      </x:c>
      <x:c r="I373" s="9" t="str">
        <x:v>CT-CF08-N4-02</x:v>
      </x:c>
      <x:c r="J373" s="9" t="str">
        <x:v>Masked cell n=4, L3, green highlighter</x:v>
      </x:c>
      <x:c r="K373" s="9" t="n">
        <x:v>68</x:v>
      </x:c>
      <x:c r="L373" s="9"/>
      <x:c r="M373" s="9"/>
      <x:c r="N373" s="9" t="str">
        <x:v>3 — Transfer + matched-control families</x:v>
      </x:c>
      <x:c r="O373" s="9" t="str">
        <x:v>Return the previously moved object to its marked position. Do not move any other object; only the prompt changes.</x:v>
      </x:c>
      <x:c r="P373" s="9" t="str">
        <x:v>The final manifest masks this exact sequence-length × physical-position × target-identity cell. Both equivalent left- and right-based descriptions are absent for this cell, while the canonical instruction wording occurs elsewhere in training.</x:v>
      </x:c>
      <x:c r="Q373" s="9"/>
      <x:c r="R373" s="10" t="n">
        <x:v>4</x:v>
      </x:c>
      <x:c r="S373" s="10"/>
      <x:c r="T373" s="9"/>
      <x:c r="U373" s="9"/>
      <x:c r="V373" s="9"/>
      <x:c r="W373" s="9" t="str">
        <x:v>CT-CF08-N4-02</x:v>
      </x:c>
      <x:c r="X373" s="10"/>
      <x:c r="Y373" s="10"/>
      <x:c r="Z373" s="9"/>
      <x:c r="AA373" s="9" t="str">
        <x:v>L3</x:v>
      </x:c>
      <x:c r="AB373" s="9" t="str">
        <x:v>third from left</x:v>
      </x:c>
      <x:c r="AC373" s="9"/>
      <x:c r="AD373" s="9"/>
      <x:c r="AE373" s="9"/>
      <x:c r="AF373" s="9"/>
      <x:c r="AG373" s="9"/>
      <x:c r="AH373" s="9"/>
      <x:c r="AI373" s="11"/>
      <x:c r="AJ373" s="9"/>
      <x:c r="AK373" s="9" t="str">
        <x:v>Eval_Ordinal_Reference_Ordering.xlsm</x:v>
      </x:c>
      <x:c r="AL373" s="9" t="str">
        <x:v>GR00T visual only Results</x:v>
      </x:c>
      <x:c r="AM373" s="9" t="n">
        <x:v>73</x:v>
      </x:c>
      <x:c r="AN373" s="9" t="n">
        <x:v>73</x:v>
      </x:c>
    </x:row>
    <x:row r="374">
      <x:c r="A374" s="9" t="str">
        <x:v>Failure</x:v>
      </x:c>
      <x:c r="B374" s="9" t="str">
        <x:v>Ordinal Reference Ordering</x:v>
      </x:c>
      <x:c r="C374" s="10" t="n">
        <x:v>72</x:v>
      </x:c>
      <x:c r="D374" s="9" t="str">
        <x:v>Pick up the object that is second from the right and place it in the bowl.</x:v>
      </x:c>
      <x:c r="E374" s="9" t="str">
        <x:v>L1: airplane toy with propellers, L2: yellow pen</x:v>
      </x:c>
      <x:c r="F374" s="9" t="str">
        <x:v>airplane toy with propellers</x:v>
      </x:c>
      <x:c r="G374" s="9" t="str">
        <x:v>picked yellow pen</x:v>
      </x:c>
      <x:c r="H374" s="9" t="str">
        <x:v>Concept/compositional transfer</x:v>
      </x:c>
      <x:c r="I374" s="9" t="str">
        <x:v>CT-CF09-N2-02</x:v>
      </x:c>
      <x:c r="J374" s="9" t="str">
        <x:v>Masked cell n=2, L1, airplane toy with propellers</x:v>
      </x:c>
      <x:c r="K374" s="9"/>
      <x:c r="L374" s="9"/>
      <x:c r="M374" s="9"/>
      <x:c r="N374" s="9" t="str">
        <x:v>3 — Transfer + matched-control families</x:v>
      </x:c>
      <x:c r="O374" s="9" t="str">
        <x:v>Build this new scene family exactly from the L1–L4 description and save a first-frame reference image.</x:v>
      </x:c>
      <x:c r="P374" s="9" t="str">
        <x:v>The final manifest masks this exact sequence-length × physical-position × target-identity cell. Both equivalent left- and right-based descriptions are absent for this cell, while the canonical instruction wording occurs elsewhere in training.</x:v>
      </x:c>
      <x:c r="Q374" s="9"/>
      <x:c r="R374" s="10" t="n">
        <x:v>2</x:v>
      </x:c>
      <x:c r="S374" s="10"/>
      <x:c r="T374" s="9"/>
      <x:c r="U374" s="9"/>
      <x:c r="V374" s="9"/>
      <x:c r="W374" s="9" t="str">
        <x:v>CT-CF09-N2-02</x:v>
      </x:c>
      <x:c r="X374" s="10"/>
      <x:c r="Y374" s="10"/>
      <x:c r="Z374" s="9"/>
      <x:c r="AA374" s="9" t="str">
        <x:v>L1</x:v>
      </x:c>
      <x:c r="AB374" s="9" t="str">
        <x:v>second from right</x:v>
      </x:c>
      <x:c r="AC374" s="9"/>
      <x:c r="AD374" s="9"/>
      <x:c r="AE374" s="9"/>
      <x:c r="AF374" s="9"/>
      <x:c r="AG374" s="9"/>
      <x:c r="AH374" s="9"/>
      <x:c r="AI374" s="11"/>
      <x:c r="AJ374" s="9"/>
      <x:c r="AK374" s="9" t="str">
        <x:v>Eval_Ordinal_Reference_Ordering.xlsm</x:v>
      </x:c>
      <x:c r="AL374" s="9" t="str">
        <x:v>GR00T visual only Results</x:v>
      </x:c>
      <x:c r="AM374" s="9" t="n">
        <x:v>74</x:v>
      </x:c>
      <x:c r="AN374" s="9" t="n">
        <x:v>74</x:v>
      </x:c>
    </x:row>
    <x:row r="375">
      <x:c r="A375" s="9" t="str">
        <x:v>Success</x:v>
      </x:c>
      <x:c r="B375" s="9" t="str">
        <x:v>Ordinal Reference Ordering</x:v>
      </x:c>
      <x:c r="C375" s="10" t="n">
        <x:v>73</x:v>
      </x:c>
      <x:c r="D375" s="9" t="str">
        <x:v>Pick up the airplane toy with propellers and place it in the bowl.</x:v>
      </x:c>
      <x:c r="E375" s="9" t="str">
        <x:v>L1: airplane toy with propellers, L2: yellow pen</x:v>
      </x:c>
      <x:c r="F375" s="9" t="str">
        <x:v>airplane toy with propellers</x:v>
      </x:c>
      <x:c r="G375" s="9"/>
      <x:c r="H375" s="9" t="str">
        <x:v>Matched manipulation control</x:v>
      </x:c>
      <x:c r="I375" s="9" t="str">
        <x:v>CT-CF09-N2-02</x:v>
      </x:c>
      <x:c r="J375" s="9" t="str">
        <x:v>Exact-scene direct control; training prompt from episode 611</x:v>
      </x:c>
      <x:c r="K375" s="9" t="n">
        <x:v>72</x:v>
      </x:c>
      <x:c r="L375" s="9"/>
      <x:c r="M375" s="9"/>
      <x:c r="N375" s="9" t="str">
        <x:v>3 — Transfer + matched-control families</x:v>
      </x:c>
      <x:c r="O375" s="9" t="str">
        <x:v>Return the previously moved object to its marked position. Do not move any other object; only the prompt changes.</x:v>
      </x:c>
      <x:c r="P375" s="9" t="str">
        <x:v>This is the direct-name prompt assigned to the same masked training cell. It tests recognition and manipulation of the exact transfer target in the exact scene without requiring ordinal selection.</x:v>
      </x:c>
      <x:c r="Q375" s="9"/>
      <x:c r="R375" s="10" t="n">
        <x:v>2</x:v>
      </x:c>
      <x:c r="S375" s="10"/>
      <x:c r="T375" s="9"/>
      <x:c r="U375" s="9"/>
      <x:c r="V375" s="9"/>
      <x:c r="W375" s="9" t="str">
        <x:v>CT-CF09-N2-02</x:v>
      </x:c>
      <x:c r="X375" s="10"/>
      <x:c r="Y375" s="10"/>
      <x:c r="Z375" s="9"/>
      <x:c r="AA375" s="9" t="str">
        <x:v>L1</x:v>
      </x:c>
      <x:c r="AB375" s="9" t="str">
        <x:v>Direct-name control</x:v>
      </x:c>
      <x:c r="AC375" s="9"/>
      <x:c r="AD375" s="9"/>
      <x:c r="AE375" s="9"/>
      <x:c r="AF375" s="9"/>
      <x:c r="AG375" s="9"/>
      <x:c r="AH375" s="9"/>
      <x:c r="AI375" s="11"/>
      <x:c r="AJ375" s="9"/>
      <x:c r="AK375" s="9" t="str">
        <x:v>Eval_Ordinal_Reference_Ordering.xlsm</x:v>
      </x:c>
      <x:c r="AL375" s="9" t="str">
        <x:v>GR00T visual only Results</x:v>
      </x:c>
      <x:c r="AM375" s="9" t="n">
        <x:v>75</x:v>
      </x:c>
      <x:c r="AN375" s="9" t="n">
        <x:v>75</x:v>
      </x:c>
    </x:row>
    <x:row r="376">
      <x:c r="A376" s="9" t="str">
        <x:v>Success</x:v>
      </x:c>
      <x:c r="B376" s="9" t="str">
        <x:v>Ordinal Reference Ordering</x:v>
      </x:c>
      <x:c r="C376" s="10" t="n">
        <x:v>74</x:v>
      </x:c>
      <x:c r="D376" s="9" t="str">
        <x:v>Move the yellow pen into the bowl.</x:v>
      </x:c>
      <x:c r="E376" s="9" t="str">
        <x:v>L1: airplane toy with propellers, L2: yellow pen</x:v>
      </x:c>
      <x:c r="F376" s="9" t="str">
        <x:v>yellow pen</x:v>
      </x:c>
      <x:c r="G376" s="9"/>
      <x:c r="H376" s="9" t="str">
        <x:v>Matched manipulation control</x:v>
      </x:c>
      <x:c r="I376" s="9" t="str">
        <x:v>CT-CF09-N2-02</x:v>
      </x:c>
      <x:c r="J376" s="9" t="str">
        <x:v>Exact-scene direct control; training prompt from episode 771</x:v>
      </x:c>
      <x:c r="K376" s="9" t="n">
        <x:v>75</x:v>
      </x:c>
      <x:c r="L376" s="9"/>
      <x:c r="M376" s="9"/>
      <x:c r="N376" s="9" t="str">
        <x:v>3 — Transfer + matched-control families</x:v>
      </x:c>
      <x:c r="O376" s="9" t="str">
        <x:v>Return the previously moved object to its marked position. Do not move any other object; only the prompt changes.</x:v>
      </x:c>
      <x:c r="P376" s="9" t="str">
        <x:v>This is the direct-name prompt assigned to the same masked training cell. It tests recognition and manipulation of the exact transfer target in the exact scene without requiring ordinal selection.</x:v>
      </x:c>
      <x:c r="Q376" s="9"/>
      <x:c r="R376" s="10" t="n">
        <x:v>2</x:v>
      </x:c>
      <x:c r="S376" s="10"/>
      <x:c r="T376" s="9"/>
      <x:c r="U376" s="9"/>
      <x:c r="V376" s="9"/>
      <x:c r="W376" s="9" t="str">
        <x:v>CT-CF09-N2-02</x:v>
      </x:c>
      <x:c r="X376" s="10"/>
      <x:c r="Y376" s="10"/>
      <x:c r="Z376" s="9"/>
      <x:c r="AA376" s="9" t="str">
        <x:v>L2</x:v>
      </x:c>
      <x:c r="AB376" s="9" t="str">
        <x:v>Direct-name control</x:v>
      </x:c>
      <x:c r="AC376" s="9"/>
      <x:c r="AD376" s="9"/>
      <x:c r="AE376" s="9"/>
      <x:c r="AF376" s="9"/>
      <x:c r="AG376" s="9"/>
      <x:c r="AH376" s="9"/>
      <x:c r="AI376" s="11"/>
      <x:c r="AJ376" s="9"/>
      <x:c r="AK376" s="9" t="str">
        <x:v>Eval_Ordinal_Reference_Ordering.xlsm</x:v>
      </x:c>
      <x:c r="AL376" s="9" t="str">
        <x:v>GR00T visual only Results</x:v>
      </x:c>
      <x:c r="AM376" s="9" t="n">
        <x:v>76</x:v>
      </x:c>
      <x:c r="AN376" s="9" t="n">
        <x:v>76</x:v>
      </x:c>
    </x:row>
    <x:row r="377">
      <x:c r="A377" s="9" t="str">
        <x:v>Success</x:v>
      </x:c>
      <x:c r="B377" s="9" t="str">
        <x:v>Ordinal Reference Ordering</x:v>
      </x:c>
      <x:c r="C377" s="10" t="n">
        <x:v>75</x:v>
      </x:c>
      <x:c r="D377" s="9" t="str">
        <x:v>Pick up the object that is second from the left and place it in the bowl.</x:v>
      </x:c>
      <x:c r="E377" s="9" t="str">
        <x:v>L1: airplane toy with propellers, L2: yellow pen</x:v>
      </x:c>
      <x:c r="F377" s="9" t="str">
        <x:v>yellow pen</x:v>
      </x:c>
      <x:c r="G377" s="9"/>
      <x:c r="H377" s="9" t="str">
        <x:v>Concept/compositional transfer</x:v>
      </x:c>
      <x:c r="I377" s="9" t="str">
        <x:v>CT-CF09-N2-02</x:v>
      </x:c>
      <x:c r="J377" s="9" t="str">
        <x:v>Masked cell n=2, L2, yellow pen</x:v>
      </x:c>
      <x:c r="K377" s="9" t="n">
        <x:v>72</x:v>
      </x:c>
      <x:c r="L377" s="9"/>
      <x:c r="M377" s="9"/>
      <x:c r="N377" s="9" t="str">
        <x:v>3 — Transfer + matched-control families</x:v>
      </x:c>
      <x:c r="O377" s="9" t="str">
        <x:v>Return the previously moved object to its marked position. Do not move any other object; only the prompt changes.</x:v>
      </x:c>
      <x:c r="P377" s="9" t="str">
        <x:v>The final manifest masks this exact sequence-length × physical-position × target-identity cell. Both equivalent left- and right-based descriptions are absent for this cell, while the canonical instruction wording occurs elsewhere in training.</x:v>
      </x:c>
      <x:c r="Q377" s="9"/>
      <x:c r="R377" s="10" t="n">
        <x:v>2</x:v>
      </x:c>
      <x:c r="S377" s="10"/>
      <x:c r="T377" s="9"/>
      <x:c r="U377" s="9"/>
      <x:c r="V377" s="9"/>
      <x:c r="W377" s="9" t="str">
        <x:v>CT-CF09-N2-02</x:v>
      </x:c>
      <x:c r="X377" s="10"/>
      <x:c r="Y377" s="10"/>
      <x:c r="Z377" s="9"/>
      <x:c r="AA377" s="9" t="str">
        <x:v>L2</x:v>
      </x:c>
      <x:c r="AB377" s="9" t="str">
        <x:v>second from left</x:v>
      </x:c>
      <x:c r="AC377" s="9"/>
      <x:c r="AD377" s="9"/>
      <x:c r="AE377" s="9"/>
      <x:c r="AF377" s="9"/>
      <x:c r="AG377" s="9"/>
      <x:c r="AH377" s="9"/>
      <x:c r="AI377" s="11"/>
      <x:c r="AJ377" s="9"/>
      <x:c r="AK377" s="9" t="str">
        <x:v>Eval_Ordinal_Reference_Ordering.xlsm</x:v>
      </x:c>
      <x:c r="AL377" s="9" t="str">
        <x:v>GR00T visual only Results</x:v>
      </x:c>
      <x:c r="AM377" s="9" t="n">
        <x:v>77</x:v>
      </x:c>
      <x:c r="AN377" s="9" t="n">
        <x:v>77</x:v>
      </x:c>
    </x:row>
    <x:row r="378">
      <x:c r="A378" s="9" t="str">
        <x:v>Success</x:v>
      </x:c>
      <x:c r="B378" s="9" t="str">
        <x:v>Ordinal Reference Ordering</x:v>
      </x:c>
      <x:c r="C378" s="10" t="n">
        <x:v>76</x:v>
      </x:c>
      <x:c r="D378" s="9" t="str">
        <x:v>Pick up the object that is first from the right and place it in the bowl.</x:v>
      </x:c>
      <x:c r="E378" s="9" t="str">
        <x:v>L1: blue tape ball, L2: yellow pen, L3: green highlighter</x:v>
      </x:c>
      <x:c r="F378" s="9" t="str">
        <x:v>green highlighter</x:v>
      </x:c>
      <x:c r="G378" s="9"/>
      <x:c r="H378" s="9" t="str">
        <x:v>Concept/compositional transfer</x:v>
      </x:c>
      <x:c r="I378" s="9" t="str">
        <x:v>CT-CF10-N3-02</x:v>
      </x:c>
      <x:c r="J378" s="9" t="str">
        <x:v>Masked cell n=3, L3, green highlighter</x:v>
      </x:c>
      <x:c r="K378" s="9"/>
      <x:c r="L378" s="9"/>
      <x:c r="M378" s="9"/>
      <x:c r="N378" s="9" t="str">
        <x:v>3 — Transfer + matched-control families</x:v>
      </x:c>
      <x:c r="O378" s="9" t="str">
        <x:v>Build this new scene family exactly from the L1–L4 description and save a first-frame reference image.</x:v>
      </x:c>
      <x:c r="P378" s="9" t="str">
        <x:v>The final manifest masks this exact sequence-length × physical-position × target-identity cell. Both equivalent left- and right-based descriptions are absent for this cell, while the canonical instruction wording occurs elsewhere in training.</x:v>
      </x:c>
      <x:c r="Q378" s="9"/>
      <x:c r="R378" s="10" t="n">
        <x:v>3</x:v>
      </x:c>
      <x:c r="S378" s="10"/>
      <x:c r="T378" s="9"/>
      <x:c r="U378" s="9"/>
      <x:c r="V378" s="9"/>
      <x:c r="W378" s="9" t="str">
        <x:v>CT-CF10-N3-02</x:v>
      </x:c>
      <x:c r="X378" s="10"/>
      <x:c r="Y378" s="10"/>
      <x:c r="Z378" s="9"/>
      <x:c r="AA378" s="9" t="str">
        <x:v>L3</x:v>
      </x:c>
      <x:c r="AB378" s="9" t="str">
        <x:v>first from right</x:v>
      </x:c>
      <x:c r="AC378" s="9"/>
      <x:c r="AD378" s="9"/>
      <x:c r="AE378" s="9"/>
      <x:c r="AF378" s="9"/>
      <x:c r="AG378" s="9"/>
      <x:c r="AH378" s="9"/>
      <x:c r="AI378" s="11"/>
      <x:c r="AJ378" s="9"/>
      <x:c r="AK378" s="9" t="str">
        <x:v>Eval_Ordinal_Reference_Ordering.xlsm</x:v>
      </x:c>
      <x:c r="AL378" s="9" t="str">
        <x:v>GR00T visual only Results</x:v>
      </x:c>
      <x:c r="AM378" s="9" t="n">
        <x:v>78</x:v>
      </x:c>
      <x:c r="AN378" s="9" t="n">
        <x:v>78</x:v>
      </x:c>
    </x:row>
    <x:row r="379">
      <x:c r="A379" s="9" t="str">
        <x:v>Success</x:v>
      </x:c>
      <x:c r="B379" s="9" t="str">
        <x:v>Ordinal Reference Ordering</x:v>
      </x:c>
      <x:c r="C379" s="10" t="n">
        <x:v>77</x:v>
      </x:c>
      <x:c r="D379" s="9" t="str">
        <x:v>Put the green highlighter in the bowl.</x:v>
      </x:c>
      <x:c r="E379" s="9" t="str">
        <x:v>L1: blue tape ball, L2: yellow pen, L3: green highlighter</x:v>
      </x:c>
      <x:c r="F379" s="9" t="str">
        <x:v>green highlighter</x:v>
      </x:c>
      <x:c r="G379" s="9"/>
      <x:c r="H379" s="9" t="str">
        <x:v>Matched manipulation control</x:v>
      </x:c>
      <x:c r="I379" s="9" t="str">
        <x:v>CT-CF10-N3-02</x:v>
      </x:c>
      <x:c r="J379" s="9" t="str">
        <x:v>Exact-scene direct control; training prompt from episode 733</x:v>
      </x:c>
      <x:c r="K379" s="9" t="n">
        <x:v>76</x:v>
      </x:c>
      <x:c r="L379" s="9"/>
      <x:c r="M379" s="9"/>
      <x:c r="N379" s="9" t="str">
        <x:v>3 — Transfer + matched-control families</x:v>
      </x:c>
      <x:c r="O379" s="9" t="str">
        <x:v>Return the previously moved object to its marked position. Do not move any other object; only the prompt changes.</x:v>
      </x:c>
      <x:c r="P379" s="9" t="str">
        <x:v>This is the direct-name prompt assigned to the same masked training cell. It tests recognition and manipulation of the exact transfer target in the exact scene without requiring ordinal selection.</x:v>
      </x:c>
      <x:c r="Q379" s="9"/>
      <x:c r="R379" s="10" t="n">
        <x:v>3</x:v>
      </x:c>
      <x:c r="S379" s="10"/>
      <x:c r="T379" s="9"/>
      <x:c r="U379" s="9"/>
      <x:c r="V379" s="9"/>
      <x:c r="W379" s="9" t="str">
        <x:v>CT-CF10-N3-02</x:v>
      </x:c>
      <x:c r="X379" s="10"/>
      <x:c r="Y379" s="10"/>
      <x:c r="Z379" s="9"/>
      <x:c r="AA379" s="9" t="str">
        <x:v>L3</x:v>
      </x:c>
      <x:c r="AB379" s="9" t="str">
        <x:v>Direct-name control</x:v>
      </x:c>
      <x:c r="AC379" s="9"/>
      <x:c r="AD379" s="9"/>
      <x:c r="AE379" s="9"/>
      <x:c r="AF379" s="9"/>
      <x:c r="AG379" s="9"/>
      <x:c r="AH379" s="9"/>
      <x:c r="AI379" s="11"/>
      <x:c r="AJ379" s="9"/>
      <x:c r="AK379" s="9" t="str">
        <x:v>Eval_Ordinal_Reference_Ordering.xlsm</x:v>
      </x:c>
      <x:c r="AL379" s="9" t="str">
        <x:v>GR00T visual only Results</x:v>
      </x:c>
      <x:c r="AM379" s="9" t="n">
        <x:v>79</x:v>
      </x:c>
      <x:c r="AN379" s="9" t="n">
        <x:v>79</x:v>
      </x:c>
    </x:row>
    <x:row r="380">
      <x:c r="A380" s="9" t="str">
        <x:v>Success</x:v>
      </x:c>
      <x:c r="B380" s="9" t="str">
        <x:v>Ordinal Reference Ordering</x:v>
      </x:c>
      <x:c r="C380" s="10" t="n">
        <x:v>78</x:v>
      </x:c>
      <x:c r="D380" s="9" t="str">
        <x:v>Put the blue tape ball in the bowl.</x:v>
      </x:c>
      <x:c r="E380" s="9" t="str">
        <x:v>L1: blue tape ball, L2: yellow pen, L3: green highlighter</x:v>
      </x:c>
      <x:c r="F380" s="9" t="str">
        <x:v>blue tape ball</x:v>
      </x:c>
      <x:c r="G380" s="9"/>
      <x:c r="H380" s="9" t="str">
        <x:v>Matched manipulation control</x:v>
      </x:c>
      <x:c r="I380" s="9" t="str">
        <x:v>CT-CF10-N3-02</x:v>
      </x:c>
      <x:c r="J380" s="9" t="str">
        <x:v>Exact-scene direct control; training prompt from episode 655</x:v>
      </x:c>
      <x:c r="K380" s="9" t="n">
        <x:v>79</x:v>
      </x:c>
      <x:c r="L380" s="9"/>
      <x:c r="M380" s="9"/>
      <x:c r="N380" s="9" t="str">
        <x:v>3 — Transfer + matched-control families</x:v>
      </x:c>
      <x:c r="O380" s="9" t="str">
        <x:v>Return the previously moved object to its marked position. Do not move any other object; only the prompt changes.</x:v>
      </x:c>
      <x:c r="P380" s="9" t="str">
        <x:v>This is the direct-name prompt assigned to the same masked training cell. It tests recognition and manipulation of the exact transfer target in the exact scene without requiring ordinal selection.</x:v>
      </x:c>
      <x:c r="Q380" s="9"/>
      <x:c r="R380" s="10" t="n">
        <x:v>3</x:v>
      </x:c>
      <x:c r="S380" s="10"/>
      <x:c r="T380" s="9"/>
      <x:c r="U380" s="9"/>
      <x:c r="V380" s="9"/>
      <x:c r="W380" s="9" t="str">
        <x:v>CT-CF10-N3-02</x:v>
      </x:c>
      <x:c r="X380" s="10"/>
      <x:c r="Y380" s="10"/>
      <x:c r="Z380" s="9"/>
      <x:c r="AA380" s="9" t="str">
        <x:v>L1</x:v>
      </x:c>
      <x:c r="AB380" s="9" t="str">
        <x:v>Direct-name control</x:v>
      </x:c>
      <x:c r="AC380" s="9"/>
      <x:c r="AD380" s="9"/>
      <x:c r="AE380" s="9"/>
      <x:c r="AF380" s="9"/>
      <x:c r="AG380" s="9"/>
      <x:c r="AH380" s="9"/>
      <x:c r="AI380" s="11"/>
      <x:c r="AJ380" s="9"/>
      <x:c r="AK380" s="9" t="str">
        <x:v>Eval_Ordinal_Reference_Ordering.xlsm</x:v>
      </x:c>
      <x:c r="AL380" s="9" t="str">
        <x:v>GR00T visual only Results</x:v>
      </x:c>
      <x:c r="AM380" s="9" t="n">
        <x:v>80</x:v>
      </x:c>
      <x:c r="AN380" s="9" t="n">
        <x:v>80</x:v>
      </x:c>
    </x:row>
    <x:row r="381">
      <x:c r="A381" s="9" t="str">
        <x:v>Failure</x:v>
      </x:c>
      <x:c r="B381" s="9" t="str">
        <x:v>Ordinal Reference Ordering</x:v>
      </x:c>
      <x:c r="C381" s="10" t="n">
        <x:v>79</x:v>
      </x:c>
      <x:c r="D381" s="9" t="str">
        <x:v>Pick up the object that is first from the left and place it in the bowl.</x:v>
      </x:c>
      <x:c r="E381" s="9" t="str">
        <x:v>L1: blue tape ball, L2: yellow pen, L3: green highlighter</x:v>
      </x:c>
      <x:c r="F381" s="9" t="str">
        <x:v>blue tape ball</x:v>
      </x:c>
      <x:c r="G381" s="9" t="str">
        <x:v>picked the green highlighter</x:v>
      </x:c>
      <x:c r="H381" s="9" t="str">
        <x:v>Concept/compositional transfer</x:v>
      </x:c>
      <x:c r="I381" s="9" t="str">
        <x:v>CT-CF10-N3-02</x:v>
      </x:c>
      <x:c r="J381" s="9" t="str">
        <x:v>Masked cell n=3, L1, blue tape ball</x:v>
      </x:c>
      <x:c r="K381" s="9" t="n">
        <x:v>76</x:v>
      </x:c>
      <x:c r="L381" s="9"/>
      <x:c r="M381" s="9"/>
      <x:c r="N381" s="9" t="str">
        <x:v>3 — Transfer + matched-control families</x:v>
      </x:c>
      <x:c r="O381" s="9" t="str">
        <x:v>Return the previously moved object to its marked position. Do not move any other object; only the prompt changes.</x:v>
      </x:c>
      <x:c r="P381" s="9" t="str">
        <x:v>The final manifest masks this exact sequence-length × physical-position × target-identity cell. Both equivalent left- and right-based descriptions are absent for this cell, while the canonical instruction wording occurs elsewhere in training.</x:v>
      </x:c>
      <x:c r="Q381" s="9"/>
      <x:c r="R381" s="10" t="n">
        <x:v>3</x:v>
      </x:c>
      <x:c r="S381" s="10"/>
      <x:c r="T381" s="9"/>
      <x:c r="U381" s="9"/>
      <x:c r="V381" s="9"/>
      <x:c r="W381" s="9" t="str">
        <x:v>CT-CF10-N3-02</x:v>
      </x:c>
      <x:c r="X381" s="10"/>
      <x:c r="Y381" s="10"/>
      <x:c r="Z381" s="9"/>
      <x:c r="AA381" s="9" t="str">
        <x:v>L1</x:v>
      </x:c>
      <x:c r="AB381" s="9" t="str">
        <x:v>first from left</x:v>
      </x:c>
      <x:c r="AC381" s="9"/>
      <x:c r="AD381" s="9"/>
      <x:c r="AE381" s="9"/>
      <x:c r="AF381" s="9"/>
      <x:c r="AG381" s="9"/>
      <x:c r="AH381" s="9"/>
      <x:c r="AI381" s="11"/>
      <x:c r="AJ381" s="9"/>
      <x:c r="AK381" s="9" t="str">
        <x:v>Eval_Ordinal_Reference_Ordering.xlsm</x:v>
      </x:c>
      <x:c r="AL381" s="9" t="str">
        <x:v>GR00T visual only Results</x:v>
      </x:c>
      <x:c r="AM381" s="9" t="n">
        <x:v>81</x:v>
      </x:c>
      <x:c r="AN381" s="9" t="n">
        <x:v>81</x:v>
      </x:c>
    </x:row>
    <x:row r="382">
      <x:c r="A382" s="9" t="str">
        <x:v>Failure</x:v>
      </x:c>
      <x:c r="B382" s="9" t="str">
        <x:v>Ordinal Reference Ordering</x:v>
      </x:c>
      <x:c r="C382" s="10" t="n">
        <x:v>80</x:v>
      </x:c>
      <x:c r="D382" s="9" t="str">
        <x:v>Pick up the object that is second from the right and place it in the bowl.</x:v>
      </x:c>
      <x:c r="E382" s="9" t="str">
        <x:v>L1: airplane toy with propellers, L2: blue tape ball</x:v>
      </x:c>
      <x:c r="F382" s="9" t="str">
        <x:v>airplane toy with propellers</x:v>
      </x:c>
      <x:c r="G382" s="9" t="str">
        <x:v>succeeded reasoning. tried to get the airplane toy, but knocked it and during recovery got the blue tape ball</x:v>
      </x:c>
      <x:c r="H382" s="9" t="str">
        <x:v>Concept/compositional transfer</x:v>
      </x:c>
      <x:c r="I382" s="9" t="str">
        <x:v>CT-CF11-N2-05</x:v>
      </x:c>
      <x:c r="J382" s="9" t="str">
        <x:v>Masked cell n=2, L1, airplane toy with propellers</x:v>
      </x:c>
      <x:c r="K382" s="9"/>
      <x:c r="L382" s="9"/>
      <x:c r="M382" s="9"/>
      <x:c r="N382" s="9" t="str">
        <x:v>4 — Transfer-only counterfactual pairs</x:v>
      </x:c>
      <x:c r="O382" s="9" t="str">
        <x:v>Build this new scene family exactly from the L1–L4 description and save a first-frame reference image.</x:v>
      </x:c>
      <x:c r="P382" s="9" t="str">
        <x:v>The final manifest masks this exact sequence-length × physical-position × target-identity cell. Both equivalent left- and right-based descriptions are absent for this cell, while the canonical instruction wording occurs elsewhere in training.</x:v>
      </x:c>
      <x:c r="Q382" s="9"/>
      <x:c r="R382" s="10" t="n">
        <x:v>2</x:v>
      </x:c>
      <x:c r="S382" s="10"/>
      <x:c r="T382" s="9"/>
      <x:c r="U382" s="9"/>
      <x:c r="V382" s="9"/>
      <x:c r="W382" s="9" t="str">
        <x:v>CT-CF11-N2-05</x:v>
      </x:c>
      <x:c r="X382" s="10"/>
      <x:c r="Y382" s="10"/>
      <x:c r="Z382" s="9"/>
      <x:c r="AA382" s="9" t="str">
        <x:v>L1</x:v>
      </x:c>
      <x:c r="AB382" s="9" t="str">
        <x:v>second from right</x:v>
      </x:c>
      <x:c r="AC382" s="9"/>
      <x:c r="AD382" s="9"/>
      <x:c r="AE382" s="9"/>
      <x:c r="AF382" s="9"/>
      <x:c r="AG382" s="9"/>
      <x:c r="AH382" s="9"/>
      <x:c r="AI382" s="11"/>
      <x:c r="AJ382" s="9"/>
      <x:c r="AK382" s="9" t="str">
        <x:v>Eval_Ordinal_Reference_Ordering.xlsm</x:v>
      </x:c>
      <x:c r="AL382" s="9" t="str">
        <x:v>GR00T visual only Results</x:v>
      </x:c>
      <x:c r="AM382" s="9" t="n">
        <x:v>82</x:v>
      </x:c>
      <x:c r="AN382" s="9" t="n">
        <x:v>82</x:v>
      </x:c>
    </x:row>
    <x:row r="383">
      <x:c r="A383" s="9" t="str">
        <x:v>Failure</x:v>
      </x:c>
      <x:c r="B383" s="9" t="str">
        <x:v>Ordinal Reference Ordering</x:v>
      </x:c>
      <x:c r="C383" s="10" t="n">
        <x:v>81</x:v>
      </x:c>
      <x:c r="D383" s="9" t="str">
        <x:v>Pick up the object that is second from the left and place it in the bowl.</x:v>
      </x:c>
      <x:c r="E383" s="9" t="str">
        <x:v>L1: airplane toy with propellers, L2: blue tape ball</x:v>
      </x:c>
      <x:c r="F383" s="9" t="str">
        <x:v>blue tape ball</x:v>
      </x:c>
      <x:c r="G383" s="9" t="str">
        <x:v>succeeded reasoning, but overgripped and the tape ball flew away</x:v>
      </x:c>
      <x:c r="H383" s="9" t="str">
        <x:v>Concept/compositional transfer</x:v>
      </x:c>
      <x:c r="I383" s="9" t="str">
        <x:v>CT-CF11-N2-05</x:v>
      </x:c>
      <x:c r="J383" s="9" t="str">
        <x:v>Masked cell n=2, L2, blue tape ball</x:v>
      </x:c>
      <x:c r="K383" s="9" t="n">
        <x:v>80</x:v>
      </x:c>
      <x:c r="L383" s="9"/>
      <x:c r="M383" s="9"/>
      <x:c r="N383" s="9" t="str">
        <x:v>4 — Transfer-only counterfactual pairs</x:v>
      </x:c>
      <x:c r="O383" s="9" t="str">
        <x:v>Return the previously moved object to its marked position. Do not move any other object; only the prompt changes.</x:v>
      </x:c>
      <x:c r="P383" s="9" t="str">
        <x:v>The final manifest masks this exact sequence-length × physical-position × target-identity cell. Both equivalent left- and right-based descriptions are absent for this cell, while the canonical instruction wording occurs elsewhere in training.</x:v>
      </x:c>
      <x:c r="Q383" s="9"/>
      <x:c r="R383" s="10" t="n">
        <x:v>2</x:v>
      </x:c>
      <x:c r="S383" s="10"/>
      <x:c r="T383" s="9"/>
      <x:c r="U383" s="9"/>
      <x:c r="V383" s="9"/>
      <x:c r="W383" s="9" t="str">
        <x:v>CT-CF11-N2-05</x:v>
      </x:c>
      <x:c r="X383" s="10"/>
      <x:c r="Y383" s="10"/>
      <x:c r="Z383" s="9"/>
      <x:c r="AA383" s="9" t="str">
        <x:v>L2</x:v>
      </x:c>
      <x:c r="AB383" s="9" t="str">
        <x:v>second from left</x:v>
      </x:c>
      <x:c r="AC383" s="9"/>
      <x:c r="AD383" s="9"/>
      <x:c r="AE383" s="9"/>
      <x:c r="AF383" s="9"/>
      <x:c r="AG383" s="9"/>
      <x:c r="AH383" s="9"/>
      <x:c r="AI383" s="11"/>
      <x:c r="AJ383" s="9"/>
      <x:c r="AK383" s="9" t="str">
        <x:v>Eval_Ordinal_Reference_Ordering.xlsm</x:v>
      </x:c>
      <x:c r="AL383" s="9" t="str">
        <x:v>GR00T visual only Results</x:v>
      </x:c>
      <x:c r="AM383" s="9" t="n">
        <x:v>83</x:v>
      </x:c>
      <x:c r="AN383" s="9" t="n">
        <x:v>83</x:v>
      </x:c>
    </x:row>
    <x:row r="384">
      <x:c r="A384" s="9" t="str">
        <x:v>Success</x:v>
      </x:c>
      <x:c r="B384" s="9" t="str">
        <x:v>Ordinal Reference Ordering</x:v>
      </x:c>
      <x:c r="C384" s="10" t="n">
        <x:v>82</x:v>
      </x:c>
      <x:c r="D384" s="9" t="str">
        <x:v>Pick up the object that is first from the right and place it in the bowl.</x:v>
      </x:c>
      <x:c r="E384" s="9" t="str">
        <x:v>L1: blue tape ball, L2: yellow pen, L3: airplane toy with propellers</x:v>
      </x:c>
      <x:c r="F384" s="9" t="str">
        <x:v>airplane toy with propellers</x:v>
      </x:c>
      <x:c r="G384" s="9"/>
      <x:c r="H384" s="9" t="str">
        <x:v>Concept/compositional transfer</x:v>
      </x:c>
      <x:c r="I384" s="9" t="str">
        <x:v>CT-CF12-N3-05</x:v>
      </x:c>
      <x:c r="J384" s="9" t="str">
        <x:v>Masked cell n=3, L3, airplane toy with propellers</x:v>
      </x:c>
      <x:c r="K384" s="9"/>
      <x:c r="L384" s="9"/>
      <x:c r="M384" s="9"/>
      <x:c r="N384" s="9" t="str">
        <x:v>4 — Transfer-only counterfactual pairs</x:v>
      </x:c>
      <x:c r="O384" s="9" t="str">
        <x:v>Build this new scene family exactly from the L1–L4 description and save a first-frame reference image.</x:v>
      </x:c>
      <x:c r="P384" s="9" t="str">
        <x:v>The final manifest masks this exact sequence-length × physical-position × target-identity cell. Both equivalent left- and right-based descriptions are absent for this cell, while the canonical instruction wording occurs elsewhere in training.</x:v>
      </x:c>
      <x:c r="Q384" s="9"/>
      <x:c r="R384" s="10" t="n">
        <x:v>3</x:v>
      </x:c>
      <x:c r="S384" s="10"/>
      <x:c r="T384" s="9"/>
      <x:c r="U384" s="9"/>
      <x:c r="V384" s="9"/>
      <x:c r="W384" s="9" t="str">
        <x:v>CT-CF12-N3-05</x:v>
      </x:c>
      <x:c r="X384" s="10"/>
      <x:c r="Y384" s="10"/>
      <x:c r="Z384" s="9"/>
      <x:c r="AA384" s="9" t="str">
        <x:v>L3</x:v>
      </x:c>
      <x:c r="AB384" s="9" t="str">
        <x:v>first from right</x:v>
      </x:c>
      <x:c r="AC384" s="9"/>
      <x:c r="AD384" s="9"/>
      <x:c r="AE384" s="9"/>
      <x:c r="AF384" s="9"/>
      <x:c r="AG384" s="9"/>
      <x:c r="AH384" s="9"/>
      <x:c r="AI384" s="11"/>
      <x:c r="AJ384" s="9"/>
      <x:c r="AK384" s="9" t="str">
        <x:v>Eval_Ordinal_Reference_Ordering.xlsm</x:v>
      </x:c>
      <x:c r="AL384" s="9" t="str">
        <x:v>GR00T visual only Results</x:v>
      </x:c>
      <x:c r="AM384" s="9" t="n">
        <x:v>84</x:v>
      </x:c>
      <x:c r="AN384" s="9" t="n">
        <x:v>84</x:v>
      </x:c>
    </x:row>
    <x:row r="385">
      <x:c r="A385" s="9" t="str">
        <x:v>Failure</x:v>
      </x:c>
      <x:c r="B385" s="9" t="str">
        <x:v>Ordinal Reference Ordering</x:v>
      </x:c>
      <x:c r="C385" s="10" t="n">
        <x:v>83</x:v>
      </x:c>
      <x:c r="D385" s="9" t="str">
        <x:v>Pick up the object that is first from the left and place it in the bowl.</x:v>
      </x:c>
      <x:c r="E385" s="9" t="str">
        <x:v>L1: blue tape ball, L2: yellow pen, L3: airplane toy with propellers</x:v>
      </x:c>
      <x:c r="F385" s="9" t="str">
        <x:v>blue tape ball</x:v>
      </x:c>
      <x:c r="G385" s="9" t="str">
        <x:v>picked airplane toy</x:v>
      </x:c>
      <x:c r="H385" s="9" t="str">
        <x:v>Concept/compositional transfer</x:v>
      </x:c>
      <x:c r="I385" s="9" t="str">
        <x:v>CT-CF12-N3-05</x:v>
      </x:c>
      <x:c r="J385" s="9" t="str">
        <x:v>Masked cell n=3, L1, blue tape ball</x:v>
      </x:c>
      <x:c r="K385" s="9" t="n">
        <x:v>82</x:v>
      </x:c>
      <x:c r="L385" s="9"/>
      <x:c r="M385" s="9"/>
      <x:c r="N385" s="9" t="str">
        <x:v>4 — Transfer-only counterfactual pairs</x:v>
      </x:c>
      <x:c r="O385" s="9" t="str">
        <x:v>Return the previously moved object to its marked position. Do not move any other object; only the prompt changes.</x:v>
      </x:c>
      <x:c r="P385" s="9" t="str">
        <x:v>The final manifest masks this exact sequence-length × physical-position × target-identity cell. Both equivalent left- and right-based descriptions are absent for this cell, while the canonical instruction wording occurs elsewhere in training.</x:v>
      </x:c>
      <x:c r="Q385" s="9"/>
      <x:c r="R385" s="10" t="n">
        <x:v>3</x:v>
      </x:c>
      <x:c r="S385" s="10"/>
      <x:c r="T385" s="9"/>
      <x:c r="U385" s="9"/>
      <x:c r="V385" s="9"/>
      <x:c r="W385" s="9" t="str">
        <x:v>CT-CF12-N3-05</x:v>
      </x:c>
      <x:c r="X385" s="10"/>
      <x:c r="Y385" s="10"/>
      <x:c r="Z385" s="9"/>
      <x:c r="AA385" s="9" t="str">
        <x:v>L1</x:v>
      </x:c>
      <x:c r="AB385" s="9" t="str">
        <x:v>first from left</x:v>
      </x:c>
      <x:c r="AC385" s="9"/>
      <x:c r="AD385" s="9"/>
      <x:c r="AE385" s="9"/>
      <x:c r="AF385" s="9"/>
      <x:c r="AG385" s="9"/>
      <x:c r="AH385" s="9"/>
      <x:c r="AI385" s="11"/>
      <x:c r="AJ385" s="9"/>
      <x:c r="AK385" s="9" t="str">
        <x:v>Eval_Ordinal_Reference_Ordering.xlsm</x:v>
      </x:c>
      <x:c r="AL385" s="9" t="str">
        <x:v>GR00T visual only Results</x:v>
      </x:c>
      <x:c r="AM385" s="9" t="n">
        <x:v>85</x:v>
      </x:c>
      <x:c r="AN385" s="9" t="n">
        <x:v>85</x:v>
      </x:c>
    </x:row>
    <x:row r="386">
      <x:c r="A386" s="9" t="str">
        <x:v>Failure</x:v>
      </x:c>
      <x:c r="B386" s="9" t="str">
        <x:v>Ordinal Reference Ordering</x:v>
      </x:c>
      <x:c r="C386" s="10" t="n">
        <x:v>84</x:v>
      </x:c>
      <x:c r="D386" s="9" t="str">
        <x:v>Pick up the object that is fourth from the right and place it in the bowl.</x:v>
      </x:c>
      <x:c r="E386" s="9" t="str">
        <x:v>L1: airplane toy with propellers, L2: yellow pen, L3: green highlighter, L4: blue tape ball</x:v>
      </x:c>
      <x:c r="F386" s="9" t="str">
        <x:v>airplane toy with propellers</x:v>
      </x:c>
      <x:c r="G386" s="9" t="str">
        <x:v>picked yellow pen</x:v>
      </x:c>
      <x:c r="H386" s="9" t="str">
        <x:v>Concept/compositional transfer</x:v>
      </x:c>
      <x:c r="I386" s="9" t="str">
        <x:v>CT-CF13-N4-03</x:v>
      </x:c>
      <x:c r="J386" s="9" t="str">
        <x:v>Masked cell n=4, L1, airplane toy with propellers</x:v>
      </x:c>
      <x:c r="K386" s="9"/>
      <x:c r="L386" s="9"/>
      <x:c r="M386" s="9"/>
      <x:c r="N386" s="9" t="str">
        <x:v>4 — Transfer-only counterfactual pairs</x:v>
      </x:c>
      <x:c r="O386" s="9" t="str">
        <x:v>Build this new scene family exactly from the L1–L4 description and save a first-frame reference image.</x:v>
      </x:c>
      <x:c r="P386" s="9" t="str">
        <x:v>The final manifest masks this exact sequence-length × physical-position × target-identity cell. Both equivalent left- and right-based descriptions are absent for this cell, while the canonical instruction wording occurs elsewhere in training.</x:v>
      </x:c>
      <x:c r="Q386" s="9"/>
      <x:c r="R386" s="10" t="n">
        <x:v>4</x:v>
      </x:c>
      <x:c r="S386" s="10"/>
      <x:c r="T386" s="9"/>
      <x:c r="U386" s="9"/>
      <x:c r="V386" s="9"/>
      <x:c r="W386" s="9" t="str">
        <x:v>CT-CF13-N4-03</x:v>
      </x:c>
      <x:c r="X386" s="10"/>
      <x:c r="Y386" s="10"/>
      <x:c r="Z386" s="9"/>
      <x:c r="AA386" s="9" t="str">
        <x:v>L1</x:v>
      </x:c>
      <x:c r="AB386" s="9" t="str">
        <x:v>fourth from right</x:v>
      </x:c>
      <x:c r="AC386" s="9"/>
      <x:c r="AD386" s="9"/>
      <x:c r="AE386" s="9"/>
      <x:c r="AF386" s="9"/>
      <x:c r="AG386" s="9"/>
      <x:c r="AH386" s="9"/>
      <x:c r="AI386" s="11"/>
      <x:c r="AJ386" s="9"/>
      <x:c r="AK386" s="9" t="str">
        <x:v>Eval_Ordinal_Reference_Ordering.xlsm</x:v>
      </x:c>
      <x:c r="AL386" s="9" t="str">
        <x:v>GR00T visual only Results</x:v>
      </x:c>
      <x:c r="AM386" s="9" t="n">
        <x:v>86</x:v>
      </x:c>
      <x:c r="AN386" s="9" t="n">
        <x:v>86</x:v>
      </x:c>
    </x:row>
    <x:row r="387">
      <x:c r="A387" s="9" t="str">
        <x:v>Success</x:v>
      </x:c>
      <x:c r="B387" s="9" t="str">
        <x:v>Ordinal Reference Ordering</x:v>
      </x:c>
      <x:c r="C387" s="10" t="n">
        <x:v>85</x:v>
      </x:c>
      <x:c r="D387" s="9" t="str">
        <x:v>Pick up the object that is third from the left and place it in the bowl.</x:v>
      </x:c>
      <x:c r="E387" s="9" t="str">
        <x:v>L1: airplane toy with propellers, L2: yellow pen, L3: green highlighter, L4: blue tape ball</x:v>
      </x:c>
      <x:c r="F387" s="9" t="str">
        <x:v>green highlighter</x:v>
      </x:c>
      <x:c r="G387" s="9"/>
      <x:c r="H387" s="9" t="str">
        <x:v>Concept/compositional transfer</x:v>
      </x:c>
      <x:c r="I387" s="9" t="str">
        <x:v>CT-CF13-N4-03</x:v>
      </x:c>
      <x:c r="J387" s="9" t="str">
        <x:v>Masked cell n=4, L3, green highlighter</x:v>
      </x:c>
      <x:c r="K387" s="9" t="n">
        <x:v>84</x:v>
      </x:c>
      <x:c r="L387" s="9"/>
      <x:c r="M387" s="9"/>
      <x:c r="N387" s="9" t="str">
        <x:v>4 — Transfer-only counterfactual pairs</x:v>
      </x:c>
      <x:c r="O387" s="9" t="str">
        <x:v>Return the previously moved object to its marked position. Do not move any other object; only the prompt changes.</x:v>
      </x:c>
      <x:c r="P387" s="9" t="str">
        <x:v>The final manifest masks this exact sequence-length × physical-position × target-identity cell. Both equivalent left- and right-based descriptions are absent for this cell, while the canonical instruction wording occurs elsewhere in training.</x:v>
      </x:c>
      <x:c r="Q387" s="9"/>
      <x:c r="R387" s="10" t="n">
        <x:v>4</x:v>
      </x:c>
      <x:c r="S387" s="10"/>
      <x:c r="T387" s="9"/>
      <x:c r="U387" s="9"/>
      <x:c r="V387" s="9"/>
      <x:c r="W387" s="9" t="str">
        <x:v>CT-CF13-N4-03</x:v>
      </x:c>
      <x:c r="X387" s="10"/>
      <x:c r="Y387" s="10"/>
      <x:c r="Z387" s="9"/>
      <x:c r="AA387" s="9" t="str">
        <x:v>L3</x:v>
      </x:c>
      <x:c r="AB387" s="9" t="str">
        <x:v>third from left</x:v>
      </x:c>
      <x:c r="AC387" s="9"/>
      <x:c r="AD387" s="9"/>
      <x:c r="AE387" s="9"/>
      <x:c r="AF387" s="9"/>
      <x:c r="AG387" s="9"/>
      <x:c r="AH387" s="9"/>
      <x:c r="AI387" s="11"/>
      <x:c r="AJ387" s="9"/>
      <x:c r="AK387" s="9" t="str">
        <x:v>Eval_Ordinal_Reference_Ordering.xlsm</x:v>
      </x:c>
      <x:c r="AL387" s="9" t="str">
        <x:v>GR00T visual only Results</x:v>
      </x:c>
      <x:c r="AM387" s="9" t="n">
        <x:v>87</x:v>
      </x:c>
      <x:c r="AN387" s="9" t="n">
        <x:v>87</x:v>
      </x:c>
    </x:row>
    <x:row r="388">
      <x:c r="A388" s="9" t="str">
        <x:v>Success</x:v>
      </x:c>
      <x:c r="B388" s="9" t="str">
        <x:v>Ordinal Reference Ordering</x:v>
      </x:c>
      <x:c r="C388" s="10" t="n">
        <x:v>86</x:v>
      </x:c>
      <x:c r="D388" s="9" t="str">
        <x:v>Pick up the object that is second from the left and place it in the bowl.</x:v>
      </x:c>
      <x:c r="E388" s="9" t="str">
        <x:v>L1: airplane toy with propellers, L2: yellow pen</x:v>
      </x:c>
      <x:c r="F388" s="9" t="str">
        <x:v>yellow pen</x:v>
      </x:c>
      <x:c r="G388" s="9"/>
      <x:c r="H388" s="9" t="str">
        <x:v>Concept/compositional transfer</x:v>
      </x:c>
      <x:c r="I388" s="9" t="str">
        <x:v>CT-CF14-N2-06</x:v>
      </x:c>
      <x:c r="J388" s="9" t="str">
        <x:v>Masked cell n=2, L2, yellow pen</x:v>
      </x:c>
      <x:c r="K388" s="9"/>
      <x:c r="L388" s="9"/>
      <x:c r="M388" s="9"/>
      <x:c r="N388" s="9" t="str">
        <x:v>4 — Transfer-only counterfactual pairs</x:v>
      </x:c>
      <x:c r="O388" s="9" t="str">
        <x:v>Build this new scene family exactly from the L1–L4 description and save a first-frame reference image.</x:v>
      </x:c>
      <x:c r="P388" s="9" t="str">
        <x:v>The final manifest masks this exact sequence-length × physical-position × target-identity cell. Both equivalent left- and right-based descriptions are absent for this cell, while the canonical instruction wording occurs elsewhere in training.</x:v>
      </x:c>
      <x:c r="Q388" s="9"/>
      <x:c r="R388" s="10" t="n">
        <x:v>2</x:v>
      </x:c>
      <x:c r="S388" s="10"/>
      <x:c r="T388" s="9"/>
      <x:c r="U388" s="9"/>
      <x:c r="V388" s="9"/>
      <x:c r="W388" s="9" t="str">
        <x:v>CT-CF14-N2-06</x:v>
      </x:c>
      <x:c r="X388" s="10"/>
      <x:c r="Y388" s="10"/>
      <x:c r="Z388" s="9"/>
      <x:c r="AA388" s="9" t="str">
        <x:v>L2</x:v>
      </x:c>
      <x:c r="AB388" s="9" t="str">
        <x:v>second from left</x:v>
      </x:c>
      <x:c r="AC388" s="9"/>
      <x:c r="AD388" s="9"/>
      <x:c r="AE388" s="9"/>
      <x:c r="AF388" s="9"/>
      <x:c r="AG388" s="9"/>
      <x:c r="AH388" s="9"/>
      <x:c r="AI388" s="11"/>
      <x:c r="AJ388" s="9"/>
      <x:c r="AK388" s="9" t="str">
        <x:v>Eval_Ordinal_Reference_Ordering.xlsm</x:v>
      </x:c>
      <x:c r="AL388" s="9" t="str">
        <x:v>GR00T visual only Results</x:v>
      </x:c>
      <x:c r="AM388" s="9" t="n">
        <x:v>88</x:v>
      </x:c>
      <x:c r="AN388" s="9" t="n">
        <x:v>88</x:v>
      </x:c>
    </x:row>
    <x:row r="389">
      <x:c r="A389" s="9" t="str">
        <x:v>Failure</x:v>
      </x:c>
      <x:c r="B389" s="9" t="str">
        <x:v>Ordinal Reference Ordering</x:v>
      </x:c>
      <x:c r="C389" s="10" t="n">
        <x:v>87</x:v>
      </x:c>
      <x:c r="D389" s="9" t="str">
        <x:v>Pick up the object that is second from the right and place it in the bowl.</x:v>
      </x:c>
      <x:c r="E389" s="9" t="str">
        <x:v>L1: airplane toy with propellers, L2: yellow pen</x:v>
      </x:c>
      <x:c r="F389" s="9" t="str">
        <x:v>airplane toy with propellers</x:v>
      </x:c>
      <x:c r="G389" s="9" t="str">
        <x:v>picked yellow pen</x:v>
      </x:c>
      <x:c r="H389" s="9" t="str">
        <x:v>Concept/compositional transfer</x:v>
      </x:c>
      <x:c r="I389" s="9" t="str">
        <x:v>CT-CF14-N2-06</x:v>
      </x:c>
      <x:c r="J389" s="9" t="str">
        <x:v>Masked cell n=2, L1, airplane toy with propellers</x:v>
      </x:c>
      <x:c r="K389" s="9" t="n">
        <x:v>86</x:v>
      </x:c>
      <x:c r="L389" s="9"/>
      <x:c r="M389" s="9"/>
      <x:c r="N389" s="9" t="str">
        <x:v>4 — Transfer-only counterfactual pairs</x:v>
      </x:c>
      <x:c r="O389" s="9" t="str">
        <x:v>Return the previously moved object to its marked position. Do not move any other object; only the prompt changes.</x:v>
      </x:c>
      <x:c r="P389" s="9" t="str">
        <x:v>The final manifest masks this exact sequence-length × physical-position × target-identity cell. Both equivalent left- and right-based descriptions are absent for this cell, while the canonical instruction wording occurs elsewhere in training.</x:v>
      </x:c>
      <x:c r="Q389" s="9"/>
      <x:c r="R389" s="10" t="n">
        <x:v>2</x:v>
      </x:c>
      <x:c r="S389" s="10"/>
      <x:c r="T389" s="9"/>
      <x:c r="U389" s="9"/>
      <x:c r="V389" s="9"/>
      <x:c r="W389" s="9" t="str">
        <x:v>CT-CF14-N2-06</x:v>
      </x:c>
      <x:c r="X389" s="10"/>
      <x:c r="Y389" s="10"/>
      <x:c r="Z389" s="9"/>
      <x:c r="AA389" s="9" t="str">
        <x:v>L1</x:v>
      </x:c>
      <x:c r="AB389" s="9" t="str">
        <x:v>second from right</x:v>
      </x:c>
      <x:c r="AC389" s="9"/>
      <x:c r="AD389" s="9"/>
      <x:c r="AE389" s="9"/>
      <x:c r="AF389" s="9"/>
      <x:c r="AG389" s="9"/>
      <x:c r="AH389" s="9"/>
      <x:c r="AI389" s="11"/>
      <x:c r="AJ389" s="9"/>
      <x:c r="AK389" s="9" t="str">
        <x:v>Eval_Ordinal_Reference_Ordering.xlsm</x:v>
      </x:c>
      <x:c r="AL389" s="9" t="str">
        <x:v>GR00T visual only Results</x:v>
      </x:c>
      <x:c r="AM389" s="9" t="n">
        <x:v>89</x:v>
      </x:c>
      <x:c r="AN389" s="9" t="n">
        <x:v>89</x:v>
      </x:c>
    </x:row>
    <x:row r="390">
      <x:c r="A390" s="9" t="str">
        <x:v>Success</x:v>
      </x:c>
      <x:c r="B390" s="9" t="str">
        <x:v>Ordinal Reference Ordering</x:v>
      </x:c>
      <x:c r="C390" s="10" t="n">
        <x:v>88</x:v>
      </x:c>
      <x:c r="D390" s="9" t="str">
        <x:v>Pick up the object that is first from the left and place it in the bowl.</x:v>
      </x:c>
      <x:c r="E390" s="9" t="str">
        <x:v>L1: blue tape ball, L2: airplane toy with propellers, L3: green highlighter</x:v>
      </x:c>
      <x:c r="F390" s="9" t="str">
        <x:v>blue tape ball</x:v>
      </x:c>
      <x:c r="G390" s="9"/>
      <x:c r="H390" s="9" t="str">
        <x:v>Concept/compositional transfer</x:v>
      </x:c>
      <x:c r="I390" s="9" t="str">
        <x:v>CT-CF15-N3-06</x:v>
      </x:c>
      <x:c r="J390" s="9" t="str">
        <x:v>Masked cell n=3, L1, blue tape ball</x:v>
      </x:c>
      <x:c r="K390" s="9"/>
      <x:c r="L390" s="9"/>
      <x:c r="M390" s="9"/>
      <x:c r="N390" s="9" t="str">
        <x:v>4 — Transfer-only counterfactual pairs</x:v>
      </x:c>
      <x:c r="O390" s="9" t="str">
        <x:v>Build this new scene family exactly from the L1–L4 description and save a first-frame reference image.</x:v>
      </x:c>
      <x:c r="P390" s="9" t="str">
        <x:v>The final manifest masks this exact sequence-length × physical-position × target-identity cell. Both equivalent left- and right-based descriptions are absent for this cell, while the canonical instruction wording occurs elsewhere in training.</x:v>
      </x:c>
      <x:c r="Q390" s="9"/>
      <x:c r="R390" s="10" t="n">
        <x:v>3</x:v>
      </x:c>
      <x:c r="S390" s="10"/>
      <x:c r="T390" s="9"/>
      <x:c r="U390" s="9"/>
      <x:c r="V390" s="9"/>
      <x:c r="W390" s="9" t="str">
        <x:v>CT-CF15-N3-06</x:v>
      </x:c>
      <x:c r="X390" s="10"/>
      <x:c r="Y390" s="10"/>
      <x:c r="Z390" s="9"/>
      <x:c r="AA390" s="9" t="str">
        <x:v>L1</x:v>
      </x:c>
      <x:c r="AB390" s="9" t="str">
        <x:v>first from left</x:v>
      </x:c>
      <x:c r="AC390" s="9"/>
      <x:c r="AD390" s="9"/>
      <x:c r="AE390" s="9"/>
      <x:c r="AF390" s="9"/>
      <x:c r="AG390" s="9"/>
      <x:c r="AH390" s="9"/>
      <x:c r="AI390" s="11"/>
      <x:c r="AJ390" s="9"/>
      <x:c r="AK390" s="9" t="str">
        <x:v>Eval_Ordinal_Reference_Ordering.xlsm</x:v>
      </x:c>
      <x:c r="AL390" s="9" t="str">
        <x:v>GR00T visual only Results</x:v>
      </x:c>
      <x:c r="AM390" s="9" t="n">
        <x:v>90</x:v>
      </x:c>
      <x:c r="AN390" s="9" t="n">
        <x:v>90</x:v>
      </x:c>
    </x:row>
    <x:row r="391">
      <x:c r="A391" s="9" t="str">
        <x:v>Failure</x:v>
      </x:c>
      <x:c r="B391" s="9" t="str">
        <x:v>Ordinal Reference Ordering</x:v>
      </x:c>
      <x:c r="C391" s="10" t="n">
        <x:v>89</x:v>
      </x:c>
      <x:c r="D391" s="9" t="str">
        <x:v>Pick up the object that is first from the right and place it in the bowl.</x:v>
      </x:c>
      <x:c r="E391" s="9" t="str">
        <x:v>L1: blue tape ball, L2: airplane toy with propellers, L3: green highlighter</x:v>
      </x:c>
      <x:c r="F391" s="9" t="str">
        <x:v>green highlighter</x:v>
      </x:c>
      <x:c r="G391" s="9" t="str">
        <x:v>picked airplane toy</x:v>
      </x:c>
      <x:c r="H391" s="9" t="str">
        <x:v>Concept/compositional transfer</x:v>
      </x:c>
      <x:c r="I391" s="9" t="str">
        <x:v>CT-CF15-N3-06</x:v>
      </x:c>
      <x:c r="J391" s="9" t="str">
        <x:v>Masked cell n=3, L3, green highlighter</x:v>
      </x:c>
      <x:c r="K391" s="9" t="n">
        <x:v>88</x:v>
      </x:c>
      <x:c r="L391" s="9"/>
      <x:c r="M391" s="9"/>
      <x:c r="N391" s="9" t="str">
        <x:v>4 — Transfer-only counterfactual pairs</x:v>
      </x:c>
      <x:c r="O391" s="9" t="str">
        <x:v>Return the previously moved object to its marked position. Do not move any other object; only the prompt changes.</x:v>
      </x:c>
      <x:c r="P391" s="9" t="str">
        <x:v>The final manifest masks this exact sequence-length × physical-position × target-identity cell. Both equivalent left- and right-based descriptions are absent for this cell, while the canonical instruction wording occurs elsewhere in training.</x:v>
      </x:c>
      <x:c r="Q391" s="9"/>
      <x:c r="R391" s="10" t="n">
        <x:v>3</x:v>
      </x:c>
      <x:c r="S391" s="10"/>
      <x:c r="T391" s="9"/>
      <x:c r="U391" s="9"/>
      <x:c r="V391" s="9"/>
      <x:c r="W391" s="9" t="str">
        <x:v>CT-CF15-N3-06</x:v>
      </x:c>
      <x:c r="X391" s="10"/>
      <x:c r="Y391" s="10"/>
      <x:c r="Z391" s="9"/>
      <x:c r="AA391" s="9" t="str">
        <x:v>L3</x:v>
      </x:c>
      <x:c r="AB391" s="9" t="str">
        <x:v>first from right</x:v>
      </x:c>
      <x:c r="AC391" s="9"/>
      <x:c r="AD391" s="9"/>
      <x:c r="AE391" s="9"/>
      <x:c r="AF391" s="9"/>
      <x:c r="AG391" s="9"/>
      <x:c r="AH391" s="9"/>
      <x:c r="AI391" s="11"/>
      <x:c r="AJ391" s="9"/>
      <x:c r="AK391" s="9" t="str">
        <x:v>Eval_Ordinal_Reference_Ordering.xlsm</x:v>
      </x:c>
      <x:c r="AL391" s="9" t="str">
        <x:v>GR00T visual only Results</x:v>
      </x:c>
      <x:c r="AM391" s="9" t="n">
        <x:v>91</x:v>
      </x:c>
      <x:c r="AN391" s="9" t="n">
        <x:v>91</x:v>
      </x:c>
    </x:row>
    <x:row r="392">
      <x:c r="A392" s="9" t="str">
        <x:v>Failure</x:v>
      </x:c>
      <x:c r="B392" s="9" t="str">
        <x:v>Ordinal Reference Ordering</x:v>
      </x:c>
      <x:c r="C392" s="10" t="n">
        <x:v>90</x:v>
      </x:c>
      <x:c r="D392" s="9" t="str">
        <x:v>Pick up the object that is fourth from the left and place it in the bowl.</x:v>
      </x:c>
      <x:c r="E392" s="9" t="str">
        <x:v>L1: green highlighter, L2: blue tape ball, L3: airplane toy with propellers, L4: yellow pen</x:v>
      </x:c>
      <x:c r="F392" s="9" t="str">
        <x:v>yellow pen</x:v>
      </x:c>
      <x:c r="G392" s="9" t="str">
        <x:v>tried to pick airplane toy and then misgripped and during recovery got the tape ball</x:v>
      </x:c>
      <x:c r="H392" s="9" t="str">
        <x:v>Concept/compositional transfer</x:v>
      </x:c>
      <x:c r="I392" s="9" t="str">
        <x:v>CT-CF16-N4-04</x:v>
      </x:c>
      <x:c r="J392" s="9" t="str">
        <x:v>Masked cell n=4, L4, yellow pen</x:v>
      </x:c>
      <x:c r="K392" s="9"/>
      <x:c r="L392" s="9"/>
      <x:c r="M392" s="9"/>
      <x:c r="N392" s="9" t="str">
        <x:v>4 — Transfer-only counterfactual pairs</x:v>
      </x:c>
      <x:c r="O392" s="9" t="str">
        <x:v>Build this new scene family exactly from the L1–L4 description and save a first-frame reference image.</x:v>
      </x:c>
      <x:c r="P392" s="9" t="str">
        <x:v>The final manifest masks this exact sequence-length × physical-position × target-identity cell. Both equivalent left- and right-based descriptions are absent for this cell, while the canonical instruction wording occurs elsewhere in training.</x:v>
      </x:c>
      <x:c r="Q392" s="9"/>
      <x:c r="R392" s="10" t="n">
        <x:v>4</x:v>
      </x:c>
      <x:c r="S392" s="10"/>
      <x:c r="T392" s="9"/>
      <x:c r="U392" s="9"/>
      <x:c r="V392" s="9"/>
      <x:c r="W392" s="9" t="str">
        <x:v>CT-CF16-N4-04</x:v>
      </x:c>
      <x:c r="X392" s="10"/>
      <x:c r="Y392" s="10"/>
      <x:c r="Z392" s="9"/>
      <x:c r="AA392" s="9" t="str">
        <x:v>L4</x:v>
      </x:c>
      <x:c r="AB392" s="9" t="str">
        <x:v>fourth from left</x:v>
      </x:c>
      <x:c r="AC392" s="9"/>
      <x:c r="AD392" s="9"/>
      <x:c r="AE392" s="9"/>
      <x:c r="AF392" s="9"/>
      <x:c r="AG392" s="9"/>
      <x:c r="AH392" s="9"/>
      <x:c r="AI392" s="11"/>
      <x:c r="AJ392" s="9"/>
      <x:c r="AK392" s="9" t="str">
        <x:v>Eval_Ordinal_Reference_Ordering.xlsm</x:v>
      </x:c>
      <x:c r="AL392" s="9" t="str">
        <x:v>GR00T visual only Results</x:v>
      </x:c>
      <x:c r="AM392" s="9" t="n">
        <x:v>92</x:v>
      </x:c>
      <x:c r="AN392" s="9" t="n">
        <x:v>92</x:v>
      </x:c>
    </x:row>
    <x:row r="393">
      <x:c r="A393" s="9" t="str">
        <x:v>Failure</x:v>
      </x:c>
      <x:c r="B393" s="9" t="str">
        <x:v>Ordinal Reference Ordering</x:v>
      </x:c>
      <x:c r="C393" s="10" t="n">
        <x:v>91</x:v>
      </x:c>
      <x:c r="D393" s="9" t="str">
        <x:v>Pick up the object that is third from the right and place it in the bowl.</x:v>
      </x:c>
      <x:c r="E393" s="9" t="str">
        <x:v>L1: green highlighter, L2: blue tape ball, L3: airplane toy with propellers, L4: yellow pen</x:v>
      </x:c>
      <x:c r="F393" s="9" t="str">
        <x:v>blue tape ball</x:v>
      </x:c>
      <x:c r="G393" s="9" t="str">
        <x:v>picked the green highlighter</x:v>
      </x:c>
      <x:c r="H393" s="9" t="str">
        <x:v>Concept/compositional transfer</x:v>
      </x:c>
      <x:c r="I393" s="9" t="str">
        <x:v>CT-CF16-N4-04</x:v>
      </x:c>
      <x:c r="J393" s="9" t="str">
        <x:v>Masked cell n=4, L2, blue tape ball</x:v>
      </x:c>
      <x:c r="K393" s="9" t="n">
        <x:v>90</x:v>
      </x:c>
      <x:c r="L393" s="9"/>
      <x:c r="M393" s="9"/>
      <x:c r="N393" s="9" t="str">
        <x:v>4 — Transfer-only counterfactual pairs</x:v>
      </x:c>
      <x:c r="O393" s="9" t="str">
        <x:v>Return the previously moved object to its marked position. Do not move any other object; only the prompt changes.</x:v>
      </x:c>
      <x:c r="P393" s="9" t="str">
        <x:v>The final manifest masks this exact sequence-length × physical-position × target-identity cell. Both equivalent left- and right-based descriptions are absent for this cell, while the canonical instruction wording occurs elsewhere in training.</x:v>
      </x:c>
      <x:c r="Q393" s="9"/>
      <x:c r="R393" s="10" t="n">
        <x:v>4</x:v>
      </x:c>
      <x:c r="S393" s="10"/>
      <x:c r="T393" s="9"/>
      <x:c r="U393" s="9"/>
      <x:c r="V393" s="9"/>
      <x:c r="W393" s="9" t="str">
        <x:v>CT-CF16-N4-04</x:v>
      </x:c>
      <x:c r="X393" s="10"/>
      <x:c r="Y393" s="10"/>
      <x:c r="Z393" s="9"/>
      <x:c r="AA393" s="9" t="str">
        <x:v>L2</x:v>
      </x:c>
      <x:c r="AB393" s="9" t="str">
        <x:v>third from right</x:v>
      </x:c>
      <x:c r="AC393" s="9"/>
      <x:c r="AD393" s="9"/>
      <x:c r="AE393" s="9"/>
      <x:c r="AF393" s="9"/>
      <x:c r="AG393" s="9"/>
      <x:c r="AH393" s="9"/>
      <x:c r="AI393" s="11"/>
      <x:c r="AJ393" s="9"/>
      <x:c r="AK393" s="9" t="str">
        <x:v>Eval_Ordinal_Reference_Ordering.xlsm</x:v>
      </x:c>
      <x:c r="AL393" s="9" t="str">
        <x:v>GR00T visual only Results</x:v>
      </x:c>
      <x:c r="AM393" s="9" t="n">
        <x:v>93</x:v>
      </x:c>
      <x:c r="AN393" s="9" t="n">
        <x:v>93</x:v>
      </x:c>
    </x:row>
    <x:row r="394">
      <x:c r="A394" s="9" t="str">
        <x:v>Failure</x:v>
      </x:c>
      <x:c r="B394" s="9" t="str">
        <x:v>Ordinal Reference Ordering</x:v>
      </x:c>
      <x:c r="C394" s="10" t="n">
        <x:v>92</x:v>
      </x:c>
      <x:c r="D394" s="9" t="str">
        <x:v>Pick up the object that is second from the right and place it in the bowl.</x:v>
      </x:c>
      <x:c r="E394" s="9" t="str">
        <x:v>L1: green highlighter, L2: blue tape ball</x:v>
      </x:c>
      <x:c r="F394" s="9" t="str">
        <x:v>green highlighter</x:v>
      </x:c>
      <x:c r="G394" s="9" t="str">
        <x:v>picked tape ball</x:v>
      </x:c>
      <x:c r="H394" s="9" t="str">
        <x:v>Concept/compositional transfer</x:v>
      </x:c>
      <x:c r="I394" s="9" t="str">
        <x:v>CT-CF17-N2-07</x:v>
      </x:c>
      <x:c r="J394" s="9" t="str">
        <x:v>Masked cell n=2, L1, green highlighter</x:v>
      </x:c>
      <x:c r="K394" s="9"/>
      <x:c r="L394" s="9"/>
      <x:c r="M394" s="9"/>
      <x:c r="N394" s="9" t="str">
        <x:v>4 — Transfer-only counterfactual pairs</x:v>
      </x:c>
      <x:c r="O394" s="9" t="str">
        <x:v>Build this new scene family exactly from the L1–L4 description and save a first-frame reference image.</x:v>
      </x:c>
      <x:c r="P394" s="9" t="str">
        <x:v>The final manifest masks this exact sequence-length × physical-position × target-identity cell. Both equivalent left- and right-based descriptions are absent for this cell, while the canonical instruction wording occurs elsewhere in training.</x:v>
      </x:c>
      <x:c r="Q394" s="9"/>
      <x:c r="R394" s="10" t="n">
        <x:v>2</x:v>
      </x:c>
      <x:c r="S394" s="10"/>
      <x:c r="T394" s="9"/>
      <x:c r="U394" s="9"/>
      <x:c r="V394" s="9"/>
      <x:c r="W394" s="9" t="str">
        <x:v>CT-CF17-N2-07</x:v>
      </x:c>
      <x:c r="X394" s="10"/>
      <x:c r="Y394" s="10"/>
      <x:c r="Z394" s="9"/>
      <x:c r="AA394" s="9" t="str">
        <x:v>L1</x:v>
      </x:c>
      <x:c r="AB394" s="9" t="str">
        <x:v>second from right</x:v>
      </x:c>
      <x:c r="AC394" s="9"/>
      <x:c r="AD394" s="9"/>
      <x:c r="AE394" s="9"/>
      <x:c r="AF394" s="9"/>
      <x:c r="AG394" s="9"/>
      <x:c r="AH394" s="9"/>
      <x:c r="AI394" s="11"/>
      <x:c r="AJ394" s="9"/>
      <x:c r="AK394" s="9" t="str">
        <x:v>Eval_Ordinal_Reference_Ordering.xlsm</x:v>
      </x:c>
      <x:c r="AL394" s="9" t="str">
        <x:v>GR00T visual only Results</x:v>
      </x:c>
      <x:c r="AM394" s="9" t="n">
        <x:v>94</x:v>
      </x:c>
      <x:c r="AN394" s="9" t="n">
        <x:v>94</x:v>
      </x:c>
    </x:row>
    <x:row r="395">
      <x:c r="A395" s="9" t="str">
        <x:v>Success</x:v>
      </x:c>
      <x:c r="B395" s="9" t="str">
        <x:v>Ordinal Reference Ordering</x:v>
      </x:c>
      <x:c r="C395" s="10" t="n">
        <x:v>93</x:v>
      </x:c>
      <x:c r="D395" s="9" t="str">
        <x:v>Pick up the object that is first from the right and place it in the bowl.</x:v>
      </x:c>
      <x:c r="E395" s="9" t="str">
        <x:v>L1: green highlighter, L2: blue tape ball</x:v>
      </x:c>
      <x:c r="F395" s="9" t="str">
        <x:v>blue tape ball</x:v>
      </x:c>
      <x:c r="G395" s="9"/>
      <x:c r="H395" s="9" t="str">
        <x:v>Concept/compositional transfer</x:v>
      </x:c>
      <x:c r="I395" s="9" t="str">
        <x:v>CT-CF17-N2-07</x:v>
      </x:c>
      <x:c r="J395" s="9" t="str">
        <x:v>Masked cell n=2, L2, blue tape ball</x:v>
      </x:c>
      <x:c r="K395" s="9" t="n">
        <x:v>92</x:v>
      </x:c>
      <x:c r="L395" s="9"/>
      <x:c r="M395" s="9"/>
      <x:c r="N395" s="9" t="str">
        <x:v>4 — Transfer-only counterfactual pairs</x:v>
      </x:c>
      <x:c r="O395" s="9" t="str">
        <x:v>Return the previously moved object to its marked position. Do not move any other object; only the prompt changes.</x:v>
      </x:c>
      <x:c r="P395" s="9" t="str">
        <x:v>The final manifest masks this exact sequence-length × physical-position × target-identity cell. Both equivalent left- and right-based descriptions are absent for this cell, while the canonical instruction wording occurs elsewhere in training.</x:v>
      </x:c>
      <x:c r="Q395" s="9"/>
      <x:c r="R395" s="10" t="n">
        <x:v>2</x:v>
      </x:c>
      <x:c r="S395" s="10"/>
      <x:c r="T395" s="9"/>
      <x:c r="U395" s="9"/>
      <x:c r="V395" s="9"/>
      <x:c r="W395" s="9" t="str">
        <x:v>CT-CF17-N2-07</x:v>
      </x:c>
      <x:c r="X395" s="10"/>
      <x:c r="Y395" s="10"/>
      <x:c r="Z395" s="9"/>
      <x:c r="AA395" s="9" t="str">
        <x:v>L2</x:v>
      </x:c>
      <x:c r="AB395" s="9" t="str">
        <x:v>first from right</x:v>
      </x:c>
      <x:c r="AC395" s="9"/>
      <x:c r="AD395" s="9"/>
      <x:c r="AE395" s="9"/>
      <x:c r="AF395" s="9"/>
      <x:c r="AG395" s="9"/>
      <x:c r="AH395" s="9"/>
      <x:c r="AI395" s="11"/>
      <x:c r="AJ395" s="9"/>
      <x:c r="AK395" s="9" t="str">
        <x:v>Eval_Ordinal_Reference_Ordering.xlsm</x:v>
      </x:c>
      <x:c r="AL395" s="9" t="str">
        <x:v>GR00T visual only Results</x:v>
      </x:c>
      <x:c r="AM395" s="9" t="n">
        <x:v>95</x:v>
      </x:c>
      <x:c r="AN395" s="9" t="n">
        <x:v>95</x:v>
      </x:c>
    </x:row>
    <x:row r="396">
      <x:c r="A396" s="9" t="str">
        <x:v>Success</x:v>
      </x:c>
      <x:c r="B396" s="9" t="str">
        <x:v>Ordinal Reference Ordering</x:v>
      </x:c>
      <x:c r="C396" s="10" t="n">
        <x:v>94</x:v>
      </x:c>
      <x:c r="D396" s="9" t="str">
        <x:v>Pick up the object that is first from the right and place it in the bowl.</x:v>
      </x:c>
      <x:c r="E396" s="9" t="str">
        <x:v>L1: yellow pen, L2: green highlighter, L3: airplane toy with propellers</x:v>
      </x:c>
      <x:c r="F396" s="9" t="str">
        <x:v>airplane toy with propellers</x:v>
      </x:c>
      <x:c r="G396" s="9"/>
      <x:c r="H396" s="9" t="str">
        <x:v>Concept/compositional transfer</x:v>
      </x:c>
      <x:c r="I396" s="9" t="str">
        <x:v>CT-CF18-N3-07</x:v>
      </x:c>
      <x:c r="J396" s="9" t="str">
        <x:v>Masked cell n=3, L3, airplane toy with propellers</x:v>
      </x:c>
      <x:c r="K396" s="9"/>
      <x:c r="L396" s="9"/>
      <x:c r="M396" s="9"/>
      <x:c r="N396" s="9" t="str">
        <x:v>4 — Transfer-only counterfactual pairs</x:v>
      </x:c>
      <x:c r="O396" s="9" t="str">
        <x:v>Build this new scene family exactly from the L1–L4 description and save a first-frame reference image.</x:v>
      </x:c>
      <x:c r="P396" s="9" t="str">
        <x:v>The final manifest masks this exact sequence-length × physical-position × target-identity cell. Both equivalent left- and right-based descriptions are absent for this cell, while the canonical instruction wording occurs elsewhere in training.</x:v>
      </x:c>
      <x:c r="Q396" s="9"/>
      <x:c r="R396" s="10" t="n">
        <x:v>3</x:v>
      </x:c>
      <x:c r="S396" s="10"/>
      <x:c r="T396" s="9"/>
      <x:c r="U396" s="9"/>
      <x:c r="V396" s="9"/>
      <x:c r="W396" s="9" t="str">
        <x:v>CT-CF18-N3-07</x:v>
      </x:c>
      <x:c r="X396" s="10"/>
      <x:c r="Y396" s="10"/>
      <x:c r="Z396" s="9"/>
      <x:c r="AA396" s="9" t="str">
        <x:v>L3</x:v>
      </x:c>
      <x:c r="AB396" s="9" t="str">
        <x:v>first from right</x:v>
      </x:c>
      <x:c r="AC396" s="9"/>
      <x:c r="AD396" s="9"/>
      <x:c r="AE396" s="9"/>
      <x:c r="AF396" s="9"/>
      <x:c r="AG396" s="9"/>
      <x:c r="AH396" s="9"/>
      <x:c r="AI396" s="11"/>
      <x:c r="AJ396" s="9"/>
      <x:c r="AK396" s="9" t="str">
        <x:v>Eval_Ordinal_Reference_Ordering.xlsm</x:v>
      </x:c>
      <x:c r="AL396" s="9" t="str">
        <x:v>GR00T visual only Results</x:v>
      </x:c>
      <x:c r="AM396" s="9" t="n">
        <x:v>96</x:v>
      </x:c>
      <x:c r="AN396" s="9" t="n">
        <x:v>96</x:v>
      </x:c>
    </x:row>
    <x:row r="397">
      <x:c r="A397" s="9" t="str">
        <x:v>Failure</x:v>
      </x:c>
      <x:c r="B397" s="9" t="str">
        <x:v>Ordinal Reference Ordering</x:v>
      </x:c>
      <x:c r="C397" s="10" t="n">
        <x:v>95</x:v>
      </x:c>
      <x:c r="D397" s="9" t="str">
        <x:v>Pick up the object that is third from the right and place it in the bowl.</x:v>
      </x:c>
      <x:c r="E397" s="9" t="str">
        <x:v>L1: yellow pen, L2: green highlighter, L3: airplane toy with propellers</x:v>
      </x:c>
      <x:c r="F397" s="9" t="str">
        <x:v>yellow pen</x:v>
      </x:c>
      <x:c r="G397" s="9" t="str">
        <x:v>picked green highlighter</x:v>
      </x:c>
      <x:c r="H397" s="9" t="str">
        <x:v>Concept/compositional transfer</x:v>
      </x:c>
      <x:c r="I397" s="9" t="str">
        <x:v>CT-CF18-N3-07</x:v>
      </x:c>
      <x:c r="J397" s="9" t="str">
        <x:v>Masked cell n=3, L1, yellow pen</x:v>
      </x:c>
      <x:c r="K397" s="9" t="n">
        <x:v>94</x:v>
      </x:c>
      <x:c r="L397" s="9"/>
      <x:c r="M397" s="9"/>
      <x:c r="N397" s="9" t="str">
        <x:v>4 — Transfer-only counterfactual pairs</x:v>
      </x:c>
      <x:c r="O397" s="9" t="str">
        <x:v>Return the previously moved object to its marked position. Do not move any other object; only the prompt changes.</x:v>
      </x:c>
      <x:c r="P397" s="9" t="str">
        <x:v>The final manifest masks this exact sequence-length × physical-position × target-identity cell. Both equivalent left- and right-based descriptions are absent for this cell, while the canonical instruction wording occurs elsewhere in training.</x:v>
      </x:c>
      <x:c r="Q397" s="9"/>
      <x:c r="R397" s="10" t="n">
        <x:v>3</x:v>
      </x:c>
      <x:c r="S397" s="10"/>
      <x:c r="T397" s="9"/>
      <x:c r="U397" s="9"/>
      <x:c r="V397" s="9"/>
      <x:c r="W397" s="9" t="str">
        <x:v>CT-CF18-N3-07</x:v>
      </x:c>
      <x:c r="X397" s="10"/>
      <x:c r="Y397" s="10"/>
      <x:c r="Z397" s="9"/>
      <x:c r="AA397" s="9" t="str">
        <x:v>L1</x:v>
      </x:c>
      <x:c r="AB397" s="9" t="str">
        <x:v>third from right</x:v>
      </x:c>
      <x:c r="AC397" s="9"/>
      <x:c r="AD397" s="9"/>
      <x:c r="AE397" s="9"/>
      <x:c r="AF397" s="9"/>
      <x:c r="AG397" s="9"/>
      <x:c r="AH397" s="9"/>
      <x:c r="AI397" s="11"/>
      <x:c r="AJ397" s="9"/>
      <x:c r="AK397" s="9" t="str">
        <x:v>Eval_Ordinal_Reference_Ordering.xlsm</x:v>
      </x:c>
      <x:c r="AL397" s="9" t="str">
        <x:v>GR00T visual only Results</x:v>
      </x:c>
      <x:c r="AM397" s="9" t="n">
        <x:v>97</x:v>
      </x:c>
      <x:c r="AN397" s="9" t="n">
        <x:v>97</x:v>
      </x:c>
    </x:row>
    <x:row r="398">
      <x:c r="A398" s="9" t="str">
        <x:v>Failure</x:v>
      </x:c>
      <x:c r="B398" s="9" t="str">
        <x:v>Ordinal Reference Ordering</x:v>
      </x:c>
      <x:c r="C398" s="10" t="n">
        <x:v>96</x:v>
      </x:c>
      <x:c r="D398" s="9" t="str">
        <x:v>Pick up the object that is fourth from the right and place it in the bowl.</x:v>
      </x:c>
      <x:c r="E398" s="9" t="str">
        <x:v>L1: airplane toy with propellers, L2: green highlighter, L3: blue tape ball, L4: yellow pen</x:v>
      </x:c>
      <x:c r="F398" s="9" t="str">
        <x:v>airplane toy with propellers</x:v>
      </x:c>
      <x:c r="G398" s="9" t="str">
        <x:v>picked green highlighter</x:v>
      </x:c>
      <x:c r="H398" s="9" t="str">
        <x:v>Concept/compositional transfer</x:v>
      </x:c>
      <x:c r="I398" s="9" t="str">
        <x:v>CT-CF19-N4-05</x:v>
      </x:c>
      <x:c r="J398" s="9" t="str">
        <x:v>Masked cell n=4, L1, airplane toy with propellers</x:v>
      </x:c>
      <x:c r="K398" s="9"/>
      <x:c r="L398" s="9"/>
      <x:c r="M398" s="9"/>
      <x:c r="N398" s="9" t="str">
        <x:v>4 — Transfer-only counterfactual pairs</x:v>
      </x:c>
      <x:c r="O398" s="9" t="str">
        <x:v>Build this new scene family exactly from the L1–L4 description and save a first-frame reference image.</x:v>
      </x:c>
      <x:c r="P398" s="9" t="str">
        <x:v>The final manifest masks this exact sequence-length × physical-position × target-identity cell. Both equivalent left- and right-based descriptions are absent for this cell, while the canonical instruction wording occurs elsewhere in training.</x:v>
      </x:c>
      <x:c r="Q398" s="9"/>
      <x:c r="R398" s="10" t="n">
        <x:v>4</x:v>
      </x:c>
      <x:c r="S398" s="10"/>
      <x:c r="T398" s="9"/>
      <x:c r="U398" s="9"/>
      <x:c r="V398" s="9"/>
      <x:c r="W398" s="9" t="str">
        <x:v>CT-CF19-N4-05</x:v>
      </x:c>
      <x:c r="X398" s="10"/>
      <x:c r="Y398" s="10"/>
      <x:c r="Z398" s="9"/>
      <x:c r="AA398" s="9" t="str">
        <x:v>L1</x:v>
      </x:c>
      <x:c r="AB398" s="9" t="str">
        <x:v>fourth from right</x:v>
      </x:c>
      <x:c r="AC398" s="9"/>
      <x:c r="AD398" s="9"/>
      <x:c r="AE398" s="9"/>
      <x:c r="AF398" s="9"/>
      <x:c r="AG398" s="9"/>
      <x:c r="AH398" s="9"/>
      <x:c r="AI398" s="11"/>
      <x:c r="AJ398" s="9"/>
      <x:c r="AK398" s="9" t="str">
        <x:v>Eval_Ordinal_Reference_Ordering.xlsm</x:v>
      </x:c>
      <x:c r="AL398" s="9" t="str">
        <x:v>GR00T visual only Results</x:v>
      </x:c>
      <x:c r="AM398" s="9" t="n">
        <x:v>98</x:v>
      </x:c>
      <x:c r="AN398" s="9" t="n">
        <x:v>98</x:v>
      </x:c>
    </x:row>
    <x:row r="399">
      <x:c r="A399" s="9" t="str">
        <x:v>Failure</x:v>
      </x:c>
      <x:c r="B399" s="9" t="str">
        <x:v>Ordinal Reference Ordering</x:v>
      </x:c>
      <x:c r="C399" s="10" t="n">
        <x:v>97</x:v>
      </x:c>
      <x:c r="D399" s="9" t="str">
        <x:v>Pick up the object that is fourth from the left and place it in the bowl.</x:v>
      </x:c>
      <x:c r="E399" s="9" t="str">
        <x:v>L1: airplane toy with propellers, L2: green highlighter, L3: blue tape ball, L4: yellow pen</x:v>
      </x:c>
      <x:c r="F399" s="9" t="str">
        <x:v>yellow pen</x:v>
      </x:c>
      <x:c r="G399" s="9" t="str">
        <x:v>picked blue tape ball</x:v>
      </x:c>
      <x:c r="H399" s="9" t="str">
        <x:v>Concept/compositional transfer</x:v>
      </x:c>
      <x:c r="I399" s="9" t="str">
        <x:v>CT-CF19-N4-05</x:v>
      </x:c>
      <x:c r="J399" s="9" t="str">
        <x:v>Masked cell n=4, L4, yellow pen</x:v>
      </x:c>
      <x:c r="K399" s="9" t="n">
        <x:v>96</x:v>
      </x:c>
      <x:c r="L399" s="9"/>
      <x:c r="M399" s="9"/>
      <x:c r="N399" s="9" t="str">
        <x:v>4 — Transfer-only counterfactual pairs</x:v>
      </x:c>
      <x:c r="O399" s="9" t="str">
        <x:v>Return the previously moved object to its marked position. Do not move any other object; only the prompt changes.</x:v>
      </x:c>
      <x:c r="P399" s="9" t="str">
        <x:v>The final manifest masks this exact sequence-length × physical-position × target-identity cell. Both equivalent left- and right-based descriptions are absent for this cell, while the canonical instruction wording occurs elsewhere in training.</x:v>
      </x:c>
      <x:c r="Q399" s="9"/>
      <x:c r="R399" s="10" t="n">
        <x:v>4</x:v>
      </x:c>
      <x:c r="S399" s="10"/>
      <x:c r="T399" s="9"/>
      <x:c r="U399" s="9"/>
      <x:c r="V399" s="9"/>
      <x:c r="W399" s="9" t="str">
        <x:v>CT-CF19-N4-05</x:v>
      </x:c>
      <x:c r="X399" s="10"/>
      <x:c r="Y399" s="10"/>
      <x:c r="Z399" s="9"/>
      <x:c r="AA399" s="9" t="str">
        <x:v>L4</x:v>
      </x:c>
      <x:c r="AB399" s="9" t="str">
        <x:v>fourth from left</x:v>
      </x:c>
      <x:c r="AC399" s="9"/>
      <x:c r="AD399" s="9"/>
      <x:c r="AE399" s="9"/>
      <x:c r="AF399" s="9"/>
      <x:c r="AG399" s="9"/>
      <x:c r="AH399" s="9"/>
      <x:c r="AI399" s="11"/>
      <x:c r="AJ399" s="9"/>
      <x:c r="AK399" s="9" t="str">
        <x:v>Eval_Ordinal_Reference_Ordering.xlsm</x:v>
      </x:c>
      <x:c r="AL399" s="9" t="str">
        <x:v>GR00T visual only Results</x:v>
      </x:c>
      <x:c r="AM399" s="9" t="n">
        <x:v>99</x:v>
      </x:c>
      <x:c r="AN399" s="9" t="n">
        <x:v>99</x:v>
      </x:c>
    </x:row>
    <x:row r="400">
      <x:c r="A400" s="9" t="str">
        <x:v>Failure</x:v>
      </x:c>
      <x:c r="B400" s="9" t="str">
        <x:v>Ordinal Reference Ordering</x:v>
      </x:c>
      <x:c r="C400" s="10" t="n">
        <x:v>98</x:v>
      </x:c>
      <x:c r="D400" s="9" t="str">
        <x:v>Pick up the object that is first from the right and place it in the bowl.</x:v>
      </x:c>
      <x:c r="E400" s="9" t="str">
        <x:v>L1: green highlighter, L2: yellow pen</x:v>
      </x:c>
      <x:c r="F400" s="9" t="str">
        <x:v>yellow pen</x:v>
      </x:c>
      <x:c r="G400" s="9" t="str">
        <x:v>went to the right edge of workspace and jittered around</x:v>
      </x:c>
      <x:c r="H400" s="9" t="str">
        <x:v>Concept/compositional transfer</x:v>
      </x:c>
      <x:c r="I400" s="9" t="str">
        <x:v>CT-CF20-N2-08</x:v>
      </x:c>
      <x:c r="J400" s="9" t="str">
        <x:v>Masked cell n=2, L2, yellow pen</x:v>
      </x:c>
      <x:c r="K400" s="9"/>
      <x:c r="L400" s="9"/>
      <x:c r="M400" s="9"/>
      <x:c r="N400" s="9" t="str">
        <x:v>4 — Transfer-only counterfactual pairs</x:v>
      </x:c>
      <x:c r="O400" s="9" t="str">
        <x:v>Build this new scene family exactly from the L1–L4 description and save a first-frame reference image.</x:v>
      </x:c>
      <x:c r="P400" s="9" t="str">
        <x:v>The final manifest masks this exact sequence-length × physical-position × target-identity cell. Both equivalent left- and right-based descriptions are absent for this cell, while the canonical instruction wording occurs elsewhere in training.</x:v>
      </x:c>
      <x:c r="Q400" s="9"/>
      <x:c r="R400" s="10" t="n">
        <x:v>2</x:v>
      </x:c>
      <x:c r="S400" s="10"/>
      <x:c r="T400" s="9"/>
      <x:c r="U400" s="9"/>
      <x:c r="V400" s="9"/>
      <x:c r="W400" s="9" t="str">
        <x:v>CT-CF20-N2-08</x:v>
      </x:c>
      <x:c r="X400" s="10"/>
      <x:c r="Y400" s="10"/>
      <x:c r="Z400" s="9"/>
      <x:c r="AA400" s="9" t="str">
        <x:v>L2</x:v>
      </x:c>
      <x:c r="AB400" s="9" t="str">
        <x:v>first from right</x:v>
      </x:c>
      <x:c r="AC400" s="9"/>
      <x:c r="AD400" s="9"/>
      <x:c r="AE400" s="9"/>
      <x:c r="AF400" s="9"/>
      <x:c r="AG400" s="9"/>
      <x:c r="AH400" s="9"/>
      <x:c r="AI400" s="11"/>
      <x:c r="AJ400" s="9"/>
      <x:c r="AK400" s="9" t="str">
        <x:v>Eval_Ordinal_Reference_Ordering.xlsm</x:v>
      </x:c>
      <x:c r="AL400" s="9" t="str">
        <x:v>GR00T visual only Results</x:v>
      </x:c>
      <x:c r="AM400" s="9" t="n">
        <x:v>100</x:v>
      </x:c>
      <x:c r="AN400" s="9" t="n">
        <x:v>100</x:v>
      </x:c>
    </x:row>
    <x:row r="401">
      <x:c r="A401" s="9" t="str">
        <x:v>Failure</x:v>
      </x:c>
      <x:c r="B401" s="9" t="str">
        <x:v>Ordinal Reference Ordering</x:v>
      </x:c>
      <x:c r="C401" s="10" t="n">
        <x:v>99</x:v>
      </x:c>
      <x:c r="D401" s="9" t="str">
        <x:v>Pick up the object that is second from the right and place it in the bowl.</x:v>
      </x:c>
      <x:c r="E401" s="9" t="str">
        <x:v>L1: green highlighter, L2: yellow pen</x:v>
      </x:c>
      <x:c r="F401" s="9" t="str">
        <x:v>green highlighter</x:v>
      </x:c>
      <x:c r="G401" s="9" t="str">
        <x:v>picked yellow pen</x:v>
      </x:c>
      <x:c r="H401" s="9" t="str">
        <x:v>Concept/compositional transfer</x:v>
      </x:c>
      <x:c r="I401" s="9" t="str">
        <x:v>CT-CF20-N2-08</x:v>
      </x:c>
      <x:c r="J401" s="9" t="str">
        <x:v>Masked cell n=2, L1, green highlighter</x:v>
      </x:c>
      <x:c r="K401" s="9" t="n">
        <x:v>98</x:v>
      </x:c>
      <x:c r="L401" s="9"/>
      <x:c r="M401" s="9"/>
      <x:c r="N401" s="9" t="str">
        <x:v>4 — Transfer-only counterfactual pairs</x:v>
      </x:c>
      <x:c r="O401" s="9" t="str">
        <x:v>Return the previously moved object to its marked position. Do not move any other object; only the prompt changes.</x:v>
      </x:c>
      <x:c r="P401" s="9" t="str">
        <x:v>The final manifest masks this exact sequence-length × physical-position × target-identity cell. Both equivalent left- and right-based descriptions are absent for this cell, while the canonical instruction wording occurs elsewhere in training.</x:v>
      </x:c>
      <x:c r="Q401" s="9"/>
      <x:c r="R401" s="10" t="n">
        <x:v>2</x:v>
      </x:c>
      <x:c r="S401" s="10"/>
      <x:c r="T401" s="9"/>
      <x:c r="U401" s="9"/>
      <x:c r="V401" s="9"/>
      <x:c r="W401" s="9" t="str">
        <x:v>CT-CF20-N2-08</x:v>
      </x:c>
      <x:c r="X401" s="10"/>
      <x:c r="Y401" s="10"/>
      <x:c r="Z401" s="9"/>
      <x:c r="AA401" s="9" t="str">
        <x:v>L1</x:v>
      </x:c>
      <x:c r="AB401" s="9" t="str">
        <x:v>second from right</x:v>
      </x:c>
      <x:c r="AC401" s="9"/>
      <x:c r="AD401" s="9"/>
      <x:c r="AE401" s="9"/>
      <x:c r="AF401" s="9"/>
      <x:c r="AG401" s="9"/>
      <x:c r="AH401" s="9"/>
      <x:c r="AI401" s="11"/>
      <x:c r="AJ401" s="9"/>
      <x:c r="AK401" s="9" t="str">
        <x:v>Eval_Ordinal_Reference_Ordering.xlsm</x:v>
      </x:c>
      <x:c r="AL401" s="9" t="str">
        <x:v>GR00T visual only Results</x:v>
      </x:c>
      <x:c r="AM401" s="9" t="n">
        <x:v>101</x:v>
      </x:c>
      <x:c r="AN401" s="9" t="n">
        <x:v>101</x:v>
      </x:c>
    </x:row>
    <x:row r="402">
      <x:c r="A402" s="9" t="str">
        <x:v>Success</x:v>
      </x:c>
      <x:c r="B402" s="9" t="str">
        <x:v>Ordinal Reference Ordering</x:v>
      </x:c>
      <x:c r="C402" s="10" t="n">
        <x:v>100</x:v>
      </x:c>
      <x:c r="D402" s="9" t="str">
        <x:v>Pick up the object that is third from the right and place it in the bowl.</x:v>
      </x:c>
      <x:c r="E402" s="9" t="str">
        <x:v>L1: yellow pen, L2: blue tape ball, L3: green highlighter</x:v>
      </x:c>
      <x:c r="F402" s="9" t="str">
        <x:v>yellow pen</x:v>
      </x:c>
      <x:c r="G402" s="9"/>
      <x:c r="H402" s="9" t="str">
        <x:v>Concept/compositional transfer</x:v>
      </x:c>
      <x:c r="I402" s="9" t="str">
        <x:v>CT-CF21-N3-08</x:v>
      </x:c>
      <x:c r="J402" s="9" t="str">
        <x:v>Masked cell n=3, L1, yellow pen</x:v>
      </x:c>
      <x:c r="K402" s="9"/>
      <x:c r="L402" s="9"/>
      <x:c r="M402" s="9"/>
      <x:c r="N402" s="9" t="str">
        <x:v>4 — Transfer-only counterfactual pairs</x:v>
      </x:c>
      <x:c r="O402" s="9" t="str">
        <x:v>Build this new scene family exactly from the L1–L4 description and save a first-frame reference image.</x:v>
      </x:c>
      <x:c r="P402" s="9" t="str">
        <x:v>The final manifest masks this exact sequence-length × physical-position × target-identity cell. Both equivalent left- and right-based descriptions are absent for this cell, while the canonical instruction wording occurs elsewhere in training.</x:v>
      </x:c>
      <x:c r="Q402" s="9"/>
      <x:c r="R402" s="10" t="n">
        <x:v>3</x:v>
      </x:c>
      <x:c r="S402" s="10"/>
      <x:c r="T402" s="9"/>
      <x:c r="U402" s="9"/>
      <x:c r="V402" s="9"/>
      <x:c r="W402" s="9" t="str">
        <x:v>CT-CF21-N3-08</x:v>
      </x:c>
      <x:c r="X402" s="10"/>
      <x:c r="Y402" s="10"/>
      <x:c r="Z402" s="9"/>
      <x:c r="AA402" s="9" t="str">
        <x:v>L1</x:v>
      </x:c>
      <x:c r="AB402" s="9" t="str">
        <x:v>third from right</x:v>
      </x:c>
      <x:c r="AC402" s="9"/>
      <x:c r="AD402" s="9"/>
      <x:c r="AE402" s="9"/>
      <x:c r="AF402" s="9"/>
      <x:c r="AG402" s="9"/>
      <x:c r="AH402" s="9"/>
      <x:c r="AI402" s="11"/>
      <x:c r="AJ402" s="9"/>
      <x:c r="AK402" s="9" t="str">
        <x:v>Eval_Ordinal_Reference_Ordering.xlsm</x:v>
      </x:c>
      <x:c r="AL402" s="9" t="str">
        <x:v>GR00T visual only Results</x:v>
      </x:c>
      <x:c r="AM402" s="9" t="n">
        <x:v>102</x:v>
      </x:c>
      <x:c r="AN402" s="9" t="n">
        <x:v>102</x:v>
      </x:c>
    </x:row>
    <x:row r="403">
      <x:c r="A403" s="9" t="str">
        <x:v>Success</x:v>
      </x:c>
      <x:c r="B403" s="9" t="str">
        <x:v>Ordinal Reference Ordering</x:v>
      </x:c>
      <x:c r="C403" s="10" t="n">
        <x:v>101</x:v>
      </x:c>
      <x:c r="D403" s="9" t="str">
        <x:v>Pick up the object that is first from the right and place it in the bowl.</x:v>
      </x:c>
      <x:c r="E403" s="9" t="str">
        <x:v>L1: yellow pen, L2: blue tape ball, L3: green highlighter</x:v>
      </x:c>
      <x:c r="F403" s="9" t="str">
        <x:v>green highlighter</x:v>
      </x:c>
      <x:c r="G403" s="9"/>
      <x:c r="H403" s="9" t="str">
        <x:v>Concept/compositional transfer</x:v>
      </x:c>
      <x:c r="I403" s="9" t="str">
        <x:v>CT-CF21-N3-08</x:v>
      </x:c>
      <x:c r="J403" s="9" t="str">
        <x:v>Masked cell n=3, L3, green highlighter</x:v>
      </x:c>
      <x:c r="K403" s="9" t="n">
        <x:v>100</x:v>
      </x:c>
      <x:c r="L403" s="9"/>
      <x:c r="M403" s="9"/>
      <x:c r="N403" s="9" t="str">
        <x:v>4 — Transfer-only counterfactual pairs</x:v>
      </x:c>
      <x:c r="O403" s="9" t="str">
        <x:v>Return the previously moved object to its marked position. Do not move any other object; only the prompt changes.</x:v>
      </x:c>
      <x:c r="P403" s="9" t="str">
        <x:v>The final manifest masks this exact sequence-length × physical-position × target-identity cell. Both equivalent left- and right-based descriptions are absent for this cell, while the canonical instruction wording occurs elsewhere in training.</x:v>
      </x:c>
      <x:c r="Q403" s="9"/>
      <x:c r="R403" s="10" t="n">
        <x:v>3</x:v>
      </x:c>
      <x:c r="S403" s="10"/>
      <x:c r="T403" s="9"/>
      <x:c r="U403" s="9"/>
      <x:c r="V403" s="9"/>
      <x:c r="W403" s="9" t="str">
        <x:v>CT-CF21-N3-08</x:v>
      </x:c>
      <x:c r="X403" s="10"/>
      <x:c r="Y403" s="10"/>
      <x:c r="Z403" s="9"/>
      <x:c r="AA403" s="9" t="str">
        <x:v>L3</x:v>
      </x:c>
      <x:c r="AB403" s="9" t="str">
        <x:v>first from right</x:v>
      </x:c>
      <x:c r="AC403" s="9"/>
      <x:c r="AD403" s="9"/>
      <x:c r="AE403" s="9"/>
      <x:c r="AF403" s="9"/>
      <x:c r="AG403" s="9"/>
      <x:c r="AH403" s="9"/>
      <x:c r="AI403" s="11"/>
      <x:c r="AJ403" s="9"/>
      <x:c r="AK403" s="9" t="str">
        <x:v>Eval_Ordinal_Reference_Ordering.xlsm</x:v>
      </x:c>
      <x:c r="AL403" s="9" t="str">
        <x:v>GR00T visual only Results</x:v>
      </x:c>
      <x:c r="AM403" s="9" t="n">
        <x:v>103</x:v>
      </x:c>
      <x:c r="AN403" s="9" t="n">
        <x:v>103</x:v>
      </x:c>
    </x:row>
    <x:row r="404">
      <x:c r="A404" s="9" t="str">
        <x:v>Success</x:v>
      </x:c>
      <x:c r="B404" s="9" t="str">
        <x:v>Ordinal Reference Ordering</x:v>
      </x:c>
      <x:c r="C404" s="10" t="n">
        <x:v>102</x:v>
      </x:c>
      <x:c r="D404" s="9" t="str">
        <x:v>Pick up the object that is third from the left and place it in the bowl.</x:v>
      </x:c>
      <x:c r="E404" s="9" t="str">
        <x:v>L1: yellow pen, L2: blue tape ball, L3: green highlighter, L4: airplane toy with propellers</x:v>
      </x:c>
      <x:c r="F404" s="9" t="str">
        <x:v>green highlighter</x:v>
      </x:c>
      <x:c r="G404" s="9"/>
      <x:c r="H404" s="9" t="str">
        <x:v>Concept/compositional transfer</x:v>
      </x:c>
      <x:c r="I404" s="9" t="str">
        <x:v>CT-CF22-N4-06</x:v>
      </x:c>
      <x:c r="J404" s="9" t="str">
        <x:v>Masked cell n=4, L3, green highlighter</x:v>
      </x:c>
      <x:c r="K404" s="9"/>
      <x:c r="L404" s="9"/>
      <x:c r="M404" s="9"/>
      <x:c r="N404" s="9" t="str">
        <x:v>4 — Transfer-only counterfactual pairs</x:v>
      </x:c>
      <x:c r="O404" s="9" t="str">
        <x:v>Build this new scene family exactly from the L1–L4 description and save a first-frame reference image.</x:v>
      </x:c>
      <x:c r="P404" s="9" t="str">
        <x:v>The final manifest masks this exact sequence-length × physical-position × target-identity cell. Both equivalent left- and right-based descriptions are absent for this cell, while the canonical instruction wording occurs elsewhere in training.</x:v>
      </x:c>
      <x:c r="Q404" s="9"/>
      <x:c r="R404" s="10" t="n">
        <x:v>4</x:v>
      </x:c>
      <x:c r="S404" s="10"/>
      <x:c r="T404" s="9"/>
      <x:c r="U404" s="9"/>
      <x:c r="V404" s="9"/>
      <x:c r="W404" s="9" t="str">
        <x:v>CT-CF22-N4-06</x:v>
      </x:c>
      <x:c r="X404" s="10"/>
      <x:c r="Y404" s="10"/>
      <x:c r="Z404" s="9"/>
      <x:c r="AA404" s="9" t="str">
        <x:v>L3</x:v>
      </x:c>
      <x:c r="AB404" s="9" t="str">
        <x:v>third from left</x:v>
      </x:c>
      <x:c r="AC404" s="9"/>
      <x:c r="AD404" s="9"/>
      <x:c r="AE404" s="9"/>
      <x:c r="AF404" s="9"/>
      <x:c r="AG404" s="9"/>
      <x:c r="AH404" s="9"/>
      <x:c r="AI404" s="11"/>
      <x:c r="AJ404" s="9"/>
      <x:c r="AK404" s="9" t="str">
        <x:v>Eval_Ordinal_Reference_Ordering.xlsm</x:v>
      </x:c>
      <x:c r="AL404" s="9" t="str">
        <x:v>GR00T visual only Results</x:v>
      </x:c>
      <x:c r="AM404" s="9" t="n">
        <x:v>104</x:v>
      </x:c>
      <x:c r="AN404" s="9" t="n">
        <x:v>104</x:v>
      </x:c>
    </x:row>
    <x:row r="405">
      <x:c r="A405" s="9" t="str">
        <x:v>Success</x:v>
      </x:c>
      <x:c r="B405" s="9" t="str">
        <x:v>Ordinal Reference Ordering</x:v>
      </x:c>
      <x:c r="C405" s="10" t="n">
        <x:v>103</x:v>
      </x:c>
      <x:c r="D405" s="9" t="str">
        <x:v>Pick up the object that is third from the right and place it in the bowl.</x:v>
      </x:c>
      <x:c r="E405" s="9" t="str">
        <x:v>L1: yellow pen, L2: blue tape ball, L3: green highlighter, L4: airplane toy with propellers</x:v>
      </x:c>
      <x:c r="F405" s="9" t="str">
        <x:v>blue tape ball</x:v>
      </x:c>
      <x:c r="G405" s="9"/>
      <x:c r="H405" s="9" t="str">
        <x:v>Concept/compositional transfer</x:v>
      </x:c>
      <x:c r="I405" s="9" t="str">
        <x:v>CT-CF22-N4-06</x:v>
      </x:c>
      <x:c r="J405" s="9" t="str">
        <x:v>Masked cell n=4, L2, blue tape ball</x:v>
      </x:c>
      <x:c r="K405" s="9" t="n">
        <x:v>102</x:v>
      </x:c>
      <x:c r="L405" s="9"/>
      <x:c r="M405" s="9"/>
      <x:c r="N405" s="9" t="str">
        <x:v>4 — Transfer-only counterfactual pairs</x:v>
      </x:c>
      <x:c r="O405" s="9" t="str">
        <x:v>Return the previously moved object to its marked position. Do not move any other object; only the prompt changes.</x:v>
      </x:c>
      <x:c r="P405" s="9" t="str">
        <x:v>The final manifest masks this exact sequence-length × physical-position × target-identity cell. Both equivalent left- and right-based descriptions are absent for this cell, while the canonical instruction wording occurs elsewhere in training.</x:v>
      </x:c>
      <x:c r="Q405" s="9"/>
      <x:c r="R405" s="10" t="n">
        <x:v>4</x:v>
      </x:c>
      <x:c r="S405" s="10"/>
      <x:c r="T405" s="9"/>
      <x:c r="U405" s="9"/>
      <x:c r="V405" s="9"/>
      <x:c r="W405" s="9" t="str">
        <x:v>CT-CF22-N4-06</x:v>
      </x:c>
      <x:c r="X405" s="10"/>
      <x:c r="Y405" s="10"/>
      <x:c r="Z405" s="9"/>
      <x:c r="AA405" s="9" t="str">
        <x:v>L2</x:v>
      </x:c>
      <x:c r="AB405" s="9" t="str">
        <x:v>third from right</x:v>
      </x:c>
      <x:c r="AC405" s="9"/>
      <x:c r="AD405" s="9"/>
      <x:c r="AE405" s="9"/>
      <x:c r="AF405" s="9"/>
      <x:c r="AG405" s="9"/>
      <x:c r="AH405" s="9"/>
      <x:c r="AI405" s="11"/>
      <x:c r="AJ405" s="9"/>
      <x:c r="AK405" s="9" t="str">
        <x:v>Eval_Ordinal_Reference_Ordering.xlsm</x:v>
      </x:c>
      <x:c r="AL405" s="9" t="str">
        <x:v>GR00T visual only Results</x:v>
      </x:c>
      <x:c r="AM405" s="9" t="n">
        <x:v>105</x:v>
      </x:c>
      <x:c r="AN405" s="9" t="n">
        <x:v>105</x:v>
      </x:c>
    </x:row>
    <x:row r="406">
      <x:c r="A406" s="9" t="str">
        <x:v>Failure</x:v>
      </x:c>
      <x:c r="B406" s="9" t="str">
        <x:v>Ordinal Reference Ordering</x:v>
      </x:c>
      <x:c r="C406" s="10" t="n">
        <x:v>104</x:v>
      </x:c>
      <x:c r="D406" s="9" t="str">
        <x:v>Pick up the object that is fourth from the right and place it in the bowl.</x:v>
      </x:c>
      <x:c r="E406" s="9" t="str">
        <x:v>L1: airplane toy with propellers, L2: blue tape ball, L3: green highlighter, L4: yellow pen</x:v>
      </x:c>
      <x:c r="F406" s="9" t="str">
        <x:v>airplane toy with propellers</x:v>
      </x:c>
      <x:c r="G406" s="9" t="str">
        <x:v>picked blue tape ball</x:v>
      </x:c>
      <x:c r="H406" s="9" t="str">
        <x:v>Concept/compositional transfer</x:v>
      </x:c>
      <x:c r="I406" s="9" t="str">
        <x:v>CT-CF23-N4-07</x:v>
      </x:c>
      <x:c r="J406" s="9" t="str">
        <x:v>Masked cell n=4, L1, airplane toy with propellers</x:v>
      </x:c>
      <x:c r="K406" s="9"/>
      <x:c r="L406" s="9"/>
      <x:c r="M406" s="9"/>
      <x:c r="N406" s="9" t="str">
        <x:v>4 — Transfer-only counterfactual pairs</x:v>
      </x:c>
      <x:c r="O406" s="9" t="str">
        <x:v>Build this new scene family exactly from the L1–L4 description and save a first-frame reference image.</x:v>
      </x:c>
      <x:c r="P406" s="9" t="str">
        <x:v>The final manifest masks this exact sequence-length × physical-position × target-identity cell. Both equivalent left- and right-based descriptions are absent for this cell, while the canonical instruction wording occurs elsewhere in training.</x:v>
      </x:c>
      <x:c r="Q406" s="9"/>
      <x:c r="R406" s="10" t="n">
        <x:v>4</x:v>
      </x:c>
      <x:c r="S406" s="10"/>
      <x:c r="T406" s="9"/>
      <x:c r="U406" s="9"/>
      <x:c r="V406" s="9"/>
      <x:c r="W406" s="9" t="str">
        <x:v>CT-CF23-N4-07</x:v>
      </x:c>
      <x:c r="X406" s="10"/>
      <x:c r="Y406" s="10"/>
      <x:c r="Z406" s="9"/>
      <x:c r="AA406" s="9" t="str">
        <x:v>L1</x:v>
      </x:c>
      <x:c r="AB406" s="9" t="str">
        <x:v>fourth from right</x:v>
      </x:c>
      <x:c r="AC406" s="9"/>
      <x:c r="AD406" s="9"/>
      <x:c r="AE406" s="9"/>
      <x:c r="AF406" s="9"/>
      <x:c r="AG406" s="9"/>
      <x:c r="AH406" s="9"/>
      <x:c r="AI406" s="11"/>
      <x:c r="AJ406" s="9"/>
      <x:c r="AK406" s="9" t="str">
        <x:v>Eval_Ordinal_Reference_Ordering.xlsm</x:v>
      </x:c>
      <x:c r="AL406" s="9" t="str">
        <x:v>GR00T visual only Results</x:v>
      </x:c>
      <x:c r="AM406" s="9" t="n">
        <x:v>106</x:v>
      </x:c>
      <x:c r="AN406" s="9" t="n">
        <x:v>106</x:v>
      </x:c>
    </x:row>
    <x:row r="407">
      <x:c r="A407" s="9" t="str">
        <x:v>Success</x:v>
      </x:c>
      <x:c r="B407" s="9" t="str">
        <x:v>Ordinal Reference Ordering</x:v>
      </x:c>
      <x:c r="C407" s="10" t="n">
        <x:v>105</x:v>
      </x:c>
      <x:c r="D407" s="9" t="str">
        <x:v>Pick up the object that is third from the right and place it in the bowl.</x:v>
      </x:c>
      <x:c r="E407" s="9" t="str">
        <x:v>L1: airplane toy with propellers, L2: blue tape ball, L3: green highlighter, L4: yellow pen</x:v>
      </x:c>
      <x:c r="F407" s="9" t="str">
        <x:v>blue tape ball</x:v>
      </x:c>
      <x:c r="G407" s="9"/>
      <x:c r="H407" s="9" t="str">
        <x:v>Concept/compositional transfer</x:v>
      </x:c>
      <x:c r="I407" s="9" t="str">
        <x:v>CT-CF23-N4-07</x:v>
      </x:c>
      <x:c r="J407" s="9" t="str">
        <x:v>Masked cell n=4, L2, blue tape ball</x:v>
      </x:c>
      <x:c r="K407" s="9" t="n">
        <x:v>104</x:v>
      </x:c>
      <x:c r="L407" s="9"/>
      <x:c r="M407" s="9"/>
      <x:c r="N407" s="9" t="str">
        <x:v>4 — Transfer-only counterfactual pairs</x:v>
      </x:c>
      <x:c r="O407" s="9" t="str">
        <x:v>Return the previously moved object to its marked position. Do not move any other object; only the prompt changes.</x:v>
      </x:c>
      <x:c r="P407" s="9" t="str">
        <x:v>The final manifest masks this exact sequence-length × physical-position × target-identity cell. Both equivalent left- and right-based descriptions are absent for this cell, while the canonical instruction wording occurs elsewhere in training.</x:v>
      </x:c>
      <x:c r="Q407" s="9"/>
      <x:c r="R407" s="10" t="n">
        <x:v>4</x:v>
      </x:c>
      <x:c r="S407" s="10"/>
      <x:c r="T407" s="9"/>
      <x:c r="U407" s="9"/>
      <x:c r="V407" s="9"/>
      <x:c r="W407" s="9" t="str">
        <x:v>CT-CF23-N4-07</x:v>
      </x:c>
      <x:c r="X407" s="10"/>
      <x:c r="Y407" s="10"/>
      <x:c r="Z407" s="9"/>
      <x:c r="AA407" s="9" t="str">
        <x:v>L2</x:v>
      </x:c>
      <x:c r="AB407" s="9" t="str">
        <x:v>third from right</x:v>
      </x:c>
      <x:c r="AC407" s="9"/>
      <x:c r="AD407" s="9"/>
      <x:c r="AE407" s="9"/>
      <x:c r="AF407" s="9"/>
      <x:c r="AG407" s="9"/>
      <x:c r="AH407" s="9"/>
      <x:c r="AI407" s="11"/>
      <x:c r="AJ407" s="9"/>
      <x:c r="AK407" s="9" t="str">
        <x:v>Eval_Ordinal_Reference_Ordering.xlsm</x:v>
      </x:c>
      <x:c r="AL407" s="9" t="str">
        <x:v>GR00T visual only Results</x:v>
      </x:c>
      <x:c r="AM407" s="9" t="n">
        <x:v>107</x:v>
      </x:c>
      <x:c r="AN407" s="9" t="n">
        <x:v>107</x:v>
      </x:c>
    </x:row>
    <x:row r="408">
      <x:c r="A408" s="9" t="str">
        <x:v>Success</x:v>
      </x:c>
      <x:c r="B408" s="9" t="str">
        <x:v>Ordinal Reference Ordering</x:v>
      </x:c>
      <x:c r="C408" s="10" t="n">
        <x:v>106</x:v>
      </x:c>
      <x:c r="D408" s="9" t="str">
        <x:v>Pick up the object that is third from the left and place it in the bowl.</x:v>
      </x:c>
      <x:c r="E408" s="9" t="str">
        <x:v>L1: airplane toy with propellers, L2: blue tape ball, L3: green highlighter, L4: yellow pen</x:v>
      </x:c>
      <x:c r="F408" s="9" t="str">
        <x:v>green highlighter</x:v>
      </x:c>
      <x:c r="G408" s="9"/>
      <x:c r="H408" s="9" t="str">
        <x:v>Concept/compositional transfer</x:v>
      </x:c>
      <x:c r="I408" s="9" t="str">
        <x:v>CT-CF24-N4-08</x:v>
      </x:c>
      <x:c r="J408" s="9" t="str">
        <x:v>Masked cell n=4, L3, green highlighter</x:v>
      </x:c>
      <x:c r="K408" s="9"/>
      <x:c r="L408" s="9"/>
      <x:c r="M408" s="9"/>
      <x:c r="N408" s="9" t="str">
        <x:v>4 — Transfer-only counterfactual pairs</x:v>
      </x:c>
      <x:c r="O408" s="9" t="str">
        <x:v>Build this new scene family exactly from the L1–L4 description and save a first-frame reference image.</x:v>
      </x:c>
      <x:c r="P408" s="9" t="str">
        <x:v>The final manifest masks this exact sequence-length × physical-position × target-identity cell. Both equivalent left- and right-based descriptions are absent for this cell, while the canonical instruction wording occurs elsewhere in training.</x:v>
      </x:c>
      <x:c r="Q408" s="9"/>
      <x:c r="R408" s="10" t="n">
        <x:v>4</x:v>
      </x:c>
      <x:c r="S408" s="10"/>
      <x:c r="T408" s="9"/>
      <x:c r="U408" s="9"/>
      <x:c r="V408" s="9"/>
      <x:c r="W408" s="9" t="str">
        <x:v>CT-CF24-N4-08</x:v>
      </x:c>
      <x:c r="X408" s="10"/>
      <x:c r="Y408" s="10"/>
      <x:c r="Z408" s="9"/>
      <x:c r="AA408" s="9" t="str">
        <x:v>L3</x:v>
      </x:c>
      <x:c r="AB408" s="9" t="str">
        <x:v>third from left</x:v>
      </x:c>
      <x:c r="AC408" s="9"/>
      <x:c r="AD408" s="9"/>
      <x:c r="AE408" s="9"/>
      <x:c r="AF408" s="9"/>
      <x:c r="AG408" s="9"/>
      <x:c r="AH408" s="9"/>
      <x:c r="AI408" s="11"/>
      <x:c r="AJ408" s="9"/>
      <x:c r="AK408" s="9" t="str">
        <x:v>Eval_Ordinal_Reference_Ordering.xlsm</x:v>
      </x:c>
      <x:c r="AL408" s="9" t="str">
        <x:v>GR00T visual only Results</x:v>
      </x:c>
      <x:c r="AM408" s="9" t="n">
        <x:v>108</x:v>
      </x:c>
      <x:c r="AN408" s="9" t="n">
        <x:v>108</x:v>
      </x:c>
    </x:row>
    <x:row r="409">
      <x:c r="A409" s="9" t="str">
        <x:v>Failure</x:v>
      </x:c>
      <x:c r="B409" s="9" t="str">
        <x:v>Ordinal Reference Ordering</x:v>
      </x:c>
      <x:c r="C409" s="10" t="n">
        <x:v>107</x:v>
      </x:c>
      <x:c r="D409" s="9" t="str">
        <x:v>Pick up the object that is fourth from the right and place it in the bowl.</x:v>
      </x:c>
      <x:c r="E409" s="9" t="str">
        <x:v>L1: airplane toy with propellers, L2: blue tape ball, L3: green highlighter, L4: yellow pen</x:v>
      </x:c>
      <x:c r="F409" s="9" t="str">
        <x:v>airplane toy with propellers</x:v>
      </x:c>
      <x:c r="G409" s="9" t="str">
        <x:v>picked green highlighter</x:v>
      </x:c>
      <x:c r="H409" s="9" t="str">
        <x:v>Concept/compositional transfer</x:v>
      </x:c>
      <x:c r="I409" s="9" t="str">
        <x:v>CT-CF24-N4-08</x:v>
      </x:c>
      <x:c r="J409" s="9" t="str">
        <x:v>Masked cell n=4, L1, airplane toy with propellers</x:v>
      </x:c>
      <x:c r="K409" s="9" t="n">
        <x:v>106</x:v>
      </x:c>
      <x:c r="L409" s="9"/>
      <x:c r="M409" s="9"/>
      <x:c r="N409" s="9" t="str">
        <x:v>4 — Transfer-only counterfactual pairs</x:v>
      </x:c>
      <x:c r="O409" s="9" t="str">
        <x:v>Return the previously moved object to its marked position. Do not move any other object; only the prompt changes.</x:v>
      </x:c>
      <x:c r="P409" s="9" t="str">
        <x:v>The final manifest masks this exact sequence-length × physical-position × target-identity cell. Both equivalent left- and right-based descriptions are absent for this cell, while the canonical instruction wording occurs elsewhere in training.</x:v>
      </x:c>
      <x:c r="Q409" s="9"/>
      <x:c r="R409" s="10" t="n">
        <x:v>4</x:v>
      </x:c>
      <x:c r="S409" s="10"/>
      <x:c r="T409" s="9"/>
      <x:c r="U409" s="9"/>
      <x:c r="V409" s="9"/>
      <x:c r="W409" s="9" t="str">
        <x:v>CT-CF24-N4-08</x:v>
      </x:c>
      <x:c r="X409" s="10"/>
      <x:c r="Y409" s="10"/>
      <x:c r="Z409" s="9"/>
      <x:c r="AA409" s="9" t="str">
        <x:v>L1</x:v>
      </x:c>
      <x:c r="AB409" s="9" t="str">
        <x:v>fourth from right</x:v>
      </x:c>
      <x:c r="AC409" s="9"/>
      <x:c r="AD409" s="9"/>
      <x:c r="AE409" s="9"/>
      <x:c r="AF409" s="9"/>
      <x:c r="AG409" s="9"/>
      <x:c r="AH409" s="9"/>
      <x:c r="AI409" s="11"/>
      <x:c r="AJ409" s="9"/>
      <x:c r="AK409" s="9" t="str">
        <x:v>Eval_Ordinal_Reference_Ordering.xlsm</x:v>
      </x:c>
      <x:c r="AL409" s="9" t="str">
        <x:v>GR00T visual only Results</x:v>
      </x:c>
      <x:c r="AM409" s="9" t="n">
        <x:v>109</x:v>
      </x:c>
      <x:c r="AN409" s="9" t="n">
        <x:v>109</x:v>
      </x:c>
    </x:row>
    <x:row r="410">
      <x:c r="A410" s="9" t="str">
        <x:v>Success</x:v>
      </x:c>
      <x:c r="B410" s="9" t="str">
        <x:v>Ordinal Reference Ordering</x:v>
      </x:c>
      <x:c r="C410" s="10" t="n">
        <x:v>108</x:v>
      </x:c>
      <x:c r="D410" s="9" t="str">
        <x:v>Pick up the object that is third from the right and place it in the bowl.</x:v>
      </x:c>
      <x:c r="E410" s="9" t="str">
        <x:v>L1: airplane toy with propellers, L2: blue tape ball, L3: green highlighter, L4: yellow pen</x:v>
      </x:c>
      <x:c r="F410" s="9" t="str">
        <x:v>blue tape ball</x:v>
      </x:c>
      <x:c r="G410" s="9"/>
      <x:c r="H410" s="9" t="str">
        <x:v>Concept/compositional transfer</x:v>
      </x:c>
      <x:c r="I410" s="9" t="str">
        <x:v>CT-CF25-N4-09</x:v>
      </x:c>
      <x:c r="J410" s="9" t="str">
        <x:v>Masked cell n=4, L2, blue tape ball</x:v>
      </x:c>
      <x:c r="K410" s="9"/>
      <x:c r="L410" s="9"/>
      <x:c r="M410" s="9"/>
      <x:c r="N410" s="9" t="str">
        <x:v>4 — Transfer-only counterfactual pairs</x:v>
      </x:c>
      <x:c r="O410" s="9" t="str">
        <x:v>Build this new scene family exactly from the L1–L4 description and save a first-frame reference image.</x:v>
      </x:c>
      <x:c r="P410" s="9" t="str">
        <x:v>The final manifest masks this exact sequence-length × physical-position × target-identity cell. Both equivalent left- and right-based descriptions are absent for this cell, while the canonical instruction wording occurs elsewhere in training.</x:v>
      </x:c>
      <x:c r="Q410" s="9"/>
      <x:c r="R410" s="10" t="n">
        <x:v>4</x:v>
      </x:c>
      <x:c r="S410" s="10"/>
      <x:c r="T410" s="9"/>
      <x:c r="U410" s="9"/>
      <x:c r="V410" s="9"/>
      <x:c r="W410" s="9" t="str">
        <x:v>CT-CF25-N4-09</x:v>
      </x:c>
      <x:c r="X410" s="10"/>
      <x:c r="Y410" s="10"/>
      <x:c r="Z410" s="9"/>
      <x:c r="AA410" s="9" t="str">
        <x:v>L2</x:v>
      </x:c>
      <x:c r="AB410" s="9" t="str">
        <x:v>third from right</x:v>
      </x:c>
      <x:c r="AC410" s="9"/>
      <x:c r="AD410" s="9"/>
      <x:c r="AE410" s="9"/>
      <x:c r="AF410" s="9"/>
      <x:c r="AG410" s="9"/>
      <x:c r="AH410" s="9"/>
      <x:c r="AI410" s="11"/>
      <x:c r="AJ410" s="9"/>
      <x:c r="AK410" s="9" t="str">
        <x:v>Eval_Ordinal_Reference_Ordering.xlsm</x:v>
      </x:c>
      <x:c r="AL410" s="9" t="str">
        <x:v>GR00T visual only Results</x:v>
      </x:c>
      <x:c r="AM410" s="9" t="n">
        <x:v>110</x:v>
      </x:c>
      <x:c r="AN410" s="9" t="n">
        <x:v>110</x:v>
      </x:c>
    </x:row>
    <x:row r="411">
      <x:c r="A411" s="9" t="str">
        <x:v>Failure</x:v>
      </x:c>
      <x:c r="B411" s="9" t="str">
        <x:v>Ordinal Reference Ordering</x:v>
      </x:c>
      <x:c r="C411" s="10" t="n">
        <x:v>109</x:v>
      </x:c>
      <x:c r="D411" s="9" t="str">
        <x:v>Pick up the object that is fourth from the left and place it in the bowl.</x:v>
      </x:c>
      <x:c r="E411" s="9" t="str">
        <x:v>L1: airplane toy with propellers, L2: blue tape ball, L3: green highlighter, L4: yellow pen</x:v>
      </x:c>
      <x:c r="F411" s="9" t="str">
        <x:v>yellow pen</x:v>
      </x:c>
      <x:c r="G411" s="9" t="str">
        <x:v>tried picking green highlighter and couldn't</x:v>
      </x:c>
      <x:c r="H411" s="9" t="str">
        <x:v>Concept/compositional transfer</x:v>
      </x:c>
      <x:c r="I411" s="9" t="str">
        <x:v>CT-CF25-N4-09</x:v>
      </x:c>
      <x:c r="J411" s="9" t="str">
        <x:v>Masked cell n=4, L4, yellow pen</x:v>
      </x:c>
      <x:c r="K411" s="9" t="n">
        <x:v>108</x:v>
      </x:c>
      <x:c r="L411" s="9"/>
      <x:c r="M411" s="9"/>
      <x:c r="N411" s="9" t="str">
        <x:v>4 — Transfer-only counterfactual pairs</x:v>
      </x:c>
      <x:c r="O411" s="9" t="str">
        <x:v>Return the previously moved object to its marked position. Do not move any other object; only the prompt changes.</x:v>
      </x:c>
      <x:c r="P411" s="9" t="str">
        <x:v>The final manifest masks this exact sequence-length × physical-position × target-identity cell. Both equivalent left- and right-based descriptions are absent for this cell, while the canonical instruction wording occurs elsewhere in training.</x:v>
      </x:c>
      <x:c r="Q411" s="9"/>
      <x:c r="R411" s="10" t="n">
        <x:v>4</x:v>
      </x:c>
      <x:c r="S411" s="10"/>
      <x:c r="T411" s="9"/>
      <x:c r="U411" s="9"/>
      <x:c r="V411" s="9"/>
      <x:c r="W411" s="9" t="str">
        <x:v>CT-CF25-N4-09</x:v>
      </x:c>
      <x:c r="X411" s="10"/>
      <x:c r="Y411" s="10"/>
      <x:c r="Z411" s="9"/>
      <x:c r="AA411" s="9" t="str">
        <x:v>L4</x:v>
      </x:c>
      <x:c r="AB411" s="9" t="str">
        <x:v>fourth from left</x:v>
      </x:c>
      <x:c r="AC411" s="9"/>
      <x:c r="AD411" s="9"/>
      <x:c r="AE411" s="9"/>
      <x:c r="AF411" s="9"/>
      <x:c r="AG411" s="9"/>
      <x:c r="AH411" s="9"/>
      <x:c r="AI411" s="11"/>
      <x:c r="AJ411" s="9"/>
      <x:c r="AK411" s="9" t="str">
        <x:v>Eval_Ordinal_Reference_Ordering.xlsm</x:v>
      </x:c>
      <x:c r="AL411" s="9" t="str">
        <x:v>GR00T visual only Results</x:v>
      </x:c>
      <x:c r="AM411" s="9" t="n">
        <x:v>111</x:v>
      </x:c>
      <x:c r="AN411" s="9" t="n">
        <x:v>111</x:v>
      </x:c>
    </x:row>
    <x:row r="412">
      <x:c r="A412" s="9" t="str">
        <x:v>Success</x:v>
      </x:c>
      <x:c r="B412" s="9" t="str">
        <x:v>Ordinal Reference Ordering</x:v>
      </x:c>
      <x:c r="C412" s="10" t="n">
        <x:v>110</x:v>
      </x:c>
      <x:c r="D412" s="9" t="str">
        <x:v>Pick up the object that is first from the left and place it in the bowl.</x:v>
      </x:c>
      <x:c r="E412" s="9" t="str">
        <x:v>L1: red block, L2: airplane toy with propellers</x:v>
      </x:c>
      <x:c r="F412" s="9" t="str">
        <x:v>red block</x:v>
      </x:c>
      <x:c r="G412" s="9"/>
      <x:c r="H412" s="9" t="str">
        <x:v>Cross-task ordinal transfer — red block target</x:v>
      </x:c>
      <x:c r="I412" s="9" t="str">
        <x:v>XO-RB-CF01</x:v>
      </x:c>
      <x:c r="J412" s="9" t="str">
        <x:v>Reasoning prompt; red block is the ordinal target</x:v>
      </x:c>
      <x:c r="K412" s="9"/>
      <x:c r="L412" s="9"/>
      <x:c r="M412" s="9"/>
      <x:c r="N412" s="9" t="str">
        <x:v>5 — Red-block counterfactual pairs</x:v>
      </x:c>
      <x:c r="O412" s="9" t="str">
        <x:v>Build this new scene family exactly from the L1–L4 description and save a first-frame reference image.</x:v>
      </x:c>
      <x:c r="P412" s="9" t="str">
        <x:v>The red block is globally familiar from Relational Placement but absent from Ordering training. The prompt never names it; ordinal reasoning is required. Pair order is counterbalanced across families.</x:v>
      </x:c>
      <x:c r="Q412" s="9"/>
      <x:c r="R412" s="10" t="n">
        <x:v>2</x:v>
      </x:c>
      <x:c r="S412" s="10"/>
      <x:c r="T412" s="9"/>
      <x:c r="U412" s="9"/>
      <x:c r="V412" s="9"/>
      <x:c r="W412" s="9" t="str">
        <x:v>XO-RB-CF01</x:v>
      </x:c>
      <x:c r="X412" s="10"/>
      <x:c r="Y412" s="10"/>
      <x:c r="Z412" s="9"/>
      <x:c r="AA412" s="9" t="str">
        <x:v>L1</x:v>
      </x:c>
      <x:c r="AB412" s="9" t="str">
        <x:v>first from left</x:v>
      </x:c>
      <x:c r="AC412" s="9"/>
      <x:c r="AD412" s="9"/>
      <x:c r="AE412" s="9"/>
      <x:c r="AF412" s="9"/>
      <x:c r="AG412" s="9"/>
      <x:c r="AH412" s="9"/>
      <x:c r="AI412" s="11"/>
      <x:c r="AJ412" s="9"/>
      <x:c r="AK412" s="9" t="str">
        <x:v>Eval_Ordinal_Reference_Ordering.xlsm</x:v>
      </x:c>
      <x:c r="AL412" s="9" t="str">
        <x:v>GR00T visual only Results</x:v>
      </x:c>
      <x:c r="AM412" s="9" t="n">
        <x:v>112</x:v>
      </x:c>
      <x:c r="AN412" s="9" t="n">
        <x:v>112</x:v>
      </x:c>
    </x:row>
    <x:row r="413">
      <x:c r="A413" s="9" t="str">
        <x:v>Success</x:v>
      </x:c>
      <x:c r="B413" s="9" t="str">
        <x:v>Ordinal Reference Ordering</x:v>
      </x:c>
      <x:c r="C413" s="10" t="n">
        <x:v>111</x:v>
      </x:c>
      <x:c r="D413" s="9" t="str">
        <x:v>Pick up the object that is second from the left and place it in the bowl.</x:v>
      </x:c>
      <x:c r="E413" s="9" t="str">
        <x:v>L1: red block, L2: airplane toy with propellers</x:v>
      </x:c>
      <x:c r="F413" s="9" t="str">
        <x:v>airplane toy with propellers</x:v>
      </x:c>
      <x:c r="G413" s="9"/>
      <x:c r="H413" s="9" t="str">
        <x:v>Cross-task ordinal counterfactual — red block distractor</x:v>
      </x:c>
      <x:c r="I413" s="9" t="str">
        <x:v>XO-RB-CF01</x:v>
      </x:c>
      <x:c r="J413" s="9" t="str">
        <x:v>Same scene; explicitly trained Ordering target (source episode 621)</x:v>
      </x:c>
      <x:c r="K413" s="9" t="n">
        <x:v>110</x:v>
      </x:c>
      <x:c r="L413" s="9"/>
      <x:c r="M413" s="9"/>
      <x:c r="N413" s="9" t="str">
        <x:v>5 — Red-block counterfactual pairs</x:v>
      </x:c>
      <x:c r="O413" s="9" t="str">
        <x:v>Return the previously moved object to its marked position. Do not move any other object; only the prompt changes.</x:v>
      </x:c>
      <x:c r="P413" s="9" t="str">
        <x:v>The same scene now targets a familiar Ordering object using the same canonical reasoning template and an exact training-supported ordinal prompt. The red block remains visible but is not the target.</x:v>
      </x:c>
      <x:c r="Q413" s="9"/>
      <x:c r="R413" s="10" t="n">
        <x:v>2</x:v>
      </x:c>
      <x:c r="S413" s="10"/>
      <x:c r="T413" s="9"/>
      <x:c r="U413" s="9"/>
      <x:c r="V413" s="9"/>
      <x:c r="W413" s="9" t="str">
        <x:v>XO-RB-CF01</x:v>
      </x:c>
      <x:c r="X413" s="10"/>
      <x:c r="Y413" s="10"/>
      <x:c r="Z413" s="9"/>
      <x:c r="AA413" s="9" t="str">
        <x:v>L2</x:v>
      </x:c>
      <x:c r="AB413" s="9" t="str">
        <x:v>second from left</x:v>
      </x:c>
      <x:c r="AC413" s="9"/>
      <x:c r="AD413" s="9"/>
      <x:c r="AE413" s="9"/>
      <x:c r="AF413" s="9"/>
      <x:c r="AG413" s="9"/>
      <x:c r="AH413" s="9"/>
      <x:c r="AI413" s="11"/>
      <x:c r="AJ413" s="9"/>
      <x:c r="AK413" s="9" t="str">
        <x:v>Eval_Ordinal_Reference_Ordering.xlsm</x:v>
      </x:c>
      <x:c r="AL413" s="9" t="str">
        <x:v>GR00T visual only Results</x:v>
      </x:c>
      <x:c r="AM413" s="9" t="n">
        <x:v>113</x:v>
      </x:c>
      <x:c r="AN413" s="9" t="n">
        <x:v>113</x:v>
      </x:c>
    </x:row>
    <x:row r="414">
      <x:c r="A414" s="9" t="str">
        <x:v>Failure</x:v>
      </x:c>
      <x:c r="B414" s="9" t="str">
        <x:v>Ordinal Reference Ordering</x:v>
      </x:c>
      <x:c r="C414" s="10" t="n">
        <x:v>112</x:v>
      </x:c>
      <x:c r="D414" s="9" t="str">
        <x:v>Pick up the object that is second from the right and place it in the bowl.</x:v>
      </x:c>
      <x:c r="E414" s="9" t="str">
        <x:v>L1: blue tape ball, L2: red block</x:v>
      </x:c>
      <x:c r="F414" s="9" t="str">
        <x:v>blue tape ball</x:v>
      </x:c>
      <x:c r="G414" s="9" t="str">
        <x:v>picked red block</x:v>
      </x:c>
      <x:c r="H414" s="9" t="str">
        <x:v>Cross-task ordinal counterfactual — red block distractor</x:v>
      </x:c>
      <x:c r="I414" s="9" t="str">
        <x:v>XO-RB-CF02</x:v>
      </x:c>
      <x:c r="J414" s="9" t="str">
        <x:v>Same scene; explicitly trained Ordering target (source episode 659)</x:v>
      </x:c>
      <x:c r="K414" s="9"/>
      <x:c r="L414" s="9"/>
      <x:c r="M414" s="9"/>
      <x:c r="N414" s="9" t="str">
        <x:v>5 — Red-block counterfactual pairs</x:v>
      </x:c>
      <x:c r="O414" s="9" t="str">
        <x:v>Build this new scene family exactly from the L1–L4 description and save a first-frame reference image.</x:v>
      </x:c>
      <x:c r="P414" s="9" t="str">
        <x:v>The same scene now targets a familiar Ordering object using the same canonical reasoning template and an exact training-supported ordinal prompt. The red block remains visible but is not the target.</x:v>
      </x:c>
      <x:c r="Q414" s="9"/>
      <x:c r="R414" s="10" t="n">
        <x:v>2</x:v>
      </x:c>
      <x:c r="S414" s="10"/>
      <x:c r="T414" s="9"/>
      <x:c r="U414" s="9"/>
      <x:c r="V414" s="9"/>
      <x:c r="W414" s="9" t="str">
        <x:v>XO-RB-CF02</x:v>
      </x:c>
      <x:c r="X414" s="10"/>
      <x:c r="Y414" s="10"/>
      <x:c r="Z414" s="9"/>
      <x:c r="AA414" s="9" t="str">
        <x:v>L1</x:v>
      </x:c>
      <x:c r="AB414" s="9" t="str">
        <x:v>second from right</x:v>
      </x:c>
      <x:c r="AC414" s="9"/>
      <x:c r="AD414" s="9"/>
      <x:c r="AE414" s="9"/>
      <x:c r="AF414" s="9"/>
      <x:c r="AG414" s="9"/>
      <x:c r="AH414" s="9"/>
      <x:c r="AI414" s="11"/>
      <x:c r="AJ414" s="9"/>
      <x:c r="AK414" s="9" t="str">
        <x:v>Eval_Ordinal_Reference_Ordering.xlsm</x:v>
      </x:c>
      <x:c r="AL414" s="9" t="str">
        <x:v>GR00T visual only Results</x:v>
      </x:c>
      <x:c r="AM414" s="9" t="n">
        <x:v>114</x:v>
      </x:c>
      <x:c r="AN414" s="9" t="n">
        <x:v>114</x:v>
      </x:c>
    </x:row>
    <x:row r="415">
      <x:c r="A415" s="9" t="str">
        <x:v>Success</x:v>
      </x:c>
      <x:c r="B415" s="9" t="str">
        <x:v>Ordinal Reference Ordering</x:v>
      </x:c>
      <x:c r="C415" s="10" t="n">
        <x:v>113</x:v>
      </x:c>
      <x:c r="D415" s="9" t="str">
        <x:v>Pick up the object that is first from the right and place it in the bowl.</x:v>
      </x:c>
      <x:c r="E415" s="9" t="str">
        <x:v>L1: blue tape ball, L2: red block</x:v>
      </x:c>
      <x:c r="F415" s="9" t="str">
        <x:v>red block</x:v>
      </x:c>
      <x:c r="G415" s="9"/>
      <x:c r="H415" s="9" t="str">
        <x:v>Cross-task ordinal transfer — red block target</x:v>
      </x:c>
      <x:c r="I415" s="9" t="str">
        <x:v>XO-RB-CF02</x:v>
      </x:c>
      <x:c r="J415" s="9" t="str">
        <x:v>Reasoning prompt; red block is the ordinal target</x:v>
      </x:c>
      <x:c r="K415" s="9" t="n">
        <x:v>112</x:v>
      </x:c>
      <x:c r="L415" s="9"/>
      <x:c r="M415" s="9"/>
      <x:c r="N415" s="9" t="str">
        <x:v>5 — Red-block counterfactual pairs</x:v>
      </x:c>
      <x:c r="O415" s="9" t="str">
        <x:v>Return the previously moved object to its marked position. Do not move any other object; only the prompt changes.</x:v>
      </x:c>
      <x:c r="P415" s="9" t="str">
        <x:v>The red block is globally familiar from Relational Placement but absent from Ordering training. The prompt never names it; ordinal reasoning is required. Pair order is counterbalanced across families.</x:v>
      </x:c>
      <x:c r="Q415" s="9"/>
      <x:c r="R415" s="10" t="n">
        <x:v>2</x:v>
      </x:c>
      <x:c r="S415" s="10"/>
      <x:c r="T415" s="9"/>
      <x:c r="U415" s="9"/>
      <x:c r="V415" s="9"/>
      <x:c r="W415" s="9" t="str">
        <x:v>XO-RB-CF02</x:v>
      </x:c>
      <x:c r="X415" s="10"/>
      <x:c r="Y415" s="10"/>
      <x:c r="Z415" s="9"/>
      <x:c r="AA415" s="9" t="str">
        <x:v>L2</x:v>
      </x:c>
      <x:c r="AB415" s="9" t="str">
        <x:v>first from right</x:v>
      </x:c>
      <x:c r="AC415" s="9"/>
      <x:c r="AD415" s="9"/>
      <x:c r="AE415" s="9"/>
      <x:c r="AF415" s="9"/>
      <x:c r="AG415" s="9"/>
      <x:c r="AH415" s="9"/>
      <x:c r="AI415" s="11"/>
      <x:c r="AJ415" s="9"/>
      <x:c r="AK415" s="9" t="str">
        <x:v>Eval_Ordinal_Reference_Ordering.xlsm</x:v>
      </x:c>
      <x:c r="AL415" s="9" t="str">
        <x:v>GR00T visual only Results</x:v>
      </x:c>
      <x:c r="AM415" s="9" t="n">
        <x:v>115</x:v>
      </x:c>
      <x:c r="AN415" s="9" t="n">
        <x:v>115</x:v>
      </x:c>
    </x:row>
    <x:row r="416">
      <x:c r="A416" s="9" t="str">
        <x:v>Failure</x:v>
      </x:c>
      <x:c r="B416" s="9" t="str">
        <x:v>Ordinal Reference Ordering</x:v>
      </x:c>
      <x:c r="C416" s="10" t="n">
        <x:v>114</x:v>
      </x:c>
      <x:c r="D416" s="9" t="str">
        <x:v>Pick up the object that is third from the right and place it in the bowl.</x:v>
      </x:c>
      <x:c r="E416" s="9" t="str">
        <x:v>L1: red block, L2: green highlighter, L3: blue tape ball</x:v>
      </x:c>
      <x:c r="F416" s="9" t="str">
        <x:v>red block</x:v>
      </x:c>
      <x:c r="G416" s="9" t="str">
        <x:v>went towards the red block then drifted to green highlighter and took it</x:v>
      </x:c>
      <x:c r="H416" s="9" t="str">
        <x:v>Cross-task ordinal transfer — red block target</x:v>
      </x:c>
      <x:c r="I416" s="9" t="str">
        <x:v>XO-RB-CF03</x:v>
      </x:c>
      <x:c r="J416" s="9" t="str">
        <x:v>Reasoning prompt; red block is the ordinal target</x:v>
      </x:c>
      <x:c r="K416" s="9"/>
      <x:c r="L416" s="9"/>
      <x:c r="M416" s="9"/>
      <x:c r="N416" s="9" t="str">
        <x:v>5 — Red-block counterfactual pairs</x:v>
      </x:c>
      <x:c r="O416" s="9" t="str">
        <x:v>Build this new scene family exactly from the L1–L4 description and save a first-frame reference image.</x:v>
      </x:c>
      <x:c r="P416" s="9" t="str">
        <x:v>The red block is globally familiar from Relational Placement but absent from Ordering training. The prompt never names it; ordinal reasoning is required. Pair order is counterbalanced across families.</x:v>
      </x:c>
      <x:c r="Q416" s="9"/>
      <x:c r="R416" s="10" t="n">
        <x:v>3</x:v>
      </x:c>
      <x:c r="S416" s="10"/>
      <x:c r="T416" s="9"/>
      <x:c r="U416" s="9"/>
      <x:c r="V416" s="9"/>
      <x:c r="W416" s="9" t="str">
        <x:v>XO-RB-CF03</x:v>
      </x:c>
      <x:c r="X416" s="10"/>
      <x:c r="Y416" s="10"/>
      <x:c r="Z416" s="9"/>
      <x:c r="AA416" s="9" t="str">
        <x:v>L1</x:v>
      </x:c>
      <x:c r="AB416" s="9" t="str">
        <x:v>third from right</x:v>
      </x:c>
      <x:c r="AC416" s="9"/>
      <x:c r="AD416" s="9"/>
      <x:c r="AE416" s="9"/>
      <x:c r="AF416" s="9"/>
      <x:c r="AG416" s="9"/>
      <x:c r="AH416" s="9"/>
      <x:c r="AI416" s="11"/>
      <x:c r="AJ416" s="9"/>
      <x:c r="AK416" s="9" t="str">
        <x:v>Eval_Ordinal_Reference_Ordering.xlsm</x:v>
      </x:c>
      <x:c r="AL416" s="9" t="str">
        <x:v>GR00T visual only Results</x:v>
      </x:c>
      <x:c r="AM416" s="9" t="n">
        <x:v>116</x:v>
      </x:c>
      <x:c r="AN416" s="9" t="n">
        <x:v>116</x:v>
      </x:c>
    </x:row>
    <x:row r="417">
      <x:c r="A417" s="9" t="str">
        <x:v>Success</x:v>
      </x:c>
      <x:c r="B417" s="9" t="str">
        <x:v>Ordinal Reference Ordering</x:v>
      </x:c>
      <x:c r="C417" s="10" t="n">
        <x:v>115</x:v>
      </x:c>
      <x:c r="D417" s="9" t="str">
        <x:v>Pick up the object that is first from the right and place it in the bowl.</x:v>
      </x:c>
      <x:c r="E417" s="9" t="str">
        <x:v>L1: red block, L2: green highlighter, L3: blue tape ball</x:v>
      </x:c>
      <x:c r="F417" s="9" t="str">
        <x:v>blue tape ball</x:v>
      </x:c>
      <x:c r="G417" s="9"/>
      <x:c r="H417" s="9" t="str">
        <x:v>Cross-task ordinal counterfactual — red block distractor</x:v>
      </x:c>
      <x:c r="I417" s="9" t="str">
        <x:v>XO-RB-CF03</x:v>
      </x:c>
      <x:c r="J417" s="9" t="str">
        <x:v>Same scene; explicitly trained Ordering target (source episode 683)</x:v>
      </x:c>
      <x:c r="K417" s="9" t="n">
        <x:v>114</x:v>
      </x:c>
      <x:c r="L417" s="9"/>
      <x:c r="M417" s="9"/>
      <x:c r="N417" s="9" t="str">
        <x:v>5 — Red-block counterfactual pairs</x:v>
      </x:c>
      <x:c r="O417" s="9" t="str">
        <x:v>Return the previously moved object to its marked position. Do not move any other object; only the prompt changes.</x:v>
      </x:c>
      <x:c r="P417" s="9" t="str">
        <x:v>The same scene now targets a familiar Ordering object using the same canonical reasoning template and an exact training-supported ordinal prompt. The red block remains visible but is not the target.</x:v>
      </x:c>
      <x:c r="Q417" s="9"/>
      <x:c r="R417" s="10" t="n">
        <x:v>3</x:v>
      </x:c>
      <x:c r="S417" s="10"/>
      <x:c r="T417" s="9"/>
      <x:c r="U417" s="9"/>
      <x:c r="V417" s="9"/>
      <x:c r="W417" s="9" t="str">
        <x:v>XO-RB-CF03</x:v>
      </x:c>
      <x:c r="X417" s="10"/>
      <x:c r="Y417" s="10"/>
      <x:c r="Z417" s="9"/>
      <x:c r="AA417" s="9" t="str">
        <x:v>L3</x:v>
      </x:c>
      <x:c r="AB417" s="9" t="str">
        <x:v>first from right</x:v>
      </x:c>
      <x:c r="AC417" s="9"/>
      <x:c r="AD417" s="9"/>
      <x:c r="AE417" s="9"/>
      <x:c r="AF417" s="9"/>
      <x:c r="AG417" s="9"/>
      <x:c r="AH417" s="9"/>
      <x:c r="AI417" s="11"/>
      <x:c r="AJ417" s="9"/>
      <x:c r="AK417" s="9" t="str">
        <x:v>Eval_Ordinal_Reference_Ordering.xlsm</x:v>
      </x:c>
      <x:c r="AL417" s="9" t="str">
        <x:v>GR00T visual only Results</x:v>
      </x:c>
      <x:c r="AM417" s="9" t="n">
        <x:v>117</x:v>
      </x:c>
      <x:c r="AN417" s="9" t="n">
        <x:v>117</x:v>
      </x:c>
    </x:row>
    <x:row r="418">
      <x:c r="A418" s="9" t="str">
        <x:v>Failure</x:v>
      </x:c>
      <x:c r="B418" s="9" t="str">
        <x:v>Ordinal Reference Ordering</x:v>
      </x:c>
      <x:c r="C418" s="10" t="n">
        <x:v>116</x:v>
      </x:c>
      <x:c r="D418" s="9" t="str">
        <x:v>Pick up the object that is third from the right and place it in the bowl.</x:v>
      </x:c>
      <x:c r="E418" s="9" t="str">
        <x:v>L1: airplane toy with propellers, L2: yellow pen, L3: red block</x:v>
      </x:c>
      <x:c r="F418" s="9" t="str">
        <x:v>airplane toy with propellers</x:v>
      </x:c>
      <x:c r="G418" s="9" t="str">
        <x:v>picked yellow pen</x:v>
      </x:c>
      <x:c r="H418" s="9" t="str">
        <x:v>Cross-task ordinal counterfactual — red block distractor</x:v>
      </x:c>
      <x:c r="I418" s="9" t="str">
        <x:v>XO-RB-CF04</x:v>
      </x:c>
      <x:c r="J418" s="9" t="str">
        <x:v>Same scene; explicitly trained Ordering target (source episode 606)</x:v>
      </x:c>
      <x:c r="K418" s="9"/>
      <x:c r="L418" s="9"/>
      <x:c r="M418" s="9"/>
      <x:c r="N418" s="9" t="str">
        <x:v>5 — Red-block counterfactual pairs</x:v>
      </x:c>
      <x:c r="O418" s="9" t="str">
        <x:v>Build this new scene family exactly from the L1–L4 description and save a first-frame reference image.</x:v>
      </x:c>
      <x:c r="P418" s="9" t="str">
        <x:v>The same scene now targets a familiar Ordering object using the same canonical reasoning template and an exact training-supported ordinal prompt. The red block remains visible but is not the target.</x:v>
      </x:c>
      <x:c r="Q418" s="9"/>
      <x:c r="R418" s="10" t="n">
        <x:v>3</x:v>
      </x:c>
      <x:c r="S418" s="10"/>
      <x:c r="T418" s="9"/>
      <x:c r="U418" s="9"/>
      <x:c r="V418" s="9"/>
      <x:c r="W418" s="9" t="str">
        <x:v>XO-RB-CF04</x:v>
      </x:c>
      <x:c r="X418" s="10"/>
      <x:c r="Y418" s="10"/>
      <x:c r="Z418" s="9"/>
      <x:c r="AA418" s="9" t="str">
        <x:v>L1</x:v>
      </x:c>
      <x:c r="AB418" s="9" t="str">
        <x:v>third from right</x:v>
      </x:c>
      <x:c r="AC418" s="9"/>
      <x:c r="AD418" s="9"/>
      <x:c r="AE418" s="9"/>
      <x:c r="AF418" s="9"/>
      <x:c r="AG418" s="9"/>
      <x:c r="AH418" s="9"/>
      <x:c r="AI418" s="11"/>
      <x:c r="AJ418" s="9"/>
      <x:c r="AK418" s="9" t="str">
        <x:v>Eval_Ordinal_Reference_Ordering.xlsm</x:v>
      </x:c>
      <x:c r="AL418" s="9" t="str">
        <x:v>GR00T visual only Results</x:v>
      </x:c>
      <x:c r="AM418" s="9" t="n">
        <x:v>118</x:v>
      </x:c>
      <x:c r="AN418" s="9" t="n">
        <x:v>118</x:v>
      </x:c>
    </x:row>
    <x:row r="419">
      <x:c r="A419" s="9" t="str">
        <x:v>Success</x:v>
      </x:c>
      <x:c r="B419" s="9" t="str">
        <x:v>Ordinal Reference Ordering</x:v>
      </x:c>
      <x:c r="C419" s="10" t="n">
        <x:v>117</x:v>
      </x:c>
      <x:c r="D419" s="9" t="str">
        <x:v>Pick up the object that is third from the left and place it in the bowl.</x:v>
      </x:c>
      <x:c r="E419" s="9" t="str">
        <x:v>L1: airplane toy with propellers, L2: yellow pen, L3: red block</x:v>
      </x:c>
      <x:c r="F419" s="9" t="str">
        <x:v>red block</x:v>
      </x:c>
      <x:c r="G419" s="9"/>
      <x:c r="H419" s="9" t="str">
        <x:v>Cross-task ordinal transfer — red block target</x:v>
      </x:c>
      <x:c r="I419" s="9" t="str">
        <x:v>XO-RB-CF04</x:v>
      </x:c>
      <x:c r="J419" s="9" t="str">
        <x:v>Reasoning prompt; red block is the ordinal target</x:v>
      </x:c>
      <x:c r="K419" s="9" t="n">
        <x:v>116</x:v>
      </x:c>
      <x:c r="L419" s="9"/>
      <x:c r="M419" s="9"/>
      <x:c r="N419" s="9" t="str">
        <x:v>5 — Red-block counterfactual pairs</x:v>
      </x:c>
      <x:c r="O419" s="9" t="str">
        <x:v>Return the previously moved object to its marked position. Do not move any other object; only the prompt changes.</x:v>
      </x:c>
      <x:c r="P419" s="9" t="str">
        <x:v>The red block is globally familiar from Relational Placement but absent from Ordering training. The prompt never names it; ordinal reasoning is required. Pair order is counterbalanced across families.</x:v>
      </x:c>
      <x:c r="Q419" s="9"/>
      <x:c r="R419" s="10" t="n">
        <x:v>3</x:v>
      </x:c>
      <x:c r="S419" s="10"/>
      <x:c r="T419" s="9"/>
      <x:c r="U419" s="9"/>
      <x:c r="V419" s="9"/>
      <x:c r="W419" s="9" t="str">
        <x:v>XO-RB-CF04</x:v>
      </x:c>
      <x:c r="X419" s="10"/>
      <x:c r="Y419" s="10"/>
      <x:c r="Z419" s="9"/>
      <x:c r="AA419" s="9" t="str">
        <x:v>L3</x:v>
      </x:c>
      <x:c r="AB419" s="9" t="str">
        <x:v>third from left</x:v>
      </x:c>
      <x:c r="AC419" s="9"/>
      <x:c r="AD419" s="9"/>
      <x:c r="AE419" s="9"/>
      <x:c r="AF419" s="9"/>
      <x:c r="AG419" s="9"/>
      <x:c r="AH419" s="9"/>
      <x:c r="AI419" s="11"/>
      <x:c r="AJ419" s="9"/>
      <x:c r="AK419" s="9" t="str">
        <x:v>Eval_Ordinal_Reference_Ordering.xlsm</x:v>
      </x:c>
      <x:c r="AL419" s="9" t="str">
        <x:v>GR00T visual only Results</x:v>
      </x:c>
      <x:c r="AM419" s="9" t="n">
        <x:v>119</x:v>
      </x:c>
      <x:c r="AN419" s="9" t="n">
        <x:v>119</x:v>
      </x:c>
    </x:row>
    <x:row r="420">
      <x:c r="A420" s="9" t="str">
        <x:v>Failure</x:v>
      </x:c>
      <x:c r="B420" s="9" t="str">
        <x:v>Ordinal Reference Ordering</x:v>
      </x:c>
      <x:c r="C420" s="10" t="n">
        <x:v>118</x:v>
      </x:c>
      <x:c r="D420" s="9" t="str">
        <x:v>Pick up the object that is first from the left and place it in the bowl.</x:v>
      </x:c>
      <x:c r="E420" s="9" t="str">
        <x:v>L1: red block, L2: green highlighter, L3: yellow pen, L4: blue tape ball</x:v>
      </x:c>
      <x:c r="F420" s="9" t="str">
        <x:v>red block</x:v>
      </x:c>
      <x:c r="G420" s="9" t="str">
        <x:v>picked green highlighter</x:v>
      </x:c>
      <x:c r="H420" s="9" t="str">
        <x:v>Cross-task ordinal transfer — red block target</x:v>
      </x:c>
      <x:c r="I420" s="9" t="str">
        <x:v>XO-RB-CF05</x:v>
      </x:c>
      <x:c r="J420" s="9" t="str">
        <x:v>Reasoning prompt; red block is the ordinal target</x:v>
      </x:c>
      <x:c r="K420" s="9"/>
      <x:c r="L420" s="9"/>
      <x:c r="M420" s="9"/>
      <x:c r="N420" s="9" t="str">
        <x:v>5 — Red-block counterfactual pairs</x:v>
      </x:c>
      <x:c r="O420" s="9" t="str">
        <x:v>Build this new scene family exactly from the L1–L4 description and save a first-frame reference image.</x:v>
      </x:c>
      <x:c r="P420" s="9" t="str">
        <x:v>The red block is globally familiar from Relational Placement but absent from Ordering training. The prompt never names it; ordinal reasoning is required. Pair order is counterbalanced across families.</x:v>
      </x:c>
      <x:c r="Q420" s="9"/>
      <x:c r="R420" s="10" t="n">
        <x:v>4</x:v>
      </x:c>
      <x:c r="S420" s="10"/>
      <x:c r="T420" s="9"/>
      <x:c r="U420" s="9"/>
      <x:c r="V420" s="9"/>
      <x:c r="W420" s="9" t="str">
        <x:v>XO-RB-CF05</x:v>
      </x:c>
      <x:c r="X420" s="10"/>
      <x:c r="Y420" s="10"/>
      <x:c r="Z420" s="9"/>
      <x:c r="AA420" s="9" t="str">
        <x:v>L1</x:v>
      </x:c>
      <x:c r="AB420" s="9" t="str">
        <x:v>first from left</x:v>
      </x:c>
      <x:c r="AC420" s="9"/>
      <x:c r="AD420" s="9"/>
      <x:c r="AE420" s="9"/>
      <x:c r="AF420" s="9"/>
      <x:c r="AG420" s="9"/>
      <x:c r="AH420" s="9"/>
      <x:c r="AI420" s="11"/>
      <x:c r="AJ420" s="9"/>
      <x:c r="AK420" s="9" t="str">
        <x:v>Eval_Ordinal_Reference_Ordering.xlsm</x:v>
      </x:c>
      <x:c r="AL420" s="9" t="str">
        <x:v>GR00T visual only Results</x:v>
      </x:c>
      <x:c r="AM420" s="9" t="n">
        <x:v>120</x:v>
      </x:c>
      <x:c r="AN420" s="9" t="n">
        <x:v>120</x:v>
      </x:c>
    </x:row>
    <x:row r="421">
      <x:c r="A421" s="9" t="str">
        <x:v>Success</x:v>
      </x:c>
      <x:c r="B421" s="9" t="str">
        <x:v>Ordinal Reference Ordering</x:v>
      </x:c>
      <x:c r="C421" s="10" t="n">
        <x:v>119</x:v>
      </x:c>
      <x:c r="D421" s="9" t="str">
        <x:v>Pick up the object that is third from the right and place it in the bowl.</x:v>
      </x:c>
      <x:c r="E421" s="9" t="str">
        <x:v>L1: red block, L2: green highlighter, L3: yellow pen, L4: blue tape ball</x:v>
      </x:c>
      <x:c r="F421" s="9" t="str">
        <x:v>green highlighter</x:v>
      </x:c>
      <x:c r="G421" s="9"/>
      <x:c r="H421" s="9" t="str">
        <x:v>Cross-task ordinal counterfactual — red block distractor</x:v>
      </x:c>
      <x:c r="I421" s="9" t="str">
        <x:v>XO-RB-CF05</x:v>
      </x:c>
      <x:c r="J421" s="9" t="str">
        <x:v>Same scene; explicitly trained Ordering target (source episode 718)</x:v>
      </x:c>
      <x:c r="K421" s="9" t="n">
        <x:v>118</x:v>
      </x:c>
      <x:c r="L421" s="9"/>
      <x:c r="M421" s="9"/>
      <x:c r="N421" s="9" t="str">
        <x:v>5 — Red-block counterfactual pairs</x:v>
      </x:c>
      <x:c r="O421" s="9" t="str">
        <x:v>Return the previously moved object to its marked position. Do not move any other object; only the prompt changes.</x:v>
      </x:c>
      <x:c r="P421" s="9" t="str">
        <x:v>The same scene now targets a familiar Ordering object using the same canonical reasoning template and an exact training-supported ordinal prompt. The red block remains visible but is not the target.</x:v>
      </x:c>
      <x:c r="Q421" s="9"/>
      <x:c r="R421" s="10" t="n">
        <x:v>4</x:v>
      </x:c>
      <x:c r="S421" s="10"/>
      <x:c r="T421" s="9"/>
      <x:c r="U421" s="9"/>
      <x:c r="V421" s="9"/>
      <x:c r="W421" s="9" t="str">
        <x:v>XO-RB-CF05</x:v>
      </x:c>
      <x:c r="X421" s="10"/>
      <x:c r="Y421" s="10"/>
      <x:c r="Z421" s="9"/>
      <x:c r="AA421" s="9" t="str">
        <x:v>L2</x:v>
      </x:c>
      <x:c r="AB421" s="9" t="str">
        <x:v>third from right</x:v>
      </x:c>
      <x:c r="AC421" s="9"/>
      <x:c r="AD421" s="9"/>
      <x:c r="AE421" s="9"/>
      <x:c r="AF421" s="9"/>
      <x:c r="AG421" s="9"/>
      <x:c r="AH421" s="9"/>
      <x:c r="AI421" s="11"/>
      <x:c r="AJ421" s="9"/>
      <x:c r="AK421" s="9" t="str">
        <x:v>Eval_Ordinal_Reference_Ordering.xlsm</x:v>
      </x:c>
      <x:c r="AL421" s="9" t="str">
        <x:v>GR00T visual only Results</x:v>
      </x:c>
      <x:c r="AM421" s="9" t="n">
        <x:v>121</x:v>
      </x:c>
      <x:c r="AN421" s="9" t="n">
        <x:v>121</x:v>
      </x:c>
    </x:row>
    <x:row r="422">
      <x:c r="A422" s="9" t="str">
        <x:v>Success</x:v>
      </x:c>
      <x:c r="B422" s="9" t="str">
        <x:v>Ordinal Reference Ordering</x:v>
      </x:c>
      <x:c r="C422" s="10" t="n">
        <x:v>120</x:v>
      </x:c>
      <x:c r="D422" s="9" t="str">
        <x:v>Pick up the object that is third from the left and place it in the bowl.</x:v>
      </x:c>
      <x:c r="E422" s="9" t="str">
        <x:v>L1: yellow pen, L2: red block, L3: airplane toy with propellers, L4: blue tape ball</x:v>
      </x:c>
      <x:c r="F422" s="9" t="str">
        <x:v>airplane toy with propellers</x:v>
      </x:c>
      <x:c r="G422" s="9"/>
      <x:c r="H422" s="9" t="str">
        <x:v>Cross-task ordinal counterfactual — red block distractor</x:v>
      </x:c>
      <x:c r="I422" s="9" t="str">
        <x:v>XO-RB-CF06</x:v>
      </x:c>
      <x:c r="J422" s="9" t="str">
        <x:v>Same scene; explicitly trained Ordering target (source episode 626)</x:v>
      </x:c>
      <x:c r="K422" s="9"/>
      <x:c r="L422" s="9"/>
      <x:c r="M422" s="9"/>
      <x:c r="N422" s="9" t="str">
        <x:v>5 — Red-block counterfactual pairs</x:v>
      </x:c>
      <x:c r="O422" s="9" t="str">
        <x:v>Build this new scene family exactly from the L1–L4 description and save a first-frame reference image.</x:v>
      </x:c>
      <x:c r="P422" s="9" t="str">
        <x:v>The same scene now targets a familiar Ordering object using the same canonical reasoning template and an exact training-supported ordinal prompt. The red block remains visible but is not the target.</x:v>
      </x:c>
      <x:c r="Q422" s="9"/>
      <x:c r="R422" s="10" t="n">
        <x:v>4</x:v>
      </x:c>
      <x:c r="S422" s="10"/>
      <x:c r="T422" s="9"/>
      <x:c r="U422" s="9"/>
      <x:c r="V422" s="9"/>
      <x:c r="W422" s="9" t="str">
        <x:v>XO-RB-CF06</x:v>
      </x:c>
      <x:c r="X422" s="10"/>
      <x:c r="Y422" s="10"/>
      <x:c r="Z422" s="9"/>
      <x:c r="AA422" s="9" t="str">
        <x:v>L3</x:v>
      </x:c>
      <x:c r="AB422" s="9" t="str">
        <x:v>third from left</x:v>
      </x:c>
      <x:c r="AC422" s="9"/>
      <x:c r="AD422" s="9"/>
      <x:c r="AE422" s="9"/>
      <x:c r="AF422" s="9"/>
      <x:c r="AG422" s="9"/>
      <x:c r="AH422" s="9"/>
      <x:c r="AI422" s="11"/>
      <x:c r="AJ422" s="9"/>
      <x:c r="AK422" s="9" t="str">
        <x:v>Eval_Ordinal_Reference_Ordering.xlsm</x:v>
      </x:c>
      <x:c r="AL422" s="9" t="str">
        <x:v>GR00T visual only Results</x:v>
      </x:c>
      <x:c r="AM422" s="9" t="n">
        <x:v>122</x:v>
      </x:c>
      <x:c r="AN422" s="9" t="n">
        <x:v>122</x:v>
      </x:c>
    </x:row>
    <x:row r="423">
      <x:c r="A423" s="9" t="str">
        <x:v>Success</x:v>
      </x:c>
      <x:c r="B423" s="9" t="str">
        <x:v>Ordinal Reference Ordering</x:v>
      </x:c>
      <x:c r="C423" s="10" t="n">
        <x:v>121</x:v>
      </x:c>
      <x:c r="D423" s="9" t="str">
        <x:v>Pick up the object that is third from the right and place it in the bowl.</x:v>
      </x:c>
      <x:c r="E423" s="9" t="str">
        <x:v>L1: yellow pen, L2: red block, L3: airplane toy with propellers, L4: blue tape ball</x:v>
      </x:c>
      <x:c r="F423" s="9" t="str">
        <x:v>red block</x:v>
      </x:c>
      <x:c r="G423" s="9"/>
      <x:c r="H423" s="9" t="str">
        <x:v>Cross-task ordinal transfer — red block target</x:v>
      </x:c>
      <x:c r="I423" s="9" t="str">
        <x:v>XO-RB-CF06</x:v>
      </x:c>
      <x:c r="J423" s="9" t="str">
        <x:v>Reasoning prompt; red block is the ordinal target</x:v>
      </x:c>
      <x:c r="K423" s="9" t="n">
        <x:v>120</x:v>
      </x:c>
      <x:c r="L423" s="9"/>
      <x:c r="M423" s="9"/>
      <x:c r="N423" s="9" t="str">
        <x:v>5 — Red-block counterfactual pairs</x:v>
      </x:c>
      <x:c r="O423" s="9" t="str">
        <x:v>Return the previously moved object to its marked position. Do not move any other object; only the prompt changes.</x:v>
      </x:c>
      <x:c r="P423" s="9" t="str">
        <x:v>The red block is globally familiar from Relational Placement but absent from Ordering training. The prompt never names it; ordinal reasoning is required. Pair order is counterbalanced across families.</x:v>
      </x:c>
      <x:c r="Q423" s="9"/>
      <x:c r="R423" s="10" t="n">
        <x:v>4</x:v>
      </x:c>
      <x:c r="S423" s="10"/>
      <x:c r="T423" s="9"/>
      <x:c r="U423" s="9"/>
      <x:c r="V423" s="9"/>
      <x:c r="W423" s="9" t="str">
        <x:v>XO-RB-CF06</x:v>
      </x:c>
      <x:c r="X423" s="10"/>
      <x:c r="Y423" s="10"/>
      <x:c r="Z423" s="9"/>
      <x:c r="AA423" s="9" t="str">
        <x:v>L2</x:v>
      </x:c>
      <x:c r="AB423" s="9" t="str">
        <x:v>third from right</x:v>
      </x:c>
      <x:c r="AC423" s="9"/>
      <x:c r="AD423" s="9"/>
      <x:c r="AE423" s="9"/>
      <x:c r="AF423" s="9"/>
      <x:c r="AG423" s="9"/>
      <x:c r="AH423" s="9"/>
      <x:c r="AI423" s="11"/>
      <x:c r="AJ423" s="9"/>
      <x:c r="AK423" s="9" t="str">
        <x:v>Eval_Ordinal_Reference_Ordering.xlsm</x:v>
      </x:c>
      <x:c r="AL423" s="9" t="str">
        <x:v>GR00T visual only Results</x:v>
      </x:c>
      <x:c r="AM423" s="9" t="n">
        <x:v>123</x:v>
      </x:c>
      <x:c r="AN423" s="9" t="n">
        <x:v>123</x:v>
      </x:c>
    </x:row>
    <x:row r="424">
      <x:c r="A424" s="9" t="str">
        <x:v>Success</x:v>
      </x:c>
      <x:c r="B424" s="9" t="str">
        <x:v>Ordinal Reference Ordering</x:v>
      </x:c>
      <x:c r="C424" s="10" t="n">
        <x:v>122</x:v>
      </x:c>
      <x:c r="D424" s="9" t="str">
        <x:v>Pick up the object that is second from the left and place it in the bowl.</x:v>
      </x:c>
      <x:c r="E424" s="9" t="str">
        <x:v>L1: yellow pen, L2: red block, L3: green highlighter, L4: blue tape ball</x:v>
      </x:c>
      <x:c r="F424" s="9" t="str">
        <x:v>red block</x:v>
      </x:c>
      <x:c r="G424" s="9"/>
      <x:c r="H424" s="9" t="str">
        <x:v>Cross-task ordinal transfer — red block target</x:v>
      </x:c>
      <x:c r="I424" s="9" t="str">
        <x:v>XO-RB-CF07</x:v>
      </x:c>
      <x:c r="J424" s="9" t="str">
        <x:v>Reasoning prompt; red block is the ordinal target</x:v>
      </x:c>
      <x:c r="K424" s="9"/>
      <x:c r="L424" s="9"/>
      <x:c r="M424" s="9"/>
      <x:c r="N424" s="9" t="str">
        <x:v>5 — Red-block counterfactual pairs</x:v>
      </x:c>
      <x:c r="O424" s="9" t="str">
        <x:v>Build this new scene family exactly from the L1–L4 description and save a first-frame reference image.</x:v>
      </x:c>
      <x:c r="P424" s="9" t="str">
        <x:v>The red block is globally familiar from Relational Placement but absent from Ordering training. The prompt never names it; ordinal reasoning is required. Pair order is counterbalanced across families.</x:v>
      </x:c>
      <x:c r="Q424" s="9"/>
      <x:c r="R424" s="10" t="n">
        <x:v>4</x:v>
      </x:c>
      <x:c r="S424" s="10"/>
      <x:c r="T424" s="9"/>
      <x:c r="U424" s="9"/>
      <x:c r="V424" s="9"/>
      <x:c r="W424" s="9" t="str">
        <x:v>XO-RB-CF07</x:v>
      </x:c>
      <x:c r="X424" s="10"/>
      <x:c r="Y424" s="10"/>
      <x:c r="Z424" s="9"/>
      <x:c r="AA424" s="9" t="str">
        <x:v>L2</x:v>
      </x:c>
      <x:c r="AB424" s="9" t="str">
        <x:v>second from left</x:v>
      </x:c>
      <x:c r="AC424" s="9"/>
      <x:c r="AD424" s="9"/>
      <x:c r="AE424" s="9"/>
      <x:c r="AF424" s="9"/>
      <x:c r="AG424" s="9"/>
      <x:c r="AH424" s="9"/>
      <x:c r="AI424" s="11"/>
      <x:c r="AJ424" s="9"/>
      <x:c r="AK424" s="9" t="str">
        <x:v>Eval_Ordinal_Reference_Ordering.xlsm</x:v>
      </x:c>
      <x:c r="AL424" s="9" t="str">
        <x:v>GR00T visual only Results</x:v>
      </x:c>
      <x:c r="AM424" s="9" t="n">
        <x:v>124</x:v>
      </x:c>
      <x:c r="AN424" s="9" t="n">
        <x:v>124</x:v>
      </x:c>
    </x:row>
    <x:row r="425">
      <x:c r="A425" s="9" t="str">
        <x:v>Success</x:v>
      </x:c>
      <x:c r="B425" s="9" t="str">
        <x:v>Ordinal Reference Ordering</x:v>
      </x:c>
      <x:c r="C425" s="10" t="n">
        <x:v>123</x:v>
      </x:c>
      <x:c r="D425" s="9" t="str">
        <x:v>Pick up the object that is first from the right and place it in the bowl.</x:v>
      </x:c>
      <x:c r="E425" s="9" t="str">
        <x:v>L1: yellow pen, L2: red block, L3: green highlighter, L4: blue tape ball</x:v>
      </x:c>
      <x:c r="F425" s="9" t="str">
        <x:v>blue tape ball</x:v>
      </x:c>
      <x:c r="G425" s="9"/>
      <x:c r="H425" s="9" t="str">
        <x:v>Cross-task ordinal counterfactual — red block distractor</x:v>
      </x:c>
      <x:c r="I425" s="9" t="str">
        <x:v>XO-RB-CF07</x:v>
      </x:c>
      <x:c r="J425" s="9" t="str">
        <x:v>Same scene; explicitly trained Ordering target (source episode 689)</x:v>
      </x:c>
      <x:c r="K425" s="9" t="n">
        <x:v>122</x:v>
      </x:c>
      <x:c r="L425" s="9"/>
      <x:c r="M425" s="9"/>
      <x:c r="N425" s="9" t="str">
        <x:v>5 — Red-block counterfactual pairs</x:v>
      </x:c>
      <x:c r="O425" s="9" t="str">
        <x:v>Return the previously moved object to its marked position. Do not move any other object; only the prompt changes.</x:v>
      </x:c>
      <x:c r="P425" s="9" t="str">
        <x:v>The same scene now targets a familiar Ordering object using the same canonical reasoning template and an exact training-supported ordinal prompt. The red block remains visible but is not the target.</x:v>
      </x:c>
      <x:c r="Q425" s="9"/>
      <x:c r="R425" s="10" t="n">
        <x:v>4</x:v>
      </x:c>
      <x:c r="S425" s="10"/>
      <x:c r="T425" s="9"/>
      <x:c r="U425" s="9"/>
      <x:c r="V425" s="9"/>
      <x:c r="W425" s="9" t="str">
        <x:v>XO-RB-CF07</x:v>
      </x:c>
      <x:c r="X425" s="10"/>
      <x:c r="Y425" s="10"/>
      <x:c r="Z425" s="9"/>
      <x:c r="AA425" s="9" t="str">
        <x:v>L4</x:v>
      </x:c>
      <x:c r="AB425" s="9" t="str">
        <x:v>first from right</x:v>
      </x:c>
      <x:c r="AC425" s="9"/>
      <x:c r="AD425" s="9"/>
      <x:c r="AE425" s="9"/>
      <x:c r="AF425" s="9"/>
      <x:c r="AG425" s="9"/>
      <x:c r="AH425" s="9"/>
      <x:c r="AI425" s="11"/>
      <x:c r="AJ425" s="9"/>
      <x:c r="AK425" s="9" t="str">
        <x:v>Eval_Ordinal_Reference_Ordering.xlsm</x:v>
      </x:c>
      <x:c r="AL425" s="9" t="str">
        <x:v>GR00T visual only Results</x:v>
      </x:c>
      <x:c r="AM425" s="9" t="n">
        <x:v>125</x:v>
      </x:c>
      <x:c r="AN425" s="9" t="n">
        <x:v>125</x:v>
      </x:c>
    </x:row>
    <x:row r="426">
      <x:c r="A426" s="9" t="str">
        <x:v>Failure</x:v>
      </x:c>
      <x:c r="B426" s="9" t="str">
        <x:v>Ordinal Reference Ordering</x:v>
      </x:c>
      <x:c r="C426" s="10" t="n">
        <x:v>124</x:v>
      </x:c>
      <x:c r="D426" s="9" t="str">
        <x:v>Pick up the object that is second from the left and place it in the bowl.</x:v>
      </x:c>
      <x:c r="E426" s="9" t="str">
        <x:v>L1: airplane toy with propellers, L2: yellow pen, L3: red block, L4: blue tape ball</x:v>
      </x:c>
      <x:c r="F426" s="9" t="str">
        <x:v>yellow pen</x:v>
      </x:c>
      <x:c r="G426" s="9" t="str">
        <x:v>picked the red block; seemed to be trying to pick the yellow pen but drifted to the red block</x:v>
      </x:c>
      <x:c r="H426" s="9" t="str">
        <x:v>Cross-task ordinal counterfactual — red block distractor</x:v>
      </x:c>
      <x:c r="I426" s="9" t="str">
        <x:v>XO-RB-CF08</x:v>
      </x:c>
      <x:c r="J426" s="9" t="str">
        <x:v>Same scene; explicitly trained Ordering target (source episode 765)</x:v>
      </x:c>
      <x:c r="K426" s="9"/>
      <x:c r="L426" s="9"/>
      <x:c r="M426" s="9"/>
      <x:c r="N426" s="9" t="str">
        <x:v>5 — Red-block counterfactual pairs</x:v>
      </x:c>
      <x:c r="O426" s="9" t="str">
        <x:v>Build this new scene family exactly from the L1–L4 description and save a first-frame reference image.</x:v>
      </x:c>
      <x:c r="P426" s="9" t="str">
        <x:v>The same scene now targets a familiar Ordering object using the same canonical reasoning template and an exact training-supported ordinal prompt. The red block remains visible but is not the target.</x:v>
      </x:c>
      <x:c r="Q426" s="9"/>
      <x:c r="R426" s="10" t="n">
        <x:v>4</x:v>
      </x:c>
      <x:c r="S426" s="10"/>
      <x:c r="T426" s="9"/>
      <x:c r="U426" s="9"/>
      <x:c r="V426" s="9"/>
      <x:c r="W426" s="9" t="str">
        <x:v>XO-RB-CF08</x:v>
      </x:c>
      <x:c r="X426" s="10"/>
      <x:c r="Y426" s="10"/>
      <x:c r="Z426" s="9"/>
      <x:c r="AA426" s="9" t="str">
        <x:v>L2</x:v>
      </x:c>
      <x:c r="AB426" s="9" t="str">
        <x:v>second from left</x:v>
      </x:c>
      <x:c r="AC426" s="9"/>
      <x:c r="AD426" s="9"/>
      <x:c r="AE426" s="9"/>
      <x:c r="AF426" s="9"/>
      <x:c r="AG426" s="9"/>
      <x:c r="AH426" s="9"/>
      <x:c r="AI426" s="11"/>
      <x:c r="AJ426" s="9"/>
      <x:c r="AK426" s="9" t="str">
        <x:v>Eval_Ordinal_Reference_Ordering.xlsm</x:v>
      </x:c>
      <x:c r="AL426" s="9" t="str">
        <x:v>GR00T visual only Results</x:v>
      </x:c>
      <x:c r="AM426" s="9" t="n">
        <x:v>126</x:v>
      </x:c>
      <x:c r="AN426" s="9" t="n">
        <x:v>126</x:v>
      </x:c>
    </x:row>
    <x:row r="427">
      <x:c r="A427" s="9" t="str">
        <x:v>Failure</x:v>
      </x:c>
      <x:c r="B427" s="9" t="str">
        <x:v>Ordinal Reference Ordering</x:v>
      </x:c>
      <x:c r="C427" s="10" t="n">
        <x:v>125</x:v>
      </x:c>
      <x:c r="D427" s="9" t="str">
        <x:v>Pick up the object that is second from the right and place it in the bowl.</x:v>
      </x:c>
      <x:c r="E427" s="9" t="str">
        <x:v>L1: airplane toy with propellers, L2: yellow pen, L3: red block, L4: blue tape ball</x:v>
      </x:c>
      <x:c r="F427" s="9" t="str">
        <x:v>red block</x:v>
      </x:c>
      <x:c r="G427" s="9" t="str">
        <x:v>picked yellow pen</x:v>
      </x:c>
      <x:c r="H427" s="9" t="str">
        <x:v>Cross-task ordinal transfer — red block target</x:v>
      </x:c>
      <x:c r="I427" s="9" t="str">
        <x:v>XO-RB-CF08</x:v>
      </x:c>
      <x:c r="J427" s="9" t="str">
        <x:v>Reasoning prompt; red block is the ordinal target</x:v>
      </x:c>
      <x:c r="K427" s="9" t="n">
        <x:v>124</x:v>
      </x:c>
      <x:c r="L427" s="9"/>
      <x:c r="M427" s="9"/>
      <x:c r="N427" s="9" t="str">
        <x:v>5 — Red-block counterfactual pairs</x:v>
      </x:c>
      <x:c r="O427" s="9" t="str">
        <x:v>Return the previously moved object to its marked position. Do not move any other object; only the prompt changes.</x:v>
      </x:c>
      <x:c r="P427" s="9" t="str">
        <x:v>The red block is globally familiar from Relational Placement but absent from Ordering training. The prompt never names it; ordinal reasoning is required. Pair order is counterbalanced across families.</x:v>
      </x:c>
      <x:c r="Q427" s="9"/>
      <x:c r="R427" s="10" t="n">
        <x:v>4</x:v>
      </x:c>
      <x:c r="S427" s="10"/>
      <x:c r="T427" s="9"/>
      <x:c r="U427" s="9"/>
      <x:c r="V427" s="9"/>
      <x:c r="W427" s="9" t="str">
        <x:v>XO-RB-CF08</x:v>
      </x:c>
      <x:c r="X427" s="10"/>
      <x:c r="Y427" s="10"/>
      <x:c r="Z427" s="9"/>
      <x:c r="AA427" s="9" t="str">
        <x:v>L3</x:v>
      </x:c>
      <x:c r="AB427" s="9" t="str">
        <x:v>second from right</x:v>
      </x:c>
      <x:c r="AC427" s="9"/>
      <x:c r="AD427" s="9"/>
      <x:c r="AE427" s="9"/>
      <x:c r="AF427" s="9"/>
      <x:c r="AG427" s="9"/>
      <x:c r="AH427" s="9"/>
      <x:c r="AI427" s="11"/>
      <x:c r="AJ427" s="9"/>
      <x:c r="AK427" s="9" t="str">
        <x:v>Eval_Ordinal_Reference_Ordering.xlsm</x:v>
      </x:c>
      <x:c r="AL427" s="9" t="str">
        <x:v>GR00T visual only Results</x:v>
      </x:c>
      <x:c r="AM427" s="9" t="n">
        <x:v>127</x:v>
      </x:c>
      <x:c r="AN427" s="9" t="n">
        <x:v>127</x:v>
      </x:c>
    </x:row>
    <x:row r="428">
      <x:c r="A428" s="9" t="str">
        <x:v>Success</x:v>
      </x:c>
      <x:c r="B428" s="9" t="str">
        <x:v>Ordinal Reference Ordering</x:v>
      </x:c>
      <x:c r="C428" s="10" t="n">
        <x:v>126</x:v>
      </x:c>
      <x:c r="D428" s="9" t="str">
        <x:v>Pick up the object that is first from the right and place it in the bowl.</x:v>
      </x:c>
      <x:c r="E428" s="9" t="str">
        <x:v>L1: airplane toy with propellers, L2: green highlighter, L3: blue tape ball, L4: red block</x:v>
      </x:c>
      <x:c r="F428" s="9" t="str">
        <x:v>red block</x:v>
      </x:c>
      <x:c r="G428" s="9"/>
      <x:c r="H428" s="9" t="str">
        <x:v>Cross-task ordinal transfer — red block target</x:v>
      </x:c>
      <x:c r="I428" s="9" t="str">
        <x:v>XO-RB-CF09</x:v>
      </x:c>
      <x:c r="J428" s="9" t="str">
        <x:v>Reasoning prompt; red block is the ordinal target</x:v>
      </x:c>
      <x:c r="K428" s="9"/>
      <x:c r="L428" s="9"/>
      <x:c r="M428" s="9"/>
      <x:c r="N428" s="9" t="str">
        <x:v>5 — Red-block counterfactual pairs</x:v>
      </x:c>
      <x:c r="O428" s="9" t="str">
        <x:v>Build this new scene family exactly from the L1–L4 description and save a first-frame reference image.</x:v>
      </x:c>
      <x:c r="P428" s="9" t="str">
        <x:v>The red block is globally familiar from Relational Placement but absent from Ordering training. The prompt never names it; ordinal reasoning is required. Pair order is counterbalanced across families.</x:v>
      </x:c>
      <x:c r="Q428" s="9"/>
      <x:c r="R428" s="10" t="n">
        <x:v>4</x:v>
      </x:c>
      <x:c r="S428" s="10"/>
      <x:c r="T428" s="9"/>
      <x:c r="U428" s="9"/>
      <x:c r="V428" s="9"/>
      <x:c r="W428" s="9" t="str">
        <x:v>XO-RB-CF09</x:v>
      </x:c>
      <x:c r="X428" s="10"/>
      <x:c r="Y428" s="10"/>
      <x:c r="Z428" s="9"/>
      <x:c r="AA428" s="9" t="str">
        <x:v>L4</x:v>
      </x:c>
      <x:c r="AB428" s="9" t="str">
        <x:v>first from right</x:v>
      </x:c>
      <x:c r="AC428" s="9"/>
      <x:c r="AD428" s="9"/>
      <x:c r="AE428" s="9"/>
      <x:c r="AF428" s="9"/>
      <x:c r="AG428" s="9"/>
      <x:c r="AH428" s="9"/>
      <x:c r="AI428" s="11"/>
      <x:c r="AJ428" s="9"/>
      <x:c r="AK428" s="9" t="str">
        <x:v>Eval_Ordinal_Reference_Ordering.xlsm</x:v>
      </x:c>
      <x:c r="AL428" s="9" t="str">
        <x:v>GR00T visual only Results</x:v>
      </x:c>
      <x:c r="AM428" s="9" t="n">
        <x:v>128</x:v>
      </x:c>
      <x:c r="AN428" s="9" t="n">
        <x:v>128</x:v>
      </x:c>
    </x:row>
    <x:row r="429">
      <x:c r="A429" s="9" t="str">
        <x:v>Success</x:v>
      </x:c>
      <x:c r="B429" s="9" t="str">
        <x:v>Ordinal Reference Ordering</x:v>
      </x:c>
      <x:c r="C429" s="10" t="n">
        <x:v>127</x:v>
      </x:c>
      <x:c r="D429" s="9" t="str">
        <x:v>Pick up the object that is second from the left and place it in the bowl.</x:v>
      </x:c>
      <x:c r="E429" s="9" t="str">
        <x:v>L1: airplane toy with propellers, L2: green highlighter, L3: blue tape ball, L4: red block</x:v>
      </x:c>
      <x:c r="F429" s="9" t="str">
        <x:v>green highlighter</x:v>
      </x:c>
      <x:c r="G429" s="9" t="str">
        <x:v>failed reasoning; tried ot pick the blue tape ball and missed and then got the green highlighter</x:v>
      </x:c>
      <x:c r="H429" s="9" t="str">
        <x:v>Cross-task ordinal counterfactual — red block distractor</x:v>
      </x:c>
      <x:c r="I429" s="9" t="str">
        <x:v>XO-RB-CF09</x:v>
      </x:c>
      <x:c r="J429" s="9" t="str">
        <x:v>Same scene; explicitly trained Ordering target (source episode 717)</x:v>
      </x:c>
      <x:c r="K429" s="9" t="n">
        <x:v>126</x:v>
      </x:c>
      <x:c r="L429" s="9"/>
      <x:c r="M429" s="9"/>
      <x:c r="N429" s="9" t="str">
        <x:v>5 — Red-block counterfactual pairs</x:v>
      </x:c>
      <x:c r="O429" s="9" t="str">
        <x:v>Return the previously moved object to its marked position. Do not move any other object; only the prompt changes.</x:v>
      </x:c>
      <x:c r="P429" s="9" t="str">
        <x:v>The same scene now targets a familiar Ordering object using the same canonical reasoning template and an exact training-supported ordinal prompt. The red block remains visible but is not the target.</x:v>
      </x:c>
      <x:c r="Q429" s="9"/>
      <x:c r="R429" s="10" t="n">
        <x:v>4</x:v>
      </x:c>
      <x:c r="S429" s="10"/>
      <x:c r="T429" s="9"/>
      <x:c r="U429" s="9"/>
      <x:c r="V429" s="9"/>
      <x:c r="W429" s="9" t="str">
        <x:v>XO-RB-CF09</x:v>
      </x:c>
      <x:c r="X429" s="10"/>
      <x:c r="Y429" s="10"/>
      <x:c r="Z429" s="9"/>
      <x:c r="AA429" s="9" t="str">
        <x:v>L2</x:v>
      </x:c>
      <x:c r="AB429" s="9" t="str">
        <x:v>second from left</x:v>
      </x:c>
      <x:c r="AC429" s="9"/>
      <x:c r="AD429" s="9"/>
      <x:c r="AE429" s="9"/>
      <x:c r="AF429" s="9"/>
      <x:c r="AG429" s="9"/>
      <x:c r="AH429" s="9"/>
      <x:c r="AI429" s="11"/>
      <x:c r="AJ429" s="9"/>
      <x:c r="AK429" s="9" t="str">
        <x:v>Eval_Ordinal_Reference_Ordering.xlsm</x:v>
      </x:c>
      <x:c r="AL429" s="9" t="str">
        <x:v>GR00T visual only Results</x:v>
      </x:c>
      <x:c r="AM429" s="9" t="n">
        <x:v>129</x:v>
      </x:c>
      <x:c r="AN429" s="9" t="n">
        <x:v>129</x:v>
      </x:c>
    </x:row>
    <x:row r="430">
      <x:c r="A430" s="9" t="str">
        <x:v>Failure</x:v>
      </x:c>
      <x:c r="B430" s="9" t="str">
        <x:v>Ordinal Reference Ordering</x:v>
      </x:c>
      <x:c r="C430" s="10" t="n">
        <x:v>128</x:v>
      </x:c>
      <x:c r="D430" s="9" t="str">
        <x:v>Pick up the object that is third from the left and place it in the bowl.</x:v>
      </x:c>
      <x:c r="E430" s="9" t="str">
        <x:v>L1: blue tape ball, L2: airplane toy with propellers, L3: yellow pen, L4: red block</x:v>
      </x:c>
      <x:c r="F430" s="9" t="str">
        <x:v>yellow pen</x:v>
      </x:c>
      <x:c r="G430" s="9" t="str">
        <x:v>picked red block</x:v>
      </x:c>
      <x:c r="H430" s="9" t="str">
        <x:v>Cross-task ordinal counterfactual — red block distractor</x:v>
      </x:c>
      <x:c r="I430" s="9" t="str">
        <x:v>XO-RB-CF10</x:v>
      </x:c>
      <x:c r="J430" s="9" t="str">
        <x:v>Same scene; explicitly trained Ordering target (source episode 776)</x:v>
      </x:c>
      <x:c r="K430" s="9"/>
      <x:c r="L430" s="9"/>
      <x:c r="M430" s="9"/>
      <x:c r="N430" s="9" t="str">
        <x:v>5 — Red-block counterfactual pairs</x:v>
      </x:c>
      <x:c r="O430" s="9" t="str">
        <x:v>Build this new scene family exactly from the L1–L4 description and save a first-frame reference image.</x:v>
      </x:c>
      <x:c r="P430" s="9" t="str">
        <x:v>The same scene now targets a familiar Ordering object using the same canonical reasoning template and an exact training-supported ordinal prompt. The red block remains visible but is not the target.</x:v>
      </x:c>
      <x:c r="Q430" s="9"/>
      <x:c r="R430" s="10" t="n">
        <x:v>4</x:v>
      </x:c>
      <x:c r="S430" s="10"/>
      <x:c r="T430" s="9"/>
      <x:c r="U430" s="9"/>
      <x:c r="V430" s="9"/>
      <x:c r="W430" s="9" t="str">
        <x:v>XO-RB-CF10</x:v>
      </x:c>
      <x:c r="X430" s="10"/>
      <x:c r="Y430" s="10"/>
      <x:c r="Z430" s="9"/>
      <x:c r="AA430" s="9" t="str">
        <x:v>L3</x:v>
      </x:c>
      <x:c r="AB430" s="9" t="str">
        <x:v>third from left</x:v>
      </x:c>
      <x:c r="AC430" s="9"/>
      <x:c r="AD430" s="9"/>
      <x:c r="AE430" s="9"/>
      <x:c r="AF430" s="9"/>
      <x:c r="AG430" s="9"/>
      <x:c r="AH430" s="9"/>
      <x:c r="AI430" s="11"/>
      <x:c r="AJ430" s="9"/>
      <x:c r="AK430" s="9" t="str">
        <x:v>Eval_Ordinal_Reference_Ordering.xlsm</x:v>
      </x:c>
      <x:c r="AL430" s="9" t="str">
        <x:v>GR00T visual only Results</x:v>
      </x:c>
      <x:c r="AM430" s="9" t="n">
        <x:v>130</x:v>
      </x:c>
      <x:c r="AN430" s="9" t="n">
        <x:v>130</x:v>
      </x:c>
    </x:row>
    <x:row r="431">
      <x:c r="A431" s="9" t="str">
        <x:v>Success</x:v>
      </x:c>
      <x:c r="B431" s="9" t="str">
        <x:v>Ordinal Reference Ordering</x:v>
      </x:c>
      <x:c r="C431" s="10" t="n">
        <x:v>129</x:v>
      </x:c>
      <x:c r="D431" s="9" t="str">
        <x:v>Pick up the object that is fourth from the left and place it in the bowl.</x:v>
      </x:c>
      <x:c r="E431" s="9" t="str">
        <x:v>L1: blue tape ball, L2: airplane toy with propellers, L3: yellow pen, L4: red block</x:v>
      </x:c>
      <x:c r="F431" s="9" t="str">
        <x:v>red block</x:v>
      </x:c>
      <x:c r="G431" s="9"/>
      <x:c r="H431" s="9" t="str">
        <x:v>Cross-task ordinal transfer — red block target</x:v>
      </x:c>
      <x:c r="I431" s="9" t="str">
        <x:v>XO-RB-CF10</x:v>
      </x:c>
      <x:c r="J431" s="9" t="str">
        <x:v>Reasoning prompt; red block is the ordinal target</x:v>
      </x:c>
      <x:c r="K431" s="9" t="n">
        <x:v>128</x:v>
      </x:c>
      <x:c r="L431" s="9"/>
      <x:c r="M431" s="9"/>
      <x:c r="N431" s="9" t="str">
        <x:v>5 — Red-block counterfactual pairs</x:v>
      </x:c>
      <x:c r="O431" s="9" t="str">
        <x:v>Return the previously moved object to its marked position. Do not move any other object; only the prompt changes.</x:v>
      </x:c>
      <x:c r="P431" s="9" t="str">
        <x:v>The red block is globally familiar from Relational Placement but absent from Ordering training. The prompt never names it; ordinal reasoning is required. Pair order is counterbalanced across families.</x:v>
      </x:c>
      <x:c r="Q431" s="9"/>
      <x:c r="R431" s="10" t="n">
        <x:v>4</x:v>
      </x:c>
      <x:c r="S431" s="10"/>
      <x:c r="T431" s="9"/>
      <x:c r="U431" s="9"/>
      <x:c r="V431" s="9"/>
      <x:c r="W431" s="9" t="str">
        <x:v>XO-RB-CF10</x:v>
      </x:c>
      <x:c r="X431" s="10"/>
      <x:c r="Y431" s="10"/>
      <x:c r="Z431" s="9"/>
      <x:c r="AA431" s="9" t="str">
        <x:v>L4</x:v>
      </x:c>
      <x:c r="AB431" s="9" t="str">
        <x:v>fourth from left</x:v>
      </x:c>
      <x:c r="AC431" s="9"/>
      <x:c r="AD431" s="9"/>
      <x:c r="AE431" s="9"/>
      <x:c r="AF431" s="9"/>
      <x:c r="AG431" s="9"/>
      <x:c r="AH431" s="9"/>
      <x:c r="AI431" s="11"/>
      <x:c r="AJ431" s="9"/>
      <x:c r="AK431" s="9" t="str">
        <x:v>Eval_Ordinal_Reference_Ordering.xlsm</x:v>
      </x:c>
      <x:c r="AL431" s="9" t="str">
        <x:v>GR00T visual only Results</x:v>
      </x:c>
      <x:c r="AM431" s="9" t="n">
        <x:v>131</x:v>
      </x:c>
      <x:c r="AN431" s="9" t="n">
        <x:v>131</x:v>
      </x:c>
    </x:row>
    <x:row r="432">
      <x:c r="A432" s="9" t="str">
        <x:v>Failure</x:v>
      </x:c>
      <x:c r="B432" s="9" t="str">
        <x:v>Ordinal Reference Ordering</x:v>
      </x:c>
      <x:c r="C432" s="10" t="n">
        <x:v>130</x:v>
      </x:c>
      <x:c r="D432" s="9" t="str">
        <x:v>Pick up the object that is fourth from the left and place it in the bowl.</x:v>
      </x:c>
      <x:c r="E432" s="9" t="str">
        <x:v>L1: airplane toy with propellers, L2: blue tape ball, L3: green highlighter</x:v>
      </x:c>
      <x:c r="F432" s="9" t="str">
        <x:v>None — requested ordinal does not exist</x:v>
      </x:c>
      <x:c r="G432" s="9" t="str">
        <x:v>picked the green highlighter</x:v>
      </x:c>
      <x:c r="H432" s="9" t="str">
        <x:v>Invalid ordinal / no-movement diagnostic</x:v>
      </x:c>
      <x:c r="I432" s="9" t="str">
        <x:v>NOOP-INV01</x:v>
      </x:c>
      <x:c r="J432" s="9" t="str">
        <x:v>Request ordinal 4 in an n=3 scene</x:v>
      </x:c>
      <x:c r="K432" s="9"/>
      <x:c r="L432" s="9"/>
      <x:c r="M432" s="9"/>
      <x:c r="N432" s="9" t="str">
        <x:v>6 — Invalid-ordinal no-movement pairs</x:v>
      </x:c>
      <x:c r="O432" s="9" t="str">
        <x:v>Build this new scene family exactly from the L1–L4 description and save a first-frame reference image.</x:v>
      </x:c>
      <x:c r="P432" s="9" t="str">
        <x:v>There is no valid referent. Success requires abstaining: do not grasp, displace, or place any object. Report this separately because training contains no explicit no-operation examples.</x:v>
      </x:c>
      <x:c r="Q432" s="9"/>
      <x:c r="R432" s="10" t="n">
        <x:v>3</x:v>
      </x:c>
      <x:c r="S432" s="10"/>
      <x:c r="T432" s="9"/>
      <x:c r="U432" s="9"/>
      <x:c r="V432" s="9"/>
      <x:c r="W432" s="9" t="str">
        <x:v>NOOP-INV01</x:v>
      </x:c>
      <x:c r="X432" s="10"/>
      <x:c r="Y432" s="10"/>
      <x:c r="Z432" s="9"/>
      <x:c r="AA432" s="9" t="str">
        <x:v>N/A</x:v>
      </x:c>
      <x:c r="AB432" s="9" t="str">
        <x:v>fourth from left</x:v>
      </x:c>
      <x:c r="AC432" s="9"/>
      <x:c r="AD432" s="9"/>
      <x:c r="AE432" s="9"/>
      <x:c r="AF432" s="9"/>
      <x:c r="AG432" s="9"/>
      <x:c r="AH432" s="9"/>
      <x:c r="AI432" s="11"/>
      <x:c r="AJ432" s="9"/>
      <x:c r="AK432" s="9" t="str">
        <x:v>Eval_Ordinal_Reference_Ordering.xlsm</x:v>
      </x:c>
      <x:c r="AL432" s="9" t="str">
        <x:v>GR00T visual only Results</x:v>
      </x:c>
      <x:c r="AM432" s="9" t="n">
        <x:v>132</x:v>
      </x:c>
      <x:c r="AN432" s="9" t="n">
        <x:v>132</x:v>
      </x:c>
    </x:row>
    <x:row r="433">
      <x:c r="A433" s="9" t="str">
        <x:v>Failure</x:v>
      </x:c>
      <x:c r="B433" s="9" t="str">
        <x:v>Ordinal Reference Ordering</x:v>
      </x:c>
      <x:c r="C433" s="10" t="n">
        <x:v>131</x:v>
      </x:c>
      <x:c r="D433" s="9" t="str">
        <x:v>Pick up the object that is fourth from the right and place it in the bowl.</x:v>
      </x:c>
      <x:c r="E433" s="9" t="str">
        <x:v>L1: airplane toy with propellers, L2: blue tape ball, L3: green highlighter</x:v>
      </x:c>
      <x:c r="F433" s="9" t="str">
        <x:v>None — requested ordinal does not exist</x:v>
      </x:c>
      <x:c r="G433" s="9" t="str">
        <x:v>picked tape ball</x:v>
      </x:c>
      <x:c r="H433" s="9" t="str">
        <x:v>Invalid ordinal / no-movement diagnostic</x:v>
      </x:c>
      <x:c r="I433" s="9" t="str">
        <x:v>NOOP-INV01</x:v>
      </x:c>
      <x:c r="J433" s="9" t="str">
        <x:v>Request ordinal 4 in an n=3 scene</x:v>
      </x:c>
      <x:c r="K433" s="9" t="n">
        <x:v>130</x:v>
      </x:c>
      <x:c r="L433" s="9"/>
      <x:c r="M433" s="9"/>
      <x:c r="N433" s="9" t="str">
        <x:v>6 — Invalid-ordinal no-movement pairs</x:v>
      </x:c>
      <x:c r="O433" s="9" t="str">
        <x:v>Keep the exact scene unchanged; switch only the impossible ordinal prompt.</x:v>
      </x:c>
      <x:c r="P433" s="9" t="str">
        <x:v>There is no valid referent. Success requires abstaining: do not grasp, displace, or place any object. Report this separately because training contains no explicit no-operation examples.</x:v>
      </x:c>
      <x:c r="Q433" s="9"/>
      <x:c r="R433" s="10" t="n">
        <x:v>3</x:v>
      </x:c>
      <x:c r="S433" s="10"/>
      <x:c r="T433" s="9"/>
      <x:c r="U433" s="9"/>
      <x:c r="V433" s="9"/>
      <x:c r="W433" s="9" t="str">
        <x:v>NOOP-INV01</x:v>
      </x:c>
      <x:c r="X433" s="10"/>
      <x:c r="Y433" s="10"/>
      <x:c r="Z433" s="9"/>
      <x:c r="AA433" s="9" t="str">
        <x:v>N/A</x:v>
      </x:c>
      <x:c r="AB433" s="9" t="str">
        <x:v>fourth from right</x:v>
      </x:c>
      <x:c r="AC433" s="9"/>
      <x:c r="AD433" s="9"/>
      <x:c r="AE433" s="9"/>
      <x:c r="AF433" s="9"/>
      <x:c r="AG433" s="9"/>
      <x:c r="AH433" s="9"/>
      <x:c r="AI433" s="11"/>
      <x:c r="AJ433" s="9"/>
      <x:c r="AK433" s="9" t="str">
        <x:v>Eval_Ordinal_Reference_Ordering.xlsm</x:v>
      </x:c>
      <x:c r="AL433" s="9" t="str">
        <x:v>GR00T visual only Results</x:v>
      </x:c>
      <x:c r="AM433" s="9" t="n">
        <x:v>133</x:v>
      </x:c>
      <x:c r="AN433" s="9" t="n">
        <x:v>133</x:v>
      </x:c>
    </x:row>
    <x:row r="434">
      <x:c r="A434" s="9" t="str">
        <x:v>Failure</x:v>
      </x:c>
      <x:c r="B434" s="9" t="str">
        <x:v>Ordinal Reference Ordering</x:v>
      </x:c>
      <x:c r="C434" s="10" t="n">
        <x:v>132</x:v>
      </x:c>
      <x:c r="D434" s="9" t="str">
        <x:v>Pick up the object that is fourth from the right and place it in the bowl.</x:v>
      </x:c>
      <x:c r="E434" s="9" t="str">
        <x:v>L1: yellow pen, L2: green highlighter, L3: blue tape ball</x:v>
      </x:c>
      <x:c r="F434" s="9" t="str">
        <x:v>None — requested ordinal does not exist</x:v>
      </x:c>
      <x:c r="G434" s="9" t="str">
        <x:v>picked green highlighter</x:v>
      </x:c>
      <x:c r="H434" s="9" t="str">
        <x:v>Invalid ordinal / no-movement diagnostic</x:v>
      </x:c>
      <x:c r="I434" s="9" t="str">
        <x:v>NOOP-INV02</x:v>
      </x:c>
      <x:c r="J434" s="9" t="str">
        <x:v>Request ordinal 4 in an n=3 scene</x:v>
      </x:c>
      <x:c r="K434" s="9"/>
      <x:c r="L434" s="9"/>
      <x:c r="M434" s="9"/>
      <x:c r="N434" s="9" t="str">
        <x:v>6 — Invalid-ordinal no-movement pairs</x:v>
      </x:c>
      <x:c r="O434" s="9" t="str">
        <x:v>Build this new scene family exactly from the L1–L4 description and save a first-frame reference image.</x:v>
      </x:c>
      <x:c r="P434" s="9" t="str">
        <x:v>There is no valid referent. Success requires abstaining: do not grasp, displace, or place any object. Report this separately because training contains no explicit no-operation examples.</x:v>
      </x:c>
      <x:c r="Q434" s="9"/>
      <x:c r="R434" s="10" t="n">
        <x:v>3</x:v>
      </x:c>
      <x:c r="S434" s="10"/>
      <x:c r="T434" s="9"/>
      <x:c r="U434" s="9"/>
      <x:c r="V434" s="9"/>
      <x:c r="W434" s="9" t="str">
        <x:v>NOOP-INV02</x:v>
      </x:c>
      <x:c r="X434" s="10"/>
      <x:c r="Y434" s="10"/>
      <x:c r="Z434" s="9"/>
      <x:c r="AA434" s="9" t="str">
        <x:v>N/A</x:v>
      </x:c>
      <x:c r="AB434" s="9" t="str">
        <x:v>fourth from right</x:v>
      </x:c>
      <x:c r="AC434" s="9"/>
      <x:c r="AD434" s="9"/>
      <x:c r="AE434" s="9"/>
      <x:c r="AF434" s="9"/>
      <x:c r="AG434" s="9"/>
      <x:c r="AH434" s="9"/>
      <x:c r="AI434" s="11"/>
      <x:c r="AJ434" s="9"/>
      <x:c r="AK434" s="9" t="str">
        <x:v>Eval_Ordinal_Reference_Ordering.xlsm</x:v>
      </x:c>
      <x:c r="AL434" s="9" t="str">
        <x:v>GR00T visual only Results</x:v>
      </x:c>
      <x:c r="AM434" s="9" t="n">
        <x:v>134</x:v>
      </x:c>
      <x:c r="AN434" s="9" t="n">
        <x:v>134</x:v>
      </x:c>
    </x:row>
    <x:row r="435">
      <x:c r="A435" s="9" t="str">
        <x:v>Failure</x:v>
      </x:c>
      <x:c r="B435" s="9" t="str">
        <x:v>Ordinal Reference Ordering</x:v>
      </x:c>
      <x:c r="C435" s="10" t="n">
        <x:v>133</x:v>
      </x:c>
      <x:c r="D435" s="9" t="str">
        <x:v>Pick up the object that is fourth from the left and place it in the bowl.</x:v>
      </x:c>
      <x:c r="E435" s="9" t="str">
        <x:v>L1: yellow pen, L2: green highlighter, L3: blue tape ball</x:v>
      </x:c>
      <x:c r="F435" s="9" t="str">
        <x:v>None — requested ordinal does not exist</x:v>
      </x:c>
      <x:c r="G435" s="9" t="str">
        <x:v>picked blue tape ball</x:v>
      </x:c>
      <x:c r="H435" s="9" t="str">
        <x:v>Invalid ordinal / no-movement diagnostic</x:v>
      </x:c>
      <x:c r="I435" s="9" t="str">
        <x:v>NOOP-INV02</x:v>
      </x:c>
      <x:c r="J435" s="9" t="str">
        <x:v>Request ordinal 4 in an n=3 scene</x:v>
      </x:c>
      <x:c r="K435" s="9" t="n">
        <x:v>132</x:v>
      </x:c>
      <x:c r="L435" s="9"/>
      <x:c r="M435" s="9"/>
      <x:c r="N435" s="9" t="str">
        <x:v>6 — Invalid-ordinal no-movement pairs</x:v>
      </x:c>
      <x:c r="O435" s="9" t="str">
        <x:v>Keep the exact scene unchanged; switch only the impossible ordinal prompt.</x:v>
      </x:c>
      <x:c r="P435" s="9" t="str">
        <x:v>There is no valid referent. Success requires abstaining: do not grasp, displace, or place any object. Report this separately because training contains no explicit no-operation examples.</x:v>
      </x:c>
      <x:c r="Q435" s="9"/>
      <x:c r="R435" s="10" t="n">
        <x:v>3</x:v>
      </x:c>
      <x:c r="S435" s="10"/>
      <x:c r="T435" s="9"/>
      <x:c r="U435" s="9"/>
      <x:c r="V435" s="9"/>
      <x:c r="W435" s="9" t="str">
        <x:v>NOOP-INV02</x:v>
      </x:c>
      <x:c r="X435" s="10"/>
      <x:c r="Y435" s="10"/>
      <x:c r="Z435" s="9"/>
      <x:c r="AA435" s="9" t="str">
        <x:v>N/A</x:v>
      </x:c>
      <x:c r="AB435" s="9" t="str">
        <x:v>fourth from left</x:v>
      </x:c>
      <x:c r="AC435" s="9"/>
      <x:c r="AD435" s="9"/>
      <x:c r="AE435" s="9"/>
      <x:c r="AF435" s="9"/>
      <x:c r="AG435" s="9"/>
      <x:c r="AH435" s="9"/>
      <x:c r="AI435" s="11"/>
      <x:c r="AJ435" s="9"/>
      <x:c r="AK435" s="9" t="str">
        <x:v>Eval_Ordinal_Reference_Ordering.xlsm</x:v>
      </x:c>
      <x:c r="AL435" s="9" t="str">
        <x:v>GR00T visual only Results</x:v>
      </x:c>
      <x:c r="AM435" s="9" t="n">
        <x:v>135</x:v>
      </x:c>
      <x:c r="AN435" s="9" t="n">
        <x:v>135</x:v>
      </x:c>
    </x:row>
    <x:row r="436">
      <x:c r="A436" s="9" t="str">
        <x:v>Failure</x:v>
      </x:c>
      <x:c r="B436" s="9" t="str">
        <x:v>Ordinal Reference Ordering</x:v>
      </x:c>
      <x:c r="C436" s="10" t="n">
        <x:v>134</x:v>
      </x:c>
      <x:c r="D436" s="9" t="str">
        <x:v>Pick up the object that is fourth from the left and place it in the bowl.</x:v>
      </x:c>
      <x:c r="E436" s="9" t="str">
        <x:v>L1: blue tape ball, L2: airplane toy with propellers, L3: yellow pen</x:v>
      </x:c>
      <x:c r="F436" s="9" t="str">
        <x:v>None — requested ordinal does not exist</x:v>
      </x:c>
      <x:c r="G436" s="9" t="str">
        <x:v>picked the yellow pen</x:v>
      </x:c>
      <x:c r="H436" s="9" t="str">
        <x:v>Invalid ordinal / no-movement diagnostic</x:v>
      </x:c>
      <x:c r="I436" s="9" t="str">
        <x:v>NOOP-INV03</x:v>
      </x:c>
      <x:c r="J436" s="9" t="str">
        <x:v>Request ordinal 4 in an n=3 scene</x:v>
      </x:c>
      <x:c r="K436" s="9"/>
      <x:c r="L436" s="9"/>
      <x:c r="M436" s="9"/>
      <x:c r="N436" s="9" t="str">
        <x:v>6 — Invalid-ordinal no-movement pairs</x:v>
      </x:c>
      <x:c r="O436" s="9" t="str">
        <x:v>Build this new scene family exactly from the L1–L4 description and save a first-frame reference image.</x:v>
      </x:c>
      <x:c r="P436" s="9" t="str">
        <x:v>There is no valid referent. Success requires abstaining: do not grasp, displace, or place any object. Report this separately because training contains no explicit no-operation examples.</x:v>
      </x:c>
      <x:c r="Q436" s="9"/>
      <x:c r="R436" s="10" t="n">
        <x:v>3</x:v>
      </x:c>
      <x:c r="S436" s="10"/>
      <x:c r="T436" s="9"/>
      <x:c r="U436" s="9"/>
      <x:c r="V436" s="9"/>
      <x:c r="W436" s="9" t="str">
        <x:v>NOOP-INV03</x:v>
      </x:c>
      <x:c r="X436" s="10"/>
      <x:c r="Y436" s="10"/>
      <x:c r="Z436" s="9"/>
      <x:c r="AA436" s="9" t="str">
        <x:v>N/A</x:v>
      </x:c>
      <x:c r="AB436" s="9" t="str">
        <x:v>fourth from left</x:v>
      </x:c>
      <x:c r="AC436" s="9"/>
      <x:c r="AD436" s="9"/>
      <x:c r="AE436" s="9"/>
      <x:c r="AF436" s="9"/>
      <x:c r="AG436" s="9"/>
      <x:c r="AH436" s="9"/>
      <x:c r="AI436" s="11"/>
      <x:c r="AJ436" s="9"/>
      <x:c r="AK436" s="9" t="str">
        <x:v>Eval_Ordinal_Reference_Ordering.xlsm</x:v>
      </x:c>
      <x:c r="AL436" s="9" t="str">
        <x:v>GR00T visual only Results</x:v>
      </x:c>
      <x:c r="AM436" s="9" t="n">
        <x:v>136</x:v>
      </x:c>
      <x:c r="AN436" s="9" t="n">
        <x:v>136</x:v>
      </x:c>
    </x:row>
    <x:row r="437">
      <x:c r="A437" s="9" t="str">
        <x:v>Failure</x:v>
      </x:c>
      <x:c r="B437" s="9" t="str">
        <x:v>Ordinal Reference Ordering</x:v>
      </x:c>
      <x:c r="C437" s="10" t="n">
        <x:v>135</x:v>
      </x:c>
      <x:c r="D437" s="9" t="str">
        <x:v>Pick up the object that is fourth from the right and place it in the bowl.</x:v>
      </x:c>
      <x:c r="E437" s="9" t="str">
        <x:v>L1: blue tape ball, L2: airplane toy with propellers, L3: yellow pen</x:v>
      </x:c>
      <x:c r="F437" s="9" t="str">
        <x:v>None — requested ordinal does not exist</x:v>
      </x:c>
      <x:c r="G437" s="9" t="str">
        <x:v>picked the airplane toy</x:v>
      </x:c>
      <x:c r="H437" s="9" t="str">
        <x:v>Invalid ordinal / no-movement diagnostic</x:v>
      </x:c>
      <x:c r="I437" s="9" t="str">
        <x:v>NOOP-INV03</x:v>
      </x:c>
      <x:c r="J437" s="9" t="str">
        <x:v>Request ordinal 4 in an n=3 scene</x:v>
      </x:c>
      <x:c r="K437" s="9" t="n">
        <x:v>134</x:v>
      </x:c>
      <x:c r="L437" s="9"/>
      <x:c r="M437" s="9"/>
      <x:c r="N437" s="9" t="str">
        <x:v>6 — Invalid-ordinal no-movement pairs</x:v>
      </x:c>
      <x:c r="O437" s="9" t="str">
        <x:v>Keep the exact scene unchanged; switch only the impossible ordinal prompt.</x:v>
      </x:c>
      <x:c r="P437" s="9" t="str">
        <x:v>There is no valid referent. Success requires abstaining: do not grasp, displace, or place any object. Report this separately because training contains no explicit no-operation examples.</x:v>
      </x:c>
      <x:c r="Q437" s="9"/>
      <x:c r="R437" s="10" t="n">
        <x:v>3</x:v>
      </x:c>
      <x:c r="S437" s="10"/>
      <x:c r="T437" s="9"/>
      <x:c r="U437" s="9"/>
      <x:c r="V437" s="9"/>
      <x:c r="W437" s="9" t="str">
        <x:v>NOOP-INV03</x:v>
      </x:c>
      <x:c r="X437" s="10"/>
      <x:c r="Y437" s="10"/>
      <x:c r="Z437" s="9"/>
      <x:c r="AA437" s="9" t="str">
        <x:v>N/A</x:v>
      </x:c>
      <x:c r="AB437" s="9" t="str">
        <x:v>fourth from right</x:v>
      </x:c>
      <x:c r="AC437" s="9"/>
      <x:c r="AD437" s="9"/>
      <x:c r="AE437" s="9"/>
      <x:c r="AF437" s="9"/>
      <x:c r="AG437" s="9"/>
      <x:c r="AH437" s="9"/>
      <x:c r="AI437" s="11"/>
      <x:c r="AJ437" s="9"/>
      <x:c r="AK437" s="9" t="str">
        <x:v>Eval_Ordinal_Reference_Ordering.xlsm</x:v>
      </x:c>
      <x:c r="AL437" s="9" t="str">
        <x:v>GR00T visual only Results</x:v>
      </x:c>
      <x:c r="AM437" s="9" t="n">
        <x:v>137</x:v>
      </x:c>
      <x:c r="AN437" s="9" t="n">
        <x:v>137</x:v>
      </x:c>
    </x:row>
    <x:row r="438">
      <x:c r="A438" s="9" t="str">
        <x:v>Failure</x:v>
      </x:c>
      <x:c r="B438" s="9" t="str">
        <x:v>Ordinal Reference Ordering</x:v>
      </x:c>
      <x:c r="C438" s="10" t="n">
        <x:v>136</x:v>
      </x:c>
      <x:c r="D438" s="9" t="str">
        <x:v>Pick up the object that is fourth from the right and place it in the bowl.</x:v>
      </x:c>
      <x:c r="E438" s="9" t="str">
        <x:v>L1: green highlighter, L2: yellow pen, L3: airplane toy with propellers</x:v>
      </x:c>
      <x:c r="F438" s="9" t="str">
        <x:v>None — requested ordinal does not exist</x:v>
      </x:c>
      <x:c r="G438" s="9" t="str">
        <x:v>picked the yellow pen</x:v>
      </x:c>
      <x:c r="H438" s="9" t="str">
        <x:v>Invalid ordinal / no-movement diagnostic</x:v>
      </x:c>
      <x:c r="I438" s="9" t="str">
        <x:v>NOOP-INV04</x:v>
      </x:c>
      <x:c r="J438" s="9" t="str">
        <x:v>Request ordinal 4 in an n=3 scene</x:v>
      </x:c>
      <x:c r="K438" s="9"/>
      <x:c r="L438" s="9"/>
      <x:c r="M438" s="9"/>
      <x:c r="N438" s="9" t="str">
        <x:v>6 — Invalid-ordinal no-movement pairs</x:v>
      </x:c>
      <x:c r="O438" s="9" t="str">
        <x:v>Build this new scene family exactly from the L1–L4 description and save a first-frame reference image.</x:v>
      </x:c>
      <x:c r="P438" s="9" t="str">
        <x:v>There is no valid referent. Success requires abstaining: do not grasp, displace, or place any object. Report this separately because training contains no explicit no-operation examples.</x:v>
      </x:c>
      <x:c r="Q438" s="9"/>
      <x:c r="R438" s="10" t="n">
        <x:v>3</x:v>
      </x:c>
      <x:c r="S438" s="10"/>
      <x:c r="T438" s="9"/>
      <x:c r="U438" s="9"/>
      <x:c r="V438" s="9"/>
      <x:c r="W438" s="9" t="str">
        <x:v>NOOP-INV04</x:v>
      </x:c>
      <x:c r="X438" s="10"/>
      <x:c r="Y438" s="10"/>
      <x:c r="Z438" s="9"/>
      <x:c r="AA438" s="9" t="str">
        <x:v>N/A</x:v>
      </x:c>
      <x:c r="AB438" s="9" t="str">
        <x:v>fourth from right</x:v>
      </x:c>
      <x:c r="AC438" s="9"/>
      <x:c r="AD438" s="9"/>
      <x:c r="AE438" s="9"/>
      <x:c r="AF438" s="9"/>
      <x:c r="AG438" s="9"/>
      <x:c r="AH438" s="9"/>
      <x:c r="AI438" s="11"/>
      <x:c r="AJ438" s="9"/>
      <x:c r="AK438" s="9" t="str">
        <x:v>Eval_Ordinal_Reference_Ordering.xlsm</x:v>
      </x:c>
      <x:c r="AL438" s="9" t="str">
        <x:v>GR00T visual only Results</x:v>
      </x:c>
      <x:c r="AM438" s="9" t="n">
        <x:v>138</x:v>
      </x:c>
      <x:c r="AN438" s="9" t="n">
        <x:v>138</x:v>
      </x:c>
    </x:row>
    <x:row r="439">
      <x:c r="A439" s="9" t="str">
        <x:v>Failure</x:v>
      </x:c>
      <x:c r="B439" s="9" t="str">
        <x:v>Ordinal Reference Ordering</x:v>
      </x:c>
      <x:c r="C439" s="10" t="n">
        <x:v>137</x:v>
      </x:c>
      <x:c r="D439" s="9" t="str">
        <x:v>Pick up the object that is fourth from the left and place it in the bowl.</x:v>
      </x:c>
      <x:c r="E439" s="9" t="str">
        <x:v>L1: green highlighter, L2: yellow pen, L3: airplane toy with propellers</x:v>
      </x:c>
      <x:c r="F439" s="9" t="str">
        <x:v>None — requested ordinal does not exist</x:v>
      </x:c>
      <x:c r="G439" s="9" t="str">
        <x:v>picked the airplane toy; hesitated before moving the airplane toy to the bowl</x:v>
      </x:c>
      <x:c r="H439" s="9" t="str">
        <x:v>Invalid ordinal / no-movement diagnostic</x:v>
      </x:c>
      <x:c r="I439" s="9" t="str">
        <x:v>NOOP-INV04</x:v>
      </x:c>
      <x:c r="J439" s="9" t="str">
        <x:v>Request ordinal 4 in an n=3 scene</x:v>
      </x:c>
      <x:c r="K439" s="9" t="n">
        <x:v>136</x:v>
      </x:c>
      <x:c r="L439" s="9"/>
      <x:c r="M439" s="9"/>
      <x:c r="N439" s="9" t="str">
        <x:v>6 — Invalid-ordinal no-movement pairs</x:v>
      </x:c>
      <x:c r="O439" s="9" t="str">
        <x:v>Keep the exact scene unchanged; switch only the impossible ordinal prompt.</x:v>
      </x:c>
      <x:c r="P439" s="9" t="str">
        <x:v>There is no valid referent. Success requires abstaining: do not grasp, displace, or place any object. Report this separately because training contains no explicit no-operation examples.</x:v>
      </x:c>
      <x:c r="Q439" s="9"/>
      <x:c r="R439" s="10" t="n">
        <x:v>3</x:v>
      </x:c>
      <x:c r="S439" s="10"/>
      <x:c r="T439" s="9"/>
      <x:c r="U439" s="9"/>
      <x:c r="V439" s="9"/>
      <x:c r="W439" s="9" t="str">
        <x:v>NOOP-INV04</x:v>
      </x:c>
      <x:c r="X439" s="10"/>
      <x:c r="Y439" s="10"/>
      <x:c r="Z439" s="9"/>
      <x:c r="AA439" s="9" t="str">
        <x:v>N/A</x:v>
      </x:c>
      <x:c r="AB439" s="9" t="str">
        <x:v>fourth from left</x:v>
      </x:c>
      <x:c r="AC439" s="9"/>
      <x:c r="AD439" s="9"/>
      <x:c r="AE439" s="9"/>
      <x:c r="AF439" s="9"/>
      <x:c r="AG439" s="9"/>
      <x:c r="AH439" s="9"/>
      <x:c r="AI439" s="11"/>
      <x:c r="AJ439" s="9"/>
      <x:c r="AK439" s="9" t="str">
        <x:v>Eval_Ordinal_Reference_Ordering.xlsm</x:v>
      </x:c>
      <x:c r="AL439" s="9" t="str">
        <x:v>GR00T visual only Results</x:v>
      </x:c>
      <x:c r="AM439" s="9" t="n">
        <x:v>139</x:v>
      </x:c>
      <x:c r="AN439" s="9" t="n">
        <x:v>139</x:v>
      </x:c>
    </x:row>
    <x:row r="440">
      <x:c r="A440" s="9" t="str">
        <x:v>Failure</x:v>
      </x:c>
      <x:c r="B440" s="9" t="str">
        <x:v>Ordinal Reference Ordering</x:v>
      </x:c>
      <x:c r="C440" s="10" t="n">
        <x:v>138</x:v>
      </x:c>
      <x:c r="D440" s="9" t="str">
        <x:v>Pick up the object that is fourth from the left and place it in the bowl.</x:v>
      </x:c>
      <x:c r="E440" s="9" t="str">
        <x:v>L1: airplane toy with propellers, L2: yellow pen, L3: blue tape ball</x:v>
      </x:c>
      <x:c r="F440" s="9" t="str">
        <x:v>None — requested ordinal does not exist</x:v>
      </x:c>
      <x:c r="G440" s="9" t="str">
        <x:v>picked blue tape ball</x:v>
      </x:c>
      <x:c r="H440" s="9" t="str">
        <x:v>Invalid ordinal / no-movement diagnostic</x:v>
      </x:c>
      <x:c r="I440" s="9" t="str">
        <x:v>NOOP-INV05</x:v>
      </x:c>
      <x:c r="J440" s="9" t="str">
        <x:v>Request ordinal 4 in an n=3 scene</x:v>
      </x:c>
      <x:c r="K440" s="9"/>
      <x:c r="L440" s="9"/>
      <x:c r="M440" s="9"/>
      <x:c r="N440" s="9" t="str">
        <x:v>6 — Invalid-ordinal no-movement pairs</x:v>
      </x:c>
      <x:c r="O440" s="9" t="str">
        <x:v>Build this new scene family exactly from the L1–L4 description and save a first-frame reference image.</x:v>
      </x:c>
      <x:c r="P440" s="9" t="str">
        <x:v>There is no valid referent. Success requires abstaining: do not grasp, displace, or place any object. Report this separately because training contains no explicit no-operation examples.</x:v>
      </x:c>
      <x:c r="Q440" s="9"/>
      <x:c r="R440" s="10" t="n">
        <x:v>3</x:v>
      </x:c>
      <x:c r="S440" s="10"/>
      <x:c r="T440" s="9"/>
      <x:c r="U440" s="9"/>
      <x:c r="V440" s="9"/>
      <x:c r="W440" s="9" t="str">
        <x:v>NOOP-INV05</x:v>
      </x:c>
      <x:c r="X440" s="10"/>
      <x:c r="Y440" s="10"/>
      <x:c r="Z440" s="9"/>
      <x:c r="AA440" s="9" t="str">
        <x:v>N/A</x:v>
      </x:c>
      <x:c r="AB440" s="9" t="str">
        <x:v>fourth from left</x:v>
      </x:c>
      <x:c r="AC440" s="9"/>
      <x:c r="AD440" s="9"/>
      <x:c r="AE440" s="9"/>
      <x:c r="AF440" s="9"/>
      <x:c r="AG440" s="9"/>
      <x:c r="AH440" s="9"/>
      <x:c r="AI440" s="11"/>
      <x:c r="AJ440" s="9"/>
      <x:c r="AK440" s="9" t="str">
        <x:v>Eval_Ordinal_Reference_Ordering.xlsm</x:v>
      </x:c>
      <x:c r="AL440" s="9" t="str">
        <x:v>GR00T visual only Results</x:v>
      </x:c>
      <x:c r="AM440" s="9" t="n">
        <x:v>140</x:v>
      </x:c>
      <x:c r="AN440" s="9" t="n">
        <x:v>140</x:v>
      </x:c>
    </x:row>
    <x:row r="441">
      <x:c r="A441" s="9" t="str">
        <x:v>Failure</x:v>
      </x:c>
      <x:c r="B441" s="9" t="str">
        <x:v>Ordinal Reference Ordering</x:v>
      </x:c>
      <x:c r="C441" s="10" t="n">
        <x:v>139</x:v>
      </x:c>
      <x:c r="D441" s="9" t="str">
        <x:v>Pick up the object that is fourth from the right and place it in the bowl.</x:v>
      </x:c>
      <x:c r="E441" s="9" t="str">
        <x:v>L1: airplane toy with propellers, L2: yellow pen, L3: blue tape ball</x:v>
      </x:c>
      <x:c r="F441" s="9" t="str">
        <x:v>None — requested ordinal does not exist</x:v>
      </x:c>
      <x:c r="G441" s="9" t="str">
        <x:v>picked the yellow pen</x:v>
      </x:c>
      <x:c r="H441" s="9" t="str">
        <x:v>Invalid ordinal / no-movement diagnostic</x:v>
      </x:c>
      <x:c r="I441" s="9" t="str">
        <x:v>NOOP-INV05</x:v>
      </x:c>
      <x:c r="J441" s="9" t="str">
        <x:v>Request ordinal 4 in an n=3 scene</x:v>
      </x:c>
      <x:c r="K441" s="9" t="n">
        <x:v>138</x:v>
      </x:c>
      <x:c r="L441" s="9"/>
      <x:c r="M441" s="9"/>
      <x:c r="N441" s="9" t="str">
        <x:v>6 — Invalid-ordinal no-movement pairs</x:v>
      </x:c>
      <x:c r="O441" s="9" t="str">
        <x:v>Keep the exact scene unchanged; switch only the impossible ordinal prompt.</x:v>
      </x:c>
      <x:c r="P441" s="9" t="str">
        <x:v>There is no valid referent. Success requires abstaining: do not grasp, displace, or place any object. Report this separately because training contains no explicit no-operation examples.</x:v>
      </x:c>
      <x:c r="Q441" s="9"/>
      <x:c r="R441" s="10" t="n">
        <x:v>3</x:v>
      </x:c>
      <x:c r="S441" s="10"/>
      <x:c r="T441" s="9"/>
      <x:c r="U441" s="9"/>
      <x:c r="V441" s="9"/>
      <x:c r="W441" s="9" t="str">
        <x:v>NOOP-INV05</x:v>
      </x:c>
      <x:c r="X441" s="10"/>
      <x:c r="Y441" s="10"/>
      <x:c r="Z441" s="9"/>
      <x:c r="AA441" s="9" t="str">
        <x:v>N/A</x:v>
      </x:c>
      <x:c r="AB441" s="9" t="str">
        <x:v>fourth from right</x:v>
      </x:c>
      <x:c r="AC441" s="9"/>
      <x:c r="AD441" s="9"/>
      <x:c r="AE441" s="9"/>
      <x:c r="AF441" s="9"/>
      <x:c r="AG441" s="9"/>
      <x:c r="AH441" s="9"/>
      <x:c r="AI441" s="11"/>
      <x:c r="AJ441" s="9"/>
      <x:c r="AK441" s="9" t="str">
        <x:v>Eval_Ordinal_Reference_Ordering.xlsm</x:v>
      </x:c>
      <x:c r="AL441" s="9" t="str">
        <x:v>GR00T visual only Results</x:v>
      </x:c>
      <x:c r="AM441" s="9" t="n">
        <x:v>141</x:v>
      </x:c>
      <x:c r="AN441" s="9" t="n">
        <x:v>141</x:v>
      </x:c>
    </x:row>
    <x:row r="442">
      <x:c r="A442" s="9" t="str">
        <x:v>Failure</x:v>
      </x:c>
      <x:c r="B442" s="9" t="str">
        <x:v>Ordinal Reference Ordering</x:v>
      </x:c>
      <x:c r="C442" s="10" t="n">
        <x:v>140</x:v>
      </x:c>
      <x:c r="D442" s="9" t="str">
        <x:v>Pick up the object that is third from the right and place it in the bowl.</x:v>
      </x:c>
      <x:c r="E442" s="9" t="str">
        <x:v>L1: airplane toy with propellers, L2: blue tape ball</x:v>
      </x:c>
      <x:c r="F442" s="9" t="str">
        <x:v>None — requested ordinal does not exist</x:v>
      </x:c>
      <x:c r="G442" s="9" t="str">
        <x:v>picked the blue tape ball</x:v>
      </x:c>
      <x:c r="H442" s="9" t="str">
        <x:v>Invalid ordinal / no-movement diagnostic</x:v>
      </x:c>
      <x:c r="I442" s="9" t="str">
        <x:v>NOOP-INV06</x:v>
      </x:c>
      <x:c r="J442" s="9" t="str">
        <x:v>Request ordinal 3 in an n=2 scene</x:v>
      </x:c>
      <x:c r="K442" s="9"/>
      <x:c r="L442" s="9"/>
      <x:c r="M442" s="9"/>
      <x:c r="N442" s="9" t="str">
        <x:v>6 — Invalid-ordinal no-movement pairs</x:v>
      </x:c>
      <x:c r="O442" s="9" t="str">
        <x:v>Build this new scene family exactly from the L1–L4 description and save a first-frame reference image.</x:v>
      </x:c>
      <x:c r="P442" s="9" t="str">
        <x:v>There is no valid referent. Success requires abstaining: do not grasp, displace, or place any object. Report this separately because training contains no explicit no-operation examples.</x:v>
      </x:c>
      <x:c r="Q442" s="9"/>
      <x:c r="R442" s="10" t="n">
        <x:v>2</x:v>
      </x:c>
      <x:c r="S442" s="10"/>
      <x:c r="T442" s="9"/>
      <x:c r="U442" s="9"/>
      <x:c r="V442" s="9"/>
      <x:c r="W442" s="9" t="str">
        <x:v>NOOP-INV06</x:v>
      </x:c>
      <x:c r="X442" s="10"/>
      <x:c r="Y442" s="10"/>
      <x:c r="Z442" s="9"/>
      <x:c r="AA442" s="9" t="str">
        <x:v>N/A</x:v>
      </x:c>
      <x:c r="AB442" s="9" t="str">
        <x:v>third from right</x:v>
      </x:c>
      <x:c r="AC442" s="9"/>
      <x:c r="AD442" s="9"/>
      <x:c r="AE442" s="9"/>
      <x:c r="AF442" s="9"/>
      <x:c r="AG442" s="9"/>
      <x:c r="AH442" s="9"/>
      <x:c r="AI442" s="11"/>
      <x:c r="AJ442" s="9"/>
      <x:c r="AK442" s="9" t="str">
        <x:v>Eval_Ordinal_Reference_Ordering.xlsm</x:v>
      </x:c>
      <x:c r="AL442" s="9" t="str">
        <x:v>GR00T visual only Results</x:v>
      </x:c>
      <x:c r="AM442" s="9" t="n">
        <x:v>142</x:v>
      </x:c>
      <x:c r="AN442" s="9" t="n">
        <x:v>142</x:v>
      </x:c>
    </x:row>
    <x:row r="443">
      <x:c r="A443" s="9" t="str">
        <x:v>Failure</x:v>
      </x:c>
      <x:c r="B443" s="9" t="str">
        <x:v>Ordinal Reference Ordering</x:v>
      </x:c>
      <x:c r="C443" s="10" t="n">
        <x:v>141</x:v>
      </x:c>
      <x:c r="D443" s="9" t="str">
        <x:v>Pick up the object that is third from the left and place it in the bowl.</x:v>
      </x:c>
      <x:c r="E443" s="9" t="str">
        <x:v>L1: airplane toy with propellers, L2: blue tape ball</x:v>
      </x:c>
      <x:c r="F443" s="9" t="str">
        <x:v>None — requested ordinal does not exist</x:v>
      </x:c>
      <x:c r="G443" s="9" t="str">
        <x:v>picked the blue tape ball</x:v>
      </x:c>
      <x:c r="H443" s="9" t="str">
        <x:v>Invalid ordinal / no-movement diagnostic</x:v>
      </x:c>
      <x:c r="I443" s="9" t="str">
        <x:v>NOOP-INV06</x:v>
      </x:c>
      <x:c r="J443" s="9" t="str">
        <x:v>Request ordinal 3 in an n=2 scene</x:v>
      </x:c>
      <x:c r="K443" s="9" t="n">
        <x:v>140</x:v>
      </x:c>
      <x:c r="L443" s="9"/>
      <x:c r="M443" s="9"/>
      <x:c r="N443" s="9" t="str">
        <x:v>6 — Invalid-ordinal no-movement pairs</x:v>
      </x:c>
      <x:c r="O443" s="9" t="str">
        <x:v>Keep the exact scene unchanged; switch only the impossible ordinal prompt.</x:v>
      </x:c>
      <x:c r="P443" s="9" t="str">
        <x:v>There is no valid referent. Success requires abstaining: do not grasp, displace, or place any object. Report this separately because training contains no explicit no-operation examples.</x:v>
      </x:c>
      <x:c r="Q443" s="9"/>
      <x:c r="R443" s="10" t="n">
        <x:v>2</x:v>
      </x:c>
      <x:c r="S443" s="10"/>
      <x:c r="T443" s="9"/>
      <x:c r="U443" s="9"/>
      <x:c r="V443" s="9"/>
      <x:c r="W443" s="9" t="str">
        <x:v>NOOP-INV06</x:v>
      </x:c>
      <x:c r="X443" s="10"/>
      <x:c r="Y443" s="10"/>
      <x:c r="Z443" s="9"/>
      <x:c r="AA443" s="9" t="str">
        <x:v>N/A</x:v>
      </x:c>
      <x:c r="AB443" s="9" t="str">
        <x:v>third from left</x:v>
      </x:c>
      <x:c r="AC443" s="9"/>
      <x:c r="AD443" s="9"/>
      <x:c r="AE443" s="9"/>
      <x:c r="AF443" s="9"/>
      <x:c r="AG443" s="9"/>
      <x:c r="AH443" s="9"/>
      <x:c r="AI443" s="11"/>
      <x:c r="AJ443" s="9"/>
      <x:c r="AK443" s="9" t="str">
        <x:v>Eval_Ordinal_Reference_Ordering.xlsm</x:v>
      </x:c>
      <x:c r="AL443" s="9" t="str">
        <x:v>GR00T visual only Results</x:v>
      </x:c>
      <x:c r="AM443" s="9" t="n">
        <x:v>143</x:v>
      </x:c>
      <x:c r="AN443" s="9" t="n">
        <x:v>143</x:v>
      </x:c>
    </x:row>
    <x:row r="444">
      <x:c r="A444" s="9" t="str">
        <x:v>Failure</x:v>
      </x:c>
      <x:c r="B444" s="9" t="str">
        <x:v>Ordinal Reference Ordering</x:v>
      </x:c>
      <x:c r="C444" s="10" t="n">
        <x:v>142</x:v>
      </x:c>
      <x:c r="D444" s="9" t="str">
        <x:v>Pick up the object that is third from the left and place it in the bowl.</x:v>
      </x:c>
      <x:c r="E444" s="9" t="str">
        <x:v>L1: green highlighter, L2: yellow pen</x:v>
      </x:c>
      <x:c r="F444" s="9" t="str">
        <x:v>None — requested ordinal does not exist</x:v>
      </x:c>
      <x:c r="G444" s="9" t="str">
        <x:v>picked the yellow pen</x:v>
      </x:c>
      <x:c r="H444" s="9" t="str">
        <x:v>Invalid ordinal / no-movement diagnostic</x:v>
      </x:c>
      <x:c r="I444" s="9" t="str">
        <x:v>NOOP-INV07</x:v>
      </x:c>
      <x:c r="J444" s="9" t="str">
        <x:v>Request ordinal 3 in an n=2 scene</x:v>
      </x:c>
      <x:c r="K444" s="9"/>
      <x:c r="L444" s="9"/>
      <x:c r="M444" s="9"/>
      <x:c r="N444" s="9" t="str">
        <x:v>6 — Invalid-ordinal no-movement pairs</x:v>
      </x:c>
      <x:c r="O444" s="9" t="str">
        <x:v>Build this new scene family exactly from the L1–L4 description and save a first-frame reference image.</x:v>
      </x:c>
      <x:c r="P444" s="9" t="str">
        <x:v>There is no valid referent. Success requires abstaining: do not grasp, displace, or place any object. Report this separately because training contains no explicit no-operation examples.</x:v>
      </x:c>
      <x:c r="Q444" s="9"/>
      <x:c r="R444" s="10" t="n">
        <x:v>2</x:v>
      </x:c>
      <x:c r="S444" s="10"/>
      <x:c r="T444" s="9"/>
      <x:c r="U444" s="9"/>
      <x:c r="V444" s="9"/>
      <x:c r="W444" s="9" t="str">
        <x:v>NOOP-INV07</x:v>
      </x:c>
      <x:c r="X444" s="10"/>
      <x:c r="Y444" s="10"/>
      <x:c r="Z444" s="9"/>
      <x:c r="AA444" s="9" t="str">
        <x:v>N/A</x:v>
      </x:c>
      <x:c r="AB444" s="9" t="str">
        <x:v>third from left</x:v>
      </x:c>
      <x:c r="AC444" s="9"/>
      <x:c r="AD444" s="9"/>
      <x:c r="AE444" s="9"/>
      <x:c r="AF444" s="9"/>
      <x:c r="AG444" s="9"/>
      <x:c r="AH444" s="9"/>
      <x:c r="AI444" s="11"/>
      <x:c r="AJ444" s="9"/>
      <x:c r="AK444" s="9" t="str">
        <x:v>Eval_Ordinal_Reference_Ordering.xlsm</x:v>
      </x:c>
      <x:c r="AL444" s="9" t="str">
        <x:v>GR00T visual only Results</x:v>
      </x:c>
      <x:c r="AM444" s="9" t="n">
        <x:v>144</x:v>
      </x:c>
      <x:c r="AN444" s="9" t="n">
        <x:v>144</x:v>
      </x:c>
    </x:row>
    <x:row r="445">
      <x:c r="A445" s="9" t="str">
        <x:v>Failure</x:v>
      </x:c>
      <x:c r="B445" s="9" t="str">
        <x:v>Ordinal Reference Ordering</x:v>
      </x:c>
      <x:c r="C445" s="10" t="n">
        <x:v>143</x:v>
      </x:c>
      <x:c r="D445" s="9" t="str">
        <x:v>Pick up the object that is third from the right and place it in the bowl.</x:v>
      </x:c>
      <x:c r="E445" s="9" t="str">
        <x:v>L1: green highlighter, L2: yellow pen</x:v>
      </x:c>
      <x:c r="F445" s="9" t="str">
        <x:v>None — requested ordinal does not exist</x:v>
      </x:c>
      <x:c r="G445" s="9" t="str">
        <x:v>picked the yellow pen</x:v>
      </x:c>
      <x:c r="H445" s="9" t="str">
        <x:v>Invalid ordinal / no-movement diagnostic</x:v>
      </x:c>
      <x:c r="I445" s="9" t="str">
        <x:v>NOOP-INV07</x:v>
      </x:c>
      <x:c r="J445" s="9" t="str">
        <x:v>Request ordinal 3 in an n=2 scene</x:v>
      </x:c>
      <x:c r="K445" s="9" t="n">
        <x:v>142</x:v>
      </x:c>
      <x:c r="L445" s="9"/>
      <x:c r="M445" s="9"/>
      <x:c r="N445" s="9" t="str">
        <x:v>6 — Invalid-ordinal no-movement pairs</x:v>
      </x:c>
      <x:c r="O445" s="9" t="str">
        <x:v>Keep the exact scene unchanged; switch only the impossible ordinal prompt.</x:v>
      </x:c>
      <x:c r="P445" s="9" t="str">
        <x:v>There is no valid referent. Success requires abstaining: do not grasp, displace, or place any object. Report this separately because training contains no explicit no-operation examples.</x:v>
      </x:c>
      <x:c r="Q445" s="9"/>
      <x:c r="R445" s="10" t="n">
        <x:v>2</x:v>
      </x:c>
      <x:c r="S445" s="10"/>
      <x:c r="T445" s="9"/>
      <x:c r="U445" s="9"/>
      <x:c r="V445" s="9"/>
      <x:c r="W445" s="9" t="str">
        <x:v>NOOP-INV07</x:v>
      </x:c>
      <x:c r="X445" s="10"/>
      <x:c r="Y445" s="10"/>
      <x:c r="Z445" s="9"/>
      <x:c r="AA445" s="9" t="str">
        <x:v>N/A</x:v>
      </x:c>
      <x:c r="AB445" s="9" t="str">
        <x:v>third from right</x:v>
      </x:c>
      <x:c r="AC445" s="9"/>
      <x:c r="AD445" s="9"/>
      <x:c r="AE445" s="9"/>
      <x:c r="AF445" s="9"/>
      <x:c r="AG445" s="9"/>
      <x:c r="AH445" s="9"/>
      <x:c r="AI445" s="11"/>
      <x:c r="AJ445" s="9"/>
      <x:c r="AK445" s="9" t="str">
        <x:v>Eval_Ordinal_Reference_Ordering.xlsm</x:v>
      </x:c>
      <x:c r="AL445" s="9" t="str">
        <x:v>GR00T visual only Results</x:v>
      </x:c>
      <x:c r="AM445" s="9" t="n">
        <x:v>145</x:v>
      </x:c>
      <x:c r="AN445" s="9" t="n">
        <x:v>145</x:v>
      </x:c>
    </x:row>
    <x:row r="446">
      <x:c r="A446" s="9" t="str">
        <x:v>Failure</x:v>
      </x:c>
      <x:c r="B446" s="9" t="str">
        <x:v>Ordinal Reference Ordering</x:v>
      </x:c>
      <x:c r="C446" s="10" t="n">
        <x:v>144</x:v>
      </x:c>
      <x:c r="D446" s="9" t="str">
        <x:v>Pick up the object that is third from the right and place it in the bowl.</x:v>
      </x:c>
      <x:c r="E446" s="9" t="str">
        <x:v>L1: blue tape ball, L2: green highlighter</x:v>
      </x:c>
      <x:c r="F446" s="9" t="str">
        <x:v>None — requested ordinal does not exist</x:v>
      </x:c>
      <x:c r="G446" s="9" t="str">
        <x:v>picked the green highlighter</x:v>
      </x:c>
      <x:c r="H446" s="9" t="str">
        <x:v>Invalid ordinal / no-movement diagnostic</x:v>
      </x:c>
      <x:c r="I446" s="9" t="str">
        <x:v>NOOP-INV08</x:v>
      </x:c>
      <x:c r="J446" s="9" t="str">
        <x:v>Request ordinal 3 in an n=2 scene</x:v>
      </x:c>
      <x:c r="K446" s="9"/>
      <x:c r="L446" s="9"/>
      <x:c r="M446" s="9"/>
      <x:c r="N446" s="9" t="str">
        <x:v>6 — Invalid-ordinal no-movement pairs</x:v>
      </x:c>
      <x:c r="O446" s="9" t="str">
        <x:v>Build this new scene family exactly from the L1–L4 description and save a first-frame reference image.</x:v>
      </x:c>
      <x:c r="P446" s="9" t="str">
        <x:v>There is no valid referent. Success requires abstaining: do not grasp, displace, or place any object. Report this separately because training contains no explicit no-operation examples.</x:v>
      </x:c>
      <x:c r="Q446" s="9"/>
      <x:c r="R446" s="10" t="n">
        <x:v>2</x:v>
      </x:c>
      <x:c r="S446" s="10"/>
      <x:c r="T446" s="9"/>
      <x:c r="U446" s="9"/>
      <x:c r="V446" s="9"/>
      <x:c r="W446" s="9" t="str">
        <x:v>NOOP-INV08</x:v>
      </x:c>
      <x:c r="X446" s="10"/>
      <x:c r="Y446" s="10"/>
      <x:c r="Z446" s="9"/>
      <x:c r="AA446" s="9" t="str">
        <x:v>N/A</x:v>
      </x:c>
      <x:c r="AB446" s="9" t="str">
        <x:v>third from right</x:v>
      </x:c>
      <x:c r="AC446" s="9"/>
      <x:c r="AD446" s="9"/>
      <x:c r="AE446" s="9"/>
      <x:c r="AF446" s="9"/>
      <x:c r="AG446" s="9"/>
      <x:c r="AH446" s="9"/>
      <x:c r="AI446" s="11"/>
      <x:c r="AJ446" s="9"/>
      <x:c r="AK446" s="9" t="str">
        <x:v>Eval_Ordinal_Reference_Ordering.xlsm</x:v>
      </x:c>
      <x:c r="AL446" s="9" t="str">
        <x:v>GR00T visual only Results</x:v>
      </x:c>
      <x:c r="AM446" s="9" t="n">
        <x:v>146</x:v>
      </x:c>
      <x:c r="AN446" s="9" t="n">
        <x:v>146</x:v>
      </x:c>
    </x:row>
    <x:row r="447">
      <x:c r="A447" s="9" t="str">
        <x:v>Failure</x:v>
      </x:c>
      <x:c r="B447" s="9" t="str">
        <x:v>Ordinal Reference Ordering</x:v>
      </x:c>
      <x:c r="C447" s="10" t="n">
        <x:v>145</x:v>
      </x:c>
      <x:c r="D447" s="9" t="str">
        <x:v>Pick up the object that is third from the left and place it in the bowl.</x:v>
      </x:c>
      <x:c r="E447" s="9" t="str">
        <x:v>L1: blue tape ball, L2: green highlighter</x:v>
      </x:c>
      <x:c r="F447" s="9" t="str">
        <x:v>None — requested ordinal does not exist</x:v>
      </x:c>
      <x:c r="G447" s="9" t="str">
        <x:v>tried to pick the green highlighter but couldn't</x:v>
      </x:c>
      <x:c r="H447" s="9" t="str">
        <x:v>Invalid ordinal / no-movement diagnostic</x:v>
      </x:c>
      <x:c r="I447" s="9" t="str">
        <x:v>NOOP-INV08</x:v>
      </x:c>
      <x:c r="J447" s="9" t="str">
        <x:v>Request ordinal 3 in an n=2 scene</x:v>
      </x:c>
      <x:c r="K447" s="9" t="n">
        <x:v>144</x:v>
      </x:c>
      <x:c r="L447" s="9"/>
      <x:c r="M447" s="9"/>
      <x:c r="N447" s="9" t="str">
        <x:v>6 — Invalid-ordinal no-movement pairs</x:v>
      </x:c>
      <x:c r="O447" s="9" t="str">
        <x:v>Keep the exact scene unchanged; switch only the impossible ordinal prompt.</x:v>
      </x:c>
      <x:c r="P447" s="9" t="str">
        <x:v>There is no valid referent. Success requires abstaining: do not grasp, displace, or place any object. Report this separately because training contains no explicit no-operation examples.</x:v>
      </x:c>
      <x:c r="Q447" s="9"/>
      <x:c r="R447" s="10" t="n">
        <x:v>2</x:v>
      </x:c>
      <x:c r="S447" s="10"/>
      <x:c r="T447" s="9"/>
      <x:c r="U447" s="9"/>
      <x:c r="V447" s="9"/>
      <x:c r="W447" s="9" t="str">
        <x:v>NOOP-INV08</x:v>
      </x:c>
      <x:c r="X447" s="10"/>
      <x:c r="Y447" s="10"/>
      <x:c r="Z447" s="9"/>
      <x:c r="AA447" s="9" t="str">
        <x:v>N/A</x:v>
      </x:c>
      <x:c r="AB447" s="9" t="str">
        <x:v>third from left</x:v>
      </x:c>
      <x:c r="AC447" s="9"/>
      <x:c r="AD447" s="9"/>
      <x:c r="AE447" s="9"/>
      <x:c r="AF447" s="9"/>
      <x:c r="AG447" s="9"/>
      <x:c r="AH447" s="9"/>
      <x:c r="AI447" s="11"/>
      <x:c r="AJ447" s="9"/>
      <x:c r="AK447" s="9" t="str">
        <x:v>Eval_Ordinal_Reference_Ordering.xlsm</x:v>
      </x:c>
      <x:c r="AL447" s="9" t="str">
        <x:v>GR00T visual only Results</x:v>
      </x:c>
      <x:c r="AM447" s="9" t="n">
        <x:v>147</x:v>
      </x:c>
      <x:c r="AN447" s="9" t="n">
        <x:v>147</x:v>
      </x:c>
    </x:row>
    <x:row r="448">
      <x:c r="A448" s="9" t="str">
        <x:v>Failure</x:v>
      </x:c>
      <x:c r="B448" s="9" t="str">
        <x:v>Ordinal Reference Ordering</x:v>
      </x:c>
      <x:c r="C448" s="10" t="n">
        <x:v>146</x:v>
      </x:c>
      <x:c r="D448" s="9" t="str">
        <x:v>Pick up the object that is third from the left and place it in the bowl.</x:v>
      </x:c>
      <x:c r="E448" s="9" t="str">
        <x:v>L1: yellow pen, L2: airplane toy with propellers</x:v>
      </x:c>
      <x:c r="F448" s="9" t="str">
        <x:v>None — requested ordinal does not exist</x:v>
      </x:c>
      <x:c r="G448" s="9" t="str">
        <x:v>picked airplane toy</x:v>
      </x:c>
      <x:c r="H448" s="9" t="str">
        <x:v>Invalid ordinal / no-movement diagnostic</x:v>
      </x:c>
      <x:c r="I448" s="9" t="str">
        <x:v>NOOP-INV09</x:v>
      </x:c>
      <x:c r="J448" s="9" t="str">
        <x:v>Request ordinal 3 in an n=2 scene</x:v>
      </x:c>
      <x:c r="K448" s="9"/>
      <x:c r="L448" s="9"/>
      <x:c r="M448" s="9"/>
      <x:c r="N448" s="9" t="str">
        <x:v>6 — Invalid-ordinal no-movement pairs</x:v>
      </x:c>
      <x:c r="O448" s="9" t="str">
        <x:v>Build this new scene family exactly from the L1–L4 description and save a first-frame reference image.</x:v>
      </x:c>
      <x:c r="P448" s="9" t="str">
        <x:v>There is no valid referent. Success requires abstaining: do not grasp, displace, or place any object. Report this separately because training contains no explicit no-operation examples.</x:v>
      </x:c>
      <x:c r="Q448" s="9"/>
      <x:c r="R448" s="10" t="n">
        <x:v>2</x:v>
      </x:c>
      <x:c r="S448" s="10"/>
      <x:c r="T448" s="9"/>
      <x:c r="U448" s="9"/>
      <x:c r="V448" s="9"/>
      <x:c r="W448" s="9" t="str">
        <x:v>NOOP-INV09</x:v>
      </x:c>
      <x:c r="X448" s="10"/>
      <x:c r="Y448" s="10"/>
      <x:c r="Z448" s="9"/>
      <x:c r="AA448" s="9" t="str">
        <x:v>N/A</x:v>
      </x:c>
      <x:c r="AB448" s="9" t="str">
        <x:v>third from left</x:v>
      </x:c>
      <x:c r="AC448" s="9"/>
      <x:c r="AD448" s="9"/>
      <x:c r="AE448" s="9"/>
      <x:c r="AF448" s="9"/>
      <x:c r="AG448" s="9"/>
      <x:c r="AH448" s="9"/>
      <x:c r="AI448" s="11"/>
      <x:c r="AJ448" s="9"/>
      <x:c r="AK448" s="9" t="str">
        <x:v>Eval_Ordinal_Reference_Ordering.xlsm</x:v>
      </x:c>
      <x:c r="AL448" s="9" t="str">
        <x:v>GR00T visual only Results</x:v>
      </x:c>
      <x:c r="AM448" s="9" t="n">
        <x:v>148</x:v>
      </x:c>
      <x:c r="AN448" s="9" t="n">
        <x:v>148</x:v>
      </x:c>
    </x:row>
    <x:row r="449">
      <x:c r="A449" s="9" t="str">
        <x:v>Failure</x:v>
      </x:c>
      <x:c r="B449" s="9" t="str">
        <x:v>Ordinal Reference Ordering</x:v>
      </x:c>
      <x:c r="C449" s="10" t="n">
        <x:v>147</x:v>
      </x:c>
      <x:c r="D449" s="9" t="str">
        <x:v>Pick up the object that is third from the right and place it in the bowl.</x:v>
      </x:c>
      <x:c r="E449" s="9" t="str">
        <x:v>L1: yellow pen, L2: airplane toy with propellers</x:v>
      </x:c>
      <x:c r="F449" s="9" t="str">
        <x:v>None — requested ordinal does not exist</x:v>
      </x:c>
      <x:c r="G449" s="9" t="str">
        <x:v>picked yellow pen</x:v>
      </x:c>
      <x:c r="H449" s="9" t="str">
        <x:v>Invalid ordinal / no-movement diagnostic</x:v>
      </x:c>
      <x:c r="I449" s="9" t="str">
        <x:v>NOOP-INV09</x:v>
      </x:c>
      <x:c r="J449" s="9" t="str">
        <x:v>Request ordinal 3 in an n=2 scene</x:v>
      </x:c>
      <x:c r="K449" s="9" t="n">
        <x:v>146</x:v>
      </x:c>
      <x:c r="L449" s="9"/>
      <x:c r="M449" s="9"/>
      <x:c r="N449" s="9" t="str">
        <x:v>6 — Invalid-ordinal no-movement pairs</x:v>
      </x:c>
      <x:c r="O449" s="9" t="str">
        <x:v>Keep the exact scene unchanged; switch only the impossible ordinal prompt.</x:v>
      </x:c>
      <x:c r="P449" s="9" t="str">
        <x:v>There is no valid referent. Success requires abstaining: do not grasp, displace, or place any object. Report this separately because training contains no explicit no-operation examples.</x:v>
      </x:c>
      <x:c r="Q449" s="9"/>
      <x:c r="R449" s="10" t="n">
        <x:v>2</x:v>
      </x:c>
      <x:c r="S449" s="10"/>
      <x:c r="T449" s="9"/>
      <x:c r="U449" s="9"/>
      <x:c r="V449" s="9"/>
      <x:c r="W449" s="9" t="str">
        <x:v>NOOP-INV09</x:v>
      </x:c>
      <x:c r="X449" s="10"/>
      <x:c r="Y449" s="10"/>
      <x:c r="Z449" s="9"/>
      <x:c r="AA449" s="9" t="str">
        <x:v>N/A</x:v>
      </x:c>
      <x:c r="AB449" s="9" t="str">
        <x:v>third from right</x:v>
      </x:c>
      <x:c r="AC449" s="9"/>
      <x:c r="AD449" s="9"/>
      <x:c r="AE449" s="9"/>
      <x:c r="AF449" s="9"/>
      <x:c r="AG449" s="9"/>
      <x:c r="AH449" s="9"/>
      <x:c r="AI449" s="11"/>
      <x:c r="AJ449" s="9"/>
      <x:c r="AK449" s="9" t="str">
        <x:v>Eval_Ordinal_Reference_Ordering.xlsm</x:v>
      </x:c>
      <x:c r="AL449" s="9" t="str">
        <x:v>GR00T visual only Results</x:v>
      </x:c>
      <x:c r="AM449" s="9" t="n">
        <x:v>149</x:v>
      </x:c>
      <x:c r="AN449" s="9" t="n">
        <x:v>149</x:v>
      </x:c>
    </x:row>
    <x:row r="450">
      <x:c r="A450" s="9" t="str">
        <x:v>Failure</x:v>
      </x:c>
      <x:c r="B450" s="9" t="str">
        <x:v>Ordinal Reference Ordering</x:v>
      </x:c>
      <x:c r="C450" s="10" t="n">
        <x:v>148</x:v>
      </x:c>
      <x:c r="D450" s="9" t="str">
        <x:v>Pick up the object that is third from the right and place it in the bowl.</x:v>
      </x:c>
      <x:c r="E450" s="9" t="str">
        <x:v>L1: airplane toy with propellers, L2: green highlighter</x:v>
      </x:c>
      <x:c r="F450" s="9" t="str">
        <x:v>None — requested ordinal does not exist</x:v>
      </x:c>
      <x:c r="G450" s="9" t="str">
        <x:v>picked the airplane toy</x:v>
      </x:c>
      <x:c r="H450" s="9" t="str">
        <x:v>Invalid ordinal / no-movement diagnostic</x:v>
      </x:c>
      <x:c r="I450" s="9" t="str">
        <x:v>NOOP-INV10</x:v>
      </x:c>
      <x:c r="J450" s="9" t="str">
        <x:v>Request ordinal 3 in an n=2 scene</x:v>
      </x:c>
      <x:c r="K450" s="9"/>
      <x:c r="L450" s="9"/>
      <x:c r="M450" s="9"/>
      <x:c r="N450" s="9" t="str">
        <x:v>6 — Invalid-ordinal no-movement pairs</x:v>
      </x:c>
      <x:c r="O450" s="9" t="str">
        <x:v>Build this new scene family exactly from the L1–L4 description and save a first-frame reference image.</x:v>
      </x:c>
      <x:c r="P450" s="9" t="str">
        <x:v>There is no valid referent. Success requires abstaining: do not grasp, displace, or place any object. Report this separately because training contains no explicit no-operation examples.</x:v>
      </x:c>
      <x:c r="Q450" s="9"/>
      <x:c r="R450" s="10" t="n">
        <x:v>2</x:v>
      </x:c>
      <x:c r="S450" s="10"/>
      <x:c r="T450" s="9"/>
      <x:c r="U450" s="9"/>
      <x:c r="V450" s="9"/>
      <x:c r="W450" s="9" t="str">
        <x:v>NOOP-INV10</x:v>
      </x:c>
      <x:c r="X450" s="10"/>
      <x:c r="Y450" s="10"/>
      <x:c r="Z450" s="9"/>
      <x:c r="AA450" s="9" t="str">
        <x:v>N/A</x:v>
      </x:c>
      <x:c r="AB450" s="9" t="str">
        <x:v>third from right</x:v>
      </x:c>
      <x:c r="AC450" s="9"/>
      <x:c r="AD450" s="9"/>
      <x:c r="AE450" s="9"/>
      <x:c r="AF450" s="9"/>
      <x:c r="AG450" s="9"/>
      <x:c r="AH450" s="9"/>
      <x:c r="AI450" s="11"/>
      <x:c r="AJ450" s="9"/>
      <x:c r="AK450" s="9" t="str">
        <x:v>Eval_Ordinal_Reference_Ordering.xlsm</x:v>
      </x:c>
      <x:c r="AL450" s="9" t="str">
        <x:v>GR00T visual only Results</x:v>
      </x:c>
      <x:c r="AM450" s="9" t="n">
        <x:v>150</x:v>
      </x:c>
      <x:c r="AN450" s="9" t="n">
        <x:v>150</x:v>
      </x:c>
    </x:row>
    <x:row r="451">
      <x:c r="A451" s="9" t="str">
        <x:v>Failure</x:v>
      </x:c>
      <x:c r="B451" s="9" t="str">
        <x:v>Ordinal Reference Ordering</x:v>
      </x:c>
      <x:c r="C451" s="10" t="n">
        <x:v>149</x:v>
      </x:c>
      <x:c r="D451" s="9" t="str">
        <x:v>Pick up the object that is third from the left and place it in the bowl.</x:v>
      </x:c>
      <x:c r="E451" s="9" t="str">
        <x:v>L1: airplane toy with propellers, L2: green highlighter</x:v>
      </x:c>
      <x:c r="F451" s="9" t="str">
        <x:v>None — requested ordinal does not exist</x:v>
      </x:c>
      <x:c r="G451" s="9" t="str">
        <x:v>tried to pick airplane toy; then picked the green highlighter</x:v>
      </x:c>
      <x:c r="H451" s="9" t="str">
        <x:v>Invalid ordinal / no-movement diagnostic</x:v>
      </x:c>
      <x:c r="I451" s="9" t="str">
        <x:v>NOOP-INV10</x:v>
      </x:c>
      <x:c r="J451" s="9" t="str">
        <x:v>Request ordinal 3 in an n=2 scene</x:v>
      </x:c>
      <x:c r="K451" s="9" t="n">
        <x:v>148</x:v>
      </x:c>
      <x:c r="L451" s="9"/>
      <x:c r="M451" s="9"/>
      <x:c r="N451" s="9" t="str">
        <x:v>6 — Invalid-ordinal no-movement pairs</x:v>
      </x:c>
      <x:c r="O451" s="9" t="str">
        <x:v>Keep the exact scene unchanged; switch only the impossible ordinal prompt.</x:v>
      </x:c>
      <x:c r="P451" s="9" t="str">
        <x:v>There is no valid referent. Success requires abstaining: do not grasp, displace, or place any object. Report this separately because training contains no explicit no-operation examples.</x:v>
      </x:c>
      <x:c r="Q451" s="9"/>
      <x:c r="R451" s="10" t="n">
        <x:v>2</x:v>
      </x:c>
      <x:c r="S451" s="10"/>
      <x:c r="T451" s="9"/>
      <x:c r="U451" s="9"/>
      <x:c r="V451" s="9"/>
      <x:c r="W451" s="9" t="str">
        <x:v>NOOP-INV10</x:v>
      </x:c>
      <x:c r="X451" s="10"/>
      <x:c r="Y451" s="10"/>
      <x:c r="Z451" s="9"/>
      <x:c r="AA451" s="9" t="str">
        <x:v>N/A</x:v>
      </x:c>
      <x:c r="AB451" s="9" t="str">
        <x:v>third from left</x:v>
      </x:c>
      <x:c r="AC451" s="9"/>
      <x:c r="AD451" s="9"/>
      <x:c r="AE451" s="9"/>
      <x:c r="AF451" s="9"/>
      <x:c r="AG451" s="9"/>
      <x:c r="AH451" s="9"/>
      <x:c r="AI451" s="11"/>
      <x:c r="AJ451" s="9"/>
      <x:c r="AK451" s="9" t="str">
        <x:v>Eval_Ordinal_Reference_Ordering.xlsm</x:v>
      </x:c>
      <x:c r="AL451" s="9" t="str">
        <x:v>GR00T visual only Results</x:v>
      </x:c>
      <x:c r="AM451" s="9" t="n">
        <x:v>151</x:v>
      </x:c>
      <x:c r="AN451" s="9" t="n">
        <x:v>151</x:v>
      </x:c>
    </x:row>
    <x:row r="452">
      <x:c r="A452" s="9" t="str">
        <x:v>Failure</x:v>
      </x:c>
      <x:c r="B452" s="9" t="str">
        <x:v>Relational Placement</x:v>
      </x:c>
      <x:c r="C452" s="10" t="n">
        <x:v>0</x:v>
      </x:c>
      <x:c r="D452" s="9" t="str">
        <x:v>Move the green pen to the front of the pink marker.</x:v>
      </x:c>
      <x:c r="E452" s="9" t="str">
        <x:v>green pen, pink marker, red block</x:v>
      </x:c>
      <x:c r="F452" s="9" t="str">
        <x:v>green pen → 2–8 cm edge gap in front of pink marker; centroid direction within ±45°.</x:v>
      </x:c>
      <x:c r="G452" s="9" t="str">
        <x:v>moved the green pen in front of the pink marker, but didn't let go of it; success reasoning</x:v>
      </x:c>
      <x:c r="H452" s="9" t="str">
        <x:v>In-distribution concept baseline</x:v>
      </x:c>
      <x:c r="I452" s="9" t="str">
        <x:v>RP-ID-CF01</x:v>
      </x:c>
      <x:c r="J452" s="9" t="str">
        <x:v>Four-way trained-cell counterfactual: front/behind polarity × target/reference role</x:v>
      </x:c>
      <x:c r="K452" s="9"/>
      <x:c r="L452" s="9" t="str">
        <x:v>204</x:v>
      </x:c>
      <x:c r="M452" s="9"/>
      <x:c r="N452" s="9"/>
      <x:c r="O452" s="9" t="str">
        <x:v>Build the listed neutral scene and save the first frame.</x:v>
      </x:c>
      <x:c r="P452" s="9" t="str">
        <x:v>Exact explicitly trained ordered relation-object cell from training episode 204. The four adjacent prompts share one initially unsatisfied scene.</x:v>
      </x:c>
      <x:c r="Q452" s="9"/>
      <x:c r="R452" s="10" t="n">
        <x:v>3</x:v>
      </x:c>
      <x:c r="S452" s="10"/>
      <x:c r="T452" s="9"/>
      <x:c r="U452" s="9"/>
      <x:c r="V452" s="9"/>
      <x:c r="W452" s="9"/>
      <x:c r="X452" s="10"/>
      <x:c r="Y452" s="10"/>
      <x:c r="Z452" s="9"/>
      <x:c r="AA452" s="9"/>
      <x:c r="AB452" s="9"/>
      <x:c r="AC452" s="9" t="str">
        <x:v>front</x:v>
      </x:c>
      <x:c r="AD452" s="9" t="str">
        <x:v>green pen</x:v>
      </x:c>
      <x:c r="AE452" s="9" t="str">
        <x:v>pink marker</x:v>
      </x:c>
      <x:c r="AF452" s="9" t="str">
        <x:v>None</x:v>
      </x:c>
      <x:c r="AG452" s="9"/>
      <x:c r="AH452" s="9"/>
      <x:c r="AI452" s="11"/>
      <x:c r="AJ452" s="9"/>
      <x:c r="AK452" s="9" t="str">
        <x:v>Eval_Relational_Placement (1).xlsm</x:v>
      </x:c>
      <x:c r="AL452" s="9" t="str">
        <x:v>GR00T vision-only Results</x:v>
      </x:c>
      <x:c r="AM452" s="9" t="n">
        <x:v>2</x:v>
      </x:c>
      <x:c r="AN452" s="9" t="n">
        <x:v>2</x:v>
      </x:c>
    </x:row>
    <x:row r="453">
      <x:c r="A453" s="9" t="str">
        <x:v>Failure</x:v>
      </x:c>
      <x:c r="B453" s="9" t="str">
        <x:v>Relational Placement</x:v>
      </x:c>
      <x:c r="C453" s="10" t="n">
        <x:v>1</x:v>
      </x:c>
      <x:c r="D453" s="9" t="str">
        <x:v>Move the green pen to the back of the pink marker.</x:v>
      </x:c>
      <x:c r="E453" s="9" t="str">
        <x:v>green pen, pink marker, red block</x:v>
      </x:c>
      <x:c r="F453" s="9" t="str">
        <x:v>green pen → 2–8 cm edge gap behind pink marker; centroid direction within ±45°.</x:v>
      </x:c>
      <x:c r="G453" s="9" t="str">
        <x:v>went to the green pen 2 times before grabbing it. Did end up moving it to the back of the pink pen, but didn't let go. Successful reasoning</x:v>
      </x:c>
      <x:c r="H453" s="9" t="str">
        <x:v>In-distribution concept baseline</x:v>
      </x:c>
      <x:c r="I453" s="9" t="str">
        <x:v>RP-ID-CF01</x:v>
      </x:c>
      <x:c r="J453" s="9" t="str">
        <x:v>Four-way trained-cell counterfactual: front/behind polarity × target/reference role</x:v>
      </x:c>
      <x:c r="K453" s="9" t="n">
        <x:v>0</x:v>
      </x:c>
      <x:c r="L453" s="9" t="str">
        <x:v>217</x:v>
      </x:c>
      <x:c r="M453" s="9"/>
      <x:c r="N453" s="9"/>
      <x:c r="O453" s="9" t="str">
        <x:v>Reset the moved object to its marked pose; preserve the exact scene and change only the instruction.</x:v>
      </x:c>
      <x:c r="P453" s="9" t="str">
        <x:v>Exact explicitly trained ordered relation-object cell from training episode 217. The four adjacent prompts share one initially unsatisfied scene.</x:v>
      </x:c>
      <x:c r="Q453" s="9"/>
      <x:c r="R453" s="10" t="n">
        <x:v>3</x:v>
      </x:c>
      <x:c r="S453" s="10"/>
      <x:c r="T453" s="9"/>
      <x:c r="U453" s="9"/>
      <x:c r="V453" s="9"/>
      <x:c r="W453" s="9"/>
      <x:c r="X453" s="10"/>
      <x:c r="Y453" s="10"/>
      <x:c r="Z453" s="9"/>
      <x:c r="AA453" s="9"/>
      <x:c r="AB453" s="9"/>
      <x:c r="AC453" s="9" t="str">
        <x:v>behind</x:v>
      </x:c>
      <x:c r="AD453" s="9" t="str">
        <x:v>green pen</x:v>
      </x:c>
      <x:c r="AE453" s="9" t="str">
        <x:v>pink marker</x:v>
      </x:c>
      <x:c r="AF453" s="9" t="str">
        <x:v>None</x:v>
      </x:c>
      <x:c r="AG453" s="9"/>
      <x:c r="AH453" s="9"/>
      <x:c r="AI453" s="11"/>
      <x:c r="AJ453" s="9"/>
      <x:c r="AK453" s="9" t="str">
        <x:v>Eval_Relational_Placement (1).xlsm</x:v>
      </x:c>
      <x:c r="AL453" s="9" t="str">
        <x:v>GR00T vision-only Results</x:v>
      </x:c>
      <x:c r="AM453" s="9" t="n">
        <x:v>3</x:v>
      </x:c>
      <x:c r="AN453" s="9" t="n">
        <x:v>3</x:v>
      </x:c>
    </x:row>
    <x:row r="454">
      <x:c r="A454" s="9" t="str">
        <x:v>Success</x:v>
      </x:c>
      <x:c r="B454" s="9" t="str">
        <x:v>Relational Placement</x:v>
      </x:c>
      <x:c r="C454" s="10" t="n">
        <x:v>2</x:v>
      </x:c>
      <x:c r="D454" s="9" t="str">
        <x:v>Move the pink marker to the front of the green pen.</x:v>
      </x:c>
      <x:c r="E454" s="9" t="str">
        <x:v>green pen, pink marker, red block</x:v>
      </x:c>
      <x:c r="F454" s="9" t="str">
        <x:v>pink marker → 2–8 cm edge gap in front of green pen; centroid direction within ±45°.</x:v>
      </x:c>
      <x:c r="G454" s="9" t="str">
        <x:v>went to the green pen 2 times before grabbing it. Did end up moving it to the back of the pink pen, but didn't let go. Successful reasoning</x:v>
      </x:c>
      <x:c r="H454" s="9" t="str">
        <x:v>In-distribution concept baseline</x:v>
      </x:c>
      <x:c r="I454" s="9" t="str">
        <x:v>RP-ID-CF01</x:v>
      </x:c>
      <x:c r="J454" s="9" t="str">
        <x:v>Four-way trained-cell counterfactual: front/behind polarity × target/reference role</x:v>
      </x:c>
      <x:c r="K454" s="9" t="n">
        <x:v>0</x:v>
      </x:c>
      <x:c r="L454" s="9" t="str">
        <x:v>305</x:v>
      </x:c>
      <x:c r="M454" s="9"/>
      <x:c r="N454" s="9"/>
      <x:c r="O454" s="9" t="str">
        <x:v>Reset the moved object to its marked pose; preserve the exact scene and change only the instruction.</x:v>
      </x:c>
      <x:c r="P454" s="9" t="str">
        <x:v>Exact explicitly trained ordered relation-object cell from training episode 305. The four adjacent prompts share one initially unsatisfied scene.</x:v>
      </x:c>
      <x:c r="Q454" s="9"/>
      <x:c r="R454" s="10" t="n">
        <x:v>3</x:v>
      </x:c>
      <x:c r="S454" s="10"/>
      <x:c r="T454" s="9"/>
      <x:c r="U454" s="9"/>
      <x:c r="V454" s="9"/>
      <x:c r="W454" s="9"/>
      <x:c r="X454" s="10"/>
      <x:c r="Y454" s="10"/>
      <x:c r="Z454" s="9"/>
      <x:c r="AA454" s="9"/>
      <x:c r="AB454" s="9"/>
      <x:c r="AC454" s="9" t="str">
        <x:v>front</x:v>
      </x:c>
      <x:c r="AD454" s="9" t="str">
        <x:v>pink marker</x:v>
      </x:c>
      <x:c r="AE454" s="9" t="str">
        <x:v>green pen</x:v>
      </x:c>
      <x:c r="AF454" s="9" t="str">
        <x:v>None</x:v>
      </x:c>
      <x:c r="AG454" s="9"/>
      <x:c r="AH454" s="9"/>
      <x:c r="AI454" s="11"/>
      <x:c r="AJ454" s="9"/>
      <x:c r="AK454" s="9" t="str">
        <x:v>Eval_Relational_Placement (1).xlsm</x:v>
      </x:c>
      <x:c r="AL454" s="9" t="str">
        <x:v>GR00T vision-only Results</x:v>
      </x:c>
      <x:c r="AM454" s="9" t="n">
        <x:v>4</x:v>
      </x:c>
      <x:c r="AN454" s="9" t="n">
        <x:v>4</x:v>
      </x:c>
    </x:row>
    <x:row r="455">
      <x:c r="A455" s="9" t="str">
        <x:v>Failure</x:v>
      </x:c>
      <x:c r="B455" s="9" t="str">
        <x:v>Relational Placement</x:v>
      </x:c>
      <x:c r="C455" s="10" t="n">
        <x:v>3</x:v>
      </x:c>
      <x:c r="D455" s="9" t="str">
        <x:v>Move the pink marker to the back of the green pen.</x:v>
      </x:c>
      <x:c r="E455" s="9" t="str">
        <x:v>green pen, pink marker, red block</x:v>
      </x:c>
      <x:c r="F455" s="9" t="str">
        <x:v>pink marker → 2–8 cm edge gap behind green pen; centroid direction within ±45°.</x:v>
      </x:c>
      <x:c r="G455" s="9" t="str">
        <x:v>moved pink marker more towards the back of the red block</x:v>
      </x:c>
      <x:c r="H455" s="9" t="str">
        <x:v>In-distribution concept baseline</x:v>
      </x:c>
      <x:c r="I455" s="9" t="str">
        <x:v>RP-ID-CF01</x:v>
      </x:c>
      <x:c r="J455" s="9" t="str">
        <x:v>Four-way trained-cell counterfactual: front/behind polarity × target/reference role</x:v>
      </x:c>
      <x:c r="K455" s="9" t="n">
        <x:v>0</x:v>
      </x:c>
      <x:c r="L455" s="9" t="str">
        <x:v>317</x:v>
      </x:c>
      <x:c r="M455" s="9"/>
      <x:c r="N455" s="9"/>
      <x:c r="O455" s="9" t="str">
        <x:v>Reset the moved object to its marked pose; preserve the exact scene and change only the instruction.</x:v>
      </x:c>
      <x:c r="P455" s="9" t="str">
        <x:v>Exact explicitly trained ordered relation-object cell from training episode 317. The four adjacent prompts share one initially unsatisfied scene.</x:v>
      </x:c>
      <x:c r="Q455" s="9"/>
      <x:c r="R455" s="10" t="n">
        <x:v>3</x:v>
      </x:c>
      <x:c r="S455" s="10"/>
      <x:c r="T455" s="9"/>
      <x:c r="U455" s="9"/>
      <x:c r="V455" s="9"/>
      <x:c r="W455" s="9"/>
      <x:c r="X455" s="10"/>
      <x:c r="Y455" s="10"/>
      <x:c r="Z455" s="9"/>
      <x:c r="AA455" s="9"/>
      <x:c r="AB455" s="9"/>
      <x:c r="AC455" s="9" t="str">
        <x:v>behind</x:v>
      </x:c>
      <x:c r="AD455" s="9" t="str">
        <x:v>pink marker</x:v>
      </x:c>
      <x:c r="AE455" s="9" t="str">
        <x:v>green pen</x:v>
      </x:c>
      <x:c r="AF455" s="9" t="str">
        <x:v>None</x:v>
      </x:c>
      <x:c r="AG455" s="9"/>
      <x:c r="AH455" s="9"/>
      <x:c r="AI455" s="11"/>
      <x:c r="AJ455" s="9"/>
      <x:c r="AK455" s="9" t="str">
        <x:v>Eval_Relational_Placement (1).xlsm</x:v>
      </x:c>
      <x:c r="AL455" s="9" t="str">
        <x:v>GR00T vision-only Results</x:v>
      </x:c>
      <x:c r="AM455" s="9" t="n">
        <x:v>5</x:v>
      </x:c>
      <x:c r="AN455" s="9" t="n">
        <x:v>5</x:v>
      </x:c>
    </x:row>
    <x:row r="456">
      <x:c r="A456" s="9" t="str">
        <x:v>Success</x:v>
      </x:c>
      <x:c r="B456" s="9" t="str">
        <x:v>Relational Placement</x:v>
      </x:c>
      <x:c r="C456" s="10" t="n">
        <x:v>4</x:v>
      </x:c>
      <x:c r="D456" s="9" t="str">
        <x:v>Move the green pen to the front of the blue block.</x:v>
      </x:c>
      <x:c r="E456" s="9" t="str">
        <x:v>green pen, blue block, pink marker, red block</x:v>
      </x:c>
      <x:c r="F456" s="9" t="str">
        <x:v>green pen → 2–8 cm edge gap in front of blue block; centroid direction within ±45°.</x:v>
      </x:c>
      <x:c r="G456" s="9"/>
      <x:c r="H456" s="9" t="str">
        <x:v>In-distribution concept baseline</x:v>
      </x:c>
      <x:c r="I456" s="9" t="str">
        <x:v>RP-ID-CF02</x:v>
      </x:c>
      <x:c r="J456" s="9" t="str">
        <x:v>Four-way trained-cell counterfactual: front/behind polarity × target/reference role</x:v>
      </x:c>
      <x:c r="K456" s="9"/>
      <x:c r="L456" s="9" t="str">
        <x:v>208</x:v>
      </x:c>
      <x:c r="M456" s="9"/>
      <x:c r="N456" s="9"/>
      <x:c r="O456" s="9" t="str">
        <x:v>Build the listed neutral scene and save the first frame.</x:v>
      </x:c>
      <x:c r="P456" s="9" t="str">
        <x:v>Exact explicitly trained ordered relation-object cell from training episode 208. The four adjacent prompts share one initially unsatisfied scene.</x:v>
      </x:c>
      <x:c r="Q456" s="9"/>
      <x:c r="R456" s="10" t="n">
        <x:v>4</x:v>
      </x:c>
      <x:c r="S456" s="10"/>
      <x:c r="T456" s="9"/>
      <x:c r="U456" s="9"/>
      <x:c r="V456" s="9"/>
      <x:c r="W456" s="9"/>
      <x:c r="X456" s="10"/>
      <x:c r="Y456" s="10"/>
      <x:c r="Z456" s="9"/>
      <x:c r="AA456" s="9"/>
      <x:c r="AB456" s="9"/>
      <x:c r="AC456" s="9" t="str">
        <x:v>front</x:v>
      </x:c>
      <x:c r="AD456" s="9" t="str">
        <x:v>green pen</x:v>
      </x:c>
      <x:c r="AE456" s="9" t="str">
        <x:v>blue block</x:v>
      </x:c>
      <x:c r="AF456" s="9" t="str">
        <x:v>None</x:v>
      </x:c>
      <x:c r="AG456" s="9"/>
      <x:c r="AH456" s="9"/>
      <x:c r="AI456" s="11"/>
      <x:c r="AJ456" s="9"/>
      <x:c r="AK456" s="9" t="str">
        <x:v>Eval_Relational_Placement (1).xlsm</x:v>
      </x:c>
      <x:c r="AL456" s="9" t="str">
        <x:v>GR00T vision-only Results</x:v>
      </x:c>
      <x:c r="AM456" s="9" t="n">
        <x:v>6</x:v>
      </x:c>
      <x:c r="AN456" s="9" t="n">
        <x:v>6</x:v>
      </x:c>
    </x:row>
    <x:row r="457">
      <x:c r="A457" s="9" t="str">
        <x:v>Failure</x:v>
      </x:c>
      <x:c r="B457" s="9" t="str">
        <x:v>Relational Placement</x:v>
      </x:c>
      <x:c r="C457" s="10" t="n">
        <x:v>5</x:v>
      </x:c>
      <x:c r="D457" s="9" t="str">
        <x:v>Move the green pen to the back of the blue block.</x:v>
      </x:c>
      <x:c r="E457" s="9" t="str">
        <x:v>green pen, blue block, pink marker, red block</x:v>
      </x:c>
      <x:c r="F457" s="9" t="str">
        <x:v>green pen → 2–8 cm edge gap behind blue block; centroid direction within ±45°.</x:v>
      </x:c>
      <x:c r="G457" s="9" t="str">
        <x:v>put the green pen on top of the blue block, then didn't let go of the green pen</x:v>
      </x:c>
      <x:c r="H457" s="9" t="str">
        <x:v>In-distribution concept baseline</x:v>
      </x:c>
      <x:c r="I457" s="9" t="str">
        <x:v>RP-ID-CF02</x:v>
      </x:c>
      <x:c r="J457" s="9" t="str">
        <x:v>Four-way trained-cell counterfactual: front/behind polarity × target/reference role</x:v>
      </x:c>
      <x:c r="K457" s="9" t="n">
        <x:v>4</x:v>
      </x:c>
      <x:c r="L457" s="9" t="str">
        <x:v>221</x:v>
      </x:c>
      <x:c r="M457" s="9"/>
      <x:c r="N457" s="9"/>
      <x:c r="O457" s="9" t="str">
        <x:v>Reset the moved object to its marked pose; preserve the exact scene and change only the instruction.</x:v>
      </x:c>
      <x:c r="P457" s="9" t="str">
        <x:v>Exact explicitly trained ordered relation-object cell from training episode 221. The four adjacent prompts share one initially unsatisfied scene.</x:v>
      </x:c>
      <x:c r="Q457" s="9"/>
      <x:c r="R457" s="10" t="n">
        <x:v>4</x:v>
      </x:c>
      <x:c r="S457" s="10"/>
      <x:c r="T457" s="9"/>
      <x:c r="U457" s="9"/>
      <x:c r="V457" s="9"/>
      <x:c r="W457" s="9"/>
      <x:c r="X457" s="10"/>
      <x:c r="Y457" s="10"/>
      <x:c r="Z457" s="9"/>
      <x:c r="AA457" s="9"/>
      <x:c r="AB457" s="9"/>
      <x:c r="AC457" s="9" t="str">
        <x:v>behind</x:v>
      </x:c>
      <x:c r="AD457" s="9" t="str">
        <x:v>green pen</x:v>
      </x:c>
      <x:c r="AE457" s="9" t="str">
        <x:v>blue block</x:v>
      </x:c>
      <x:c r="AF457" s="9" t="str">
        <x:v>None</x:v>
      </x:c>
      <x:c r="AG457" s="9"/>
      <x:c r="AH457" s="9"/>
      <x:c r="AI457" s="11"/>
      <x:c r="AJ457" s="9"/>
      <x:c r="AK457" s="9" t="str">
        <x:v>Eval_Relational_Placement (1).xlsm</x:v>
      </x:c>
      <x:c r="AL457" s="9" t="str">
        <x:v>GR00T vision-only Results</x:v>
      </x:c>
      <x:c r="AM457" s="9" t="n">
        <x:v>7</x:v>
      </x:c>
      <x:c r="AN457" s="9" t="n">
        <x:v>7</x:v>
      </x:c>
    </x:row>
    <x:row r="458">
      <x:c r="A458" s="9" t="str">
        <x:v>Success</x:v>
      </x:c>
      <x:c r="B458" s="9" t="str">
        <x:v>Relational Placement</x:v>
      </x:c>
      <x:c r="C458" s="10" t="n">
        <x:v>6</x:v>
      </x:c>
      <x:c r="D458" s="9" t="str">
        <x:v>Put the blue block on the table in front of the green pen.</x:v>
      </x:c>
      <x:c r="E458" s="9" t="str">
        <x:v>green pen, blue block, pink marker, red block</x:v>
      </x:c>
      <x:c r="F458" s="9" t="str">
        <x:v>blue block → 2–8 cm edge gap in front of green pen; centroid direction within ±45°.</x:v>
      </x:c>
      <x:c r="G458" s="9"/>
      <x:c r="H458" s="9" t="str">
        <x:v>In-distribution concept baseline</x:v>
      </x:c>
      <x:c r="I458" s="9" t="str">
        <x:v>RP-ID-CF02</x:v>
      </x:c>
      <x:c r="J458" s="9" t="str">
        <x:v>Four-way trained-cell counterfactual: front/behind polarity × target/reference role</x:v>
      </x:c>
      <x:c r="K458" s="9" t="n">
        <x:v>4</x:v>
      </x:c>
      <x:c r="L458" s="9" t="str">
        <x:v>350</x:v>
      </x:c>
      <x:c r="M458" s="9"/>
      <x:c r="N458" s="9"/>
      <x:c r="O458" s="9" t="str">
        <x:v>Reset the moved object to its marked pose; preserve the exact scene and change only the instruction.</x:v>
      </x:c>
      <x:c r="P458" s="9" t="str">
        <x:v>Exact explicitly trained ordered relation-object cell from training episode 350. The four adjacent prompts share one initially unsatisfied scene.</x:v>
      </x:c>
      <x:c r="Q458" s="9"/>
      <x:c r="R458" s="10" t="n">
        <x:v>4</x:v>
      </x:c>
      <x:c r="S458" s="10"/>
      <x:c r="T458" s="9"/>
      <x:c r="U458" s="9"/>
      <x:c r="V458" s="9"/>
      <x:c r="W458" s="9"/>
      <x:c r="X458" s="10"/>
      <x:c r="Y458" s="10"/>
      <x:c r="Z458" s="9"/>
      <x:c r="AA458" s="9"/>
      <x:c r="AB458" s="9"/>
      <x:c r="AC458" s="9" t="str">
        <x:v>front</x:v>
      </x:c>
      <x:c r="AD458" s="9" t="str">
        <x:v>blue block</x:v>
      </x:c>
      <x:c r="AE458" s="9" t="str">
        <x:v>green pen</x:v>
      </x:c>
      <x:c r="AF458" s="9" t="str">
        <x:v>None</x:v>
      </x:c>
      <x:c r="AG458" s="9"/>
      <x:c r="AH458" s="9"/>
      <x:c r="AI458" s="11"/>
      <x:c r="AJ458" s="9"/>
      <x:c r="AK458" s="9" t="str">
        <x:v>Eval_Relational_Placement (1).xlsm</x:v>
      </x:c>
      <x:c r="AL458" s="9" t="str">
        <x:v>GR00T vision-only Results</x:v>
      </x:c>
      <x:c r="AM458" s="9" t="n">
        <x:v>8</x:v>
      </x:c>
      <x:c r="AN458" s="9" t="n">
        <x:v>8</x:v>
      </x:c>
    </x:row>
    <x:row r="459">
      <x:c r="A459" s="9" t="str">
        <x:v>Success</x:v>
      </x:c>
      <x:c r="B459" s="9" t="str">
        <x:v>Relational Placement</x:v>
      </x:c>
      <x:c r="C459" s="10" t="n">
        <x:v>7</x:v>
      </x:c>
      <x:c r="D459" s="9" t="str">
        <x:v>Put the blue block on the table behind the green pen.</x:v>
      </x:c>
      <x:c r="E459" s="9" t="str">
        <x:v>green pen, blue block, pink marker, red block</x:v>
      </x:c>
      <x:c r="F459" s="9" t="str">
        <x:v>blue block → 2–8 cm edge gap behind green pen; centroid direction within ±45°.</x:v>
      </x:c>
      <x:c r="G459" s="9"/>
      <x:c r="H459" s="9" t="str">
        <x:v>In-distribution concept baseline</x:v>
      </x:c>
      <x:c r="I459" s="9" t="str">
        <x:v>RP-ID-CF02</x:v>
      </x:c>
      <x:c r="J459" s="9" t="str">
        <x:v>Four-way trained-cell counterfactual: front/behind polarity × target/reference role</x:v>
      </x:c>
      <x:c r="K459" s="9" t="n">
        <x:v>4</x:v>
      </x:c>
      <x:c r="L459" s="9" t="str">
        <x:v>362</x:v>
      </x:c>
      <x:c r="M459" s="9"/>
      <x:c r="N459" s="9"/>
      <x:c r="O459" s="9" t="str">
        <x:v>Reset the moved object to its marked pose; preserve the exact scene and change only the instruction.</x:v>
      </x:c>
      <x:c r="P459" s="9" t="str">
        <x:v>Exact explicitly trained ordered relation-object cell from training episode 362. The four adjacent prompts share one initially unsatisfied scene.</x:v>
      </x:c>
      <x:c r="Q459" s="9"/>
      <x:c r="R459" s="10" t="n">
        <x:v>4</x:v>
      </x:c>
      <x:c r="S459" s="10"/>
      <x:c r="T459" s="9"/>
      <x:c r="U459" s="9"/>
      <x:c r="V459" s="9"/>
      <x:c r="W459" s="9"/>
      <x:c r="X459" s="10"/>
      <x:c r="Y459" s="10"/>
      <x:c r="Z459" s="9"/>
      <x:c r="AA459" s="9"/>
      <x:c r="AB459" s="9"/>
      <x:c r="AC459" s="9" t="str">
        <x:v>behind</x:v>
      </x:c>
      <x:c r="AD459" s="9" t="str">
        <x:v>blue block</x:v>
      </x:c>
      <x:c r="AE459" s="9" t="str">
        <x:v>green pen</x:v>
      </x:c>
      <x:c r="AF459" s="9" t="str">
        <x:v>None</x:v>
      </x:c>
      <x:c r="AG459" s="9"/>
      <x:c r="AH459" s="9"/>
      <x:c r="AI459" s="11"/>
      <x:c r="AJ459" s="9"/>
      <x:c r="AK459" s="9" t="str">
        <x:v>Eval_Relational_Placement (1).xlsm</x:v>
      </x:c>
      <x:c r="AL459" s="9" t="str">
        <x:v>GR00T vision-only Results</x:v>
      </x:c>
      <x:c r="AM459" s="9" t="n">
        <x:v>9</x:v>
      </x:c>
      <x:c r="AN459" s="9" t="n">
        <x:v>9</x:v>
      </x:c>
    </x:row>
    <x:row r="460">
      <x:c r="A460" s="9" t="str">
        <x:v>Success</x:v>
      </x:c>
      <x:c r="B460" s="9" t="str">
        <x:v>Relational Placement</x:v>
      </x:c>
      <x:c r="C460" s="10" t="n">
        <x:v>8</x:v>
      </x:c>
      <x:c r="D460" s="9" t="str">
        <x:v>Place the red block to the left of the pink marker.</x:v>
      </x:c>
      <x:c r="E460" s="9" t="str">
        <x:v>red block, pink marker, blue block</x:v>
      </x:c>
      <x:c r="F460" s="9" t="str">
        <x:v>red block → 2–8 cm edge gap to the left of pink marker; centroid direction within ±45°.</x:v>
      </x:c>
      <x:c r="G460" s="9"/>
      <x:c r="H460" s="9" t="str">
        <x:v>In-distribution concept baseline</x:v>
      </x:c>
      <x:c r="I460" s="9" t="str">
        <x:v>RP-ID-CF03</x:v>
      </x:c>
      <x:c r="J460" s="9" t="str">
        <x:v>Four-way trained-cell counterfactual: left/right polarity × target/reference role</x:v>
      </x:c>
      <x:c r="K460" s="9"/>
      <x:c r="L460" s="9" t="str">
        <x:v>275</x:v>
      </x:c>
      <x:c r="M460" s="9"/>
      <x:c r="N460" s="9"/>
      <x:c r="O460" s="9" t="str">
        <x:v>Build the listed neutral scene and save the first frame.</x:v>
      </x:c>
      <x:c r="P460" s="9" t="str">
        <x:v>Exact explicitly trained ordered relation-object cell from training episode 275. The four adjacent prompts share one initially unsatisfied scene.</x:v>
      </x:c>
      <x:c r="Q460" s="9"/>
      <x:c r="R460" s="10" t="n">
        <x:v>3</x:v>
      </x:c>
      <x:c r="S460" s="10"/>
      <x:c r="T460" s="9"/>
      <x:c r="U460" s="9"/>
      <x:c r="V460" s="9"/>
      <x:c r="W460" s="9"/>
      <x:c r="X460" s="10"/>
      <x:c r="Y460" s="10"/>
      <x:c r="Z460" s="9"/>
      <x:c r="AA460" s="9"/>
      <x:c r="AB460" s="9"/>
      <x:c r="AC460" s="9" t="str">
        <x:v>left</x:v>
      </x:c>
      <x:c r="AD460" s="9" t="str">
        <x:v>red block</x:v>
      </x:c>
      <x:c r="AE460" s="9" t="str">
        <x:v>pink marker</x:v>
      </x:c>
      <x:c r="AF460" s="9" t="str">
        <x:v>None</x:v>
      </x:c>
      <x:c r="AG460" s="9"/>
      <x:c r="AH460" s="9"/>
      <x:c r="AI460" s="11"/>
      <x:c r="AJ460" s="9"/>
      <x:c r="AK460" s="9" t="str">
        <x:v>Eval_Relational_Placement (1).xlsm</x:v>
      </x:c>
      <x:c r="AL460" s="9" t="str">
        <x:v>GR00T vision-only Results</x:v>
      </x:c>
      <x:c r="AM460" s="9" t="n">
        <x:v>10</x:v>
      </x:c>
      <x:c r="AN460" s="9" t="n">
        <x:v>10</x:v>
      </x:c>
    </x:row>
    <x:row r="461">
      <x:c r="A461" s="9" t="str">
        <x:v>Success</x:v>
      </x:c>
      <x:c r="B461" s="9" t="str">
        <x:v>Relational Placement</x:v>
      </x:c>
      <x:c r="C461" s="10" t="n">
        <x:v>9</x:v>
      </x:c>
      <x:c r="D461" s="9" t="str">
        <x:v>Place the red block to the right of the pink marker.</x:v>
      </x:c>
      <x:c r="E461" s="9" t="str">
        <x:v>red block, pink marker, blue block</x:v>
      </x:c>
      <x:c r="F461" s="9" t="str">
        <x:v>red block → 2–8 cm edge gap to the right of pink marker; centroid direction within ±45°.</x:v>
      </x:c>
      <x:c r="G461" s="9"/>
      <x:c r="H461" s="9" t="str">
        <x:v>In-distribution concept baseline</x:v>
      </x:c>
      <x:c r="I461" s="9" t="str">
        <x:v>RP-ID-CF03</x:v>
      </x:c>
      <x:c r="J461" s="9" t="str">
        <x:v>Four-way trained-cell counterfactual: left/right polarity × target/reference role</x:v>
      </x:c>
      <x:c r="K461" s="9" t="n">
        <x:v>8</x:v>
      </x:c>
      <x:c r="L461" s="9" t="str">
        <x:v>287</x:v>
      </x:c>
      <x:c r="M461" s="9"/>
      <x:c r="N461" s="9"/>
      <x:c r="O461" s="9" t="str">
        <x:v>Reset the moved object to its marked pose; preserve the exact scene and change only the instruction.</x:v>
      </x:c>
      <x:c r="P461" s="9" t="str">
        <x:v>Exact explicitly trained ordered relation-object cell from training episode 287. The four adjacent prompts share one initially unsatisfied scene.</x:v>
      </x:c>
      <x:c r="Q461" s="9"/>
      <x:c r="R461" s="10" t="n">
        <x:v>3</x:v>
      </x:c>
      <x:c r="S461" s="10"/>
      <x:c r="T461" s="9"/>
      <x:c r="U461" s="9"/>
      <x:c r="V461" s="9"/>
      <x:c r="W461" s="9"/>
      <x:c r="X461" s="10"/>
      <x:c r="Y461" s="10"/>
      <x:c r="Z461" s="9"/>
      <x:c r="AA461" s="9"/>
      <x:c r="AB461" s="9"/>
      <x:c r="AC461" s="9" t="str">
        <x:v>right</x:v>
      </x:c>
      <x:c r="AD461" s="9" t="str">
        <x:v>red block</x:v>
      </x:c>
      <x:c r="AE461" s="9" t="str">
        <x:v>pink marker</x:v>
      </x:c>
      <x:c r="AF461" s="9" t="str">
        <x:v>None</x:v>
      </x:c>
      <x:c r="AG461" s="9"/>
      <x:c r="AH461" s="9"/>
      <x:c r="AI461" s="11"/>
      <x:c r="AJ461" s="9"/>
      <x:c r="AK461" s="9" t="str">
        <x:v>Eval_Relational_Placement (1).xlsm</x:v>
      </x:c>
      <x:c r="AL461" s="9" t="str">
        <x:v>GR00T vision-only Results</x:v>
      </x:c>
      <x:c r="AM461" s="9" t="n">
        <x:v>11</x:v>
      </x:c>
      <x:c r="AN461" s="9" t="n">
        <x:v>11</x:v>
      </x:c>
    </x:row>
    <x:row r="462">
      <x:c r="A462" s="9" t="str">
        <x:v>Success</x:v>
      </x:c>
      <x:c r="B462" s="9" t="str">
        <x:v>Relational Placement</x:v>
      </x:c>
      <x:c r="C462" s="10" t="n">
        <x:v>10</x:v>
      </x:c>
      <x:c r="D462" s="9" t="str">
        <x:v>Place the pink marker to the left of the red block.</x:v>
      </x:c>
      <x:c r="E462" s="9" t="str">
        <x:v>red block, pink marker, blue block</x:v>
      </x:c>
      <x:c r="F462" s="9" t="str">
        <x:v>pink marker → 2–8 cm edge gap to the left of red block; centroid direction within ±45°.</x:v>
      </x:c>
      <x:c r="G462" s="9"/>
      <x:c r="H462" s="9" t="str">
        <x:v>In-distribution concept baseline</x:v>
      </x:c>
      <x:c r="I462" s="9" t="str">
        <x:v>RP-ID-CF03</x:v>
      </x:c>
      <x:c r="J462" s="9" t="str">
        <x:v>Four-way trained-cell counterfactual: left/right polarity × target/reference role</x:v>
      </x:c>
      <x:c r="K462" s="9" t="n">
        <x:v>8</x:v>
      </x:c>
      <x:c r="L462" s="9" t="str">
        <x:v>333</x:v>
      </x:c>
      <x:c r="M462" s="9"/>
      <x:c r="N462" s="9"/>
      <x:c r="O462" s="9" t="str">
        <x:v>Reset the moved object to its marked pose; preserve the exact scene and change only the instruction.</x:v>
      </x:c>
      <x:c r="P462" s="9" t="str">
        <x:v>Exact explicitly trained ordered relation-object cell from training episode 333. The four adjacent prompts share one initially unsatisfied scene.</x:v>
      </x:c>
      <x:c r="Q462" s="9"/>
      <x:c r="R462" s="10" t="n">
        <x:v>3</x:v>
      </x:c>
      <x:c r="S462" s="10"/>
      <x:c r="T462" s="9"/>
      <x:c r="U462" s="9"/>
      <x:c r="V462" s="9"/>
      <x:c r="W462" s="9"/>
      <x:c r="X462" s="10"/>
      <x:c r="Y462" s="10"/>
      <x:c r="Z462" s="9"/>
      <x:c r="AA462" s="9"/>
      <x:c r="AB462" s="9"/>
      <x:c r="AC462" s="9" t="str">
        <x:v>left</x:v>
      </x:c>
      <x:c r="AD462" s="9" t="str">
        <x:v>pink marker</x:v>
      </x:c>
      <x:c r="AE462" s="9" t="str">
        <x:v>red block</x:v>
      </x:c>
      <x:c r="AF462" s="9" t="str">
        <x:v>None</x:v>
      </x:c>
      <x:c r="AG462" s="9"/>
      <x:c r="AH462" s="9"/>
      <x:c r="AI462" s="11"/>
      <x:c r="AJ462" s="9"/>
      <x:c r="AK462" s="9" t="str">
        <x:v>Eval_Relational_Placement (1).xlsm</x:v>
      </x:c>
      <x:c r="AL462" s="9" t="str">
        <x:v>GR00T vision-only Results</x:v>
      </x:c>
      <x:c r="AM462" s="9" t="n">
        <x:v>12</x:v>
      </x:c>
      <x:c r="AN462" s="9" t="n">
        <x:v>12</x:v>
      </x:c>
    </x:row>
    <x:row r="463">
      <x:c r="A463" s="9" t="str">
        <x:v>Success</x:v>
      </x:c>
      <x:c r="B463" s="9" t="str">
        <x:v>Relational Placement</x:v>
      </x:c>
      <x:c r="C463" s="10" t="n">
        <x:v>11</x:v>
      </x:c>
      <x:c r="D463" s="9" t="str">
        <x:v>Place the pink marker to the right of the red block.</x:v>
      </x:c>
      <x:c r="E463" s="9" t="str">
        <x:v>red block, pink marker, blue block</x:v>
      </x:c>
      <x:c r="F463" s="9" t="str">
        <x:v>pink marker → 2–8 cm edge gap to the right of red block; centroid direction within ±45°.</x:v>
      </x:c>
      <x:c r="G463" s="9"/>
      <x:c r="H463" s="9" t="str">
        <x:v>In-distribution concept baseline</x:v>
      </x:c>
      <x:c r="I463" s="9" t="str">
        <x:v>RP-ID-CF03</x:v>
      </x:c>
      <x:c r="J463" s="9" t="str">
        <x:v>Four-way trained-cell counterfactual: left/right polarity × target/reference role</x:v>
      </x:c>
      <x:c r="K463" s="9" t="n">
        <x:v>8</x:v>
      </x:c>
      <x:c r="L463" s="9" t="str">
        <x:v>346</x:v>
      </x:c>
      <x:c r="M463" s="9"/>
      <x:c r="N463" s="9"/>
      <x:c r="O463" s="9" t="str">
        <x:v>Reset the moved object to its marked pose; preserve the exact scene and change only the instruction.</x:v>
      </x:c>
      <x:c r="P463" s="9" t="str">
        <x:v>Exact explicitly trained ordered relation-object cell from training episode 346. The four adjacent prompts share one initially unsatisfied scene.</x:v>
      </x:c>
      <x:c r="Q463" s="9"/>
      <x:c r="R463" s="10" t="n">
        <x:v>3</x:v>
      </x:c>
      <x:c r="S463" s="10"/>
      <x:c r="T463" s="9"/>
      <x:c r="U463" s="9"/>
      <x:c r="V463" s="9"/>
      <x:c r="W463" s="9"/>
      <x:c r="X463" s="10"/>
      <x:c r="Y463" s="10"/>
      <x:c r="Z463" s="9"/>
      <x:c r="AA463" s="9"/>
      <x:c r="AB463" s="9"/>
      <x:c r="AC463" s="9" t="str">
        <x:v>right</x:v>
      </x:c>
      <x:c r="AD463" s="9" t="str">
        <x:v>pink marker</x:v>
      </x:c>
      <x:c r="AE463" s="9" t="str">
        <x:v>red block</x:v>
      </x:c>
      <x:c r="AF463" s="9" t="str">
        <x:v>None</x:v>
      </x:c>
      <x:c r="AG463" s="9"/>
      <x:c r="AH463" s="9"/>
      <x:c r="AI463" s="11"/>
      <x:c r="AJ463" s="9"/>
      <x:c r="AK463" s="9" t="str">
        <x:v>Eval_Relational_Placement (1).xlsm</x:v>
      </x:c>
      <x:c r="AL463" s="9" t="str">
        <x:v>GR00T vision-only Results</x:v>
      </x:c>
      <x:c r="AM463" s="9" t="n">
        <x:v>13</x:v>
      </x:c>
      <x:c r="AN463" s="9" t="n">
        <x:v>13</x:v>
      </x:c>
    </x:row>
    <x:row r="464">
      <x:c r="A464" s="9" t="str">
        <x:v>Success</x:v>
      </x:c>
      <x:c r="B464" s="9" t="str">
        <x:v>Relational Placement</x:v>
      </x:c>
      <x:c r="C464" s="10" t="n">
        <x:v>12</x:v>
      </x:c>
      <x:c r="D464" s="9" t="str">
        <x:v>Place the red block to the left of the blue block.</x:v>
      </x:c>
      <x:c r="E464" s="9" t="str">
        <x:v>red block, blue block, green pen, pink marker</x:v>
      </x:c>
      <x:c r="F464" s="9" t="str">
        <x:v>red block → 2–8 cm edge gap to the left of blue block; centroid direction within ±45°.</x:v>
      </x:c>
      <x:c r="G464" s="9"/>
      <x:c r="H464" s="9" t="str">
        <x:v>In-distribution concept baseline</x:v>
      </x:c>
      <x:c r="I464" s="9" t="str">
        <x:v>RP-ID-CF04</x:v>
      </x:c>
      <x:c r="J464" s="9" t="str">
        <x:v>Four-way trained-cell counterfactual: left/right polarity × target/reference role</x:v>
      </x:c>
      <x:c r="K464" s="9"/>
      <x:c r="L464" s="9" t="str">
        <x:v>279</x:v>
      </x:c>
      <x:c r="M464" s="9"/>
      <x:c r="N464" s="9"/>
      <x:c r="O464" s="9" t="str">
        <x:v>Build the listed neutral scene and save the first frame.</x:v>
      </x:c>
      <x:c r="P464" s="9" t="str">
        <x:v>Exact explicitly trained ordered relation-object cell from training episode 279. The four adjacent prompts share one initially unsatisfied scene.</x:v>
      </x:c>
      <x:c r="Q464" s="9"/>
      <x:c r="R464" s="10" t="n">
        <x:v>4</x:v>
      </x:c>
      <x:c r="S464" s="10"/>
      <x:c r="T464" s="9"/>
      <x:c r="U464" s="9"/>
      <x:c r="V464" s="9"/>
      <x:c r="W464" s="9"/>
      <x:c r="X464" s="10"/>
      <x:c r="Y464" s="10"/>
      <x:c r="Z464" s="9"/>
      <x:c r="AA464" s="9"/>
      <x:c r="AB464" s="9"/>
      <x:c r="AC464" s="9" t="str">
        <x:v>left</x:v>
      </x:c>
      <x:c r="AD464" s="9" t="str">
        <x:v>red block</x:v>
      </x:c>
      <x:c r="AE464" s="9" t="str">
        <x:v>blue block</x:v>
      </x:c>
      <x:c r="AF464" s="9" t="str">
        <x:v>None</x:v>
      </x:c>
      <x:c r="AG464" s="9"/>
      <x:c r="AH464" s="9"/>
      <x:c r="AI464" s="11"/>
      <x:c r="AJ464" s="9"/>
      <x:c r="AK464" s="9" t="str">
        <x:v>Eval_Relational_Placement (1).xlsm</x:v>
      </x:c>
      <x:c r="AL464" s="9" t="str">
        <x:v>GR00T vision-only Results</x:v>
      </x:c>
      <x:c r="AM464" s="9" t="n">
        <x:v>14</x:v>
      </x:c>
      <x:c r="AN464" s="9" t="n">
        <x:v>14</x:v>
      </x:c>
    </x:row>
    <x:row r="465">
      <x:c r="A465" s="9" t="str">
        <x:v>Failure</x:v>
      </x:c>
      <x:c r="B465" s="9" t="str">
        <x:v>Relational Placement</x:v>
      </x:c>
      <x:c r="C465" s="10" t="n">
        <x:v>13</x:v>
      </x:c>
      <x:c r="D465" s="9" t="str">
        <x:v>Place the red block to the right of the blue block.</x:v>
      </x:c>
      <x:c r="E465" s="9" t="str">
        <x:v>red block, blue block, green pen, pink marker</x:v>
      </x:c>
      <x:c r="F465" s="9" t="str">
        <x:v>red block → 2–8 cm edge gap to the right of blue block; centroid direction within ±45°.</x:v>
      </x:c>
      <x:c r="G465" s="9" t="str">
        <x:v>couldn't grasp the red block</x:v>
      </x:c>
      <x:c r="H465" s="9" t="str">
        <x:v>In-distribution concept baseline</x:v>
      </x:c>
      <x:c r="I465" s="9" t="str">
        <x:v>RP-ID-CF04</x:v>
      </x:c>
      <x:c r="J465" s="9" t="str">
        <x:v>Four-way trained-cell counterfactual: left/right polarity × target/reference role</x:v>
      </x:c>
      <x:c r="K465" s="9" t="n">
        <x:v>12</x:v>
      </x:c>
      <x:c r="L465" s="9" t="str">
        <x:v>292</x:v>
      </x:c>
      <x:c r="M465" s="9"/>
      <x:c r="N465" s="9"/>
      <x:c r="O465" s="9" t="str">
        <x:v>Reset the moved object to its marked pose; preserve the exact scene and change only the instruction.</x:v>
      </x:c>
      <x:c r="P465" s="9" t="str">
        <x:v>Exact explicitly trained ordered relation-object cell from training episode 292. The four adjacent prompts share one initially unsatisfied scene.</x:v>
      </x:c>
      <x:c r="Q465" s="9"/>
      <x:c r="R465" s="10" t="n">
        <x:v>4</x:v>
      </x:c>
      <x:c r="S465" s="10"/>
      <x:c r="T465" s="9"/>
      <x:c r="U465" s="9"/>
      <x:c r="V465" s="9"/>
      <x:c r="W465" s="9"/>
      <x:c r="X465" s="10"/>
      <x:c r="Y465" s="10"/>
      <x:c r="Z465" s="9"/>
      <x:c r="AA465" s="9"/>
      <x:c r="AB465" s="9"/>
      <x:c r="AC465" s="9" t="str">
        <x:v>right</x:v>
      </x:c>
      <x:c r="AD465" s="9" t="str">
        <x:v>red block</x:v>
      </x:c>
      <x:c r="AE465" s="9" t="str">
        <x:v>blue block</x:v>
      </x:c>
      <x:c r="AF465" s="9" t="str">
        <x:v>None</x:v>
      </x:c>
      <x:c r="AG465" s="9"/>
      <x:c r="AH465" s="9"/>
      <x:c r="AI465" s="11"/>
      <x:c r="AJ465" s="9"/>
      <x:c r="AK465" s="9" t="str">
        <x:v>Eval_Relational_Placement (1).xlsm</x:v>
      </x:c>
      <x:c r="AL465" s="9" t="str">
        <x:v>GR00T vision-only Results</x:v>
      </x:c>
      <x:c r="AM465" s="9" t="n">
        <x:v>15</x:v>
      </x:c>
      <x:c r="AN465" s="9" t="n">
        <x:v>15</x:v>
      </x:c>
    </x:row>
    <x:row r="466">
      <x:c r="A466" s="9" t="str">
        <x:v>Failure</x:v>
      </x:c>
      <x:c r="B466" s="9" t="str">
        <x:v>Relational Placement</x:v>
      </x:c>
      <x:c r="C466" s="10" t="n">
        <x:v>14</x:v>
      </x:c>
      <x:c r="D466" s="9" t="str">
        <x:v>Place the blue block to the left of the red block.</x:v>
      </x:c>
      <x:c r="E466" s="9" t="str">
        <x:v>red block, blue block, green pen, pink marker</x:v>
      </x:c>
      <x:c r="F466" s="9" t="str">
        <x:v>blue block → 2–8 cm edge gap to the left of red block; centroid direction within ±45°.</x:v>
      </x:c>
      <x:c r="G466" s="9" t="str">
        <x:v>succeeded reasoning; moved the blue block to the left of the red block but couldn't let go of the blue block</x:v>
      </x:c>
      <x:c r="H466" s="9" t="str">
        <x:v>In-distribution concept baseline</x:v>
      </x:c>
      <x:c r="I466" s="9" t="str">
        <x:v>RP-ID-CF04</x:v>
      </x:c>
      <x:c r="J466" s="9" t="str">
        <x:v>Four-way trained-cell counterfactual: left/right polarity × target/reference role</x:v>
      </x:c>
      <x:c r="K466" s="9" t="n">
        <x:v>12</x:v>
      </x:c>
      <x:c r="L466" s="9" t="str">
        <x:v>379</x:v>
      </x:c>
      <x:c r="M466" s="9"/>
      <x:c r="N466" s="9"/>
      <x:c r="O466" s="9" t="str">
        <x:v>Reset the moved object to its marked pose; preserve the exact scene and change only the instruction.</x:v>
      </x:c>
      <x:c r="P466" s="9" t="str">
        <x:v>Exact explicitly trained ordered relation-object cell from training episode 379. The four adjacent prompts share one initially unsatisfied scene.</x:v>
      </x:c>
      <x:c r="Q466" s="9"/>
      <x:c r="R466" s="10" t="n">
        <x:v>4</x:v>
      </x:c>
      <x:c r="S466" s="10"/>
      <x:c r="T466" s="9"/>
      <x:c r="U466" s="9"/>
      <x:c r="V466" s="9"/>
      <x:c r="W466" s="9"/>
      <x:c r="X466" s="10"/>
      <x:c r="Y466" s="10"/>
      <x:c r="Z466" s="9"/>
      <x:c r="AA466" s="9"/>
      <x:c r="AB466" s="9"/>
      <x:c r="AC466" s="9" t="str">
        <x:v>left</x:v>
      </x:c>
      <x:c r="AD466" s="9" t="str">
        <x:v>blue block</x:v>
      </x:c>
      <x:c r="AE466" s="9" t="str">
        <x:v>red block</x:v>
      </x:c>
      <x:c r="AF466" s="9" t="str">
        <x:v>None</x:v>
      </x:c>
      <x:c r="AG466" s="9"/>
      <x:c r="AH466" s="9"/>
      <x:c r="AI466" s="11"/>
      <x:c r="AJ466" s="9"/>
      <x:c r="AK466" s="9" t="str">
        <x:v>Eval_Relational_Placement (1).xlsm</x:v>
      </x:c>
      <x:c r="AL466" s="9" t="str">
        <x:v>GR00T vision-only Results</x:v>
      </x:c>
      <x:c r="AM466" s="9" t="n">
        <x:v>16</x:v>
      </x:c>
      <x:c r="AN466" s="9" t="n">
        <x:v>16</x:v>
      </x:c>
    </x:row>
    <x:row r="467">
      <x:c r="A467" s="9" t="str">
        <x:v>Success</x:v>
      </x:c>
      <x:c r="B467" s="9" t="str">
        <x:v>Relational Placement</x:v>
      </x:c>
      <x:c r="C467" s="10" t="n">
        <x:v>15</x:v>
      </x:c>
      <x:c r="D467" s="9" t="str">
        <x:v>Place the blue block to the right of the red block.</x:v>
      </x:c>
      <x:c r="E467" s="9" t="str">
        <x:v>red block, blue block, green pen, pink marker</x:v>
      </x:c>
      <x:c r="F467" s="9" t="str">
        <x:v>blue block → 2–8 cm edge gap to the right of red block; centroid direction within ±45°.</x:v>
      </x:c>
      <x:c r="G467" s="9"/>
      <x:c r="H467" s="9" t="str">
        <x:v>In-distribution concept baseline</x:v>
      </x:c>
      <x:c r="I467" s="9" t="str">
        <x:v>RP-ID-CF04</x:v>
      </x:c>
      <x:c r="J467" s="9" t="str">
        <x:v>Four-way trained-cell counterfactual: left/right polarity × target/reference role</x:v>
      </x:c>
      <x:c r="K467" s="9" t="n">
        <x:v>12</x:v>
      </x:c>
      <x:c r="L467" s="9" t="str">
        <x:v>392</x:v>
      </x:c>
      <x:c r="M467" s="9"/>
      <x:c r="N467" s="9"/>
      <x:c r="O467" s="9" t="str">
        <x:v>Reset the moved object to its marked pose; preserve the exact scene and change only the instruction.</x:v>
      </x:c>
      <x:c r="P467" s="9" t="str">
        <x:v>Exact explicitly trained ordered relation-object cell from training episode 392. The four adjacent prompts share one initially unsatisfied scene.</x:v>
      </x:c>
      <x:c r="Q467" s="9"/>
      <x:c r="R467" s="10" t="n">
        <x:v>4</x:v>
      </x:c>
      <x:c r="S467" s="10"/>
      <x:c r="T467" s="9"/>
      <x:c r="U467" s="9"/>
      <x:c r="V467" s="9"/>
      <x:c r="W467" s="9"/>
      <x:c r="X467" s="10"/>
      <x:c r="Y467" s="10"/>
      <x:c r="Z467" s="9"/>
      <x:c r="AA467" s="9"/>
      <x:c r="AB467" s="9"/>
      <x:c r="AC467" s="9" t="str">
        <x:v>right</x:v>
      </x:c>
      <x:c r="AD467" s="9" t="str">
        <x:v>blue block</x:v>
      </x:c>
      <x:c r="AE467" s="9" t="str">
        <x:v>red block</x:v>
      </x:c>
      <x:c r="AF467" s="9" t="str">
        <x:v>None</x:v>
      </x:c>
      <x:c r="AG467" s="9"/>
      <x:c r="AH467" s="9"/>
      <x:c r="AI467" s="11"/>
      <x:c r="AJ467" s="9"/>
      <x:c r="AK467" s="9" t="str">
        <x:v>Eval_Relational_Placement (1).xlsm</x:v>
      </x:c>
      <x:c r="AL467" s="9" t="str">
        <x:v>GR00T vision-only Results</x:v>
      </x:c>
      <x:c r="AM467" s="9" t="n">
        <x:v>17</x:v>
      </x:c>
      <x:c r="AN467" s="9" t="n">
        <x:v>17</x:v>
      </x:c>
    </x:row>
    <x:row r="468">
      <x:c r="A468" s="9" t="str">
        <x:v>Success</x:v>
      </x:c>
      <x:c r="B468" s="9" t="str">
        <x:v>Relational Placement</x:v>
      </x:c>
      <x:c r="C468" s="10" t="n">
        <x:v>16</x:v>
      </x:c>
      <x:c r="D468" s="9" t="str">
        <x:v>Place the green pen to the left of the pink marker.</x:v>
      </x:c>
      <x:c r="E468" s="9" t="str">
        <x:v>green pen, pink marker, red block, blue block</x:v>
      </x:c>
      <x:c r="F468" s="9" t="str">
        <x:v>green pen → 2–8 cm edge gap to the left of pink marker; centroid direction within ±45°.</x:v>
      </x:c>
      <x:c r="G468" s="9"/>
      <x:c r="H468" s="9" t="str">
        <x:v>In-distribution concept baseline</x:v>
      </x:c>
      <x:c r="I468" s="9" t="str">
        <x:v>RP-ID-CF05</x:v>
      </x:c>
      <x:c r="J468" s="9" t="str">
        <x:v>Four-prompt trained-cell mixed-axis counterfactual with all four target identities</x:v>
      </x:c>
      <x:c r="K468" s="9"/>
      <x:c r="L468" s="9" t="str">
        <x:v>229</x:v>
      </x:c>
      <x:c r="M468" s="9"/>
      <x:c r="N468" s="9"/>
      <x:c r="O468" s="9" t="str">
        <x:v>Build the listed neutral scene and save the first frame.</x:v>
      </x:c>
      <x:c r="P468" s="9" t="str">
        <x:v>Exact explicitly trained ordered relation-object cell from training episode 229. The four adjacent prompts share one initially unsatisfied scene.</x:v>
      </x:c>
      <x:c r="Q468" s="9"/>
      <x:c r="R468" s="10" t="n">
        <x:v>4</x:v>
      </x:c>
      <x:c r="S468" s="10"/>
      <x:c r="T468" s="9"/>
      <x:c r="U468" s="9"/>
      <x:c r="V468" s="9"/>
      <x:c r="W468" s="9"/>
      <x:c r="X468" s="10"/>
      <x:c r="Y468" s="10"/>
      <x:c r="Z468" s="9"/>
      <x:c r="AA468" s="9"/>
      <x:c r="AB468" s="9"/>
      <x:c r="AC468" s="9" t="str">
        <x:v>left</x:v>
      </x:c>
      <x:c r="AD468" s="9" t="str">
        <x:v>green pen</x:v>
      </x:c>
      <x:c r="AE468" s="9" t="str">
        <x:v>pink marker</x:v>
      </x:c>
      <x:c r="AF468" s="9" t="str">
        <x:v>None</x:v>
      </x:c>
      <x:c r="AG468" s="9"/>
      <x:c r="AH468" s="9"/>
      <x:c r="AI468" s="11"/>
      <x:c r="AJ468" s="9"/>
      <x:c r="AK468" s="9" t="str">
        <x:v>Eval_Relational_Placement (1).xlsm</x:v>
      </x:c>
      <x:c r="AL468" s="9" t="str">
        <x:v>GR00T vision-only Results</x:v>
      </x:c>
      <x:c r="AM468" s="9" t="n">
        <x:v>18</x:v>
      </x:c>
      <x:c r="AN468" s="9" t="n">
        <x:v>18</x:v>
      </x:c>
    </x:row>
    <x:row r="469">
      <x:c r="A469" s="9" t="str">
        <x:v>Success</x:v>
      </x:c>
      <x:c r="B469" s="9" t="str">
        <x:v>Relational Placement</x:v>
      </x:c>
      <x:c r="C469" s="10" t="n">
        <x:v>17</x:v>
      </x:c>
      <x:c r="D469" s="9" t="str">
        <x:v>Place the pink marker to the right of the green pen.</x:v>
      </x:c>
      <x:c r="E469" s="9" t="str">
        <x:v>green pen, pink marker, red block, blue block</x:v>
      </x:c>
      <x:c r="F469" s="9" t="str">
        <x:v>pink marker → 2–8 cm edge gap to the right of green pen; centroid direction within ±45°.</x:v>
      </x:c>
      <x:c r="G469" s="9"/>
      <x:c r="H469" s="9" t="str">
        <x:v>In-distribution concept baseline</x:v>
      </x:c>
      <x:c r="I469" s="9" t="str">
        <x:v>RP-ID-CF05</x:v>
      </x:c>
      <x:c r="J469" s="9" t="str">
        <x:v>Four-prompt trained-cell mixed-axis counterfactual with all four target identities</x:v>
      </x:c>
      <x:c r="K469" s="9" t="n">
        <x:v>16</x:v>
      </x:c>
      <x:c r="L469" s="9" t="str">
        <x:v>342</x:v>
      </x:c>
      <x:c r="M469" s="9"/>
      <x:c r="N469" s="9"/>
      <x:c r="O469" s="9" t="str">
        <x:v>Reset the moved object to its marked pose; preserve the exact scene and change only the instruction.</x:v>
      </x:c>
      <x:c r="P469" s="9" t="str">
        <x:v>Exact explicitly trained ordered relation-object cell from training episode 342. The four adjacent prompts share one initially unsatisfied scene.</x:v>
      </x:c>
      <x:c r="Q469" s="9"/>
      <x:c r="R469" s="10" t="n">
        <x:v>4</x:v>
      </x:c>
      <x:c r="S469" s="10"/>
      <x:c r="T469" s="9"/>
      <x:c r="U469" s="9"/>
      <x:c r="V469" s="9"/>
      <x:c r="W469" s="9"/>
      <x:c r="X469" s="10"/>
      <x:c r="Y469" s="10"/>
      <x:c r="Z469" s="9"/>
      <x:c r="AA469" s="9"/>
      <x:c r="AB469" s="9"/>
      <x:c r="AC469" s="9" t="str">
        <x:v>right</x:v>
      </x:c>
      <x:c r="AD469" s="9" t="str">
        <x:v>pink marker</x:v>
      </x:c>
      <x:c r="AE469" s="9" t="str">
        <x:v>green pen</x:v>
      </x:c>
      <x:c r="AF469" s="9" t="str">
        <x:v>None</x:v>
      </x:c>
      <x:c r="AG469" s="9"/>
      <x:c r="AH469" s="9"/>
      <x:c r="AI469" s="11"/>
      <x:c r="AJ469" s="9"/>
      <x:c r="AK469" s="9" t="str">
        <x:v>Eval_Relational_Placement (1).xlsm</x:v>
      </x:c>
      <x:c r="AL469" s="9" t="str">
        <x:v>GR00T vision-only Results</x:v>
      </x:c>
      <x:c r="AM469" s="9" t="n">
        <x:v>19</x:v>
      </x:c>
      <x:c r="AN469" s="9" t="n">
        <x:v>19</x:v>
      </x:c>
    </x:row>
    <x:row r="470">
      <x:c r="A470" s="9" t="str">
        <x:v>Success</x:v>
      </x:c>
      <x:c r="B470" s="9" t="str">
        <x:v>Relational Placement</x:v>
      </x:c>
      <x:c r="C470" s="10" t="n">
        <x:v>18</x:v>
      </x:c>
      <x:c r="D470" s="9" t="str">
        <x:v>Move the red block to the front of the blue block.</x:v>
      </x:c>
      <x:c r="E470" s="9" t="str">
        <x:v>green pen, pink marker, red block, blue block</x:v>
      </x:c>
      <x:c r="F470" s="9" t="str">
        <x:v>red block → 2–8 cm edge gap in front of blue block; centroid direction within ±45°.</x:v>
      </x:c>
      <x:c r="G470" s="9"/>
      <x:c r="H470" s="9" t="str">
        <x:v>In-distribution concept baseline</x:v>
      </x:c>
      <x:c r="I470" s="9" t="str">
        <x:v>RP-ID-CF05</x:v>
      </x:c>
      <x:c r="J470" s="9" t="str">
        <x:v>Four-prompt trained-cell mixed-axis counterfactual with all four target identities</x:v>
      </x:c>
      <x:c r="K470" s="9" t="n">
        <x:v>16</x:v>
      </x:c>
      <x:c r="L470" s="9" t="str">
        <x:v>254</x:v>
      </x:c>
      <x:c r="M470" s="9"/>
      <x:c r="N470" s="9"/>
      <x:c r="O470" s="9" t="str">
        <x:v>Reset the moved object to its marked pose; preserve the exact scene and change only the instruction.</x:v>
      </x:c>
      <x:c r="P470" s="9" t="str">
        <x:v>Exact explicitly trained ordered relation-object cell from training episode 254. The four adjacent prompts share one initially unsatisfied scene.</x:v>
      </x:c>
      <x:c r="Q470" s="9"/>
      <x:c r="R470" s="10" t="n">
        <x:v>4</x:v>
      </x:c>
      <x:c r="S470" s="10"/>
      <x:c r="T470" s="9"/>
      <x:c r="U470" s="9"/>
      <x:c r="V470" s="9"/>
      <x:c r="W470" s="9"/>
      <x:c r="X470" s="10"/>
      <x:c r="Y470" s="10"/>
      <x:c r="Z470" s="9"/>
      <x:c r="AA470" s="9"/>
      <x:c r="AB470" s="9"/>
      <x:c r="AC470" s="9" t="str">
        <x:v>front</x:v>
      </x:c>
      <x:c r="AD470" s="9" t="str">
        <x:v>red block</x:v>
      </x:c>
      <x:c r="AE470" s="9" t="str">
        <x:v>blue block</x:v>
      </x:c>
      <x:c r="AF470" s="9" t="str">
        <x:v>None</x:v>
      </x:c>
      <x:c r="AG470" s="9"/>
      <x:c r="AH470" s="9"/>
      <x:c r="AI470" s="11"/>
      <x:c r="AJ470" s="9"/>
      <x:c r="AK470" s="9" t="str">
        <x:v>Eval_Relational_Placement (1).xlsm</x:v>
      </x:c>
      <x:c r="AL470" s="9" t="str">
        <x:v>GR00T vision-only Results</x:v>
      </x:c>
      <x:c r="AM470" s="9" t="n">
        <x:v>20</x:v>
      </x:c>
      <x:c r="AN470" s="9" t="n">
        <x:v>20</x:v>
      </x:c>
    </x:row>
    <x:row r="471">
      <x:c r="A471" s="9" t="str">
        <x:v>Success</x:v>
      </x:c>
      <x:c r="B471" s="9" t="str">
        <x:v>Relational Placement</x:v>
      </x:c>
      <x:c r="C471" s="10" t="n">
        <x:v>19</x:v>
      </x:c>
      <x:c r="D471" s="9" t="str">
        <x:v>Place the blue block behind the red block.</x:v>
      </x:c>
      <x:c r="E471" s="9" t="str">
        <x:v>green pen, pink marker, red block, blue block</x:v>
      </x:c>
      <x:c r="F471" s="9" t="str">
        <x:v>blue block → 2–8 cm edge gap behind red block; centroid direction within ±45°.</x:v>
      </x:c>
      <x:c r="G471" s="9"/>
      <x:c r="H471" s="9" t="str">
        <x:v>In-distribution concept baseline</x:v>
      </x:c>
      <x:c r="I471" s="9" t="str">
        <x:v>RP-ID-CF05</x:v>
      </x:c>
      <x:c r="J471" s="9" t="str">
        <x:v>Four-prompt trained-cell mixed-axis counterfactual with all four target identities</x:v>
      </x:c>
      <x:c r="K471" s="9" t="n">
        <x:v>16</x:v>
      </x:c>
      <x:c r="L471" s="9" t="str">
        <x:v>367</x:v>
      </x:c>
      <x:c r="M471" s="9"/>
      <x:c r="N471" s="9"/>
      <x:c r="O471" s="9" t="str">
        <x:v>Reset the moved object to its marked pose; preserve the exact scene and change only the instruction.</x:v>
      </x:c>
      <x:c r="P471" s="9" t="str">
        <x:v>Exact explicitly trained ordered relation-object cell from training episode 367. The four adjacent prompts share one initially unsatisfied scene.</x:v>
      </x:c>
      <x:c r="Q471" s="9"/>
      <x:c r="R471" s="10" t="n">
        <x:v>4</x:v>
      </x:c>
      <x:c r="S471" s="10"/>
      <x:c r="T471" s="9"/>
      <x:c r="U471" s="9"/>
      <x:c r="V471" s="9"/>
      <x:c r="W471" s="9"/>
      <x:c r="X471" s="10"/>
      <x:c r="Y471" s="10"/>
      <x:c r="Z471" s="9"/>
      <x:c r="AA471" s="9"/>
      <x:c r="AB471" s="9"/>
      <x:c r="AC471" s="9" t="str">
        <x:v>behind</x:v>
      </x:c>
      <x:c r="AD471" s="9" t="str">
        <x:v>blue block</x:v>
      </x:c>
      <x:c r="AE471" s="9" t="str">
        <x:v>red block</x:v>
      </x:c>
      <x:c r="AF471" s="9" t="str">
        <x:v>None</x:v>
      </x:c>
      <x:c r="AG471" s="9"/>
      <x:c r="AH471" s="9"/>
      <x:c r="AI471" s="11"/>
      <x:c r="AJ471" s="9"/>
      <x:c r="AK471" s="9" t="str">
        <x:v>Eval_Relational_Placement (1).xlsm</x:v>
      </x:c>
      <x:c r="AL471" s="9" t="str">
        <x:v>GR00T vision-only Results</x:v>
      </x:c>
      <x:c r="AM471" s="9" t="n">
        <x:v>21</x:v>
      </x:c>
      <x:c r="AN471" s="9" t="n">
        <x:v>21</x:v>
      </x:c>
    </x:row>
    <x:row r="472">
      <x:c r="A472" s="9" t="str">
        <x:v>Failure</x:v>
      </x:c>
      <x:c r="B472" s="9" t="str">
        <x:v>Relational Placement</x:v>
      </x:c>
      <x:c r="C472" s="10" t="n">
        <x:v>20</x:v>
      </x:c>
      <x:c r="D472" s="9" t="str">
        <x:v>Place the green pen in front of the red block.</x:v>
      </x:c>
      <x:c r="E472" s="9" t="str">
        <x:v>green pen, red block, pink marker</x:v>
      </x:c>
      <x:c r="F472" s="9" t="str">
        <x:v>green pen → 2–8 cm edge gap in front of red block; centroid direction within ±45°.</x:v>
      </x:c>
      <x:c r="G472" s="9" t="str">
        <x:v>succeeded reasoning; moved green pen to the front of the red block but didn't let go</x:v>
      </x:c>
      <x:c r="H472" s="9" t="str">
        <x:v>Concept/compositional transfer</x:v>
      </x:c>
      <x:c r="I472" s="9" t="str">
        <x:v>RP-CT-CF01</x:v>
      </x:c>
      <x:c r="J472" s="9" t="str">
        <x:v>Four-way held-out counterfactual: relation polarity × target/reference role</x:v>
      </x:c>
      <x:c r="K472" s="9"/>
      <x:c r="L472" s="9" t="str">
        <x:v>201</x:v>
      </x:c>
      <x:c r="M472" s="9"/>
      <x:c r="N472" s="9"/>
      <x:c r="O472" s="9" t="str">
        <x:v>Build the listed neutral-axis scene and save the first frame.</x:v>
      </x:c>
      <x:c r="P472" s="9" t="str">
        <x:v>The directional word × ordered green-pen/red-block role is held out. Source episode 201 supplies the same target manipulation under a trained near/next-to/beside prompt. The orthogonal start prevents an inverse-start shortcut.</x:v>
      </x:c>
      <x:c r="Q472" s="9"/>
      <x:c r="R472" s="10" t="n">
        <x:v>3</x:v>
      </x:c>
      <x:c r="S472" s="10"/>
      <x:c r="T472" s="9"/>
      <x:c r="U472" s="9"/>
      <x:c r="V472" s="9"/>
      <x:c r="W472" s="9"/>
      <x:c r="X472" s="10"/>
      <x:c r="Y472" s="10"/>
      <x:c r="Z472" s="9"/>
      <x:c r="AA472" s="9"/>
      <x:c r="AB472" s="9"/>
      <x:c r="AC472" s="9" t="str">
        <x:v>front</x:v>
      </x:c>
      <x:c r="AD472" s="9" t="str">
        <x:v>green pen</x:v>
      </x:c>
      <x:c r="AE472" s="9" t="str">
        <x:v>red block</x:v>
      </x:c>
      <x:c r="AF472" s="9" t="str">
        <x:v>None</x:v>
      </x:c>
      <x:c r="AG472" s="9"/>
      <x:c r="AH472" s="9"/>
      <x:c r="AI472" s="11"/>
      <x:c r="AJ472" s="9"/>
      <x:c r="AK472" s="9" t="str">
        <x:v>Eval_Relational_Placement (1).xlsm</x:v>
      </x:c>
      <x:c r="AL472" s="9" t="str">
        <x:v>GR00T vision-only Results</x:v>
      </x:c>
      <x:c r="AM472" s="9" t="n">
        <x:v>22</x:v>
      </x:c>
      <x:c r="AN472" s="9" t="n">
        <x:v>22</x:v>
      </x:c>
    </x:row>
    <x:row r="473">
      <x:c r="A473" s="9" t="str">
        <x:v>Success</x:v>
      </x:c>
      <x:c r="B473" s="9" t="str">
        <x:v>Relational Placement</x:v>
      </x:c>
      <x:c r="C473" s="10" t="n">
        <x:v>21</x:v>
      </x:c>
      <x:c r="D473" s="9" t="str">
        <x:v>Place the green pen behind the red block.</x:v>
      </x:c>
      <x:c r="E473" s="9" t="str">
        <x:v>green pen, red block, pink marker</x:v>
      </x:c>
      <x:c r="F473" s="9" t="str">
        <x:v>green pen → 2–8 cm edge gap behind red block; centroid direction within ±45°.</x:v>
      </x:c>
      <x:c r="G473" s="9"/>
      <x:c r="H473" s="9" t="str">
        <x:v>Concept/compositional transfer</x:v>
      </x:c>
      <x:c r="I473" s="9" t="str">
        <x:v>RP-CT-CF01</x:v>
      </x:c>
      <x:c r="J473" s="9" t="str">
        <x:v>Four-way held-out counterfactual: relation polarity × target/reference role</x:v>
      </x:c>
      <x:c r="K473" s="9" t="n">
        <x:v>20</x:v>
      </x:c>
      <x:c r="L473" s="9" t="str">
        <x:v>213</x:v>
      </x:c>
      <x:c r="M473" s="9"/>
      <x:c r="N473" s="9"/>
      <x:c r="O473" s="9" t="str">
        <x:v>Reset both core objects to their marked poses; preserve distractors, camera, and robot start; change only the instruction.</x:v>
      </x:c>
      <x:c r="P473" s="9" t="str">
        <x:v>The directional word × ordered green-pen/red-block role is held out. Source episode 213 supplies the same target manipulation under a trained near/next-to/beside prompt. The orthogonal start prevents an inverse-start shortcut.</x:v>
      </x:c>
      <x:c r="Q473" s="9"/>
      <x:c r="R473" s="10" t="n">
        <x:v>3</x:v>
      </x:c>
      <x:c r="S473" s="10"/>
      <x:c r="T473" s="9"/>
      <x:c r="U473" s="9"/>
      <x:c r="V473" s="9"/>
      <x:c r="W473" s="9"/>
      <x:c r="X473" s="10"/>
      <x:c r="Y473" s="10"/>
      <x:c r="Z473" s="9"/>
      <x:c r="AA473" s="9"/>
      <x:c r="AB473" s="9"/>
      <x:c r="AC473" s="9" t="str">
        <x:v>behind</x:v>
      </x:c>
      <x:c r="AD473" s="9" t="str">
        <x:v>green pen</x:v>
      </x:c>
      <x:c r="AE473" s="9" t="str">
        <x:v>red block</x:v>
      </x:c>
      <x:c r="AF473" s="9" t="str">
        <x:v>None</x:v>
      </x:c>
      <x:c r="AG473" s="9"/>
      <x:c r="AH473" s="9"/>
      <x:c r="AI473" s="11"/>
      <x:c r="AJ473" s="9"/>
      <x:c r="AK473" s="9" t="str">
        <x:v>Eval_Relational_Placement (1).xlsm</x:v>
      </x:c>
      <x:c r="AL473" s="9" t="str">
        <x:v>GR00T vision-only Results</x:v>
      </x:c>
      <x:c r="AM473" s="9" t="n">
        <x:v>23</x:v>
      </x:c>
      <x:c r="AN473" s="9" t="n">
        <x:v>23</x:v>
      </x:c>
    </x:row>
    <x:row r="474">
      <x:c r="A474" s="9" t="str">
        <x:v>Success</x:v>
      </x:c>
      <x:c r="B474" s="9" t="str">
        <x:v>Relational Placement</x:v>
      </x:c>
      <x:c r="C474" s="10" t="n">
        <x:v>22</x:v>
      </x:c>
      <x:c r="D474" s="9" t="str">
        <x:v>Place the red block in front of the green pen.</x:v>
      </x:c>
      <x:c r="E474" s="9" t="str">
        <x:v>green pen, red block, pink marker</x:v>
      </x:c>
      <x:c r="F474" s="9" t="str">
        <x:v>red block → 2–8 cm edge gap in front of green pen; centroid direction within ±45°.</x:v>
      </x:c>
      <x:c r="G474" s="9"/>
      <x:c r="H474" s="9" t="str">
        <x:v>Concept/compositional transfer</x:v>
      </x:c>
      <x:c r="I474" s="9" t="str">
        <x:v>RP-CT-CF01</x:v>
      </x:c>
      <x:c r="J474" s="9" t="str">
        <x:v>Four-way held-out counterfactual: relation polarity × target/reference role</x:v>
      </x:c>
      <x:c r="K474" s="9" t="n">
        <x:v>20</x:v>
      </x:c>
      <x:c r="L474" s="9" t="str">
        <x:v>259</x:v>
      </x:c>
      <x:c r="M474" s="9"/>
      <x:c r="N474" s="9"/>
      <x:c r="O474" s="9" t="str">
        <x:v>Reset both core objects to their marked poses; preserve distractors, camera, and robot start; change only the instruction.</x:v>
      </x:c>
      <x:c r="P474" s="9" t="str">
        <x:v>The directional word × ordered green-pen/red-block role is held out. Source episode 259 supplies the same target manipulation under a trained near/next-to/beside prompt. The orthogonal start prevents an inverse-start shortcut.</x:v>
      </x:c>
      <x:c r="Q474" s="9"/>
      <x:c r="R474" s="10" t="n">
        <x:v>3</x:v>
      </x:c>
      <x:c r="S474" s="10"/>
      <x:c r="T474" s="9"/>
      <x:c r="U474" s="9"/>
      <x:c r="V474" s="9"/>
      <x:c r="W474" s="9"/>
      <x:c r="X474" s="10"/>
      <x:c r="Y474" s="10"/>
      <x:c r="Z474" s="9"/>
      <x:c r="AA474" s="9"/>
      <x:c r="AB474" s="9"/>
      <x:c r="AC474" s="9" t="str">
        <x:v>front</x:v>
      </x:c>
      <x:c r="AD474" s="9" t="str">
        <x:v>red block</x:v>
      </x:c>
      <x:c r="AE474" s="9" t="str">
        <x:v>green pen</x:v>
      </x:c>
      <x:c r="AF474" s="9" t="str">
        <x:v>None</x:v>
      </x:c>
      <x:c r="AG474" s="9"/>
      <x:c r="AH474" s="9"/>
      <x:c r="AI474" s="11"/>
      <x:c r="AJ474" s="9"/>
      <x:c r="AK474" s="9" t="str">
        <x:v>Eval_Relational_Placement (1).xlsm</x:v>
      </x:c>
      <x:c r="AL474" s="9" t="str">
        <x:v>GR00T vision-only Results</x:v>
      </x:c>
      <x:c r="AM474" s="9" t="n">
        <x:v>24</x:v>
      </x:c>
      <x:c r="AN474" s="9" t="n">
        <x:v>24</x:v>
      </x:c>
    </x:row>
    <x:row r="475">
      <x:c r="A475" s="9" t="str">
        <x:v>Success</x:v>
      </x:c>
      <x:c r="B475" s="9" t="str">
        <x:v>Relational Placement</x:v>
      </x:c>
      <x:c r="C475" s="10" t="n">
        <x:v>23</x:v>
      </x:c>
      <x:c r="D475" s="9" t="str">
        <x:v>Place the red block behind the green pen.</x:v>
      </x:c>
      <x:c r="E475" s="9" t="str">
        <x:v>green pen, red block, pink marker</x:v>
      </x:c>
      <x:c r="F475" s="9" t="str">
        <x:v>red block → 2–8 cm edge gap behind green pen; centroid direction within ±45°.</x:v>
      </x:c>
      <x:c r="G475" s="9"/>
      <x:c r="H475" s="9" t="str">
        <x:v>Concept/compositional transfer</x:v>
      </x:c>
      <x:c r="I475" s="9" t="str">
        <x:v>RP-CT-CF01</x:v>
      </x:c>
      <x:c r="J475" s="9" t="str">
        <x:v>Four-way held-out counterfactual: relation polarity × target/reference role</x:v>
      </x:c>
      <x:c r="K475" s="9" t="n">
        <x:v>20</x:v>
      </x:c>
      <x:c r="L475" s="9" t="str">
        <x:v>272</x:v>
      </x:c>
      <x:c r="M475" s="9"/>
      <x:c r="N475" s="9"/>
      <x:c r="O475" s="9" t="str">
        <x:v>Reset both core objects to their marked poses; preserve distractors, camera, and robot start; change only the instruction.</x:v>
      </x:c>
      <x:c r="P475" s="9" t="str">
        <x:v>The directional word × ordered green-pen/red-block role is held out. Source episode 272 supplies the same target manipulation under a trained near/next-to/beside prompt. The orthogonal start prevents an inverse-start shortcut.</x:v>
      </x:c>
      <x:c r="Q475" s="9"/>
      <x:c r="R475" s="10" t="n">
        <x:v>3</x:v>
      </x:c>
      <x:c r="S475" s="10"/>
      <x:c r="T475" s="9"/>
      <x:c r="U475" s="9"/>
      <x:c r="V475" s="9"/>
      <x:c r="W475" s="9"/>
      <x:c r="X475" s="10"/>
      <x:c r="Y475" s="10"/>
      <x:c r="Z475" s="9"/>
      <x:c r="AA475" s="9"/>
      <x:c r="AB475" s="9"/>
      <x:c r="AC475" s="9" t="str">
        <x:v>behind</x:v>
      </x:c>
      <x:c r="AD475" s="9" t="str">
        <x:v>red block</x:v>
      </x:c>
      <x:c r="AE475" s="9" t="str">
        <x:v>green pen</x:v>
      </x:c>
      <x:c r="AF475" s="9" t="str">
        <x:v>None</x:v>
      </x:c>
      <x:c r="AG475" s="9"/>
      <x:c r="AH475" s="9"/>
      <x:c r="AI475" s="11"/>
      <x:c r="AJ475" s="9"/>
      <x:c r="AK475" s="9" t="str">
        <x:v>Eval_Relational_Placement (1).xlsm</x:v>
      </x:c>
      <x:c r="AL475" s="9" t="str">
        <x:v>GR00T vision-only Results</x:v>
      </x:c>
      <x:c r="AM475" s="9" t="n">
        <x:v>25</x:v>
      </x:c>
      <x:c r="AN475" s="9" t="n">
        <x:v>25</x:v>
      </x:c>
    </x:row>
    <x:row r="476">
      <x:c r="A476" s="9" t="str">
        <x:v>Success</x:v>
      </x:c>
      <x:c r="B476" s="9" t="str">
        <x:v>Relational Placement</x:v>
      </x:c>
      <x:c r="C476" s="10" t="n">
        <x:v>24</x:v>
      </x:c>
      <x:c r="D476" s="9" t="str">
        <x:v>Place the green pen in front of the red block.</x:v>
      </x:c>
      <x:c r="E476" s="9" t="str">
        <x:v>green pen, red block, blue block, pink marker</x:v>
      </x:c>
      <x:c r="F476" s="9" t="str">
        <x:v>green pen → 2–8 cm edge gap in front of red block; centroid direction within ±45°.</x:v>
      </x:c>
      <x:c r="G476" s="9"/>
      <x:c r="H476" s="9" t="str">
        <x:v>Concept/compositional transfer</x:v>
      </x:c>
      <x:c r="I476" s="9" t="str">
        <x:v>RP-CT-CF02</x:v>
      </x:c>
      <x:c r="J476" s="9" t="str">
        <x:v>Four-way held-out counterfactual: relation polarity × target/reference role</x:v>
      </x:c>
      <x:c r="K476" s="9"/>
      <x:c r="L476" s="9" t="str">
        <x:v>202</x:v>
      </x:c>
      <x:c r="M476" s="9"/>
      <x:c r="N476" s="9"/>
      <x:c r="O476" s="9" t="str">
        <x:v>Build the listed neutral-axis scene and save the first frame.</x:v>
      </x:c>
      <x:c r="P476" s="9" t="str">
        <x:v>The directional word × ordered green-pen/red-block role is held out. Source episode 202 supplies the same target manipulation under a trained near/next-to/beside prompt. The orthogonal start prevents an inverse-start shortcut.</x:v>
      </x:c>
      <x:c r="Q476" s="9"/>
      <x:c r="R476" s="10" t="n">
        <x:v>4</x:v>
      </x:c>
      <x:c r="S476" s="10"/>
      <x:c r="T476" s="9"/>
      <x:c r="U476" s="9"/>
      <x:c r="V476" s="9"/>
      <x:c r="W476" s="9"/>
      <x:c r="X476" s="10"/>
      <x:c r="Y476" s="10"/>
      <x:c r="Z476" s="9"/>
      <x:c r="AA476" s="9"/>
      <x:c r="AB476" s="9"/>
      <x:c r="AC476" s="9" t="str">
        <x:v>front</x:v>
      </x:c>
      <x:c r="AD476" s="9" t="str">
        <x:v>green pen</x:v>
      </x:c>
      <x:c r="AE476" s="9" t="str">
        <x:v>red block</x:v>
      </x:c>
      <x:c r="AF476" s="9" t="str">
        <x:v>None</x:v>
      </x:c>
      <x:c r="AG476" s="9"/>
      <x:c r="AH476" s="9"/>
      <x:c r="AI476" s="11"/>
      <x:c r="AJ476" s="9"/>
      <x:c r="AK476" s="9" t="str">
        <x:v>Eval_Relational_Placement (1).xlsm</x:v>
      </x:c>
      <x:c r="AL476" s="9" t="str">
        <x:v>GR00T vision-only Results</x:v>
      </x:c>
      <x:c r="AM476" s="9" t="n">
        <x:v>26</x:v>
      </x:c>
      <x:c r="AN476" s="9" t="n">
        <x:v>26</x:v>
      </x:c>
    </x:row>
    <x:row r="477">
      <x:c r="A477" s="9" t="str">
        <x:v>Success</x:v>
      </x:c>
      <x:c r="B477" s="9" t="str">
        <x:v>Relational Placement</x:v>
      </x:c>
      <x:c r="C477" s="10" t="n">
        <x:v>25</x:v>
      </x:c>
      <x:c r="D477" s="9" t="str">
        <x:v>Place the green pen behind the red block.</x:v>
      </x:c>
      <x:c r="E477" s="9" t="str">
        <x:v>green pen, red block, blue block, pink marker</x:v>
      </x:c>
      <x:c r="F477" s="9" t="str">
        <x:v>green pen → 2–8 cm edge gap behind red block; centroid direction within ±45°.</x:v>
      </x:c>
      <x:c r="G477" s="9"/>
      <x:c r="H477" s="9" t="str">
        <x:v>Concept/compositional transfer</x:v>
      </x:c>
      <x:c r="I477" s="9" t="str">
        <x:v>RP-CT-CF02</x:v>
      </x:c>
      <x:c r="J477" s="9" t="str">
        <x:v>Four-way held-out counterfactual: relation polarity × target/reference role</x:v>
      </x:c>
      <x:c r="K477" s="9" t="n">
        <x:v>24</x:v>
      </x:c>
      <x:c r="L477" s="9" t="str">
        <x:v>214</x:v>
      </x:c>
      <x:c r="M477" s="9"/>
      <x:c r="N477" s="9"/>
      <x:c r="O477" s="9" t="str">
        <x:v>Reset both core objects to their marked poses; preserve distractors, camera, and robot start; change only the instruction.</x:v>
      </x:c>
      <x:c r="P477" s="9" t="str">
        <x:v>The directional word × ordered green-pen/red-block role is held out. Source episode 214 supplies the same target manipulation under a trained near/next-to/beside prompt. The orthogonal start prevents an inverse-start shortcut.</x:v>
      </x:c>
      <x:c r="Q477" s="9"/>
      <x:c r="R477" s="10" t="n">
        <x:v>4</x:v>
      </x:c>
      <x:c r="S477" s="10"/>
      <x:c r="T477" s="9"/>
      <x:c r="U477" s="9"/>
      <x:c r="V477" s="9"/>
      <x:c r="W477" s="9"/>
      <x:c r="X477" s="10"/>
      <x:c r="Y477" s="10"/>
      <x:c r="Z477" s="9"/>
      <x:c r="AA477" s="9"/>
      <x:c r="AB477" s="9"/>
      <x:c r="AC477" s="9" t="str">
        <x:v>behind</x:v>
      </x:c>
      <x:c r="AD477" s="9" t="str">
        <x:v>green pen</x:v>
      </x:c>
      <x:c r="AE477" s="9" t="str">
        <x:v>red block</x:v>
      </x:c>
      <x:c r="AF477" s="9" t="str">
        <x:v>None</x:v>
      </x:c>
      <x:c r="AG477" s="9"/>
      <x:c r="AH477" s="9"/>
      <x:c r="AI477" s="11"/>
      <x:c r="AJ477" s="9"/>
      <x:c r="AK477" s="9" t="str">
        <x:v>Eval_Relational_Placement (1).xlsm</x:v>
      </x:c>
      <x:c r="AL477" s="9" t="str">
        <x:v>GR00T vision-only Results</x:v>
      </x:c>
      <x:c r="AM477" s="9" t="n">
        <x:v>27</x:v>
      </x:c>
      <x:c r="AN477" s="9" t="n">
        <x:v>27</x:v>
      </x:c>
    </x:row>
    <x:row r="478">
      <x:c r="A478" s="9" t="str">
        <x:v>Success</x:v>
      </x:c>
      <x:c r="B478" s="9" t="str">
        <x:v>Relational Placement</x:v>
      </x:c>
      <x:c r="C478" s="10" t="n">
        <x:v>26</x:v>
      </x:c>
      <x:c r="D478" s="9" t="str">
        <x:v>Place the red block in front of the green pen.</x:v>
      </x:c>
      <x:c r="E478" s="9" t="str">
        <x:v>green pen, red block, blue block, pink marker</x:v>
      </x:c>
      <x:c r="F478" s="9" t="str">
        <x:v>red block → 2–8 cm edge gap in front of green pen; centroid direction within ±45°.</x:v>
      </x:c>
      <x:c r="G478" s="9"/>
      <x:c r="H478" s="9" t="str">
        <x:v>Concept/compositional transfer</x:v>
      </x:c>
      <x:c r="I478" s="9" t="str">
        <x:v>RP-CT-CF02</x:v>
      </x:c>
      <x:c r="J478" s="9" t="str">
        <x:v>Four-way held-out counterfactual: relation polarity × target/reference role</x:v>
      </x:c>
      <x:c r="K478" s="9" t="n">
        <x:v>24</x:v>
      </x:c>
      <x:c r="L478" s="9" t="str">
        <x:v>260</x:v>
      </x:c>
      <x:c r="M478" s="9"/>
      <x:c r="N478" s="9"/>
      <x:c r="O478" s="9" t="str">
        <x:v>Reset both core objects to their marked poses; preserve distractors, camera, and robot start; change only the instruction.</x:v>
      </x:c>
      <x:c r="P478" s="9" t="str">
        <x:v>The directional word × ordered green-pen/red-block role is held out. Source episode 260 supplies the same target manipulation under a trained near/next-to/beside prompt. The orthogonal start prevents an inverse-start shortcut.</x:v>
      </x:c>
      <x:c r="Q478" s="9"/>
      <x:c r="R478" s="10" t="n">
        <x:v>4</x:v>
      </x:c>
      <x:c r="S478" s="10"/>
      <x:c r="T478" s="9"/>
      <x:c r="U478" s="9"/>
      <x:c r="V478" s="9"/>
      <x:c r="W478" s="9"/>
      <x:c r="X478" s="10"/>
      <x:c r="Y478" s="10"/>
      <x:c r="Z478" s="9"/>
      <x:c r="AA478" s="9"/>
      <x:c r="AB478" s="9"/>
      <x:c r="AC478" s="9" t="str">
        <x:v>front</x:v>
      </x:c>
      <x:c r="AD478" s="9" t="str">
        <x:v>red block</x:v>
      </x:c>
      <x:c r="AE478" s="9" t="str">
        <x:v>green pen</x:v>
      </x:c>
      <x:c r="AF478" s="9" t="str">
        <x:v>None</x:v>
      </x:c>
      <x:c r="AG478" s="9"/>
      <x:c r="AH478" s="9"/>
      <x:c r="AI478" s="11"/>
      <x:c r="AJ478" s="9"/>
      <x:c r="AK478" s="9" t="str">
        <x:v>Eval_Relational_Placement (1).xlsm</x:v>
      </x:c>
      <x:c r="AL478" s="9" t="str">
        <x:v>GR00T vision-only Results</x:v>
      </x:c>
      <x:c r="AM478" s="9" t="n">
        <x:v>28</x:v>
      </x:c>
      <x:c r="AN478" s="9" t="n">
        <x:v>28</x:v>
      </x:c>
    </x:row>
    <x:row r="479">
      <x:c r="A479" s="9" t="str">
        <x:v>Success</x:v>
      </x:c>
      <x:c r="B479" s="9" t="str">
        <x:v>Relational Placement</x:v>
      </x:c>
      <x:c r="C479" s="10" t="n">
        <x:v>27</x:v>
      </x:c>
      <x:c r="D479" s="9" t="str">
        <x:v>Place the red block behind the green pen.</x:v>
      </x:c>
      <x:c r="E479" s="9" t="str">
        <x:v>green pen, red block, blue block, pink marker</x:v>
      </x:c>
      <x:c r="F479" s="9" t="str">
        <x:v>red block → 2–8 cm edge gap behind green pen; centroid direction within ±45°.</x:v>
      </x:c>
      <x:c r="G479" s="9" t="str">
        <x:v>more to the right of the pink marker but also back of green pen. I'll count it</x:v>
      </x:c>
      <x:c r="H479" s="9" t="str">
        <x:v>Concept/compositional transfer</x:v>
      </x:c>
      <x:c r="I479" s="9" t="str">
        <x:v>RP-CT-CF02</x:v>
      </x:c>
      <x:c r="J479" s="9" t="str">
        <x:v>Four-way held-out counterfactual: relation polarity × target/reference role</x:v>
      </x:c>
      <x:c r="K479" s="9" t="n">
        <x:v>24</x:v>
      </x:c>
      <x:c r="L479" s="9" t="str">
        <x:v>273</x:v>
      </x:c>
      <x:c r="M479" s="9"/>
      <x:c r="N479" s="9"/>
      <x:c r="O479" s="9" t="str">
        <x:v>Reset both core objects to their marked poses; preserve distractors, camera, and robot start; change only the instruction.</x:v>
      </x:c>
      <x:c r="P479" s="9" t="str">
        <x:v>The directional word × ordered green-pen/red-block role is held out. Source episode 273 supplies the same target manipulation under a trained near/next-to/beside prompt. The orthogonal start prevents an inverse-start shortcut.</x:v>
      </x:c>
      <x:c r="Q479" s="9"/>
      <x:c r="R479" s="10" t="n">
        <x:v>4</x:v>
      </x:c>
      <x:c r="S479" s="10"/>
      <x:c r="T479" s="9"/>
      <x:c r="U479" s="9"/>
      <x:c r="V479" s="9"/>
      <x:c r="W479" s="9"/>
      <x:c r="X479" s="10"/>
      <x:c r="Y479" s="10"/>
      <x:c r="Z479" s="9"/>
      <x:c r="AA479" s="9"/>
      <x:c r="AB479" s="9"/>
      <x:c r="AC479" s="9" t="str">
        <x:v>behind</x:v>
      </x:c>
      <x:c r="AD479" s="9" t="str">
        <x:v>red block</x:v>
      </x:c>
      <x:c r="AE479" s="9" t="str">
        <x:v>green pen</x:v>
      </x:c>
      <x:c r="AF479" s="9" t="str">
        <x:v>None</x:v>
      </x:c>
      <x:c r="AG479" s="9"/>
      <x:c r="AH479" s="9"/>
      <x:c r="AI479" s="11"/>
      <x:c r="AJ479" s="9"/>
      <x:c r="AK479" s="9" t="str">
        <x:v>Eval_Relational_Placement (1).xlsm</x:v>
      </x:c>
      <x:c r="AL479" s="9" t="str">
        <x:v>GR00T vision-only Results</x:v>
      </x:c>
      <x:c r="AM479" s="9" t="n">
        <x:v>29</x:v>
      </x:c>
      <x:c r="AN479" s="9" t="n">
        <x:v>29</x:v>
      </x:c>
    </x:row>
    <x:row r="480">
      <x:c r="A480" s="9" t="str">
        <x:v>Success</x:v>
      </x:c>
      <x:c r="B480" s="9" t="str">
        <x:v>Relational Placement</x:v>
      </x:c>
      <x:c r="C480" s="10" t="n">
        <x:v>28</x:v>
      </x:c>
      <x:c r="D480" s="9" t="str">
        <x:v>Place the green pen in front of the red block.</x:v>
      </x:c>
      <x:c r="E480" s="9" t="str">
        <x:v>green pen, red block, pink marker</x:v>
      </x:c>
      <x:c r="F480" s="9" t="str">
        <x:v>green pen → 2–8 cm edge gap in front of red block; centroid direction within ±45°.</x:v>
      </x:c>
      <x:c r="G480" s="9"/>
      <x:c r="H480" s="9" t="str">
        <x:v>Concept/compositional transfer</x:v>
      </x:c>
      <x:c r="I480" s="9" t="str">
        <x:v>RP-CT-CF03</x:v>
      </x:c>
      <x:c r="J480" s="9" t="str">
        <x:v>Four-way held-out counterfactual: relation polarity × target/reference role</x:v>
      </x:c>
      <x:c r="K480" s="9"/>
      <x:c r="L480" s="9" t="str">
        <x:v>203</x:v>
      </x:c>
      <x:c r="M480" s="9"/>
      <x:c r="N480" s="9"/>
      <x:c r="O480" s="9" t="str">
        <x:v>Build the listed neutral-axis scene and save the first frame.</x:v>
      </x:c>
      <x:c r="P480" s="9" t="str">
        <x:v>The directional word × ordered green-pen/red-block role is held out. Source episode 203 supplies the same target manipulation under a trained near/next-to/beside prompt. The orthogonal start prevents an inverse-start shortcut.</x:v>
      </x:c>
      <x:c r="Q480" s="9"/>
      <x:c r="R480" s="10" t="n">
        <x:v>3</x:v>
      </x:c>
      <x:c r="S480" s="10"/>
      <x:c r="T480" s="9"/>
      <x:c r="U480" s="9"/>
      <x:c r="V480" s="9"/>
      <x:c r="W480" s="9"/>
      <x:c r="X480" s="10"/>
      <x:c r="Y480" s="10"/>
      <x:c r="Z480" s="9"/>
      <x:c r="AA480" s="9"/>
      <x:c r="AB480" s="9"/>
      <x:c r="AC480" s="9" t="str">
        <x:v>front</x:v>
      </x:c>
      <x:c r="AD480" s="9" t="str">
        <x:v>green pen</x:v>
      </x:c>
      <x:c r="AE480" s="9" t="str">
        <x:v>red block</x:v>
      </x:c>
      <x:c r="AF480" s="9" t="str">
        <x:v>None</x:v>
      </x:c>
      <x:c r="AG480" s="9"/>
      <x:c r="AH480" s="9"/>
      <x:c r="AI480" s="11"/>
      <x:c r="AJ480" s="9"/>
      <x:c r="AK480" s="9" t="str">
        <x:v>Eval_Relational_Placement (1).xlsm</x:v>
      </x:c>
      <x:c r="AL480" s="9" t="str">
        <x:v>GR00T vision-only Results</x:v>
      </x:c>
      <x:c r="AM480" s="9" t="n">
        <x:v>30</x:v>
      </x:c>
      <x:c r="AN480" s="9" t="n">
        <x:v>30</x:v>
      </x:c>
    </x:row>
    <x:row r="481">
      <x:c r="A481" s="9" t="str">
        <x:v>Failure</x:v>
      </x:c>
      <x:c r="B481" s="9" t="str">
        <x:v>Relational Placement</x:v>
      </x:c>
      <x:c r="C481" s="10" t="n">
        <x:v>29</x:v>
      </x:c>
      <x:c r="D481" s="9" t="str">
        <x:v>Place the green pen behind the red block.</x:v>
      </x:c>
      <x:c r="E481" s="9" t="str">
        <x:v>green pen, red block, pink marker</x:v>
      </x:c>
      <x:c r="F481" s="9" t="str">
        <x:v>green pen → 2–8 cm edge gap behind red block; centroid direction within ±45°.</x:v>
      </x:c>
      <x:c r="G481" s="9" t="str">
        <x:v>picked the pen funny and dropped it to the right of the red block; did go back to pick it up, but timed out</x:v>
      </x:c>
      <x:c r="H481" s="9" t="str">
        <x:v>Concept/compositional transfer</x:v>
      </x:c>
      <x:c r="I481" s="9" t="str">
        <x:v>RP-CT-CF03</x:v>
      </x:c>
      <x:c r="J481" s="9" t="str">
        <x:v>Four-way held-out counterfactual: relation polarity × target/reference role</x:v>
      </x:c>
      <x:c r="K481" s="9" t="n">
        <x:v>28</x:v>
      </x:c>
      <x:c r="L481" s="9" t="str">
        <x:v>215</x:v>
      </x:c>
      <x:c r="M481" s="9"/>
      <x:c r="N481" s="9"/>
      <x:c r="O481" s="9" t="str">
        <x:v>Reset both core objects to their marked poses; preserve distractors, camera, and robot start; change only the instruction.</x:v>
      </x:c>
      <x:c r="P481" s="9" t="str">
        <x:v>The directional word × ordered green-pen/red-block role is held out. Source episode 215 supplies the same target manipulation under a trained near/next-to/beside prompt. The orthogonal start prevents an inverse-start shortcut.</x:v>
      </x:c>
      <x:c r="Q481" s="9"/>
      <x:c r="R481" s="10" t="n">
        <x:v>3</x:v>
      </x:c>
      <x:c r="S481" s="10"/>
      <x:c r="T481" s="9"/>
      <x:c r="U481" s="9"/>
      <x:c r="V481" s="9"/>
      <x:c r="W481" s="9"/>
      <x:c r="X481" s="10"/>
      <x:c r="Y481" s="10"/>
      <x:c r="Z481" s="9"/>
      <x:c r="AA481" s="9"/>
      <x:c r="AB481" s="9"/>
      <x:c r="AC481" s="9" t="str">
        <x:v>behind</x:v>
      </x:c>
      <x:c r="AD481" s="9" t="str">
        <x:v>green pen</x:v>
      </x:c>
      <x:c r="AE481" s="9" t="str">
        <x:v>red block</x:v>
      </x:c>
      <x:c r="AF481" s="9" t="str">
        <x:v>None</x:v>
      </x:c>
      <x:c r="AG481" s="9"/>
      <x:c r="AH481" s="9"/>
      <x:c r="AI481" s="11"/>
      <x:c r="AJ481" s="9"/>
      <x:c r="AK481" s="9" t="str">
        <x:v>Eval_Relational_Placement (1).xlsm</x:v>
      </x:c>
      <x:c r="AL481" s="9" t="str">
        <x:v>GR00T vision-only Results</x:v>
      </x:c>
      <x:c r="AM481" s="9" t="n">
        <x:v>31</x:v>
      </x:c>
      <x:c r="AN481" s="9" t="n">
        <x:v>31</x:v>
      </x:c>
    </x:row>
    <x:row r="482">
      <x:c r="A482" s="9" t="str">
        <x:v>Success</x:v>
      </x:c>
      <x:c r="B482" s="9" t="str">
        <x:v>Relational Placement</x:v>
      </x:c>
      <x:c r="C482" s="10" t="n">
        <x:v>30</x:v>
      </x:c>
      <x:c r="D482" s="9" t="str">
        <x:v>Place the red block in front of the green pen.</x:v>
      </x:c>
      <x:c r="E482" s="9" t="str">
        <x:v>green pen, red block, pink marker</x:v>
      </x:c>
      <x:c r="F482" s="9" t="str">
        <x:v>red block → 2–8 cm edge gap in front of green pen; centroid direction within ±45°.</x:v>
      </x:c>
      <x:c r="G482" s="9"/>
      <x:c r="H482" s="9" t="str">
        <x:v>Concept/compositional transfer</x:v>
      </x:c>
      <x:c r="I482" s="9" t="str">
        <x:v>RP-CT-CF03</x:v>
      </x:c>
      <x:c r="J482" s="9" t="str">
        <x:v>Four-way held-out counterfactual: relation polarity × target/reference role</x:v>
      </x:c>
      <x:c r="K482" s="9" t="n">
        <x:v>28</x:v>
      </x:c>
      <x:c r="L482" s="9" t="str">
        <x:v>261</x:v>
      </x:c>
      <x:c r="M482" s="9"/>
      <x:c r="N482" s="9"/>
      <x:c r="O482" s="9" t="str">
        <x:v>Reset both core objects to their marked poses; preserve distractors, camera, and robot start; change only the instruction.</x:v>
      </x:c>
      <x:c r="P482" s="9" t="str">
        <x:v>The directional word × ordered green-pen/red-block role is held out. Source episode 261 supplies the same target manipulation under a trained near/next-to/beside prompt. The orthogonal start prevents an inverse-start shortcut.</x:v>
      </x:c>
      <x:c r="Q482" s="9"/>
      <x:c r="R482" s="10" t="n">
        <x:v>3</x:v>
      </x:c>
      <x:c r="S482" s="10"/>
      <x:c r="T482" s="9"/>
      <x:c r="U482" s="9"/>
      <x:c r="V482" s="9"/>
      <x:c r="W482" s="9"/>
      <x:c r="X482" s="10"/>
      <x:c r="Y482" s="10"/>
      <x:c r="Z482" s="9"/>
      <x:c r="AA482" s="9"/>
      <x:c r="AB482" s="9"/>
      <x:c r="AC482" s="9" t="str">
        <x:v>front</x:v>
      </x:c>
      <x:c r="AD482" s="9" t="str">
        <x:v>red block</x:v>
      </x:c>
      <x:c r="AE482" s="9" t="str">
        <x:v>green pen</x:v>
      </x:c>
      <x:c r="AF482" s="9" t="str">
        <x:v>None</x:v>
      </x:c>
      <x:c r="AG482" s="9"/>
      <x:c r="AH482" s="9"/>
      <x:c r="AI482" s="11"/>
      <x:c r="AJ482" s="9"/>
      <x:c r="AK482" s="9" t="str">
        <x:v>Eval_Relational_Placement (1).xlsm</x:v>
      </x:c>
      <x:c r="AL482" s="9" t="str">
        <x:v>GR00T vision-only Results</x:v>
      </x:c>
      <x:c r="AM482" s="9" t="n">
        <x:v>32</x:v>
      </x:c>
      <x:c r="AN482" s="9" t="n">
        <x:v>32</x:v>
      </x:c>
    </x:row>
    <x:row r="483">
      <x:c r="A483" s="9" t="str">
        <x:v>Success</x:v>
      </x:c>
      <x:c r="B483" s="9" t="str">
        <x:v>Relational Placement</x:v>
      </x:c>
      <x:c r="C483" s="10" t="n">
        <x:v>31</x:v>
      </x:c>
      <x:c r="D483" s="9" t="str">
        <x:v>Place the red block behind the green pen.</x:v>
      </x:c>
      <x:c r="E483" s="9" t="str">
        <x:v>green pen, red block, pink marker</x:v>
      </x:c>
      <x:c r="F483" s="9" t="str">
        <x:v>red block → 2–8 cm edge gap behind green pen; centroid direction within ±45°.</x:v>
      </x:c>
      <x:c r="G483" s="9"/>
      <x:c r="H483" s="9" t="str">
        <x:v>Concept/compositional transfer</x:v>
      </x:c>
      <x:c r="I483" s="9" t="str">
        <x:v>RP-CT-CF03</x:v>
      </x:c>
      <x:c r="J483" s="9" t="str">
        <x:v>Four-way held-out counterfactual: relation polarity × target/reference role</x:v>
      </x:c>
      <x:c r="K483" s="9" t="n">
        <x:v>28</x:v>
      </x:c>
      <x:c r="L483" s="9" t="str">
        <x:v>274</x:v>
      </x:c>
      <x:c r="M483" s="9"/>
      <x:c r="N483" s="9"/>
      <x:c r="O483" s="9" t="str">
        <x:v>Reset both core objects to their marked poses; preserve distractors, camera, and robot start; change only the instruction.</x:v>
      </x:c>
      <x:c r="P483" s="9" t="str">
        <x:v>The directional word × ordered green-pen/red-block role is held out. Source episode 274 supplies the same target manipulation under a trained near/next-to/beside prompt. The orthogonal start prevents an inverse-start shortcut.</x:v>
      </x:c>
      <x:c r="Q483" s="9"/>
      <x:c r="R483" s="10" t="n">
        <x:v>3</x:v>
      </x:c>
      <x:c r="S483" s="10"/>
      <x:c r="T483" s="9"/>
      <x:c r="U483" s="9"/>
      <x:c r="V483" s="9"/>
      <x:c r="W483" s="9"/>
      <x:c r="X483" s="10"/>
      <x:c r="Y483" s="10"/>
      <x:c r="Z483" s="9"/>
      <x:c r="AA483" s="9"/>
      <x:c r="AB483" s="9"/>
      <x:c r="AC483" s="9" t="str">
        <x:v>behind</x:v>
      </x:c>
      <x:c r="AD483" s="9" t="str">
        <x:v>red block</x:v>
      </x:c>
      <x:c r="AE483" s="9" t="str">
        <x:v>green pen</x:v>
      </x:c>
      <x:c r="AF483" s="9" t="str">
        <x:v>None</x:v>
      </x:c>
      <x:c r="AG483" s="9"/>
      <x:c r="AH483" s="9"/>
      <x:c r="AI483" s="11"/>
      <x:c r="AJ483" s="9"/>
      <x:c r="AK483" s="9" t="str">
        <x:v>Eval_Relational_Placement (1).xlsm</x:v>
      </x:c>
      <x:c r="AL483" s="9" t="str">
        <x:v>GR00T vision-only Results</x:v>
      </x:c>
      <x:c r="AM483" s="9" t="n">
        <x:v>33</x:v>
      </x:c>
      <x:c r="AN483" s="9" t="n">
        <x:v>33</x:v>
      </x:c>
    </x:row>
    <x:row r="484">
      <x:c r="A484" s="9" t="str">
        <x:v>Failure</x:v>
      </x:c>
      <x:c r="B484" s="9" t="str">
        <x:v>Relational Placement</x:v>
      </x:c>
      <x:c r="C484" s="10" t="n">
        <x:v>32</x:v>
      </x:c>
      <x:c r="D484" s="9" t="str">
        <x:v>Place the green pen to the left of the red block.</x:v>
      </x:c>
      <x:c r="E484" s="9" t="str">
        <x:v>green pen, red block, blue block, pink marker</x:v>
      </x:c>
      <x:c r="F484" s="9" t="str">
        <x:v>green pen → 2–8 cm edge gap to the left of red block; centroid direction within ±45°.</x:v>
      </x:c>
      <x:c r="G484" s="9" t="str">
        <x:v>moved towards the red block but was at the back and never moved to the left; didn't let go of object and timed out</x:v>
      </x:c>
      <x:c r="H484" s="9" t="str">
        <x:v>Concept/compositional transfer</x:v>
      </x:c>
      <x:c r="I484" s="9" t="str">
        <x:v>RP-CT-CF04</x:v>
      </x:c>
      <x:c r="J484" s="9" t="str">
        <x:v>Four-way held-out counterfactual: relation polarity × target/reference role</x:v>
      </x:c>
      <x:c r="K484" s="9"/>
      <x:c r="L484" s="9" t="str">
        <x:v>227</x:v>
      </x:c>
      <x:c r="M484" s="9"/>
      <x:c r="N484" s="9"/>
      <x:c r="O484" s="9" t="str">
        <x:v>Build the listed neutral-axis scene and save the first frame.</x:v>
      </x:c>
      <x:c r="P484" s="9" t="str">
        <x:v>The directional word × ordered green-pen/red-block role is held out. Source episode 227 supplies the same target manipulation under a trained near/next-to/beside prompt. The orthogonal start prevents an inverse-start shortcut.</x:v>
      </x:c>
      <x:c r="Q484" s="9"/>
      <x:c r="R484" s="10" t="n">
        <x:v>4</x:v>
      </x:c>
      <x:c r="S484" s="10"/>
      <x:c r="T484" s="9"/>
      <x:c r="U484" s="9"/>
      <x:c r="V484" s="9"/>
      <x:c r="W484" s="9"/>
      <x:c r="X484" s="10"/>
      <x:c r="Y484" s="10"/>
      <x:c r="Z484" s="9"/>
      <x:c r="AA484" s="9"/>
      <x:c r="AB484" s="9"/>
      <x:c r="AC484" s="9" t="str">
        <x:v>left</x:v>
      </x:c>
      <x:c r="AD484" s="9" t="str">
        <x:v>green pen</x:v>
      </x:c>
      <x:c r="AE484" s="9" t="str">
        <x:v>red block</x:v>
      </x:c>
      <x:c r="AF484" s="9" t="str">
        <x:v>None</x:v>
      </x:c>
      <x:c r="AG484" s="9"/>
      <x:c r="AH484" s="9"/>
      <x:c r="AI484" s="11"/>
      <x:c r="AJ484" s="9"/>
      <x:c r="AK484" s="9" t="str">
        <x:v>Eval_Relational_Placement (1).xlsm</x:v>
      </x:c>
      <x:c r="AL484" s="9" t="str">
        <x:v>GR00T vision-only Results</x:v>
      </x:c>
      <x:c r="AM484" s="9" t="n">
        <x:v>34</x:v>
      </x:c>
      <x:c r="AN484" s="9" t="n">
        <x:v>34</x:v>
      </x:c>
    </x:row>
    <x:row r="485">
      <x:c r="A485" s="9" t="str">
        <x:v>Success</x:v>
      </x:c>
      <x:c r="B485" s="9" t="str">
        <x:v>Relational Placement</x:v>
      </x:c>
      <x:c r="C485" s="10" t="n">
        <x:v>33</x:v>
      </x:c>
      <x:c r="D485" s="9" t="str">
        <x:v>Place the green pen to the right of the red block.</x:v>
      </x:c>
      <x:c r="E485" s="9" t="str">
        <x:v>green pen, red block, blue block, pink marker</x:v>
      </x:c>
      <x:c r="F485" s="9" t="str">
        <x:v>green pen → 2–8 cm edge gap to the right of red block; centroid direction within ±45°.</x:v>
      </x:c>
      <x:c r="G485" s="9"/>
      <x:c r="H485" s="9" t="str">
        <x:v>Concept/compositional transfer</x:v>
      </x:c>
      <x:c r="I485" s="9" t="str">
        <x:v>RP-CT-CF04</x:v>
      </x:c>
      <x:c r="J485" s="9" t="str">
        <x:v>Four-way held-out counterfactual: relation polarity × target/reference role</x:v>
      </x:c>
      <x:c r="K485" s="9" t="n">
        <x:v>32</x:v>
      </x:c>
      <x:c r="L485" s="9" t="str">
        <x:v>239</x:v>
      </x:c>
      <x:c r="M485" s="9"/>
      <x:c r="N485" s="9"/>
      <x:c r="O485" s="9" t="str">
        <x:v>Reset both core objects to their marked poses; preserve distractors, camera, and robot start; change only the instruction.</x:v>
      </x:c>
      <x:c r="P485" s="9" t="str">
        <x:v>The directional word × ordered green-pen/red-block role is held out. Source episode 239 supplies the same target manipulation under a trained near/next-to/beside prompt. The orthogonal start prevents an inverse-start shortcut.</x:v>
      </x:c>
      <x:c r="Q485" s="9"/>
      <x:c r="R485" s="10" t="n">
        <x:v>4</x:v>
      </x:c>
      <x:c r="S485" s="10"/>
      <x:c r="T485" s="9"/>
      <x:c r="U485" s="9"/>
      <x:c r="V485" s="9"/>
      <x:c r="W485" s="9"/>
      <x:c r="X485" s="10"/>
      <x:c r="Y485" s="10"/>
      <x:c r="Z485" s="9"/>
      <x:c r="AA485" s="9"/>
      <x:c r="AB485" s="9"/>
      <x:c r="AC485" s="9" t="str">
        <x:v>right</x:v>
      </x:c>
      <x:c r="AD485" s="9" t="str">
        <x:v>green pen</x:v>
      </x:c>
      <x:c r="AE485" s="9" t="str">
        <x:v>red block</x:v>
      </x:c>
      <x:c r="AF485" s="9" t="str">
        <x:v>None</x:v>
      </x:c>
      <x:c r="AG485" s="9"/>
      <x:c r="AH485" s="9"/>
      <x:c r="AI485" s="11"/>
      <x:c r="AJ485" s="9"/>
      <x:c r="AK485" s="9" t="str">
        <x:v>Eval_Relational_Placement (1).xlsm</x:v>
      </x:c>
      <x:c r="AL485" s="9" t="str">
        <x:v>GR00T vision-only Results</x:v>
      </x:c>
      <x:c r="AM485" s="9" t="n">
        <x:v>35</x:v>
      </x:c>
      <x:c r="AN485" s="9" t="n">
        <x:v>35</x:v>
      </x:c>
    </x:row>
    <x:row r="486">
      <x:c r="A486" s="9" t="str">
        <x:v>Success</x:v>
      </x:c>
      <x:c r="B486" s="9" t="str">
        <x:v>Relational Placement</x:v>
      </x:c>
      <x:c r="C486" s="10" t="n">
        <x:v>34</x:v>
      </x:c>
      <x:c r="D486" s="9" t="str">
        <x:v>Place the red block to the left of the green pen.</x:v>
      </x:c>
      <x:c r="E486" s="9" t="str">
        <x:v>green pen, red block, blue block, pink marker</x:v>
      </x:c>
      <x:c r="F486" s="9" t="str">
        <x:v>red block → 2–8 cm edge gap to the left of green pen; centroid direction within ±45°.</x:v>
      </x:c>
      <x:c r="G486" s="9" t="str">
        <x:v>didn't fully go home, but I'll count it. Struggled on the release</x:v>
      </x:c>
      <x:c r="H486" s="9" t="str">
        <x:v>Concept/compositional transfer</x:v>
      </x:c>
      <x:c r="I486" s="9" t="str">
        <x:v>RP-CT-CF04</x:v>
      </x:c>
      <x:c r="J486" s="9" t="str">
        <x:v>Four-way held-out counterfactual: relation polarity × target/reference role</x:v>
      </x:c>
      <x:c r="K486" s="9" t="n">
        <x:v>32</x:v>
      </x:c>
      <x:c r="L486" s="9" t="str">
        <x:v>285</x:v>
      </x:c>
      <x:c r="M486" s="9"/>
      <x:c r="N486" s="9"/>
      <x:c r="O486" s="9" t="str">
        <x:v>Reset both core objects to their marked poses; preserve distractors, camera, and robot start; change only the instruction.</x:v>
      </x:c>
      <x:c r="P486" s="9" t="str">
        <x:v>The directional word × ordered green-pen/red-block role is held out. Source episode 285 supplies the same target manipulation under a trained near/next-to/beside prompt. The orthogonal start prevents an inverse-start shortcut.</x:v>
      </x:c>
      <x:c r="Q486" s="9"/>
      <x:c r="R486" s="10" t="n">
        <x:v>4</x:v>
      </x:c>
      <x:c r="S486" s="10"/>
      <x:c r="T486" s="9"/>
      <x:c r="U486" s="9"/>
      <x:c r="V486" s="9"/>
      <x:c r="W486" s="9"/>
      <x:c r="X486" s="10"/>
      <x:c r="Y486" s="10"/>
      <x:c r="Z486" s="9"/>
      <x:c r="AA486" s="9"/>
      <x:c r="AB486" s="9"/>
      <x:c r="AC486" s="9" t="str">
        <x:v>left</x:v>
      </x:c>
      <x:c r="AD486" s="9" t="str">
        <x:v>red block</x:v>
      </x:c>
      <x:c r="AE486" s="9" t="str">
        <x:v>green pen</x:v>
      </x:c>
      <x:c r="AF486" s="9" t="str">
        <x:v>None</x:v>
      </x:c>
      <x:c r="AG486" s="9"/>
      <x:c r="AH486" s="9"/>
      <x:c r="AI486" s="11"/>
      <x:c r="AJ486" s="9"/>
      <x:c r="AK486" s="9" t="str">
        <x:v>Eval_Relational_Placement (1).xlsm</x:v>
      </x:c>
      <x:c r="AL486" s="9" t="str">
        <x:v>GR00T vision-only Results</x:v>
      </x:c>
      <x:c r="AM486" s="9" t="n">
        <x:v>36</x:v>
      </x:c>
      <x:c r="AN486" s="9" t="n">
        <x:v>36</x:v>
      </x:c>
    </x:row>
    <x:row r="487">
      <x:c r="A487" s="9" t="str">
        <x:v>Success</x:v>
      </x:c>
      <x:c r="B487" s="9" t="str">
        <x:v>Relational Placement</x:v>
      </x:c>
      <x:c r="C487" s="10" t="n">
        <x:v>35</x:v>
      </x:c>
      <x:c r="D487" s="9" t="str">
        <x:v>Place the red block to the right of the green pen.</x:v>
      </x:c>
      <x:c r="E487" s="9" t="str">
        <x:v>green pen, red block, blue block, pink marker</x:v>
      </x:c>
      <x:c r="F487" s="9" t="str">
        <x:v>red block → 2–8 cm edge gap to the right of green pen; centroid direction within ±45°.</x:v>
      </x:c>
      <x:c r="G487" s="9"/>
      <x:c r="H487" s="9" t="str">
        <x:v>Concept/compositional transfer</x:v>
      </x:c>
      <x:c r="I487" s="9" t="str">
        <x:v>RP-CT-CF04</x:v>
      </x:c>
      <x:c r="J487" s="9" t="str">
        <x:v>Four-way held-out counterfactual: relation polarity × target/reference role</x:v>
      </x:c>
      <x:c r="K487" s="9" t="n">
        <x:v>32</x:v>
      </x:c>
      <x:c r="L487" s="9" t="str">
        <x:v>298</x:v>
      </x:c>
      <x:c r="M487" s="9"/>
      <x:c r="N487" s="9"/>
      <x:c r="O487" s="9" t="str">
        <x:v>Reset both core objects to their marked poses; preserve distractors, camera, and robot start; change only the instruction.</x:v>
      </x:c>
      <x:c r="P487" s="9" t="str">
        <x:v>The directional word × ordered green-pen/red-block role is held out. Source episode 298 supplies the same target manipulation under a trained near/next-to/beside prompt. The orthogonal start prevents an inverse-start shortcut.</x:v>
      </x:c>
      <x:c r="Q487" s="9"/>
      <x:c r="R487" s="10" t="n">
        <x:v>4</x:v>
      </x:c>
      <x:c r="S487" s="10"/>
      <x:c r="T487" s="9"/>
      <x:c r="U487" s="9"/>
      <x:c r="V487" s="9"/>
      <x:c r="W487" s="9"/>
      <x:c r="X487" s="10"/>
      <x:c r="Y487" s="10"/>
      <x:c r="Z487" s="9"/>
      <x:c r="AA487" s="9"/>
      <x:c r="AB487" s="9"/>
      <x:c r="AC487" s="9" t="str">
        <x:v>right</x:v>
      </x:c>
      <x:c r="AD487" s="9" t="str">
        <x:v>red block</x:v>
      </x:c>
      <x:c r="AE487" s="9" t="str">
        <x:v>green pen</x:v>
      </x:c>
      <x:c r="AF487" s="9" t="str">
        <x:v>None</x:v>
      </x:c>
      <x:c r="AG487" s="9"/>
      <x:c r="AH487" s="9"/>
      <x:c r="AI487" s="11"/>
      <x:c r="AJ487" s="9"/>
      <x:c r="AK487" s="9" t="str">
        <x:v>Eval_Relational_Placement (1).xlsm</x:v>
      </x:c>
      <x:c r="AL487" s="9" t="str">
        <x:v>GR00T vision-only Results</x:v>
      </x:c>
      <x:c r="AM487" s="9" t="n">
        <x:v>37</x:v>
      </x:c>
      <x:c r="AN487" s="9" t="n">
        <x:v>37</x:v>
      </x:c>
    </x:row>
    <x:row r="488">
      <x:c r="A488" s="9" t="str">
        <x:v>Success</x:v>
      </x:c>
      <x:c r="B488" s="9" t="str">
        <x:v>Relational Placement</x:v>
      </x:c>
      <x:c r="C488" s="10" t="n">
        <x:v>36</x:v>
      </x:c>
      <x:c r="D488" s="9" t="str">
        <x:v>Place the green pen to the left of the red block.</x:v>
      </x:c>
      <x:c r="E488" s="9" t="str">
        <x:v>green pen, red block, pink marker</x:v>
      </x:c>
      <x:c r="F488" s="9" t="str">
        <x:v>green pen → 2–8 cm edge gap to the left of red block; centroid direction within ±45°.</x:v>
      </x:c>
      <x:c r="G488" s="9"/>
      <x:c r="H488" s="9" t="str">
        <x:v>Concept/compositional transfer</x:v>
      </x:c>
      <x:c r="I488" s="9" t="str">
        <x:v>RP-CT-CF05</x:v>
      </x:c>
      <x:c r="J488" s="9" t="str">
        <x:v>Four-way held-out counterfactual: relation polarity × target/reference role</x:v>
      </x:c>
      <x:c r="K488" s="9"/>
      <x:c r="L488" s="9" t="str">
        <x:v>226</x:v>
      </x:c>
      <x:c r="M488" s="9"/>
      <x:c r="N488" s="9"/>
      <x:c r="O488" s="9" t="str">
        <x:v>Build the listed neutral-axis scene and save the first frame.</x:v>
      </x:c>
      <x:c r="P488" s="9" t="str">
        <x:v>The directional word × ordered green-pen/red-block role is held out. Source episode 226 supplies the same target manipulation under a trained near/next-to/beside prompt. The orthogonal start prevents an inverse-start shortcut.</x:v>
      </x:c>
      <x:c r="Q488" s="9"/>
      <x:c r="R488" s="10" t="n">
        <x:v>3</x:v>
      </x:c>
      <x:c r="S488" s="10"/>
      <x:c r="T488" s="9"/>
      <x:c r="U488" s="9"/>
      <x:c r="V488" s="9"/>
      <x:c r="W488" s="9"/>
      <x:c r="X488" s="10"/>
      <x:c r="Y488" s="10"/>
      <x:c r="Z488" s="9"/>
      <x:c r="AA488" s="9"/>
      <x:c r="AB488" s="9"/>
      <x:c r="AC488" s="9" t="str">
        <x:v>left</x:v>
      </x:c>
      <x:c r="AD488" s="9" t="str">
        <x:v>green pen</x:v>
      </x:c>
      <x:c r="AE488" s="9" t="str">
        <x:v>red block</x:v>
      </x:c>
      <x:c r="AF488" s="9" t="str">
        <x:v>None</x:v>
      </x:c>
      <x:c r="AG488" s="9"/>
      <x:c r="AH488" s="9"/>
      <x:c r="AI488" s="11"/>
      <x:c r="AJ488" s="9"/>
      <x:c r="AK488" s="9" t="str">
        <x:v>Eval_Relational_Placement (1).xlsm</x:v>
      </x:c>
      <x:c r="AL488" s="9" t="str">
        <x:v>GR00T vision-only Results</x:v>
      </x:c>
      <x:c r="AM488" s="9" t="n">
        <x:v>38</x:v>
      </x:c>
      <x:c r="AN488" s="9" t="n">
        <x:v>38</x:v>
      </x:c>
    </x:row>
    <x:row r="489">
      <x:c r="A489" s="9" t="str">
        <x:v>Success</x:v>
      </x:c>
      <x:c r="B489" s="9" t="str">
        <x:v>Relational Placement</x:v>
      </x:c>
      <x:c r="C489" s="10" t="n">
        <x:v>37</x:v>
      </x:c>
      <x:c r="D489" s="9" t="str">
        <x:v>Place the green pen to the right of the red block.</x:v>
      </x:c>
      <x:c r="E489" s="9" t="str">
        <x:v>green pen, red block, pink marker</x:v>
      </x:c>
      <x:c r="F489" s="9" t="str">
        <x:v>green pen → 2–8 cm edge gap to the right of red block; centroid direction within ±45°.</x:v>
      </x:c>
      <x:c r="G489" s="9"/>
      <x:c r="H489" s="9" t="str">
        <x:v>Concept/compositional transfer</x:v>
      </x:c>
      <x:c r="I489" s="9" t="str">
        <x:v>RP-CT-CF05</x:v>
      </x:c>
      <x:c r="J489" s="9" t="str">
        <x:v>Four-way held-out counterfactual: relation polarity × target/reference role</x:v>
      </x:c>
      <x:c r="K489" s="9" t="n">
        <x:v>36</x:v>
      </x:c>
      <x:c r="L489" s="9" t="str">
        <x:v>238</x:v>
      </x:c>
      <x:c r="M489" s="9"/>
      <x:c r="N489" s="9"/>
      <x:c r="O489" s="9" t="str">
        <x:v>Reset both core objects to their marked poses; preserve distractors, camera, and robot start; change only the instruction.</x:v>
      </x:c>
      <x:c r="P489" s="9" t="str">
        <x:v>The directional word × ordered green-pen/red-block role is held out. Source episode 238 supplies the same target manipulation under a trained near/next-to/beside prompt. The orthogonal start prevents an inverse-start shortcut.</x:v>
      </x:c>
      <x:c r="Q489" s="9"/>
      <x:c r="R489" s="10" t="n">
        <x:v>3</x:v>
      </x:c>
      <x:c r="S489" s="10"/>
      <x:c r="T489" s="9"/>
      <x:c r="U489" s="9"/>
      <x:c r="V489" s="9"/>
      <x:c r="W489" s="9"/>
      <x:c r="X489" s="10"/>
      <x:c r="Y489" s="10"/>
      <x:c r="Z489" s="9"/>
      <x:c r="AA489" s="9"/>
      <x:c r="AB489" s="9"/>
      <x:c r="AC489" s="9" t="str">
        <x:v>right</x:v>
      </x:c>
      <x:c r="AD489" s="9" t="str">
        <x:v>green pen</x:v>
      </x:c>
      <x:c r="AE489" s="9" t="str">
        <x:v>red block</x:v>
      </x:c>
      <x:c r="AF489" s="9" t="str">
        <x:v>None</x:v>
      </x:c>
      <x:c r="AG489" s="9"/>
      <x:c r="AH489" s="9"/>
      <x:c r="AI489" s="11"/>
      <x:c r="AJ489" s="9"/>
      <x:c r="AK489" s="9" t="str">
        <x:v>Eval_Relational_Placement (1).xlsm</x:v>
      </x:c>
      <x:c r="AL489" s="9" t="str">
        <x:v>GR00T vision-only Results</x:v>
      </x:c>
      <x:c r="AM489" s="9" t="n">
        <x:v>39</x:v>
      </x:c>
      <x:c r="AN489" s="9" t="n">
        <x:v>39</x:v>
      </x:c>
    </x:row>
    <x:row r="490">
      <x:c r="A490" s="9" t="str">
        <x:v>Success</x:v>
      </x:c>
      <x:c r="B490" s="9" t="str">
        <x:v>Relational Placement</x:v>
      </x:c>
      <x:c r="C490" s="10" t="n">
        <x:v>38</x:v>
      </x:c>
      <x:c r="D490" s="9" t="str">
        <x:v>Place the red block to the left of the green pen.</x:v>
      </x:c>
      <x:c r="E490" s="9" t="str">
        <x:v>green pen, red block, pink marker</x:v>
      </x:c>
      <x:c r="F490" s="9" t="str">
        <x:v>red block → 2–8 cm edge gap to the left of green pen; centroid direction within ±45°.</x:v>
      </x:c>
      <x:c r="G490" s="9"/>
      <x:c r="H490" s="9" t="str">
        <x:v>Concept/compositional transfer</x:v>
      </x:c>
      <x:c r="I490" s="9" t="str">
        <x:v>RP-CT-CF05</x:v>
      </x:c>
      <x:c r="J490" s="9" t="str">
        <x:v>Four-way held-out counterfactual: relation polarity × target/reference role</x:v>
      </x:c>
      <x:c r="K490" s="9" t="n">
        <x:v>36</x:v>
      </x:c>
      <x:c r="L490" s="9" t="str">
        <x:v>284</x:v>
      </x:c>
      <x:c r="M490" s="9"/>
      <x:c r="N490" s="9"/>
      <x:c r="O490" s="9" t="str">
        <x:v>Reset both core objects to their marked poses; preserve distractors, camera, and robot start; change only the instruction.</x:v>
      </x:c>
      <x:c r="P490" s="9" t="str">
        <x:v>The directional word × ordered green-pen/red-block role is held out. Source episode 284 supplies the same target manipulation under a trained near/next-to/beside prompt. The orthogonal start prevents an inverse-start shortcut.</x:v>
      </x:c>
      <x:c r="Q490" s="9"/>
      <x:c r="R490" s="10" t="n">
        <x:v>3</x:v>
      </x:c>
      <x:c r="S490" s="10"/>
      <x:c r="T490" s="9"/>
      <x:c r="U490" s="9"/>
      <x:c r="V490" s="9"/>
      <x:c r="W490" s="9"/>
      <x:c r="X490" s="10"/>
      <x:c r="Y490" s="10"/>
      <x:c r="Z490" s="9"/>
      <x:c r="AA490" s="9"/>
      <x:c r="AB490" s="9"/>
      <x:c r="AC490" s="9" t="str">
        <x:v>left</x:v>
      </x:c>
      <x:c r="AD490" s="9" t="str">
        <x:v>red block</x:v>
      </x:c>
      <x:c r="AE490" s="9" t="str">
        <x:v>green pen</x:v>
      </x:c>
      <x:c r="AF490" s="9" t="str">
        <x:v>None</x:v>
      </x:c>
      <x:c r="AG490" s="9"/>
      <x:c r="AH490" s="9"/>
      <x:c r="AI490" s="11"/>
      <x:c r="AJ490" s="9"/>
      <x:c r="AK490" s="9" t="str">
        <x:v>Eval_Relational_Placement (1).xlsm</x:v>
      </x:c>
      <x:c r="AL490" s="9" t="str">
        <x:v>GR00T vision-only Results</x:v>
      </x:c>
      <x:c r="AM490" s="9" t="n">
        <x:v>40</x:v>
      </x:c>
      <x:c r="AN490" s="9" t="n">
        <x:v>40</x:v>
      </x:c>
    </x:row>
    <x:row r="491">
      <x:c r="A491" s="9" t="str">
        <x:v>Success</x:v>
      </x:c>
      <x:c r="B491" s="9" t="str">
        <x:v>Relational Placement</x:v>
      </x:c>
      <x:c r="C491" s="10" t="n">
        <x:v>39</x:v>
      </x:c>
      <x:c r="D491" s="9" t="str">
        <x:v>Place the red block to the right of the green pen.</x:v>
      </x:c>
      <x:c r="E491" s="9" t="str">
        <x:v>green pen, red block, pink marker</x:v>
      </x:c>
      <x:c r="F491" s="9" t="str">
        <x:v>red block → 2–8 cm edge gap to the right of green pen; centroid direction within ±45°.</x:v>
      </x:c>
      <x:c r="G491" s="9"/>
      <x:c r="H491" s="9" t="str">
        <x:v>Concept/compositional transfer</x:v>
      </x:c>
      <x:c r="I491" s="9" t="str">
        <x:v>RP-CT-CF05</x:v>
      </x:c>
      <x:c r="J491" s="9" t="str">
        <x:v>Four-way held-out counterfactual: relation polarity × target/reference role</x:v>
      </x:c>
      <x:c r="K491" s="9" t="n">
        <x:v>36</x:v>
      </x:c>
      <x:c r="L491" s="9" t="str">
        <x:v>297</x:v>
      </x:c>
      <x:c r="M491" s="9"/>
      <x:c r="N491" s="9"/>
      <x:c r="O491" s="9" t="str">
        <x:v>Reset both core objects to their marked poses; preserve distractors, camera, and robot start; change only the instruction.</x:v>
      </x:c>
      <x:c r="P491" s="9" t="str">
        <x:v>The directional word × ordered green-pen/red-block role is held out. Source episode 297 supplies the same target manipulation under a trained near/next-to/beside prompt. The orthogonal start prevents an inverse-start shortcut.</x:v>
      </x:c>
      <x:c r="Q491" s="9"/>
      <x:c r="R491" s="10" t="n">
        <x:v>3</x:v>
      </x:c>
      <x:c r="S491" s="10"/>
      <x:c r="T491" s="9"/>
      <x:c r="U491" s="9"/>
      <x:c r="V491" s="9"/>
      <x:c r="W491" s="9"/>
      <x:c r="X491" s="10"/>
      <x:c r="Y491" s="10"/>
      <x:c r="Z491" s="9"/>
      <x:c r="AA491" s="9"/>
      <x:c r="AB491" s="9"/>
      <x:c r="AC491" s="9" t="str">
        <x:v>right</x:v>
      </x:c>
      <x:c r="AD491" s="9" t="str">
        <x:v>red block</x:v>
      </x:c>
      <x:c r="AE491" s="9" t="str">
        <x:v>green pen</x:v>
      </x:c>
      <x:c r="AF491" s="9" t="str">
        <x:v>None</x:v>
      </x:c>
      <x:c r="AG491" s="9"/>
      <x:c r="AH491" s="9"/>
      <x:c r="AI491" s="11"/>
      <x:c r="AJ491" s="9"/>
      <x:c r="AK491" s="9" t="str">
        <x:v>Eval_Relational_Placement (1).xlsm</x:v>
      </x:c>
      <x:c r="AL491" s="9" t="str">
        <x:v>GR00T vision-only Results</x:v>
      </x:c>
      <x:c r="AM491" s="9" t="n">
        <x:v>41</x:v>
      </x:c>
      <x:c r="AN491" s="9" t="n">
        <x:v>41</x:v>
      </x:c>
    </x:row>
    <x:row r="492">
      <x:c r="A492" s="9" t="str">
        <x:v>Success</x:v>
      </x:c>
      <x:c r="B492" s="9" t="str">
        <x:v>Relational Placement</x:v>
      </x:c>
      <x:c r="C492" s="10" t="n">
        <x:v>40</x:v>
      </x:c>
      <x:c r="D492" s="9" t="str">
        <x:v>Place the green pen to the left of the red block.</x:v>
      </x:c>
      <x:c r="E492" s="9" t="str">
        <x:v>green pen, red block, blue block, pink marker</x:v>
      </x:c>
      <x:c r="F492" s="9" t="str">
        <x:v>green pen → 2–8 cm edge gap to the left of red block; centroid direction within ±45°.</x:v>
      </x:c>
      <x:c r="G492" s="9"/>
      <x:c r="H492" s="9" t="str">
        <x:v>Concept/compositional transfer</x:v>
      </x:c>
      <x:c r="I492" s="9" t="str">
        <x:v>RP-CT-CF06</x:v>
      </x:c>
      <x:c r="J492" s="9" t="str">
        <x:v>Four-way held-out counterfactual: relation polarity × target/reference role</x:v>
      </x:c>
      <x:c r="K492" s="9"/>
      <x:c r="L492" s="9" t="str">
        <x:v>227</x:v>
      </x:c>
      <x:c r="M492" s="9"/>
      <x:c r="N492" s="9"/>
      <x:c r="O492" s="9" t="str">
        <x:v>Build the listed neutral-axis scene and save the first frame.</x:v>
      </x:c>
      <x:c r="P492" s="9" t="str">
        <x:v>The directional word × ordered green-pen/red-block role is held out. Source episode 227 supplies the same target manipulation under a trained near/next-to/beside prompt. The orthogonal start prevents an inverse-start shortcut.</x:v>
      </x:c>
      <x:c r="Q492" s="9"/>
      <x:c r="R492" s="10" t="n">
        <x:v>4</x:v>
      </x:c>
      <x:c r="S492" s="10"/>
      <x:c r="T492" s="9"/>
      <x:c r="U492" s="9"/>
      <x:c r="V492" s="9"/>
      <x:c r="W492" s="9"/>
      <x:c r="X492" s="10"/>
      <x:c r="Y492" s="10"/>
      <x:c r="Z492" s="9"/>
      <x:c r="AA492" s="9"/>
      <x:c r="AB492" s="9"/>
      <x:c r="AC492" s="9" t="str">
        <x:v>left</x:v>
      </x:c>
      <x:c r="AD492" s="9" t="str">
        <x:v>green pen</x:v>
      </x:c>
      <x:c r="AE492" s="9" t="str">
        <x:v>red block</x:v>
      </x:c>
      <x:c r="AF492" s="9" t="str">
        <x:v>None</x:v>
      </x:c>
      <x:c r="AG492" s="9"/>
      <x:c r="AH492" s="9"/>
      <x:c r="AI492" s="11"/>
      <x:c r="AJ492" s="9"/>
      <x:c r="AK492" s="9" t="str">
        <x:v>Eval_Relational_Placement (1).xlsm</x:v>
      </x:c>
      <x:c r="AL492" s="9" t="str">
        <x:v>GR00T vision-only Results</x:v>
      </x:c>
      <x:c r="AM492" s="9" t="n">
        <x:v>42</x:v>
      </x:c>
      <x:c r="AN492" s="9" t="n">
        <x:v>42</x:v>
      </x:c>
    </x:row>
    <x:row r="493">
      <x:c r="A493" s="9" t="str">
        <x:v>Success</x:v>
      </x:c>
      <x:c r="B493" s="9" t="str">
        <x:v>Relational Placement</x:v>
      </x:c>
      <x:c r="C493" s="10" t="n">
        <x:v>41</x:v>
      </x:c>
      <x:c r="D493" s="9" t="str">
        <x:v>Place the green pen to the right of the red block.</x:v>
      </x:c>
      <x:c r="E493" s="9" t="str">
        <x:v>green pen, red block, blue block, pink marker</x:v>
      </x:c>
      <x:c r="F493" s="9" t="str">
        <x:v>green pen → 2–8 cm edge gap to the right of red block; centroid direction within ±45°.</x:v>
      </x:c>
      <x:c r="G493" s="9"/>
      <x:c r="H493" s="9" t="str">
        <x:v>Concept/compositional transfer</x:v>
      </x:c>
      <x:c r="I493" s="9" t="str">
        <x:v>RP-CT-CF06</x:v>
      </x:c>
      <x:c r="J493" s="9" t="str">
        <x:v>Four-way held-out counterfactual: relation polarity × target/reference role</x:v>
      </x:c>
      <x:c r="K493" s="9" t="n">
        <x:v>40</x:v>
      </x:c>
      <x:c r="L493" s="9" t="str">
        <x:v>241</x:v>
      </x:c>
      <x:c r="M493" s="9"/>
      <x:c r="N493" s="9"/>
      <x:c r="O493" s="9" t="str">
        <x:v>Reset both core objects to their marked poses; preserve distractors, camera, and robot start; change only the instruction.</x:v>
      </x:c>
      <x:c r="P493" s="9" t="str">
        <x:v>The directional word × ordered green-pen/red-block role is held out. Source episode 241 supplies the same target manipulation under a trained near/next-to/beside prompt. The orthogonal start prevents an inverse-start shortcut.</x:v>
      </x:c>
      <x:c r="Q493" s="9"/>
      <x:c r="R493" s="10" t="n">
        <x:v>4</x:v>
      </x:c>
      <x:c r="S493" s="10"/>
      <x:c r="T493" s="9"/>
      <x:c r="U493" s="9"/>
      <x:c r="V493" s="9"/>
      <x:c r="W493" s="9"/>
      <x:c r="X493" s="10"/>
      <x:c r="Y493" s="10"/>
      <x:c r="Z493" s="9"/>
      <x:c r="AA493" s="9"/>
      <x:c r="AB493" s="9"/>
      <x:c r="AC493" s="9" t="str">
        <x:v>right</x:v>
      </x:c>
      <x:c r="AD493" s="9" t="str">
        <x:v>green pen</x:v>
      </x:c>
      <x:c r="AE493" s="9" t="str">
        <x:v>red block</x:v>
      </x:c>
      <x:c r="AF493" s="9" t="str">
        <x:v>None</x:v>
      </x:c>
      <x:c r="AG493" s="9"/>
      <x:c r="AH493" s="9"/>
      <x:c r="AI493" s="11"/>
      <x:c r="AJ493" s="9"/>
      <x:c r="AK493" s="9" t="str">
        <x:v>Eval_Relational_Placement (1).xlsm</x:v>
      </x:c>
      <x:c r="AL493" s="9" t="str">
        <x:v>GR00T vision-only Results</x:v>
      </x:c>
      <x:c r="AM493" s="9" t="n">
        <x:v>43</x:v>
      </x:c>
      <x:c r="AN493" s="9" t="n">
        <x:v>43</x:v>
      </x:c>
    </x:row>
    <x:row r="494">
      <x:c r="A494" s="9" t="str">
        <x:v>Success</x:v>
      </x:c>
      <x:c r="B494" s="9" t="str">
        <x:v>Relational Placement</x:v>
      </x:c>
      <x:c r="C494" s="10" t="n">
        <x:v>42</x:v>
      </x:c>
      <x:c r="D494" s="9" t="str">
        <x:v>Place the red block to the left of the green pen.</x:v>
      </x:c>
      <x:c r="E494" s="9" t="str">
        <x:v>green pen, red block, blue block, pink marker</x:v>
      </x:c>
      <x:c r="F494" s="9" t="str">
        <x:v>red block → 2–8 cm edge gap to the left of green pen; centroid direction within ±45°.</x:v>
      </x:c>
      <x:c r="G494" s="9"/>
      <x:c r="H494" s="9" t="str">
        <x:v>Concept/compositional transfer</x:v>
      </x:c>
      <x:c r="I494" s="9" t="str">
        <x:v>RP-CT-CF06</x:v>
      </x:c>
      <x:c r="J494" s="9" t="str">
        <x:v>Four-way held-out counterfactual: relation polarity × target/reference role</x:v>
      </x:c>
      <x:c r="K494" s="9" t="n">
        <x:v>40</x:v>
      </x:c>
      <x:c r="L494" s="9" t="str">
        <x:v>285</x:v>
      </x:c>
      <x:c r="M494" s="9"/>
      <x:c r="N494" s="9"/>
      <x:c r="O494" s="9" t="str">
        <x:v>Reset both core objects to their marked poses; preserve distractors, camera, and robot start; change only the instruction.</x:v>
      </x:c>
      <x:c r="P494" s="9" t="str">
        <x:v>The directional word × ordered green-pen/red-block role is held out. Source episode 285 supplies the same target manipulation under a trained near/next-to/beside prompt. The orthogonal start prevents an inverse-start shortcut.</x:v>
      </x:c>
      <x:c r="Q494" s="9"/>
      <x:c r="R494" s="10" t="n">
        <x:v>4</x:v>
      </x:c>
      <x:c r="S494" s="10"/>
      <x:c r="T494" s="9"/>
      <x:c r="U494" s="9"/>
      <x:c r="V494" s="9"/>
      <x:c r="W494" s="9"/>
      <x:c r="X494" s="10"/>
      <x:c r="Y494" s="10"/>
      <x:c r="Z494" s="9"/>
      <x:c r="AA494" s="9"/>
      <x:c r="AB494" s="9"/>
      <x:c r="AC494" s="9" t="str">
        <x:v>left</x:v>
      </x:c>
      <x:c r="AD494" s="9" t="str">
        <x:v>red block</x:v>
      </x:c>
      <x:c r="AE494" s="9" t="str">
        <x:v>green pen</x:v>
      </x:c>
      <x:c r="AF494" s="9" t="str">
        <x:v>None</x:v>
      </x:c>
      <x:c r="AG494" s="9"/>
      <x:c r="AH494" s="9"/>
      <x:c r="AI494" s="11"/>
      <x:c r="AJ494" s="9"/>
      <x:c r="AK494" s="9" t="str">
        <x:v>Eval_Relational_Placement (1).xlsm</x:v>
      </x:c>
      <x:c r="AL494" s="9" t="str">
        <x:v>GR00T vision-only Results</x:v>
      </x:c>
      <x:c r="AM494" s="9" t="n">
        <x:v>44</x:v>
      </x:c>
      <x:c r="AN494" s="9" t="n">
        <x:v>44</x:v>
      </x:c>
    </x:row>
    <x:row r="495">
      <x:c r="A495" s="9" t="str">
        <x:v>Success</x:v>
      </x:c>
      <x:c r="B495" s="9" t="str">
        <x:v>Relational Placement</x:v>
      </x:c>
      <x:c r="C495" s="10" t="n">
        <x:v>43</x:v>
      </x:c>
      <x:c r="D495" s="9" t="str">
        <x:v>Place the red block to the right of the green pen.</x:v>
      </x:c>
      <x:c r="E495" s="9" t="str">
        <x:v>green pen, red block, blue block, pink marker</x:v>
      </x:c>
      <x:c r="F495" s="9" t="str">
        <x:v>red block → 2–8 cm edge gap to the right of green pen; centroid direction within ±45°.</x:v>
      </x:c>
      <x:c r="G495" s="9"/>
      <x:c r="H495" s="9" t="str">
        <x:v>Concept/compositional transfer</x:v>
      </x:c>
      <x:c r="I495" s="9" t="str">
        <x:v>RP-CT-CF06</x:v>
      </x:c>
      <x:c r="J495" s="9" t="str">
        <x:v>Four-way held-out counterfactual: relation polarity × target/reference role</x:v>
      </x:c>
      <x:c r="K495" s="9" t="n">
        <x:v>40</x:v>
      </x:c>
      <x:c r="L495" s="9" t="str">
        <x:v>298</x:v>
      </x:c>
      <x:c r="M495" s="9"/>
      <x:c r="N495" s="9"/>
      <x:c r="O495" s="9" t="str">
        <x:v>Reset both core objects to their marked poses; preserve distractors, camera, and robot start; change only the instruction.</x:v>
      </x:c>
      <x:c r="P495" s="9" t="str">
        <x:v>The directional word × ordered green-pen/red-block role is held out. Source episode 298 supplies the same target manipulation under a trained near/next-to/beside prompt. The orthogonal start prevents an inverse-start shortcut.</x:v>
      </x:c>
      <x:c r="Q495" s="9"/>
      <x:c r="R495" s="10" t="n">
        <x:v>4</x:v>
      </x:c>
      <x:c r="S495" s="10"/>
      <x:c r="T495" s="9"/>
      <x:c r="U495" s="9"/>
      <x:c r="V495" s="9"/>
      <x:c r="W495" s="9"/>
      <x:c r="X495" s="10"/>
      <x:c r="Y495" s="10"/>
      <x:c r="Z495" s="9"/>
      <x:c r="AA495" s="9"/>
      <x:c r="AB495" s="9"/>
      <x:c r="AC495" s="9" t="str">
        <x:v>right</x:v>
      </x:c>
      <x:c r="AD495" s="9" t="str">
        <x:v>red block</x:v>
      </x:c>
      <x:c r="AE495" s="9" t="str">
        <x:v>green pen</x:v>
      </x:c>
      <x:c r="AF495" s="9" t="str">
        <x:v>None</x:v>
      </x:c>
      <x:c r="AG495" s="9"/>
      <x:c r="AH495" s="9"/>
      <x:c r="AI495" s="11"/>
      <x:c r="AJ495" s="9"/>
      <x:c r="AK495" s="9" t="str">
        <x:v>Eval_Relational_Placement (1).xlsm</x:v>
      </x:c>
      <x:c r="AL495" s="9" t="str">
        <x:v>GR00T vision-only Results</x:v>
      </x:c>
      <x:c r="AM495" s="9" t="n">
        <x:v>45</x:v>
      </x:c>
      <x:c r="AN495" s="9" t="n">
        <x:v>45</x:v>
      </x:c>
    </x:row>
    <x:row r="496">
      <x:c r="A496" s="9" t="str">
        <x:v>Success</x:v>
      </x:c>
      <x:c r="B496" s="9" t="str">
        <x:v>Relational Placement</x:v>
      </x:c>
      <x:c r="C496" s="10" t="n">
        <x:v>44</x:v>
      </x:c>
      <x:c r="D496" s="9" t="str">
        <x:v>Place the green pen in front of the red block.</x:v>
      </x:c>
      <x:c r="E496" s="9" t="str">
        <x:v>green pen, red block, pink marker</x:v>
      </x:c>
      <x:c r="F496" s="9" t="str">
        <x:v>green pen → 2–8 cm edge gap in front of red block; centroid direction within ±45°.</x:v>
      </x:c>
      <x:c r="G496" s="9"/>
      <x:c r="H496" s="9" t="str">
        <x:v>Concept/compositional transfer</x:v>
      </x:c>
      <x:c r="I496" s="9" t="str">
        <x:v>RP-CT-N01</x:v>
      </x:c>
      <x:c r="J496" s="9" t="str">
        <x:v>Neutral-axis independent compositional-transfer scene</x:v>
      </x:c>
      <x:c r="K496" s="9"/>
      <x:c r="L496" s="9" t="str">
        <x:v>201</x:v>
      </x:c>
      <x:c r="M496" s="9"/>
      <x:c r="N496" s="9"/>
      <x:c r="O496" s="9" t="str">
        <x:v>Build the listed neutral-axis scene and save the first frame.</x:v>
      </x:c>
      <x:c r="P496" s="9" t="str">
        <x:v>Independent held-out-composition scene. Source episode 201 supplies target recognition/manipulation under the trained prompt “Place the green pen next to the red block.”. The orthogonal start removes the opposite-side shortcut.</x:v>
      </x:c>
      <x:c r="Q496" s="9"/>
      <x:c r="R496" s="10" t="n">
        <x:v>3</x:v>
      </x:c>
      <x:c r="S496" s="10"/>
      <x:c r="T496" s="9"/>
      <x:c r="U496" s="9"/>
      <x:c r="V496" s="9"/>
      <x:c r="W496" s="9"/>
      <x:c r="X496" s="10"/>
      <x:c r="Y496" s="10"/>
      <x:c r="Z496" s="9"/>
      <x:c r="AA496" s="9"/>
      <x:c r="AB496" s="9"/>
      <x:c r="AC496" s="9" t="str">
        <x:v>front</x:v>
      </x:c>
      <x:c r="AD496" s="9" t="str">
        <x:v>green pen</x:v>
      </x:c>
      <x:c r="AE496" s="9" t="str">
        <x:v>red block</x:v>
      </x:c>
      <x:c r="AF496" s="9" t="str">
        <x:v>None</x:v>
      </x:c>
      <x:c r="AG496" s="9"/>
      <x:c r="AH496" s="9"/>
      <x:c r="AI496" s="11"/>
      <x:c r="AJ496" s="9"/>
      <x:c r="AK496" s="9" t="str">
        <x:v>Eval_Relational_Placement (1).xlsm</x:v>
      </x:c>
      <x:c r="AL496" s="9" t="str">
        <x:v>GR00T vision-only Results</x:v>
      </x:c>
      <x:c r="AM496" s="9" t="n">
        <x:v>46</x:v>
      </x:c>
      <x:c r="AN496" s="9" t="n">
        <x:v>46</x:v>
      </x:c>
    </x:row>
    <x:row r="497">
      <x:c r="A497" s="9" t="str">
        <x:v>Success</x:v>
      </x:c>
      <x:c r="B497" s="9" t="str">
        <x:v>Relational Placement</x:v>
      </x:c>
      <x:c r="C497" s="10" t="n">
        <x:v>45</x:v>
      </x:c>
      <x:c r="D497" s="9" t="str">
        <x:v>Place the green pen next to the red block.</x:v>
      </x:c>
      <x:c r="E497" s="9" t="str">
        <x:v>green pen, red block, pink marker</x:v>
      </x:c>
      <x:c r="F497" s="9" t="str">
        <x:v>green pen → 2–8 cm edge gap near red block; no directional sector required.</x:v>
      </x:c>
      <x:c r="G497" s="9" t="str">
        <x:v>leaning on the block; leaning on the right side</x:v>
      </x:c>
      <x:c r="H497" s="9" t="str">
        <x:v>Matched manipulation control</x:v>
      </x:c>
      <x:c r="I497" s="9" t="str">
        <x:v>RP-CT-N01</x:v>
      </x:c>
      <x:c r="J497" s="9" t="str">
        <x:v>Exact-scene masked manipulation control</x:v>
      </x:c>
      <x:c r="K497" s="9" t="n">
        <x:v>44</x:v>
      </x:c>
      <x:c r="L497" s="9" t="str">
        <x:v>201</x:v>
      </x:c>
      <x:c r="M497" s="9"/>
      <x:c r="N497" s="9"/>
      <x:c r="O497" s="9" t="str">
        <x:v>Reset P1 to its marked pose; preserve the exact scene and use the trained control instruction.</x:v>
      </x:c>
      <x:c r="P497" s="9" t="str">
        <x:v>Exact-scene control using the final training prompt from episode 201. The target, reference, distractors, camera, and robot start match the paired transfer row.</x:v>
      </x:c>
      <x:c r="Q497" s="9"/>
      <x:c r="R497" s="10" t="n">
        <x:v>3</x:v>
      </x:c>
      <x:c r="S497" s="10"/>
      <x:c r="T497" s="9"/>
      <x:c r="U497" s="9"/>
      <x:c r="V497" s="9"/>
      <x:c r="W497" s="9"/>
      <x:c r="X497" s="10"/>
      <x:c r="Y497" s="10"/>
      <x:c r="Z497" s="9"/>
      <x:c r="AA497" s="9"/>
      <x:c r="AB497" s="9"/>
      <x:c r="AC497" s="9" t="str">
        <x:v>front</x:v>
      </x:c>
      <x:c r="AD497" s="9" t="str">
        <x:v>green pen</x:v>
      </x:c>
      <x:c r="AE497" s="9" t="str">
        <x:v>red block</x:v>
      </x:c>
      <x:c r="AF497" s="9" t="str">
        <x:v>None</x:v>
      </x:c>
      <x:c r="AG497" s="9"/>
      <x:c r="AH497" s="9"/>
      <x:c r="AI497" s="11"/>
      <x:c r="AJ497" s="9"/>
      <x:c r="AK497" s="9" t="str">
        <x:v>Eval_Relational_Placement (1).xlsm</x:v>
      </x:c>
      <x:c r="AL497" s="9" t="str">
        <x:v>GR00T vision-only Results</x:v>
      </x:c>
      <x:c r="AM497" s="9" t="n">
        <x:v>47</x:v>
      </x:c>
      <x:c r="AN497" s="9" t="n">
        <x:v>47</x:v>
      </x:c>
    </x:row>
    <x:row r="498">
      <x:c r="A498" s="9" t="str">
        <x:v>Failure</x:v>
      </x:c>
      <x:c r="B498" s="9" t="str">
        <x:v>Relational Placement</x:v>
      </x:c>
      <x:c r="C498" s="10" t="n">
        <x:v>46</x:v>
      </x:c>
      <x:c r="D498" s="9" t="str">
        <x:v>Position the green pen on the robot-facing side of the red block.</x:v>
      </x:c>
      <x:c r="E498" s="9" t="str">
        <x:v>green pen, red block, pink marker</x:v>
      </x:c>
      <x:c r="F498" s="9" t="str">
        <x:v>green pen → 2–8 cm edge gap in front of red block; centroid direction within ±45°.</x:v>
      </x:c>
      <x:c r="G498" s="9" t="str">
        <x:v>leaning on the block; leaning on the right side</x:v>
      </x:c>
      <x:c r="H498" s="9" t="str">
        <x:v>Language robustness</x:v>
      </x:c>
      <x:c r="I498" s="9" t="str">
        <x:v>RP-CT-N01</x:v>
      </x:c>
      <x:c r="J498" s="9" t="str">
        <x:v>Transfer paraphrase of concept/compositional transfer</x:v>
      </x:c>
      <x:c r="K498" s="9" t="n">
        <x:v>44</x:v>
      </x:c>
      <x:c r="L498" s="9" t="str">
        <x:v>201</x:v>
      </x:c>
      <x:c r="M498" s="9"/>
      <x:c r="N498" s="9"/>
      <x:c r="O498" s="9" t="str">
        <x:v>Reset P1 to its marked pose; preserve the exact scene and change only the wording of the transfer instruction.</x:v>
      </x:c>
      <x:c r="P498" s="9" t="str">
        <x:v>Exact-scene paraphrase of the canonical compositional-transfer instruction.</x:v>
      </x:c>
      <x:c r="Q498" s="9"/>
      <x:c r="R498" s="10" t="n">
        <x:v>3</x:v>
      </x:c>
      <x:c r="S498" s="10"/>
      <x:c r="T498" s="9"/>
      <x:c r="U498" s="9"/>
      <x:c r="V498" s="9"/>
      <x:c r="W498" s="9"/>
      <x:c r="X498" s="10"/>
      <x:c r="Y498" s="10"/>
      <x:c r="Z498" s="9"/>
      <x:c r="AA498" s="9"/>
      <x:c r="AB498" s="9"/>
      <x:c r="AC498" s="9" t="str">
        <x:v>front</x:v>
      </x:c>
      <x:c r="AD498" s="9" t="str">
        <x:v>green pen</x:v>
      </x:c>
      <x:c r="AE498" s="9" t="str">
        <x:v>red block</x:v>
      </x:c>
      <x:c r="AF498" s="9" t="str">
        <x:v>None</x:v>
      </x:c>
      <x:c r="AG498" s="9"/>
      <x:c r="AH498" s="9"/>
      <x:c r="AI498" s="11"/>
      <x:c r="AJ498" s="9"/>
      <x:c r="AK498" s="9" t="str">
        <x:v>Eval_Relational_Placement (1).xlsm</x:v>
      </x:c>
      <x:c r="AL498" s="9" t="str">
        <x:v>GR00T vision-only Results</x:v>
      </x:c>
      <x:c r="AM498" s="9" t="n">
        <x:v>48</x:v>
      </x:c>
      <x:c r="AN498" s="9" t="n">
        <x:v>48</x:v>
      </x:c>
    </x:row>
    <x:row r="499">
      <x:c r="A499" s="9" t="str">
        <x:v>Success</x:v>
      </x:c>
      <x:c r="B499" s="9" t="str">
        <x:v>Relational Placement</x:v>
      </x:c>
      <x:c r="C499" s="10" t="n">
        <x:v>47</x:v>
      </x:c>
      <x:c r="D499" s="9" t="str">
        <x:v>Set the green pen down close to the red block.</x:v>
      </x:c>
      <x:c r="E499" s="9" t="str">
        <x:v>green pen, red block, pink marker</x:v>
      </x:c>
      <x:c r="F499" s="9" t="str">
        <x:v>green pen → 2–8 cm edge gap near red block; no directional sector required.</x:v>
      </x:c>
      <x:c r="G499" s="9" t="str">
        <x:v>leaning on the block; leaning on the right side</x:v>
      </x:c>
      <x:c r="H499" s="9" t="str">
        <x:v>Language robustness</x:v>
      </x:c>
      <x:c r="I499" s="9" t="str">
        <x:v>RP-CT-N01</x:v>
      </x:c>
      <x:c r="J499" s="9" t="str">
        <x:v>Matched-control paraphrase</x:v>
      </x:c>
      <x:c r="K499" s="9" t="n">
        <x:v>45</x:v>
      </x:c>
      <x:c r="L499" s="9" t="str">
        <x:v>201</x:v>
      </x:c>
      <x:c r="M499" s="9"/>
      <x:c r="N499" s="9"/>
      <x:c r="O499" s="9" t="str">
        <x:v>Reset P1 to its marked pose; preserve the exact scene and change only the wording of the matched-control instruction.</x:v>
      </x:c>
      <x:c r="P499" s="9" t="str">
        <x:v>Exact-scene paraphrase of the training-supported control from episode 201.</x:v>
      </x:c>
      <x:c r="Q499" s="9"/>
      <x:c r="R499" s="10" t="n">
        <x:v>3</x:v>
      </x:c>
      <x:c r="S499" s="10"/>
      <x:c r="T499" s="9"/>
      <x:c r="U499" s="9"/>
      <x:c r="V499" s="9"/>
      <x:c r="W499" s="9"/>
      <x:c r="X499" s="10"/>
      <x:c r="Y499" s="10"/>
      <x:c r="Z499" s="9"/>
      <x:c r="AA499" s="9"/>
      <x:c r="AB499" s="9"/>
      <x:c r="AC499" s="9" t="str">
        <x:v>front</x:v>
      </x:c>
      <x:c r="AD499" s="9" t="str">
        <x:v>green pen</x:v>
      </x:c>
      <x:c r="AE499" s="9" t="str">
        <x:v>red block</x:v>
      </x:c>
      <x:c r="AF499" s="9" t="str">
        <x:v>None</x:v>
      </x:c>
      <x:c r="AG499" s="9"/>
      <x:c r="AH499" s="9"/>
      <x:c r="AI499" s="11"/>
      <x:c r="AJ499" s="9"/>
      <x:c r="AK499" s="9" t="str">
        <x:v>Eval_Relational_Placement (1).xlsm</x:v>
      </x:c>
      <x:c r="AL499" s="9" t="str">
        <x:v>GR00T vision-only Results</x:v>
      </x:c>
      <x:c r="AM499" s="9" t="n">
        <x:v>49</x:v>
      </x:c>
      <x:c r="AN499" s="9" t="n">
        <x:v>49</x:v>
      </x:c>
    </x:row>
    <x:row r="500">
      <x:c r="A500" s="9" t="str">
        <x:v>Success</x:v>
      </x:c>
      <x:c r="B500" s="9" t="str">
        <x:v>Relational Placement</x:v>
      </x:c>
      <x:c r="C500" s="10" t="n">
        <x:v>48</x:v>
      </x:c>
      <x:c r="D500" s="9" t="str">
        <x:v>Place the green pen in front of the red block.</x:v>
      </x:c>
      <x:c r="E500" s="9" t="str">
        <x:v>green pen, red block, blue block, pink marker</x:v>
      </x:c>
      <x:c r="F500" s="9" t="str">
        <x:v>green pen → 2–8 cm edge gap in front of red block; centroid direction within ±45°.</x:v>
      </x:c>
      <x:c r="G500" s="9"/>
      <x:c r="H500" s="9" t="str">
        <x:v>Concept/compositional transfer</x:v>
      </x:c>
      <x:c r="I500" s="9" t="str">
        <x:v>RP-CT-N02</x:v>
      </x:c>
      <x:c r="J500" s="9" t="str">
        <x:v>Neutral-axis independent compositional-transfer scene</x:v>
      </x:c>
      <x:c r="K500" s="9"/>
      <x:c r="L500" s="9" t="str">
        <x:v>202</x:v>
      </x:c>
      <x:c r="M500" s="9"/>
      <x:c r="N500" s="9"/>
      <x:c r="O500" s="9" t="str">
        <x:v>Build the listed neutral-axis scene and save the first frame.</x:v>
      </x:c>
      <x:c r="P500" s="9" t="str">
        <x:v>Independent held-out-composition scene. Source episode 202 supplies target recognition/manipulation under the trained prompt “Put the green pen beside the red block.”. The orthogonal start removes the opposite-side shortcut.</x:v>
      </x:c>
      <x:c r="Q500" s="9"/>
      <x:c r="R500" s="10" t="n">
        <x:v>4</x:v>
      </x:c>
      <x:c r="S500" s="10"/>
      <x:c r="T500" s="9"/>
      <x:c r="U500" s="9"/>
      <x:c r="V500" s="9"/>
      <x:c r="W500" s="9"/>
      <x:c r="X500" s="10"/>
      <x:c r="Y500" s="10"/>
      <x:c r="Z500" s="9"/>
      <x:c r="AA500" s="9"/>
      <x:c r="AB500" s="9"/>
      <x:c r="AC500" s="9" t="str">
        <x:v>front</x:v>
      </x:c>
      <x:c r="AD500" s="9" t="str">
        <x:v>green pen</x:v>
      </x:c>
      <x:c r="AE500" s="9" t="str">
        <x:v>red block</x:v>
      </x:c>
      <x:c r="AF500" s="9" t="str">
        <x:v>None</x:v>
      </x:c>
      <x:c r="AG500" s="9"/>
      <x:c r="AH500" s="9"/>
      <x:c r="AI500" s="11"/>
      <x:c r="AJ500" s="9"/>
      <x:c r="AK500" s="9" t="str">
        <x:v>Eval_Relational_Placement (1).xlsm</x:v>
      </x:c>
      <x:c r="AL500" s="9" t="str">
        <x:v>GR00T vision-only Results</x:v>
      </x:c>
      <x:c r="AM500" s="9" t="n">
        <x:v>50</x:v>
      </x:c>
      <x:c r="AN500" s="9" t="n">
        <x:v>50</x:v>
      </x:c>
    </x:row>
    <x:row r="501">
      <x:c r="A501" s="9" t="str">
        <x:v>Success</x:v>
      </x:c>
      <x:c r="B501" s="9" t="str">
        <x:v>Relational Placement</x:v>
      </x:c>
      <x:c r="C501" s="10" t="n">
        <x:v>49</x:v>
      </x:c>
      <x:c r="D501" s="9" t="str">
        <x:v>Put the green pen beside the red block.</x:v>
      </x:c>
      <x:c r="E501" s="9" t="str">
        <x:v>green pen, red block, blue block, pink marker</x:v>
      </x:c>
      <x:c r="F501" s="9" t="str">
        <x:v>green pen → 2–8 cm edge gap near red block; no directional sector required.</x:v>
      </x:c>
      <x:c r="G501" s="9" t="str">
        <x:v>placed behind</x:v>
      </x:c>
      <x:c r="H501" s="9" t="str">
        <x:v>Matched manipulation control</x:v>
      </x:c>
      <x:c r="I501" s="9" t="str">
        <x:v>RP-CT-N02</x:v>
      </x:c>
      <x:c r="J501" s="9" t="str">
        <x:v>Exact-scene masked manipulation control</x:v>
      </x:c>
      <x:c r="K501" s="9" t="n">
        <x:v>48</x:v>
      </x:c>
      <x:c r="L501" s="9" t="str">
        <x:v>202</x:v>
      </x:c>
      <x:c r="M501" s="9"/>
      <x:c r="N501" s="9"/>
      <x:c r="O501" s="9" t="str">
        <x:v>Reset P1 to its marked pose; preserve the exact scene and use the trained control instruction.</x:v>
      </x:c>
      <x:c r="P501" s="9" t="str">
        <x:v>Exact-scene control using the final training prompt from episode 202. The target, reference, distractors, camera, and robot start match the paired transfer row.</x:v>
      </x:c>
      <x:c r="Q501" s="9"/>
      <x:c r="R501" s="10" t="n">
        <x:v>4</x:v>
      </x:c>
      <x:c r="S501" s="10"/>
      <x:c r="T501" s="9"/>
      <x:c r="U501" s="9"/>
      <x:c r="V501" s="9"/>
      <x:c r="W501" s="9"/>
      <x:c r="X501" s="10"/>
      <x:c r="Y501" s="10"/>
      <x:c r="Z501" s="9"/>
      <x:c r="AA501" s="9"/>
      <x:c r="AB501" s="9"/>
      <x:c r="AC501" s="9" t="str">
        <x:v>front</x:v>
      </x:c>
      <x:c r="AD501" s="9" t="str">
        <x:v>green pen</x:v>
      </x:c>
      <x:c r="AE501" s="9" t="str">
        <x:v>red block</x:v>
      </x:c>
      <x:c r="AF501" s="9" t="str">
        <x:v>None</x:v>
      </x:c>
      <x:c r="AG501" s="9"/>
      <x:c r="AH501" s="9"/>
      <x:c r="AI501" s="11"/>
      <x:c r="AJ501" s="9"/>
      <x:c r="AK501" s="9" t="str">
        <x:v>Eval_Relational_Placement (1).xlsm</x:v>
      </x:c>
      <x:c r="AL501" s="9" t="str">
        <x:v>GR00T vision-only Results</x:v>
      </x:c>
      <x:c r="AM501" s="9" t="n">
        <x:v>51</x:v>
      </x:c>
      <x:c r="AN501" s="9" t="n">
        <x:v>51</x:v>
      </x:c>
    </x:row>
    <x:row r="502">
      <x:c r="A502" s="9" t="str">
        <x:v>Failure</x:v>
      </x:c>
      <x:c r="B502" s="9" t="str">
        <x:v>Relational Placement</x:v>
      </x:c>
      <x:c r="C502" s="10" t="n">
        <x:v>50</x:v>
      </x:c>
      <x:c r="D502" s="9" t="str">
        <x:v>Position the green pen on the robot-facing side of the red block.</x:v>
      </x:c>
      <x:c r="E502" s="9" t="str">
        <x:v>green pen, red block, blue block, pink marker</x:v>
      </x:c>
      <x:c r="F502" s="9" t="str">
        <x:v>green pen → 2–8 cm edge gap in front of red block; centroid direction within ±45°.</x:v>
      </x:c>
      <x:c r="G502" s="9" t="str">
        <x:v>placed to the left; technically robot facing in this set up so maybe it is a success...</x:v>
      </x:c>
      <x:c r="H502" s="9" t="str">
        <x:v>Language robustness</x:v>
      </x:c>
      <x:c r="I502" s="9" t="str">
        <x:v>RP-CT-N02</x:v>
      </x:c>
      <x:c r="J502" s="9" t="str">
        <x:v>Transfer paraphrase of concept/compositional transfer</x:v>
      </x:c>
      <x:c r="K502" s="9" t="n">
        <x:v>48</x:v>
      </x:c>
      <x:c r="L502" s="9" t="str">
        <x:v>202</x:v>
      </x:c>
      <x:c r="M502" s="9"/>
      <x:c r="N502" s="9"/>
      <x:c r="O502" s="9" t="str">
        <x:v>Reset P1 to its marked pose; preserve the exact scene and change only the wording of the transfer instruction.</x:v>
      </x:c>
      <x:c r="P502" s="9" t="str">
        <x:v>Exact-scene paraphrase of the canonical compositional-transfer instruction.</x:v>
      </x:c>
      <x:c r="Q502" s="9"/>
      <x:c r="R502" s="10" t="n">
        <x:v>4</x:v>
      </x:c>
      <x:c r="S502" s="10"/>
      <x:c r="T502" s="9"/>
      <x:c r="U502" s="9"/>
      <x:c r="V502" s="9"/>
      <x:c r="W502" s="9"/>
      <x:c r="X502" s="10"/>
      <x:c r="Y502" s="10"/>
      <x:c r="Z502" s="9"/>
      <x:c r="AA502" s="9"/>
      <x:c r="AB502" s="9"/>
      <x:c r="AC502" s="9" t="str">
        <x:v>front</x:v>
      </x:c>
      <x:c r="AD502" s="9" t="str">
        <x:v>green pen</x:v>
      </x:c>
      <x:c r="AE502" s="9" t="str">
        <x:v>red block</x:v>
      </x:c>
      <x:c r="AF502" s="9" t="str">
        <x:v>None</x:v>
      </x:c>
      <x:c r="AG502" s="9"/>
      <x:c r="AH502" s="9"/>
      <x:c r="AI502" s="11"/>
      <x:c r="AJ502" s="9"/>
      <x:c r="AK502" s="9" t="str">
        <x:v>Eval_Relational_Placement (1).xlsm</x:v>
      </x:c>
      <x:c r="AL502" s="9" t="str">
        <x:v>GR00T vision-only Results</x:v>
      </x:c>
      <x:c r="AM502" s="9" t="n">
        <x:v>52</x:v>
      </x:c>
      <x:c r="AN502" s="9" t="n">
        <x:v>52</x:v>
      </x:c>
    </x:row>
    <x:row r="503">
      <x:c r="A503" s="9" t="str">
        <x:v>Failure</x:v>
      </x:c>
      <x:c r="B503" s="9" t="str">
        <x:v>Relational Placement</x:v>
      </x:c>
      <x:c r="C503" s="10" t="n">
        <x:v>51</x:v>
      </x:c>
      <x:c r="D503" s="9" t="str">
        <x:v>Set the green pen down close to the red block.</x:v>
      </x:c>
      <x:c r="E503" s="9" t="str">
        <x:v>green pen, red block, blue block, pink marker</x:v>
      </x:c>
      <x:c r="F503" s="9" t="str">
        <x:v>green pen → 2–8 cm edge gap near red block; no directional sector required.</x:v>
      </x:c>
      <x:c r="G503" s="9" t="str">
        <x:v>didn't let go of the pen; had it on top of the red block</x:v>
      </x:c>
      <x:c r="H503" s="9" t="str">
        <x:v>Language robustness</x:v>
      </x:c>
      <x:c r="I503" s="9" t="str">
        <x:v>RP-CT-N02</x:v>
      </x:c>
      <x:c r="J503" s="9" t="str">
        <x:v>Matched-control paraphrase</x:v>
      </x:c>
      <x:c r="K503" s="9" t="n">
        <x:v>49</x:v>
      </x:c>
      <x:c r="L503" s="9" t="str">
        <x:v>202</x:v>
      </x:c>
      <x:c r="M503" s="9"/>
      <x:c r="N503" s="9"/>
      <x:c r="O503" s="9" t="str">
        <x:v>Reset P1 to its marked pose; preserve the exact scene and change only the wording of the matched-control instruction.</x:v>
      </x:c>
      <x:c r="P503" s="9" t="str">
        <x:v>Exact-scene paraphrase of the training-supported control from episode 202.</x:v>
      </x:c>
      <x:c r="Q503" s="9"/>
      <x:c r="R503" s="10" t="n">
        <x:v>4</x:v>
      </x:c>
      <x:c r="S503" s="10"/>
      <x:c r="T503" s="9"/>
      <x:c r="U503" s="9"/>
      <x:c r="V503" s="9"/>
      <x:c r="W503" s="9"/>
      <x:c r="X503" s="10"/>
      <x:c r="Y503" s="10"/>
      <x:c r="Z503" s="9"/>
      <x:c r="AA503" s="9"/>
      <x:c r="AB503" s="9"/>
      <x:c r="AC503" s="9" t="str">
        <x:v>front</x:v>
      </x:c>
      <x:c r="AD503" s="9" t="str">
        <x:v>green pen</x:v>
      </x:c>
      <x:c r="AE503" s="9" t="str">
        <x:v>red block</x:v>
      </x:c>
      <x:c r="AF503" s="9" t="str">
        <x:v>None</x:v>
      </x:c>
      <x:c r="AG503" s="9"/>
      <x:c r="AH503" s="9"/>
      <x:c r="AI503" s="11"/>
      <x:c r="AJ503" s="9"/>
      <x:c r="AK503" s="9" t="str">
        <x:v>Eval_Relational_Placement (1).xlsm</x:v>
      </x:c>
      <x:c r="AL503" s="9" t="str">
        <x:v>GR00T vision-only Results</x:v>
      </x:c>
      <x:c r="AM503" s="9" t="n">
        <x:v>53</x:v>
      </x:c>
      <x:c r="AN503" s="9" t="n">
        <x:v>53</x:v>
      </x:c>
    </x:row>
    <x:row r="504">
      <x:c r="A504" s="9" t="str">
        <x:v>Success</x:v>
      </x:c>
      <x:c r="B504" s="9" t="str">
        <x:v>Relational Placement</x:v>
      </x:c>
      <x:c r="C504" s="10" t="n">
        <x:v>52</x:v>
      </x:c>
      <x:c r="D504" s="9" t="str">
        <x:v>Place the red block in front of the green pen.</x:v>
      </x:c>
      <x:c r="E504" s="9" t="str">
        <x:v>red block, green pen, pink marker</x:v>
      </x:c>
      <x:c r="F504" s="9" t="str">
        <x:v>red block → 2–8 cm edge gap in front of green pen; centroid direction within ±45°.</x:v>
      </x:c>
      <x:c r="G504" s="9" t="str">
        <x:v>struggled to release the block</x:v>
      </x:c>
      <x:c r="H504" s="9" t="str">
        <x:v>Concept/compositional transfer</x:v>
      </x:c>
      <x:c r="I504" s="9" t="str">
        <x:v>RP-CT-N03</x:v>
      </x:c>
      <x:c r="J504" s="9" t="str">
        <x:v>Neutral-axis independent compositional-transfer scene</x:v>
      </x:c>
      <x:c r="K504" s="9"/>
      <x:c r="L504" s="9" t="str">
        <x:v>259</x:v>
      </x:c>
      <x:c r="M504" s="9"/>
      <x:c r="N504" s="9"/>
      <x:c r="O504" s="9" t="str">
        <x:v>Build the listed neutral-axis scene and save the first frame.</x:v>
      </x:c>
      <x:c r="P504" s="9" t="str">
        <x:v>Independent held-out-composition scene. Source episode 259 supplies target recognition/manipulation under the trained prompt “Put the red block beside the green pen.”. The orthogonal start removes the opposite-side shortcut.</x:v>
      </x:c>
      <x:c r="Q504" s="9"/>
      <x:c r="R504" s="10" t="n">
        <x:v>3</x:v>
      </x:c>
      <x:c r="S504" s="10"/>
      <x:c r="T504" s="9"/>
      <x:c r="U504" s="9"/>
      <x:c r="V504" s="9"/>
      <x:c r="W504" s="9"/>
      <x:c r="X504" s="10"/>
      <x:c r="Y504" s="10"/>
      <x:c r="Z504" s="9"/>
      <x:c r="AA504" s="9"/>
      <x:c r="AB504" s="9"/>
      <x:c r="AC504" s="9" t="str">
        <x:v>front</x:v>
      </x:c>
      <x:c r="AD504" s="9" t="str">
        <x:v>red block</x:v>
      </x:c>
      <x:c r="AE504" s="9" t="str">
        <x:v>green pen</x:v>
      </x:c>
      <x:c r="AF504" s="9" t="str">
        <x:v>None</x:v>
      </x:c>
      <x:c r="AG504" s="9"/>
      <x:c r="AH504" s="9"/>
      <x:c r="AI504" s="11"/>
      <x:c r="AJ504" s="9"/>
      <x:c r="AK504" s="9" t="str">
        <x:v>Eval_Relational_Placement (1).xlsm</x:v>
      </x:c>
      <x:c r="AL504" s="9" t="str">
        <x:v>GR00T vision-only Results</x:v>
      </x:c>
      <x:c r="AM504" s="9" t="n">
        <x:v>54</x:v>
      </x:c>
      <x:c r="AN504" s="9" t="n">
        <x:v>54</x:v>
      </x:c>
    </x:row>
    <x:row r="505">
      <x:c r="A505" s="9" t="str">
        <x:v>Success</x:v>
      </x:c>
      <x:c r="B505" s="9" t="str">
        <x:v>Relational Placement</x:v>
      </x:c>
      <x:c r="C505" s="10" t="n">
        <x:v>53</x:v>
      </x:c>
      <x:c r="D505" s="9" t="str">
        <x:v>Put the red block beside the green pen.</x:v>
      </x:c>
      <x:c r="E505" s="9" t="str">
        <x:v>red block, green pen, pink marker</x:v>
      </x:c>
      <x:c r="F505" s="9" t="str">
        <x:v>red block → 2–8 cm edge gap near green pen; no directional sector required.</x:v>
      </x:c>
      <x:c r="G505" s="9" t="str">
        <x:v>placed behind/left since knocked the pen</x:v>
      </x:c>
      <x:c r="H505" s="9" t="str">
        <x:v>Matched manipulation control</x:v>
      </x:c>
      <x:c r="I505" s="9" t="str">
        <x:v>RP-CT-N03</x:v>
      </x:c>
      <x:c r="J505" s="9" t="str">
        <x:v>Exact-scene masked manipulation control</x:v>
      </x:c>
      <x:c r="K505" s="9" t="n">
        <x:v>52</x:v>
      </x:c>
      <x:c r="L505" s="9" t="str">
        <x:v>259</x:v>
      </x:c>
      <x:c r="M505" s="9"/>
      <x:c r="N505" s="9"/>
      <x:c r="O505" s="9" t="str">
        <x:v>Reset P1 to its marked pose; preserve the exact scene and use the trained control instruction.</x:v>
      </x:c>
      <x:c r="P505" s="9" t="str">
        <x:v>Exact-scene control using the final training prompt from episode 259. The target, reference, distractors, camera, and robot start match the paired transfer row.</x:v>
      </x:c>
      <x:c r="Q505" s="9"/>
      <x:c r="R505" s="10" t="n">
        <x:v>3</x:v>
      </x:c>
      <x:c r="S505" s="10"/>
      <x:c r="T505" s="9"/>
      <x:c r="U505" s="9"/>
      <x:c r="V505" s="9"/>
      <x:c r="W505" s="9"/>
      <x:c r="X505" s="10"/>
      <x:c r="Y505" s="10"/>
      <x:c r="Z505" s="9"/>
      <x:c r="AA505" s="9"/>
      <x:c r="AB505" s="9"/>
      <x:c r="AC505" s="9" t="str">
        <x:v>front</x:v>
      </x:c>
      <x:c r="AD505" s="9" t="str">
        <x:v>red block</x:v>
      </x:c>
      <x:c r="AE505" s="9" t="str">
        <x:v>green pen</x:v>
      </x:c>
      <x:c r="AF505" s="9" t="str">
        <x:v>None</x:v>
      </x:c>
      <x:c r="AG505" s="9"/>
      <x:c r="AH505" s="9"/>
      <x:c r="AI505" s="11"/>
      <x:c r="AJ505" s="9"/>
      <x:c r="AK505" s="9" t="str">
        <x:v>Eval_Relational_Placement (1).xlsm</x:v>
      </x:c>
      <x:c r="AL505" s="9" t="str">
        <x:v>GR00T vision-only Results</x:v>
      </x:c>
      <x:c r="AM505" s="9" t="n">
        <x:v>55</x:v>
      </x:c>
      <x:c r="AN505" s="9" t="n">
        <x:v>55</x:v>
      </x:c>
    </x:row>
    <x:row r="506">
      <x:c r="A506" s="9" t="str">
        <x:v>Failure</x:v>
      </x:c>
      <x:c r="B506" s="9" t="str">
        <x:v>Relational Placement</x:v>
      </x:c>
      <x:c r="C506" s="10" t="n">
        <x:v>54</x:v>
      </x:c>
      <x:c r="D506" s="9" t="str">
        <x:v>Position the red block on the robot-facing side of the green pen.</x:v>
      </x:c>
      <x:c r="E506" s="9" t="str">
        <x:v>red block, green pen, pink marker</x:v>
      </x:c>
      <x:c r="F506" s="9" t="str">
        <x:v>red block → 2–8 cm edge gap in front of green pen; centroid direction within ±45°.</x:v>
      </x:c>
      <x:c r="G506" s="9" t="str">
        <x:v>placed behind</x:v>
      </x:c>
      <x:c r="H506" s="9" t="str">
        <x:v>Language robustness</x:v>
      </x:c>
      <x:c r="I506" s="9" t="str">
        <x:v>RP-CT-N03</x:v>
      </x:c>
      <x:c r="J506" s="9" t="str">
        <x:v>Transfer paraphrase of concept/compositional transfer</x:v>
      </x:c>
      <x:c r="K506" s="9" t="n">
        <x:v>52</x:v>
      </x:c>
      <x:c r="L506" s="9" t="str">
        <x:v>259</x:v>
      </x:c>
      <x:c r="M506" s="9"/>
      <x:c r="N506" s="9"/>
      <x:c r="O506" s="9" t="str">
        <x:v>Reset P1 to its marked pose; preserve the exact scene and change only the wording of the transfer instruction.</x:v>
      </x:c>
      <x:c r="P506" s="9" t="str">
        <x:v>Exact-scene paraphrase of the canonical compositional-transfer instruction.</x:v>
      </x:c>
      <x:c r="Q506" s="9"/>
      <x:c r="R506" s="10" t="n">
        <x:v>3</x:v>
      </x:c>
      <x:c r="S506" s="10"/>
      <x:c r="T506" s="9"/>
      <x:c r="U506" s="9"/>
      <x:c r="V506" s="9"/>
      <x:c r="W506" s="9"/>
      <x:c r="X506" s="10"/>
      <x:c r="Y506" s="10"/>
      <x:c r="Z506" s="9"/>
      <x:c r="AA506" s="9"/>
      <x:c r="AB506" s="9"/>
      <x:c r="AC506" s="9" t="str">
        <x:v>front</x:v>
      </x:c>
      <x:c r="AD506" s="9" t="str">
        <x:v>red block</x:v>
      </x:c>
      <x:c r="AE506" s="9" t="str">
        <x:v>green pen</x:v>
      </x:c>
      <x:c r="AF506" s="9" t="str">
        <x:v>None</x:v>
      </x:c>
      <x:c r="AG506" s="9"/>
      <x:c r="AH506" s="9"/>
      <x:c r="AI506" s="11"/>
      <x:c r="AJ506" s="9"/>
      <x:c r="AK506" s="9" t="str">
        <x:v>Eval_Relational_Placement (1).xlsm</x:v>
      </x:c>
      <x:c r="AL506" s="9" t="str">
        <x:v>GR00T vision-only Results</x:v>
      </x:c>
      <x:c r="AM506" s="9" t="n">
        <x:v>56</x:v>
      </x:c>
      <x:c r="AN506" s="9" t="n">
        <x:v>56</x:v>
      </x:c>
    </x:row>
    <x:row r="507">
      <x:c r="A507" s="9" t="str">
        <x:v>Success</x:v>
      </x:c>
      <x:c r="B507" s="9" t="str">
        <x:v>Relational Placement</x:v>
      </x:c>
      <x:c r="C507" s="10" t="n">
        <x:v>55</x:v>
      </x:c>
      <x:c r="D507" s="9" t="str">
        <x:v>Set the red block down close to the green pen.</x:v>
      </x:c>
      <x:c r="E507" s="9" t="str">
        <x:v>red block, green pen, pink marker</x:v>
      </x:c>
      <x:c r="F507" s="9" t="str">
        <x:v>red block → 2–8 cm edge gap near green pen; no directional sector required.</x:v>
      </x:c>
      <x:c r="G507" s="9"/>
      <x:c r="H507" s="9" t="str">
        <x:v>Language robustness</x:v>
      </x:c>
      <x:c r="I507" s="9" t="str">
        <x:v>RP-CT-N03</x:v>
      </x:c>
      <x:c r="J507" s="9" t="str">
        <x:v>Matched-control paraphrase</x:v>
      </x:c>
      <x:c r="K507" s="9" t="n">
        <x:v>53</x:v>
      </x:c>
      <x:c r="L507" s="9" t="str">
        <x:v>259</x:v>
      </x:c>
      <x:c r="M507" s="9"/>
      <x:c r="N507" s="9"/>
      <x:c r="O507" s="9" t="str">
        <x:v>Reset P1 to its marked pose; preserve the exact scene and change only the wording of the matched-control instruction.</x:v>
      </x:c>
      <x:c r="P507" s="9" t="str">
        <x:v>Exact-scene paraphrase of the training-supported control from episode 259.</x:v>
      </x:c>
      <x:c r="Q507" s="9"/>
      <x:c r="R507" s="10" t="n">
        <x:v>3</x:v>
      </x:c>
      <x:c r="S507" s="10"/>
      <x:c r="T507" s="9"/>
      <x:c r="U507" s="9"/>
      <x:c r="V507" s="9"/>
      <x:c r="W507" s="9"/>
      <x:c r="X507" s="10"/>
      <x:c r="Y507" s="10"/>
      <x:c r="Z507" s="9"/>
      <x:c r="AA507" s="9"/>
      <x:c r="AB507" s="9"/>
      <x:c r="AC507" s="9" t="str">
        <x:v>front</x:v>
      </x:c>
      <x:c r="AD507" s="9" t="str">
        <x:v>red block</x:v>
      </x:c>
      <x:c r="AE507" s="9" t="str">
        <x:v>green pen</x:v>
      </x:c>
      <x:c r="AF507" s="9" t="str">
        <x:v>None</x:v>
      </x:c>
      <x:c r="AG507" s="9"/>
      <x:c r="AH507" s="9"/>
      <x:c r="AI507" s="11"/>
      <x:c r="AJ507" s="9"/>
      <x:c r="AK507" s="9" t="str">
        <x:v>Eval_Relational_Placement (1).xlsm</x:v>
      </x:c>
      <x:c r="AL507" s="9" t="str">
        <x:v>GR00T vision-only Results</x:v>
      </x:c>
      <x:c r="AM507" s="9" t="n">
        <x:v>57</x:v>
      </x:c>
      <x:c r="AN507" s="9" t="n">
        <x:v>57</x:v>
      </x:c>
    </x:row>
    <x:row r="508">
      <x:c r="A508" s="9" t="str">
        <x:v>Failure</x:v>
      </x:c>
      <x:c r="B508" s="9" t="str">
        <x:v>Relational Placement</x:v>
      </x:c>
      <x:c r="C508" s="10" t="n">
        <x:v>56</x:v>
      </x:c>
      <x:c r="D508" s="9" t="str">
        <x:v>Place the green pen behind the red block.</x:v>
      </x:c>
      <x:c r="E508" s="9" t="str">
        <x:v>green pen, red block, blue block, pink marker</x:v>
      </x:c>
      <x:c r="F508" s="9" t="str">
        <x:v>green pen → 2–8 cm edge gap behind red block; centroid direction within ±45°.</x:v>
      </x:c>
      <x:c r="G508" s="9" t="str">
        <x:v>grasped green pen funny and was recovering, but ran out of time</x:v>
      </x:c>
      <x:c r="H508" s="9" t="str">
        <x:v>Concept/compositional transfer</x:v>
      </x:c>
      <x:c r="I508" s="9" t="str">
        <x:v>RP-CT-N04</x:v>
      </x:c>
      <x:c r="J508" s="9" t="str">
        <x:v>Neutral-axis independent compositional-transfer scene</x:v>
      </x:c>
      <x:c r="K508" s="9"/>
      <x:c r="L508" s="9" t="str">
        <x:v>216</x:v>
      </x:c>
      <x:c r="M508" s="9"/>
      <x:c r="N508" s="9"/>
      <x:c r="O508" s="9" t="str">
        <x:v>Build the listed neutral-axis scene and save the first frame.</x:v>
      </x:c>
      <x:c r="P508" s="9" t="str">
        <x:v>Independent held-out-composition scene. Source episode 216 supplies target recognition/manipulation under the trained prompt “Place the green pen next to the red block.”. The orthogonal start removes the opposite-side shortcut.</x:v>
      </x:c>
      <x:c r="Q508" s="9"/>
      <x:c r="R508" s="10" t="n">
        <x:v>4</x:v>
      </x:c>
      <x:c r="S508" s="10"/>
      <x:c r="T508" s="9"/>
      <x:c r="U508" s="9"/>
      <x:c r="V508" s="9"/>
      <x:c r="W508" s="9"/>
      <x:c r="X508" s="10"/>
      <x:c r="Y508" s="10"/>
      <x:c r="Z508" s="9"/>
      <x:c r="AA508" s="9"/>
      <x:c r="AB508" s="9"/>
      <x:c r="AC508" s="9" t="str">
        <x:v>behind</x:v>
      </x:c>
      <x:c r="AD508" s="9" t="str">
        <x:v>green pen</x:v>
      </x:c>
      <x:c r="AE508" s="9" t="str">
        <x:v>red block</x:v>
      </x:c>
      <x:c r="AF508" s="9" t="str">
        <x:v>None</x:v>
      </x:c>
      <x:c r="AG508" s="9"/>
      <x:c r="AH508" s="9"/>
      <x:c r="AI508" s="11"/>
      <x:c r="AJ508" s="9"/>
      <x:c r="AK508" s="9" t="str">
        <x:v>Eval_Relational_Placement (1).xlsm</x:v>
      </x:c>
      <x:c r="AL508" s="9" t="str">
        <x:v>GR00T vision-only Results</x:v>
      </x:c>
      <x:c r="AM508" s="9" t="n">
        <x:v>58</x:v>
      </x:c>
      <x:c r="AN508" s="9" t="n">
        <x:v>58</x:v>
      </x:c>
    </x:row>
    <x:row r="509">
      <x:c r="A509" s="9" t="str">
        <x:v>Success</x:v>
      </x:c>
      <x:c r="B509" s="9" t="str">
        <x:v>Relational Placement</x:v>
      </x:c>
      <x:c r="C509" s="10" t="n">
        <x:v>57</x:v>
      </x:c>
      <x:c r="D509" s="9" t="str">
        <x:v>Place the green pen next to the red block.</x:v>
      </x:c>
      <x:c r="E509" s="9" t="str">
        <x:v>green pen, red block, blue block, pink marker</x:v>
      </x:c>
      <x:c r="F509" s="9" t="str">
        <x:v>green pen → 2–8 cm edge gap near red block; no directional sector required.</x:v>
      </x:c>
      <x:c r="G509" s="9" t="str">
        <x:v>put pen on the block but didn't let go until end of episode. didn't fully go home but I'll count it; put pen on the left side, leaning on the block</x:v>
      </x:c>
      <x:c r="H509" s="9" t="str">
        <x:v>Matched manipulation control</x:v>
      </x:c>
      <x:c r="I509" s="9" t="str">
        <x:v>RP-CT-N04</x:v>
      </x:c>
      <x:c r="J509" s="9" t="str">
        <x:v>Exact-scene masked manipulation control</x:v>
      </x:c>
      <x:c r="K509" s="9" t="n">
        <x:v>56</x:v>
      </x:c>
      <x:c r="L509" s="9" t="str">
        <x:v>216</x:v>
      </x:c>
      <x:c r="M509" s="9"/>
      <x:c r="N509" s="9"/>
      <x:c r="O509" s="9" t="str">
        <x:v>Reset P1 to its marked pose; preserve the exact scene and use the trained control instruction.</x:v>
      </x:c>
      <x:c r="P509" s="9" t="str">
        <x:v>Exact-scene control using the final training prompt from episode 216. The target, reference, distractors, camera, and robot start match the paired transfer row.</x:v>
      </x:c>
      <x:c r="Q509" s="9"/>
      <x:c r="R509" s="10" t="n">
        <x:v>4</x:v>
      </x:c>
      <x:c r="S509" s="10"/>
      <x:c r="T509" s="9"/>
      <x:c r="U509" s="9"/>
      <x:c r="V509" s="9"/>
      <x:c r="W509" s="9"/>
      <x:c r="X509" s="10"/>
      <x:c r="Y509" s="10"/>
      <x:c r="Z509" s="9"/>
      <x:c r="AA509" s="9"/>
      <x:c r="AB509" s="9"/>
      <x:c r="AC509" s="9" t="str">
        <x:v>behind</x:v>
      </x:c>
      <x:c r="AD509" s="9" t="str">
        <x:v>green pen</x:v>
      </x:c>
      <x:c r="AE509" s="9" t="str">
        <x:v>red block</x:v>
      </x:c>
      <x:c r="AF509" s="9" t="str">
        <x:v>None</x:v>
      </x:c>
      <x:c r="AG509" s="9"/>
      <x:c r="AH509" s="9"/>
      <x:c r="AI509" s="11"/>
      <x:c r="AJ509" s="9"/>
      <x:c r="AK509" s="9" t="str">
        <x:v>Eval_Relational_Placement (1).xlsm</x:v>
      </x:c>
      <x:c r="AL509" s="9" t="str">
        <x:v>GR00T vision-only Results</x:v>
      </x:c>
      <x:c r="AM509" s="9" t="n">
        <x:v>59</x:v>
      </x:c>
      <x:c r="AN509" s="9" t="n">
        <x:v>59</x:v>
      </x:c>
    </x:row>
    <x:row r="510">
      <x:c r="A510" s="9" t="str">
        <x:v>Failure</x:v>
      </x:c>
      <x:c r="B510" s="9" t="str">
        <x:v>Relational Placement</x:v>
      </x:c>
      <x:c r="C510" s="10" t="n">
        <x:v>58</x:v>
      </x:c>
      <x:c r="D510" s="9" t="str">
        <x:v>Position the green pen on the far side of the red block, away from the robot.</x:v>
      </x:c>
      <x:c r="E510" s="9" t="str">
        <x:v>green pen, red block, blue block, pink marker</x:v>
      </x:c>
      <x:c r="F510" s="9" t="str">
        <x:v>green pen → 2–8 cm edge gap behind red block; centroid direction within ±45°.</x:v>
      </x:c>
      <x:c r="G510" s="9" t="str">
        <x:v>also put pen on the block and pushed the block; didn't let go of the pen</x:v>
      </x:c>
      <x:c r="H510" s="9" t="str">
        <x:v>Language robustness</x:v>
      </x:c>
      <x:c r="I510" s="9" t="str">
        <x:v>RP-CT-N04</x:v>
      </x:c>
      <x:c r="J510" s="9" t="str">
        <x:v>Transfer paraphrase of concept/compositional transfer</x:v>
      </x:c>
      <x:c r="K510" s="9" t="n">
        <x:v>56</x:v>
      </x:c>
      <x:c r="L510" s="9" t="str">
        <x:v>216</x:v>
      </x:c>
      <x:c r="M510" s="9"/>
      <x:c r="N510" s="9"/>
      <x:c r="O510" s="9" t="str">
        <x:v>Reset P1 to its marked pose; preserve the exact scene and change only the wording of the transfer instruction.</x:v>
      </x:c>
      <x:c r="P510" s="9" t="str">
        <x:v>Exact-scene paraphrase of the canonical compositional-transfer instruction.</x:v>
      </x:c>
      <x:c r="Q510" s="9"/>
      <x:c r="R510" s="10" t="n">
        <x:v>4</x:v>
      </x:c>
      <x:c r="S510" s="10"/>
      <x:c r="T510" s="9"/>
      <x:c r="U510" s="9"/>
      <x:c r="V510" s="9"/>
      <x:c r="W510" s="9"/>
      <x:c r="X510" s="10"/>
      <x:c r="Y510" s="10"/>
      <x:c r="Z510" s="9"/>
      <x:c r="AA510" s="9"/>
      <x:c r="AB510" s="9"/>
      <x:c r="AC510" s="9" t="str">
        <x:v>behind</x:v>
      </x:c>
      <x:c r="AD510" s="9" t="str">
        <x:v>green pen</x:v>
      </x:c>
      <x:c r="AE510" s="9" t="str">
        <x:v>red block</x:v>
      </x:c>
      <x:c r="AF510" s="9" t="str">
        <x:v>None</x:v>
      </x:c>
      <x:c r="AG510" s="9"/>
      <x:c r="AH510" s="9"/>
      <x:c r="AI510" s="11"/>
      <x:c r="AJ510" s="9"/>
      <x:c r="AK510" s="9" t="str">
        <x:v>Eval_Relational_Placement (1).xlsm</x:v>
      </x:c>
      <x:c r="AL510" s="9" t="str">
        <x:v>GR00T vision-only Results</x:v>
      </x:c>
      <x:c r="AM510" s="9" t="n">
        <x:v>60</x:v>
      </x:c>
      <x:c r="AN510" s="9" t="n">
        <x:v>60</x:v>
      </x:c>
    </x:row>
    <x:row r="511">
      <x:c r="A511" s="9" t="str">
        <x:v>Failure</x:v>
      </x:c>
      <x:c r="B511" s="9" t="str">
        <x:v>Relational Placement</x:v>
      </x:c>
      <x:c r="C511" s="10" t="n">
        <x:v>59</x:v>
      </x:c>
      <x:c r="D511" s="9" t="str">
        <x:v>Set the green pen down close to the red block.</x:v>
      </x:c>
      <x:c r="E511" s="9" t="str">
        <x:v>green pen, red block, blue block, pink marker</x:v>
      </x:c>
      <x:c r="F511" s="9" t="str">
        <x:v>green pen → 2–8 cm edge gap near red block; no directional sector required.</x:v>
      </x:c>
      <x:c r="G511" s="9" t="str">
        <x:v>also put pen on the block and pushed the block; let go of the pen and fell in front of the block</x:v>
      </x:c>
      <x:c r="H511" s="9" t="str">
        <x:v>Language robustness</x:v>
      </x:c>
      <x:c r="I511" s="9" t="str">
        <x:v>RP-CT-N04</x:v>
      </x:c>
      <x:c r="J511" s="9" t="str">
        <x:v>Matched-control paraphrase</x:v>
      </x:c>
      <x:c r="K511" s="9" t="n">
        <x:v>57</x:v>
      </x:c>
      <x:c r="L511" s="9" t="str">
        <x:v>216</x:v>
      </x:c>
      <x:c r="M511" s="9"/>
      <x:c r="N511" s="9"/>
      <x:c r="O511" s="9" t="str">
        <x:v>Reset P1 to its marked pose; preserve the exact scene and change only the wording of the matched-control instruction.</x:v>
      </x:c>
      <x:c r="P511" s="9" t="str">
        <x:v>Exact-scene paraphrase of the training-supported control from episode 216.</x:v>
      </x:c>
      <x:c r="Q511" s="9"/>
      <x:c r="R511" s="10" t="n">
        <x:v>4</x:v>
      </x:c>
      <x:c r="S511" s="10"/>
      <x:c r="T511" s="9"/>
      <x:c r="U511" s="9"/>
      <x:c r="V511" s="9"/>
      <x:c r="W511" s="9"/>
      <x:c r="X511" s="10"/>
      <x:c r="Y511" s="10"/>
      <x:c r="Z511" s="9"/>
      <x:c r="AA511" s="9"/>
      <x:c r="AB511" s="9"/>
      <x:c r="AC511" s="9" t="str">
        <x:v>behind</x:v>
      </x:c>
      <x:c r="AD511" s="9" t="str">
        <x:v>green pen</x:v>
      </x:c>
      <x:c r="AE511" s="9" t="str">
        <x:v>red block</x:v>
      </x:c>
      <x:c r="AF511" s="9" t="str">
        <x:v>None</x:v>
      </x:c>
      <x:c r="AG511" s="9"/>
      <x:c r="AH511" s="9"/>
      <x:c r="AI511" s="11"/>
      <x:c r="AJ511" s="9"/>
      <x:c r="AK511" s="9" t="str">
        <x:v>Eval_Relational_Placement (1).xlsm</x:v>
      </x:c>
      <x:c r="AL511" s="9" t="str">
        <x:v>GR00T vision-only Results</x:v>
      </x:c>
      <x:c r="AM511" s="9" t="n">
        <x:v>61</x:v>
      </x:c>
      <x:c r="AN511" s="9" t="n">
        <x:v>61</x:v>
      </x:c>
    </x:row>
    <x:row r="512">
      <x:c r="A512" s="9" t="str">
        <x:v>Failure</x:v>
      </x:c>
      <x:c r="B512" s="9" t="str">
        <x:v>Relational Placement</x:v>
      </x:c>
      <x:c r="C512" s="10" t="n">
        <x:v>60</x:v>
      </x:c>
      <x:c r="D512" s="9" t="str">
        <x:v>Place the red block behind the green pen.</x:v>
      </x:c>
      <x:c r="E512" s="9" t="str">
        <x:v>red block, green pen, pink marker</x:v>
      </x:c>
      <x:c r="F512" s="9" t="str">
        <x:v>red block → 2–8 cm edge gap behind green pen; centroid direction within ±45°.</x:v>
      </x:c>
      <x:c r="G512" s="9" t="str">
        <x:v>couldn't even pick up the red block</x:v>
      </x:c>
      <x:c r="H512" s="9" t="str">
        <x:v>Concept/compositional transfer</x:v>
      </x:c>
      <x:c r="I512" s="9" t="str">
        <x:v>RP-CT-N05</x:v>
      </x:c>
      <x:c r="J512" s="9" t="str">
        <x:v>Neutral-axis independent compositional-transfer scene</x:v>
      </x:c>
      <x:c r="K512" s="9"/>
      <x:c r="L512" s="9" t="str">
        <x:v>272</x:v>
      </x:c>
      <x:c r="M512" s="9"/>
      <x:c r="N512" s="9"/>
      <x:c r="O512" s="9" t="str">
        <x:v>Build the listed neutral-axis scene and save the first frame.</x:v>
      </x:c>
      <x:c r="P512" s="9" t="str">
        <x:v>Independent held-out-composition scene. Source episode 272 supplies target recognition/manipulation under the trained prompt “Move the red block near the green pen.”. The orthogonal start removes the opposite-side shortcut.</x:v>
      </x:c>
      <x:c r="Q512" s="9"/>
      <x:c r="R512" s="10" t="n">
        <x:v>3</x:v>
      </x:c>
      <x:c r="S512" s="10"/>
      <x:c r="T512" s="9"/>
      <x:c r="U512" s="9"/>
      <x:c r="V512" s="9"/>
      <x:c r="W512" s="9"/>
      <x:c r="X512" s="10"/>
      <x:c r="Y512" s="10"/>
      <x:c r="Z512" s="9"/>
      <x:c r="AA512" s="9"/>
      <x:c r="AB512" s="9"/>
      <x:c r="AC512" s="9" t="str">
        <x:v>behind</x:v>
      </x:c>
      <x:c r="AD512" s="9" t="str">
        <x:v>red block</x:v>
      </x:c>
      <x:c r="AE512" s="9" t="str">
        <x:v>green pen</x:v>
      </x:c>
      <x:c r="AF512" s="9" t="str">
        <x:v>None</x:v>
      </x:c>
      <x:c r="AG512" s="9"/>
      <x:c r="AH512" s="9"/>
      <x:c r="AI512" s="11"/>
      <x:c r="AJ512" s="9"/>
      <x:c r="AK512" s="9" t="str">
        <x:v>Eval_Relational_Placement (1).xlsm</x:v>
      </x:c>
      <x:c r="AL512" s="9" t="str">
        <x:v>GR00T vision-only Results</x:v>
      </x:c>
      <x:c r="AM512" s="9" t="n">
        <x:v>62</x:v>
      </x:c>
      <x:c r="AN512" s="9" t="n">
        <x:v>62</x:v>
      </x:c>
    </x:row>
    <x:row r="513">
      <x:c r="A513" s="9" t="str">
        <x:v>Failure</x:v>
      </x:c>
      <x:c r="B513" s="9" t="str">
        <x:v>Relational Placement</x:v>
      </x:c>
      <x:c r="C513" s="10" t="n">
        <x:v>61</x:v>
      </x:c>
      <x:c r="D513" s="9" t="str">
        <x:v>Move the red block near the green pen.</x:v>
      </x:c>
      <x:c r="E513" s="9" t="str">
        <x:v>red block, green pen, pink marker</x:v>
      </x:c>
      <x:c r="F513" s="9" t="str">
        <x:v>red block → 2–8 cm edge gap near green pen; no directional sector required.</x:v>
      </x:c>
      <x:c r="G513" s="9" t="str">
        <x:v>succeeded reasoning; couldn't let go of the red block</x:v>
      </x:c>
      <x:c r="H513" s="9" t="str">
        <x:v>Matched manipulation control</x:v>
      </x:c>
      <x:c r="I513" s="9" t="str">
        <x:v>RP-CT-N05</x:v>
      </x:c>
      <x:c r="J513" s="9" t="str">
        <x:v>Exact-scene masked manipulation control</x:v>
      </x:c>
      <x:c r="K513" s="9" t="n">
        <x:v>60</x:v>
      </x:c>
      <x:c r="L513" s="9" t="str">
        <x:v>272</x:v>
      </x:c>
      <x:c r="M513" s="9"/>
      <x:c r="N513" s="9"/>
      <x:c r="O513" s="9" t="str">
        <x:v>Reset P1 to its marked pose; preserve the exact scene and use the trained control instruction.</x:v>
      </x:c>
      <x:c r="P513" s="9" t="str">
        <x:v>Exact-scene control using the final training prompt from episode 272. The target, reference, distractors, camera, and robot start match the paired transfer row.</x:v>
      </x:c>
      <x:c r="Q513" s="9"/>
      <x:c r="R513" s="10" t="n">
        <x:v>3</x:v>
      </x:c>
      <x:c r="S513" s="10"/>
      <x:c r="T513" s="9"/>
      <x:c r="U513" s="9"/>
      <x:c r="V513" s="9"/>
      <x:c r="W513" s="9"/>
      <x:c r="X513" s="10"/>
      <x:c r="Y513" s="10"/>
      <x:c r="Z513" s="9"/>
      <x:c r="AA513" s="9"/>
      <x:c r="AB513" s="9"/>
      <x:c r="AC513" s="9" t="str">
        <x:v>behind</x:v>
      </x:c>
      <x:c r="AD513" s="9" t="str">
        <x:v>red block</x:v>
      </x:c>
      <x:c r="AE513" s="9" t="str">
        <x:v>green pen</x:v>
      </x:c>
      <x:c r="AF513" s="9" t="str">
        <x:v>None</x:v>
      </x:c>
      <x:c r="AG513" s="9"/>
      <x:c r="AH513" s="9"/>
      <x:c r="AI513" s="11"/>
      <x:c r="AJ513" s="9"/>
      <x:c r="AK513" s="9" t="str">
        <x:v>Eval_Relational_Placement (1).xlsm</x:v>
      </x:c>
      <x:c r="AL513" s="9" t="str">
        <x:v>GR00T vision-only Results</x:v>
      </x:c>
      <x:c r="AM513" s="9" t="n">
        <x:v>63</x:v>
      </x:c>
      <x:c r="AN513" s="9" t="n">
        <x:v>63</x:v>
      </x:c>
    </x:row>
    <x:row r="514">
      <x:c r="A514" s="9" t="str">
        <x:v>Success</x:v>
      </x:c>
      <x:c r="B514" s="9" t="str">
        <x:v>Relational Placement</x:v>
      </x:c>
      <x:c r="C514" s="10" t="n">
        <x:v>62</x:v>
      </x:c>
      <x:c r="D514" s="9" t="str">
        <x:v>Position the red block on the far side of the green pen, away from the robot.</x:v>
      </x:c>
      <x:c r="E514" s="9" t="str">
        <x:v>red block, green pen, pink marker</x:v>
      </x:c>
      <x:c r="F514" s="9" t="str">
        <x:v>red block → 2–8 cm edge gap behind green pen; centroid direction within ±45°.</x:v>
      </x:c>
      <x:c r="G514" s="9"/>
      <x:c r="H514" s="9" t="str">
        <x:v>Language robustness</x:v>
      </x:c>
      <x:c r="I514" s="9" t="str">
        <x:v>RP-CT-N05</x:v>
      </x:c>
      <x:c r="J514" s="9" t="str">
        <x:v>Transfer paraphrase of concept/compositional transfer</x:v>
      </x:c>
      <x:c r="K514" s="9" t="n">
        <x:v>60</x:v>
      </x:c>
      <x:c r="L514" s="9" t="str">
        <x:v>272</x:v>
      </x:c>
      <x:c r="M514" s="9"/>
      <x:c r="N514" s="9"/>
      <x:c r="O514" s="9" t="str">
        <x:v>Reset P1 to its marked pose; preserve the exact scene and change only the wording of the transfer instruction.</x:v>
      </x:c>
      <x:c r="P514" s="9" t="str">
        <x:v>Exact-scene paraphrase of the canonical compositional-transfer instruction.</x:v>
      </x:c>
      <x:c r="Q514" s="9"/>
      <x:c r="R514" s="10" t="n">
        <x:v>3</x:v>
      </x:c>
      <x:c r="S514" s="10"/>
      <x:c r="T514" s="9"/>
      <x:c r="U514" s="9"/>
      <x:c r="V514" s="9"/>
      <x:c r="W514" s="9"/>
      <x:c r="X514" s="10"/>
      <x:c r="Y514" s="10"/>
      <x:c r="Z514" s="9"/>
      <x:c r="AA514" s="9"/>
      <x:c r="AB514" s="9"/>
      <x:c r="AC514" s="9" t="str">
        <x:v>behind</x:v>
      </x:c>
      <x:c r="AD514" s="9" t="str">
        <x:v>red block</x:v>
      </x:c>
      <x:c r="AE514" s="9" t="str">
        <x:v>green pen</x:v>
      </x:c>
      <x:c r="AF514" s="9" t="str">
        <x:v>None</x:v>
      </x:c>
      <x:c r="AG514" s="9"/>
      <x:c r="AH514" s="9"/>
      <x:c r="AI514" s="11"/>
      <x:c r="AJ514" s="9"/>
      <x:c r="AK514" s="9" t="str">
        <x:v>Eval_Relational_Placement (1).xlsm</x:v>
      </x:c>
      <x:c r="AL514" s="9" t="str">
        <x:v>GR00T vision-only Results</x:v>
      </x:c>
      <x:c r="AM514" s="9" t="n">
        <x:v>64</x:v>
      </x:c>
      <x:c r="AN514" s="9" t="n">
        <x:v>64</x:v>
      </x:c>
    </x:row>
    <x:row r="515">
      <x:c r="A515" s="9" t="str">
        <x:v>Failure</x:v>
      </x:c>
      <x:c r="B515" s="9" t="str">
        <x:v>Relational Placement</x:v>
      </x:c>
      <x:c r="C515" s="10" t="n">
        <x:v>63</x:v>
      </x:c>
      <x:c r="D515" s="9" t="str">
        <x:v>Set the red block down close to the green pen.</x:v>
      </x:c>
      <x:c r="E515" s="9" t="str">
        <x:v>red block, green pen, pink marker</x:v>
      </x:c>
      <x:c r="F515" s="9" t="str">
        <x:v>red block → 2–8 cm edge gap near green pen; no directional sector required.</x:v>
      </x:c>
      <x:c r="G515" s="9" t="str">
        <x:v>overgripped and block sputtered close to green pen, but robot didn't return home</x:v>
      </x:c>
      <x:c r="H515" s="9" t="str">
        <x:v>Language robustness</x:v>
      </x:c>
      <x:c r="I515" s="9" t="str">
        <x:v>RP-CT-N05</x:v>
      </x:c>
      <x:c r="J515" s="9" t="str">
        <x:v>Matched-control paraphrase</x:v>
      </x:c>
      <x:c r="K515" s="9" t="n">
        <x:v>61</x:v>
      </x:c>
      <x:c r="L515" s="9" t="str">
        <x:v>272</x:v>
      </x:c>
      <x:c r="M515" s="9"/>
      <x:c r="N515" s="9"/>
      <x:c r="O515" s="9" t="str">
        <x:v>Reset P1 to its marked pose; preserve the exact scene and change only the wording of the matched-control instruction.</x:v>
      </x:c>
      <x:c r="P515" s="9" t="str">
        <x:v>Exact-scene paraphrase of the training-supported control from episode 272.</x:v>
      </x:c>
      <x:c r="Q515" s="9"/>
      <x:c r="R515" s="10" t="n">
        <x:v>3</x:v>
      </x:c>
      <x:c r="S515" s="10"/>
      <x:c r="T515" s="9"/>
      <x:c r="U515" s="9"/>
      <x:c r="V515" s="9"/>
      <x:c r="W515" s="9"/>
      <x:c r="X515" s="10"/>
      <x:c r="Y515" s="10"/>
      <x:c r="Z515" s="9"/>
      <x:c r="AA515" s="9"/>
      <x:c r="AB515" s="9"/>
      <x:c r="AC515" s="9" t="str">
        <x:v>behind</x:v>
      </x:c>
      <x:c r="AD515" s="9" t="str">
        <x:v>red block</x:v>
      </x:c>
      <x:c r="AE515" s="9" t="str">
        <x:v>green pen</x:v>
      </x:c>
      <x:c r="AF515" s="9" t="str">
        <x:v>None</x:v>
      </x:c>
      <x:c r="AG515" s="9"/>
      <x:c r="AH515" s="9"/>
      <x:c r="AI515" s="11"/>
      <x:c r="AJ515" s="9"/>
      <x:c r="AK515" s="9" t="str">
        <x:v>Eval_Relational_Placement (1).xlsm</x:v>
      </x:c>
      <x:c r="AL515" s="9" t="str">
        <x:v>GR00T vision-only Results</x:v>
      </x:c>
      <x:c r="AM515" s="9" t="n">
        <x:v>65</x:v>
      </x:c>
      <x:c r="AN515" s="9" t="n">
        <x:v>65</x:v>
      </x:c>
    </x:row>
    <x:row r="516">
      <x:c r="A516" s="9" t="str">
        <x:v>Failure</x:v>
      </x:c>
      <x:c r="B516" s="9" t="str">
        <x:v>Relational Placement</x:v>
      </x:c>
      <x:c r="C516" s="10" t="n">
        <x:v>64</x:v>
      </x:c>
      <x:c r="D516" s="9" t="str">
        <x:v>Place the red block behind the green pen.</x:v>
      </x:c>
      <x:c r="E516" s="9" t="str">
        <x:v>red block, green pen, blue block, pink marker</x:v>
      </x:c>
      <x:c r="F516" s="9" t="str">
        <x:v>red block → 2–8 cm edge gap behind green pen; centroid direction within ±45°.</x:v>
      </x:c>
      <x:c r="G516" s="9" t="str">
        <x:v>kept pinching the block when it was on the table; didn't return home; succeeded reasoning</x:v>
      </x:c>
      <x:c r="H516" s="9" t="str">
        <x:v>Concept/compositional transfer</x:v>
      </x:c>
      <x:c r="I516" s="9" t="str">
        <x:v>RP-CT-N06</x:v>
      </x:c>
      <x:c r="J516" s="9" t="str">
        <x:v>Neutral-axis independent compositional-transfer scene</x:v>
      </x:c>
      <x:c r="K516" s="9"/>
      <x:c r="L516" s="9" t="str">
        <x:v>273</x:v>
      </x:c>
      <x:c r="M516" s="9"/>
      <x:c r="N516" s="9"/>
      <x:c r="O516" s="9" t="str">
        <x:v>Build the listed neutral-axis scene and save the first frame.</x:v>
      </x:c>
      <x:c r="P516" s="9" t="str">
        <x:v>Independent held-out-composition scene. Source episode 273 supplies target recognition/manipulation under the trained prompt “Place the red block next to the green pen.”. The orthogonal start removes the opposite-side shortcut.</x:v>
      </x:c>
      <x:c r="Q516" s="9"/>
      <x:c r="R516" s="10" t="n">
        <x:v>4</x:v>
      </x:c>
      <x:c r="S516" s="10"/>
      <x:c r="T516" s="9"/>
      <x:c r="U516" s="9"/>
      <x:c r="V516" s="9"/>
      <x:c r="W516" s="9"/>
      <x:c r="X516" s="10"/>
      <x:c r="Y516" s="10"/>
      <x:c r="Z516" s="9"/>
      <x:c r="AA516" s="9"/>
      <x:c r="AB516" s="9"/>
      <x:c r="AC516" s="9" t="str">
        <x:v>behind</x:v>
      </x:c>
      <x:c r="AD516" s="9" t="str">
        <x:v>red block</x:v>
      </x:c>
      <x:c r="AE516" s="9" t="str">
        <x:v>green pen</x:v>
      </x:c>
      <x:c r="AF516" s="9" t="str">
        <x:v>None</x:v>
      </x:c>
      <x:c r="AG516" s="9"/>
      <x:c r="AH516" s="9"/>
      <x:c r="AI516" s="11"/>
      <x:c r="AJ516" s="9"/>
      <x:c r="AK516" s="9" t="str">
        <x:v>Eval_Relational_Placement (1).xlsm</x:v>
      </x:c>
      <x:c r="AL516" s="9" t="str">
        <x:v>GR00T vision-only Results</x:v>
      </x:c>
      <x:c r="AM516" s="9" t="n">
        <x:v>66</x:v>
      </x:c>
      <x:c r="AN516" s="9" t="n">
        <x:v>66</x:v>
      </x:c>
    </x:row>
    <x:row r="517">
      <x:c r="A517" s="9" t="str">
        <x:v>Success</x:v>
      </x:c>
      <x:c r="B517" s="9" t="str">
        <x:v>Relational Placement</x:v>
      </x:c>
      <x:c r="C517" s="10" t="n">
        <x:v>65</x:v>
      </x:c>
      <x:c r="D517" s="9" t="str">
        <x:v>Place the red block next to the green pen.</x:v>
      </x:c>
      <x:c r="E517" s="9" t="str">
        <x:v>red block, green pen, blue block, pink marker</x:v>
      </x:c>
      <x:c r="F517" s="9" t="str">
        <x:v>red block → 2–8 cm edge gap near green pen; no directional sector required.</x:v>
      </x:c>
      <x:c r="G517" s="9" t="str">
        <x:v>placed in front of pen</x:v>
      </x:c>
      <x:c r="H517" s="9" t="str">
        <x:v>Matched manipulation control</x:v>
      </x:c>
      <x:c r="I517" s="9" t="str">
        <x:v>RP-CT-N06</x:v>
      </x:c>
      <x:c r="J517" s="9" t="str">
        <x:v>Exact-scene masked manipulation control</x:v>
      </x:c>
      <x:c r="K517" s="9" t="n">
        <x:v>64</x:v>
      </x:c>
      <x:c r="L517" s="9" t="str">
        <x:v>273</x:v>
      </x:c>
      <x:c r="M517" s="9"/>
      <x:c r="N517" s="9"/>
      <x:c r="O517" s="9" t="str">
        <x:v>Reset P1 to its marked pose; preserve the exact scene and use the trained control instruction.</x:v>
      </x:c>
      <x:c r="P517" s="9" t="str">
        <x:v>Exact-scene control using the final training prompt from episode 273. The target, reference, distractors, camera, and robot start match the paired transfer row.</x:v>
      </x:c>
      <x:c r="Q517" s="9"/>
      <x:c r="R517" s="10" t="n">
        <x:v>4</x:v>
      </x:c>
      <x:c r="S517" s="10"/>
      <x:c r="T517" s="9"/>
      <x:c r="U517" s="9"/>
      <x:c r="V517" s="9"/>
      <x:c r="W517" s="9"/>
      <x:c r="X517" s="10"/>
      <x:c r="Y517" s="10"/>
      <x:c r="Z517" s="9"/>
      <x:c r="AA517" s="9"/>
      <x:c r="AB517" s="9"/>
      <x:c r="AC517" s="9" t="str">
        <x:v>behind</x:v>
      </x:c>
      <x:c r="AD517" s="9" t="str">
        <x:v>red block</x:v>
      </x:c>
      <x:c r="AE517" s="9" t="str">
        <x:v>green pen</x:v>
      </x:c>
      <x:c r="AF517" s="9" t="str">
        <x:v>None</x:v>
      </x:c>
      <x:c r="AG517" s="9"/>
      <x:c r="AH517" s="9"/>
      <x:c r="AI517" s="11"/>
      <x:c r="AJ517" s="9"/>
      <x:c r="AK517" s="9" t="str">
        <x:v>Eval_Relational_Placement (1).xlsm</x:v>
      </x:c>
      <x:c r="AL517" s="9" t="str">
        <x:v>GR00T vision-only Results</x:v>
      </x:c>
      <x:c r="AM517" s="9" t="n">
        <x:v>67</x:v>
      </x:c>
      <x:c r="AN517" s="9" t="n">
        <x:v>67</x:v>
      </x:c>
    </x:row>
    <x:row r="518">
      <x:c r="A518" s="9" t="str">
        <x:v>Success</x:v>
      </x:c>
      <x:c r="B518" s="9" t="str">
        <x:v>Relational Placement</x:v>
      </x:c>
      <x:c r="C518" s="10" t="n">
        <x:v>66</x:v>
      </x:c>
      <x:c r="D518" s="9" t="str">
        <x:v>Position the red block on the far side of the green pen, away from the robot.</x:v>
      </x:c>
      <x:c r="E518" s="9" t="str">
        <x:v>red block, green pen, blue block, pink marker</x:v>
      </x:c>
      <x:c r="F518" s="9" t="str">
        <x:v>red block → 2–8 cm edge gap behind green pen; centroid direction within ±45°.</x:v>
      </x:c>
      <x:c r="G518" s="9"/>
      <x:c r="H518" s="9" t="str">
        <x:v>Language robustness</x:v>
      </x:c>
      <x:c r="I518" s="9" t="str">
        <x:v>RP-CT-N06</x:v>
      </x:c>
      <x:c r="J518" s="9" t="str">
        <x:v>Transfer paraphrase of concept/compositional transfer</x:v>
      </x:c>
      <x:c r="K518" s="9" t="n">
        <x:v>64</x:v>
      </x:c>
      <x:c r="L518" s="9" t="str">
        <x:v>273</x:v>
      </x:c>
      <x:c r="M518" s="9"/>
      <x:c r="N518" s="9"/>
      <x:c r="O518" s="9" t="str">
        <x:v>Reset P1 to its marked pose; preserve the exact scene and change only the wording of the transfer instruction.</x:v>
      </x:c>
      <x:c r="P518" s="9" t="str">
        <x:v>Exact-scene paraphrase of the canonical compositional-transfer instruction.</x:v>
      </x:c>
      <x:c r="Q518" s="9"/>
      <x:c r="R518" s="10" t="n">
        <x:v>4</x:v>
      </x:c>
      <x:c r="S518" s="10"/>
      <x:c r="T518" s="9"/>
      <x:c r="U518" s="9"/>
      <x:c r="V518" s="9"/>
      <x:c r="W518" s="9"/>
      <x:c r="X518" s="10"/>
      <x:c r="Y518" s="10"/>
      <x:c r="Z518" s="9"/>
      <x:c r="AA518" s="9"/>
      <x:c r="AB518" s="9"/>
      <x:c r="AC518" s="9" t="str">
        <x:v>behind</x:v>
      </x:c>
      <x:c r="AD518" s="9" t="str">
        <x:v>red block</x:v>
      </x:c>
      <x:c r="AE518" s="9" t="str">
        <x:v>green pen</x:v>
      </x:c>
      <x:c r="AF518" s="9" t="str">
        <x:v>None</x:v>
      </x:c>
      <x:c r="AG518" s="9"/>
      <x:c r="AH518" s="9"/>
      <x:c r="AI518" s="11"/>
      <x:c r="AJ518" s="9"/>
      <x:c r="AK518" s="9" t="str">
        <x:v>Eval_Relational_Placement (1).xlsm</x:v>
      </x:c>
      <x:c r="AL518" s="9" t="str">
        <x:v>GR00T vision-only Results</x:v>
      </x:c>
      <x:c r="AM518" s="9" t="n">
        <x:v>68</x:v>
      </x:c>
      <x:c r="AN518" s="9" t="n">
        <x:v>68</x:v>
      </x:c>
    </x:row>
    <x:row r="519">
      <x:c r="A519" s="9" t="str">
        <x:v>Success</x:v>
      </x:c>
      <x:c r="B519" s="9" t="str">
        <x:v>Relational Placement</x:v>
      </x:c>
      <x:c r="C519" s="10" t="n">
        <x:v>67</x:v>
      </x:c>
      <x:c r="D519" s="9" t="str">
        <x:v>Set the red block down close to the green pen.</x:v>
      </x:c>
      <x:c r="E519" s="9" t="str">
        <x:v>red block, green pen, blue block, pink marker</x:v>
      </x:c>
      <x:c r="F519" s="9" t="str">
        <x:v>red block → 2–8 cm edge gap near green pen; no directional sector required.</x:v>
      </x:c>
      <x:c r="G519" s="9" t="str">
        <x:v>put in front of pen</x:v>
      </x:c>
      <x:c r="H519" s="9" t="str">
        <x:v>Language robustness</x:v>
      </x:c>
      <x:c r="I519" s="9" t="str">
        <x:v>RP-CT-N06</x:v>
      </x:c>
      <x:c r="J519" s="9" t="str">
        <x:v>Matched-control paraphrase</x:v>
      </x:c>
      <x:c r="K519" s="9" t="n">
        <x:v>65</x:v>
      </x:c>
      <x:c r="L519" s="9" t="str">
        <x:v>273</x:v>
      </x:c>
      <x:c r="M519" s="9"/>
      <x:c r="N519" s="9"/>
      <x:c r="O519" s="9" t="str">
        <x:v>Reset P1 to its marked pose; preserve the exact scene and change only the wording of the matched-control instruction.</x:v>
      </x:c>
      <x:c r="P519" s="9" t="str">
        <x:v>Exact-scene paraphrase of the training-supported control from episode 273.</x:v>
      </x:c>
      <x:c r="Q519" s="9"/>
      <x:c r="R519" s="10" t="n">
        <x:v>4</x:v>
      </x:c>
      <x:c r="S519" s="10"/>
      <x:c r="T519" s="9"/>
      <x:c r="U519" s="9"/>
      <x:c r="V519" s="9"/>
      <x:c r="W519" s="9"/>
      <x:c r="X519" s="10"/>
      <x:c r="Y519" s="10"/>
      <x:c r="Z519" s="9"/>
      <x:c r="AA519" s="9"/>
      <x:c r="AB519" s="9"/>
      <x:c r="AC519" s="9" t="str">
        <x:v>behind</x:v>
      </x:c>
      <x:c r="AD519" s="9" t="str">
        <x:v>red block</x:v>
      </x:c>
      <x:c r="AE519" s="9" t="str">
        <x:v>green pen</x:v>
      </x:c>
      <x:c r="AF519" s="9" t="str">
        <x:v>None</x:v>
      </x:c>
      <x:c r="AG519" s="9"/>
      <x:c r="AH519" s="9"/>
      <x:c r="AI519" s="11"/>
      <x:c r="AJ519" s="9"/>
      <x:c r="AK519" s="9" t="str">
        <x:v>Eval_Relational_Placement (1).xlsm</x:v>
      </x:c>
      <x:c r="AL519" s="9" t="str">
        <x:v>GR00T vision-only Results</x:v>
      </x:c>
      <x:c r="AM519" s="9" t="n">
        <x:v>69</x:v>
      </x:c>
      <x:c r="AN519" s="9" t="n">
        <x:v>69</x:v>
      </x:c>
    </x:row>
    <x:row r="520">
      <x:c r="A520" s="9" t="str">
        <x:v>Success</x:v>
      </x:c>
      <x:c r="B520" s="9" t="str">
        <x:v>Relational Placement</x:v>
      </x:c>
      <x:c r="C520" s="10" t="n">
        <x:v>68</x:v>
      </x:c>
      <x:c r="D520" s="9" t="str">
        <x:v>Place the green pen to the left of the red block.</x:v>
      </x:c>
      <x:c r="E520" s="9" t="str">
        <x:v>green pen, red block, pink marker</x:v>
      </x:c>
      <x:c r="F520" s="9" t="str">
        <x:v>green pen → 2–8 cm edge gap to the left of red block; centroid direction within ±45°.</x:v>
      </x:c>
      <x:c r="G520" s="9"/>
      <x:c r="H520" s="9" t="str">
        <x:v>Concept/compositional transfer</x:v>
      </x:c>
      <x:c r="I520" s="9" t="str">
        <x:v>RP-CT-N07</x:v>
      </x:c>
      <x:c r="J520" s="9" t="str">
        <x:v>Neutral-axis independent compositional-transfer scene</x:v>
      </x:c>
      <x:c r="K520" s="9"/>
      <x:c r="L520" s="9" t="str">
        <x:v>228</x:v>
      </x:c>
      <x:c r="M520" s="9"/>
      <x:c r="N520" s="9"/>
      <x:c r="O520" s="9" t="str">
        <x:v>Build the listed neutral-axis scene and save the first frame.</x:v>
      </x:c>
      <x:c r="P520" s="9" t="str">
        <x:v>Independent held-out-composition scene. Source episode 228 supplies target recognition/manipulation under the trained prompt “Place the green pen next to the red block.”. The orthogonal start removes the opposite-side shortcut.</x:v>
      </x:c>
      <x:c r="Q520" s="9"/>
      <x:c r="R520" s="10" t="n">
        <x:v>3</x:v>
      </x:c>
      <x:c r="S520" s="10"/>
      <x:c r="T520" s="9"/>
      <x:c r="U520" s="9"/>
      <x:c r="V520" s="9"/>
      <x:c r="W520" s="9"/>
      <x:c r="X520" s="10"/>
      <x:c r="Y520" s="10"/>
      <x:c r="Z520" s="9"/>
      <x:c r="AA520" s="9"/>
      <x:c r="AB520" s="9"/>
      <x:c r="AC520" s="9" t="str">
        <x:v>left</x:v>
      </x:c>
      <x:c r="AD520" s="9" t="str">
        <x:v>green pen</x:v>
      </x:c>
      <x:c r="AE520" s="9" t="str">
        <x:v>red block</x:v>
      </x:c>
      <x:c r="AF520" s="9" t="str">
        <x:v>None</x:v>
      </x:c>
      <x:c r="AG520" s="9"/>
      <x:c r="AH520" s="9"/>
      <x:c r="AI520" s="11"/>
      <x:c r="AJ520" s="9"/>
      <x:c r="AK520" s="9" t="str">
        <x:v>Eval_Relational_Placement (1).xlsm</x:v>
      </x:c>
      <x:c r="AL520" s="9" t="str">
        <x:v>GR00T vision-only Results</x:v>
      </x:c>
      <x:c r="AM520" s="9" t="n">
        <x:v>70</x:v>
      </x:c>
      <x:c r="AN520" s="9" t="n">
        <x:v>70</x:v>
      </x:c>
    </x:row>
    <x:row r="521">
      <x:c r="A521" s="9" t="str">
        <x:v>Success</x:v>
      </x:c>
      <x:c r="B521" s="9" t="str">
        <x:v>Relational Placement</x:v>
      </x:c>
      <x:c r="C521" s="10" t="n">
        <x:v>69</x:v>
      </x:c>
      <x:c r="D521" s="9" t="str">
        <x:v>Place the green pen next to the red block.</x:v>
      </x:c>
      <x:c r="E521" s="9" t="str">
        <x:v>green pen, red block, pink marker</x:v>
      </x:c>
      <x:c r="F521" s="9" t="str">
        <x:v>green pen → 2–8 cm edge gap near red block; no directional sector required.</x:v>
      </x:c>
      <x:c r="G521" s="9"/>
      <x:c r="H521" s="9" t="str">
        <x:v>Matched manipulation control</x:v>
      </x:c>
      <x:c r="I521" s="9" t="str">
        <x:v>RP-CT-N07</x:v>
      </x:c>
      <x:c r="J521" s="9" t="str">
        <x:v>Exact-scene masked manipulation control</x:v>
      </x:c>
      <x:c r="K521" s="9" t="n">
        <x:v>68</x:v>
      </x:c>
      <x:c r="L521" s="9" t="str">
        <x:v>228</x:v>
      </x:c>
      <x:c r="M521" s="9"/>
      <x:c r="N521" s="9"/>
      <x:c r="O521" s="9" t="str">
        <x:v>Reset P1 to its marked pose; preserve the exact scene and use the trained control instruction.</x:v>
      </x:c>
      <x:c r="P521" s="9" t="str">
        <x:v>Exact-scene control using the final training prompt from episode 228. The target, reference, distractors, camera, and robot start match the paired transfer row.</x:v>
      </x:c>
      <x:c r="Q521" s="9"/>
      <x:c r="R521" s="10" t="n">
        <x:v>3</x:v>
      </x:c>
      <x:c r="S521" s="10"/>
      <x:c r="T521" s="9"/>
      <x:c r="U521" s="9"/>
      <x:c r="V521" s="9"/>
      <x:c r="W521" s="9"/>
      <x:c r="X521" s="10"/>
      <x:c r="Y521" s="10"/>
      <x:c r="Z521" s="9"/>
      <x:c r="AA521" s="9"/>
      <x:c r="AB521" s="9"/>
      <x:c r="AC521" s="9" t="str">
        <x:v>left</x:v>
      </x:c>
      <x:c r="AD521" s="9" t="str">
        <x:v>green pen</x:v>
      </x:c>
      <x:c r="AE521" s="9" t="str">
        <x:v>red block</x:v>
      </x:c>
      <x:c r="AF521" s="9" t="str">
        <x:v>None</x:v>
      </x:c>
      <x:c r="AG521" s="9"/>
      <x:c r="AH521" s="9"/>
      <x:c r="AI521" s="11"/>
      <x:c r="AJ521" s="9"/>
      <x:c r="AK521" s="9" t="str">
        <x:v>Eval_Relational_Placement (1).xlsm</x:v>
      </x:c>
      <x:c r="AL521" s="9" t="str">
        <x:v>GR00T vision-only Results</x:v>
      </x:c>
      <x:c r="AM521" s="9" t="n">
        <x:v>71</x:v>
      </x:c>
      <x:c r="AN521" s="9" t="n">
        <x:v>71</x:v>
      </x:c>
    </x:row>
    <x:row r="522">
      <x:c r="A522" s="9" t="str">
        <x:v>Success</x:v>
      </x:c>
      <x:c r="B522" s="9" t="str">
        <x:v>Relational Placement</x:v>
      </x:c>
      <x:c r="C522" s="10" t="n">
        <x:v>70</x:v>
      </x:c>
      <x:c r="D522" s="9" t="str">
        <x:v>Position the green pen on the robot's left-hand side of the red block.</x:v>
      </x:c>
      <x:c r="E522" s="9" t="str">
        <x:v>green pen, red block, pink marker</x:v>
      </x:c>
      <x:c r="F522" s="9" t="str">
        <x:v>green pen → 2–8 cm edge gap to the left of red block; centroid direction within ±45°.</x:v>
      </x:c>
      <x:c r="G522" s="9"/>
      <x:c r="H522" s="9" t="str">
        <x:v>Language robustness</x:v>
      </x:c>
      <x:c r="I522" s="9" t="str">
        <x:v>RP-CT-N07</x:v>
      </x:c>
      <x:c r="J522" s="9" t="str">
        <x:v>Transfer paraphrase of concept/compositional transfer</x:v>
      </x:c>
      <x:c r="K522" s="9" t="n">
        <x:v>68</x:v>
      </x:c>
      <x:c r="L522" s="9" t="str">
        <x:v>228</x:v>
      </x:c>
      <x:c r="M522" s="9"/>
      <x:c r="N522" s="9"/>
      <x:c r="O522" s="9" t="str">
        <x:v>Reset P1 to its marked pose; preserve the exact scene and change only the wording of the transfer instruction.</x:v>
      </x:c>
      <x:c r="P522" s="9" t="str">
        <x:v>Exact-scene paraphrase of the canonical compositional-transfer instruction.</x:v>
      </x:c>
      <x:c r="Q522" s="9"/>
      <x:c r="R522" s="10" t="n">
        <x:v>3</x:v>
      </x:c>
      <x:c r="S522" s="10"/>
      <x:c r="T522" s="9"/>
      <x:c r="U522" s="9"/>
      <x:c r="V522" s="9"/>
      <x:c r="W522" s="9"/>
      <x:c r="X522" s="10"/>
      <x:c r="Y522" s="10"/>
      <x:c r="Z522" s="9"/>
      <x:c r="AA522" s="9"/>
      <x:c r="AB522" s="9"/>
      <x:c r="AC522" s="9" t="str">
        <x:v>left</x:v>
      </x:c>
      <x:c r="AD522" s="9" t="str">
        <x:v>green pen</x:v>
      </x:c>
      <x:c r="AE522" s="9" t="str">
        <x:v>red block</x:v>
      </x:c>
      <x:c r="AF522" s="9" t="str">
        <x:v>None</x:v>
      </x:c>
      <x:c r="AG522" s="9"/>
      <x:c r="AH522" s="9"/>
      <x:c r="AI522" s="11"/>
      <x:c r="AJ522" s="9"/>
      <x:c r="AK522" s="9" t="str">
        <x:v>Eval_Relational_Placement (1).xlsm</x:v>
      </x:c>
      <x:c r="AL522" s="9" t="str">
        <x:v>GR00T vision-only Results</x:v>
      </x:c>
      <x:c r="AM522" s="9" t="n">
        <x:v>72</x:v>
      </x:c>
      <x:c r="AN522" s="9" t="n">
        <x:v>72</x:v>
      </x:c>
    </x:row>
    <x:row r="523">
      <x:c r="A523" s="9" t="str">
        <x:v>Success</x:v>
      </x:c>
      <x:c r="B523" s="9" t="str">
        <x:v>Relational Placement</x:v>
      </x:c>
      <x:c r="C523" s="10" t="n">
        <x:v>71</x:v>
      </x:c>
      <x:c r="D523" s="9" t="str">
        <x:v>Set the green pen down close to the red block.</x:v>
      </x:c>
      <x:c r="E523" s="9" t="str">
        <x:v>green pen, red block, pink marker</x:v>
      </x:c>
      <x:c r="F523" s="9" t="str">
        <x:v>green pen → 2–8 cm edge gap near red block; no directional sector required.</x:v>
      </x:c>
      <x:c r="G523" s="9" t="str">
        <x:v>placed in front</x:v>
      </x:c>
      <x:c r="H523" s="9" t="str">
        <x:v>Language robustness</x:v>
      </x:c>
      <x:c r="I523" s="9" t="str">
        <x:v>RP-CT-N07</x:v>
      </x:c>
      <x:c r="J523" s="9" t="str">
        <x:v>Matched-control paraphrase</x:v>
      </x:c>
      <x:c r="K523" s="9" t="n">
        <x:v>69</x:v>
      </x:c>
      <x:c r="L523" s="9" t="str">
        <x:v>228</x:v>
      </x:c>
      <x:c r="M523" s="9"/>
      <x:c r="N523" s="9"/>
      <x:c r="O523" s="9" t="str">
        <x:v>Reset P1 to its marked pose; preserve the exact scene and change only the wording of the matched-control instruction.</x:v>
      </x:c>
      <x:c r="P523" s="9" t="str">
        <x:v>Exact-scene paraphrase of the training-supported control from episode 228.</x:v>
      </x:c>
      <x:c r="Q523" s="9"/>
      <x:c r="R523" s="10" t="n">
        <x:v>3</x:v>
      </x:c>
      <x:c r="S523" s="10"/>
      <x:c r="T523" s="9"/>
      <x:c r="U523" s="9"/>
      <x:c r="V523" s="9"/>
      <x:c r="W523" s="9"/>
      <x:c r="X523" s="10"/>
      <x:c r="Y523" s="10"/>
      <x:c r="Z523" s="9"/>
      <x:c r="AA523" s="9"/>
      <x:c r="AB523" s="9"/>
      <x:c r="AC523" s="9" t="str">
        <x:v>left</x:v>
      </x:c>
      <x:c r="AD523" s="9" t="str">
        <x:v>green pen</x:v>
      </x:c>
      <x:c r="AE523" s="9" t="str">
        <x:v>red block</x:v>
      </x:c>
      <x:c r="AF523" s="9" t="str">
        <x:v>None</x:v>
      </x:c>
      <x:c r="AG523" s="9"/>
      <x:c r="AH523" s="9"/>
      <x:c r="AI523" s="11"/>
      <x:c r="AJ523" s="9"/>
      <x:c r="AK523" s="9" t="str">
        <x:v>Eval_Relational_Placement (1).xlsm</x:v>
      </x:c>
      <x:c r="AL523" s="9" t="str">
        <x:v>GR00T vision-only Results</x:v>
      </x:c>
      <x:c r="AM523" s="9" t="n">
        <x:v>73</x:v>
      </x:c>
      <x:c r="AN523" s="9" t="n">
        <x:v>73</x:v>
      </x:c>
    </x:row>
    <x:row r="524">
      <x:c r="A524" s="9" t="str">
        <x:v>Success</x:v>
      </x:c>
      <x:c r="B524" s="9" t="str">
        <x:v>Relational Placement</x:v>
      </x:c>
      <x:c r="C524" s="10" t="n">
        <x:v>72</x:v>
      </x:c>
      <x:c r="D524" s="9" t="str">
        <x:v>Place the red block to the left of the green pen.</x:v>
      </x:c>
      <x:c r="E524" s="9" t="str">
        <x:v>red block, green pen, blue block, pink marker</x:v>
      </x:c>
      <x:c r="F524" s="9" t="str">
        <x:v>red block → 2–8 cm edge gap to the left of green pen; centroid direction within ±45°.</x:v>
      </x:c>
      <x:c r="G524" s="9"/>
      <x:c r="H524" s="9" t="str">
        <x:v>Concept/compositional transfer</x:v>
      </x:c>
      <x:c r="I524" s="9" t="str">
        <x:v>RP-CT-N08</x:v>
      </x:c>
      <x:c r="J524" s="9" t="str">
        <x:v>Neutral-axis independent compositional-transfer scene</x:v>
      </x:c>
      <x:c r="K524" s="9"/>
      <x:c r="L524" s="9" t="str">
        <x:v>285</x:v>
      </x:c>
      <x:c r="M524" s="9"/>
      <x:c r="N524" s="9"/>
      <x:c r="O524" s="9" t="str">
        <x:v>Build the listed neutral-axis scene and save the first frame.</x:v>
      </x:c>
      <x:c r="P524" s="9" t="str">
        <x:v>Independent held-out-composition scene. Source episode 285 supplies target recognition/manipulation under the trained prompt “Place the red block next to the green pen.”. The orthogonal start removes the opposite-side shortcut.</x:v>
      </x:c>
      <x:c r="Q524" s="9"/>
      <x:c r="R524" s="10" t="n">
        <x:v>4</x:v>
      </x:c>
      <x:c r="S524" s="10"/>
      <x:c r="T524" s="9"/>
      <x:c r="U524" s="9"/>
      <x:c r="V524" s="9"/>
      <x:c r="W524" s="9"/>
      <x:c r="X524" s="10"/>
      <x:c r="Y524" s="10"/>
      <x:c r="Z524" s="9"/>
      <x:c r="AA524" s="9"/>
      <x:c r="AB524" s="9"/>
      <x:c r="AC524" s="9" t="str">
        <x:v>left</x:v>
      </x:c>
      <x:c r="AD524" s="9" t="str">
        <x:v>red block</x:v>
      </x:c>
      <x:c r="AE524" s="9" t="str">
        <x:v>green pen</x:v>
      </x:c>
      <x:c r="AF524" s="9" t="str">
        <x:v>None</x:v>
      </x:c>
      <x:c r="AG524" s="9"/>
      <x:c r="AH524" s="9"/>
      <x:c r="AI524" s="11"/>
      <x:c r="AJ524" s="9"/>
      <x:c r="AK524" s="9" t="str">
        <x:v>Eval_Relational_Placement (1).xlsm</x:v>
      </x:c>
      <x:c r="AL524" s="9" t="str">
        <x:v>GR00T vision-only Results</x:v>
      </x:c>
      <x:c r="AM524" s="9" t="n">
        <x:v>74</x:v>
      </x:c>
      <x:c r="AN524" s="9" t="n">
        <x:v>74</x:v>
      </x:c>
    </x:row>
    <x:row r="525">
      <x:c r="A525" s="9" t="str">
        <x:v>Success</x:v>
      </x:c>
      <x:c r="B525" s="9" t="str">
        <x:v>Relational Placement</x:v>
      </x:c>
      <x:c r="C525" s="10" t="n">
        <x:v>73</x:v>
      </x:c>
      <x:c r="D525" s="9" t="str">
        <x:v>Place the red block next to the green pen.</x:v>
      </x:c>
      <x:c r="E525" s="9" t="str">
        <x:v>red block, green pen, blue block, pink marker</x:v>
      </x:c>
      <x:c r="F525" s="9" t="str">
        <x:v>red block → 2–8 cm edge gap near green pen; no directional sector required.</x:v>
      </x:c>
      <x:c r="G525" s="9" t="str">
        <x:v>placed on left</x:v>
      </x:c>
      <x:c r="H525" s="9" t="str">
        <x:v>Matched manipulation control</x:v>
      </x:c>
      <x:c r="I525" s="9" t="str">
        <x:v>RP-CT-N08</x:v>
      </x:c>
      <x:c r="J525" s="9" t="str">
        <x:v>Exact-scene masked manipulation control</x:v>
      </x:c>
      <x:c r="K525" s="9" t="n">
        <x:v>72</x:v>
      </x:c>
      <x:c r="L525" s="9" t="str">
        <x:v>285</x:v>
      </x:c>
      <x:c r="M525" s="9"/>
      <x:c r="N525" s="9"/>
      <x:c r="O525" s="9" t="str">
        <x:v>Reset P1 to its marked pose; preserve the exact scene and use the trained control instruction.</x:v>
      </x:c>
      <x:c r="P525" s="9" t="str">
        <x:v>Exact-scene control using the final training prompt from episode 285. The target, reference, distractors, camera, and robot start match the paired transfer row.</x:v>
      </x:c>
      <x:c r="Q525" s="9"/>
      <x:c r="R525" s="10" t="n">
        <x:v>4</x:v>
      </x:c>
      <x:c r="S525" s="10"/>
      <x:c r="T525" s="9"/>
      <x:c r="U525" s="9"/>
      <x:c r="V525" s="9"/>
      <x:c r="W525" s="9"/>
      <x:c r="X525" s="10"/>
      <x:c r="Y525" s="10"/>
      <x:c r="Z525" s="9"/>
      <x:c r="AA525" s="9"/>
      <x:c r="AB525" s="9"/>
      <x:c r="AC525" s="9" t="str">
        <x:v>left</x:v>
      </x:c>
      <x:c r="AD525" s="9" t="str">
        <x:v>red block</x:v>
      </x:c>
      <x:c r="AE525" s="9" t="str">
        <x:v>green pen</x:v>
      </x:c>
      <x:c r="AF525" s="9" t="str">
        <x:v>None</x:v>
      </x:c>
      <x:c r="AG525" s="9"/>
      <x:c r="AH525" s="9"/>
      <x:c r="AI525" s="11"/>
      <x:c r="AJ525" s="9"/>
      <x:c r="AK525" s="9" t="str">
        <x:v>Eval_Relational_Placement (1).xlsm</x:v>
      </x:c>
      <x:c r="AL525" s="9" t="str">
        <x:v>GR00T vision-only Results</x:v>
      </x:c>
      <x:c r="AM525" s="9" t="n">
        <x:v>75</x:v>
      </x:c>
      <x:c r="AN525" s="9" t="n">
        <x:v>75</x:v>
      </x:c>
    </x:row>
    <x:row r="526">
      <x:c r="A526" s="9" t="str">
        <x:v>Success</x:v>
      </x:c>
      <x:c r="B526" s="9" t="str">
        <x:v>Relational Placement</x:v>
      </x:c>
      <x:c r="C526" s="10" t="n">
        <x:v>74</x:v>
      </x:c>
      <x:c r="D526" s="9" t="str">
        <x:v>Position the red block on the robot's left-hand side of the green pen.</x:v>
      </x:c>
      <x:c r="E526" s="9" t="str">
        <x:v>red block, green pen, blue block, pink marker</x:v>
      </x:c>
      <x:c r="F526" s="9" t="str">
        <x:v>red block → 2–8 cm edge gap to the left of green pen; centroid direction within ±45°.</x:v>
      </x:c>
      <x:c r="G526" s="9"/>
      <x:c r="H526" s="9" t="str">
        <x:v>Language robustness</x:v>
      </x:c>
      <x:c r="I526" s="9" t="str">
        <x:v>RP-CT-N08</x:v>
      </x:c>
      <x:c r="J526" s="9" t="str">
        <x:v>Transfer paraphrase of concept/compositional transfer</x:v>
      </x:c>
      <x:c r="K526" s="9" t="n">
        <x:v>72</x:v>
      </x:c>
      <x:c r="L526" s="9" t="str">
        <x:v>285</x:v>
      </x:c>
      <x:c r="M526" s="9"/>
      <x:c r="N526" s="9"/>
      <x:c r="O526" s="9" t="str">
        <x:v>Reset P1 to its marked pose; preserve the exact scene and change only the wording of the transfer instruction.</x:v>
      </x:c>
      <x:c r="P526" s="9" t="str">
        <x:v>Exact-scene paraphrase of the canonical compositional-transfer instruction.</x:v>
      </x:c>
      <x:c r="Q526" s="9"/>
      <x:c r="R526" s="10" t="n">
        <x:v>4</x:v>
      </x:c>
      <x:c r="S526" s="10"/>
      <x:c r="T526" s="9"/>
      <x:c r="U526" s="9"/>
      <x:c r="V526" s="9"/>
      <x:c r="W526" s="9"/>
      <x:c r="X526" s="10"/>
      <x:c r="Y526" s="10"/>
      <x:c r="Z526" s="9"/>
      <x:c r="AA526" s="9"/>
      <x:c r="AB526" s="9"/>
      <x:c r="AC526" s="9" t="str">
        <x:v>left</x:v>
      </x:c>
      <x:c r="AD526" s="9" t="str">
        <x:v>red block</x:v>
      </x:c>
      <x:c r="AE526" s="9" t="str">
        <x:v>green pen</x:v>
      </x:c>
      <x:c r="AF526" s="9" t="str">
        <x:v>None</x:v>
      </x:c>
      <x:c r="AG526" s="9"/>
      <x:c r="AH526" s="9"/>
      <x:c r="AI526" s="11"/>
      <x:c r="AJ526" s="9"/>
      <x:c r="AK526" s="9" t="str">
        <x:v>Eval_Relational_Placement (1).xlsm</x:v>
      </x:c>
      <x:c r="AL526" s="9" t="str">
        <x:v>GR00T vision-only Results</x:v>
      </x:c>
      <x:c r="AM526" s="9" t="n">
        <x:v>76</x:v>
      </x:c>
      <x:c r="AN526" s="9" t="n">
        <x:v>76</x:v>
      </x:c>
    </x:row>
    <x:row r="527">
      <x:c r="A527" s="9" t="str">
        <x:v>Success</x:v>
      </x:c>
      <x:c r="B527" s="9" t="str">
        <x:v>Relational Placement</x:v>
      </x:c>
      <x:c r="C527" s="10" t="n">
        <x:v>75</x:v>
      </x:c>
      <x:c r="D527" s="9" t="str">
        <x:v>Set the red block down close to the green pen.</x:v>
      </x:c>
      <x:c r="E527" s="9" t="str">
        <x:v>red block, green pen, blue block, pink marker</x:v>
      </x:c>
      <x:c r="F527" s="9" t="str">
        <x:v>red block → 2–8 cm edge gap near green pen; no directional sector required.</x:v>
      </x:c>
      <x:c r="G527" s="9" t="str">
        <x:v>placed left</x:v>
      </x:c>
      <x:c r="H527" s="9" t="str">
        <x:v>Language robustness</x:v>
      </x:c>
      <x:c r="I527" s="9" t="str">
        <x:v>RP-CT-N08</x:v>
      </x:c>
      <x:c r="J527" s="9" t="str">
        <x:v>Matched-control paraphrase</x:v>
      </x:c>
      <x:c r="K527" s="9" t="n">
        <x:v>73</x:v>
      </x:c>
      <x:c r="L527" s="9" t="str">
        <x:v>285</x:v>
      </x:c>
      <x:c r="M527" s="9"/>
      <x:c r="N527" s="9"/>
      <x:c r="O527" s="9" t="str">
        <x:v>Reset P1 to its marked pose; preserve the exact scene and change only the wording of the matched-control instruction.</x:v>
      </x:c>
      <x:c r="P527" s="9" t="str">
        <x:v>Exact-scene paraphrase of the training-supported control from episode 285.</x:v>
      </x:c>
      <x:c r="Q527" s="9"/>
      <x:c r="R527" s="10" t="n">
        <x:v>4</x:v>
      </x:c>
      <x:c r="S527" s="10"/>
      <x:c r="T527" s="9"/>
      <x:c r="U527" s="9"/>
      <x:c r="V527" s="9"/>
      <x:c r="W527" s="9"/>
      <x:c r="X527" s="10"/>
      <x:c r="Y527" s="10"/>
      <x:c r="Z527" s="9"/>
      <x:c r="AA527" s="9"/>
      <x:c r="AB527" s="9"/>
      <x:c r="AC527" s="9" t="str">
        <x:v>left</x:v>
      </x:c>
      <x:c r="AD527" s="9" t="str">
        <x:v>red block</x:v>
      </x:c>
      <x:c r="AE527" s="9" t="str">
        <x:v>green pen</x:v>
      </x:c>
      <x:c r="AF527" s="9" t="str">
        <x:v>None</x:v>
      </x:c>
      <x:c r="AG527" s="9"/>
      <x:c r="AH527" s="9"/>
      <x:c r="AI527" s="11"/>
      <x:c r="AJ527" s="9"/>
      <x:c r="AK527" s="9" t="str">
        <x:v>Eval_Relational_Placement (1).xlsm</x:v>
      </x:c>
      <x:c r="AL527" s="9" t="str">
        <x:v>GR00T vision-only Results</x:v>
      </x:c>
      <x:c r="AM527" s="9" t="n">
        <x:v>77</x:v>
      </x:c>
      <x:c r="AN527" s="9" t="n">
        <x:v>77</x:v>
      </x:c>
    </x:row>
    <x:row r="528">
      <x:c r="A528" s="9" t="str">
        <x:v>Success</x:v>
      </x:c>
      <x:c r="B528" s="9" t="str">
        <x:v>Relational Placement</x:v>
      </x:c>
      <x:c r="C528" s="10" t="n">
        <x:v>76</x:v>
      </x:c>
      <x:c r="D528" s="9" t="str">
        <x:v>Place the green pen to the right of the red block.</x:v>
      </x:c>
      <x:c r="E528" s="9" t="str">
        <x:v>green pen, red block, pink marker</x:v>
      </x:c>
      <x:c r="F528" s="9" t="str">
        <x:v>green pen → 2–8 cm edge gap to the right of red block; centroid direction within ±45°.</x:v>
      </x:c>
      <x:c r="G528" s="9"/>
      <x:c r="H528" s="9" t="str">
        <x:v>Concept/compositional transfer</x:v>
      </x:c>
      <x:c r="I528" s="9" t="str">
        <x:v>RP-CT-N09</x:v>
      </x:c>
      <x:c r="J528" s="9" t="str">
        <x:v>Neutral-axis independent compositional-transfer scene</x:v>
      </x:c>
      <x:c r="K528" s="9"/>
      <x:c r="L528" s="9" t="str">
        <x:v>240</x:v>
      </x:c>
      <x:c r="M528" s="9"/>
      <x:c r="N528" s="9"/>
      <x:c r="O528" s="9" t="str">
        <x:v>Build the listed neutral-axis scene and save the first frame.</x:v>
      </x:c>
      <x:c r="P528" s="9" t="str">
        <x:v>Independent held-out-composition scene. Source episode 240 supplies target recognition/manipulation under the trained prompt “Place the green pen next to the red block.”. The orthogonal start removes the opposite-side shortcut.</x:v>
      </x:c>
      <x:c r="Q528" s="9"/>
      <x:c r="R528" s="10" t="n">
        <x:v>3</x:v>
      </x:c>
      <x:c r="S528" s="10"/>
      <x:c r="T528" s="9"/>
      <x:c r="U528" s="9"/>
      <x:c r="V528" s="9"/>
      <x:c r="W528" s="9"/>
      <x:c r="X528" s="10"/>
      <x:c r="Y528" s="10"/>
      <x:c r="Z528" s="9"/>
      <x:c r="AA528" s="9"/>
      <x:c r="AB528" s="9"/>
      <x:c r="AC528" s="9" t="str">
        <x:v>right</x:v>
      </x:c>
      <x:c r="AD528" s="9" t="str">
        <x:v>green pen</x:v>
      </x:c>
      <x:c r="AE528" s="9" t="str">
        <x:v>red block</x:v>
      </x:c>
      <x:c r="AF528" s="9" t="str">
        <x:v>None</x:v>
      </x:c>
      <x:c r="AG528" s="9"/>
      <x:c r="AH528" s="9"/>
      <x:c r="AI528" s="11"/>
      <x:c r="AJ528" s="9"/>
      <x:c r="AK528" s="9" t="str">
        <x:v>Eval_Relational_Placement (1).xlsm</x:v>
      </x:c>
      <x:c r="AL528" s="9" t="str">
        <x:v>GR00T vision-only Results</x:v>
      </x:c>
      <x:c r="AM528" s="9" t="n">
        <x:v>78</x:v>
      </x:c>
      <x:c r="AN528" s="9" t="n">
        <x:v>78</x:v>
      </x:c>
    </x:row>
    <x:row r="529">
      <x:c r="A529" s="9" t="str">
        <x:v>Success</x:v>
      </x:c>
      <x:c r="B529" s="9" t="str">
        <x:v>Relational Placement</x:v>
      </x:c>
      <x:c r="C529" s="10" t="n">
        <x:v>77</x:v>
      </x:c>
      <x:c r="D529" s="9" t="str">
        <x:v>Place the green pen next to the red block.</x:v>
      </x:c>
      <x:c r="E529" s="9" t="str">
        <x:v>green pen, red block, pink marker</x:v>
      </x:c>
      <x:c r="F529" s="9" t="str">
        <x:v>green pen → 2–8 cm edge gap near red block; no directional sector required.</x:v>
      </x:c>
      <x:c r="G529" s="9"/>
      <x:c r="H529" s="9" t="str">
        <x:v>Matched manipulation control</x:v>
      </x:c>
      <x:c r="I529" s="9" t="str">
        <x:v>RP-CT-N09</x:v>
      </x:c>
      <x:c r="J529" s="9" t="str">
        <x:v>Exact-scene masked manipulation control</x:v>
      </x:c>
      <x:c r="K529" s="9" t="n">
        <x:v>76</x:v>
      </x:c>
      <x:c r="L529" s="9" t="str">
        <x:v>240</x:v>
      </x:c>
      <x:c r="M529" s="9"/>
      <x:c r="N529" s="9"/>
      <x:c r="O529" s="9" t="str">
        <x:v>Reset P1 to its marked pose; preserve the exact scene and use the trained control instruction.</x:v>
      </x:c>
      <x:c r="P529" s="9" t="str">
        <x:v>Exact-scene control using the final training prompt from episode 240. The target, reference, distractors, camera, and robot start match the paired transfer row.</x:v>
      </x:c>
      <x:c r="Q529" s="9"/>
      <x:c r="R529" s="10" t="n">
        <x:v>3</x:v>
      </x:c>
      <x:c r="S529" s="10"/>
      <x:c r="T529" s="9"/>
      <x:c r="U529" s="9"/>
      <x:c r="V529" s="9"/>
      <x:c r="W529" s="9"/>
      <x:c r="X529" s="10"/>
      <x:c r="Y529" s="10"/>
      <x:c r="Z529" s="9"/>
      <x:c r="AA529" s="9"/>
      <x:c r="AB529" s="9"/>
      <x:c r="AC529" s="9" t="str">
        <x:v>right</x:v>
      </x:c>
      <x:c r="AD529" s="9" t="str">
        <x:v>green pen</x:v>
      </x:c>
      <x:c r="AE529" s="9" t="str">
        <x:v>red block</x:v>
      </x:c>
      <x:c r="AF529" s="9" t="str">
        <x:v>None</x:v>
      </x:c>
      <x:c r="AG529" s="9"/>
      <x:c r="AH529" s="9"/>
      <x:c r="AI529" s="11"/>
      <x:c r="AJ529" s="9"/>
      <x:c r="AK529" s="9" t="str">
        <x:v>Eval_Relational_Placement (1).xlsm</x:v>
      </x:c>
      <x:c r="AL529" s="9" t="str">
        <x:v>GR00T vision-only Results</x:v>
      </x:c>
      <x:c r="AM529" s="9" t="n">
        <x:v>79</x:v>
      </x:c>
      <x:c r="AN529" s="9" t="n">
        <x:v>79</x:v>
      </x:c>
    </x:row>
    <x:row r="530">
      <x:c r="A530" s="9" t="str">
        <x:v>Success</x:v>
      </x:c>
      <x:c r="B530" s="9" t="str">
        <x:v>Relational Placement</x:v>
      </x:c>
      <x:c r="C530" s="10" t="n">
        <x:v>78</x:v>
      </x:c>
      <x:c r="D530" s="9" t="str">
        <x:v>Position the green pen on the robot's right-hand side of the red block.</x:v>
      </x:c>
      <x:c r="E530" s="9" t="str">
        <x:v>green pen, red block, pink marker</x:v>
      </x:c>
      <x:c r="F530" s="9" t="str">
        <x:v>green pen → 2–8 cm edge gap to the right of red block; centroid direction within ±45°.</x:v>
      </x:c>
      <x:c r="G530" s="9"/>
      <x:c r="H530" s="9" t="str">
        <x:v>Language robustness</x:v>
      </x:c>
      <x:c r="I530" s="9" t="str">
        <x:v>RP-CT-N09</x:v>
      </x:c>
      <x:c r="J530" s="9" t="str">
        <x:v>Transfer paraphrase of concept/compositional transfer</x:v>
      </x:c>
      <x:c r="K530" s="9" t="n">
        <x:v>76</x:v>
      </x:c>
      <x:c r="L530" s="9" t="str">
        <x:v>240</x:v>
      </x:c>
      <x:c r="M530" s="9"/>
      <x:c r="N530" s="9"/>
      <x:c r="O530" s="9" t="str">
        <x:v>Reset P1 to its marked pose; preserve the exact scene and change only the wording of the transfer instruction.</x:v>
      </x:c>
      <x:c r="P530" s="9" t="str">
        <x:v>Exact-scene paraphrase of the canonical compositional-transfer instruction.</x:v>
      </x:c>
      <x:c r="Q530" s="9"/>
      <x:c r="R530" s="10" t="n">
        <x:v>3</x:v>
      </x:c>
      <x:c r="S530" s="10"/>
      <x:c r="T530" s="9"/>
      <x:c r="U530" s="9"/>
      <x:c r="V530" s="9"/>
      <x:c r="W530" s="9"/>
      <x:c r="X530" s="10"/>
      <x:c r="Y530" s="10"/>
      <x:c r="Z530" s="9"/>
      <x:c r="AA530" s="9"/>
      <x:c r="AB530" s="9"/>
      <x:c r="AC530" s="9" t="str">
        <x:v>right</x:v>
      </x:c>
      <x:c r="AD530" s="9" t="str">
        <x:v>green pen</x:v>
      </x:c>
      <x:c r="AE530" s="9" t="str">
        <x:v>red block</x:v>
      </x:c>
      <x:c r="AF530" s="9" t="str">
        <x:v>None</x:v>
      </x:c>
      <x:c r="AG530" s="9"/>
      <x:c r="AH530" s="9"/>
      <x:c r="AI530" s="11"/>
      <x:c r="AJ530" s="9"/>
      <x:c r="AK530" s="9" t="str">
        <x:v>Eval_Relational_Placement (1).xlsm</x:v>
      </x:c>
      <x:c r="AL530" s="9" t="str">
        <x:v>GR00T vision-only Results</x:v>
      </x:c>
      <x:c r="AM530" s="9" t="n">
        <x:v>80</x:v>
      </x:c>
      <x:c r="AN530" s="9" t="n">
        <x:v>80</x:v>
      </x:c>
    </x:row>
    <x:row r="531">
      <x:c r="A531" s="9" t="str">
        <x:v>Success</x:v>
      </x:c>
      <x:c r="B531" s="9" t="str">
        <x:v>Relational Placement</x:v>
      </x:c>
      <x:c r="C531" s="10" t="n">
        <x:v>79</x:v>
      </x:c>
      <x:c r="D531" s="9" t="str">
        <x:v>Set the green pen down close to the red block.</x:v>
      </x:c>
      <x:c r="E531" s="9" t="str">
        <x:v>green pen, red block, pink marker</x:v>
      </x:c>
      <x:c r="F531" s="9" t="str">
        <x:v>green pen → 2–8 cm edge gap near red block; no directional sector required.</x:v>
      </x:c>
      <x:c r="G531" s="9" t="str">
        <x:v>pushed the red block with pen in gripper. green pen ended up on the right of the red block</x:v>
      </x:c>
      <x:c r="H531" s="9" t="str">
        <x:v>Language robustness</x:v>
      </x:c>
      <x:c r="I531" s="9" t="str">
        <x:v>RP-CT-N09</x:v>
      </x:c>
      <x:c r="J531" s="9" t="str">
        <x:v>Matched-control paraphrase</x:v>
      </x:c>
      <x:c r="K531" s="9" t="n">
        <x:v>77</x:v>
      </x:c>
      <x:c r="L531" s="9" t="str">
        <x:v>240</x:v>
      </x:c>
      <x:c r="M531" s="9"/>
      <x:c r="N531" s="9"/>
      <x:c r="O531" s="9" t="str">
        <x:v>Reset P1 to its marked pose; preserve the exact scene and change only the wording of the matched-control instruction.</x:v>
      </x:c>
      <x:c r="P531" s="9" t="str">
        <x:v>Exact-scene paraphrase of the training-supported control from episode 240.</x:v>
      </x:c>
      <x:c r="Q531" s="9"/>
      <x:c r="R531" s="10" t="n">
        <x:v>3</x:v>
      </x:c>
      <x:c r="S531" s="10"/>
      <x:c r="T531" s="9"/>
      <x:c r="U531" s="9"/>
      <x:c r="V531" s="9"/>
      <x:c r="W531" s="9"/>
      <x:c r="X531" s="10"/>
      <x:c r="Y531" s="10"/>
      <x:c r="Z531" s="9"/>
      <x:c r="AA531" s="9"/>
      <x:c r="AB531" s="9"/>
      <x:c r="AC531" s="9" t="str">
        <x:v>right</x:v>
      </x:c>
      <x:c r="AD531" s="9" t="str">
        <x:v>green pen</x:v>
      </x:c>
      <x:c r="AE531" s="9" t="str">
        <x:v>red block</x:v>
      </x:c>
      <x:c r="AF531" s="9" t="str">
        <x:v>None</x:v>
      </x:c>
      <x:c r="AG531" s="9"/>
      <x:c r="AH531" s="9"/>
      <x:c r="AI531" s="11"/>
      <x:c r="AJ531" s="9"/>
      <x:c r="AK531" s="9" t="str">
        <x:v>Eval_Relational_Placement (1).xlsm</x:v>
      </x:c>
      <x:c r="AL531" s="9" t="str">
        <x:v>GR00T vision-only Results</x:v>
      </x:c>
      <x:c r="AM531" s="9" t="n">
        <x:v>81</x:v>
      </x:c>
      <x:c r="AN531" s="9" t="n">
        <x:v>81</x:v>
      </x:c>
    </x:row>
    <x:row r="532">
      <x:c r="A532" s="9" t="str">
        <x:v>Success</x:v>
      </x:c>
      <x:c r="B532" s="9" t="str">
        <x:v>Relational Placement</x:v>
      </x:c>
      <x:c r="C532" s="10" t="n">
        <x:v>80</x:v>
      </x:c>
      <x:c r="D532" s="9" t="str">
        <x:v>Place the red block to the right of the green pen.</x:v>
      </x:c>
      <x:c r="E532" s="9" t="str">
        <x:v>red block, green pen, blue block, pink marker</x:v>
      </x:c>
      <x:c r="F532" s="9" t="str">
        <x:v>red block → 2–8 cm edge gap to the right of green pen; centroid direction within ±45°.</x:v>
      </x:c>
      <x:c r="G532" s="9" t="str">
        <x:v>took a long timme to go home after putting the block to the right of the pen</x:v>
      </x:c>
      <x:c r="H532" s="9" t="str">
        <x:v>Concept/compositional transfer</x:v>
      </x:c>
      <x:c r="I532" s="9" t="str">
        <x:v>RP-CT-N10</x:v>
      </x:c>
      <x:c r="J532" s="9" t="str">
        <x:v>Neutral-axis independent compositional-transfer scene</x:v>
      </x:c>
      <x:c r="K532" s="9"/>
      <x:c r="L532" s="9" t="str">
        <x:v>298</x:v>
      </x:c>
      <x:c r="M532" s="9"/>
      <x:c r="N532" s="9"/>
      <x:c r="O532" s="9" t="str">
        <x:v>Build the listed neutral-axis scene and save the first frame.</x:v>
      </x:c>
      <x:c r="P532" s="9" t="str">
        <x:v>Independent held-out-composition scene. Source episode 298 supplies target recognition/manipulation under the trained prompt “Put the red block beside the green pen.”. The orthogonal start removes the opposite-side shortcut.</x:v>
      </x:c>
      <x:c r="Q532" s="9"/>
      <x:c r="R532" s="10" t="n">
        <x:v>4</x:v>
      </x:c>
      <x:c r="S532" s="10"/>
      <x:c r="T532" s="9"/>
      <x:c r="U532" s="9"/>
      <x:c r="V532" s="9"/>
      <x:c r="W532" s="9"/>
      <x:c r="X532" s="10"/>
      <x:c r="Y532" s="10"/>
      <x:c r="Z532" s="9"/>
      <x:c r="AA532" s="9"/>
      <x:c r="AB532" s="9"/>
      <x:c r="AC532" s="9" t="str">
        <x:v>right</x:v>
      </x:c>
      <x:c r="AD532" s="9" t="str">
        <x:v>red block</x:v>
      </x:c>
      <x:c r="AE532" s="9" t="str">
        <x:v>green pen</x:v>
      </x:c>
      <x:c r="AF532" s="9" t="str">
        <x:v>None</x:v>
      </x:c>
      <x:c r="AG532" s="9"/>
      <x:c r="AH532" s="9"/>
      <x:c r="AI532" s="11"/>
      <x:c r="AJ532" s="9"/>
      <x:c r="AK532" s="9" t="str">
        <x:v>Eval_Relational_Placement (1).xlsm</x:v>
      </x:c>
      <x:c r="AL532" s="9" t="str">
        <x:v>GR00T vision-only Results</x:v>
      </x:c>
      <x:c r="AM532" s="9" t="n">
        <x:v>82</x:v>
      </x:c>
      <x:c r="AN532" s="9" t="n">
        <x:v>82</x:v>
      </x:c>
    </x:row>
    <x:row r="533">
      <x:c r="A533" s="9" t="str">
        <x:v>Success</x:v>
      </x:c>
      <x:c r="B533" s="9" t="str">
        <x:v>Relational Placement</x:v>
      </x:c>
      <x:c r="C533" s="10" t="n">
        <x:v>81</x:v>
      </x:c>
      <x:c r="D533" s="9" t="str">
        <x:v>Put the red block beside the green pen.</x:v>
      </x:c>
      <x:c r="E533" s="9" t="str">
        <x:v>red block, green pen, blue block, pink marker</x:v>
      </x:c>
      <x:c r="F533" s="9" t="str">
        <x:v>red block → 2–8 cm edge gap near green pen; no directional sector required.</x:v>
      </x:c>
      <x:c r="G533" s="9"/>
      <x:c r="H533" s="9" t="str">
        <x:v>Matched manipulation control</x:v>
      </x:c>
      <x:c r="I533" s="9" t="str">
        <x:v>RP-CT-N10</x:v>
      </x:c>
      <x:c r="J533" s="9" t="str">
        <x:v>Exact-scene masked manipulation control</x:v>
      </x:c>
      <x:c r="K533" s="9" t="n">
        <x:v>80</x:v>
      </x:c>
      <x:c r="L533" s="9" t="str">
        <x:v>298</x:v>
      </x:c>
      <x:c r="M533" s="9"/>
      <x:c r="N533" s="9"/>
      <x:c r="O533" s="9" t="str">
        <x:v>Reset P1 to its marked pose; preserve the exact scene and use the trained control instruction.</x:v>
      </x:c>
      <x:c r="P533" s="9" t="str">
        <x:v>Exact-scene control using the final training prompt from episode 298. The target, reference, distractors, camera, and robot start match the paired transfer row.</x:v>
      </x:c>
      <x:c r="Q533" s="9"/>
      <x:c r="R533" s="10" t="n">
        <x:v>4</x:v>
      </x:c>
      <x:c r="S533" s="10"/>
      <x:c r="T533" s="9"/>
      <x:c r="U533" s="9"/>
      <x:c r="V533" s="9"/>
      <x:c r="W533" s="9"/>
      <x:c r="X533" s="10"/>
      <x:c r="Y533" s="10"/>
      <x:c r="Z533" s="9"/>
      <x:c r="AA533" s="9"/>
      <x:c r="AB533" s="9"/>
      <x:c r="AC533" s="9" t="str">
        <x:v>right</x:v>
      </x:c>
      <x:c r="AD533" s="9" t="str">
        <x:v>red block</x:v>
      </x:c>
      <x:c r="AE533" s="9" t="str">
        <x:v>green pen</x:v>
      </x:c>
      <x:c r="AF533" s="9" t="str">
        <x:v>None</x:v>
      </x:c>
      <x:c r="AG533" s="9"/>
      <x:c r="AH533" s="9"/>
      <x:c r="AI533" s="11"/>
      <x:c r="AJ533" s="9"/>
      <x:c r="AK533" s="9" t="str">
        <x:v>Eval_Relational_Placement (1).xlsm</x:v>
      </x:c>
      <x:c r="AL533" s="9" t="str">
        <x:v>GR00T vision-only Results</x:v>
      </x:c>
      <x:c r="AM533" s="9" t="n">
        <x:v>83</x:v>
      </x:c>
      <x:c r="AN533" s="9" t="n">
        <x:v>83</x:v>
      </x:c>
    </x:row>
    <x:row r="534">
      <x:c r="A534" s="9" t="str">
        <x:v>Failure</x:v>
      </x:c>
      <x:c r="B534" s="9" t="str">
        <x:v>Relational Placement</x:v>
      </x:c>
      <x:c r="C534" s="10" t="n">
        <x:v>82</x:v>
      </x:c>
      <x:c r="D534" s="9" t="str">
        <x:v>Position the red block on the robot's right-hand side of the green pen.</x:v>
      </x:c>
      <x:c r="E534" s="9" t="str">
        <x:v>red block, green pen, blue block, pink marker</x:v>
      </x:c>
      <x:c r="F534" s="9" t="str">
        <x:v>red block → 2–8 cm edge gap to the right of green pen; centroid direction within ±45°.</x:v>
      </x:c>
      <x:c r="G534" s="9" t="str">
        <x:v>placed on the left</x:v>
      </x:c>
      <x:c r="H534" s="9" t="str">
        <x:v>Language robustness</x:v>
      </x:c>
      <x:c r="I534" s="9" t="str">
        <x:v>RP-CT-N10</x:v>
      </x:c>
      <x:c r="J534" s="9" t="str">
        <x:v>Transfer paraphrase of concept/compositional transfer</x:v>
      </x:c>
      <x:c r="K534" s="9" t="n">
        <x:v>80</x:v>
      </x:c>
      <x:c r="L534" s="9" t="str">
        <x:v>298</x:v>
      </x:c>
      <x:c r="M534" s="9"/>
      <x:c r="N534" s="9"/>
      <x:c r="O534" s="9" t="str">
        <x:v>Reset P1 to its marked pose; preserve the exact scene and change only the wording of the transfer instruction.</x:v>
      </x:c>
      <x:c r="P534" s="9" t="str">
        <x:v>Exact-scene paraphrase of the canonical compositional-transfer instruction.</x:v>
      </x:c>
      <x:c r="Q534" s="9"/>
      <x:c r="R534" s="10" t="n">
        <x:v>4</x:v>
      </x:c>
      <x:c r="S534" s="10"/>
      <x:c r="T534" s="9"/>
      <x:c r="U534" s="9"/>
      <x:c r="V534" s="9"/>
      <x:c r="W534" s="9"/>
      <x:c r="X534" s="10"/>
      <x:c r="Y534" s="10"/>
      <x:c r="Z534" s="9"/>
      <x:c r="AA534" s="9"/>
      <x:c r="AB534" s="9"/>
      <x:c r="AC534" s="9" t="str">
        <x:v>right</x:v>
      </x:c>
      <x:c r="AD534" s="9" t="str">
        <x:v>red block</x:v>
      </x:c>
      <x:c r="AE534" s="9" t="str">
        <x:v>green pen</x:v>
      </x:c>
      <x:c r="AF534" s="9" t="str">
        <x:v>None</x:v>
      </x:c>
      <x:c r="AG534" s="9"/>
      <x:c r="AH534" s="9"/>
      <x:c r="AI534" s="11"/>
      <x:c r="AJ534" s="9"/>
      <x:c r="AK534" s="9" t="str">
        <x:v>Eval_Relational_Placement (1).xlsm</x:v>
      </x:c>
      <x:c r="AL534" s="9" t="str">
        <x:v>GR00T vision-only Results</x:v>
      </x:c>
      <x:c r="AM534" s="9" t="n">
        <x:v>84</x:v>
      </x:c>
      <x:c r="AN534" s="9" t="n">
        <x:v>84</x:v>
      </x:c>
    </x:row>
    <x:row r="535">
      <x:c r="A535" s="9" t="str">
        <x:v>Success</x:v>
      </x:c>
      <x:c r="B535" s="9" t="str">
        <x:v>Relational Placement</x:v>
      </x:c>
      <x:c r="C535" s="10" t="n">
        <x:v>83</x:v>
      </x:c>
      <x:c r="D535" s="9" t="str">
        <x:v>Set the red block down close to the green pen.</x:v>
      </x:c>
      <x:c r="E535" s="9" t="str">
        <x:v>red block, green pen, blue block, pink marker</x:v>
      </x:c>
      <x:c r="F535" s="9" t="str">
        <x:v>red block → 2–8 cm edge gap near green pen; no directional sector required.</x:v>
      </x:c>
      <x:c r="G535" s="9" t="str">
        <x:v>placed on the left</x:v>
      </x:c>
      <x:c r="H535" s="9" t="str">
        <x:v>Language robustness</x:v>
      </x:c>
      <x:c r="I535" s="9" t="str">
        <x:v>RP-CT-N10</x:v>
      </x:c>
      <x:c r="J535" s="9" t="str">
        <x:v>Matched-control paraphrase</x:v>
      </x:c>
      <x:c r="K535" s="9" t="n">
        <x:v>81</x:v>
      </x:c>
      <x:c r="L535" s="9" t="str">
        <x:v>298</x:v>
      </x:c>
      <x:c r="M535" s="9"/>
      <x:c r="N535" s="9"/>
      <x:c r="O535" s="9" t="str">
        <x:v>Reset P1 to its marked pose; preserve the exact scene and change only the wording of the matched-control instruction.</x:v>
      </x:c>
      <x:c r="P535" s="9" t="str">
        <x:v>Exact-scene paraphrase of the training-supported control from episode 298.</x:v>
      </x:c>
      <x:c r="Q535" s="9"/>
      <x:c r="R535" s="10" t="n">
        <x:v>4</x:v>
      </x:c>
      <x:c r="S535" s="10"/>
      <x:c r="T535" s="9"/>
      <x:c r="U535" s="9"/>
      <x:c r="V535" s="9"/>
      <x:c r="W535" s="9"/>
      <x:c r="X535" s="10"/>
      <x:c r="Y535" s="10"/>
      <x:c r="Z535" s="9"/>
      <x:c r="AA535" s="9"/>
      <x:c r="AB535" s="9"/>
      <x:c r="AC535" s="9" t="str">
        <x:v>right</x:v>
      </x:c>
      <x:c r="AD535" s="9" t="str">
        <x:v>red block</x:v>
      </x:c>
      <x:c r="AE535" s="9" t="str">
        <x:v>green pen</x:v>
      </x:c>
      <x:c r="AF535" s="9" t="str">
        <x:v>None</x:v>
      </x:c>
      <x:c r="AG535" s="9"/>
      <x:c r="AH535" s="9"/>
      <x:c r="AI535" s="11"/>
      <x:c r="AJ535" s="9"/>
      <x:c r="AK535" s="9" t="str">
        <x:v>Eval_Relational_Placement (1).xlsm</x:v>
      </x:c>
      <x:c r="AL535" s="9" t="str">
        <x:v>GR00T vision-only Results</x:v>
      </x:c>
      <x:c r="AM535" s="9" t="n">
        <x:v>85</x:v>
      </x:c>
      <x:c r="AN535" s="9" t="n">
        <x:v>85</x:v>
      </x:c>
    </x:row>
    <x:row r="536">
      <x:c r="A536" s="9" t="str">
        <x:v>Failure</x:v>
      </x:c>
      <x:c r="B536" s="9" t="str">
        <x:v>Relational Placement</x:v>
      </x:c>
      <x:c r="C536" s="10" t="n">
        <x:v>84</x:v>
      </x:c>
      <x:c r="D536" s="9" t="str">
        <x:v>Place the green pen in front of the red block.</x:v>
      </x:c>
      <x:c r="E536" s="9" t="str">
        <x:v>green pen, red block, pink marker, blue block</x:v>
      </x:c>
      <x:c r="F536" s="9" t="str">
        <x:v>green pen → 2–8 cm edge gap in front of red block; centroid direction within ±45°.</x:v>
      </x:c>
      <x:c r="G536" s="9" t="str">
        <x:v>placed more toward the left</x:v>
      </x:c>
      <x:c r="H536" s="9" t="str">
        <x:v>Concept/compositional transfer</x:v>
      </x:c>
      <x:c r="I536" s="9" t="str">
        <x:v>RP-CT-N11</x:v>
      </x:c>
      <x:c r="J536" s="9" t="str">
        <x:v>Neutral-axis independent compositional-transfer scene</x:v>
      </x:c>
      <x:c r="K536" s="9"/>
      <x:c r="L536" s="9" t="str">
        <x:v>202</x:v>
      </x:c>
      <x:c r="M536" s="9"/>
      <x:c r="N536" s="9"/>
      <x:c r="O536" s="9" t="str">
        <x:v>Build the listed neutral-axis scene and save the first frame.</x:v>
      </x:c>
      <x:c r="P536" s="9" t="str">
        <x:v>Independent held-out-composition scene. Source episode 202 supplies target recognition/manipulation under the trained prompt “Put the green pen beside the red block.”. The orthogonal start removes the opposite-side shortcut.</x:v>
      </x:c>
      <x:c r="Q536" s="9"/>
      <x:c r="R536" s="10" t="n">
        <x:v>4</x:v>
      </x:c>
      <x:c r="S536" s="10"/>
      <x:c r="T536" s="9"/>
      <x:c r="U536" s="9"/>
      <x:c r="V536" s="9"/>
      <x:c r="W536" s="9"/>
      <x:c r="X536" s="10"/>
      <x:c r="Y536" s="10"/>
      <x:c r="Z536" s="9"/>
      <x:c r="AA536" s="9"/>
      <x:c r="AB536" s="9"/>
      <x:c r="AC536" s="9" t="str">
        <x:v>front</x:v>
      </x:c>
      <x:c r="AD536" s="9" t="str">
        <x:v>green pen</x:v>
      </x:c>
      <x:c r="AE536" s="9" t="str">
        <x:v>red block</x:v>
      </x:c>
      <x:c r="AF536" s="9" t="str">
        <x:v>None</x:v>
      </x:c>
      <x:c r="AG536" s="9"/>
      <x:c r="AH536" s="9"/>
      <x:c r="AI536" s="11"/>
      <x:c r="AJ536" s="9"/>
      <x:c r="AK536" s="9" t="str">
        <x:v>Eval_Relational_Placement (1).xlsm</x:v>
      </x:c>
      <x:c r="AL536" s="9" t="str">
        <x:v>GR00T vision-only Results</x:v>
      </x:c>
      <x:c r="AM536" s="9" t="n">
        <x:v>86</x:v>
      </x:c>
      <x:c r="AN536" s="9" t="n">
        <x:v>86</x:v>
      </x:c>
    </x:row>
    <x:row r="537">
      <x:c r="A537" s="9" t="str">
        <x:v>Success</x:v>
      </x:c>
      <x:c r="B537" s="9" t="str">
        <x:v>Relational Placement</x:v>
      </x:c>
      <x:c r="C537" s="10" t="n">
        <x:v>85</x:v>
      </x:c>
      <x:c r="D537" s="9" t="str">
        <x:v>Put the green pen beside the red block.</x:v>
      </x:c>
      <x:c r="E537" s="9" t="str">
        <x:v>green pen, red block, pink marker, blue block</x:v>
      </x:c>
      <x:c r="F537" s="9" t="str">
        <x:v>green pen → 2–8 cm edge gap near red block; no directional sector required.</x:v>
      </x:c>
      <x:c r="G537" s="9" t="str">
        <x:v>placed to the right</x:v>
      </x:c>
      <x:c r="H537" s="9" t="str">
        <x:v>Matched manipulation control</x:v>
      </x:c>
      <x:c r="I537" s="9" t="str">
        <x:v>RP-CT-N11</x:v>
      </x:c>
      <x:c r="J537" s="9" t="str">
        <x:v>Exact-scene masked manipulation control</x:v>
      </x:c>
      <x:c r="K537" s="9" t="n">
        <x:v>84</x:v>
      </x:c>
      <x:c r="L537" s="9" t="str">
        <x:v>202</x:v>
      </x:c>
      <x:c r="M537" s="9"/>
      <x:c r="N537" s="9"/>
      <x:c r="O537" s="9" t="str">
        <x:v>Reset P1 to its marked pose; preserve the exact scene and use the trained control instruction.</x:v>
      </x:c>
      <x:c r="P537" s="9" t="str">
        <x:v>Exact-scene control using the final training prompt from episode 202. The target, reference, distractors, camera, and robot start match the paired transfer row.</x:v>
      </x:c>
      <x:c r="Q537" s="9"/>
      <x:c r="R537" s="10" t="n">
        <x:v>4</x:v>
      </x:c>
      <x:c r="S537" s="10"/>
      <x:c r="T537" s="9"/>
      <x:c r="U537" s="9"/>
      <x:c r="V537" s="9"/>
      <x:c r="W537" s="9"/>
      <x:c r="X537" s="10"/>
      <x:c r="Y537" s="10"/>
      <x:c r="Z537" s="9"/>
      <x:c r="AA537" s="9"/>
      <x:c r="AB537" s="9"/>
      <x:c r="AC537" s="9" t="str">
        <x:v>front</x:v>
      </x:c>
      <x:c r="AD537" s="9" t="str">
        <x:v>green pen</x:v>
      </x:c>
      <x:c r="AE537" s="9" t="str">
        <x:v>red block</x:v>
      </x:c>
      <x:c r="AF537" s="9" t="str">
        <x:v>None</x:v>
      </x:c>
      <x:c r="AG537" s="9"/>
      <x:c r="AH537" s="9"/>
      <x:c r="AI537" s="11"/>
      <x:c r="AJ537" s="9"/>
      <x:c r="AK537" s="9" t="str">
        <x:v>Eval_Relational_Placement (1).xlsm</x:v>
      </x:c>
      <x:c r="AL537" s="9" t="str">
        <x:v>GR00T vision-only Results</x:v>
      </x:c>
      <x:c r="AM537" s="9" t="n">
        <x:v>87</x:v>
      </x:c>
      <x:c r="AN537" s="9" t="n">
        <x:v>87</x:v>
      </x:c>
    </x:row>
    <x:row r="538">
      <x:c r="A538" s="9" t="str">
        <x:v>Failure</x:v>
      </x:c>
      <x:c r="B538" s="9" t="str">
        <x:v>Relational Placement</x:v>
      </x:c>
      <x:c r="C538" s="10" t="n">
        <x:v>86</x:v>
      </x:c>
      <x:c r="D538" s="9" t="str">
        <x:v>Place the red block in front of the green pen.</x:v>
      </x:c>
      <x:c r="E538" s="9" t="str">
        <x:v>red block, green pen, blue block</x:v>
      </x:c>
      <x:c r="F538" s="9" t="str">
        <x:v>red block → 2–8 cm edge gap in front of green pen; centroid direction within ±45°.</x:v>
      </x:c>
      <x:c r="G538" s="9" t="str">
        <x:v>succeeded reasoning; put the red block in front of the green pen, but didn't return to home position </x:v>
      </x:c>
      <x:c r="H538" s="9" t="str">
        <x:v>Concept/compositional transfer</x:v>
      </x:c>
      <x:c r="I538" s="9" t="str">
        <x:v>RP-CT-N12</x:v>
      </x:c>
      <x:c r="J538" s="9" t="str">
        <x:v>Neutral-axis independent compositional-transfer scene</x:v>
      </x:c>
      <x:c r="K538" s="9"/>
      <x:c r="L538" s="9" t="str">
        <x:v>261</x:v>
      </x:c>
      <x:c r="M538" s="9"/>
      <x:c r="N538" s="9"/>
      <x:c r="O538" s="9" t="str">
        <x:v>Build the listed neutral-axis scene and save the first frame.</x:v>
      </x:c>
      <x:c r="P538" s="9" t="str">
        <x:v>Independent held-out-composition scene. Source episode 261 supplies target recognition/manipulation under the trained prompt “Place the red block next to the green pen.”. The orthogonal start removes the opposite-side shortcut.</x:v>
      </x:c>
      <x:c r="Q538" s="9"/>
      <x:c r="R538" s="10" t="n">
        <x:v>3</x:v>
      </x:c>
      <x:c r="S538" s="10"/>
      <x:c r="T538" s="9"/>
      <x:c r="U538" s="9"/>
      <x:c r="V538" s="9"/>
      <x:c r="W538" s="9"/>
      <x:c r="X538" s="10"/>
      <x:c r="Y538" s="10"/>
      <x:c r="Z538" s="9"/>
      <x:c r="AA538" s="9"/>
      <x:c r="AB538" s="9"/>
      <x:c r="AC538" s="9" t="str">
        <x:v>front</x:v>
      </x:c>
      <x:c r="AD538" s="9" t="str">
        <x:v>red block</x:v>
      </x:c>
      <x:c r="AE538" s="9" t="str">
        <x:v>green pen</x:v>
      </x:c>
      <x:c r="AF538" s="9" t="str">
        <x:v>None</x:v>
      </x:c>
      <x:c r="AG538" s="9"/>
      <x:c r="AH538" s="9"/>
      <x:c r="AI538" s="11"/>
      <x:c r="AJ538" s="9"/>
      <x:c r="AK538" s="9" t="str">
        <x:v>Eval_Relational_Placement (1).xlsm</x:v>
      </x:c>
      <x:c r="AL538" s="9" t="str">
        <x:v>GR00T vision-only Results</x:v>
      </x:c>
      <x:c r="AM538" s="9" t="n">
        <x:v>88</x:v>
      </x:c>
      <x:c r="AN538" s="9" t="n">
        <x:v>88</x:v>
      </x:c>
    </x:row>
    <x:row r="539">
      <x:c r="A539" s="9" t="str">
        <x:v>Success</x:v>
      </x:c>
      <x:c r="B539" s="9" t="str">
        <x:v>Relational Placement</x:v>
      </x:c>
      <x:c r="C539" s="10" t="n">
        <x:v>87</x:v>
      </x:c>
      <x:c r="D539" s="9" t="str">
        <x:v>Place the red block next to the green pen.</x:v>
      </x:c>
      <x:c r="E539" s="9" t="str">
        <x:v>red block, green pen, blue block</x:v>
      </x:c>
      <x:c r="F539" s="9" t="str">
        <x:v>red block → 2–8 cm edge gap near green pen; no directional sector required.</x:v>
      </x:c>
      <x:c r="G539" s="9" t="str">
        <x:v>did place the red block in front of the green pen</x:v>
      </x:c>
      <x:c r="H539" s="9" t="str">
        <x:v>Matched manipulation control</x:v>
      </x:c>
      <x:c r="I539" s="9" t="str">
        <x:v>RP-CT-N12</x:v>
      </x:c>
      <x:c r="J539" s="9" t="str">
        <x:v>Exact-scene masked manipulation control</x:v>
      </x:c>
      <x:c r="K539" s="9" t="n">
        <x:v>86</x:v>
      </x:c>
      <x:c r="L539" s="9" t="str">
        <x:v>261</x:v>
      </x:c>
      <x:c r="M539" s="9"/>
      <x:c r="N539" s="9"/>
      <x:c r="O539" s="9" t="str">
        <x:v>Reset P1 to its marked pose; preserve the exact scene and use the trained control instruction.</x:v>
      </x:c>
      <x:c r="P539" s="9" t="str">
        <x:v>Exact-scene control using the final training prompt from episode 261. The target, reference, distractors, camera, and robot start match the paired transfer row.</x:v>
      </x:c>
      <x:c r="Q539" s="9"/>
      <x:c r="R539" s="10" t="n">
        <x:v>3</x:v>
      </x:c>
      <x:c r="S539" s="10"/>
      <x:c r="T539" s="9"/>
      <x:c r="U539" s="9"/>
      <x:c r="V539" s="9"/>
      <x:c r="W539" s="9"/>
      <x:c r="X539" s="10"/>
      <x:c r="Y539" s="10"/>
      <x:c r="Z539" s="9"/>
      <x:c r="AA539" s="9"/>
      <x:c r="AB539" s="9"/>
      <x:c r="AC539" s="9" t="str">
        <x:v>front</x:v>
      </x:c>
      <x:c r="AD539" s="9" t="str">
        <x:v>red block</x:v>
      </x:c>
      <x:c r="AE539" s="9" t="str">
        <x:v>green pen</x:v>
      </x:c>
      <x:c r="AF539" s="9" t="str">
        <x:v>None</x:v>
      </x:c>
      <x:c r="AG539" s="9"/>
      <x:c r="AH539" s="9"/>
      <x:c r="AI539" s="11"/>
      <x:c r="AJ539" s="9"/>
      <x:c r="AK539" s="9" t="str">
        <x:v>Eval_Relational_Placement (1).xlsm</x:v>
      </x:c>
      <x:c r="AL539" s="9" t="str">
        <x:v>GR00T vision-only Results</x:v>
      </x:c>
      <x:c r="AM539" s="9" t="n">
        <x:v>89</x:v>
      </x:c>
      <x:c r="AN539" s="9" t="n">
        <x:v>89</x:v>
      </x:c>
    </x:row>
    <x:row r="540">
      <x:c r="A540" s="9" t="str">
        <x:v>Failure</x:v>
      </x:c>
      <x:c r="B540" s="9" t="str">
        <x:v>Relational Placement</x:v>
      </x:c>
      <x:c r="C540" s="10" t="n">
        <x:v>88</x:v>
      </x:c>
      <x:c r="D540" s="9" t="str">
        <x:v>Place the green pen behind the red block.</x:v>
      </x:c>
      <x:c r="E540" s="9" t="str">
        <x:v>green pen, red block, pink marker</x:v>
      </x:c>
      <x:c r="F540" s="9" t="str">
        <x:v>green pen → 2–8 cm edge gap behind red block; centroid direction within ±45°.</x:v>
      </x:c>
      <x:c r="G540" s="9" t="str">
        <x:v>placed behind the pink marker and then didn't return to home position</x:v>
      </x:c>
      <x:c r="H540" s="9" t="str">
        <x:v>Concept/compositional transfer</x:v>
      </x:c>
      <x:c r="I540" s="9" t="str">
        <x:v>RP-CT-N13</x:v>
      </x:c>
      <x:c r="J540" s="9" t="str">
        <x:v>Neutral-axis independent compositional-transfer scene</x:v>
      </x:c>
      <x:c r="K540" s="9"/>
      <x:c r="L540" s="9" t="str">
        <x:v>213</x:v>
      </x:c>
      <x:c r="M540" s="9"/>
      <x:c r="N540" s="9"/>
      <x:c r="O540" s="9" t="str">
        <x:v>Build the listed neutral-axis scene and save the first frame.</x:v>
      </x:c>
      <x:c r="P540" s="9" t="str">
        <x:v>Independent held-out-composition scene. Source episode 213 supplies target recognition/manipulation under the trained prompt “Place the green pen next to the red block.”. The orthogonal start removes the opposite-side shortcut.</x:v>
      </x:c>
      <x:c r="Q540" s="9"/>
      <x:c r="R540" s="10" t="n">
        <x:v>3</x:v>
      </x:c>
      <x:c r="S540" s="10"/>
      <x:c r="T540" s="9"/>
      <x:c r="U540" s="9"/>
      <x:c r="V540" s="9"/>
      <x:c r="W540" s="9"/>
      <x:c r="X540" s="10"/>
      <x:c r="Y540" s="10"/>
      <x:c r="Z540" s="9"/>
      <x:c r="AA540" s="9"/>
      <x:c r="AB540" s="9"/>
      <x:c r="AC540" s="9" t="str">
        <x:v>behind</x:v>
      </x:c>
      <x:c r="AD540" s="9" t="str">
        <x:v>green pen</x:v>
      </x:c>
      <x:c r="AE540" s="9" t="str">
        <x:v>red block</x:v>
      </x:c>
      <x:c r="AF540" s="9" t="str">
        <x:v>None</x:v>
      </x:c>
      <x:c r="AG540" s="9"/>
      <x:c r="AH540" s="9"/>
      <x:c r="AI540" s="11"/>
      <x:c r="AJ540" s="9"/>
      <x:c r="AK540" s="9" t="str">
        <x:v>Eval_Relational_Placement (1).xlsm</x:v>
      </x:c>
      <x:c r="AL540" s="9" t="str">
        <x:v>GR00T vision-only Results</x:v>
      </x:c>
      <x:c r="AM540" s="9" t="n">
        <x:v>90</x:v>
      </x:c>
      <x:c r="AN540" s="9" t="n">
        <x:v>90</x:v>
      </x:c>
    </x:row>
    <x:row r="541">
      <x:c r="A541" s="9" t="str">
        <x:v>Success</x:v>
      </x:c>
      <x:c r="B541" s="9" t="str">
        <x:v>Relational Placement</x:v>
      </x:c>
      <x:c r="C541" s="10" t="n">
        <x:v>89</x:v>
      </x:c>
      <x:c r="D541" s="9" t="str">
        <x:v>Place the green pen next to the red block.</x:v>
      </x:c>
      <x:c r="E541" s="9" t="str">
        <x:v>green pen, red block, pink marker</x:v>
      </x:c>
      <x:c r="F541" s="9" t="str">
        <x:v>green pen → 2–8 cm edge gap near red block; no directional sector required.</x:v>
      </x:c>
      <x:c r="G541" s="9" t="str">
        <x:v>placed in front of the red block</x:v>
      </x:c>
      <x:c r="H541" s="9" t="str">
        <x:v>Matched manipulation control</x:v>
      </x:c>
      <x:c r="I541" s="9" t="str">
        <x:v>RP-CT-N13</x:v>
      </x:c>
      <x:c r="J541" s="9" t="str">
        <x:v>Exact-scene masked manipulation control</x:v>
      </x:c>
      <x:c r="K541" s="9" t="n">
        <x:v>88</x:v>
      </x:c>
      <x:c r="L541" s="9" t="str">
        <x:v>213</x:v>
      </x:c>
      <x:c r="M541" s="9"/>
      <x:c r="N541" s="9"/>
      <x:c r="O541" s="9" t="str">
        <x:v>Reset P1 to its marked pose; preserve the exact scene and use the trained control instruction.</x:v>
      </x:c>
      <x:c r="P541" s="9" t="str">
        <x:v>Exact-scene control using the final training prompt from episode 213. The target, reference, distractors, camera, and robot start match the paired transfer row.</x:v>
      </x:c>
      <x:c r="Q541" s="9"/>
      <x:c r="R541" s="10" t="n">
        <x:v>3</x:v>
      </x:c>
      <x:c r="S541" s="10"/>
      <x:c r="T541" s="9"/>
      <x:c r="U541" s="9"/>
      <x:c r="V541" s="9"/>
      <x:c r="W541" s="9"/>
      <x:c r="X541" s="10"/>
      <x:c r="Y541" s="10"/>
      <x:c r="Z541" s="9"/>
      <x:c r="AA541" s="9"/>
      <x:c r="AB541" s="9"/>
      <x:c r="AC541" s="9" t="str">
        <x:v>behind</x:v>
      </x:c>
      <x:c r="AD541" s="9" t="str">
        <x:v>green pen</x:v>
      </x:c>
      <x:c r="AE541" s="9" t="str">
        <x:v>red block</x:v>
      </x:c>
      <x:c r="AF541" s="9" t="str">
        <x:v>None</x:v>
      </x:c>
      <x:c r="AG541" s="9"/>
      <x:c r="AH541" s="9"/>
      <x:c r="AI541" s="11"/>
      <x:c r="AJ541" s="9"/>
      <x:c r="AK541" s="9" t="str">
        <x:v>Eval_Relational_Placement (1).xlsm</x:v>
      </x:c>
      <x:c r="AL541" s="9" t="str">
        <x:v>GR00T vision-only Results</x:v>
      </x:c>
      <x:c r="AM541" s="9" t="n">
        <x:v>91</x:v>
      </x:c>
      <x:c r="AN541" s="9" t="n">
        <x:v>91</x:v>
      </x:c>
    </x:row>
    <x:row r="542">
      <x:c r="A542" s="9" t="str">
        <x:v>Success</x:v>
      </x:c>
      <x:c r="B542" s="9" t="str">
        <x:v>Relational Placement</x:v>
      </x:c>
      <x:c r="C542" s="10" t="n">
        <x:v>90</x:v>
      </x:c>
      <x:c r="D542" s="9" t="str">
        <x:v>Place the red block behind the green pen.</x:v>
      </x:c>
      <x:c r="E542" s="9" t="str">
        <x:v>red block, green pen, blue block, pink marker</x:v>
      </x:c>
      <x:c r="F542" s="9" t="str">
        <x:v>red block → 2–8 cm edge gap behind green pen; centroid direction within ±45°.</x:v>
      </x:c>
      <x:c r="G542" s="9" t="str">
        <x:v>succeeded in reasoning and struggled to go home</x:v>
      </x:c>
      <x:c r="H542" s="9" t="str">
        <x:v>Concept/compositional transfer</x:v>
      </x:c>
      <x:c r="I542" s="9" t="str">
        <x:v>RP-CT-N14</x:v>
      </x:c>
      <x:c r="J542" s="9" t="str">
        <x:v>Neutral-axis independent compositional-transfer scene</x:v>
      </x:c>
      <x:c r="K542" s="9"/>
      <x:c r="L542" s="9" t="str">
        <x:v>273</x:v>
      </x:c>
      <x:c r="M542" s="9"/>
      <x:c r="N542" s="9"/>
      <x:c r="O542" s="9" t="str">
        <x:v>Build the listed neutral-axis scene and save the first frame.</x:v>
      </x:c>
      <x:c r="P542" s="9" t="str">
        <x:v>Independent held-out-composition scene. Source episode 273 supplies target recognition/manipulation under the trained prompt “Place the red block next to the green pen.”. The orthogonal start removes the opposite-side shortcut.</x:v>
      </x:c>
      <x:c r="Q542" s="9"/>
      <x:c r="R542" s="10" t="n">
        <x:v>4</x:v>
      </x:c>
      <x:c r="S542" s="10"/>
      <x:c r="T542" s="9"/>
      <x:c r="U542" s="9"/>
      <x:c r="V542" s="9"/>
      <x:c r="W542" s="9"/>
      <x:c r="X542" s="10"/>
      <x:c r="Y542" s="10"/>
      <x:c r="Z542" s="9"/>
      <x:c r="AA542" s="9"/>
      <x:c r="AB542" s="9"/>
      <x:c r="AC542" s="9" t="str">
        <x:v>behind</x:v>
      </x:c>
      <x:c r="AD542" s="9" t="str">
        <x:v>red block</x:v>
      </x:c>
      <x:c r="AE542" s="9" t="str">
        <x:v>green pen</x:v>
      </x:c>
      <x:c r="AF542" s="9" t="str">
        <x:v>None</x:v>
      </x:c>
      <x:c r="AG542" s="9"/>
      <x:c r="AH542" s="9"/>
      <x:c r="AI542" s="11"/>
      <x:c r="AJ542" s="9"/>
      <x:c r="AK542" s="9" t="str">
        <x:v>Eval_Relational_Placement (1).xlsm</x:v>
      </x:c>
      <x:c r="AL542" s="9" t="str">
        <x:v>GR00T vision-only Results</x:v>
      </x:c>
      <x:c r="AM542" s="9" t="n">
        <x:v>92</x:v>
      </x:c>
      <x:c r="AN542" s="9" t="n">
        <x:v>92</x:v>
      </x:c>
    </x:row>
    <x:row r="543">
      <x:c r="A543" s="9" t="str">
        <x:v>Success</x:v>
      </x:c>
      <x:c r="B543" s="9" t="str">
        <x:v>Relational Placement</x:v>
      </x:c>
      <x:c r="C543" s="10" t="n">
        <x:v>91</x:v>
      </x:c>
      <x:c r="D543" s="9" t="str">
        <x:v>Place the red block next to the green pen.</x:v>
      </x:c>
      <x:c r="E543" s="9" t="str">
        <x:v>red block, green pen, blue block, pink marker</x:v>
      </x:c>
      <x:c r="F543" s="9" t="str">
        <x:v>red block → 2–8 cm edge gap near green pen; no directional sector required.</x:v>
      </x:c>
      <x:c r="G543" s="9" t="str">
        <x:v>placed in front of the red block</x:v>
      </x:c>
      <x:c r="H543" s="9" t="str">
        <x:v>Matched manipulation control</x:v>
      </x:c>
      <x:c r="I543" s="9" t="str">
        <x:v>RP-CT-N14</x:v>
      </x:c>
      <x:c r="J543" s="9" t="str">
        <x:v>Exact-scene masked manipulation control</x:v>
      </x:c>
      <x:c r="K543" s="9" t="n">
        <x:v>90</x:v>
      </x:c>
      <x:c r="L543" s="9" t="str">
        <x:v>273</x:v>
      </x:c>
      <x:c r="M543" s="9"/>
      <x:c r="N543" s="9"/>
      <x:c r="O543" s="9" t="str">
        <x:v>Reset P1 to its marked pose; preserve the exact scene and use the trained control instruction.</x:v>
      </x:c>
      <x:c r="P543" s="9" t="str">
        <x:v>Exact-scene control using the final training prompt from episode 273. The target, reference, distractors, camera, and robot start match the paired transfer row.</x:v>
      </x:c>
      <x:c r="Q543" s="9"/>
      <x:c r="R543" s="10" t="n">
        <x:v>4</x:v>
      </x:c>
      <x:c r="S543" s="10"/>
      <x:c r="T543" s="9"/>
      <x:c r="U543" s="9"/>
      <x:c r="V543" s="9"/>
      <x:c r="W543" s="9"/>
      <x:c r="X543" s="10"/>
      <x:c r="Y543" s="10"/>
      <x:c r="Z543" s="9"/>
      <x:c r="AA543" s="9"/>
      <x:c r="AB543" s="9"/>
      <x:c r="AC543" s="9" t="str">
        <x:v>behind</x:v>
      </x:c>
      <x:c r="AD543" s="9" t="str">
        <x:v>red block</x:v>
      </x:c>
      <x:c r="AE543" s="9" t="str">
        <x:v>green pen</x:v>
      </x:c>
      <x:c r="AF543" s="9" t="str">
        <x:v>None</x:v>
      </x:c>
      <x:c r="AG543" s="9"/>
      <x:c r="AH543" s="9"/>
      <x:c r="AI543" s="11"/>
      <x:c r="AJ543" s="9"/>
      <x:c r="AK543" s="9" t="str">
        <x:v>Eval_Relational_Placement (1).xlsm</x:v>
      </x:c>
      <x:c r="AL543" s="9" t="str">
        <x:v>GR00T vision-only Results</x:v>
      </x:c>
      <x:c r="AM543" s="9" t="n">
        <x:v>93</x:v>
      </x:c>
      <x:c r="AN543" s="9" t="n">
        <x:v>93</x:v>
      </x:c>
    </x:row>
    <x:row r="544">
      <x:c r="A544" s="9" t="str">
        <x:v>Failure</x:v>
      </x:c>
      <x:c r="B544" s="9" t="str">
        <x:v>Relational Placement</x:v>
      </x:c>
      <x:c r="C544" s="10" t="n">
        <x:v>92</x:v>
      </x:c>
      <x:c r="D544" s="9" t="str">
        <x:v>Place the green pen to the left of the red block.</x:v>
      </x:c>
      <x:c r="E544" s="9" t="str">
        <x:v>green pen, red block, pink marker, blue block</x:v>
      </x:c>
      <x:c r="F544" s="9" t="str">
        <x:v>green pen → 2–8 cm edge gap to the left of red block; centroid direction within ±45°.</x:v>
      </x:c>
      <x:c r="G544" s="9" t="str">
        <x:v>succeeded reasoning; and moved the pen to the left, but couldn't release it</x:v>
      </x:c>
      <x:c r="H544" s="9" t="str">
        <x:v>Concept/compositional transfer</x:v>
      </x:c>
      <x:c r="I544" s="9" t="str">
        <x:v>RP-CT-N15</x:v>
      </x:c>
      <x:c r="J544" s="9" t="str">
        <x:v>Neutral-axis independent compositional-transfer scene</x:v>
      </x:c>
      <x:c r="K544" s="9"/>
      <x:c r="L544" s="9" t="str">
        <x:v>227</x:v>
      </x:c>
      <x:c r="M544" s="9"/>
      <x:c r="N544" s="9"/>
      <x:c r="O544" s="9" t="str">
        <x:v>Build the listed neutral-axis scene and save the first frame.</x:v>
      </x:c>
      <x:c r="P544" s="9" t="str">
        <x:v>Independent held-out-composition scene. Source episode 227 supplies target recognition/manipulation under the trained prompt “Move the green pen near the red block.”. The orthogonal start removes the opposite-side shortcut.</x:v>
      </x:c>
      <x:c r="Q544" s="9"/>
      <x:c r="R544" s="10" t="n">
        <x:v>4</x:v>
      </x:c>
      <x:c r="S544" s="10"/>
      <x:c r="T544" s="9"/>
      <x:c r="U544" s="9"/>
      <x:c r="V544" s="9"/>
      <x:c r="W544" s="9"/>
      <x:c r="X544" s="10"/>
      <x:c r="Y544" s="10"/>
      <x:c r="Z544" s="9"/>
      <x:c r="AA544" s="9"/>
      <x:c r="AB544" s="9"/>
      <x:c r="AC544" s="9" t="str">
        <x:v>left</x:v>
      </x:c>
      <x:c r="AD544" s="9" t="str">
        <x:v>green pen</x:v>
      </x:c>
      <x:c r="AE544" s="9" t="str">
        <x:v>red block</x:v>
      </x:c>
      <x:c r="AF544" s="9" t="str">
        <x:v>None</x:v>
      </x:c>
      <x:c r="AG544" s="9"/>
      <x:c r="AH544" s="9"/>
      <x:c r="AI544" s="11"/>
      <x:c r="AJ544" s="9"/>
      <x:c r="AK544" s="9" t="str">
        <x:v>Eval_Relational_Placement (1).xlsm</x:v>
      </x:c>
      <x:c r="AL544" s="9" t="str">
        <x:v>GR00T vision-only Results</x:v>
      </x:c>
      <x:c r="AM544" s="9" t="n">
        <x:v>94</x:v>
      </x:c>
      <x:c r="AN544" s="9" t="n">
        <x:v>94</x:v>
      </x:c>
    </x:row>
    <x:row r="545">
      <x:c r="A545" s="9" t="str">
        <x:v>Success</x:v>
      </x:c>
      <x:c r="B545" s="9" t="str">
        <x:v>Relational Placement</x:v>
      </x:c>
      <x:c r="C545" s="10" t="n">
        <x:v>93</x:v>
      </x:c>
      <x:c r="D545" s="9" t="str">
        <x:v>Move the green pen near the red block.</x:v>
      </x:c>
      <x:c r="E545" s="9" t="str">
        <x:v>green pen, red block, pink marker, blue block</x:v>
      </x:c>
      <x:c r="F545" s="9" t="str">
        <x:v>green pen → 2–8 cm edge gap near red block; no directional sector required.</x:v>
      </x:c>
      <x:c r="G545" s="9" t="str">
        <x:v>placed green pen behind the red block</x:v>
      </x:c>
      <x:c r="H545" s="9" t="str">
        <x:v>Matched manipulation control</x:v>
      </x:c>
      <x:c r="I545" s="9" t="str">
        <x:v>RP-CT-N15</x:v>
      </x:c>
      <x:c r="J545" s="9" t="str">
        <x:v>Exact-scene masked manipulation control</x:v>
      </x:c>
      <x:c r="K545" s="9" t="n">
        <x:v>92</x:v>
      </x:c>
      <x:c r="L545" s="9" t="str">
        <x:v>227</x:v>
      </x:c>
      <x:c r="M545" s="9"/>
      <x:c r="N545" s="9"/>
      <x:c r="O545" s="9" t="str">
        <x:v>Reset P1 to its marked pose; preserve the exact scene and use the trained control instruction.</x:v>
      </x:c>
      <x:c r="P545" s="9" t="str">
        <x:v>Exact-scene control using the final training prompt from episode 227. The target, reference, distractors, camera, and robot start match the paired transfer row.</x:v>
      </x:c>
      <x:c r="Q545" s="9"/>
      <x:c r="R545" s="10" t="n">
        <x:v>4</x:v>
      </x:c>
      <x:c r="S545" s="10"/>
      <x:c r="T545" s="9"/>
      <x:c r="U545" s="9"/>
      <x:c r="V545" s="9"/>
      <x:c r="W545" s="9"/>
      <x:c r="X545" s="10"/>
      <x:c r="Y545" s="10"/>
      <x:c r="Z545" s="9"/>
      <x:c r="AA545" s="9"/>
      <x:c r="AB545" s="9"/>
      <x:c r="AC545" s="9" t="str">
        <x:v>left</x:v>
      </x:c>
      <x:c r="AD545" s="9" t="str">
        <x:v>green pen</x:v>
      </x:c>
      <x:c r="AE545" s="9" t="str">
        <x:v>red block</x:v>
      </x:c>
      <x:c r="AF545" s="9" t="str">
        <x:v>None</x:v>
      </x:c>
      <x:c r="AG545" s="9"/>
      <x:c r="AH545" s="9"/>
      <x:c r="AI545" s="11"/>
      <x:c r="AJ545" s="9"/>
      <x:c r="AK545" s="9" t="str">
        <x:v>Eval_Relational_Placement (1).xlsm</x:v>
      </x:c>
      <x:c r="AL545" s="9" t="str">
        <x:v>GR00T vision-only Results</x:v>
      </x:c>
      <x:c r="AM545" s="9" t="n">
        <x:v>95</x:v>
      </x:c>
      <x:c r="AN545" s="9" t="n">
        <x:v>95</x:v>
      </x:c>
    </x:row>
    <x:row r="546">
      <x:c r="A546" s="9" t="str">
        <x:v>Success</x:v>
      </x:c>
      <x:c r="B546" s="9" t="str">
        <x:v>Relational Placement</x:v>
      </x:c>
      <x:c r="C546" s="10" t="n">
        <x:v>94</x:v>
      </x:c>
      <x:c r="D546" s="9" t="str">
        <x:v>Place the red block to the left of the green pen.</x:v>
      </x:c>
      <x:c r="E546" s="9" t="str">
        <x:v>red block, green pen, blue block</x:v>
      </x:c>
      <x:c r="F546" s="9" t="str">
        <x:v>red block → 2–8 cm edge gap to the left of green pen; centroid direction within ±45°.</x:v>
      </x:c>
      <x:c r="G546" s="9" t="str">
        <x:v>closer to the right of the pink marker; started to go to red block after returning home, but didn't actually move the red block</x:v>
      </x:c>
      <x:c r="H546" s="9" t="str">
        <x:v>Concept/compositional transfer</x:v>
      </x:c>
      <x:c r="I546" s="9" t="str">
        <x:v>RP-CT-N16</x:v>
      </x:c>
      <x:c r="J546" s="9" t="str">
        <x:v>Neutral-axis independent compositional-transfer scene</x:v>
      </x:c>
      <x:c r="K546" s="9"/>
      <x:c r="L546" s="9" t="str">
        <x:v>286</x:v>
      </x:c>
      <x:c r="M546" s="9"/>
      <x:c r="N546" s="9"/>
      <x:c r="O546" s="9" t="str">
        <x:v>Build the listed neutral-axis scene and save the first frame.</x:v>
      </x:c>
      <x:c r="P546" s="9" t="str">
        <x:v>Independent held-out-composition scene. Source episode 286 supplies target recognition/manipulation under the trained prompt “Put the red block beside the green pen.”. The orthogonal start removes the opposite-side shortcut.</x:v>
      </x:c>
      <x:c r="Q546" s="9"/>
      <x:c r="R546" s="10" t="n">
        <x:v>3</x:v>
      </x:c>
      <x:c r="S546" s="10"/>
      <x:c r="T546" s="9"/>
      <x:c r="U546" s="9"/>
      <x:c r="V546" s="9"/>
      <x:c r="W546" s="9"/>
      <x:c r="X546" s="10"/>
      <x:c r="Y546" s="10"/>
      <x:c r="Z546" s="9"/>
      <x:c r="AA546" s="9"/>
      <x:c r="AB546" s="9"/>
      <x:c r="AC546" s="9" t="str">
        <x:v>left</x:v>
      </x:c>
      <x:c r="AD546" s="9" t="str">
        <x:v>red block</x:v>
      </x:c>
      <x:c r="AE546" s="9" t="str">
        <x:v>green pen</x:v>
      </x:c>
      <x:c r="AF546" s="9" t="str">
        <x:v>None</x:v>
      </x:c>
      <x:c r="AG546" s="9"/>
      <x:c r="AH546" s="9"/>
      <x:c r="AI546" s="11"/>
      <x:c r="AJ546" s="9"/>
      <x:c r="AK546" s="9" t="str">
        <x:v>Eval_Relational_Placement (1).xlsm</x:v>
      </x:c>
      <x:c r="AL546" s="9" t="str">
        <x:v>GR00T vision-only Results</x:v>
      </x:c>
      <x:c r="AM546" s="9" t="n">
        <x:v>96</x:v>
      </x:c>
      <x:c r="AN546" s="9" t="n">
        <x:v>96</x:v>
      </x:c>
    </x:row>
    <x:row r="547">
      <x:c r="A547" s="9" t="str">
        <x:v>Success</x:v>
      </x:c>
      <x:c r="B547" s="9" t="str">
        <x:v>Relational Placement</x:v>
      </x:c>
      <x:c r="C547" s="10" t="n">
        <x:v>95</x:v>
      </x:c>
      <x:c r="D547" s="9" t="str">
        <x:v>Put the red block beside the green pen.</x:v>
      </x:c>
      <x:c r="E547" s="9" t="str">
        <x:v>red block, green pen, blue block</x:v>
      </x:c>
      <x:c r="F547" s="9" t="str">
        <x:v>red block → 2–8 cm edge gap near green pen; no directional sector required.</x:v>
      </x:c>
      <x:c r="G547" s="9" t="str">
        <x:v>placed on the left</x:v>
      </x:c>
      <x:c r="H547" s="9" t="str">
        <x:v>Matched manipulation control</x:v>
      </x:c>
      <x:c r="I547" s="9" t="str">
        <x:v>RP-CT-N16</x:v>
      </x:c>
      <x:c r="J547" s="9" t="str">
        <x:v>Exact-scene masked manipulation control</x:v>
      </x:c>
      <x:c r="K547" s="9" t="n">
        <x:v>94</x:v>
      </x:c>
      <x:c r="L547" s="9" t="str">
        <x:v>286</x:v>
      </x:c>
      <x:c r="M547" s="9"/>
      <x:c r="N547" s="9"/>
      <x:c r="O547" s="9" t="str">
        <x:v>Reset P1 to its marked pose; preserve the exact scene and use the trained control instruction.</x:v>
      </x:c>
      <x:c r="P547" s="9" t="str">
        <x:v>Exact-scene control using the final training prompt from episode 286. The target, reference, distractors, camera, and robot start match the paired transfer row.</x:v>
      </x:c>
      <x:c r="Q547" s="9"/>
      <x:c r="R547" s="10" t="n">
        <x:v>3</x:v>
      </x:c>
      <x:c r="S547" s="10"/>
      <x:c r="T547" s="9"/>
      <x:c r="U547" s="9"/>
      <x:c r="V547" s="9"/>
      <x:c r="W547" s="9"/>
      <x:c r="X547" s="10"/>
      <x:c r="Y547" s="10"/>
      <x:c r="Z547" s="9"/>
      <x:c r="AA547" s="9"/>
      <x:c r="AB547" s="9"/>
      <x:c r="AC547" s="9" t="str">
        <x:v>left</x:v>
      </x:c>
      <x:c r="AD547" s="9" t="str">
        <x:v>red block</x:v>
      </x:c>
      <x:c r="AE547" s="9" t="str">
        <x:v>green pen</x:v>
      </x:c>
      <x:c r="AF547" s="9" t="str">
        <x:v>None</x:v>
      </x:c>
      <x:c r="AG547" s="9"/>
      <x:c r="AH547" s="9"/>
      <x:c r="AI547" s="11"/>
      <x:c r="AJ547" s="9"/>
      <x:c r="AK547" s="9" t="str">
        <x:v>Eval_Relational_Placement (1).xlsm</x:v>
      </x:c>
      <x:c r="AL547" s="9" t="str">
        <x:v>GR00T vision-only Results</x:v>
      </x:c>
      <x:c r="AM547" s="9" t="n">
        <x:v>97</x:v>
      </x:c>
      <x:c r="AN547" s="9" t="n">
        <x:v>97</x:v>
      </x:c>
    </x:row>
    <x:row r="548">
      <x:c r="A548" s="9" t="str">
        <x:v>Success</x:v>
      </x:c>
      <x:c r="B548" s="9" t="str">
        <x:v>Relational Placement</x:v>
      </x:c>
      <x:c r="C548" s="10" t="n">
        <x:v>96</x:v>
      </x:c>
      <x:c r="D548" s="9" t="str">
        <x:v>Place the red block to the left of the green pen.</x:v>
      </x:c>
      <x:c r="E548" s="9" t="str">
        <x:v>red block, green pen, pink marker, blue block</x:v>
      </x:c>
      <x:c r="F548" s="9" t="str">
        <x:v>red block → 2–8 cm edge gap to the left of green pen; centroid direction within ±45°.</x:v>
      </x:c>
      <x:c r="G548" s="9"/>
      <x:c r="H548" s="9" t="str">
        <x:v>Concept/compositional transfer</x:v>
      </x:c>
      <x:c r="I548" s="9" t="str">
        <x:v>RP-CT-N17</x:v>
      </x:c>
      <x:c r="J548" s="9" t="str">
        <x:v>Neutral-axis independent compositional-transfer scene</x:v>
      </x:c>
      <x:c r="K548" s="9"/>
      <x:c r="L548" s="9" t="str">
        <x:v>285</x:v>
      </x:c>
      <x:c r="M548" s="9"/>
      <x:c r="N548" s="9"/>
      <x:c r="O548" s="9" t="str">
        <x:v>Build the listed neutral-axis scene and save the first frame.</x:v>
      </x:c>
      <x:c r="P548" s="9" t="str">
        <x:v>Independent held-out-composition scene. Source episode 285 supplies target recognition/manipulation under the trained prompt “Place the red block next to the green pen.”. The orthogonal start removes the opposite-side shortcut.</x:v>
      </x:c>
      <x:c r="Q548" s="9"/>
      <x:c r="R548" s="10" t="n">
        <x:v>4</x:v>
      </x:c>
      <x:c r="S548" s="10"/>
      <x:c r="T548" s="9"/>
      <x:c r="U548" s="9"/>
      <x:c r="V548" s="9"/>
      <x:c r="W548" s="9"/>
      <x:c r="X548" s="10"/>
      <x:c r="Y548" s="10"/>
      <x:c r="Z548" s="9"/>
      <x:c r="AA548" s="9"/>
      <x:c r="AB548" s="9"/>
      <x:c r="AC548" s="9" t="str">
        <x:v>left</x:v>
      </x:c>
      <x:c r="AD548" s="9" t="str">
        <x:v>red block</x:v>
      </x:c>
      <x:c r="AE548" s="9" t="str">
        <x:v>green pen</x:v>
      </x:c>
      <x:c r="AF548" s="9" t="str">
        <x:v>None</x:v>
      </x:c>
      <x:c r="AG548" s="9"/>
      <x:c r="AH548" s="9"/>
      <x:c r="AI548" s="11"/>
      <x:c r="AJ548" s="9"/>
      <x:c r="AK548" s="9" t="str">
        <x:v>Eval_Relational_Placement (1).xlsm</x:v>
      </x:c>
      <x:c r="AL548" s="9" t="str">
        <x:v>GR00T vision-only Results</x:v>
      </x:c>
      <x:c r="AM548" s="9" t="n">
        <x:v>98</x:v>
      </x:c>
      <x:c r="AN548" s="9" t="n">
        <x:v>98</x:v>
      </x:c>
    </x:row>
    <x:row r="549">
      <x:c r="A549" s="9" t="str">
        <x:v>Success</x:v>
      </x:c>
      <x:c r="B549" s="9" t="str">
        <x:v>Relational Placement</x:v>
      </x:c>
      <x:c r="C549" s="10" t="n">
        <x:v>97</x:v>
      </x:c>
      <x:c r="D549" s="9" t="str">
        <x:v>Place the red block next to the green pen.</x:v>
      </x:c>
      <x:c r="E549" s="9" t="str">
        <x:v>red block, green pen, pink marker, blue block</x:v>
      </x:c>
      <x:c r="F549" s="9" t="str">
        <x:v>red block → 2–8 cm edge gap near green pen; no directional sector required.</x:v>
      </x:c>
      <x:c r="G549" s="9" t="str">
        <x:v>also placed on the left; struggled to release again</x:v>
      </x:c>
      <x:c r="H549" s="9" t="str">
        <x:v>Matched manipulation control</x:v>
      </x:c>
      <x:c r="I549" s="9" t="str">
        <x:v>RP-CT-N17</x:v>
      </x:c>
      <x:c r="J549" s="9" t="str">
        <x:v>Exact-scene masked manipulation control</x:v>
      </x:c>
      <x:c r="K549" s="9" t="n">
        <x:v>96</x:v>
      </x:c>
      <x:c r="L549" s="9" t="str">
        <x:v>285</x:v>
      </x:c>
      <x:c r="M549" s="9"/>
      <x:c r="N549" s="9"/>
      <x:c r="O549" s="9" t="str">
        <x:v>Reset P1 to its marked pose; preserve the exact scene and use the trained control instruction.</x:v>
      </x:c>
      <x:c r="P549" s="9" t="str">
        <x:v>Exact-scene control using the final training prompt from episode 285. The target, reference, distractors, camera, and robot start match the paired transfer row.</x:v>
      </x:c>
      <x:c r="Q549" s="9"/>
      <x:c r="R549" s="10" t="n">
        <x:v>4</x:v>
      </x:c>
      <x:c r="S549" s="10"/>
      <x:c r="T549" s="9"/>
      <x:c r="U549" s="9"/>
      <x:c r="V549" s="9"/>
      <x:c r="W549" s="9"/>
      <x:c r="X549" s="10"/>
      <x:c r="Y549" s="10"/>
      <x:c r="Z549" s="9"/>
      <x:c r="AA549" s="9"/>
      <x:c r="AB549" s="9"/>
      <x:c r="AC549" s="9" t="str">
        <x:v>left</x:v>
      </x:c>
      <x:c r="AD549" s="9" t="str">
        <x:v>red block</x:v>
      </x:c>
      <x:c r="AE549" s="9" t="str">
        <x:v>green pen</x:v>
      </x:c>
      <x:c r="AF549" s="9" t="str">
        <x:v>None</x:v>
      </x:c>
      <x:c r="AG549" s="9"/>
      <x:c r="AH549" s="9"/>
      <x:c r="AI549" s="11"/>
      <x:c r="AJ549" s="9"/>
      <x:c r="AK549" s="9" t="str">
        <x:v>Eval_Relational_Placement (1).xlsm</x:v>
      </x:c>
      <x:c r="AL549" s="9" t="str">
        <x:v>GR00T vision-only Results</x:v>
      </x:c>
      <x:c r="AM549" s="9" t="n">
        <x:v>99</x:v>
      </x:c>
      <x:c r="AN549" s="9" t="n">
        <x:v>99</x:v>
      </x:c>
    </x:row>
    <x:row r="550">
      <x:c r="A550" s="9" t="str">
        <x:v>Success</x:v>
      </x:c>
      <x:c r="B550" s="9" t="str">
        <x:v>Relational Placement</x:v>
      </x:c>
      <x:c r="C550" s="10" t="n">
        <x:v>98</x:v>
      </x:c>
      <x:c r="D550" s="9" t="str">
        <x:v>Place the green pen to the right of the red block.</x:v>
      </x:c>
      <x:c r="E550" s="9" t="str">
        <x:v>green pen, red block, blue block</x:v>
      </x:c>
      <x:c r="F550" s="9" t="str">
        <x:v>green pen → 2–8 cm edge gap to the right of red block; centroid direction within ±45°.</x:v>
      </x:c>
      <x:c r="G550" s="9"/>
      <x:c r="H550" s="9" t="str">
        <x:v>Concept/compositional transfer</x:v>
      </x:c>
      <x:c r="I550" s="9" t="str">
        <x:v>RP-CT-N18</x:v>
      </x:c>
      <x:c r="J550" s="9" t="str">
        <x:v>Neutral-axis independent compositional-transfer scene</x:v>
      </x:c>
      <x:c r="K550" s="9"/>
      <x:c r="L550" s="9" t="str">
        <x:v>238</x:v>
      </x:c>
      <x:c r="M550" s="9"/>
      <x:c r="N550" s="9"/>
      <x:c r="O550" s="9" t="str">
        <x:v>Build the listed neutral-axis scene and save the first frame.</x:v>
      </x:c>
      <x:c r="P550" s="9" t="str">
        <x:v>Independent held-out-composition scene. Source episode 238 supplies target recognition/manipulation under the trained prompt “Put the green pen beside the red block.”. The orthogonal start removes the opposite-side shortcut.</x:v>
      </x:c>
      <x:c r="Q550" s="9"/>
      <x:c r="R550" s="10" t="n">
        <x:v>3</x:v>
      </x:c>
      <x:c r="S550" s="10"/>
      <x:c r="T550" s="9"/>
      <x:c r="U550" s="9"/>
      <x:c r="V550" s="9"/>
      <x:c r="W550" s="9"/>
      <x:c r="X550" s="10"/>
      <x:c r="Y550" s="10"/>
      <x:c r="Z550" s="9"/>
      <x:c r="AA550" s="9"/>
      <x:c r="AB550" s="9"/>
      <x:c r="AC550" s="9" t="str">
        <x:v>right</x:v>
      </x:c>
      <x:c r="AD550" s="9" t="str">
        <x:v>green pen</x:v>
      </x:c>
      <x:c r="AE550" s="9" t="str">
        <x:v>red block</x:v>
      </x:c>
      <x:c r="AF550" s="9" t="str">
        <x:v>None</x:v>
      </x:c>
      <x:c r="AG550" s="9"/>
      <x:c r="AH550" s="9"/>
      <x:c r="AI550" s="11"/>
      <x:c r="AJ550" s="9"/>
      <x:c r="AK550" s="9" t="str">
        <x:v>Eval_Relational_Placement (1).xlsm</x:v>
      </x:c>
      <x:c r="AL550" s="9" t="str">
        <x:v>GR00T vision-only Results</x:v>
      </x:c>
      <x:c r="AM550" s="9" t="n">
        <x:v>100</x:v>
      </x:c>
      <x:c r="AN550" s="9" t="n">
        <x:v>100</x:v>
      </x:c>
    </x:row>
    <x:row r="551">
      <x:c r="A551" s="9" t="str">
        <x:v>Success</x:v>
      </x:c>
      <x:c r="B551" s="9" t="str">
        <x:v>Relational Placement</x:v>
      </x:c>
      <x:c r="C551" s="10" t="n">
        <x:v>99</x:v>
      </x:c>
      <x:c r="D551" s="9" t="str">
        <x:v>Put the green pen beside the red block.</x:v>
      </x:c>
      <x:c r="E551" s="9" t="str">
        <x:v>green pen, red block, blue block</x:v>
      </x:c>
      <x:c r="F551" s="9" t="str">
        <x:v>green pen → 2–8 cm edge gap near red block; no directional sector required.</x:v>
      </x:c>
      <x:c r="G551" s="9" t="str">
        <x:v>placed on the left</x:v>
      </x:c>
      <x:c r="H551" s="9" t="str">
        <x:v>Matched manipulation control</x:v>
      </x:c>
      <x:c r="I551" s="9" t="str">
        <x:v>RP-CT-N18</x:v>
      </x:c>
      <x:c r="J551" s="9" t="str">
        <x:v>Exact-scene masked manipulation control</x:v>
      </x:c>
      <x:c r="K551" s="9" t="n">
        <x:v>98</x:v>
      </x:c>
      <x:c r="L551" s="9" t="str">
        <x:v>238</x:v>
      </x:c>
      <x:c r="M551" s="9"/>
      <x:c r="N551" s="9"/>
      <x:c r="O551" s="9" t="str">
        <x:v>Reset P1 to its marked pose; preserve the exact scene and use the trained control instruction.</x:v>
      </x:c>
      <x:c r="P551" s="9" t="str">
        <x:v>Exact-scene control using the final training prompt from episode 238. The target, reference, distractors, camera, and robot start match the paired transfer row.</x:v>
      </x:c>
      <x:c r="Q551" s="9"/>
      <x:c r="R551" s="10" t="n">
        <x:v>3</x:v>
      </x:c>
      <x:c r="S551" s="10"/>
      <x:c r="T551" s="9"/>
      <x:c r="U551" s="9"/>
      <x:c r="V551" s="9"/>
      <x:c r="W551" s="9"/>
      <x:c r="X551" s="10"/>
      <x:c r="Y551" s="10"/>
      <x:c r="Z551" s="9"/>
      <x:c r="AA551" s="9"/>
      <x:c r="AB551" s="9"/>
      <x:c r="AC551" s="9" t="str">
        <x:v>right</x:v>
      </x:c>
      <x:c r="AD551" s="9" t="str">
        <x:v>green pen</x:v>
      </x:c>
      <x:c r="AE551" s="9" t="str">
        <x:v>red block</x:v>
      </x:c>
      <x:c r="AF551" s="9" t="str">
        <x:v>None</x:v>
      </x:c>
      <x:c r="AG551" s="9"/>
      <x:c r="AH551" s="9"/>
      <x:c r="AI551" s="11"/>
      <x:c r="AJ551" s="9"/>
      <x:c r="AK551" s="9" t="str">
        <x:v>Eval_Relational_Placement (1).xlsm</x:v>
      </x:c>
      <x:c r="AL551" s="9" t="str">
        <x:v>GR00T vision-only Results</x:v>
      </x:c>
      <x:c r="AM551" s="9" t="n">
        <x:v>101</x:v>
      </x:c>
      <x:c r="AN551" s="9" t="n">
        <x:v>101</x:v>
      </x:c>
    </x:row>
    <x:row r="552">
      <x:c r="A552" s="9" t="str">
        <x:v>Failure</x:v>
      </x:c>
      <x:c r="B552" s="9" t="str">
        <x:v>Relational Placement</x:v>
      </x:c>
      <x:c r="C552" s="10" t="n">
        <x:v>100</x:v>
      </x:c>
      <x:c r="D552" s="9" t="str">
        <x:v>Place the green pen to the right of the red block.</x:v>
      </x:c>
      <x:c r="E552" s="9" t="str">
        <x:v>green pen, red block, pink marker, blue block</x:v>
      </x:c>
      <x:c r="F552" s="9" t="str">
        <x:v>green pen → 2–8 cm edge gap to the right of red block; centroid direction within ±45°.</x:v>
      </x:c>
      <x:c r="G552" s="9" t="str">
        <x:v>brought the green pen to the red block then held it for a while and dropped it in front/left of the red block</x:v>
      </x:c>
      <x:c r="H552" s="9" t="str">
        <x:v>Concept/compositional transfer</x:v>
      </x:c>
      <x:c r="I552" s="9" t="str">
        <x:v>RP-CT-N19</x:v>
      </x:c>
      <x:c r="J552" s="9" t="str">
        <x:v>Neutral-axis independent compositional-transfer scene</x:v>
      </x:c>
      <x:c r="K552" s="9"/>
      <x:c r="L552" s="9" t="str">
        <x:v>239</x:v>
      </x:c>
      <x:c r="M552" s="9"/>
      <x:c r="N552" s="9"/>
      <x:c r="O552" s="9" t="str">
        <x:v>Build the listed neutral-axis scene and save the first frame.</x:v>
      </x:c>
      <x:c r="P552" s="9" t="str">
        <x:v>Independent held-out-composition scene. Source episode 239 supplies target recognition/manipulation under the trained prompt “Move the green pen near the red block.”. The orthogonal start removes the opposite-side shortcut.</x:v>
      </x:c>
      <x:c r="Q552" s="9"/>
      <x:c r="R552" s="10" t="n">
        <x:v>4</x:v>
      </x:c>
      <x:c r="S552" s="10"/>
      <x:c r="T552" s="9"/>
      <x:c r="U552" s="9"/>
      <x:c r="V552" s="9"/>
      <x:c r="W552" s="9"/>
      <x:c r="X552" s="10"/>
      <x:c r="Y552" s="10"/>
      <x:c r="Z552" s="9"/>
      <x:c r="AA552" s="9"/>
      <x:c r="AB552" s="9"/>
      <x:c r="AC552" s="9" t="str">
        <x:v>right</x:v>
      </x:c>
      <x:c r="AD552" s="9" t="str">
        <x:v>green pen</x:v>
      </x:c>
      <x:c r="AE552" s="9" t="str">
        <x:v>red block</x:v>
      </x:c>
      <x:c r="AF552" s="9" t="str">
        <x:v>None</x:v>
      </x:c>
      <x:c r="AG552" s="9"/>
      <x:c r="AH552" s="9"/>
      <x:c r="AI552" s="11"/>
      <x:c r="AJ552" s="9"/>
      <x:c r="AK552" s="9" t="str">
        <x:v>Eval_Relational_Placement (1).xlsm</x:v>
      </x:c>
      <x:c r="AL552" s="9" t="str">
        <x:v>GR00T vision-only Results</x:v>
      </x:c>
      <x:c r="AM552" s="9" t="n">
        <x:v>102</x:v>
      </x:c>
      <x:c r="AN552" s="9" t="n">
        <x:v>102</x:v>
      </x:c>
    </x:row>
    <x:row r="553">
      <x:c r="A553" s="9" t="str">
        <x:v>Failure</x:v>
      </x:c>
      <x:c r="B553" s="9" t="str">
        <x:v>Relational Placement</x:v>
      </x:c>
      <x:c r="C553" s="10" t="n">
        <x:v>101</x:v>
      </x:c>
      <x:c r="D553" s="9" t="str">
        <x:v>Move the green pen near the red block.</x:v>
      </x:c>
      <x:c r="E553" s="9" t="str">
        <x:v>green pen, red block, pink marker, blue block</x:v>
      </x:c>
      <x:c r="F553" s="9" t="str">
        <x:v>green pen → 2–8 cm edge gap near red block; no directional sector required.</x:v>
      </x:c>
      <x:c r="G553" s="9" t="str">
        <x:v>moved the pink marker to the left of the red block, then went and got the green pen. Did end up putting the green pen near the red block, but timed out before releasing it and returning home</x:v>
      </x:c>
      <x:c r="H553" s="9" t="str">
        <x:v>Matched manipulation control</x:v>
      </x:c>
      <x:c r="I553" s="9" t="str">
        <x:v>RP-CT-N19</x:v>
      </x:c>
      <x:c r="J553" s="9" t="str">
        <x:v>Exact-scene masked manipulation control</x:v>
      </x:c>
      <x:c r="K553" s="9" t="n">
        <x:v>100</x:v>
      </x:c>
      <x:c r="L553" s="9" t="str">
        <x:v>239</x:v>
      </x:c>
      <x:c r="M553" s="9"/>
      <x:c r="N553" s="9"/>
      <x:c r="O553" s="9" t="str">
        <x:v>Reset P1 to its marked pose; preserve the exact scene and use the trained control instruction.</x:v>
      </x:c>
      <x:c r="P553" s="9" t="str">
        <x:v>Exact-scene control using the final training prompt from episode 239. The target, reference, distractors, camera, and robot start match the paired transfer row.</x:v>
      </x:c>
      <x:c r="Q553" s="9"/>
      <x:c r="R553" s="10" t="n">
        <x:v>4</x:v>
      </x:c>
      <x:c r="S553" s="10"/>
      <x:c r="T553" s="9"/>
      <x:c r="U553" s="9"/>
      <x:c r="V553" s="9"/>
      <x:c r="W553" s="9"/>
      <x:c r="X553" s="10"/>
      <x:c r="Y553" s="10"/>
      <x:c r="Z553" s="9"/>
      <x:c r="AA553" s="9"/>
      <x:c r="AB553" s="9"/>
      <x:c r="AC553" s="9" t="str">
        <x:v>right</x:v>
      </x:c>
      <x:c r="AD553" s="9" t="str">
        <x:v>green pen</x:v>
      </x:c>
      <x:c r="AE553" s="9" t="str">
        <x:v>red block</x:v>
      </x:c>
      <x:c r="AF553" s="9" t="str">
        <x:v>None</x:v>
      </x:c>
      <x:c r="AG553" s="9"/>
      <x:c r="AH553" s="9"/>
      <x:c r="AI553" s="11"/>
      <x:c r="AJ553" s="9"/>
      <x:c r="AK553" s="9" t="str">
        <x:v>Eval_Relational_Placement (1).xlsm</x:v>
      </x:c>
      <x:c r="AL553" s="9" t="str">
        <x:v>GR00T vision-only Results</x:v>
      </x:c>
      <x:c r="AM553" s="9" t="n">
        <x:v>103</x:v>
      </x:c>
      <x:c r="AN553" s="9" t="n">
        <x:v>103</x:v>
      </x:c>
    </x:row>
    <x:row r="554">
      <x:c r="A554" s="9" t="str">
        <x:v>Success</x:v>
      </x:c>
      <x:c r="B554" s="9" t="str">
        <x:v>Relational Placement</x:v>
      </x:c>
      <x:c r="C554" s="10" t="n">
        <x:v>102</x:v>
      </x:c>
      <x:c r="D554" s="9" t="str">
        <x:v>Place the red block to the right of the green pen.</x:v>
      </x:c>
      <x:c r="E554" s="9" t="str">
        <x:v>red block, green pen, blue block</x:v>
      </x:c>
      <x:c r="F554" s="9" t="str">
        <x:v>red block → 2–8 cm edge gap to the right of green pen; centroid direction within ±45°.</x:v>
      </x:c>
      <x:c r="G554" s="9"/>
      <x:c r="H554" s="9" t="str">
        <x:v>Concept/compositional transfer</x:v>
      </x:c>
      <x:c r="I554" s="9" t="str">
        <x:v>RP-CT-N20</x:v>
      </x:c>
      <x:c r="J554" s="9" t="str">
        <x:v>Neutral-axis independent compositional-transfer scene</x:v>
      </x:c>
      <x:c r="K554" s="9"/>
      <x:c r="L554" s="9" t="str">
        <x:v>299</x:v>
      </x:c>
      <x:c r="M554" s="9"/>
      <x:c r="N554" s="9"/>
      <x:c r="O554" s="9" t="str">
        <x:v>Build the listed neutral-axis scene and save the first frame.</x:v>
      </x:c>
      <x:c r="P554" s="9" t="str">
        <x:v>Independent held-out-composition scene. Source episode 299 supplies target recognition/manipulation under the trained prompt “Move the red block near the green pen.”. The orthogonal start removes the opposite-side shortcut.</x:v>
      </x:c>
      <x:c r="Q554" s="9"/>
      <x:c r="R554" s="10" t="n">
        <x:v>3</x:v>
      </x:c>
      <x:c r="S554" s="10"/>
      <x:c r="T554" s="9"/>
      <x:c r="U554" s="9"/>
      <x:c r="V554" s="9"/>
      <x:c r="W554" s="9"/>
      <x:c r="X554" s="10"/>
      <x:c r="Y554" s="10"/>
      <x:c r="Z554" s="9"/>
      <x:c r="AA554" s="9"/>
      <x:c r="AB554" s="9"/>
      <x:c r="AC554" s="9" t="str">
        <x:v>right</x:v>
      </x:c>
      <x:c r="AD554" s="9" t="str">
        <x:v>red block</x:v>
      </x:c>
      <x:c r="AE554" s="9" t="str">
        <x:v>green pen</x:v>
      </x:c>
      <x:c r="AF554" s="9" t="str">
        <x:v>None</x:v>
      </x:c>
      <x:c r="AG554" s="9"/>
      <x:c r="AH554" s="9"/>
      <x:c r="AI554" s="11"/>
      <x:c r="AJ554" s="9"/>
      <x:c r="AK554" s="9" t="str">
        <x:v>Eval_Relational_Placement (1).xlsm</x:v>
      </x:c>
      <x:c r="AL554" s="9" t="str">
        <x:v>GR00T vision-only Results</x:v>
      </x:c>
      <x:c r="AM554" s="9" t="n">
        <x:v>104</x:v>
      </x:c>
      <x:c r="AN554" s="9" t="n">
        <x:v>104</x:v>
      </x:c>
    </x:row>
    <x:row r="555">
      <x:c r="A555" s="9" t="str">
        <x:v>Failure</x:v>
      </x:c>
      <x:c r="B555" s="9" t="str">
        <x:v>Relational Placement</x:v>
      </x:c>
      <x:c r="C555" s="10" t="n">
        <x:v>103</x:v>
      </x:c>
      <x:c r="D555" s="9" t="str">
        <x:v>Move the red block near the green pen.</x:v>
      </x:c>
      <x:c r="E555" s="9" t="str">
        <x:v>red block, green pen, blue block</x:v>
      </x:c>
      <x:c r="F555" s="9" t="str">
        <x:v>red block → 2–8 cm edge gap near green pen; no directional sector required.</x:v>
      </x:c>
      <x:c r="G555" s="9" t="str">
        <x:v>succeeded reasoning and moved it near the green block but didn't release it</x:v>
      </x:c>
      <x:c r="H555" s="9" t="str">
        <x:v>Matched manipulation control</x:v>
      </x:c>
      <x:c r="I555" s="9" t="str">
        <x:v>RP-CT-N20</x:v>
      </x:c>
      <x:c r="J555" s="9" t="str">
        <x:v>Exact-scene masked manipulation control</x:v>
      </x:c>
      <x:c r="K555" s="9" t="n">
        <x:v>102</x:v>
      </x:c>
      <x:c r="L555" s="9" t="str">
        <x:v>299</x:v>
      </x:c>
      <x:c r="M555" s="9"/>
      <x:c r="N555" s="9"/>
      <x:c r="O555" s="9" t="str">
        <x:v>Reset P1 to its marked pose; preserve the exact scene and use the trained control instruction.</x:v>
      </x:c>
      <x:c r="P555" s="9" t="str">
        <x:v>Exact-scene control using the final training prompt from episode 299. The target, reference, distractors, camera, and robot start match the paired transfer row.</x:v>
      </x:c>
      <x:c r="Q555" s="9"/>
      <x:c r="R555" s="10" t="n">
        <x:v>3</x:v>
      </x:c>
      <x:c r="S555" s="10"/>
      <x:c r="T555" s="9"/>
      <x:c r="U555" s="9"/>
      <x:c r="V555" s="9"/>
      <x:c r="W555" s="9"/>
      <x:c r="X555" s="10"/>
      <x:c r="Y555" s="10"/>
      <x:c r="Z555" s="9"/>
      <x:c r="AA555" s="9"/>
      <x:c r="AB555" s="9"/>
      <x:c r="AC555" s="9" t="str">
        <x:v>right</x:v>
      </x:c>
      <x:c r="AD555" s="9" t="str">
        <x:v>red block</x:v>
      </x:c>
      <x:c r="AE555" s="9" t="str">
        <x:v>green pen</x:v>
      </x:c>
      <x:c r="AF555" s="9" t="str">
        <x:v>None</x:v>
      </x:c>
      <x:c r="AG555" s="9"/>
      <x:c r="AH555" s="9"/>
      <x:c r="AI555" s="11"/>
      <x:c r="AJ555" s="9"/>
      <x:c r="AK555" s="9" t="str">
        <x:v>Eval_Relational_Placement (1).xlsm</x:v>
      </x:c>
      <x:c r="AL555" s="9" t="str">
        <x:v>GR00T vision-only Results</x:v>
      </x:c>
      <x:c r="AM555" s="9" t="n">
        <x:v>105</x:v>
      </x:c>
      <x:c r="AN555" s="9" t="n">
        <x:v>105</x:v>
      </x:c>
    </x:row>
    <x:row r="556">
      <x:c r="A556" s="9" t="str">
        <x:v>Success</x:v>
      </x:c>
      <x:c r="B556" s="9" t="str">
        <x:v>Relational Placement</x:v>
      </x:c>
      <x:c r="C556" s="10" t="n">
        <x:v>104</x:v>
      </x:c>
      <x:c r="D556" s="9" t="str">
        <x:v>Place the green pen in front of the red block.</x:v>
      </x:c>
      <x:c r="E556" s="9" t="str">
        <x:v>green pen, red block, pink marker</x:v>
      </x:c>
      <x:c r="F556" s="9" t="str">
        <x:v>green pen → 2–8 cm edge gap in front of red block; centroid direction within ±45°.</x:v>
      </x:c>
      <x:c r="G556" s="9" t="str">
        <x:v>hesitates to go back home</x:v>
      </x:c>
      <x:c r="H556" s="9" t="str">
        <x:v>Concept/compositional transfer</x:v>
      </x:c>
      <x:c r="I556" s="9" t="str">
        <x:v>RP-CT-N21</x:v>
      </x:c>
      <x:c r="J556" s="9" t="str">
        <x:v>Neutral-axis independent compositional-transfer scene</x:v>
      </x:c>
      <x:c r="K556" s="9"/>
      <x:c r="L556" s="9" t="str">
        <x:v>203</x:v>
      </x:c>
      <x:c r="M556" s="9"/>
      <x:c r="N556" s="9"/>
      <x:c r="O556" s="9" t="str">
        <x:v>Build the listed neutral-axis scene and save the first frame.</x:v>
      </x:c>
      <x:c r="P556" s="9" t="str">
        <x:v>Independent held-out-composition scene. Source episode 203 supplies target recognition/manipulation under the trained prompt “Move the green pen near the red block.”. The orthogonal start removes the opposite-side shortcut.</x:v>
      </x:c>
      <x:c r="Q556" s="9"/>
      <x:c r="R556" s="10" t="n">
        <x:v>3</x:v>
      </x:c>
      <x:c r="S556" s="10"/>
      <x:c r="T556" s="9"/>
      <x:c r="U556" s="9"/>
      <x:c r="V556" s="9"/>
      <x:c r="W556" s="9"/>
      <x:c r="X556" s="10"/>
      <x:c r="Y556" s="10"/>
      <x:c r="Z556" s="9"/>
      <x:c r="AA556" s="9"/>
      <x:c r="AB556" s="9"/>
      <x:c r="AC556" s="9" t="str">
        <x:v>front</x:v>
      </x:c>
      <x:c r="AD556" s="9" t="str">
        <x:v>green pen</x:v>
      </x:c>
      <x:c r="AE556" s="9" t="str">
        <x:v>red block</x:v>
      </x:c>
      <x:c r="AF556" s="9" t="str">
        <x:v>None</x:v>
      </x:c>
      <x:c r="AG556" s="9"/>
      <x:c r="AH556" s="9"/>
      <x:c r="AI556" s="11"/>
      <x:c r="AJ556" s="9"/>
      <x:c r="AK556" s="9" t="str">
        <x:v>Eval_Relational_Placement (1).xlsm</x:v>
      </x:c>
      <x:c r="AL556" s="9" t="str">
        <x:v>GR00T vision-only Results</x:v>
      </x:c>
      <x:c r="AM556" s="9" t="n">
        <x:v>106</x:v>
      </x:c>
      <x:c r="AN556" s="9" t="n">
        <x:v>106</x:v>
      </x:c>
    </x:row>
    <x:row r="557">
      <x:c r="A557" s="9" t="str">
        <x:v>Success</x:v>
      </x:c>
      <x:c r="B557" s="9" t="str">
        <x:v>Relational Placement</x:v>
      </x:c>
      <x:c r="C557" s="10" t="n">
        <x:v>105</x:v>
      </x:c>
      <x:c r="D557" s="9" t="str">
        <x:v>Place the red block in front of the green pen.</x:v>
      </x:c>
      <x:c r="E557" s="9" t="str">
        <x:v>red block, green pen, blue block, pink marker</x:v>
      </x:c>
      <x:c r="F557" s="9" t="str">
        <x:v>red block → 2–8 cm edge gap in front of green pen; centroid direction within ±45°.</x:v>
      </x:c>
      <x:c r="G557" s="9"/>
      <x:c r="H557" s="9" t="str">
        <x:v>Concept/compositional transfer</x:v>
      </x:c>
      <x:c r="I557" s="9" t="str">
        <x:v>RP-CT-N22</x:v>
      </x:c>
      <x:c r="J557" s="9" t="str">
        <x:v>Neutral-axis independent compositional-transfer scene</x:v>
      </x:c>
      <x:c r="K557" s="9"/>
      <x:c r="L557" s="9" t="str">
        <x:v>260</x:v>
      </x:c>
      <x:c r="M557" s="9"/>
      <x:c r="N557" s="9"/>
      <x:c r="O557" s="9" t="str">
        <x:v>Build the listed neutral-axis scene and save the first frame.</x:v>
      </x:c>
      <x:c r="P557" s="9" t="str">
        <x:v>Independent held-out-composition scene. Source episode 260 supplies target recognition/manipulation under the trained prompt “Move the red block near the green pen.”. The orthogonal start removes the opposite-side shortcut.</x:v>
      </x:c>
      <x:c r="Q557" s="9"/>
      <x:c r="R557" s="10" t="n">
        <x:v>4</x:v>
      </x:c>
      <x:c r="S557" s="10"/>
      <x:c r="T557" s="9"/>
      <x:c r="U557" s="9"/>
      <x:c r="V557" s="9"/>
      <x:c r="W557" s="9"/>
      <x:c r="X557" s="10"/>
      <x:c r="Y557" s="10"/>
      <x:c r="Z557" s="9"/>
      <x:c r="AA557" s="9"/>
      <x:c r="AB557" s="9"/>
      <x:c r="AC557" s="9" t="str">
        <x:v>front</x:v>
      </x:c>
      <x:c r="AD557" s="9" t="str">
        <x:v>red block</x:v>
      </x:c>
      <x:c r="AE557" s="9" t="str">
        <x:v>green pen</x:v>
      </x:c>
      <x:c r="AF557" s="9" t="str">
        <x:v>None</x:v>
      </x:c>
      <x:c r="AG557" s="9"/>
      <x:c r="AH557" s="9"/>
      <x:c r="AI557" s="11"/>
      <x:c r="AJ557" s="9"/>
      <x:c r="AK557" s="9" t="str">
        <x:v>Eval_Relational_Placement (1).xlsm</x:v>
      </x:c>
      <x:c r="AL557" s="9" t="str">
        <x:v>GR00T vision-only Results</x:v>
      </x:c>
      <x:c r="AM557" s="9" t="n">
        <x:v>107</x:v>
      </x:c>
      <x:c r="AN557" s="9" t="n">
        <x:v>107</x:v>
      </x:c>
    </x:row>
    <x:row r="558">
      <x:c r="A558" s="9" t="str">
        <x:v>Success</x:v>
      </x:c>
      <x:c r="B558" s="9" t="str">
        <x:v>Relational Placement</x:v>
      </x:c>
      <x:c r="C558" s="10" t="n">
        <x:v>106</x:v>
      </x:c>
      <x:c r="D558" s="9" t="str">
        <x:v>Place the green pen behind the red block.</x:v>
      </x:c>
      <x:c r="E558" s="9" t="str">
        <x:v>green pen, red block, pink marker, blue block</x:v>
      </x:c>
      <x:c r="F558" s="9" t="str">
        <x:v>green pen → 2–8 cm edge gap behind red block; centroid direction within ±45°.</x:v>
      </x:c>
      <x:c r="G558" s="9"/>
      <x:c r="H558" s="9" t="str">
        <x:v>Concept/compositional transfer</x:v>
      </x:c>
      <x:c r="I558" s="9" t="str">
        <x:v>RP-CT-N23</x:v>
      </x:c>
      <x:c r="J558" s="9" t="str">
        <x:v>Neutral-axis independent compositional-transfer scene</x:v>
      </x:c>
      <x:c r="K558" s="9"/>
      <x:c r="L558" s="9" t="str">
        <x:v>214</x:v>
      </x:c>
      <x:c r="M558" s="9"/>
      <x:c r="N558" s="9"/>
      <x:c r="O558" s="9" t="str">
        <x:v>Build the listed neutral-axis scene and save the first frame.</x:v>
      </x:c>
      <x:c r="P558" s="9" t="str">
        <x:v>Independent held-out-composition scene. Source episode 214 supplies target recognition/manipulation under the trained prompt “Put the green pen beside the red block.”. The orthogonal start removes the opposite-side shortcut.</x:v>
      </x:c>
      <x:c r="Q558" s="9"/>
      <x:c r="R558" s="10" t="n">
        <x:v>4</x:v>
      </x:c>
      <x:c r="S558" s="10"/>
      <x:c r="T558" s="9"/>
      <x:c r="U558" s="9"/>
      <x:c r="V558" s="9"/>
      <x:c r="W558" s="9"/>
      <x:c r="X558" s="10"/>
      <x:c r="Y558" s="10"/>
      <x:c r="Z558" s="9"/>
      <x:c r="AA558" s="9"/>
      <x:c r="AB558" s="9"/>
      <x:c r="AC558" s="9" t="str">
        <x:v>behind</x:v>
      </x:c>
      <x:c r="AD558" s="9" t="str">
        <x:v>green pen</x:v>
      </x:c>
      <x:c r="AE558" s="9" t="str">
        <x:v>red block</x:v>
      </x:c>
      <x:c r="AF558" s="9" t="str">
        <x:v>None</x:v>
      </x:c>
      <x:c r="AG558" s="9"/>
      <x:c r="AH558" s="9"/>
      <x:c r="AI558" s="11"/>
      <x:c r="AJ558" s="9"/>
      <x:c r="AK558" s="9" t="str">
        <x:v>Eval_Relational_Placement (1).xlsm</x:v>
      </x:c>
      <x:c r="AL558" s="9" t="str">
        <x:v>GR00T vision-only Results</x:v>
      </x:c>
      <x:c r="AM558" s="9" t="n">
        <x:v>108</x:v>
      </x:c>
      <x:c r="AN558" s="9" t="n">
        <x:v>108</x:v>
      </x:c>
    </x:row>
    <x:row r="559">
      <x:c r="A559" s="9" t="str">
        <x:v>Success</x:v>
      </x:c>
      <x:c r="B559" s="9" t="str">
        <x:v>Relational Placement</x:v>
      </x:c>
      <x:c r="C559" s="10" t="n">
        <x:v>107</x:v>
      </x:c>
      <x:c r="D559" s="9" t="str">
        <x:v>Place the red block behind the green pen.</x:v>
      </x:c>
      <x:c r="E559" s="9" t="str">
        <x:v>red block, green pen, blue block</x:v>
      </x:c>
      <x:c r="F559" s="9" t="str">
        <x:v>red block → 2–8 cm edge gap behind green pen; centroid direction within ±45°.</x:v>
      </x:c>
      <x:c r="G559" s="9"/>
      <x:c r="H559" s="9" t="str">
        <x:v>Concept/compositional transfer</x:v>
      </x:c>
      <x:c r="I559" s="9" t="str">
        <x:v>RP-CT-N24</x:v>
      </x:c>
      <x:c r="J559" s="9" t="str">
        <x:v>Neutral-axis independent compositional-transfer scene</x:v>
      </x:c>
      <x:c r="K559" s="9"/>
      <x:c r="L559" s="9" t="str">
        <x:v>274</x:v>
      </x:c>
      <x:c r="M559" s="9"/>
      <x:c r="N559" s="9"/>
      <x:c r="O559" s="9" t="str">
        <x:v>Build the listed neutral-axis scene and save the first frame.</x:v>
      </x:c>
      <x:c r="P559" s="9" t="str">
        <x:v>Independent held-out-composition scene. Source episode 274 supplies target recognition/manipulation under the trained prompt “Put the red block beside the green pen.”. The orthogonal start removes the opposite-side shortcut.</x:v>
      </x:c>
      <x:c r="Q559" s="9"/>
      <x:c r="R559" s="10" t="n">
        <x:v>3</x:v>
      </x:c>
      <x:c r="S559" s="10"/>
      <x:c r="T559" s="9"/>
      <x:c r="U559" s="9"/>
      <x:c r="V559" s="9"/>
      <x:c r="W559" s="9"/>
      <x:c r="X559" s="10"/>
      <x:c r="Y559" s="10"/>
      <x:c r="Z559" s="9"/>
      <x:c r="AA559" s="9"/>
      <x:c r="AB559" s="9"/>
      <x:c r="AC559" s="9" t="str">
        <x:v>behind</x:v>
      </x:c>
      <x:c r="AD559" s="9" t="str">
        <x:v>red block</x:v>
      </x:c>
      <x:c r="AE559" s="9" t="str">
        <x:v>green pen</x:v>
      </x:c>
      <x:c r="AF559" s="9" t="str">
        <x:v>None</x:v>
      </x:c>
      <x:c r="AG559" s="9"/>
      <x:c r="AH559" s="9"/>
      <x:c r="AI559" s="11"/>
      <x:c r="AJ559" s="9"/>
      <x:c r="AK559" s="9" t="str">
        <x:v>Eval_Relational_Placement (1).xlsm</x:v>
      </x:c>
      <x:c r="AL559" s="9" t="str">
        <x:v>GR00T vision-only Results</x:v>
      </x:c>
      <x:c r="AM559" s="9" t="n">
        <x:v>109</x:v>
      </x:c>
      <x:c r="AN559" s="9" t="n">
        <x:v>109</x:v>
      </x:c>
    </x:row>
    <x:row r="560">
      <x:c r="A560" s="9" t="str">
        <x:v>Success</x:v>
      </x:c>
      <x:c r="B560" s="9" t="str">
        <x:v>Relational Placement</x:v>
      </x:c>
      <x:c r="C560" s="10" t="n">
        <x:v>108</x:v>
      </x:c>
      <x:c r="D560" s="9" t="str">
        <x:v>Place the green pen to the left of the red block.</x:v>
      </x:c>
      <x:c r="E560" s="9" t="str">
        <x:v>green pen, red block, pink marker</x:v>
      </x:c>
      <x:c r="F560" s="9" t="str">
        <x:v>green pen → 2–8 cm edge gap to the left of red block; centroid direction within ±45°.</x:v>
      </x:c>
      <x:c r="G560" s="9"/>
      <x:c r="H560" s="9" t="str">
        <x:v>Concept/compositional transfer</x:v>
      </x:c>
      <x:c r="I560" s="9" t="str">
        <x:v>RP-CT-N25</x:v>
      </x:c>
      <x:c r="J560" s="9" t="str">
        <x:v>Neutral-axis independent compositional-transfer scene</x:v>
      </x:c>
      <x:c r="K560" s="9"/>
      <x:c r="L560" s="9" t="str">
        <x:v>226</x:v>
      </x:c>
      <x:c r="M560" s="9"/>
      <x:c r="N560" s="9"/>
      <x:c r="O560" s="9" t="str">
        <x:v>Build the listed neutral-axis scene and save the first frame.</x:v>
      </x:c>
      <x:c r="P560" s="9" t="str">
        <x:v>Independent held-out-composition scene. Source episode 226 supplies target recognition/manipulation under the trained prompt “Put the green pen beside the red block.”. The orthogonal start removes the opposite-side shortcut.</x:v>
      </x:c>
      <x:c r="Q560" s="9"/>
      <x:c r="R560" s="10" t="n">
        <x:v>3</x:v>
      </x:c>
      <x:c r="S560" s="10"/>
      <x:c r="T560" s="9"/>
      <x:c r="U560" s="9"/>
      <x:c r="V560" s="9"/>
      <x:c r="W560" s="9"/>
      <x:c r="X560" s="10"/>
      <x:c r="Y560" s="10"/>
      <x:c r="Z560" s="9"/>
      <x:c r="AA560" s="9"/>
      <x:c r="AB560" s="9"/>
      <x:c r="AC560" s="9" t="str">
        <x:v>left</x:v>
      </x:c>
      <x:c r="AD560" s="9" t="str">
        <x:v>green pen</x:v>
      </x:c>
      <x:c r="AE560" s="9" t="str">
        <x:v>red block</x:v>
      </x:c>
      <x:c r="AF560" s="9" t="str">
        <x:v>None</x:v>
      </x:c>
      <x:c r="AG560" s="9"/>
      <x:c r="AH560" s="9"/>
      <x:c r="AI560" s="11"/>
      <x:c r="AJ560" s="9"/>
      <x:c r="AK560" s="9" t="str">
        <x:v>Eval_Relational_Placement (1).xlsm</x:v>
      </x:c>
      <x:c r="AL560" s="9" t="str">
        <x:v>GR00T vision-only Results</x:v>
      </x:c>
      <x:c r="AM560" s="9" t="n">
        <x:v>110</x:v>
      </x:c>
      <x:c r="AN560" s="9" t="n">
        <x:v>110</x:v>
      </x:c>
    </x:row>
    <x:row r="561">
      <x:c r="A561" s="9" t="str">
        <x:v>Success</x:v>
      </x:c>
      <x:c r="B561" s="9" t="str">
        <x:v>Relational Placement</x:v>
      </x:c>
      <x:c r="C561" s="10" t="n">
        <x:v>109</x:v>
      </x:c>
      <x:c r="D561" s="9" t="str">
        <x:v>Place the red block to the right of the green pen.</x:v>
      </x:c>
      <x:c r="E561" s="9" t="str">
        <x:v>red block, green pen, blue block, pink marker</x:v>
      </x:c>
      <x:c r="F561" s="9" t="str">
        <x:v>red block → 2–8 cm edge gap to the right of green pen; centroid direction within ±45°.</x:v>
      </x:c>
      <x:c r="G561" s="9" t="str">
        <x:v>block leaning on the pen, but I'll count it</x:v>
      </x:c>
      <x:c r="H561" s="9" t="str">
        <x:v>Concept/compositional transfer</x:v>
      </x:c>
      <x:c r="I561" s="9" t="str">
        <x:v>RP-CT-N26</x:v>
      </x:c>
      <x:c r="J561" s="9" t="str">
        <x:v>Neutral-axis independent compositional-transfer scene</x:v>
      </x:c>
      <x:c r="K561" s="9"/>
      <x:c r="L561" s="9" t="str">
        <x:v>298</x:v>
      </x:c>
      <x:c r="M561" s="9"/>
      <x:c r="N561" s="9"/>
      <x:c r="O561" s="9" t="str">
        <x:v>Build the listed neutral-axis scene and save the first frame.</x:v>
      </x:c>
      <x:c r="P561" s="9" t="str">
        <x:v>Independent held-out-composition scene. Source episode 298 supplies target recognition/manipulation under the trained prompt “Put the red block beside the green pen.”. The orthogonal start removes the opposite-side shortcut.</x:v>
      </x:c>
      <x:c r="Q561" s="9"/>
      <x:c r="R561" s="10" t="n">
        <x:v>4</x:v>
      </x:c>
      <x:c r="S561" s="10"/>
      <x:c r="T561" s="9"/>
      <x:c r="U561" s="9"/>
      <x:c r="V561" s="9"/>
      <x:c r="W561" s="9"/>
      <x:c r="X561" s="10"/>
      <x:c r="Y561" s="10"/>
      <x:c r="Z561" s="9"/>
      <x:c r="AA561" s="9"/>
      <x:c r="AB561" s="9"/>
      <x:c r="AC561" s="9" t="str">
        <x:v>right</x:v>
      </x:c>
      <x:c r="AD561" s="9" t="str">
        <x:v>red block</x:v>
      </x:c>
      <x:c r="AE561" s="9" t="str">
        <x:v>green pen</x:v>
      </x:c>
      <x:c r="AF561" s="9" t="str">
        <x:v>None</x:v>
      </x:c>
      <x:c r="AG561" s="9"/>
      <x:c r="AH561" s="9"/>
      <x:c r="AI561" s="11"/>
      <x:c r="AJ561" s="9"/>
      <x:c r="AK561" s="9" t="str">
        <x:v>Eval_Relational_Placement (1).xlsm</x:v>
      </x:c>
      <x:c r="AL561" s="9" t="str">
        <x:v>GR00T vision-only Results</x:v>
      </x:c>
      <x:c r="AM561" s="9" t="n">
        <x:v>111</x:v>
      </x:c>
      <x:c r="AN561" s="9" t="n">
        <x:v>111</x:v>
      </x:c>
    </x:row>
    <x:row r="562">
      <x:c r="A562" s="9" t="str">
        <x:v>Success</x:v>
      </x:c>
      <x:c r="B562" s="9" t="str">
        <x:v>Relational Placement</x:v>
      </x:c>
      <x:c r="C562" s="10" t="n">
        <x:v>110</x:v>
      </x:c>
      <x:c r="D562" s="9" t="str">
        <x:v>Place the juggling ball in front of the pink marker.</x:v>
      </x:c>
      <x:c r="E562" s="9" t="str">
        <x:v>juggling ball, pink marker, green pen</x:v>
      </x:c>
      <x:c r="F562" s="9" t="str">
        <x:v>juggling ball → 2–8 cm edge gap in front of pink marker; centroid direction within ±45°.</x:v>
      </x:c>
      <x:c r="G562" s="9"/>
      <x:c r="H562" s="9" t="str">
        <x:v>Cross-task-object directional reasoning</x:v>
      </x:c>
      <x:c r="I562" s="9" t="str">
        <x:v>RP-XT-CF01</x:v>
      </x:c>
      <x:c r="J562" s="9" t="str">
        <x:v>Four-way cross-task counterfactual: front/behind polarity × juggling-ball target/reference role</x:v>
      </x:c>
      <x:c r="K562" s="9"/>
      <x:c r="L562" s="9" t="str">
        <x:v>1100 (juggling-ball exposure); 204 (front relation)</x:v>
      </x:c>
      <x:c r="M562" s="9"/>
      <x:c r="N562" s="9"/>
      <x:c r="O562" s="9" t="str">
        <x:v>Build the listed neutral-axis scene and save the first frame.</x:v>
      </x:c>
      <x:c r="P562" s="9" t="str">
        <x:v>The juggling ball is globally familiar but absent from Relational Placement training. This exact-scene family crosses direction with its target role and contains no direct-name control.</x:v>
      </x:c>
      <x:c r="Q562" s="9"/>
      <x:c r="R562" s="10" t="n">
        <x:v>3</x:v>
      </x:c>
      <x:c r="S562" s="10"/>
      <x:c r="T562" s="9"/>
      <x:c r="U562" s="9"/>
      <x:c r="V562" s="9"/>
      <x:c r="W562" s="9"/>
      <x:c r="X562" s="10"/>
      <x:c r="Y562" s="10"/>
      <x:c r="Z562" s="9"/>
      <x:c r="AA562" s="9"/>
      <x:c r="AB562" s="9"/>
      <x:c r="AC562" s="9" t="str">
        <x:v>front</x:v>
      </x:c>
      <x:c r="AD562" s="9" t="str">
        <x:v>juggling ball</x:v>
      </x:c>
      <x:c r="AE562" s="9" t="str">
        <x:v>pink marker</x:v>
      </x:c>
      <x:c r="AF562" s="9" t="str">
        <x:v>Target</x:v>
      </x:c>
      <x:c r="AG562" s="9"/>
      <x:c r="AH562" s="9"/>
      <x:c r="AI562" s="11"/>
      <x:c r="AJ562" s="9"/>
      <x:c r="AK562" s="9" t="str">
        <x:v>Eval_Relational_Placement (1).xlsm</x:v>
      </x:c>
      <x:c r="AL562" s="9" t="str">
        <x:v>GR00T vision-only Results</x:v>
      </x:c>
      <x:c r="AM562" s="9" t="n">
        <x:v>112</x:v>
      </x:c>
      <x:c r="AN562" s="9" t="n">
        <x:v>112</x:v>
      </x:c>
    </x:row>
    <x:row r="563">
      <x:c r="A563" s="9" t="str">
        <x:v>Success</x:v>
      </x:c>
      <x:c r="B563" s="9" t="str">
        <x:v>Relational Placement</x:v>
      </x:c>
      <x:c r="C563" s="10" t="n">
        <x:v>111</x:v>
      </x:c>
      <x:c r="D563" s="9" t="str">
        <x:v>Place the juggling ball behind the pink marker.</x:v>
      </x:c>
      <x:c r="E563" s="9" t="str">
        <x:v>juggling ball, pink marker, green pen</x:v>
      </x:c>
      <x:c r="F563" s="9" t="str">
        <x:v>juggling ball → 2–8 cm edge gap behind pink marker; centroid direction within ±45°.</x:v>
      </x:c>
      <x:c r="G563" s="9" t="str">
        <x:v>struggled to let go of the juggling ball</x:v>
      </x:c>
      <x:c r="H563" s="9" t="str">
        <x:v>Cross-task-object directional reasoning</x:v>
      </x:c>
      <x:c r="I563" s="9" t="str">
        <x:v>RP-XT-CF01</x:v>
      </x:c>
      <x:c r="J563" s="9" t="str">
        <x:v>Four-way cross-task counterfactual: front/behind polarity × juggling-ball target/reference role</x:v>
      </x:c>
      <x:c r="K563" s="9" t="n">
        <x:v>110</x:v>
      </x:c>
      <x:c r="L563" s="9" t="str">
        <x:v>1100 (juggling-ball exposure); 217 (behind relation)</x:v>
      </x:c>
      <x:c r="M563" s="9"/>
      <x:c r="N563" s="9"/>
      <x:c r="O563" s="9" t="str">
        <x:v>Reset every manipulated core object to its marked pose; preserve the exact scene and change only the instruction.</x:v>
      </x:c>
      <x:c r="P563" s="9" t="str">
        <x:v>The juggling ball is globally familiar but absent from Relational Placement training. This exact-scene family crosses direction with its target role and contains no direct-name control.</x:v>
      </x:c>
      <x:c r="Q563" s="9"/>
      <x:c r="R563" s="10" t="n">
        <x:v>3</x:v>
      </x:c>
      <x:c r="S563" s="10"/>
      <x:c r="T563" s="9"/>
      <x:c r="U563" s="9"/>
      <x:c r="V563" s="9"/>
      <x:c r="W563" s="9"/>
      <x:c r="X563" s="10"/>
      <x:c r="Y563" s="10"/>
      <x:c r="Z563" s="9"/>
      <x:c r="AA563" s="9"/>
      <x:c r="AB563" s="9"/>
      <x:c r="AC563" s="9" t="str">
        <x:v>behind</x:v>
      </x:c>
      <x:c r="AD563" s="9" t="str">
        <x:v>juggling ball</x:v>
      </x:c>
      <x:c r="AE563" s="9" t="str">
        <x:v>pink marker</x:v>
      </x:c>
      <x:c r="AF563" s="9" t="str">
        <x:v>Target</x:v>
      </x:c>
      <x:c r="AG563" s="9"/>
      <x:c r="AH563" s="9"/>
      <x:c r="AI563" s="11"/>
      <x:c r="AJ563" s="9"/>
      <x:c r="AK563" s="9" t="str">
        <x:v>Eval_Relational_Placement (1).xlsm</x:v>
      </x:c>
      <x:c r="AL563" s="9" t="str">
        <x:v>GR00T vision-only Results</x:v>
      </x:c>
      <x:c r="AM563" s="9" t="n">
        <x:v>113</x:v>
      </x:c>
      <x:c r="AN563" s="9" t="n">
        <x:v>113</x:v>
      </x:c>
    </x:row>
    <x:row r="564">
      <x:c r="A564" s="9" t="str">
        <x:v>Failure</x:v>
      </x:c>
      <x:c r="B564" s="9" t="str">
        <x:v>Relational Placement</x:v>
      </x:c>
      <x:c r="C564" s="10" t="n">
        <x:v>112</x:v>
      </x:c>
      <x:c r="D564" s="9" t="str">
        <x:v>Place the pink marker in front of the juggling ball.</x:v>
      </x:c>
      <x:c r="E564" s="9" t="str">
        <x:v>juggling ball, pink marker, green pen</x:v>
      </x:c>
      <x:c r="F564" s="9" t="str">
        <x:v>pink marker → 2–8 cm edge gap in front of juggling ball; centroid direction within ±45°.</x:v>
      </x:c>
      <x:c r="G564" s="9" t="str">
        <x:v>started to take the pink marker to bowl, but then was sort of drifting back and forth with it in the gripper; didn't end up setting it down anywhere</x:v>
      </x:c>
      <x:c r="H564" s="9" t="str">
        <x:v>Cross-task-object directional reasoning</x:v>
      </x:c>
      <x:c r="I564" s="9" t="str">
        <x:v>RP-XT-CF01</x:v>
      </x:c>
      <x:c r="J564" s="9" t="str">
        <x:v>Four-way cross-task counterfactual: front/behind polarity × juggling-ball target/reference role</x:v>
      </x:c>
      <x:c r="K564" s="9" t="n">
        <x:v>110</x:v>
      </x:c>
      <x:c r="L564" s="9" t="str">
        <x:v>1100 (juggling-ball exposure); 305 (front relation with pink marker as target)</x:v>
      </x:c>
      <x:c r="M564" s="9"/>
      <x:c r="N564" s="9"/>
      <x:c r="O564" s="9" t="str">
        <x:v>Reset every manipulated core object to its marked pose; preserve the exact scene and change only the instruction.</x:v>
      </x:c>
      <x:c r="P564" s="9" t="str">
        <x:v>The juggling ball is globally familiar but absent from Relational Placement training. This exact-scene family crosses direction with its reference role and contains no direct-name control.</x:v>
      </x:c>
      <x:c r="Q564" s="9"/>
      <x:c r="R564" s="10" t="n">
        <x:v>3</x:v>
      </x:c>
      <x:c r="S564" s="10"/>
      <x:c r="T564" s="9"/>
      <x:c r="U564" s="9"/>
      <x:c r="V564" s="9"/>
      <x:c r="W564" s="9"/>
      <x:c r="X564" s="10"/>
      <x:c r="Y564" s="10"/>
      <x:c r="Z564" s="9"/>
      <x:c r="AA564" s="9"/>
      <x:c r="AB564" s="9"/>
      <x:c r="AC564" s="9" t="str">
        <x:v>front</x:v>
      </x:c>
      <x:c r="AD564" s="9" t="str">
        <x:v>pink marker</x:v>
      </x:c>
      <x:c r="AE564" s="9" t="str">
        <x:v>juggling ball</x:v>
      </x:c>
      <x:c r="AF564" s="9" t="str">
        <x:v>Reference</x:v>
      </x:c>
      <x:c r="AG564" s="9"/>
      <x:c r="AH564" s="9"/>
      <x:c r="AI564" s="11"/>
      <x:c r="AJ564" s="9"/>
      <x:c r="AK564" s="9" t="str">
        <x:v>Eval_Relational_Placement (1).xlsm</x:v>
      </x:c>
      <x:c r="AL564" s="9" t="str">
        <x:v>GR00T vision-only Results</x:v>
      </x:c>
      <x:c r="AM564" s="9" t="n">
        <x:v>114</x:v>
      </x:c>
      <x:c r="AN564" s="9" t="n">
        <x:v>114</x:v>
      </x:c>
    </x:row>
    <x:row r="565">
      <x:c r="A565" s="9" t="str">
        <x:v>Failure</x:v>
      </x:c>
      <x:c r="B565" s="9" t="str">
        <x:v>Relational Placement</x:v>
      </x:c>
      <x:c r="C565" s="10" t="n">
        <x:v>113</x:v>
      </x:c>
      <x:c r="D565" s="9" t="str">
        <x:v>Place the pink marker behind the juggling ball.</x:v>
      </x:c>
      <x:c r="E565" s="9" t="str">
        <x:v>juggling ball, pink marker, green pen</x:v>
      </x:c>
      <x:c r="F565" s="9" t="str">
        <x:v>pink marker → 2–8 cm edge gap behind juggling ball; centroid direction within ±45°.</x:v>
      </x:c>
      <x:c r="G565" s="9" t="str">
        <x:v>went to the pink marker 3 times and gripped it 2 times but let go.</x:v>
      </x:c>
      <x:c r="H565" s="9" t="str">
        <x:v>Cross-task-object directional reasoning</x:v>
      </x:c>
      <x:c r="I565" s="9" t="str">
        <x:v>RP-XT-CF01</x:v>
      </x:c>
      <x:c r="J565" s="9" t="str">
        <x:v>Four-way cross-task counterfactual: front/behind polarity × juggling-ball target/reference role</x:v>
      </x:c>
      <x:c r="K565" s="9" t="n">
        <x:v>110</x:v>
      </x:c>
      <x:c r="L565" s="9" t="str">
        <x:v>1100 (juggling-ball exposure); 317 (behind relation with pink marker as target)</x:v>
      </x:c>
      <x:c r="M565" s="9"/>
      <x:c r="N565" s="9"/>
      <x:c r="O565" s="9" t="str">
        <x:v>Reset every manipulated core object to its marked pose; preserve the exact scene and change only the instruction.</x:v>
      </x:c>
      <x:c r="P565" s="9" t="str">
        <x:v>The juggling ball is globally familiar but absent from Relational Placement training. This exact-scene family crosses direction with its reference role and contains no direct-name control.</x:v>
      </x:c>
      <x:c r="Q565" s="9"/>
      <x:c r="R565" s="10" t="n">
        <x:v>3</x:v>
      </x:c>
      <x:c r="S565" s="10"/>
      <x:c r="T565" s="9"/>
      <x:c r="U565" s="9"/>
      <x:c r="V565" s="9"/>
      <x:c r="W565" s="9"/>
      <x:c r="X565" s="10"/>
      <x:c r="Y565" s="10"/>
      <x:c r="Z565" s="9"/>
      <x:c r="AA565" s="9"/>
      <x:c r="AB565" s="9"/>
      <x:c r="AC565" s="9" t="str">
        <x:v>behind</x:v>
      </x:c>
      <x:c r="AD565" s="9" t="str">
        <x:v>pink marker</x:v>
      </x:c>
      <x:c r="AE565" s="9" t="str">
        <x:v>juggling ball</x:v>
      </x:c>
      <x:c r="AF565" s="9" t="str">
        <x:v>Reference</x:v>
      </x:c>
      <x:c r="AG565" s="9"/>
      <x:c r="AH565" s="9"/>
      <x:c r="AI565" s="11"/>
      <x:c r="AJ565" s="9"/>
      <x:c r="AK565" s="9" t="str">
        <x:v>Eval_Relational_Placement (1).xlsm</x:v>
      </x:c>
      <x:c r="AL565" s="9" t="str">
        <x:v>GR00T vision-only Results</x:v>
      </x:c>
      <x:c r="AM565" s="9" t="n">
        <x:v>115</x:v>
      </x:c>
      <x:c r="AN565" s="9" t="n">
        <x:v>115</x:v>
      </x:c>
    </x:row>
    <x:row r="566">
      <x:c r="A566" s="9" t="str">
        <x:v>Success</x:v>
      </x:c>
      <x:c r="B566" s="9" t="str">
        <x:v>Relational Placement</x:v>
      </x:c>
      <x:c r="C566" s="10" t="n">
        <x:v>114</x:v>
      </x:c>
      <x:c r="D566" s="9" t="str">
        <x:v>Place the juggling ball in front of the blue block.</x:v>
      </x:c>
      <x:c r="E566" s="9" t="str">
        <x:v>juggling ball, blue block, red block, pink marker</x:v>
      </x:c>
      <x:c r="F566" s="9" t="str">
        <x:v>juggling ball → 2–8 cm edge gap in front of blue block; centroid direction within ±45°.</x:v>
      </x:c>
      <x:c r="G566" s="9"/>
      <x:c r="H566" s="9" t="str">
        <x:v>Cross-task-object directional reasoning</x:v>
      </x:c>
      <x:c r="I566" s="9" t="str">
        <x:v>RP-XT-CF02</x:v>
      </x:c>
      <x:c r="J566" s="9" t="str">
        <x:v>Four-way cross-task counterfactual: front/behind polarity × juggling-ball target/reference role</x:v>
      </x:c>
      <x:c r="K566" s="9"/>
      <x:c r="L566" s="9" t="str">
        <x:v>1101 (juggling-ball exposure); 208 (front relation)</x:v>
      </x:c>
      <x:c r="M566" s="9"/>
      <x:c r="N566" s="9"/>
      <x:c r="O566" s="9" t="str">
        <x:v>Build the listed neutral-axis scene and save the first frame.</x:v>
      </x:c>
      <x:c r="P566" s="9" t="str">
        <x:v>The juggling ball is globally familiar but absent from Relational Placement training. This exact-scene family crosses direction with its target role and contains no direct-name control.</x:v>
      </x:c>
      <x:c r="Q566" s="9"/>
      <x:c r="R566" s="10" t="n">
        <x:v>4</x:v>
      </x:c>
      <x:c r="S566" s="10"/>
      <x:c r="T566" s="9"/>
      <x:c r="U566" s="9"/>
      <x:c r="V566" s="9"/>
      <x:c r="W566" s="9"/>
      <x:c r="X566" s="10"/>
      <x:c r="Y566" s="10"/>
      <x:c r="Z566" s="9"/>
      <x:c r="AA566" s="9"/>
      <x:c r="AB566" s="9"/>
      <x:c r="AC566" s="9" t="str">
        <x:v>front</x:v>
      </x:c>
      <x:c r="AD566" s="9" t="str">
        <x:v>juggling ball</x:v>
      </x:c>
      <x:c r="AE566" s="9" t="str">
        <x:v>blue block</x:v>
      </x:c>
      <x:c r="AF566" s="9" t="str">
        <x:v>Target</x:v>
      </x:c>
      <x:c r="AG566" s="9"/>
      <x:c r="AH566" s="9"/>
      <x:c r="AI566" s="11"/>
      <x:c r="AJ566" s="9"/>
      <x:c r="AK566" s="9" t="str">
        <x:v>Eval_Relational_Placement (1).xlsm</x:v>
      </x:c>
      <x:c r="AL566" s="9" t="str">
        <x:v>GR00T vision-only Results</x:v>
      </x:c>
      <x:c r="AM566" s="9" t="n">
        <x:v>116</x:v>
      </x:c>
      <x:c r="AN566" s="9" t="n">
        <x:v>116</x:v>
      </x:c>
    </x:row>
    <x:row r="567">
      <x:c r="A567" s="9" t="str">
        <x:v>Success</x:v>
      </x:c>
      <x:c r="B567" s="9" t="str">
        <x:v>Relational Placement</x:v>
      </x:c>
      <x:c r="C567" s="10" t="n">
        <x:v>115</x:v>
      </x:c>
      <x:c r="D567" s="9" t="str">
        <x:v>Place the juggling ball behind the blue block.</x:v>
      </x:c>
      <x:c r="E567" s="9" t="str">
        <x:v>juggling ball, blue block, red block, pink marker</x:v>
      </x:c>
      <x:c r="F567" s="9" t="str">
        <x:v>juggling ball → 2–8 cm edge gap behind blue block; centroid direction within ±45°.</x:v>
      </x:c>
      <x:c r="G567" s="9"/>
      <x:c r="H567" s="9" t="str">
        <x:v>Cross-task-object directional reasoning</x:v>
      </x:c>
      <x:c r="I567" s="9" t="str">
        <x:v>RP-XT-CF02</x:v>
      </x:c>
      <x:c r="J567" s="9" t="str">
        <x:v>Four-way cross-task counterfactual: front/behind polarity × juggling-ball target/reference role</x:v>
      </x:c>
      <x:c r="K567" s="9" t="n">
        <x:v>114</x:v>
      </x:c>
      <x:c r="L567" s="9" t="str">
        <x:v>1101 (juggling-ball exposure); 221 (behind relation)</x:v>
      </x:c>
      <x:c r="M567" s="9"/>
      <x:c r="N567" s="9"/>
      <x:c r="O567" s="9" t="str">
        <x:v>Reset every manipulated core object to its marked pose; preserve the exact scene and change only the instruction.</x:v>
      </x:c>
      <x:c r="P567" s="9" t="str">
        <x:v>The juggling ball is globally familiar but absent from Relational Placement training. This exact-scene family crosses direction with its target role and contains no direct-name control.</x:v>
      </x:c>
      <x:c r="Q567" s="9"/>
      <x:c r="R567" s="10" t="n">
        <x:v>4</x:v>
      </x:c>
      <x:c r="S567" s="10"/>
      <x:c r="T567" s="9"/>
      <x:c r="U567" s="9"/>
      <x:c r="V567" s="9"/>
      <x:c r="W567" s="9"/>
      <x:c r="X567" s="10"/>
      <x:c r="Y567" s="10"/>
      <x:c r="Z567" s="9"/>
      <x:c r="AA567" s="9"/>
      <x:c r="AB567" s="9"/>
      <x:c r="AC567" s="9" t="str">
        <x:v>behind</x:v>
      </x:c>
      <x:c r="AD567" s="9" t="str">
        <x:v>juggling ball</x:v>
      </x:c>
      <x:c r="AE567" s="9" t="str">
        <x:v>blue block</x:v>
      </x:c>
      <x:c r="AF567" s="9" t="str">
        <x:v>Target</x:v>
      </x:c>
      <x:c r="AG567" s="9"/>
      <x:c r="AH567" s="9"/>
      <x:c r="AI567" s="11"/>
      <x:c r="AJ567" s="9"/>
      <x:c r="AK567" s="9" t="str">
        <x:v>Eval_Relational_Placement (1).xlsm</x:v>
      </x:c>
      <x:c r="AL567" s="9" t="str">
        <x:v>GR00T vision-only Results</x:v>
      </x:c>
      <x:c r="AM567" s="9" t="n">
        <x:v>117</x:v>
      </x:c>
      <x:c r="AN567" s="9" t="n">
        <x:v>117</x:v>
      </x:c>
    </x:row>
    <x:row r="568">
      <x:c r="A568" s="9" t="str">
        <x:v>Success</x:v>
      </x:c>
      <x:c r="B568" s="9" t="str">
        <x:v>Relational Placement</x:v>
      </x:c>
      <x:c r="C568" s="10" t="n">
        <x:v>116</x:v>
      </x:c>
      <x:c r="D568" s="9" t="str">
        <x:v>Place the blue block in front of the juggling ball.</x:v>
      </x:c>
      <x:c r="E568" s="9" t="str">
        <x:v>juggling ball, blue block, red block, pink marker</x:v>
      </x:c>
      <x:c r="F568" s="9" t="str">
        <x:v>blue block → 2–8 cm edge gap in front of juggling ball; centroid direction within ±45°.</x:v>
      </x:c>
      <x:c r="G568" s="9"/>
      <x:c r="H568" s="9" t="str">
        <x:v>Cross-task-object directional reasoning</x:v>
      </x:c>
      <x:c r="I568" s="9" t="str">
        <x:v>RP-XT-CF02</x:v>
      </x:c>
      <x:c r="J568" s="9" t="str">
        <x:v>Four-way cross-task counterfactual: front/behind polarity × juggling-ball target/reference role</x:v>
      </x:c>
      <x:c r="K568" s="9" t="n">
        <x:v>114</x:v>
      </x:c>
      <x:c r="L568" s="9" t="str">
        <x:v>1101 (juggling-ball exposure); 350 (front relation with blue block as target)</x:v>
      </x:c>
      <x:c r="M568" s="9"/>
      <x:c r="N568" s="9"/>
      <x:c r="O568" s="9" t="str">
        <x:v>Reset every manipulated core object to its marked pose; preserve the exact scene and change only the instruction.</x:v>
      </x:c>
      <x:c r="P568" s="9" t="str">
        <x:v>The juggling ball is globally familiar but absent from Relational Placement training. This exact-scene family crosses direction with its reference role and contains no direct-name control.</x:v>
      </x:c>
      <x:c r="Q568" s="9"/>
      <x:c r="R568" s="10" t="n">
        <x:v>4</x:v>
      </x:c>
      <x:c r="S568" s="10"/>
      <x:c r="T568" s="9"/>
      <x:c r="U568" s="9"/>
      <x:c r="V568" s="9"/>
      <x:c r="W568" s="9"/>
      <x:c r="X568" s="10"/>
      <x:c r="Y568" s="10"/>
      <x:c r="Z568" s="9"/>
      <x:c r="AA568" s="9"/>
      <x:c r="AB568" s="9"/>
      <x:c r="AC568" s="9" t="str">
        <x:v>front</x:v>
      </x:c>
      <x:c r="AD568" s="9" t="str">
        <x:v>blue block</x:v>
      </x:c>
      <x:c r="AE568" s="9" t="str">
        <x:v>juggling ball</x:v>
      </x:c>
      <x:c r="AF568" s="9" t="str">
        <x:v>Reference</x:v>
      </x:c>
      <x:c r="AG568" s="9"/>
      <x:c r="AH568" s="9"/>
      <x:c r="AI568" s="11"/>
      <x:c r="AJ568" s="9"/>
      <x:c r="AK568" s="9" t="str">
        <x:v>Eval_Relational_Placement (1).xlsm</x:v>
      </x:c>
      <x:c r="AL568" s="9" t="str">
        <x:v>GR00T vision-only Results</x:v>
      </x:c>
      <x:c r="AM568" s="9" t="n">
        <x:v>118</x:v>
      </x:c>
      <x:c r="AN568" s="9" t="n">
        <x:v>118</x:v>
      </x:c>
    </x:row>
    <x:row r="569">
      <x:c r="A569" s="9" t="str">
        <x:v>Failure</x:v>
      </x:c>
      <x:c r="B569" s="9" t="str">
        <x:v>Relational Placement</x:v>
      </x:c>
      <x:c r="C569" s="10" t="n">
        <x:v>117</x:v>
      </x:c>
      <x:c r="D569" s="9" t="str">
        <x:v>Place the blue block behind the juggling ball.</x:v>
      </x:c>
      <x:c r="E569" s="9" t="str">
        <x:v>juggling ball, blue block, red block, pink marker</x:v>
      </x:c>
      <x:c r="F569" s="9" t="str">
        <x:v>blue block → 2–8 cm edge gap behind juggling ball; centroid direction within ±45°.</x:v>
      </x:c>
      <x:c r="G569" s="9" t="str">
        <x:v>kept gripping and releasing the blue block</x:v>
      </x:c>
      <x:c r="H569" s="9" t="str">
        <x:v>Cross-task-object directional reasoning</x:v>
      </x:c>
      <x:c r="I569" s="9" t="str">
        <x:v>RP-XT-CF02</x:v>
      </x:c>
      <x:c r="J569" s="9" t="str">
        <x:v>Four-way cross-task counterfactual: front/behind polarity × juggling-ball target/reference role</x:v>
      </x:c>
      <x:c r="K569" s="9" t="n">
        <x:v>114</x:v>
      </x:c>
      <x:c r="L569" s="9" t="str">
        <x:v>1101 (juggling-ball exposure); 362 (behind relation with blue block as target)</x:v>
      </x:c>
      <x:c r="M569" s="9"/>
      <x:c r="N569" s="9"/>
      <x:c r="O569" s="9" t="str">
        <x:v>Reset every manipulated core object to its marked pose; preserve the exact scene and change only the instruction.</x:v>
      </x:c>
      <x:c r="P569" s="9" t="str">
        <x:v>The juggling ball is globally familiar but absent from Relational Placement training. This exact-scene family crosses direction with its reference role and contains no direct-name control.</x:v>
      </x:c>
      <x:c r="Q569" s="9"/>
      <x:c r="R569" s="10" t="n">
        <x:v>4</x:v>
      </x:c>
      <x:c r="S569" s="10"/>
      <x:c r="T569" s="9"/>
      <x:c r="U569" s="9"/>
      <x:c r="V569" s="9"/>
      <x:c r="W569" s="9"/>
      <x:c r="X569" s="10"/>
      <x:c r="Y569" s="10"/>
      <x:c r="Z569" s="9"/>
      <x:c r="AA569" s="9"/>
      <x:c r="AB569" s="9"/>
      <x:c r="AC569" s="9" t="str">
        <x:v>behind</x:v>
      </x:c>
      <x:c r="AD569" s="9" t="str">
        <x:v>blue block</x:v>
      </x:c>
      <x:c r="AE569" s="9" t="str">
        <x:v>juggling ball</x:v>
      </x:c>
      <x:c r="AF569" s="9" t="str">
        <x:v>Reference</x:v>
      </x:c>
      <x:c r="AG569" s="9"/>
      <x:c r="AH569" s="9"/>
      <x:c r="AI569" s="11"/>
      <x:c r="AJ569" s="9"/>
      <x:c r="AK569" s="9" t="str">
        <x:v>Eval_Relational_Placement (1).xlsm</x:v>
      </x:c>
      <x:c r="AL569" s="9" t="str">
        <x:v>GR00T vision-only Results</x:v>
      </x:c>
      <x:c r="AM569" s="9" t="n">
        <x:v>119</x:v>
      </x:c>
      <x:c r="AN569" s="9" t="n">
        <x:v>119</x:v>
      </x:c>
    </x:row>
    <x:row r="570">
      <x:c r="A570" s="9" t="str">
        <x:v>Success</x:v>
      </x:c>
      <x:c r="B570" s="9" t="str">
        <x:v>Relational Placement</x:v>
      </x:c>
      <x:c r="C570" s="10" t="n">
        <x:v>118</x:v>
      </x:c>
      <x:c r="D570" s="9" t="str">
        <x:v>Place the juggling ball to the left of the green pen.</x:v>
      </x:c>
      <x:c r="E570" s="9" t="str">
        <x:v>juggling ball, green pen, blue block</x:v>
      </x:c>
      <x:c r="F570" s="9" t="str">
        <x:v>juggling ball → 2–8 cm edge gap to the left of green pen; centroid direction within ±45°.</x:v>
      </x:c>
      <x:c r="G570" s="9"/>
      <x:c r="H570" s="9" t="str">
        <x:v>Cross-task-object directional reasoning</x:v>
      </x:c>
      <x:c r="I570" s="9" t="str">
        <x:v>RP-XT-CF03</x:v>
      </x:c>
      <x:c r="J570" s="9" t="str">
        <x:v>Four-way cross-task counterfactual: left/right polarity × juggling-ball target/reference role</x:v>
      </x:c>
      <x:c r="K570" s="9"/>
      <x:c r="L570" s="9" t="str">
        <x:v>1102 (juggling-ball exposure); 229 (left relation)</x:v>
      </x:c>
      <x:c r="M570" s="9"/>
      <x:c r="N570" s="9"/>
      <x:c r="O570" s="9" t="str">
        <x:v>Build the listed neutral-axis scene and save the first frame.</x:v>
      </x:c>
      <x:c r="P570" s="9" t="str">
        <x:v>The juggling ball is globally familiar but absent from Relational Placement training. This exact-scene family crosses direction with its target role and contains no direct-name control.</x:v>
      </x:c>
      <x:c r="Q570" s="9"/>
      <x:c r="R570" s="10" t="n">
        <x:v>3</x:v>
      </x:c>
      <x:c r="S570" s="10"/>
      <x:c r="T570" s="9"/>
      <x:c r="U570" s="9"/>
      <x:c r="V570" s="9"/>
      <x:c r="W570" s="9"/>
      <x:c r="X570" s="10"/>
      <x:c r="Y570" s="10"/>
      <x:c r="Z570" s="9"/>
      <x:c r="AA570" s="9"/>
      <x:c r="AB570" s="9"/>
      <x:c r="AC570" s="9" t="str">
        <x:v>left</x:v>
      </x:c>
      <x:c r="AD570" s="9" t="str">
        <x:v>juggling ball</x:v>
      </x:c>
      <x:c r="AE570" s="9" t="str">
        <x:v>green pen</x:v>
      </x:c>
      <x:c r="AF570" s="9" t="str">
        <x:v>Target</x:v>
      </x:c>
      <x:c r="AG570" s="9"/>
      <x:c r="AH570" s="9"/>
      <x:c r="AI570" s="11"/>
      <x:c r="AJ570" s="9"/>
      <x:c r="AK570" s="9" t="str">
        <x:v>Eval_Relational_Placement (1).xlsm</x:v>
      </x:c>
      <x:c r="AL570" s="9" t="str">
        <x:v>GR00T vision-only Results</x:v>
      </x:c>
      <x:c r="AM570" s="9" t="n">
        <x:v>120</x:v>
      </x:c>
      <x:c r="AN570" s="9" t="n">
        <x:v>120</x:v>
      </x:c>
    </x:row>
    <x:row r="571">
      <x:c r="A571" s="9" t="str">
        <x:v>Success</x:v>
      </x:c>
      <x:c r="B571" s="9" t="str">
        <x:v>Relational Placement</x:v>
      </x:c>
      <x:c r="C571" s="10" t="n">
        <x:v>119</x:v>
      </x:c>
      <x:c r="D571" s="9" t="str">
        <x:v>Place the juggling ball to the right of the green pen.</x:v>
      </x:c>
      <x:c r="E571" s="9" t="str">
        <x:v>juggling ball, green pen, blue block</x:v>
      </x:c>
      <x:c r="F571" s="9" t="str">
        <x:v>juggling ball → 2–8 cm edge gap to the right of green pen; centroid direction within ±45°.</x:v>
      </x:c>
      <x:c r="G571" s="9"/>
      <x:c r="H571" s="9" t="str">
        <x:v>Cross-task-object directional reasoning</x:v>
      </x:c>
      <x:c r="I571" s="9" t="str">
        <x:v>RP-XT-CF03</x:v>
      </x:c>
      <x:c r="J571" s="9" t="str">
        <x:v>Four-way cross-task counterfactual: left/right polarity × juggling-ball target/reference role</x:v>
      </x:c>
      <x:c r="K571" s="9" t="n">
        <x:v>118</x:v>
      </x:c>
      <x:c r="L571" s="9" t="str">
        <x:v>1102 (juggling-ball exposure); 243 (right relation)</x:v>
      </x:c>
      <x:c r="M571" s="9"/>
      <x:c r="N571" s="9"/>
      <x:c r="O571" s="9" t="str">
        <x:v>Reset every manipulated core object to its marked pose; preserve the exact scene and change only the instruction.</x:v>
      </x:c>
      <x:c r="P571" s="9" t="str">
        <x:v>The juggling ball is globally familiar but absent from Relational Placement training. This exact-scene family crosses direction with its target role and contains no direct-name control.</x:v>
      </x:c>
      <x:c r="Q571" s="9"/>
      <x:c r="R571" s="10" t="n">
        <x:v>3</x:v>
      </x:c>
      <x:c r="S571" s="10"/>
      <x:c r="T571" s="9"/>
      <x:c r="U571" s="9"/>
      <x:c r="V571" s="9"/>
      <x:c r="W571" s="9"/>
      <x:c r="X571" s="10"/>
      <x:c r="Y571" s="10"/>
      <x:c r="Z571" s="9"/>
      <x:c r="AA571" s="9"/>
      <x:c r="AB571" s="9"/>
      <x:c r="AC571" s="9" t="str">
        <x:v>right</x:v>
      </x:c>
      <x:c r="AD571" s="9" t="str">
        <x:v>juggling ball</x:v>
      </x:c>
      <x:c r="AE571" s="9" t="str">
        <x:v>green pen</x:v>
      </x:c>
      <x:c r="AF571" s="9" t="str">
        <x:v>Target</x:v>
      </x:c>
      <x:c r="AG571" s="9"/>
      <x:c r="AH571" s="9"/>
      <x:c r="AI571" s="11"/>
      <x:c r="AJ571" s="9"/>
      <x:c r="AK571" s="9" t="str">
        <x:v>Eval_Relational_Placement (1).xlsm</x:v>
      </x:c>
      <x:c r="AL571" s="9" t="str">
        <x:v>GR00T vision-only Results</x:v>
      </x:c>
      <x:c r="AM571" s="9" t="n">
        <x:v>121</x:v>
      </x:c>
      <x:c r="AN571" s="9" t="n">
        <x:v>121</x:v>
      </x:c>
    </x:row>
    <x:row r="572">
      <x:c r="A572" s="9" t="str">
        <x:v>Success</x:v>
      </x:c>
      <x:c r="B572" s="9" t="str">
        <x:v>Relational Placement</x:v>
      </x:c>
      <x:c r="C572" s="10" t="n">
        <x:v>120</x:v>
      </x:c>
      <x:c r="D572" s="9" t="str">
        <x:v>Place the green pen to the left of the juggling ball.</x:v>
      </x:c>
      <x:c r="E572" s="9" t="str">
        <x:v>juggling ball, green pen, blue block</x:v>
      </x:c>
      <x:c r="F572" s="9" t="str">
        <x:v>green pen → 2–8 cm edge gap to the left of juggling ball; centroid direction within ±45°.</x:v>
      </x:c>
      <x:c r="G572" s="9" t="str">
        <x:v>front left but I'll count it</x:v>
      </x:c>
      <x:c r="H572" s="9" t="str">
        <x:v>Cross-task-object directional reasoning</x:v>
      </x:c>
      <x:c r="I572" s="9" t="str">
        <x:v>RP-XT-CF03</x:v>
      </x:c>
      <x:c r="J572" s="9" t="str">
        <x:v>Four-way cross-task counterfactual: left/right polarity × juggling-ball target/reference role</x:v>
      </x:c>
      <x:c r="K572" s="9" t="n">
        <x:v>118</x:v>
      </x:c>
      <x:c r="L572" s="9" t="str">
        <x:v>1102 (juggling-ball exposure); 229 (left relation with green pen as target)</x:v>
      </x:c>
      <x:c r="M572" s="9"/>
      <x:c r="N572" s="9"/>
      <x:c r="O572" s="9" t="str">
        <x:v>Reset every manipulated core object to its marked pose; preserve the exact scene and change only the instruction.</x:v>
      </x:c>
      <x:c r="P572" s="9" t="str">
        <x:v>The juggling ball is globally familiar but absent from Relational Placement training. This exact-scene family crosses direction with its reference role and contains no direct-name control.</x:v>
      </x:c>
      <x:c r="Q572" s="9"/>
      <x:c r="R572" s="10" t="n">
        <x:v>3</x:v>
      </x:c>
      <x:c r="S572" s="10"/>
      <x:c r="T572" s="9"/>
      <x:c r="U572" s="9"/>
      <x:c r="V572" s="9"/>
      <x:c r="W572" s="9"/>
      <x:c r="X572" s="10"/>
      <x:c r="Y572" s="10"/>
      <x:c r="Z572" s="9"/>
      <x:c r="AA572" s="9"/>
      <x:c r="AB572" s="9"/>
      <x:c r="AC572" s="9" t="str">
        <x:v>left</x:v>
      </x:c>
      <x:c r="AD572" s="9" t="str">
        <x:v>green pen</x:v>
      </x:c>
      <x:c r="AE572" s="9" t="str">
        <x:v>juggling ball</x:v>
      </x:c>
      <x:c r="AF572" s="9" t="str">
        <x:v>Reference</x:v>
      </x:c>
      <x:c r="AG572" s="9"/>
      <x:c r="AH572" s="9"/>
      <x:c r="AI572" s="11"/>
      <x:c r="AJ572" s="9"/>
      <x:c r="AK572" s="9" t="str">
        <x:v>Eval_Relational_Placement (1).xlsm</x:v>
      </x:c>
      <x:c r="AL572" s="9" t="str">
        <x:v>GR00T vision-only Results</x:v>
      </x:c>
      <x:c r="AM572" s="9" t="n">
        <x:v>122</x:v>
      </x:c>
      <x:c r="AN572" s="9" t="n">
        <x:v>122</x:v>
      </x:c>
    </x:row>
    <x:row r="573">
      <x:c r="A573" s="9" t="str">
        <x:v>Success</x:v>
      </x:c>
      <x:c r="B573" s="9" t="str">
        <x:v>Relational Placement</x:v>
      </x:c>
      <x:c r="C573" s="10" t="n">
        <x:v>121</x:v>
      </x:c>
      <x:c r="D573" s="9" t="str">
        <x:v>Place the green pen to the right of the juggling ball.</x:v>
      </x:c>
      <x:c r="E573" s="9" t="str">
        <x:v>juggling ball, green pen, blue block</x:v>
      </x:c>
      <x:c r="F573" s="9" t="str">
        <x:v>green pen → 2–8 cm edge gap to the right of juggling ball; centroid direction within ±45°.</x:v>
      </x:c>
      <x:c r="G573" s="9"/>
      <x:c r="H573" s="9" t="str">
        <x:v>Cross-task-object directional reasoning</x:v>
      </x:c>
      <x:c r="I573" s="9" t="str">
        <x:v>RP-XT-CF03</x:v>
      </x:c>
      <x:c r="J573" s="9" t="str">
        <x:v>Four-way cross-task counterfactual: left/right polarity × juggling-ball target/reference role</x:v>
      </x:c>
      <x:c r="K573" s="9" t="n">
        <x:v>118</x:v>
      </x:c>
      <x:c r="L573" s="9" t="str">
        <x:v>1102 (juggling-ball exposure); 243 (right relation with green pen as target)</x:v>
      </x:c>
      <x:c r="M573" s="9"/>
      <x:c r="N573" s="9"/>
      <x:c r="O573" s="9" t="str">
        <x:v>Reset every manipulated core object to its marked pose; preserve the exact scene and change only the instruction.</x:v>
      </x:c>
      <x:c r="P573" s="9" t="str">
        <x:v>The juggling ball is globally familiar but absent from Relational Placement training. This exact-scene family crosses direction with its reference role and contains no direct-name control.</x:v>
      </x:c>
      <x:c r="Q573" s="9"/>
      <x:c r="R573" s="10" t="n">
        <x:v>3</x:v>
      </x:c>
      <x:c r="S573" s="10"/>
      <x:c r="T573" s="9"/>
      <x:c r="U573" s="9"/>
      <x:c r="V573" s="9"/>
      <x:c r="W573" s="9"/>
      <x:c r="X573" s="10"/>
      <x:c r="Y573" s="10"/>
      <x:c r="Z573" s="9"/>
      <x:c r="AA573" s="9"/>
      <x:c r="AB573" s="9"/>
      <x:c r="AC573" s="9" t="str">
        <x:v>right</x:v>
      </x:c>
      <x:c r="AD573" s="9" t="str">
        <x:v>green pen</x:v>
      </x:c>
      <x:c r="AE573" s="9" t="str">
        <x:v>juggling ball</x:v>
      </x:c>
      <x:c r="AF573" s="9" t="str">
        <x:v>Reference</x:v>
      </x:c>
      <x:c r="AG573" s="9"/>
      <x:c r="AH573" s="9"/>
      <x:c r="AI573" s="11"/>
      <x:c r="AJ573" s="9"/>
      <x:c r="AK573" s="9" t="str">
        <x:v>Eval_Relational_Placement (1).xlsm</x:v>
      </x:c>
      <x:c r="AL573" s="9" t="str">
        <x:v>GR00T vision-only Results</x:v>
      </x:c>
      <x:c r="AM573" s="9" t="n">
        <x:v>123</x:v>
      </x:c>
      <x:c r="AN573" s="9" t="n">
        <x:v>123</x:v>
      </x:c>
    </x:row>
    <x:row r="574">
      <x:c r="A574" s="9" t="str">
        <x:v>Success</x:v>
      </x:c>
      <x:c r="B574" s="9" t="str">
        <x:v>Relational Placement</x:v>
      </x:c>
      <x:c r="C574" s="10" t="n">
        <x:v>122</x:v>
      </x:c>
      <x:c r="D574" s="9" t="str">
        <x:v>Place the juggling ball to the left of the red block.</x:v>
      </x:c>
      <x:c r="E574" s="9" t="str">
        <x:v>juggling ball, red block, pink marker, blue block</x:v>
      </x:c>
      <x:c r="F574" s="9" t="str">
        <x:v>juggling ball → 2–8 cm edge gap to the left of red block; centroid direction within ±45°.</x:v>
      </x:c>
      <x:c r="G574" s="9"/>
      <x:c r="H574" s="9" t="str">
        <x:v>Cross-task-object directional reasoning</x:v>
      </x:c>
      <x:c r="I574" s="9" t="str">
        <x:v>RP-XT-CF04</x:v>
      </x:c>
      <x:c r="J574" s="9" t="str">
        <x:v>Four-way cross-task counterfactual: left/right polarity × juggling-ball target/reference role</x:v>
      </x:c>
      <x:c r="K574" s="9"/>
      <x:c r="L574" s="9" t="str">
        <x:v>1103 (juggling-ball exposure); 275 (left relation)</x:v>
      </x:c>
      <x:c r="M574" s="9"/>
      <x:c r="N574" s="9"/>
      <x:c r="O574" s="9" t="str">
        <x:v>Build the listed neutral-axis scene and save the first frame.</x:v>
      </x:c>
      <x:c r="P574" s="9" t="str">
        <x:v>The juggling ball is globally familiar but absent from Relational Placement training. This exact-scene family crosses direction with its target role and contains no direct-name control.</x:v>
      </x:c>
      <x:c r="Q574" s="9"/>
      <x:c r="R574" s="10" t="n">
        <x:v>4</x:v>
      </x:c>
      <x:c r="S574" s="10"/>
      <x:c r="T574" s="9"/>
      <x:c r="U574" s="9"/>
      <x:c r="V574" s="9"/>
      <x:c r="W574" s="9"/>
      <x:c r="X574" s="10"/>
      <x:c r="Y574" s="10"/>
      <x:c r="Z574" s="9"/>
      <x:c r="AA574" s="9"/>
      <x:c r="AB574" s="9"/>
      <x:c r="AC574" s="9" t="str">
        <x:v>left</x:v>
      </x:c>
      <x:c r="AD574" s="9" t="str">
        <x:v>juggling ball</x:v>
      </x:c>
      <x:c r="AE574" s="9" t="str">
        <x:v>red block</x:v>
      </x:c>
      <x:c r="AF574" s="9" t="str">
        <x:v>Target</x:v>
      </x:c>
      <x:c r="AG574" s="9"/>
      <x:c r="AH574" s="9"/>
      <x:c r="AI574" s="11"/>
      <x:c r="AJ574" s="9"/>
      <x:c r="AK574" s="9" t="str">
        <x:v>Eval_Relational_Placement (1).xlsm</x:v>
      </x:c>
      <x:c r="AL574" s="9" t="str">
        <x:v>GR00T vision-only Results</x:v>
      </x:c>
      <x:c r="AM574" s="9" t="n">
        <x:v>124</x:v>
      </x:c>
      <x:c r="AN574" s="9" t="n">
        <x:v>124</x:v>
      </x:c>
    </x:row>
    <x:row r="575">
      <x:c r="A575" s="9" t="str">
        <x:v>Failure</x:v>
      </x:c>
      <x:c r="B575" s="9" t="str">
        <x:v>Relational Placement</x:v>
      </x:c>
      <x:c r="C575" s="10" t="n">
        <x:v>123</x:v>
      </x:c>
      <x:c r="D575" s="9" t="str">
        <x:v>Place the juggling ball to the right of the red block.</x:v>
      </x:c>
      <x:c r="E575" s="9" t="str">
        <x:v>juggling ball, red block, pink marker, blue block</x:v>
      </x:c>
      <x:c r="F575" s="9" t="str">
        <x:v>juggling ball → 2–8 cm edge gap to the right of red block; centroid direction within ±45°.</x:v>
      </x:c>
      <x:c r="G575" s="9" t="str">
        <x:v>picked the pink marker and was waving it back and forth</x:v>
      </x:c>
      <x:c r="H575" s="9" t="str">
        <x:v>Cross-task-object directional reasoning</x:v>
      </x:c>
      <x:c r="I575" s="9" t="str">
        <x:v>RP-XT-CF04</x:v>
      </x:c>
      <x:c r="J575" s="9" t="str">
        <x:v>Four-way cross-task counterfactual: left/right polarity × juggling-ball target/reference role</x:v>
      </x:c>
      <x:c r="K575" s="9" t="n">
        <x:v>122</x:v>
      </x:c>
      <x:c r="L575" s="9" t="str">
        <x:v>1103 (juggling-ball exposure); 287 (right relation)</x:v>
      </x:c>
      <x:c r="M575" s="9"/>
      <x:c r="N575" s="9"/>
      <x:c r="O575" s="9" t="str">
        <x:v>Reset every manipulated core object to its marked pose; preserve the exact scene and change only the instruction.</x:v>
      </x:c>
      <x:c r="P575" s="9" t="str">
        <x:v>The juggling ball is globally familiar but absent from Relational Placement training. This exact-scene family crosses direction with its target role and contains no direct-name control.</x:v>
      </x:c>
      <x:c r="Q575" s="9"/>
      <x:c r="R575" s="10" t="n">
        <x:v>4</x:v>
      </x:c>
      <x:c r="S575" s="10"/>
      <x:c r="T575" s="9"/>
      <x:c r="U575" s="9"/>
      <x:c r="V575" s="9"/>
      <x:c r="W575" s="9"/>
      <x:c r="X575" s="10"/>
      <x:c r="Y575" s="10"/>
      <x:c r="Z575" s="9"/>
      <x:c r="AA575" s="9"/>
      <x:c r="AB575" s="9"/>
      <x:c r="AC575" s="9" t="str">
        <x:v>right</x:v>
      </x:c>
      <x:c r="AD575" s="9" t="str">
        <x:v>juggling ball</x:v>
      </x:c>
      <x:c r="AE575" s="9" t="str">
        <x:v>red block</x:v>
      </x:c>
      <x:c r="AF575" s="9" t="str">
        <x:v>Target</x:v>
      </x:c>
      <x:c r="AG575" s="9"/>
      <x:c r="AH575" s="9"/>
      <x:c r="AI575" s="11"/>
      <x:c r="AJ575" s="9"/>
      <x:c r="AK575" s="9" t="str">
        <x:v>Eval_Relational_Placement (1).xlsm</x:v>
      </x:c>
      <x:c r="AL575" s="9" t="str">
        <x:v>GR00T vision-only Results</x:v>
      </x:c>
      <x:c r="AM575" s="9" t="n">
        <x:v>125</x:v>
      </x:c>
      <x:c r="AN575" s="9" t="n">
        <x:v>125</x:v>
      </x:c>
    </x:row>
    <x:row r="576">
      <x:c r="A576" s="9" t="str">
        <x:v>Failure</x:v>
      </x:c>
      <x:c r="B576" s="9" t="str">
        <x:v>Relational Placement</x:v>
      </x:c>
      <x:c r="C576" s="10" t="n">
        <x:v>124</x:v>
      </x:c>
      <x:c r="D576" s="9" t="str">
        <x:v>Place the red block to the left of the juggling ball.</x:v>
      </x:c>
      <x:c r="E576" s="9" t="str">
        <x:v>juggling ball, red block, pink marker, blue block</x:v>
      </x:c>
      <x:c r="F576" s="9" t="str">
        <x:v>red block → 2–8 cm edge gap to the left of juggling ball; centroid direction within ±45°.</x:v>
      </x:c>
      <x:c r="G576" s="9" t="str">
        <x:v>grasped the red block but didn't move it</x:v>
      </x:c>
      <x:c r="H576" s="9" t="str">
        <x:v>Cross-task-object directional reasoning</x:v>
      </x:c>
      <x:c r="I576" s="9" t="str">
        <x:v>RP-XT-CF04</x:v>
      </x:c>
      <x:c r="J576" s="9" t="str">
        <x:v>Four-way cross-task counterfactual: left/right polarity × juggling-ball target/reference role</x:v>
      </x:c>
      <x:c r="K576" s="9" t="n">
        <x:v>122</x:v>
      </x:c>
      <x:c r="L576" s="9" t="str">
        <x:v>1103 (juggling-ball exposure); 275 (left relation with red block as target)</x:v>
      </x:c>
      <x:c r="M576" s="9"/>
      <x:c r="N576" s="9"/>
      <x:c r="O576" s="9" t="str">
        <x:v>Reset every manipulated core object to its marked pose; preserve the exact scene and change only the instruction.</x:v>
      </x:c>
      <x:c r="P576" s="9" t="str">
        <x:v>The juggling ball is globally familiar but absent from Relational Placement training. This exact-scene family crosses direction with its reference role and contains no direct-name control.</x:v>
      </x:c>
      <x:c r="Q576" s="9"/>
      <x:c r="R576" s="10" t="n">
        <x:v>4</x:v>
      </x:c>
      <x:c r="S576" s="10"/>
      <x:c r="T576" s="9"/>
      <x:c r="U576" s="9"/>
      <x:c r="V576" s="9"/>
      <x:c r="W576" s="9"/>
      <x:c r="X576" s="10"/>
      <x:c r="Y576" s="10"/>
      <x:c r="Z576" s="9"/>
      <x:c r="AA576" s="9"/>
      <x:c r="AB576" s="9"/>
      <x:c r="AC576" s="9" t="str">
        <x:v>left</x:v>
      </x:c>
      <x:c r="AD576" s="9" t="str">
        <x:v>red block</x:v>
      </x:c>
      <x:c r="AE576" s="9" t="str">
        <x:v>juggling ball</x:v>
      </x:c>
      <x:c r="AF576" s="9" t="str">
        <x:v>Reference</x:v>
      </x:c>
      <x:c r="AG576" s="9"/>
      <x:c r="AH576" s="9"/>
      <x:c r="AI576" s="11"/>
      <x:c r="AJ576" s="9"/>
      <x:c r="AK576" s="9" t="str">
        <x:v>Eval_Relational_Placement (1).xlsm</x:v>
      </x:c>
      <x:c r="AL576" s="9" t="str">
        <x:v>GR00T vision-only Results</x:v>
      </x:c>
      <x:c r="AM576" s="9" t="n">
        <x:v>126</x:v>
      </x:c>
      <x:c r="AN576" s="9" t="n">
        <x:v>126</x:v>
      </x:c>
    </x:row>
    <x:row r="577">
      <x:c r="A577" s="9" t="str">
        <x:v>Failure</x:v>
      </x:c>
      <x:c r="B577" s="9" t="str">
        <x:v>Relational Placement</x:v>
      </x:c>
      <x:c r="C577" s="10" t="n">
        <x:v>125</x:v>
      </x:c>
      <x:c r="D577" s="9" t="str">
        <x:v>Place the red block to the right of the juggling ball.</x:v>
      </x:c>
      <x:c r="E577" s="9" t="str">
        <x:v>juggling ball, red block, pink marker, blue block</x:v>
      </x:c>
      <x:c r="F577" s="9" t="str">
        <x:v>red block → 2–8 cm edge gap to the right of juggling ball; centroid direction within ±45°.</x:v>
      </x:c>
      <x:c r="G577" s="9" t="str">
        <x:v>placed red block to the left of juggling ball</x:v>
      </x:c>
      <x:c r="H577" s="9" t="str">
        <x:v>Cross-task-object directional reasoning</x:v>
      </x:c>
      <x:c r="I577" s="9" t="str">
        <x:v>RP-XT-CF04</x:v>
      </x:c>
      <x:c r="J577" s="9" t="str">
        <x:v>Four-way cross-task counterfactual: left/right polarity × juggling-ball target/reference role</x:v>
      </x:c>
      <x:c r="K577" s="9" t="n">
        <x:v>122</x:v>
      </x:c>
      <x:c r="L577" s="9" t="str">
        <x:v>1103 (juggling-ball exposure); 287 (right relation with red block as target)</x:v>
      </x:c>
      <x:c r="M577" s="9"/>
      <x:c r="N577" s="9"/>
      <x:c r="O577" s="9" t="str">
        <x:v>Reset every manipulated core object to its marked pose; preserve the exact scene and change only the instruction.</x:v>
      </x:c>
      <x:c r="P577" s="9" t="str">
        <x:v>The juggling ball is globally familiar but absent from Relational Placement training. This exact-scene family crosses direction with its reference role and contains no direct-name control.</x:v>
      </x:c>
      <x:c r="Q577" s="9"/>
      <x:c r="R577" s="10" t="n">
        <x:v>4</x:v>
      </x:c>
      <x:c r="S577" s="10"/>
      <x:c r="T577" s="9"/>
      <x:c r="U577" s="9"/>
      <x:c r="V577" s="9"/>
      <x:c r="W577" s="9"/>
      <x:c r="X577" s="10"/>
      <x:c r="Y577" s="10"/>
      <x:c r="Z577" s="9"/>
      <x:c r="AA577" s="9"/>
      <x:c r="AB577" s="9"/>
      <x:c r="AC577" s="9" t="str">
        <x:v>right</x:v>
      </x:c>
      <x:c r="AD577" s="9" t="str">
        <x:v>red block</x:v>
      </x:c>
      <x:c r="AE577" s="9" t="str">
        <x:v>juggling ball</x:v>
      </x:c>
      <x:c r="AF577" s="9" t="str">
        <x:v>Reference</x:v>
      </x:c>
      <x:c r="AG577" s="9"/>
      <x:c r="AH577" s="9"/>
      <x:c r="AI577" s="11"/>
      <x:c r="AJ577" s="9"/>
      <x:c r="AK577" s="9" t="str">
        <x:v>Eval_Relational_Placement (1).xlsm</x:v>
      </x:c>
      <x:c r="AL577" s="9" t="str">
        <x:v>GR00T vision-only Results</x:v>
      </x:c>
      <x:c r="AM577" s="9" t="n">
        <x:v>127</x:v>
      </x:c>
      <x:c r="AN577" s="9" t="n">
        <x:v>127</x:v>
      </x:c>
    </x:row>
    <x:row r="578">
      <x:c r="A578" s="9" t="str">
        <x:v>Success</x:v>
      </x:c>
      <x:c r="B578" s="9" t="str">
        <x:v>Relational Placement</x:v>
      </x:c>
      <x:c r="C578" s="10" t="n">
        <x:v>126</x:v>
      </x:c>
      <x:c r="D578" s="9" t="str">
        <x:v>Place the juggling ball in front of the red block.</x:v>
      </x:c>
      <x:c r="E578" s="9" t="str">
        <x:v>juggling ball, red block, green pen, blue block</x:v>
      </x:c>
      <x:c r="F578" s="9" t="str">
        <x:v>juggling ball → 2–8 cm edge gap in front of red block; centroid direction within ±45°.</x:v>
      </x:c>
      <x:c r="G578" s="9"/>
      <x:c r="H578" s="9" t="str">
        <x:v>Cross-task-object directional reasoning</x:v>
      </x:c>
      <x:c r="I578" s="9" t="str">
        <x:v>RP-XT-CF05</x:v>
      </x:c>
      <x:c r="J578" s="9" t="str">
        <x:v>Four-prompt mixed-axis cross-task counterfactual with two juggling-ball targets and two references</x:v>
      </x:c>
      <x:c r="K578" s="9"/>
      <x:c r="L578" s="9" t="str">
        <x:v>1104 (juggling-ball exposure); 254 (front relation)</x:v>
      </x:c>
      <x:c r="M578" s="9"/>
      <x:c r="N578" s="9"/>
      <x:c r="O578" s="9" t="str">
        <x:v>Build the listed neutral-axis scene and save the first frame.</x:v>
      </x:c>
      <x:c r="P578" s="9" t="str">
        <x:v>The juggling ball is globally familiar but absent from Relational Placement training. This exact-scene family crosses direction with its target role and contains no direct-name control.</x:v>
      </x:c>
      <x:c r="Q578" s="9"/>
      <x:c r="R578" s="10" t="n">
        <x:v>4</x:v>
      </x:c>
      <x:c r="S578" s="10"/>
      <x:c r="T578" s="9"/>
      <x:c r="U578" s="9"/>
      <x:c r="V578" s="9"/>
      <x:c r="W578" s="9"/>
      <x:c r="X578" s="10"/>
      <x:c r="Y578" s="10"/>
      <x:c r="Z578" s="9"/>
      <x:c r="AA578" s="9"/>
      <x:c r="AB578" s="9"/>
      <x:c r="AC578" s="9" t="str">
        <x:v>front</x:v>
      </x:c>
      <x:c r="AD578" s="9" t="str">
        <x:v>juggling ball</x:v>
      </x:c>
      <x:c r="AE578" s="9" t="str">
        <x:v>red block</x:v>
      </x:c>
      <x:c r="AF578" s="9" t="str">
        <x:v>Target</x:v>
      </x:c>
      <x:c r="AG578" s="9"/>
      <x:c r="AH578" s="9"/>
      <x:c r="AI578" s="11"/>
      <x:c r="AJ578" s="9"/>
      <x:c r="AK578" s="9" t="str">
        <x:v>Eval_Relational_Placement (1).xlsm</x:v>
      </x:c>
      <x:c r="AL578" s="9" t="str">
        <x:v>GR00T vision-only Results</x:v>
      </x:c>
      <x:c r="AM578" s="9" t="n">
        <x:v>128</x:v>
      </x:c>
      <x:c r="AN578" s="9" t="n">
        <x:v>128</x:v>
      </x:c>
    </x:row>
    <x:row r="579">
      <x:c r="A579" s="9" t="str">
        <x:v>Failure</x:v>
      </x:c>
      <x:c r="B579" s="9" t="str">
        <x:v>Relational Placement</x:v>
      </x:c>
      <x:c r="C579" s="10" t="n">
        <x:v>127</x:v>
      </x:c>
      <x:c r="D579" s="9" t="str">
        <x:v>Place the red block behind the juggling ball.</x:v>
      </x:c>
      <x:c r="E579" s="9" t="str">
        <x:v>juggling ball, red block, green pen, blue block</x:v>
      </x:c>
      <x:c r="F579" s="9" t="str">
        <x:v>red block → 2–8 cm edge gap behind juggling ball; centroid direction within ±45°.</x:v>
      </x:c>
      <x:c r="G579" s="9" t="str">
        <x:v>moved a bit at the start of the episode and then returned back home</x:v>
      </x:c>
      <x:c r="H579" s="9" t="str">
        <x:v>Cross-task-object directional reasoning</x:v>
      </x:c>
      <x:c r="I579" s="9" t="str">
        <x:v>RP-XT-CF05</x:v>
      </x:c>
      <x:c r="J579" s="9" t="str">
        <x:v>Four-prompt mixed-axis cross-task counterfactual with two juggling-ball targets and two references</x:v>
      </x:c>
      <x:c r="K579" s="9" t="n">
        <x:v>126</x:v>
      </x:c>
      <x:c r="L579" s="9" t="str">
        <x:v>1104 (juggling-ball exposure); 270 (behind relation with red block as target)</x:v>
      </x:c>
      <x:c r="M579" s="9"/>
      <x:c r="N579" s="9"/>
      <x:c r="O579" s="9" t="str">
        <x:v>Reset every manipulated core object to its marked pose; preserve the exact scene and change only the instruction.</x:v>
      </x:c>
      <x:c r="P579" s="9" t="str">
        <x:v>The juggling ball is globally familiar but absent from Relational Placement training. This exact-scene family crosses direction with its reference role and contains no direct-name control.</x:v>
      </x:c>
      <x:c r="Q579" s="9"/>
      <x:c r="R579" s="10" t="n">
        <x:v>4</x:v>
      </x:c>
      <x:c r="S579" s="10"/>
      <x:c r="T579" s="9"/>
      <x:c r="U579" s="9"/>
      <x:c r="V579" s="9"/>
      <x:c r="W579" s="9"/>
      <x:c r="X579" s="10"/>
      <x:c r="Y579" s="10"/>
      <x:c r="Z579" s="9"/>
      <x:c r="AA579" s="9"/>
      <x:c r="AB579" s="9"/>
      <x:c r="AC579" s="9" t="str">
        <x:v>behind</x:v>
      </x:c>
      <x:c r="AD579" s="9" t="str">
        <x:v>red block</x:v>
      </x:c>
      <x:c r="AE579" s="9" t="str">
        <x:v>juggling ball</x:v>
      </x:c>
      <x:c r="AF579" s="9" t="str">
        <x:v>Reference</x:v>
      </x:c>
      <x:c r="AG579" s="9"/>
      <x:c r="AH579" s="9"/>
      <x:c r="AI579" s="11"/>
      <x:c r="AJ579" s="9"/>
      <x:c r="AK579" s="9" t="str">
        <x:v>Eval_Relational_Placement (1).xlsm</x:v>
      </x:c>
      <x:c r="AL579" s="9" t="str">
        <x:v>GR00T vision-only Results</x:v>
      </x:c>
      <x:c r="AM579" s="9" t="n">
        <x:v>129</x:v>
      </x:c>
      <x:c r="AN579" s="9" t="n">
        <x:v>129</x:v>
      </x:c>
    </x:row>
    <x:row r="580">
      <x:c r="A580" s="9" t="str">
        <x:v>Failure</x:v>
      </x:c>
      <x:c r="B580" s="9" t="str">
        <x:v>Relational Placement</x:v>
      </x:c>
      <x:c r="C580" s="10" t="n">
        <x:v>128</x:v>
      </x:c>
      <x:c r="D580" s="9" t="str">
        <x:v>Place the juggling ball to the left of the green pen.</x:v>
      </x:c>
      <x:c r="E580" s="9" t="str">
        <x:v>juggling ball, red block, green pen, blue block</x:v>
      </x:c>
      <x:c r="F580" s="9" t="str">
        <x:v>juggling ball → 2–8 cm edge gap to the left of green pen; centroid direction within ±45°.</x:v>
      </x:c>
      <x:c r="G580" s="9" t="str">
        <x:v>didn't move</x:v>
      </x:c>
      <x:c r="H580" s="9" t="str">
        <x:v>Cross-task-object directional reasoning</x:v>
      </x:c>
      <x:c r="I580" s="9" t="str">
        <x:v>RP-XT-CF05</x:v>
      </x:c>
      <x:c r="J580" s="9" t="str">
        <x:v>Four-prompt mixed-axis cross-task counterfactual with two juggling-ball targets and two references</x:v>
      </x:c>
      <x:c r="K580" s="9" t="n">
        <x:v>126</x:v>
      </x:c>
      <x:c r="L580" s="9" t="str">
        <x:v>1104 (juggling-ball exposure); 229 (left relation)</x:v>
      </x:c>
      <x:c r="M580" s="9"/>
      <x:c r="N580" s="9"/>
      <x:c r="O580" s="9" t="str">
        <x:v>Reset every manipulated core object to its marked pose; preserve the exact scene and change only the instruction.</x:v>
      </x:c>
      <x:c r="P580" s="9" t="str">
        <x:v>The juggling ball is globally familiar but absent from Relational Placement training. This exact-scene family crosses direction with its target role and contains no direct-name control.</x:v>
      </x:c>
      <x:c r="Q580" s="9"/>
      <x:c r="R580" s="10" t="n">
        <x:v>4</x:v>
      </x:c>
      <x:c r="S580" s="10"/>
      <x:c r="T580" s="9"/>
      <x:c r="U580" s="9"/>
      <x:c r="V580" s="9"/>
      <x:c r="W580" s="9"/>
      <x:c r="X580" s="10"/>
      <x:c r="Y580" s="10"/>
      <x:c r="Z580" s="9"/>
      <x:c r="AA580" s="9"/>
      <x:c r="AB580" s="9"/>
      <x:c r="AC580" s="9" t="str">
        <x:v>left</x:v>
      </x:c>
      <x:c r="AD580" s="9" t="str">
        <x:v>juggling ball</x:v>
      </x:c>
      <x:c r="AE580" s="9" t="str">
        <x:v>green pen</x:v>
      </x:c>
      <x:c r="AF580" s="9" t="str">
        <x:v>Target</x:v>
      </x:c>
      <x:c r="AG580" s="9"/>
      <x:c r="AH580" s="9"/>
      <x:c r="AI580" s="11"/>
      <x:c r="AJ580" s="9"/>
      <x:c r="AK580" s="9" t="str">
        <x:v>Eval_Relational_Placement (1).xlsm</x:v>
      </x:c>
      <x:c r="AL580" s="9" t="str">
        <x:v>GR00T vision-only Results</x:v>
      </x:c>
      <x:c r="AM580" s="9" t="n">
        <x:v>130</x:v>
      </x:c>
      <x:c r="AN580" s="9" t="n">
        <x:v>130</x:v>
      </x:c>
    </x:row>
    <x:row r="581">
      <x:c r="A581" s="9" t="str">
        <x:v>Success</x:v>
      </x:c>
      <x:c r="B581" s="9" t="str">
        <x:v>Relational Placement</x:v>
      </x:c>
      <x:c r="C581" s="10" t="n">
        <x:v>129</x:v>
      </x:c>
      <x:c r="D581" s="9" t="str">
        <x:v>Place the green pen to the right of the juggling ball.</x:v>
      </x:c>
      <x:c r="E581" s="9" t="str">
        <x:v>juggling ball, red block, green pen, blue block</x:v>
      </x:c>
      <x:c r="F581" s="9" t="str">
        <x:v>green pen → 2–8 cm edge gap to the right of juggling ball; centroid direction within ±45°.</x:v>
      </x:c>
      <x:c r="G581" s="9" t="str">
        <x:v>placed to the right and went home, but then went back towards juggling ball;  I think it counts</x:v>
      </x:c>
      <x:c r="H581" s="9" t="str">
        <x:v>Cross-task-object directional reasoning</x:v>
      </x:c>
      <x:c r="I581" s="9" t="str">
        <x:v>RP-XT-CF05</x:v>
      </x:c>
      <x:c r="J581" s="9" t="str">
        <x:v>Four-prompt mixed-axis cross-task counterfactual with two juggling-ball targets and two references</x:v>
      </x:c>
      <x:c r="K581" s="9" t="n">
        <x:v>126</x:v>
      </x:c>
      <x:c r="L581" s="9" t="str">
        <x:v>1104 (juggling-ball exposure); 243 (right relation with green pen as target)</x:v>
      </x:c>
      <x:c r="M581" s="9"/>
      <x:c r="N581" s="9"/>
      <x:c r="O581" s="9" t="str">
        <x:v>Reset every manipulated core object to its marked pose; preserve the exact scene and change only the instruction.</x:v>
      </x:c>
      <x:c r="P581" s="9" t="str">
        <x:v>The juggling ball is globally familiar but absent from Relational Placement training. This exact-scene family crosses direction with its reference role and contains no direct-name control.</x:v>
      </x:c>
      <x:c r="Q581" s="9"/>
      <x:c r="R581" s="10" t="n">
        <x:v>4</x:v>
      </x:c>
      <x:c r="S581" s="10"/>
      <x:c r="T581" s="9"/>
      <x:c r="U581" s="9"/>
      <x:c r="V581" s="9"/>
      <x:c r="W581" s="9"/>
      <x:c r="X581" s="10"/>
      <x:c r="Y581" s="10"/>
      <x:c r="Z581" s="9"/>
      <x:c r="AA581" s="9"/>
      <x:c r="AB581" s="9"/>
      <x:c r="AC581" s="9" t="str">
        <x:v>right</x:v>
      </x:c>
      <x:c r="AD581" s="9" t="str">
        <x:v>green pen</x:v>
      </x:c>
      <x:c r="AE581" s="9" t="str">
        <x:v>juggling ball</x:v>
      </x:c>
      <x:c r="AF581" s="9" t="str">
        <x:v>Reference</x:v>
      </x:c>
      <x:c r="AG581" s="9"/>
      <x:c r="AH581" s="9"/>
      <x:c r="AI581" s="11"/>
      <x:c r="AJ581" s="9"/>
      <x:c r="AK581" s="9" t="str">
        <x:v>Eval_Relational_Placement (1).xlsm</x:v>
      </x:c>
      <x:c r="AL581" s="9" t="str">
        <x:v>GR00T vision-only Results</x:v>
      </x:c>
      <x:c r="AM581" s="9" t="n">
        <x:v>131</x:v>
      </x:c>
      <x:c r="AN581" s="9" t="n">
        <x:v>131</x:v>
      </x:c>
    </x:row>
    <x:row r="582">
      <x:c r="A582" s="9" t="str">
        <x:v>Success</x:v>
      </x:c>
      <x:c r="B582" s="9" t="str">
        <x:v>Relational Placement</x:v>
      </x:c>
      <x:c r="C582" s="10" t="n">
        <x:v>130</x:v>
      </x:c>
      <x:c r="D582" s="9" t="str">
        <x:v>Place the green pen to the left of the pink marker.</x:v>
      </x:c>
      <x:c r="E582" s="9" t="str">
        <x:v>green pen, pink marker, blue block</x:v>
      </x:c>
      <x:c r="F582" s="9" t="str">
        <x:v>NO MOVEMENT — requested relation is already satisfied at the start: green pen → 2–8 cm edge gap to the left of pink marker; centroid direction within ±45°.</x:v>
      </x:c>
      <x:c r="G582" s="9"/>
      <x:c r="H582" s="9" t="str">
        <x:v>Goal already satisfied / no movement</x:v>
      </x:c>
      <x:c r="I582" s="9" t="str">
        <x:v>RP-AG01</x:v>
      </x:c>
      <x:c r="J582" s="9" t="str">
        <x:v>In-distribution satisfied-state action-gating diagnostic</x:v>
      </x:c>
      <x:c r="K582" s="9"/>
      <x:c r="L582" s="9" t="str">
        <x:v>232</x:v>
      </x:c>
      <x:c r="M582" s="9"/>
      <x:c r="N582" s="9"/>
      <x:c r="O582" s="9" t="str">
        <x:v>Build the listed already-satisfied scene and save the first frame.</x:v>
      </x:c>
      <x:c r="P582" s="9" t="str">
        <x:v>Uses the ordinary explicitly trained prompt from episode 232. Its prompt-matched movement-required counterpart is in the same four-row family.</x:v>
      </x:c>
      <x:c r="Q582" s="9"/>
      <x:c r="R582" s="10" t="n">
        <x:v>3</x:v>
      </x:c>
      <x:c r="S582" s="10"/>
      <x:c r="T582" s="9"/>
      <x:c r="U582" s="9"/>
      <x:c r="V582" s="9"/>
      <x:c r="W582" s="9"/>
      <x:c r="X582" s="10"/>
      <x:c r="Y582" s="10"/>
      <x:c r="Z582" s="9"/>
      <x:c r="AA582" s="9"/>
      <x:c r="AB582" s="9"/>
      <x:c r="AC582" s="9" t="str">
        <x:v>left</x:v>
      </x:c>
      <x:c r="AD582" s="9" t="str">
        <x:v>green pen</x:v>
      </x:c>
      <x:c r="AE582" s="9" t="str">
        <x:v>pink marker</x:v>
      </x:c>
      <x:c r="AF582" s="9" t="str">
        <x:v>None</x:v>
      </x:c>
      <x:c r="AG582" s="9"/>
      <x:c r="AH582" s="9"/>
      <x:c r="AI582" s="11"/>
      <x:c r="AJ582" s="9"/>
      <x:c r="AK582" s="9" t="str">
        <x:v>Eval_Relational_Placement (1).xlsm</x:v>
      </x:c>
      <x:c r="AL582" s="9" t="str">
        <x:v>GR00T vision-only Results</x:v>
      </x:c>
      <x:c r="AM582" s="9" t="n">
        <x:v>132</x:v>
      </x:c>
      <x:c r="AN582" s="9" t="n">
        <x:v>132</x:v>
      </x:c>
    </x:row>
    <x:row r="583">
      <x:c r="A583" s="9" t="str">
        <x:v>Success</x:v>
      </x:c>
      <x:c r="B583" s="9" t="str">
        <x:v>Relational Placement</x:v>
      </x:c>
      <x:c r="C583" s="10" t="n">
        <x:v>131</x:v>
      </x:c>
      <x:c r="D583" s="9" t="str">
        <x:v>Place the pink marker to the right of the green pen.</x:v>
      </x:c>
      <x:c r="E583" s="9" t="str">
        <x:v>green pen, pink marker, blue block</x:v>
      </x:c>
      <x:c r="F583" s="9" t="str">
        <x:v>NO MOVEMENT — requested relation is already satisfied at the start: pink marker → 2–8 cm edge gap to the right of green pen; centroid direction within ±45°.</x:v>
      </x:c>
      <x:c r="G583" s="9"/>
      <x:c r="H583" s="9" t="str">
        <x:v>Goal already satisfied / no movement</x:v>
      </x:c>
      <x:c r="I583" s="9" t="str">
        <x:v>RP-AG01</x:v>
      </x:c>
      <x:c r="J583" s="9" t="str">
        <x:v>In-distribution satisfied-state action-gating diagnostic</x:v>
      </x:c>
      <x:c r="K583" s="9" t="n">
        <x:v>130</x:v>
      </x:c>
      <x:c r="L583" s="9" t="str">
        <x:v>345</x:v>
      </x:c>
      <x:c r="M583" s="9"/>
      <x:c r="N583" s="9"/>
      <x:c r="O583" s="9" t="str">
        <x:v>Preserve the exact scene; change only the reciprocal target/reference instruction.</x:v>
      </x:c>
      <x:c r="P583" s="9" t="str">
        <x:v>Uses the reciprocal explicitly trained prompt from episode 345. Both rows in this state pair are simultaneously satisfied.</x:v>
      </x:c>
      <x:c r="Q583" s="9"/>
      <x:c r="R583" s="10" t="n">
        <x:v>3</x:v>
      </x:c>
      <x:c r="S583" s="10"/>
      <x:c r="T583" s="9"/>
      <x:c r="U583" s="9"/>
      <x:c r="V583" s="9"/>
      <x:c r="W583" s="9"/>
      <x:c r="X583" s="10"/>
      <x:c r="Y583" s="10"/>
      <x:c r="Z583" s="9"/>
      <x:c r="AA583" s="9"/>
      <x:c r="AB583" s="9"/>
      <x:c r="AC583" s="9" t="str">
        <x:v>right</x:v>
      </x:c>
      <x:c r="AD583" s="9" t="str">
        <x:v>pink marker</x:v>
      </x:c>
      <x:c r="AE583" s="9" t="str">
        <x:v>green pen</x:v>
      </x:c>
      <x:c r="AF583" s="9" t="str">
        <x:v>None</x:v>
      </x:c>
      <x:c r="AG583" s="9"/>
      <x:c r="AH583" s="9"/>
      <x:c r="AI583" s="11"/>
      <x:c r="AJ583" s="9"/>
      <x:c r="AK583" s="9" t="str">
        <x:v>Eval_Relational_Placement (1).xlsm</x:v>
      </x:c>
      <x:c r="AL583" s="9" t="str">
        <x:v>GR00T vision-only Results</x:v>
      </x:c>
      <x:c r="AM583" s="9" t="n">
        <x:v>133</x:v>
      </x:c>
      <x:c r="AN583" s="9" t="n">
        <x:v>133</x:v>
      </x:c>
    </x:row>
    <x:row r="584">
      <x:c r="A584" s="9" t="str">
        <x:v>Failure</x:v>
      </x:c>
      <x:c r="B584" s="9" t="str">
        <x:v>Relational Placement</x:v>
      </x:c>
      <x:c r="C584" s="10" t="n">
        <x:v>132</x:v>
      </x:c>
      <x:c r="D584" s="9" t="str">
        <x:v>Place the green pen to the left of the pink marker.</x:v>
      </x:c>
      <x:c r="E584" s="9" t="str">
        <x:v>green pen, pink marker, blue block</x:v>
      </x:c>
      <x:c r="F584" s="9" t="str">
        <x:v>green pen → 2–8 cm edge gap to the left of pink marker; centroid direction within ±45°.</x:v>
      </x:c>
      <x:c r="G584" s="9" t="str">
        <x:v>didn't move</x:v>
      </x:c>
      <x:c r="H584" s="9" t="str">
        <x:v>Violated-relation correction control</x:v>
      </x:c>
      <x:c r="I584" s="9" t="str">
        <x:v>RP-AG01</x:v>
      </x:c>
      <x:c r="J584" s="9" t="str">
        <x:v>Matched opposite-sector movement-required control</x:v>
      </x:c>
      <x:c r="K584" s="9"/>
      <x:c r="L584" s="9" t="str">
        <x:v>232</x:v>
      </x:c>
      <x:c r="M584" s="9"/>
      <x:c r="N584" s="9"/>
      <x:c r="O584" s="9" t="str">
        <x:v>Move only P1 to the listed opposite-sector violated 5 cm position; preserve P2, every distractor, and the camera/robot setup.</x:v>
      </x:c>
      <x:c r="P584" s="9" t="str">
        <x:v>Uses the ordinary explicitly trained prompt from episode 232. Its prompt-matched no-movement counterpart is in the same four-row family.</x:v>
      </x:c>
      <x:c r="Q584" s="9"/>
      <x:c r="R584" s="10" t="n">
        <x:v>3</x:v>
      </x:c>
      <x:c r="S584" s="10"/>
      <x:c r="T584" s="9"/>
      <x:c r="U584" s="9"/>
      <x:c r="V584" s="9"/>
      <x:c r="W584" s="9"/>
      <x:c r="X584" s="10"/>
      <x:c r="Y584" s="10"/>
      <x:c r="Z584" s="9"/>
      <x:c r="AA584" s="9"/>
      <x:c r="AB584" s="9"/>
      <x:c r="AC584" s="9" t="str">
        <x:v>left</x:v>
      </x:c>
      <x:c r="AD584" s="9" t="str">
        <x:v>green pen</x:v>
      </x:c>
      <x:c r="AE584" s="9" t="str">
        <x:v>pink marker</x:v>
      </x:c>
      <x:c r="AF584" s="9" t="str">
        <x:v>None</x:v>
      </x:c>
      <x:c r="AG584" s="9"/>
      <x:c r="AH584" s="9"/>
      <x:c r="AI584" s="11"/>
      <x:c r="AJ584" s="9"/>
      <x:c r="AK584" s="9" t="str">
        <x:v>Eval_Relational_Placement (1).xlsm</x:v>
      </x:c>
      <x:c r="AL584" s="9" t="str">
        <x:v>GR00T vision-only Results</x:v>
      </x:c>
      <x:c r="AM584" s="9" t="n">
        <x:v>134</x:v>
      </x:c>
      <x:c r="AN584" s="9" t="n">
        <x:v>134</x:v>
      </x:c>
    </x:row>
    <x:row r="585">
      <x:c r="A585" s="9" t="str">
        <x:v>Failure</x:v>
      </x:c>
      <x:c r="B585" s="9" t="str">
        <x:v>Relational Placement</x:v>
      </x:c>
      <x:c r="C585" s="10" t="n">
        <x:v>133</x:v>
      </x:c>
      <x:c r="D585" s="9" t="str">
        <x:v>Place the pink marker to the right of the green pen.</x:v>
      </x:c>
      <x:c r="E585" s="9" t="str">
        <x:v>green pen, pink marker, blue block</x:v>
      </x:c>
      <x:c r="F585" s="9" t="str">
        <x:v>pink marker → 2–8 cm edge gap to the right of green pen; centroid direction within ±45°.</x:v>
      </x:c>
      <x:c r="G585" s="9" t="str">
        <x:v>didn't move</x:v>
      </x:c>
      <x:c r="H585" s="9" t="str">
        <x:v>Violated-relation correction control</x:v>
      </x:c>
      <x:c r="I585" s="9" t="str">
        <x:v>RP-AG01</x:v>
      </x:c>
      <x:c r="J585" s="9" t="str">
        <x:v>Matched opposite-sector movement-required control</x:v>
      </x:c>
      <x:c r="K585" s="9" t="n">
        <x:v>132</x:v>
      </x:c>
      <x:c r="L585" s="9" t="str">
        <x:v>345</x:v>
      </x:c>
      <x:c r="M585" s="9"/>
      <x:c r="N585" s="9"/>
      <x:c r="O585" s="9" t="str">
        <x:v>Preserve the exact scene; change only the reciprocal target/reference instruction.</x:v>
      </x:c>
      <x:c r="P585" s="9" t="str">
        <x:v>Uses the reciprocal explicitly trained prompt from episode 345. Both rows in this state pair are simultaneously violated.</x:v>
      </x:c>
      <x:c r="Q585" s="9"/>
      <x:c r="R585" s="10" t="n">
        <x:v>3</x:v>
      </x:c>
      <x:c r="S585" s="10"/>
      <x:c r="T585" s="9"/>
      <x:c r="U585" s="9"/>
      <x:c r="V585" s="9"/>
      <x:c r="W585" s="9"/>
      <x:c r="X585" s="10"/>
      <x:c r="Y585" s="10"/>
      <x:c r="Z585" s="9"/>
      <x:c r="AA585" s="9"/>
      <x:c r="AB585" s="9"/>
      <x:c r="AC585" s="9" t="str">
        <x:v>right</x:v>
      </x:c>
      <x:c r="AD585" s="9" t="str">
        <x:v>pink marker</x:v>
      </x:c>
      <x:c r="AE585" s="9" t="str">
        <x:v>green pen</x:v>
      </x:c>
      <x:c r="AF585" s="9" t="str">
        <x:v>None</x:v>
      </x:c>
      <x:c r="AG585" s="9"/>
      <x:c r="AH585" s="9"/>
      <x:c r="AI585" s="11"/>
      <x:c r="AJ585" s="9"/>
      <x:c r="AK585" s="9" t="str">
        <x:v>Eval_Relational_Placement (1).xlsm</x:v>
      </x:c>
      <x:c r="AL585" s="9" t="str">
        <x:v>GR00T vision-only Results</x:v>
      </x:c>
      <x:c r="AM585" s="9" t="n">
        <x:v>135</x:v>
      </x:c>
      <x:c r="AN585" s="9" t="n">
        <x:v>135</x:v>
      </x:c>
    </x:row>
    <x:row r="586">
      <x:c r="A586" s="9" t="str">
        <x:v>Failure</x:v>
      </x:c>
      <x:c r="B586" s="9" t="str">
        <x:v>Relational Placement</x:v>
      </x:c>
      <x:c r="C586" s="10" t="n">
        <x:v>134</x:v>
      </x:c>
      <x:c r="D586" s="9" t="str">
        <x:v>Place the green pen to the right of the pink marker.</x:v>
      </x:c>
      <x:c r="E586" s="9" t="str">
        <x:v>green pen, pink marker, red block, blue block</x:v>
      </x:c>
      <x:c r="F586" s="9" t="str">
        <x:v>green pen → 2–8 cm edge gap to the right of pink marker; centroid direction within ±45°.</x:v>
      </x:c>
      <x:c r="G586" s="9" t="str">
        <x:v>didn't move</x:v>
      </x:c>
      <x:c r="H586" s="9" t="str">
        <x:v>Violated-relation correction control</x:v>
      </x:c>
      <x:c r="I586" s="9" t="str">
        <x:v>RP-AG02</x:v>
      </x:c>
      <x:c r="J586" s="9" t="str">
        <x:v>Matched opposite-sector movement-required control</x:v>
      </x:c>
      <x:c r="K586" s="9"/>
      <x:c r="L586" s="9" t="str">
        <x:v>244</x:v>
      </x:c>
      <x:c r="M586" s="9"/>
      <x:c r="N586" s="9"/>
      <x:c r="O586" s="9" t="str">
        <x:v>Build the listed opposite-sector violated scene and save the first frame.</x:v>
      </x:c>
      <x:c r="P586" s="9" t="str">
        <x:v>Uses the ordinary explicitly trained prompt from episode 244. Its prompt-matched no-movement counterpart is in the same four-row family.</x:v>
      </x:c>
      <x:c r="Q586" s="9"/>
      <x:c r="R586" s="10" t="n">
        <x:v>4</x:v>
      </x:c>
      <x:c r="S586" s="10"/>
      <x:c r="T586" s="9"/>
      <x:c r="U586" s="9"/>
      <x:c r="V586" s="9"/>
      <x:c r="W586" s="9"/>
      <x:c r="X586" s="10"/>
      <x:c r="Y586" s="10"/>
      <x:c r="Z586" s="9"/>
      <x:c r="AA586" s="9"/>
      <x:c r="AB586" s="9"/>
      <x:c r="AC586" s="9" t="str">
        <x:v>right</x:v>
      </x:c>
      <x:c r="AD586" s="9" t="str">
        <x:v>green pen</x:v>
      </x:c>
      <x:c r="AE586" s="9" t="str">
        <x:v>pink marker</x:v>
      </x:c>
      <x:c r="AF586" s="9" t="str">
        <x:v>None</x:v>
      </x:c>
      <x:c r="AG586" s="9"/>
      <x:c r="AH586" s="9"/>
      <x:c r="AI586" s="11"/>
      <x:c r="AJ586" s="9"/>
      <x:c r="AK586" s="9" t="str">
        <x:v>Eval_Relational_Placement (1).xlsm</x:v>
      </x:c>
      <x:c r="AL586" s="9" t="str">
        <x:v>GR00T vision-only Results</x:v>
      </x:c>
      <x:c r="AM586" s="9" t="n">
        <x:v>136</x:v>
      </x:c>
      <x:c r="AN586" s="9" t="n">
        <x:v>136</x:v>
      </x:c>
    </x:row>
    <x:row r="587">
      <x:c r="A587" s="9" t="str">
        <x:v>Failure</x:v>
      </x:c>
      <x:c r="B587" s="9" t="str">
        <x:v>Relational Placement</x:v>
      </x:c>
      <x:c r="C587" s="10" t="n">
        <x:v>135</x:v>
      </x:c>
      <x:c r="D587" s="9" t="str">
        <x:v>Place the pink marker to the left of the green pen.</x:v>
      </x:c>
      <x:c r="E587" s="9" t="str">
        <x:v>green pen, pink marker, red block, blue block</x:v>
      </x:c>
      <x:c r="F587" s="9" t="str">
        <x:v>pink marker → 2–8 cm edge gap to the left of green pen; centroid direction within ±45°.</x:v>
      </x:c>
      <x:c r="G587" s="9" t="str">
        <x:v>didn't move</x:v>
      </x:c>
      <x:c r="H587" s="9" t="str">
        <x:v>Violated-relation correction control</x:v>
      </x:c>
      <x:c r="I587" s="9" t="str">
        <x:v>RP-AG02</x:v>
      </x:c>
      <x:c r="J587" s="9" t="str">
        <x:v>Matched opposite-sector movement-required control</x:v>
      </x:c>
      <x:c r="K587" s="9" t="n">
        <x:v>134</x:v>
      </x:c>
      <x:c r="L587" s="9" t="str">
        <x:v>331</x:v>
      </x:c>
      <x:c r="M587" s="9"/>
      <x:c r="N587" s="9"/>
      <x:c r="O587" s="9" t="str">
        <x:v>Preserve the exact scene; change only the reciprocal target/reference instruction.</x:v>
      </x:c>
      <x:c r="P587" s="9" t="str">
        <x:v>Uses the reciprocal explicitly trained prompt from episode 331. Both rows in this state pair are simultaneously violated.</x:v>
      </x:c>
      <x:c r="Q587" s="9"/>
      <x:c r="R587" s="10" t="n">
        <x:v>4</x:v>
      </x:c>
      <x:c r="S587" s="10"/>
      <x:c r="T587" s="9"/>
      <x:c r="U587" s="9"/>
      <x:c r="V587" s="9"/>
      <x:c r="W587" s="9"/>
      <x:c r="X587" s="10"/>
      <x:c r="Y587" s="10"/>
      <x:c r="Z587" s="9"/>
      <x:c r="AA587" s="9"/>
      <x:c r="AB587" s="9"/>
      <x:c r="AC587" s="9" t="str">
        <x:v>left</x:v>
      </x:c>
      <x:c r="AD587" s="9" t="str">
        <x:v>pink marker</x:v>
      </x:c>
      <x:c r="AE587" s="9" t="str">
        <x:v>green pen</x:v>
      </x:c>
      <x:c r="AF587" s="9" t="str">
        <x:v>None</x:v>
      </x:c>
      <x:c r="AG587" s="9"/>
      <x:c r="AH587" s="9"/>
      <x:c r="AI587" s="11"/>
      <x:c r="AJ587" s="9"/>
      <x:c r="AK587" s="9" t="str">
        <x:v>Eval_Relational_Placement (1).xlsm</x:v>
      </x:c>
      <x:c r="AL587" s="9" t="str">
        <x:v>GR00T vision-only Results</x:v>
      </x:c>
      <x:c r="AM587" s="9" t="n">
        <x:v>137</x:v>
      </x:c>
      <x:c r="AN587" s="9" t="n">
        <x:v>137</x:v>
      </x:c>
    </x:row>
    <x:row r="588">
      <x:c r="A588" s="9" t="str">
        <x:v>Success</x:v>
      </x:c>
      <x:c r="B588" s="9" t="str">
        <x:v>Relational Placement</x:v>
      </x:c>
      <x:c r="C588" s="10" t="n">
        <x:v>136</x:v>
      </x:c>
      <x:c r="D588" s="9" t="str">
        <x:v>Place the green pen to the right of the pink marker.</x:v>
      </x:c>
      <x:c r="E588" s="9" t="str">
        <x:v>green pen, pink marker, red block, blue block</x:v>
      </x:c>
      <x:c r="F588" s="9" t="str">
        <x:v>NO MOVEMENT — requested relation is already satisfied at the start: green pen → 2–8 cm edge gap to the right of pink marker; centroid direction within ±45°.</x:v>
      </x:c>
      <x:c r="G588" s="9"/>
      <x:c r="H588" s="9" t="str">
        <x:v>Goal already satisfied / no movement</x:v>
      </x:c>
      <x:c r="I588" s="9" t="str">
        <x:v>RP-AG02</x:v>
      </x:c>
      <x:c r="J588" s="9" t="str">
        <x:v>In-distribution satisfied-state action-gating diagnostic</x:v>
      </x:c>
      <x:c r="K588" s="9"/>
      <x:c r="L588" s="9" t="str">
        <x:v>244</x:v>
      </x:c>
      <x:c r="M588" s="9"/>
      <x:c r="N588" s="9"/>
      <x:c r="O588" s="9" t="str">
        <x:v>Move only P1 to the listed already-satisfied 5 cm position; preserve P2, every distractor, and the camera/robot setup.</x:v>
      </x:c>
      <x:c r="P588" s="9" t="str">
        <x:v>Uses the ordinary explicitly trained prompt from episode 244. Its prompt-matched movement-required counterpart is in the same four-row family.</x:v>
      </x:c>
      <x:c r="Q588" s="9"/>
      <x:c r="R588" s="10" t="n">
        <x:v>4</x:v>
      </x:c>
      <x:c r="S588" s="10"/>
      <x:c r="T588" s="9"/>
      <x:c r="U588" s="9"/>
      <x:c r="V588" s="9"/>
      <x:c r="W588" s="9"/>
      <x:c r="X588" s="10"/>
      <x:c r="Y588" s="10"/>
      <x:c r="Z588" s="9"/>
      <x:c r="AA588" s="9"/>
      <x:c r="AB588" s="9"/>
      <x:c r="AC588" s="9" t="str">
        <x:v>right</x:v>
      </x:c>
      <x:c r="AD588" s="9" t="str">
        <x:v>green pen</x:v>
      </x:c>
      <x:c r="AE588" s="9" t="str">
        <x:v>pink marker</x:v>
      </x:c>
      <x:c r="AF588" s="9" t="str">
        <x:v>None</x:v>
      </x:c>
      <x:c r="AG588" s="9"/>
      <x:c r="AH588" s="9"/>
      <x:c r="AI588" s="11"/>
      <x:c r="AJ588" s="9"/>
      <x:c r="AK588" s="9" t="str">
        <x:v>Eval_Relational_Placement (1).xlsm</x:v>
      </x:c>
      <x:c r="AL588" s="9" t="str">
        <x:v>GR00T vision-only Results</x:v>
      </x:c>
      <x:c r="AM588" s="9" t="n">
        <x:v>138</x:v>
      </x:c>
      <x:c r="AN588" s="9" t="n">
        <x:v>138</x:v>
      </x:c>
    </x:row>
    <x:row r="589">
      <x:c r="A589" s="9" t="str">
        <x:v>Success</x:v>
      </x:c>
      <x:c r="B589" s="9" t="str">
        <x:v>Relational Placement</x:v>
      </x:c>
      <x:c r="C589" s="10" t="n">
        <x:v>137</x:v>
      </x:c>
      <x:c r="D589" s="9" t="str">
        <x:v>Place the pink marker to the left of the green pen.</x:v>
      </x:c>
      <x:c r="E589" s="9" t="str">
        <x:v>green pen, pink marker, red block, blue block</x:v>
      </x:c>
      <x:c r="F589" s="9" t="str">
        <x:v>NO MOVEMENT — requested relation is already satisfied at the start: pink marker → 2–8 cm edge gap to the left of green pen; centroid direction within ±45°.</x:v>
      </x:c>
      <x:c r="G589" s="9"/>
      <x:c r="H589" s="9" t="str">
        <x:v>Goal already satisfied / no movement</x:v>
      </x:c>
      <x:c r="I589" s="9" t="str">
        <x:v>RP-AG02</x:v>
      </x:c>
      <x:c r="J589" s="9" t="str">
        <x:v>In-distribution satisfied-state action-gating diagnostic</x:v>
      </x:c>
      <x:c r="K589" s="9" t="n">
        <x:v>136</x:v>
      </x:c>
      <x:c r="L589" s="9" t="str">
        <x:v>331</x:v>
      </x:c>
      <x:c r="M589" s="9"/>
      <x:c r="N589" s="9"/>
      <x:c r="O589" s="9" t="str">
        <x:v>Preserve the exact scene; change only the reciprocal target/reference instruction.</x:v>
      </x:c>
      <x:c r="P589" s="9" t="str">
        <x:v>Uses the reciprocal explicitly trained prompt from episode 331. Both rows in this state pair are simultaneously satisfied.</x:v>
      </x:c>
      <x:c r="Q589" s="9"/>
      <x:c r="R589" s="10" t="n">
        <x:v>4</x:v>
      </x:c>
      <x:c r="S589" s="10"/>
      <x:c r="T589" s="9"/>
      <x:c r="U589" s="9"/>
      <x:c r="V589" s="9"/>
      <x:c r="W589" s="9"/>
      <x:c r="X589" s="10"/>
      <x:c r="Y589" s="10"/>
      <x:c r="Z589" s="9"/>
      <x:c r="AA589" s="9"/>
      <x:c r="AB589" s="9"/>
      <x:c r="AC589" s="9" t="str">
        <x:v>left</x:v>
      </x:c>
      <x:c r="AD589" s="9" t="str">
        <x:v>pink marker</x:v>
      </x:c>
      <x:c r="AE589" s="9" t="str">
        <x:v>green pen</x:v>
      </x:c>
      <x:c r="AF589" s="9" t="str">
        <x:v>None</x:v>
      </x:c>
      <x:c r="AG589" s="9"/>
      <x:c r="AH589" s="9"/>
      <x:c r="AI589" s="11"/>
      <x:c r="AJ589" s="9"/>
      <x:c r="AK589" s="9" t="str">
        <x:v>Eval_Relational_Placement (1).xlsm</x:v>
      </x:c>
      <x:c r="AL589" s="9" t="str">
        <x:v>GR00T vision-only Results</x:v>
      </x:c>
      <x:c r="AM589" s="9" t="n">
        <x:v>139</x:v>
      </x:c>
      <x:c r="AN589" s="9" t="n">
        <x:v>139</x:v>
      </x:c>
    </x:row>
    <x:row r="590">
      <x:c r="A590" s="9" t="str">
        <x:v>Success</x:v>
      </x:c>
      <x:c r="B590" s="9" t="str">
        <x:v>Relational Placement</x:v>
      </x:c>
      <x:c r="C590" s="10" t="n">
        <x:v>138</x:v>
      </x:c>
      <x:c r="D590" s="9" t="str">
        <x:v>Place the green pen to the left of the blue block.</x:v>
      </x:c>
      <x:c r="E590" s="9" t="str">
        <x:v>green pen, blue block, pink marker</x:v>
      </x:c>
      <x:c r="F590" s="9" t="str">
        <x:v>NO MOVEMENT — requested relation is already satisfied at the start: green pen → 2–8 cm edge gap to the left of blue block; centroid direction within ±45°.</x:v>
      </x:c>
      <x:c r="G590" s="9"/>
      <x:c r="H590" s="9" t="str">
        <x:v>Goal already satisfied / no movement</x:v>
      </x:c>
      <x:c r="I590" s="9" t="str">
        <x:v>RP-AG03</x:v>
      </x:c>
      <x:c r="J590" s="9" t="str">
        <x:v>In-distribution satisfied-state action-gating diagnostic</x:v>
      </x:c>
      <x:c r="K590" s="9"/>
      <x:c r="L590" s="9" t="str">
        <x:v>236</x:v>
      </x:c>
      <x:c r="M590" s="9"/>
      <x:c r="N590" s="9"/>
      <x:c r="O590" s="9" t="str">
        <x:v>Build the listed already-satisfied scene and save the first frame.</x:v>
      </x:c>
      <x:c r="P590" s="9" t="str">
        <x:v>Uses the ordinary explicitly trained prompt from episode 236. Its prompt-matched movement-required counterpart is in the same four-row family.</x:v>
      </x:c>
      <x:c r="Q590" s="9"/>
      <x:c r="R590" s="10" t="n">
        <x:v>3</x:v>
      </x:c>
      <x:c r="S590" s="10"/>
      <x:c r="T590" s="9"/>
      <x:c r="U590" s="9"/>
      <x:c r="V590" s="9"/>
      <x:c r="W590" s="9"/>
      <x:c r="X590" s="10"/>
      <x:c r="Y590" s="10"/>
      <x:c r="Z590" s="9"/>
      <x:c r="AA590" s="9"/>
      <x:c r="AB590" s="9"/>
      <x:c r="AC590" s="9" t="str">
        <x:v>left</x:v>
      </x:c>
      <x:c r="AD590" s="9" t="str">
        <x:v>green pen</x:v>
      </x:c>
      <x:c r="AE590" s="9" t="str">
        <x:v>blue block</x:v>
      </x:c>
      <x:c r="AF590" s="9" t="str">
        <x:v>None</x:v>
      </x:c>
      <x:c r="AG590" s="9"/>
      <x:c r="AH590" s="9"/>
      <x:c r="AI590" s="11"/>
      <x:c r="AJ590" s="9"/>
      <x:c r="AK590" s="9" t="str">
        <x:v>Eval_Relational_Placement (1).xlsm</x:v>
      </x:c>
      <x:c r="AL590" s="9" t="str">
        <x:v>GR00T vision-only Results</x:v>
      </x:c>
      <x:c r="AM590" s="9" t="n">
        <x:v>140</x:v>
      </x:c>
      <x:c r="AN590" s="9" t="n">
        <x:v>140</x:v>
      </x:c>
    </x:row>
    <x:row r="591">
      <x:c r="A591" s="9" t="str">
        <x:v>Failure</x:v>
      </x:c>
      <x:c r="B591" s="9" t="str">
        <x:v>Relational Placement</x:v>
      </x:c>
      <x:c r="C591" s="10" t="n">
        <x:v>139</x:v>
      </x:c>
      <x:c r="D591" s="9" t="str">
        <x:v>Place the blue block to the right of the green pen.</x:v>
      </x:c>
      <x:c r="E591" s="9" t="str">
        <x:v>green pen, blue block, pink marker</x:v>
      </x:c>
      <x:c r="F591" s="9" t="str">
        <x:v>NO MOVEMENT — requested relation is already satisfied at the start: blue block → 2–8 cm edge gap to the right of green pen; centroid direction within ±45°.</x:v>
      </x:c>
      <x:c r="G591" s="9" t="str">
        <x:v>moved to blue block 3 times and then returned home; didn't touch the block</x:v>
      </x:c>
      <x:c r="H591" s="9" t="str">
        <x:v>Goal already satisfied / no movement</x:v>
      </x:c>
      <x:c r="I591" s="9" t="str">
        <x:v>RP-AG03</x:v>
      </x:c>
      <x:c r="J591" s="9" t="str">
        <x:v>In-distribution satisfied-state action-gating diagnostic</x:v>
      </x:c>
      <x:c r="K591" s="9" t="n">
        <x:v>138</x:v>
      </x:c>
      <x:c r="L591" s="9" t="str">
        <x:v>390</x:v>
      </x:c>
      <x:c r="M591" s="9"/>
      <x:c r="N591" s="9"/>
      <x:c r="O591" s="9" t="str">
        <x:v>Preserve the exact scene; change only the reciprocal target/reference instruction.</x:v>
      </x:c>
      <x:c r="P591" s="9" t="str">
        <x:v>Uses the reciprocal explicitly trained prompt from episode 390. Both rows in this state pair are simultaneously satisfied.</x:v>
      </x:c>
      <x:c r="Q591" s="9"/>
      <x:c r="R591" s="10" t="n">
        <x:v>3</x:v>
      </x:c>
      <x:c r="S591" s="10"/>
      <x:c r="T591" s="9"/>
      <x:c r="U591" s="9"/>
      <x:c r="V591" s="9"/>
      <x:c r="W591" s="9"/>
      <x:c r="X591" s="10"/>
      <x:c r="Y591" s="10"/>
      <x:c r="Z591" s="9"/>
      <x:c r="AA591" s="9"/>
      <x:c r="AB591" s="9"/>
      <x:c r="AC591" s="9" t="str">
        <x:v>right</x:v>
      </x:c>
      <x:c r="AD591" s="9" t="str">
        <x:v>blue block</x:v>
      </x:c>
      <x:c r="AE591" s="9" t="str">
        <x:v>green pen</x:v>
      </x:c>
      <x:c r="AF591" s="9" t="str">
        <x:v>None</x:v>
      </x:c>
      <x:c r="AG591" s="9"/>
      <x:c r="AH591" s="9"/>
      <x:c r="AI591" s="11"/>
      <x:c r="AJ591" s="9"/>
      <x:c r="AK591" s="9" t="str">
        <x:v>Eval_Relational_Placement (1).xlsm</x:v>
      </x:c>
      <x:c r="AL591" s="9" t="str">
        <x:v>GR00T vision-only Results</x:v>
      </x:c>
      <x:c r="AM591" s="9" t="n">
        <x:v>141</x:v>
      </x:c>
      <x:c r="AN591" s="9" t="n">
        <x:v>141</x:v>
      </x:c>
    </x:row>
    <x:row r="592">
      <x:c r="A592" s="9" t="str">
        <x:v>Failure</x:v>
      </x:c>
      <x:c r="B592" s="9" t="str">
        <x:v>Relational Placement</x:v>
      </x:c>
      <x:c r="C592" s="10" t="n">
        <x:v>140</x:v>
      </x:c>
      <x:c r="D592" s="9" t="str">
        <x:v>Place the green pen to the left of the blue block.</x:v>
      </x:c>
      <x:c r="E592" s="9" t="str">
        <x:v>green pen, blue block, pink marker</x:v>
      </x:c>
      <x:c r="F592" s="9" t="str">
        <x:v>green pen → 2–8 cm edge gap to the left of blue block; centroid direction within ±45°.</x:v>
      </x:c>
      <x:c r="G592" s="9" t="str">
        <x:v>didn't move</x:v>
      </x:c>
      <x:c r="H592" s="9" t="str">
        <x:v>Violated-relation correction control</x:v>
      </x:c>
      <x:c r="I592" s="9" t="str">
        <x:v>RP-AG03</x:v>
      </x:c>
      <x:c r="J592" s="9" t="str">
        <x:v>Matched opposite-sector movement-required control</x:v>
      </x:c>
      <x:c r="K592" s="9"/>
      <x:c r="L592" s="9" t="str">
        <x:v>236</x:v>
      </x:c>
      <x:c r="M592" s="9"/>
      <x:c r="N592" s="9"/>
      <x:c r="O592" s="9" t="str">
        <x:v>Move only P1 to the listed opposite-sector violated 5 cm position; preserve P2, every distractor, and the camera/robot setup.</x:v>
      </x:c>
      <x:c r="P592" s="9" t="str">
        <x:v>Uses the ordinary explicitly trained prompt from episode 236. Its prompt-matched no-movement counterpart is in the same four-row family.</x:v>
      </x:c>
      <x:c r="Q592" s="9"/>
      <x:c r="R592" s="10" t="n">
        <x:v>3</x:v>
      </x:c>
      <x:c r="S592" s="10"/>
      <x:c r="T592" s="9"/>
      <x:c r="U592" s="9"/>
      <x:c r="V592" s="9"/>
      <x:c r="W592" s="9"/>
      <x:c r="X592" s="10"/>
      <x:c r="Y592" s="10"/>
      <x:c r="Z592" s="9"/>
      <x:c r="AA592" s="9"/>
      <x:c r="AB592" s="9"/>
      <x:c r="AC592" s="9" t="str">
        <x:v>left</x:v>
      </x:c>
      <x:c r="AD592" s="9" t="str">
        <x:v>green pen</x:v>
      </x:c>
      <x:c r="AE592" s="9" t="str">
        <x:v>blue block</x:v>
      </x:c>
      <x:c r="AF592" s="9" t="str">
        <x:v>None</x:v>
      </x:c>
      <x:c r="AG592" s="9"/>
      <x:c r="AH592" s="9"/>
      <x:c r="AI592" s="11"/>
      <x:c r="AJ592" s="9"/>
      <x:c r="AK592" s="9" t="str">
        <x:v>Eval_Relational_Placement (1).xlsm</x:v>
      </x:c>
      <x:c r="AL592" s="9" t="str">
        <x:v>GR00T vision-only Results</x:v>
      </x:c>
      <x:c r="AM592" s="9" t="n">
        <x:v>142</x:v>
      </x:c>
      <x:c r="AN592" s="9" t="n">
        <x:v>142</x:v>
      </x:c>
    </x:row>
    <x:row r="593">
      <x:c r="A593" s="9" t="str">
        <x:v>Success</x:v>
      </x:c>
      <x:c r="B593" s="9" t="str">
        <x:v>Relational Placement</x:v>
      </x:c>
      <x:c r="C593" s="10" t="n">
        <x:v>141</x:v>
      </x:c>
      <x:c r="D593" s="9" t="str">
        <x:v>Place the blue block to the right of the green pen.</x:v>
      </x:c>
      <x:c r="E593" s="9" t="str">
        <x:v>green pen, blue block, pink marker</x:v>
      </x:c>
      <x:c r="F593" s="9" t="str">
        <x:v>blue block → 2–8 cm edge gap to the right of green pen; centroid direction within ±45°.</x:v>
      </x:c>
      <x:c r="G593" s="9"/>
      <x:c r="H593" s="9" t="str">
        <x:v>Violated-relation correction control</x:v>
      </x:c>
      <x:c r="I593" s="9" t="str">
        <x:v>RP-AG03</x:v>
      </x:c>
      <x:c r="J593" s="9" t="str">
        <x:v>Matched opposite-sector movement-required control</x:v>
      </x:c>
      <x:c r="K593" s="9" t="n">
        <x:v>140</x:v>
      </x:c>
      <x:c r="L593" s="9" t="str">
        <x:v>390</x:v>
      </x:c>
      <x:c r="M593" s="9"/>
      <x:c r="N593" s="9"/>
      <x:c r="O593" s="9" t="str">
        <x:v>Preserve the exact scene; change only the reciprocal target/reference instruction.</x:v>
      </x:c>
      <x:c r="P593" s="9" t="str">
        <x:v>Uses the reciprocal explicitly trained prompt from episode 390. Both rows in this state pair are simultaneously violated.</x:v>
      </x:c>
      <x:c r="Q593" s="9"/>
      <x:c r="R593" s="10" t="n">
        <x:v>3</x:v>
      </x:c>
      <x:c r="S593" s="10"/>
      <x:c r="T593" s="9"/>
      <x:c r="U593" s="9"/>
      <x:c r="V593" s="9"/>
      <x:c r="W593" s="9"/>
      <x:c r="X593" s="10"/>
      <x:c r="Y593" s="10"/>
      <x:c r="Z593" s="9"/>
      <x:c r="AA593" s="9"/>
      <x:c r="AB593" s="9"/>
      <x:c r="AC593" s="9" t="str">
        <x:v>right</x:v>
      </x:c>
      <x:c r="AD593" s="9" t="str">
        <x:v>blue block</x:v>
      </x:c>
      <x:c r="AE593" s="9" t="str">
        <x:v>green pen</x:v>
      </x:c>
      <x:c r="AF593" s="9" t="str">
        <x:v>None</x:v>
      </x:c>
      <x:c r="AG593" s="9"/>
      <x:c r="AH593" s="9"/>
      <x:c r="AI593" s="11"/>
      <x:c r="AJ593" s="9"/>
      <x:c r="AK593" s="9" t="str">
        <x:v>Eval_Relational_Placement (1).xlsm</x:v>
      </x:c>
      <x:c r="AL593" s="9" t="str">
        <x:v>GR00T vision-only Results</x:v>
      </x:c>
      <x:c r="AM593" s="9" t="n">
        <x:v>143</x:v>
      </x:c>
      <x:c r="AN593" s="9" t="n">
        <x:v>143</x:v>
      </x:c>
    </x:row>
    <x:row r="594">
      <x:c r="A594" s="9" t="str">
        <x:v>Failure</x:v>
      </x:c>
      <x:c r="B594" s="9" t="str">
        <x:v>Relational Placement</x:v>
      </x:c>
      <x:c r="C594" s="10" t="n">
        <x:v>142</x:v>
      </x:c>
      <x:c r="D594" s="9" t="str">
        <x:v>Place the red block to the right of the pink marker.</x:v>
      </x:c>
      <x:c r="E594" s="9" t="str">
        <x:v>red block, pink marker, green pen, blue block</x:v>
      </x:c>
      <x:c r="F594" s="9" t="str">
        <x:v>red block → 2–8 cm edge gap to the right of pink marker; centroid direction within ±45°.</x:v>
      </x:c>
      <x:c r="G594" s="9" t="str">
        <x:v>didn't move</x:v>
      </x:c>
      <x:c r="H594" s="9" t="str">
        <x:v>Violated-relation correction control</x:v>
      </x:c>
      <x:c r="I594" s="9" t="str">
        <x:v>RP-AG04</x:v>
      </x:c>
      <x:c r="J594" s="9" t="str">
        <x:v>Matched opposite-sector movement-required control</x:v>
      </x:c>
      <x:c r="K594" s="9"/>
      <x:c r="L594" s="9" t="str">
        <x:v>289</x:v>
      </x:c>
      <x:c r="M594" s="9"/>
      <x:c r="N594" s="9"/>
      <x:c r="O594" s="9" t="str">
        <x:v>Build the listed opposite-sector violated scene and save the first frame.</x:v>
      </x:c>
      <x:c r="P594" s="9" t="str">
        <x:v>Uses the ordinary explicitly trained prompt from episode 289. Its prompt-matched no-movement counterpart is in the same four-row family.</x:v>
      </x:c>
      <x:c r="Q594" s="9"/>
      <x:c r="R594" s="10" t="n">
        <x:v>4</x:v>
      </x:c>
      <x:c r="S594" s="10"/>
      <x:c r="T594" s="9"/>
      <x:c r="U594" s="9"/>
      <x:c r="V594" s="9"/>
      <x:c r="W594" s="9"/>
      <x:c r="X594" s="10"/>
      <x:c r="Y594" s="10"/>
      <x:c r="Z594" s="9"/>
      <x:c r="AA594" s="9"/>
      <x:c r="AB594" s="9"/>
      <x:c r="AC594" s="9" t="str">
        <x:v>right</x:v>
      </x:c>
      <x:c r="AD594" s="9" t="str">
        <x:v>red block</x:v>
      </x:c>
      <x:c r="AE594" s="9" t="str">
        <x:v>pink marker</x:v>
      </x:c>
      <x:c r="AF594" s="9" t="str">
        <x:v>None</x:v>
      </x:c>
      <x:c r="AG594" s="9"/>
      <x:c r="AH594" s="9"/>
      <x:c r="AI594" s="11"/>
      <x:c r="AJ594" s="9"/>
      <x:c r="AK594" s="9" t="str">
        <x:v>Eval_Relational_Placement (1).xlsm</x:v>
      </x:c>
      <x:c r="AL594" s="9" t="str">
        <x:v>GR00T vision-only Results</x:v>
      </x:c>
      <x:c r="AM594" s="9" t="n">
        <x:v>144</x:v>
      </x:c>
      <x:c r="AN594" s="9" t="n">
        <x:v>144</x:v>
      </x:c>
    </x:row>
    <x:row r="595">
      <x:c r="A595" s="9" t="str">
        <x:v>Failure</x:v>
      </x:c>
      <x:c r="B595" s="9" t="str">
        <x:v>Relational Placement</x:v>
      </x:c>
      <x:c r="C595" s="10" t="n">
        <x:v>143</x:v>
      </x:c>
      <x:c r="D595" s="9" t="str">
        <x:v>Place the pink marker to the left of the red block.</x:v>
      </x:c>
      <x:c r="E595" s="9" t="str">
        <x:v>red block, pink marker, green pen, blue block</x:v>
      </x:c>
      <x:c r="F595" s="9" t="str">
        <x:v>pink marker → 2–8 cm edge gap to the left of red block; centroid direction within ±45°.</x:v>
      </x:c>
      <x:c r="G595" s="9"/>
      <x:c r="H595" s="9" t="str">
        <x:v>Violated-relation correction control</x:v>
      </x:c>
      <x:c r="I595" s="9" t="str">
        <x:v>RP-AG04</x:v>
      </x:c>
      <x:c r="J595" s="9" t="str">
        <x:v>Matched opposite-sector movement-required control</x:v>
      </x:c>
      <x:c r="K595" s="9" t="n">
        <x:v>142</x:v>
      </x:c>
      <x:c r="L595" s="9" t="str">
        <x:v>335</x:v>
      </x:c>
      <x:c r="M595" s="9"/>
      <x:c r="N595" s="9"/>
      <x:c r="O595" s="9" t="str">
        <x:v>Preserve the exact scene; change only the reciprocal target/reference instruction.</x:v>
      </x:c>
      <x:c r="P595" s="9" t="str">
        <x:v>Uses the reciprocal explicitly trained prompt from episode 335. Both rows in this state pair are simultaneously violated.</x:v>
      </x:c>
      <x:c r="Q595" s="9"/>
      <x:c r="R595" s="10" t="n">
        <x:v>4</x:v>
      </x:c>
      <x:c r="S595" s="10"/>
      <x:c r="T595" s="9"/>
      <x:c r="U595" s="9"/>
      <x:c r="V595" s="9"/>
      <x:c r="W595" s="9"/>
      <x:c r="X595" s="10"/>
      <x:c r="Y595" s="10"/>
      <x:c r="Z595" s="9"/>
      <x:c r="AA595" s="9"/>
      <x:c r="AB595" s="9"/>
      <x:c r="AC595" s="9" t="str">
        <x:v>left</x:v>
      </x:c>
      <x:c r="AD595" s="9" t="str">
        <x:v>pink marker</x:v>
      </x:c>
      <x:c r="AE595" s="9" t="str">
        <x:v>red block</x:v>
      </x:c>
      <x:c r="AF595" s="9" t="str">
        <x:v>None</x:v>
      </x:c>
      <x:c r="AG595" s="9"/>
      <x:c r="AH595" s="9"/>
      <x:c r="AI595" s="11"/>
      <x:c r="AJ595" s="9"/>
      <x:c r="AK595" s="9" t="str">
        <x:v>Eval_Relational_Placement (1).xlsm</x:v>
      </x:c>
      <x:c r="AL595" s="9" t="str">
        <x:v>GR00T vision-only Results</x:v>
      </x:c>
      <x:c r="AM595" s="9" t="n">
        <x:v>145</x:v>
      </x:c>
      <x:c r="AN595" s="9" t="n">
        <x:v>145</x:v>
      </x:c>
    </x:row>
    <x:row r="596">
      <x:c r="A596" s="9" t="str">
        <x:v>Success</x:v>
      </x:c>
      <x:c r="B596" s="9" t="str">
        <x:v>Relational Placement</x:v>
      </x:c>
      <x:c r="C596" s="10" t="n">
        <x:v>144</x:v>
      </x:c>
      <x:c r="D596" s="9" t="str">
        <x:v>Place the red block to the right of the pink marker.</x:v>
      </x:c>
      <x:c r="E596" s="9" t="str">
        <x:v>red block, pink marker, green pen, blue block</x:v>
      </x:c>
      <x:c r="F596" s="9" t="str">
        <x:v>NO MOVEMENT — requested relation is already satisfied at the start: red block → 2–8 cm edge gap to the right of pink marker; centroid direction within ±45°.</x:v>
      </x:c>
      <x:c r="G596" s="9"/>
      <x:c r="H596" s="9" t="str">
        <x:v>Goal already satisfied / no movement</x:v>
      </x:c>
      <x:c r="I596" s="9" t="str">
        <x:v>RP-AG04</x:v>
      </x:c>
      <x:c r="J596" s="9" t="str">
        <x:v>In-distribution satisfied-state action-gating diagnostic</x:v>
      </x:c>
      <x:c r="K596" s="9"/>
      <x:c r="L596" s="9" t="str">
        <x:v>289</x:v>
      </x:c>
      <x:c r="M596" s="9"/>
      <x:c r="N596" s="9"/>
      <x:c r="O596" s="9" t="str">
        <x:v>Move only P1 to the listed already-satisfied 5 cm position; preserve P2, every distractor, and the camera/robot setup.</x:v>
      </x:c>
      <x:c r="P596" s="9" t="str">
        <x:v>Uses the ordinary explicitly trained prompt from episode 289. Its prompt-matched movement-required counterpart is in the same four-row family.</x:v>
      </x:c>
      <x:c r="Q596" s="9"/>
      <x:c r="R596" s="10" t="n">
        <x:v>4</x:v>
      </x:c>
      <x:c r="S596" s="10"/>
      <x:c r="T596" s="9"/>
      <x:c r="U596" s="9"/>
      <x:c r="V596" s="9"/>
      <x:c r="W596" s="9"/>
      <x:c r="X596" s="10"/>
      <x:c r="Y596" s="10"/>
      <x:c r="Z596" s="9"/>
      <x:c r="AA596" s="9"/>
      <x:c r="AB596" s="9"/>
      <x:c r="AC596" s="9" t="str">
        <x:v>right</x:v>
      </x:c>
      <x:c r="AD596" s="9" t="str">
        <x:v>red block</x:v>
      </x:c>
      <x:c r="AE596" s="9" t="str">
        <x:v>pink marker</x:v>
      </x:c>
      <x:c r="AF596" s="9" t="str">
        <x:v>None</x:v>
      </x:c>
      <x:c r="AG596" s="9"/>
      <x:c r="AH596" s="9"/>
      <x:c r="AI596" s="11"/>
      <x:c r="AJ596" s="9"/>
      <x:c r="AK596" s="9" t="str">
        <x:v>Eval_Relational_Placement (1).xlsm</x:v>
      </x:c>
      <x:c r="AL596" s="9" t="str">
        <x:v>GR00T vision-only Results</x:v>
      </x:c>
      <x:c r="AM596" s="9" t="n">
        <x:v>146</x:v>
      </x:c>
      <x:c r="AN596" s="9" t="n">
        <x:v>146</x:v>
      </x:c>
    </x:row>
    <x:row r="597">
      <x:c r="A597" s="9" t="str">
        <x:v>Success</x:v>
      </x:c>
      <x:c r="B597" s="9" t="str">
        <x:v>Relational Placement</x:v>
      </x:c>
      <x:c r="C597" s="10" t="n">
        <x:v>145</x:v>
      </x:c>
      <x:c r="D597" s="9" t="str">
        <x:v>Place the pink marker to the left of the red block.</x:v>
      </x:c>
      <x:c r="E597" s="9" t="str">
        <x:v>red block, pink marker, green pen, blue block</x:v>
      </x:c>
      <x:c r="F597" s="9" t="str">
        <x:v>NO MOVEMENT — requested relation is already satisfied at the start: pink marker → 2–8 cm edge gap to the left of red block; centroid direction within ±45°.</x:v>
      </x:c>
      <x:c r="G597" s="9"/>
      <x:c r="H597" s="9" t="str">
        <x:v>Goal already satisfied / no movement</x:v>
      </x:c>
      <x:c r="I597" s="9" t="str">
        <x:v>RP-AG04</x:v>
      </x:c>
      <x:c r="J597" s="9" t="str">
        <x:v>In-distribution satisfied-state action-gating diagnostic</x:v>
      </x:c>
      <x:c r="K597" s="9" t="n">
        <x:v>144</x:v>
      </x:c>
      <x:c r="L597" s="9" t="str">
        <x:v>335</x:v>
      </x:c>
      <x:c r="M597" s="9"/>
      <x:c r="N597" s="9"/>
      <x:c r="O597" s="9" t="str">
        <x:v>Preserve the exact scene; change only the reciprocal target/reference instruction.</x:v>
      </x:c>
      <x:c r="P597" s="9" t="str">
        <x:v>Uses the reciprocal explicitly trained prompt from episode 335. Both rows in this state pair are simultaneously satisfied.</x:v>
      </x:c>
      <x:c r="Q597" s="9"/>
      <x:c r="R597" s="10" t="n">
        <x:v>4</x:v>
      </x:c>
      <x:c r="S597" s="10"/>
      <x:c r="T597" s="9"/>
      <x:c r="U597" s="9"/>
      <x:c r="V597" s="9"/>
      <x:c r="W597" s="9"/>
      <x:c r="X597" s="10"/>
      <x:c r="Y597" s="10"/>
      <x:c r="Z597" s="9"/>
      <x:c r="AA597" s="9"/>
      <x:c r="AB597" s="9"/>
      <x:c r="AC597" s="9" t="str">
        <x:v>left</x:v>
      </x:c>
      <x:c r="AD597" s="9" t="str">
        <x:v>pink marker</x:v>
      </x:c>
      <x:c r="AE597" s="9" t="str">
        <x:v>red block</x:v>
      </x:c>
      <x:c r="AF597" s="9" t="str">
        <x:v>None</x:v>
      </x:c>
      <x:c r="AG597" s="9"/>
      <x:c r="AH597" s="9"/>
      <x:c r="AI597" s="11"/>
      <x:c r="AJ597" s="9"/>
      <x:c r="AK597" s="9" t="str">
        <x:v>Eval_Relational_Placement (1).xlsm</x:v>
      </x:c>
      <x:c r="AL597" s="9" t="str">
        <x:v>GR00T vision-only Results</x:v>
      </x:c>
      <x:c r="AM597" s="9" t="n">
        <x:v>147</x:v>
      </x:c>
      <x:c r="AN597" s="9" t="n">
        <x:v>147</x:v>
      </x:c>
    </x:row>
    <x:row r="598">
      <x:c r="A598" s="9" t="str">
        <x:v>Success</x:v>
      </x:c>
      <x:c r="B598" s="9" t="str">
        <x:v>Relational Placement</x:v>
      </x:c>
      <x:c r="C598" s="10" t="n">
        <x:v>146</x:v>
      </x:c>
      <x:c r="D598" s="9" t="str">
        <x:v>Place the red block to the left of the blue block.</x:v>
      </x:c>
      <x:c r="E598" s="9" t="str">
        <x:v>red block, blue block, pink marker</x:v>
      </x:c>
      <x:c r="F598" s="9" t="str">
        <x:v>NO MOVEMENT — requested relation is already satisfied at the start: red block → 2–8 cm edge gap to the left of blue block; centroid direction within ±45°.</x:v>
      </x:c>
      <x:c r="G598" s="9"/>
      <x:c r="H598" s="9" t="str">
        <x:v>Goal already satisfied / no movement</x:v>
      </x:c>
      <x:c r="I598" s="9" t="str">
        <x:v>RP-AG05</x:v>
      </x:c>
      <x:c r="J598" s="9" t="str">
        <x:v>In-distribution satisfied-state action-gating diagnostic</x:v>
      </x:c>
      <x:c r="K598" s="9"/>
      <x:c r="L598" s="9" t="str">
        <x:v>282</x:v>
      </x:c>
      <x:c r="M598" s="9"/>
      <x:c r="N598" s="9"/>
      <x:c r="O598" s="9" t="str">
        <x:v>Build the listed already-satisfied scene and save the first frame.</x:v>
      </x:c>
      <x:c r="P598" s="9" t="str">
        <x:v>Uses the ordinary explicitly trained prompt from episode 282. Its prompt-matched movement-required counterpart is in the same four-row family.</x:v>
      </x:c>
      <x:c r="Q598" s="9"/>
      <x:c r="R598" s="10" t="n">
        <x:v>3</x:v>
      </x:c>
      <x:c r="S598" s="10"/>
      <x:c r="T598" s="9"/>
      <x:c r="U598" s="9"/>
      <x:c r="V598" s="9"/>
      <x:c r="W598" s="9"/>
      <x:c r="X598" s="10"/>
      <x:c r="Y598" s="10"/>
      <x:c r="Z598" s="9"/>
      <x:c r="AA598" s="9"/>
      <x:c r="AB598" s="9"/>
      <x:c r="AC598" s="9" t="str">
        <x:v>left</x:v>
      </x:c>
      <x:c r="AD598" s="9" t="str">
        <x:v>red block</x:v>
      </x:c>
      <x:c r="AE598" s="9" t="str">
        <x:v>blue block</x:v>
      </x:c>
      <x:c r="AF598" s="9" t="str">
        <x:v>None</x:v>
      </x:c>
      <x:c r="AG598" s="9"/>
      <x:c r="AH598" s="9"/>
      <x:c r="AI598" s="11"/>
      <x:c r="AJ598" s="9"/>
      <x:c r="AK598" s="9" t="str">
        <x:v>Eval_Relational_Placement (1).xlsm</x:v>
      </x:c>
      <x:c r="AL598" s="9" t="str">
        <x:v>GR00T vision-only Results</x:v>
      </x:c>
      <x:c r="AM598" s="9" t="n">
        <x:v>148</x:v>
      </x:c>
      <x:c r="AN598" s="9" t="n">
        <x:v>148</x:v>
      </x:c>
    </x:row>
    <x:row r="599">
      <x:c r="A599" s="9" t="str">
        <x:v>Success</x:v>
      </x:c>
      <x:c r="B599" s="9" t="str">
        <x:v>Relational Placement</x:v>
      </x:c>
      <x:c r="C599" s="10" t="n">
        <x:v>147</x:v>
      </x:c>
      <x:c r="D599" s="9" t="str">
        <x:v>Place the blue block to the right of the red block.</x:v>
      </x:c>
      <x:c r="E599" s="9" t="str">
        <x:v>red block, blue block, pink marker</x:v>
      </x:c>
      <x:c r="F599" s="9" t="str">
        <x:v>NO MOVEMENT — requested relation is already satisfied at the start: blue block → 2–8 cm edge gap to the right of red block; centroid direction within ±45°.</x:v>
      </x:c>
      <x:c r="G599" s="9"/>
      <x:c r="H599" s="9" t="str">
        <x:v>Goal already satisfied / no movement</x:v>
      </x:c>
      <x:c r="I599" s="9" t="str">
        <x:v>RP-AG05</x:v>
      </x:c>
      <x:c r="J599" s="9" t="str">
        <x:v>In-distribution satisfied-state action-gating diagnostic</x:v>
      </x:c>
      <x:c r="K599" s="9" t="n">
        <x:v>146</x:v>
      </x:c>
      <x:c r="L599" s="9" t="str">
        <x:v>395</x:v>
      </x:c>
      <x:c r="M599" s="9"/>
      <x:c r="N599" s="9"/>
      <x:c r="O599" s="9" t="str">
        <x:v>Preserve the exact scene; change only the reciprocal target/reference instruction.</x:v>
      </x:c>
      <x:c r="P599" s="9" t="str">
        <x:v>Uses the reciprocal explicitly trained prompt from episode 395. Both rows in this state pair are simultaneously satisfied.</x:v>
      </x:c>
      <x:c r="Q599" s="9"/>
      <x:c r="R599" s="10" t="n">
        <x:v>3</x:v>
      </x:c>
      <x:c r="S599" s="10"/>
      <x:c r="T599" s="9"/>
      <x:c r="U599" s="9"/>
      <x:c r="V599" s="9"/>
      <x:c r="W599" s="9"/>
      <x:c r="X599" s="10"/>
      <x:c r="Y599" s="10"/>
      <x:c r="Z599" s="9"/>
      <x:c r="AA599" s="9"/>
      <x:c r="AB599" s="9"/>
      <x:c r="AC599" s="9" t="str">
        <x:v>right</x:v>
      </x:c>
      <x:c r="AD599" s="9" t="str">
        <x:v>blue block</x:v>
      </x:c>
      <x:c r="AE599" s="9" t="str">
        <x:v>red block</x:v>
      </x:c>
      <x:c r="AF599" s="9" t="str">
        <x:v>None</x:v>
      </x:c>
      <x:c r="AG599" s="9"/>
      <x:c r="AH599" s="9"/>
      <x:c r="AI599" s="11"/>
      <x:c r="AJ599" s="9"/>
      <x:c r="AK599" s="9" t="str">
        <x:v>Eval_Relational_Placement (1).xlsm</x:v>
      </x:c>
      <x:c r="AL599" s="9" t="str">
        <x:v>GR00T vision-only Results</x:v>
      </x:c>
      <x:c r="AM599" s="9" t="n">
        <x:v>149</x:v>
      </x:c>
      <x:c r="AN599" s="9" t="n">
        <x:v>149</x:v>
      </x:c>
    </x:row>
    <x:row r="600">
      <x:c r="A600" s="9" t="str">
        <x:v>Failure</x:v>
      </x:c>
      <x:c r="B600" s="9" t="str">
        <x:v>Relational Placement</x:v>
      </x:c>
      <x:c r="C600" s="10" t="n">
        <x:v>148</x:v>
      </x:c>
      <x:c r="D600" s="9" t="str">
        <x:v>Place the red block to the left of the blue block.</x:v>
      </x:c>
      <x:c r="E600" s="9" t="str">
        <x:v>red block, blue block, pink marker</x:v>
      </x:c>
      <x:c r="F600" s="9" t="str">
        <x:v>red block → 2–8 cm edge gap to the left of blue block; centroid direction within ±45°.</x:v>
      </x:c>
      <x:c r="G600" s="9" t="str">
        <x:v>didn't move</x:v>
      </x:c>
      <x:c r="H600" s="9" t="str">
        <x:v>Violated-relation correction control</x:v>
      </x:c>
      <x:c r="I600" s="9" t="str">
        <x:v>RP-AG05</x:v>
      </x:c>
      <x:c r="J600" s="9" t="str">
        <x:v>Matched opposite-sector movement-required control</x:v>
      </x:c>
      <x:c r="K600" s="9"/>
      <x:c r="L600" s="9" t="str">
        <x:v>282</x:v>
      </x:c>
      <x:c r="M600" s="9"/>
      <x:c r="N600" s="9"/>
      <x:c r="O600" s="9" t="str">
        <x:v>Move only P1 to the listed opposite-sector violated 5 cm position; preserve P2, every distractor, and the camera/robot setup.</x:v>
      </x:c>
      <x:c r="P600" s="9" t="str">
        <x:v>Uses the ordinary explicitly trained prompt from episode 282. Its prompt-matched no-movement counterpart is in the same four-row family.</x:v>
      </x:c>
      <x:c r="Q600" s="9"/>
      <x:c r="R600" s="10" t="n">
        <x:v>3</x:v>
      </x:c>
      <x:c r="S600" s="10"/>
      <x:c r="T600" s="9"/>
      <x:c r="U600" s="9"/>
      <x:c r="V600" s="9"/>
      <x:c r="W600" s="9"/>
      <x:c r="X600" s="10"/>
      <x:c r="Y600" s="10"/>
      <x:c r="Z600" s="9"/>
      <x:c r="AA600" s="9"/>
      <x:c r="AB600" s="9"/>
      <x:c r="AC600" s="9" t="str">
        <x:v>left</x:v>
      </x:c>
      <x:c r="AD600" s="9" t="str">
        <x:v>red block</x:v>
      </x:c>
      <x:c r="AE600" s="9" t="str">
        <x:v>blue block</x:v>
      </x:c>
      <x:c r="AF600" s="9" t="str">
        <x:v>None</x:v>
      </x:c>
      <x:c r="AG600" s="9"/>
      <x:c r="AH600" s="9"/>
      <x:c r="AI600" s="11"/>
      <x:c r="AJ600" s="9"/>
      <x:c r="AK600" s="9" t="str">
        <x:v>Eval_Relational_Placement (1).xlsm</x:v>
      </x:c>
      <x:c r="AL600" s="9" t="str">
        <x:v>GR00T vision-only Results</x:v>
      </x:c>
      <x:c r="AM600" s="9" t="n">
        <x:v>150</x:v>
      </x:c>
      <x:c r="AN600" s="9" t="n">
        <x:v>150</x:v>
      </x:c>
    </x:row>
    <x:row r="601">
      <x:c r="A601" s="9" t="str">
        <x:v>Failure</x:v>
      </x:c>
      <x:c r="B601" s="9" t="str">
        <x:v>Relational Placement</x:v>
      </x:c>
      <x:c r="C601" s="10" t="n">
        <x:v>149</x:v>
      </x:c>
      <x:c r="D601" s="9" t="str">
        <x:v>Place the blue block to the right of the red block.</x:v>
      </x:c>
      <x:c r="E601" s="9" t="str">
        <x:v>red block, blue block, pink marker</x:v>
      </x:c>
      <x:c r="F601" s="9" t="str">
        <x:v>blue block → 2–8 cm edge gap to the right of red block; centroid direction within ±45°.</x:v>
      </x:c>
      <x:c r="G601" s="9" t="str">
        <x:v>moved to the blue block 7 times, but didn't grab it</x:v>
      </x:c>
      <x:c r="H601" s="9" t="str">
        <x:v>Violated-relation correction control</x:v>
      </x:c>
      <x:c r="I601" s="9" t="str">
        <x:v>RP-AG05</x:v>
      </x:c>
      <x:c r="J601" s="9" t="str">
        <x:v>Matched opposite-sector movement-required control</x:v>
      </x:c>
      <x:c r="K601" s="9" t="n">
        <x:v>148</x:v>
      </x:c>
      <x:c r="L601" s="9" t="str">
        <x:v>395</x:v>
      </x:c>
      <x:c r="M601" s="9"/>
      <x:c r="N601" s="9"/>
      <x:c r="O601" s="9" t="str">
        <x:v>Preserve the exact scene; change only the reciprocal target/reference instruction.</x:v>
      </x:c>
      <x:c r="P601" s="9" t="str">
        <x:v>Uses the reciprocal explicitly trained prompt from episode 395. Both rows in this state pair are simultaneously violated.</x:v>
      </x:c>
      <x:c r="Q601" s="9"/>
      <x:c r="R601" s="10" t="n">
        <x:v>3</x:v>
      </x:c>
      <x:c r="S601" s="10"/>
      <x:c r="T601" s="9"/>
      <x:c r="U601" s="9"/>
      <x:c r="V601" s="9"/>
      <x:c r="W601" s="9"/>
      <x:c r="X601" s="10"/>
      <x:c r="Y601" s="10"/>
      <x:c r="Z601" s="9"/>
      <x:c r="AA601" s="9"/>
      <x:c r="AB601" s="9"/>
      <x:c r="AC601" s="9" t="str">
        <x:v>right</x:v>
      </x:c>
      <x:c r="AD601" s="9" t="str">
        <x:v>blue block</x:v>
      </x:c>
      <x:c r="AE601" s="9" t="str">
        <x:v>red block</x:v>
      </x:c>
      <x:c r="AF601" s="9" t="str">
        <x:v>None</x:v>
      </x:c>
      <x:c r="AG601" s="9"/>
      <x:c r="AH601" s="9"/>
      <x:c r="AI601" s="11"/>
      <x:c r="AJ601" s="9"/>
      <x:c r="AK601" s="9" t="str">
        <x:v>Eval_Relational_Placement (1).xlsm</x:v>
      </x:c>
      <x:c r="AL601" s="9" t="str">
        <x:v>GR00T vision-only Results</x:v>
      </x:c>
      <x:c r="AM601" s="9" t="n">
        <x:v>151</x:v>
      </x:c>
      <x:c r="AN601" s="9" t="n">
        <x:v>151</x:v>
      </x:c>
    </x:row>
    <x:row r="602">
      <x:c r="A602" s="9" t="str">
        <x:v>Failure</x:v>
      </x:c>
      <x:c r="B602" s="9" t="str">
        <x:v>Relational Placement</x:v>
      </x:c>
      <x:c r="C602" s="10" t="n">
        <x:v>150</x:v>
      </x:c>
      <x:c r="D602" s="9" t="str">
        <x:v>Put the green pen on the table in front of the pink marker.</x:v>
      </x:c>
      <x:c r="E602" s="9" t="str">
        <x:v>green pen, pink marker, red block, blue block</x:v>
      </x:c>
      <x:c r="F602" s="9" t="str">
        <x:v>green pen → 2–8 cm edge gap in front of pink marker; centroid direction within ±45°.</x:v>
      </x:c>
      <x:c r="G602" s="9" t="str">
        <x:v>moved to the green pen 1 time but didn't grab it</x:v>
      </x:c>
      <x:c r="H602" s="9" t="str">
        <x:v>Violated-relation correction control</x:v>
      </x:c>
      <x:c r="I602" s="9" t="str">
        <x:v>RP-AG06</x:v>
      </x:c>
      <x:c r="J602" s="9" t="str">
        <x:v>Matched opposite-sector movement-required control</x:v>
      </x:c>
      <x:c r="K602" s="9"/>
      <x:c r="L602" s="9" t="str">
        <x:v>206</x:v>
      </x:c>
      <x:c r="M602" s="9"/>
      <x:c r="N602" s="9"/>
      <x:c r="O602" s="9" t="str">
        <x:v>Build the listed opposite-sector violated scene and save the first frame.</x:v>
      </x:c>
      <x:c r="P602" s="9" t="str">
        <x:v>Uses the ordinary explicitly trained prompt from episode 206. Its prompt-matched no-movement counterpart is in the same four-row family.</x:v>
      </x:c>
      <x:c r="Q602" s="9"/>
      <x:c r="R602" s="10" t="n">
        <x:v>4</x:v>
      </x:c>
      <x:c r="S602" s="10"/>
      <x:c r="T602" s="9"/>
      <x:c r="U602" s="9"/>
      <x:c r="V602" s="9"/>
      <x:c r="W602" s="9"/>
      <x:c r="X602" s="10"/>
      <x:c r="Y602" s="10"/>
      <x:c r="Z602" s="9"/>
      <x:c r="AA602" s="9"/>
      <x:c r="AB602" s="9"/>
      <x:c r="AC602" s="9" t="str">
        <x:v>front</x:v>
      </x:c>
      <x:c r="AD602" s="9" t="str">
        <x:v>green pen</x:v>
      </x:c>
      <x:c r="AE602" s="9" t="str">
        <x:v>pink marker</x:v>
      </x:c>
      <x:c r="AF602" s="9" t="str">
        <x:v>None</x:v>
      </x:c>
      <x:c r="AG602" s="9"/>
      <x:c r="AH602" s="9"/>
      <x:c r="AI602" s="11"/>
      <x:c r="AJ602" s="9"/>
      <x:c r="AK602" s="9" t="str">
        <x:v>Eval_Relational_Placement (1).xlsm</x:v>
      </x:c>
      <x:c r="AL602" s="9" t="str">
        <x:v>GR00T vision-only Results</x:v>
      </x:c>
      <x:c r="AM602" s="9" t="n">
        <x:v>152</x:v>
      </x:c>
      <x:c r="AN602" s="9" t="n">
        <x:v>152</x:v>
      </x:c>
    </x:row>
    <x:row r="603">
      <x:c r="A603" s="9" t="str">
        <x:v>Failure</x:v>
      </x:c>
      <x:c r="B603" s="9" t="str">
        <x:v>Relational Placement</x:v>
      </x:c>
      <x:c r="C603" s="10" t="n">
        <x:v>151</x:v>
      </x:c>
      <x:c r="D603" s="9" t="str">
        <x:v>Move the pink marker to the back of the green pen.</x:v>
      </x:c>
      <x:c r="E603" s="9" t="str">
        <x:v>green pen, pink marker, red block, blue block</x:v>
      </x:c>
      <x:c r="F603" s="9" t="str">
        <x:v>pink marker → 2–8 cm edge gap behind green pen; centroid direction within ±45°.</x:v>
      </x:c>
      <x:c r="G603" s="9" t="str">
        <x:v>didn't move</x:v>
      </x:c>
      <x:c r="H603" s="9" t="str">
        <x:v>Violated-relation correction control</x:v>
      </x:c>
      <x:c r="I603" s="9" t="str">
        <x:v>RP-AG06</x:v>
      </x:c>
      <x:c r="J603" s="9" t="str">
        <x:v>Matched opposite-sector movement-required control</x:v>
      </x:c>
      <x:c r="K603" s="9" t="n">
        <x:v>150</x:v>
      </x:c>
      <x:c r="L603" s="9" t="str">
        <x:v>319</x:v>
      </x:c>
      <x:c r="M603" s="9"/>
      <x:c r="N603" s="9"/>
      <x:c r="O603" s="9" t="str">
        <x:v>Preserve the exact scene; change only the reciprocal target/reference instruction.</x:v>
      </x:c>
      <x:c r="P603" s="9" t="str">
        <x:v>Uses the reciprocal explicitly trained prompt from episode 319. Both rows in this state pair are simultaneously violated.</x:v>
      </x:c>
      <x:c r="Q603" s="9"/>
      <x:c r="R603" s="10" t="n">
        <x:v>4</x:v>
      </x:c>
      <x:c r="S603" s="10"/>
      <x:c r="T603" s="9"/>
      <x:c r="U603" s="9"/>
      <x:c r="V603" s="9"/>
      <x:c r="W603" s="9"/>
      <x:c r="X603" s="10"/>
      <x:c r="Y603" s="10"/>
      <x:c r="Z603" s="9"/>
      <x:c r="AA603" s="9"/>
      <x:c r="AB603" s="9"/>
      <x:c r="AC603" s="9" t="str">
        <x:v>behind</x:v>
      </x:c>
      <x:c r="AD603" s="9" t="str">
        <x:v>pink marker</x:v>
      </x:c>
      <x:c r="AE603" s="9" t="str">
        <x:v>green pen</x:v>
      </x:c>
      <x:c r="AF603" s="9" t="str">
        <x:v>None</x:v>
      </x:c>
      <x:c r="AG603" s="9"/>
      <x:c r="AH603" s="9"/>
      <x:c r="AI603" s="11"/>
      <x:c r="AJ603" s="9"/>
      <x:c r="AK603" s="9" t="str">
        <x:v>Eval_Relational_Placement (1).xlsm</x:v>
      </x:c>
      <x:c r="AL603" s="9" t="str">
        <x:v>GR00T vision-only Results</x:v>
      </x:c>
      <x:c r="AM603" s="9" t="n">
        <x:v>153</x:v>
      </x:c>
      <x:c r="AN603" s="9" t="n">
        <x:v>153</x:v>
      </x:c>
    </x:row>
    <x:row r="604">
      <x:c r="A604" s="9" t="str">
        <x:v>Success</x:v>
      </x:c>
      <x:c r="B604" s="9" t="str">
        <x:v>Relational Placement</x:v>
      </x:c>
      <x:c r="C604" s="10" t="n">
        <x:v>152</x:v>
      </x:c>
      <x:c r="D604" s="9" t="str">
        <x:v>Put the green pen on the table in front of the pink marker.</x:v>
      </x:c>
      <x:c r="E604" s="9" t="str">
        <x:v>green pen, pink marker, red block, blue block</x:v>
      </x:c>
      <x:c r="F604" s="9" t="str">
        <x:v>NO MOVEMENT — requested relation is already satisfied at the start: green pen → 2–8 cm edge gap in front of pink marker; centroid direction within ±45°.</x:v>
      </x:c>
      <x:c r="G604" s="9"/>
      <x:c r="H604" s="9" t="str">
        <x:v>Goal already satisfied / no movement</x:v>
      </x:c>
      <x:c r="I604" s="9" t="str">
        <x:v>RP-AG06</x:v>
      </x:c>
      <x:c r="J604" s="9" t="str">
        <x:v>In-distribution satisfied-state action-gating diagnostic</x:v>
      </x:c>
      <x:c r="K604" s="9"/>
      <x:c r="L604" s="9" t="str">
        <x:v>206</x:v>
      </x:c>
      <x:c r="M604" s="9"/>
      <x:c r="N604" s="9"/>
      <x:c r="O604" s="9" t="str">
        <x:v>Move only P1 to the listed already-satisfied 5 cm position; preserve P2, every distractor, and the camera/robot setup.</x:v>
      </x:c>
      <x:c r="P604" s="9" t="str">
        <x:v>Uses the ordinary explicitly trained prompt from episode 206. Its prompt-matched movement-required counterpart is in the same four-row family.</x:v>
      </x:c>
      <x:c r="Q604" s="9"/>
      <x:c r="R604" s="10" t="n">
        <x:v>4</x:v>
      </x:c>
      <x:c r="S604" s="10"/>
      <x:c r="T604" s="9"/>
      <x:c r="U604" s="9"/>
      <x:c r="V604" s="9"/>
      <x:c r="W604" s="9"/>
      <x:c r="X604" s="10"/>
      <x:c r="Y604" s="10"/>
      <x:c r="Z604" s="9"/>
      <x:c r="AA604" s="9"/>
      <x:c r="AB604" s="9"/>
      <x:c r="AC604" s="9" t="str">
        <x:v>front</x:v>
      </x:c>
      <x:c r="AD604" s="9" t="str">
        <x:v>green pen</x:v>
      </x:c>
      <x:c r="AE604" s="9" t="str">
        <x:v>pink marker</x:v>
      </x:c>
      <x:c r="AF604" s="9" t="str">
        <x:v>None</x:v>
      </x:c>
      <x:c r="AG604" s="9"/>
      <x:c r="AH604" s="9"/>
      <x:c r="AI604" s="11"/>
      <x:c r="AJ604" s="9"/>
      <x:c r="AK604" s="9" t="str">
        <x:v>Eval_Relational_Placement (1).xlsm</x:v>
      </x:c>
      <x:c r="AL604" s="9" t="str">
        <x:v>GR00T vision-only Results</x:v>
      </x:c>
      <x:c r="AM604" s="9" t="n">
        <x:v>154</x:v>
      </x:c>
      <x:c r="AN604" s="9" t="n">
        <x:v>154</x:v>
      </x:c>
    </x:row>
    <x:row r="605">
      <x:c r="A605" s="9" t="str">
        <x:v>Success</x:v>
      </x:c>
      <x:c r="B605" s="9" t="str">
        <x:v>Relational Placement</x:v>
      </x:c>
      <x:c r="C605" s="10" t="n">
        <x:v>153</x:v>
      </x:c>
      <x:c r="D605" s="9" t="str">
        <x:v>Move the pink marker to the back of the green pen.</x:v>
      </x:c>
      <x:c r="E605" s="9" t="str">
        <x:v>green pen, pink marker, red block, blue block</x:v>
      </x:c>
      <x:c r="F605" s="9" t="str">
        <x:v>NO MOVEMENT — requested relation is already satisfied at the start: pink marker → 2–8 cm edge gap behind green pen; centroid direction within ±45°.</x:v>
      </x:c>
      <x:c r="G605" s="9"/>
      <x:c r="H605" s="9" t="str">
        <x:v>Goal already satisfied / no movement</x:v>
      </x:c>
      <x:c r="I605" s="9" t="str">
        <x:v>RP-AG06</x:v>
      </x:c>
      <x:c r="J605" s="9" t="str">
        <x:v>In-distribution satisfied-state action-gating diagnostic</x:v>
      </x:c>
      <x:c r="K605" s="9" t="n">
        <x:v>152</x:v>
      </x:c>
      <x:c r="L605" s="9" t="str">
        <x:v>319</x:v>
      </x:c>
      <x:c r="M605" s="9"/>
      <x:c r="N605" s="9"/>
      <x:c r="O605" s="9" t="str">
        <x:v>Preserve the exact scene; change only the reciprocal target/reference instruction.</x:v>
      </x:c>
      <x:c r="P605" s="9" t="str">
        <x:v>Uses the reciprocal explicitly trained prompt from episode 319. Both rows in this state pair are simultaneously satisfied.</x:v>
      </x:c>
      <x:c r="Q605" s="9"/>
      <x:c r="R605" s="10" t="n">
        <x:v>4</x:v>
      </x:c>
      <x:c r="S605" s="10"/>
      <x:c r="T605" s="9"/>
      <x:c r="U605" s="9"/>
      <x:c r="V605" s="9"/>
      <x:c r="W605" s="9"/>
      <x:c r="X605" s="10"/>
      <x:c r="Y605" s="10"/>
      <x:c r="Z605" s="9"/>
      <x:c r="AA605" s="9"/>
      <x:c r="AB605" s="9"/>
      <x:c r="AC605" s="9" t="str">
        <x:v>behind</x:v>
      </x:c>
      <x:c r="AD605" s="9" t="str">
        <x:v>pink marker</x:v>
      </x:c>
      <x:c r="AE605" s="9" t="str">
        <x:v>green pen</x:v>
      </x:c>
      <x:c r="AF605" s="9" t="str">
        <x:v>None</x:v>
      </x:c>
      <x:c r="AG605" s="9"/>
      <x:c r="AH605" s="9"/>
      <x:c r="AI605" s="11"/>
      <x:c r="AJ605" s="9"/>
      <x:c r="AK605" s="9" t="str">
        <x:v>Eval_Relational_Placement (1).xlsm</x:v>
      </x:c>
      <x:c r="AL605" s="9" t="str">
        <x:v>GR00T vision-only Results</x:v>
      </x:c>
      <x:c r="AM605" s="9" t="n">
        <x:v>155</x:v>
      </x:c>
      <x:c r="AN605" s="9" t="n">
        <x:v>155</x:v>
      </x:c>
    </x:row>
    <x:row r="606">
      <x:c r="A606" s="9" t="str">
        <x:v>Success</x:v>
      </x:c>
      <x:c r="B606" s="9" t="str">
        <x:v>Relational Placement</x:v>
      </x:c>
      <x:c r="C606" s="10" t="n">
        <x:v>154</x:v>
      </x:c>
      <x:c r="D606" s="9" t="str">
        <x:v>Put the green pen on the table behind the blue block.</x:v>
      </x:c>
      <x:c r="E606" s="9" t="str">
        <x:v>green pen, blue block, pink marker</x:v>
      </x:c>
      <x:c r="F606" s="9" t="str">
        <x:v>NO MOVEMENT — requested relation is already satisfied at the start: green pen → 2–8 cm edge gap behind blue block; centroid direction within ±45°.</x:v>
      </x:c>
      <x:c r="G606" s="9"/>
      <x:c r="H606" s="9" t="str">
        <x:v>Goal already satisfied / no movement</x:v>
      </x:c>
      <x:c r="I606" s="9" t="str">
        <x:v>RP-AG07</x:v>
      </x:c>
      <x:c r="J606" s="9" t="str">
        <x:v>In-distribution satisfied-state action-gating diagnostic</x:v>
      </x:c>
      <x:c r="K606" s="9"/>
      <x:c r="L606" s="9" t="str">
        <x:v>224</x:v>
      </x:c>
      <x:c r="M606" s="9"/>
      <x:c r="N606" s="9"/>
      <x:c r="O606" s="9" t="str">
        <x:v>Build the listed already-satisfied scene and save the first frame.</x:v>
      </x:c>
      <x:c r="P606" s="9" t="str">
        <x:v>Uses the ordinary explicitly trained prompt from episode 224. Its prompt-matched movement-required counterpart is in the same four-row family.</x:v>
      </x:c>
      <x:c r="Q606" s="9"/>
      <x:c r="R606" s="10" t="n">
        <x:v>3</x:v>
      </x:c>
      <x:c r="S606" s="10"/>
      <x:c r="T606" s="9"/>
      <x:c r="U606" s="9"/>
      <x:c r="V606" s="9"/>
      <x:c r="W606" s="9"/>
      <x:c r="X606" s="10"/>
      <x:c r="Y606" s="10"/>
      <x:c r="Z606" s="9"/>
      <x:c r="AA606" s="9"/>
      <x:c r="AB606" s="9"/>
      <x:c r="AC606" s="9" t="str">
        <x:v>behind</x:v>
      </x:c>
      <x:c r="AD606" s="9" t="str">
        <x:v>green pen</x:v>
      </x:c>
      <x:c r="AE606" s="9" t="str">
        <x:v>blue block</x:v>
      </x:c>
      <x:c r="AF606" s="9" t="str">
        <x:v>None</x:v>
      </x:c>
      <x:c r="AG606" s="9"/>
      <x:c r="AH606" s="9"/>
      <x:c r="AI606" s="11"/>
      <x:c r="AJ606" s="9"/>
      <x:c r="AK606" s="9" t="str">
        <x:v>Eval_Relational_Placement (1).xlsm</x:v>
      </x:c>
      <x:c r="AL606" s="9" t="str">
        <x:v>GR00T vision-only Results</x:v>
      </x:c>
      <x:c r="AM606" s="9" t="n">
        <x:v>156</x:v>
      </x:c>
      <x:c r="AN606" s="9" t="n">
        <x:v>156</x:v>
      </x:c>
    </x:row>
    <x:row r="607">
      <x:c r="A607" s="9" t="str">
        <x:v>Success</x:v>
      </x:c>
      <x:c r="B607" s="9" t="str">
        <x:v>Relational Placement</x:v>
      </x:c>
      <x:c r="C607" s="10" t="n">
        <x:v>155</x:v>
      </x:c>
      <x:c r="D607" s="9" t="str">
        <x:v>Move the blue block to the front of the green pen.</x:v>
      </x:c>
      <x:c r="E607" s="9" t="str">
        <x:v>green pen, blue block, pink marker</x:v>
      </x:c>
      <x:c r="F607" s="9" t="str">
        <x:v>NO MOVEMENT — requested relation is already satisfied at the start: blue block → 2–8 cm edge gap in front of green pen; centroid direction within ±45°.</x:v>
      </x:c>
      <x:c r="G607" s="9"/>
      <x:c r="H607" s="9" t="str">
        <x:v>Goal already satisfied / no movement</x:v>
      </x:c>
      <x:c r="I607" s="9" t="str">
        <x:v>RP-AG07</x:v>
      </x:c>
      <x:c r="J607" s="9" t="str">
        <x:v>In-distribution satisfied-state action-gating diagnostic</x:v>
      </x:c>
      <x:c r="K607" s="9" t="n">
        <x:v>154</x:v>
      </x:c>
      <x:c r="L607" s="9" t="str">
        <x:v>353</x:v>
      </x:c>
      <x:c r="M607" s="9"/>
      <x:c r="N607" s="9"/>
      <x:c r="O607" s="9" t="str">
        <x:v>Preserve the exact scene; change only the reciprocal target/reference instruction.</x:v>
      </x:c>
      <x:c r="P607" s="9" t="str">
        <x:v>Uses the reciprocal explicitly trained prompt from episode 353. Both rows in this state pair are simultaneously satisfied.</x:v>
      </x:c>
      <x:c r="Q607" s="9"/>
      <x:c r="R607" s="10" t="n">
        <x:v>3</x:v>
      </x:c>
      <x:c r="S607" s="10"/>
      <x:c r="T607" s="9"/>
      <x:c r="U607" s="9"/>
      <x:c r="V607" s="9"/>
      <x:c r="W607" s="9"/>
      <x:c r="X607" s="10"/>
      <x:c r="Y607" s="10"/>
      <x:c r="Z607" s="9"/>
      <x:c r="AA607" s="9"/>
      <x:c r="AB607" s="9"/>
      <x:c r="AC607" s="9" t="str">
        <x:v>front</x:v>
      </x:c>
      <x:c r="AD607" s="9" t="str">
        <x:v>blue block</x:v>
      </x:c>
      <x:c r="AE607" s="9" t="str">
        <x:v>green pen</x:v>
      </x:c>
      <x:c r="AF607" s="9" t="str">
        <x:v>None</x:v>
      </x:c>
      <x:c r="AG607" s="9"/>
      <x:c r="AH607" s="9"/>
      <x:c r="AI607" s="11"/>
      <x:c r="AJ607" s="9"/>
      <x:c r="AK607" s="9" t="str">
        <x:v>Eval_Relational_Placement (1).xlsm</x:v>
      </x:c>
      <x:c r="AL607" s="9" t="str">
        <x:v>GR00T vision-only Results</x:v>
      </x:c>
      <x:c r="AM607" s="9" t="n">
        <x:v>157</x:v>
      </x:c>
      <x:c r="AN607" s="9" t="n">
        <x:v>157</x:v>
      </x:c>
    </x:row>
    <x:row r="608">
      <x:c r="A608" s="9" t="str">
        <x:v>Failure</x:v>
      </x:c>
      <x:c r="B608" s="9" t="str">
        <x:v>Relational Placement</x:v>
      </x:c>
      <x:c r="C608" s="10" t="n">
        <x:v>156</x:v>
      </x:c>
      <x:c r="D608" s="9" t="str">
        <x:v>Put the green pen on the table behind the blue block.</x:v>
      </x:c>
      <x:c r="E608" s="9" t="str">
        <x:v>green pen, blue block, pink marker</x:v>
      </x:c>
      <x:c r="F608" s="9" t="str">
        <x:v>green pen → 2–8 cm edge gap behind blue block; centroid direction within ±45°.</x:v>
      </x:c>
      <x:c r="G608" s="9" t="str">
        <x:v>didn't move</x:v>
      </x:c>
      <x:c r="H608" s="9" t="str">
        <x:v>Violated-relation correction control</x:v>
      </x:c>
      <x:c r="I608" s="9" t="str">
        <x:v>RP-AG07</x:v>
      </x:c>
      <x:c r="J608" s="9" t="str">
        <x:v>Matched opposite-sector movement-required control</x:v>
      </x:c>
      <x:c r="K608" s="9"/>
      <x:c r="L608" s="9" t="str">
        <x:v>224</x:v>
      </x:c>
      <x:c r="M608" s="9"/>
      <x:c r="N608" s="9"/>
      <x:c r="O608" s="9" t="str">
        <x:v>Move only P1 to the listed opposite-sector violated 5 cm position; preserve P2, every distractor, and the camera/robot setup.</x:v>
      </x:c>
      <x:c r="P608" s="9" t="str">
        <x:v>Uses the ordinary explicitly trained prompt from episode 224. Its prompt-matched no-movement counterpart is in the same four-row family.</x:v>
      </x:c>
      <x:c r="Q608" s="9"/>
      <x:c r="R608" s="10" t="n">
        <x:v>3</x:v>
      </x:c>
      <x:c r="S608" s="10"/>
      <x:c r="T608" s="9"/>
      <x:c r="U608" s="9"/>
      <x:c r="V608" s="9"/>
      <x:c r="W608" s="9"/>
      <x:c r="X608" s="10"/>
      <x:c r="Y608" s="10"/>
      <x:c r="Z608" s="9"/>
      <x:c r="AA608" s="9"/>
      <x:c r="AB608" s="9"/>
      <x:c r="AC608" s="9" t="str">
        <x:v>behind</x:v>
      </x:c>
      <x:c r="AD608" s="9" t="str">
        <x:v>green pen</x:v>
      </x:c>
      <x:c r="AE608" s="9" t="str">
        <x:v>blue block</x:v>
      </x:c>
      <x:c r="AF608" s="9" t="str">
        <x:v>None</x:v>
      </x:c>
      <x:c r="AG608" s="9"/>
      <x:c r="AH608" s="9"/>
      <x:c r="AI608" s="11"/>
      <x:c r="AJ608" s="9"/>
      <x:c r="AK608" s="9" t="str">
        <x:v>Eval_Relational_Placement (1).xlsm</x:v>
      </x:c>
      <x:c r="AL608" s="9" t="str">
        <x:v>GR00T vision-only Results</x:v>
      </x:c>
      <x:c r="AM608" s="9" t="n">
        <x:v>158</x:v>
      </x:c>
      <x:c r="AN608" s="9" t="n">
        <x:v>158</x:v>
      </x:c>
    </x:row>
    <x:row r="609">
      <x:c r="A609" s="9" t="str">
        <x:v>Failure</x:v>
      </x:c>
      <x:c r="B609" s="9" t="str">
        <x:v>Relational Placement</x:v>
      </x:c>
      <x:c r="C609" s="10" t="n">
        <x:v>157</x:v>
      </x:c>
      <x:c r="D609" s="9" t="str">
        <x:v>Move the blue block to the front of the green pen.</x:v>
      </x:c>
      <x:c r="E609" s="9" t="str">
        <x:v>green pen, blue block, pink marker</x:v>
      </x:c>
      <x:c r="F609" s="9" t="str">
        <x:v>blue block → 2–8 cm edge gap in front of green pen; centroid direction within ±45°.</x:v>
      </x:c>
      <x:c r="G609" s="9" t="str">
        <x:v>didn't move</x:v>
      </x:c>
      <x:c r="H609" s="9" t="str">
        <x:v>Violated-relation correction control</x:v>
      </x:c>
      <x:c r="I609" s="9" t="str">
        <x:v>RP-AG07</x:v>
      </x:c>
      <x:c r="J609" s="9" t="str">
        <x:v>Matched opposite-sector movement-required control</x:v>
      </x:c>
      <x:c r="K609" s="9" t="n">
        <x:v>156</x:v>
      </x:c>
      <x:c r="L609" s="9" t="str">
        <x:v>353</x:v>
      </x:c>
      <x:c r="M609" s="9"/>
      <x:c r="N609" s="9"/>
      <x:c r="O609" s="9" t="str">
        <x:v>Preserve the exact scene; change only the reciprocal target/reference instruction.</x:v>
      </x:c>
      <x:c r="P609" s="9" t="str">
        <x:v>Uses the reciprocal explicitly trained prompt from episode 353. Both rows in this state pair are simultaneously violated.</x:v>
      </x:c>
      <x:c r="Q609" s="9"/>
      <x:c r="R609" s="10" t="n">
        <x:v>3</x:v>
      </x:c>
      <x:c r="S609" s="10"/>
      <x:c r="T609" s="9"/>
      <x:c r="U609" s="9"/>
      <x:c r="V609" s="9"/>
      <x:c r="W609" s="9"/>
      <x:c r="X609" s="10"/>
      <x:c r="Y609" s="10"/>
      <x:c r="Z609" s="9"/>
      <x:c r="AA609" s="9"/>
      <x:c r="AB609" s="9"/>
      <x:c r="AC609" s="9" t="str">
        <x:v>front</x:v>
      </x:c>
      <x:c r="AD609" s="9" t="str">
        <x:v>blue block</x:v>
      </x:c>
      <x:c r="AE609" s="9" t="str">
        <x:v>green pen</x:v>
      </x:c>
      <x:c r="AF609" s="9" t="str">
        <x:v>None</x:v>
      </x:c>
      <x:c r="AG609" s="9"/>
      <x:c r="AH609" s="9"/>
      <x:c r="AI609" s="11"/>
      <x:c r="AJ609" s="9"/>
      <x:c r="AK609" s="9" t="str">
        <x:v>Eval_Relational_Placement (1).xlsm</x:v>
      </x:c>
      <x:c r="AL609" s="9" t="str">
        <x:v>GR00T vision-only Results</x:v>
      </x:c>
      <x:c r="AM609" s="9" t="n">
        <x:v>159</x:v>
      </x:c>
      <x:c r="AN609" s="9" t="n">
        <x:v>159</x:v>
      </x:c>
    </x:row>
    <x:row r="610">
      <x:c r="A610" s="9" t="str">
        <x:v>Failure</x:v>
      </x:c>
      <x:c r="B610" s="9" t="str">
        <x:v>Relational Placement</x:v>
      </x:c>
      <x:c r="C610" s="10" t="n">
        <x:v>158</x:v>
      </x:c>
      <x:c r="D610" s="9" t="str">
        <x:v>Move the red block to the front of the pink marker.</x:v>
      </x:c>
      <x:c r="E610" s="9" t="str">
        <x:v>red block, pink marker, green pen, blue block</x:v>
      </x:c>
      <x:c r="F610" s="9" t="str">
        <x:v>red block → 2–8 cm edge gap in front of pink marker; centroid direction within ±45°.</x:v>
      </x:c>
      <x:c r="G610" s="9" t="str">
        <x:v>didn't move</x:v>
      </x:c>
      <x:c r="H610" s="9" t="str">
        <x:v>Violated-relation correction control</x:v>
      </x:c>
      <x:c r="I610" s="9" t="str">
        <x:v>RP-AG08</x:v>
      </x:c>
      <x:c r="J610" s="9" t="str">
        <x:v>Matched opposite-sector movement-required control</x:v>
      </x:c>
      <x:c r="K610" s="9"/>
      <x:c r="L610" s="9" t="str">
        <x:v>252</x:v>
      </x:c>
      <x:c r="M610" s="9"/>
      <x:c r="N610" s="9"/>
      <x:c r="O610" s="9" t="str">
        <x:v>Build the listed opposite-sector violated scene and save the first frame.</x:v>
      </x:c>
      <x:c r="P610" s="9" t="str">
        <x:v>Uses the ordinary explicitly trained prompt from episode 252. Its prompt-matched no-movement counterpart is in the same four-row family.</x:v>
      </x:c>
      <x:c r="Q610" s="9"/>
      <x:c r="R610" s="10" t="n">
        <x:v>4</x:v>
      </x:c>
      <x:c r="S610" s="10"/>
      <x:c r="T610" s="9"/>
      <x:c r="U610" s="9"/>
      <x:c r="V610" s="9"/>
      <x:c r="W610" s="9"/>
      <x:c r="X610" s="10"/>
      <x:c r="Y610" s="10"/>
      <x:c r="Z610" s="9"/>
      <x:c r="AA610" s="9"/>
      <x:c r="AB610" s="9"/>
      <x:c r="AC610" s="9" t="str">
        <x:v>front</x:v>
      </x:c>
      <x:c r="AD610" s="9" t="str">
        <x:v>red block</x:v>
      </x:c>
      <x:c r="AE610" s="9" t="str">
        <x:v>pink marker</x:v>
      </x:c>
      <x:c r="AF610" s="9" t="str">
        <x:v>None</x:v>
      </x:c>
      <x:c r="AG610" s="9"/>
      <x:c r="AH610" s="9"/>
      <x:c r="AI610" s="11"/>
      <x:c r="AJ610" s="9"/>
      <x:c r="AK610" s="9" t="str">
        <x:v>Eval_Relational_Placement (1).xlsm</x:v>
      </x:c>
      <x:c r="AL610" s="9" t="str">
        <x:v>GR00T vision-only Results</x:v>
      </x:c>
      <x:c r="AM610" s="9" t="n">
        <x:v>160</x:v>
      </x:c>
      <x:c r="AN610" s="9" t="n">
        <x:v>160</x:v>
      </x:c>
    </x:row>
    <x:row r="611">
      <x:c r="A611" s="9" t="str">
        <x:v>Failure</x:v>
      </x:c>
      <x:c r="B611" s="9" t="str">
        <x:v>Relational Placement</x:v>
      </x:c>
      <x:c r="C611" s="10" t="n">
        <x:v>159</x:v>
      </x:c>
      <x:c r="D611" s="9" t="str">
        <x:v>Put the pink marker on the table behind the red block.</x:v>
      </x:c>
      <x:c r="E611" s="9" t="str">
        <x:v>red block, pink marker, green pen, blue block</x:v>
      </x:c>
      <x:c r="F611" s="9" t="str">
        <x:v>pink marker → 2–8 cm edge gap behind red block; centroid direction within ±45°.</x:v>
      </x:c>
      <x:c r="G611" s="9" t="str">
        <x:v>didn't move</x:v>
      </x:c>
      <x:c r="H611" s="9" t="str">
        <x:v>Violated-relation correction control</x:v>
      </x:c>
      <x:c r="I611" s="9" t="str">
        <x:v>RP-AG08</x:v>
      </x:c>
      <x:c r="J611" s="9" t="str">
        <x:v>Matched opposite-sector movement-required control</x:v>
      </x:c>
      <x:c r="K611" s="9" t="n">
        <x:v>158</x:v>
      </x:c>
      <x:c r="L611" s="9" t="str">
        <x:v>323</x:v>
      </x:c>
      <x:c r="M611" s="9"/>
      <x:c r="N611" s="9"/>
      <x:c r="O611" s="9" t="str">
        <x:v>Preserve the exact scene; change only the reciprocal target/reference instruction.</x:v>
      </x:c>
      <x:c r="P611" s="9" t="str">
        <x:v>Uses the reciprocal explicitly trained prompt from episode 323. Both rows in this state pair are simultaneously violated.</x:v>
      </x:c>
      <x:c r="Q611" s="9"/>
      <x:c r="R611" s="10" t="n">
        <x:v>4</x:v>
      </x:c>
      <x:c r="S611" s="10"/>
      <x:c r="T611" s="9"/>
      <x:c r="U611" s="9"/>
      <x:c r="V611" s="9"/>
      <x:c r="W611" s="9"/>
      <x:c r="X611" s="10"/>
      <x:c r="Y611" s="10"/>
      <x:c r="Z611" s="9"/>
      <x:c r="AA611" s="9"/>
      <x:c r="AB611" s="9"/>
      <x:c r="AC611" s="9" t="str">
        <x:v>behind</x:v>
      </x:c>
      <x:c r="AD611" s="9" t="str">
        <x:v>pink marker</x:v>
      </x:c>
      <x:c r="AE611" s="9" t="str">
        <x:v>red block</x:v>
      </x:c>
      <x:c r="AF611" s="9" t="str">
        <x:v>None</x:v>
      </x:c>
      <x:c r="AG611" s="9"/>
      <x:c r="AH611" s="9"/>
      <x:c r="AI611" s="11"/>
      <x:c r="AJ611" s="9"/>
      <x:c r="AK611" s="9" t="str">
        <x:v>Eval_Relational_Placement (1).xlsm</x:v>
      </x:c>
      <x:c r="AL611" s="9" t="str">
        <x:v>GR00T vision-only Results</x:v>
      </x:c>
      <x:c r="AM611" s="9" t="n">
        <x:v>161</x:v>
      </x:c>
      <x:c r="AN611" s="9" t="n">
        <x:v>161</x:v>
      </x:c>
    </x:row>
    <x:row r="612">
      <x:c r="A612" s="9" t="str">
        <x:v>Success</x:v>
      </x:c>
      <x:c r="B612" s="9" t="str">
        <x:v>Relational Placement</x:v>
      </x:c>
      <x:c r="C612" s="10" t="n">
        <x:v>160</x:v>
      </x:c>
      <x:c r="D612" s="9" t="str">
        <x:v>Move the red block to the front of the pink marker.</x:v>
      </x:c>
      <x:c r="E612" s="9" t="str">
        <x:v>red block, pink marker, green pen, blue block</x:v>
      </x:c>
      <x:c r="F612" s="9" t="str">
        <x:v>NO MOVEMENT — requested relation is already satisfied at the start: red block → 2–8 cm edge gap in front of pink marker; centroid direction within ±45°.</x:v>
      </x:c>
      <x:c r="G612" s="9"/>
      <x:c r="H612" s="9" t="str">
        <x:v>Goal already satisfied / no movement</x:v>
      </x:c>
      <x:c r="I612" s="9" t="str">
        <x:v>RP-AG08</x:v>
      </x:c>
      <x:c r="J612" s="9" t="str">
        <x:v>In-distribution satisfied-state action-gating diagnostic</x:v>
      </x:c>
      <x:c r="K612" s="9"/>
      <x:c r="L612" s="9" t="str">
        <x:v>252</x:v>
      </x:c>
      <x:c r="M612" s="9"/>
      <x:c r="N612" s="9"/>
      <x:c r="O612" s="9" t="str">
        <x:v>Move only P1 to the listed already-satisfied 5 cm position; preserve P2, every distractor, and the camera/robot setup.</x:v>
      </x:c>
      <x:c r="P612" s="9" t="str">
        <x:v>Uses the ordinary explicitly trained prompt from episode 252. Its prompt-matched movement-required counterpart is in the same four-row family.</x:v>
      </x:c>
      <x:c r="Q612" s="9"/>
      <x:c r="R612" s="10" t="n">
        <x:v>4</x:v>
      </x:c>
      <x:c r="S612" s="10"/>
      <x:c r="T612" s="9"/>
      <x:c r="U612" s="9"/>
      <x:c r="V612" s="9"/>
      <x:c r="W612" s="9"/>
      <x:c r="X612" s="10"/>
      <x:c r="Y612" s="10"/>
      <x:c r="Z612" s="9"/>
      <x:c r="AA612" s="9"/>
      <x:c r="AB612" s="9"/>
      <x:c r="AC612" s="9" t="str">
        <x:v>front</x:v>
      </x:c>
      <x:c r="AD612" s="9" t="str">
        <x:v>red block</x:v>
      </x:c>
      <x:c r="AE612" s="9" t="str">
        <x:v>pink marker</x:v>
      </x:c>
      <x:c r="AF612" s="9" t="str">
        <x:v>None</x:v>
      </x:c>
      <x:c r="AG612" s="9"/>
      <x:c r="AH612" s="9"/>
      <x:c r="AI612" s="11"/>
      <x:c r="AJ612" s="9"/>
      <x:c r="AK612" s="9" t="str">
        <x:v>Eval_Relational_Placement (1).xlsm</x:v>
      </x:c>
      <x:c r="AL612" s="9" t="str">
        <x:v>GR00T vision-only Results</x:v>
      </x:c>
      <x:c r="AM612" s="9" t="n">
        <x:v>162</x:v>
      </x:c>
      <x:c r="AN612" s="9" t="n">
        <x:v>162</x:v>
      </x:c>
    </x:row>
    <x:row r="613">
      <x:c r="A613" s="9" t="str">
        <x:v>Success</x:v>
      </x:c>
      <x:c r="B613" s="9" t="str">
        <x:v>Relational Placement</x:v>
      </x:c>
      <x:c r="C613" s="10" t="n">
        <x:v>161</x:v>
      </x:c>
      <x:c r="D613" s="9" t="str">
        <x:v>Put the pink marker on the table behind the red block.</x:v>
      </x:c>
      <x:c r="E613" s="9" t="str">
        <x:v>red block, pink marker, green pen, blue block</x:v>
      </x:c>
      <x:c r="F613" s="9" t="str">
        <x:v>NO MOVEMENT — requested relation is already satisfied at the start: pink marker → 2–8 cm edge gap behind red block; centroid direction within ±45°.</x:v>
      </x:c>
      <x:c r="G613" s="9"/>
      <x:c r="H613" s="9" t="str">
        <x:v>Goal already satisfied / no movement</x:v>
      </x:c>
      <x:c r="I613" s="9" t="str">
        <x:v>RP-AG08</x:v>
      </x:c>
      <x:c r="J613" s="9" t="str">
        <x:v>In-distribution satisfied-state action-gating diagnostic</x:v>
      </x:c>
      <x:c r="K613" s="9" t="n">
        <x:v>160</x:v>
      </x:c>
      <x:c r="L613" s="9" t="str">
        <x:v>323</x:v>
      </x:c>
      <x:c r="M613" s="9"/>
      <x:c r="N613" s="9"/>
      <x:c r="O613" s="9" t="str">
        <x:v>Preserve the exact scene; change only the reciprocal target/reference instruction.</x:v>
      </x:c>
      <x:c r="P613" s="9" t="str">
        <x:v>Uses the reciprocal explicitly trained prompt from episode 323. Both rows in this state pair are simultaneously satisfied.</x:v>
      </x:c>
      <x:c r="Q613" s="9"/>
      <x:c r="R613" s="10" t="n">
        <x:v>4</x:v>
      </x:c>
      <x:c r="S613" s="10"/>
      <x:c r="T613" s="9"/>
      <x:c r="U613" s="9"/>
      <x:c r="V613" s="9"/>
      <x:c r="W613" s="9"/>
      <x:c r="X613" s="10"/>
      <x:c r="Y613" s="10"/>
      <x:c r="Z613" s="9"/>
      <x:c r="AA613" s="9"/>
      <x:c r="AB613" s="9"/>
      <x:c r="AC613" s="9" t="str">
        <x:v>behind</x:v>
      </x:c>
      <x:c r="AD613" s="9" t="str">
        <x:v>pink marker</x:v>
      </x:c>
      <x:c r="AE613" s="9" t="str">
        <x:v>red block</x:v>
      </x:c>
      <x:c r="AF613" s="9" t="str">
        <x:v>None</x:v>
      </x:c>
      <x:c r="AG613" s="9"/>
      <x:c r="AH613" s="9"/>
      <x:c r="AI613" s="11"/>
      <x:c r="AJ613" s="9"/>
      <x:c r="AK613" s="9" t="str">
        <x:v>Eval_Relational_Placement (1).xlsm</x:v>
      </x:c>
      <x:c r="AL613" s="9" t="str">
        <x:v>GR00T vision-only Results</x:v>
      </x:c>
      <x:c r="AM613" s="9" t="n">
        <x:v>163</x:v>
      </x:c>
      <x:c r="AN613" s="9" t="n">
        <x:v>163</x:v>
      </x:c>
    </x:row>
    <x:row r="614">
      <x:c r="A614" s="9" t="str">
        <x:v>Success</x:v>
      </x:c>
      <x:c r="B614" s="9" t="str">
        <x:v>Relational Placement</x:v>
      </x:c>
      <x:c r="C614" s="10" t="n">
        <x:v>162</x:v>
      </x:c>
      <x:c r="D614" s="9" t="str">
        <x:v>Put the red block on the table behind the blue block.</x:v>
      </x:c>
      <x:c r="E614" s="9" t="str">
        <x:v>red block, blue block, pink marker</x:v>
      </x:c>
      <x:c r="F614" s="9" t="str">
        <x:v>NO MOVEMENT — requested relation is already satisfied at the start: red block → 2–8 cm edge gap behind blue block; centroid direction within ±45°.</x:v>
      </x:c>
      <x:c r="G614" s="9"/>
      <x:c r="H614" s="9" t="str">
        <x:v>Goal already satisfied / no movement</x:v>
      </x:c>
      <x:c r="I614" s="9" t="str">
        <x:v>RP-AG09</x:v>
      </x:c>
      <x:c r="J614" s="9" t="str">
        <x:v>In-distribution satisfied-state action-gating diagnostic</x:v>
      </x:c>
      <x:c r="K614" s="9"/>
      <x:c r="L614" s="9" t="str">
        <x:v>270</x:v>
      </x:c>
      <x:c r="M614" s="9"/>
      <x:c r="N614" s="9"/>
      <x:c r="O614" s="9" t="str">
        <x:v>Build the listed already-satisfied scene and save the first frame.</x:v>
      </x:c>
      <x:c r="P614" s="9" t="str">
        <x:v>Uses the ordinary explicitly trained prompt from episode 270. Its prompt-matched movement-required counterpart is in the same four-row family.</x:v>
      </x:c>
      <x:c r="Q614" s="9"/>
      <x:c r="R614" s="10" t="n">
        <x:v>3</x:v>
      </x:c>
      <x:c r="S614" s="10"/>
      <x:c r="T614" s="9"/>
      <x:c r="U614" s="9"/>
      <x:c r="V614" s="9"/>
      <x:c r="W614" s="9"/>
      <x:c r="X614" s="10"/>
      <x:c r="Y614" s="10"/>
      <x:c r="Z614" s="9"/>
      <x:c r="AA614" s="9"/>
      <x:c r="AB614" s="9"/>
      <x:c r="AC614" s="9" t="str">
        <x:v>behind</x:v>
      </x:c>
      <x:c r="AD614" s="9" t="str">
        <x:v>red block</x:v>
      </x:c>
      <x:c r="AE614" s="9" t="str">
        <x:v>blue block</x:v>
      </x:c>
      <x:c r="AF614" s="9" t="str">
        <x:v>None</x:v>
      </x:c>
      <x:c r="AG614" s="9"/>
      <x:c r="AH614" s="9"/>
      <x:c r="AI614" s="11"/>
      <x:c r="AJ614" s="9"/>
      <x:c r="AK614" s="9" t="str">
        <x:v>Eval_Relational_Placement (1).xlsm</x:v>
      </x:c>
      <x:c r="AL614" s="9" t="str">
        <x:v>GR00T vision-only Results</x:v>
      </x:c>
      <x:c r="AM614" s="9" t="n">
        <x:v>164</x:v>
      </x:c>
      <x:c r="AN614" s="9" t="n">
        <x:v>164</x:v>
      </x:c>
    </x:row>
    <x:row r="615">
      <x:c r="A615" s="9" t="str">
        <x:v>Success</x:v>
      </x:c>
      <x:c r="B615" s="9" t="str">
        <x:v>Relational Placement</x:v>
      </x:c>
      <x:c r="C615" s="10" t="n">
        <x:v>163</x:v>
      </x:c>
      <x:c r="D615" s="9" t="str">
        <x:v>Move the blue block to the front of the red block.</x:v>
      </x:c>
      <x:c r="E615" s="9" t="str">
        <x:v>red block, blue block, pink marker</x:v>
      </x:c>
      <x:c r="F615" s="9" t="str">
        <x:v>NO MOVEMENT — requested relation is already satisfied at the start: blue block → 2–8 cm edge gap in front of red block; centroid direction within ±45°.</x:v>
      </x:c>
      <x:c r="G615" s="9"/>
      <x:c r="H615" s="9" t="str">
        <x:v>Goal already satisfied / no movement</x:v>
      </x:c>
      <x:c r="I615" s="9" t="str">
        <x:v>RP-AG09</x:v>
      </x:c>
      <x:c r="J615" s="9" t="str">
        <x:v>In-distribution satisfied-state action-gating diagnostic</x:v>
      </x:c>
      <x:c r="K615" s="9" t="n">
        <x:v>162</x:v>
      </x:c>
      <x:c r="L615" s="9" t="str">
        <x:v>357</x:v>
      </x:c>
      <x:c r="M615" s="9"/>
      <x:c r="N615" s="9"/>
      <x:c r="O615" s="9" t="str">
        <x:v>Preserve the exact scene; change only the reciprocal target/reference instruction.</x:v>
      </x:c>
      <x:c r="P615" s="9" t="str">
        <x:v>Uses the reciprocal explicitly trained prompt from episode 357. Both rows in this state pair are simultaneously satisfied.</x:v>
      </x:c>
      <x:c r="Q615" s="9"/>
      <x:c r="R615" s="10" t="n">
        <x:v>3</x:v>
      </x:c>
      <x:c r="S615" s="10"/>
      <x:c r="T615" s="9"/>
      <x:c r="U615" s="9"/>
      <x:c r="V615" s="9"/>
      <x:c r="W615" s="9"/>
      <x:c r="X615" s="10"/>
      <x:c r="Y615" s="10"/>
      <x:c r="Z615" s="9"/>
      <x:c r="AA615" s="9"/>
      <x:c r="AB615" s="9"/>
      <x:c r="AC615" s="9" t="str">
        <x:v>front</x:v>
      </x:c>
      <x:c r="AD615" s="9" t="str">
        <x:v>blue block</x:v>
      </x:c>
      <x:c r="AE615" s="9" t="str">
        <x:v>red block</x:v>
      </x:c>
      <x:c r="AF615" s="9" t="str">
        <x:v>None</x:v>
      </x:c>
      <x:c r="AG615" s="9"/>
      <x:c r="AH615" s="9"/>
      <x:c r="AI615" s="11"/>
      <x:c r="AJ615" s="9"/>
      <x:c r="AK615" s="9" t="str">
        <x:v>Eval_Relational_Placement (1).xlsm</x:v>
      </x:c>
      <x:c r="AL615" s="9" t="str">
        <x:v>GR00T vision-only Results</x:v>
      </x:c>
      <x:c r="AM615" s="9" t="n">
        <x:v>165</x:v>
      </x:c>
      <x:c r="AN615" s="9" t="n">
        <x:v>165</x:v>
      </x:c>
    </x:row>
    <x:row r="616">
      <x:c r="A616" s="9" t="str">
        <x:v>Failure</x:v>
      </x:c>
      <x:c r="B616" s="9" t="str">
        <x:v>Relational Placement</x:v>
      </x:c>
      <x:c r="C616" s="10" t="n">
        <x:v>164</x:v>
      </x:c>
      <x:c r="D616" s="9" t="str">
        <x:v>Put the red block on the table behind the blue block.</x:v>
      </x:c>
      <x:c r="E616" s="9" t="str">
        <x:v>red block, blue block, pink marker</x:v>
      </x:c>
      <x:c r="F616" s="9" t="str">
        <x:v>red block → 2–8 cm edge gap behind blue block; centroid direction within ±45°.</x:v>
      </x:c>
      <x:c r="G616" s="9" t="str">
        <x:v>didn't move</x:v>
      </x:c>
      <x:c r="H616" s="9" t="str">
        <x:v>Violated-relation correction control</x:v>
      </x:c>
      <x:c r="I616" s="9" t="str">
        <x:v>RP-AG09</x:v>
      </x:c>
      <x:c r="J616" s="9" t="str">
        <x:v>Matched opposite-sector movement-required control</x:v>
      </x:c>
      <x:c r="K616" s="9"/>
      <x:c r="L616" s="9" t="str">
        <x:v>270</x:v>
      </x:c>
      <x:c r="M616" s="9"/>
      <x:c r="N616" s="9"/>
      <x:c r="O616" s="9" t="str">
        <x:v>Move only P1 to the listed opposite-sector violated 5 cm position; preserve P2, every distractor, and the camera/robot setup.</x:v>
      </x:c>
      <x:c r="P616" s="9" t="str">
        <x:v>Uses the ordinary explicitly trained prompt from episode 270. Its prompt-matched no-movement counterpart is in the same four-row family.</x:v>
      </x:c>
      <x:c r="Q616" s="9"/>
      <x:c r="R616" s="10" t="n">
        <x:v>3</x:v>
      </x:c>
      <x:c r="S616" s="10"/>
      <x:c r="T616" s="9"/>
      <x:c r="U616" s="9"/>
      <x:c r="V616" s="9"/>
      <x:c r="W616" s="9"/>
      <x:c r="X616" s="10"/>
      <x:c r="Y616" s="10"/>
      <x:c r="Z616" s="9"/>
      <x:c r="AA616" s="9"/>
      <x:c r="AB616" s="9"/>
      <x:c r="AC616" s="9" t="str">
        <x:v>behind</x:v>
      </x:c>
      <x:c r="AD616" s="9" t="str">
        <x:v>red block</x:v>
      </x:c>
      <x:c r="AE616" s="9" t="str">
        <x:v>blue block</x:v>
      </x:c>
      <x:c r="AF616" s="9" t="str">
        <x:v>None</x:v>
      </x:c>
      <x:c r="AG616" s="9"/>
      <x:c r="AH616" s="9"/>
      <x:c r="AI616" s="11"/>
      <x:c r="AJ616" s="9"/>
      <x:c r="AK616" s="9" t="str">
        <x:v>Eval_Relational_Placement (1).xlsm</x:v>
      </x:c>
      <x:c r="AL616" s="9" t="str">
        <x:v>GR00T vision-only Results</x:v>
      </x:c>
      <x:c r="AM616" s="9" t="n">
        <x:v>166</x:v>
      </x:c>
      <x:c r="AN616" s="9" t="n">
        <x:v>166</x:v>
      </x:c>
    </x:row>
    <x:row r="617">
      <x:c r="A617" s="9" t="str">
        <x:v>Failure</x:v>
      </x:c>
      <x:c r="B617" s="9" t="str">
        <x:v>Relational Placement</x:v>
      </x:c>
      <x:c r="C617" s="10" t="n">
        <x:v>165</x:v>
      </x:c>
      <x:c r="D617" s="9" t="str">
        <x:v>Move the blue block to the front of the red block.</x:v>
      </x:c>
      <x:c r="E617" s="9" t="str">
        <x:v>red block, blue block, pink marker</x:v>
      </x:c>
      <x:c r="F617" s="9" t="str">
        <x:v>blue block → 2–8 cm edge gap in front of red block; centroid direction within ±45°.</x:v>
      </x:c>
      <x:c r="G617" s="9" t="str">
        <x:v>didn't move</x:v>
      </x:c>
      <x:c r="H617" s="9" t="str">
        <x:v>Violated-relation correction control</x:v>
      </x:c>
      <x:c r="I617" s="9" t="str">
        <x:v>RP-AG09</x:v>
      </x:c>
      <x:c r="J617" s="9" t="str">
        <x:v>Matched opposite-sector movement-required control</x:v>
      </x:c>
      <x:c r="K617" s="9" t="n">
        <x:v>164</x:v>
      </x:c>
      <x:c r="L617" s="9" t="str">
        <x:v>357</x:v>
      </x:c>
      <x:c r="M617" s="9"/>
      <x:c r="N617" s="9"/>
      <x:c r="O617" s="9" t="str">
        <x:v>Preserve the exact scene; change only the reciprocal target/reference instruction.</x:v>
      </x:c>
      <x:c r="P617" s="9" t="str">
        <x:v>Uses the reciprocal explicitly trained prompt from episode 357. Both rows in this state pair are simultaneously violated.</x:v>
      </x:c>
      <x:c r="Q617" s="9"/>
      <x:c r="R617" s="10" t="n">
        <x:v>3</x:v>
      </x:c>
      <x:c r="S617" s="10"/>
      <x:c r="T617" s="9"/>
      <x:c r="U617" s="9"/>
      <x:c r="V617" s="9"/>
      <x:c r="W617" s="9"/>
      <x:c r="X617" s="10"/>
      <x:c r="Y617" s="10"/>
      <x:c r="Z617" s="9"/>
      <x:c r="AA617" s="9"/>
      <x:c r="AB617" s="9"/>
      <x:c r="AC617" s="9" t="str">
        <x:v>front</x:v>
      </x:c>
      <x:c r="AD617" s="9" t="str">
        <x:v>blue block</x:v>
      </x:c>
      <x:c r="AE617" s="9" t="str">
        <x:v>red block</x:v>
      </x:c>
      <x:c r="AF617" s="9" t="str">
        <x:v>None</x:v>
      </x:c>
      <x:c r="AG617" s="9"/>
      <x:c r="AH617" s="9"/>
      <x:c r="AI617" s="11"/>
      <x:c r="AJ617" s="9"/>
      <x:c r="AK617" s="9" t="str">
        <x:v>Eval_Relational_Placement (1).xlsm</x:v>
      </x:c>
      <x:c r="AL617" s="9" t="str">
        <x:v>GR00T vision-only Results</x:v>
      </x:c>
      <x:c r="AM617" s="9" t="n">
        <x:v>167</x:v>
      </x:c>
      <x:c r="AN617" s="9" t="n">
        <x:v>167</x:v>
      </x:c>
    </x:row>
    <x:row r="618">
      <x:c r="A618" s="9" t="str">
        <x:v>Failure</x:v>
      </x:c>
      <x:c r="B618" s="9" t="str">
        <x:v>Relational Placement</x:v>
      </x:c>
      <x:c r="C618" s="10" t="n">
        <x:v>166</x:v>
      </x:c>
      <x:c r="D618" s="9" t="str">
        <x:v>Place the red block in front of the blue block.</x:v>
      </x:c>
      <x:c r="E618" s="9" t="str">
        <x:v>red block, blue block, green pen, pink marker</x:v>
      </x:c>
      <x:c r="F618" s="9" t="str">
        <x:v>red block → 2–8 cm edge gap in front of blue block; centroid direction within ±45°.</x:v>
      </x:c>
      <x:c r="G618" s="9" t="str">
        <x:v>went to the red block 3 times but didn't pick it up</x:v>
      </x:c>
      <x:c r="H618" s="9" t="str">
        <x:v>Violated-relation correction control</x:v>
      </x:c>
      <x:c r="I618" s="9" t="str">
        <x:v>RP-AG10</x:v>
      </x:c>
      <x:c r="J618" s="9" t="str">
        <x:v>Matched opposite-sector movement-required control</x:v>
      </x:c>
      <x:c r="K618" s="9"/>
      <x:c r="L618" s="9" t="str">
        <x:v>256</x:v>
      </x:c>
      <x:c r="M618" s="9"/>
      <x:c r="N618" s="9"/>
      <x:c r="O618" s="9" t="str">
        <x:v>Build the listed opposite-sector violated scene and save the first frame.</x:v>
      </x:c>
      <x:c r="P618" s="9" t="str">
        <x:v>Uses the ordinary explicitly trained prompt from episode 256. Its prompt-matched no-movement counterpart is in the same four-row family.</x:v>
      </x:c>
      <x:c r="Q618" s="9"/>
      <x:c r="R618" s="10" t="n">
        <x:v>4</x:v>
      </x:c>
      <x:c r="S618" s="10"/>
      <x:c r="T618" s="9"/>
      <x:c r="U618" s="9"/>
      <x:c r="V618" s="9"/>
      <x:c r="W618" s="9"/>
      <x:c r="X618" s="10"/>
      <x:c r="Y618" s="10"/>
      <x:c r="Z618" s="9"/>
      <x:c r="AA618" s="9"/>
      <x:c r="AB618" s="9"/>
      <x:c r="AC618" s="9" t="str">
        <x:v>front</x:v>
      </x:c>
      <x:c r="AD618" s="9" t="str">
        <x:v>red block</x:v>
      </x:c>
      <x:c r="AE618" s="9" t="str">
        <x:v>blue block</x:v>
      </x:c>
      <x:c r="AF618" s="9" t="str">
        <x:v>None</x:v>
      </x:c>
      <x:c r="AG618" s="9"/>
      <x:c r="AH618" s="9"/>
      <x:c r="AI618" s="11"/>
      <x:c r="AJ618" s="9"/>
      <x:c r="AK618" s="9" t="str">
        <x:v>Eval_Relational_Placement (1).xlsm</x:v>
      </x:c>
      <x:c r="AL618" s="9" t="str">
        <x:v>GR00T vision-only Results</x:v>
      </x:c>
      <x:c r="AM618" s="9" t="n">
        <x:v>168</x:v>
      </x:c>
      <x:c r="AN618" s="9" t="n">
        <x:v>168</x:v>
      </x:c>
    </x:row>
    <x:row r="619">
      <x:c r="A619" s="9" t="str">
        <x:v>Failure</x:v>
      </x:c>
      <x:c r="B619" s="9" t="str">
        <x:v>Relational Placement</x:v>
      </x:c>
      <x:c r="C619" s="10" t="n">
        <x:v>167</x:v>
      </x:c>
      <x:c r="D619" s="9" t="str">
        <x:v>Put the blue block on the table behind the red block.</x:v>
      </x:c>
      <x:c r="E619" s="9" t="str">
        <x:v>red block, blue block, green pen, pink marker</x:v>
      </x:c>
      <x:c r="F619" s="9" t="str">
        <x:v>blue block → 2–8 cm edge gap behind red block; centroid direction within ±45°.</x:v>
      </x:c>
      <x:c r="G619" s="9"/>
      <x:c r="H619" s="9" t="str">
        <x:v>Violated-relation correction control</x:v>
      </x:c>
      <x:c r="I619" s="9" t="str">
        <x:v>RP-AG10</x:v>
      </x:c>
      <x:c r="J619" s="9" t="str">
        <x:v>Matched opposite-sector movement-required control</x:v>
      </x:c>
      <x:c r="K619" s="9" t="n">
        <x:v>166</x:v>
      </x:c>
      <x:c r="L619" s="9" t="str">
        <x:v>369</x:v>
      </x:c>
      <x:c r="M619" s="9"/>
      <x:c r="N619" s="9"/>
      <x:c r="O619" s="9" t="str">
        <x:v>Preserve the exact scene; change only the reciprocal target/reference instruction.</x:v>
      </x:c>
      <x:c r="P619" s="9" t="str">
        <x:v>Uses the reciprocal explicitly trained prompt from episode 369. Both rows in this state pair are simultaneously violated.</x:v>
      </x:c>
      <x:c r="Q619" s="9"/>
      <x:c r="R619" s="10" t="n">
        <x:v>4</x:v>
      </x:c>
      <x:c r="S619" s="10"/>
      <x:c r="T619" s="9"/>
      <x:c r="U619" s="9"/>
      <x:c r="V619" s="9"/>
      <x:c r="W619" s="9"/>
      <x:c r="X619" s="10"/>
      <x:c r="Y619" s="10"/>
      <x:c r="Z619" s="9"/>
      <x:c r="AA619" s="9"/>
      <x:c r="AB619" s="9"/>
      <x:c r="AC619" s="9" t="str">
        <x:v>behind</x:v>
      </x:c>
      <x:c r="AD619" s="9" t="str">
        <x:v>blue block</x:v>
      </x:c>
      <x:c r="AE619" s="9" t="str">
        <x:v>red block</x:v>
      </x:c>
      <x:c r="AF619" s="9" t="str">
        <x:v>None</x:v>
      </x:c>
      <x:c r="AG619" s="9"/>
      <x:c r="AH619" s="9"/>
      <x:c r="AI619" s="11"/>
      <x:c r="AJ619" s="9"/>
      <x:c r="AK619" s="9" t="str">
        <x:v>Eval_Relational_Placement (1).xlsm</x:v>
      </x:c>
      <x:c r="AL619" s="9" t="str">
        <x:v>GR00T vision-only Results</x:v>
      </x:c>
      <x:c r="AM619" s="9" t="n">
        <x:v>169</x:v>
      </x:c>
      <x:c r="AN619" s="9" t="n">
        <x:v>169</x:v>
      </x:c>
    </x:row>
    <x:row r="620">
      <x:c r="A620" s="9" t="str">
        <x:v>Success</x:v>
      </x:c>
      <x:c r="B620" s="9" t="str">
        <x:v>Relational Placement</x:v>
      </x:c>
      <x:c r="C620" s="10" t="n">
        <x:v>168</x:v>
      </x:c>
      <x:c r="D620" s="9" t="str">
        <x:v>Place the red block in front of the blue block.</x:v>
      </x:c>
      <x:c r="E620" s="9" t="str">
        <x:v>red block, blue block, green pen, pink marker</x:v>
      </x:c>
      <x:c r="F620" s="9" t="str">
        <x:v>NO MOVEMENT — requested relation is already satisfied at the start: red block → 2–8 cm edge gap in front of blue block; centroid direction within ±45°.</x:v>
      </x:c>
      <x:c r="G620" s="9"/>
      <x:c r="H620" s="9" t="str">
        <x:v>Goal already satisfied / no movement</x:v>
      </x:c>
      <x:c r="I620" s="9" t="str">
        <x:v>RP-AG10</x:v>
      </x:c>
      <x:c r="J620" s="9" t="str">
        <x:v>In-distribution satisfied-state action-gating diagnostic</x:v>
      </x:c>
      <x:c r="K620" s="9"/>
      <x:c r="L620" s="9" t="str">
        <x:v>256</x:v>
      </x:c>
      <x:c r="M620" s="9"/>
      <x:c r="N620" s="9"/>
      <x:c r="O620" s="9" t="str">
        <x:v>Move only P1 to the listed already-satisfied 5 cm position; preserve P2, every distractor, and the camera/robot setup.</x:v>
      </x:c>
      <x:c r="P620" s="9" t="str">
        <x:v>Uses the ordinary explicitly trained prompt from episode 256. Its prompt-matched movement-required counterpart is in the same four-row family.</x:v>
      </x:c>
      <x:c r="Q620" s="9"/>
      <x:c r="R620" s="10" t="n">
        <x:v>4</x:v>
      </x:c>
      <x:c r="S620" s="10"/>
      <x:c r="T620" s="9"/>
      <x:c r="U620" s="9"/>
      <x:c r="V620" s="9"/>
      <x:c r="W620" s="9"/>
      <x:c r="X620" s="10"/>
      <x:c r="Y620" s="10"/>
      <x:c r="Z620" s="9"/>
      <x:c r="AA620" s="9"/>
      <x:c r="AB620" s="9"/>
      <x:c r="AC620" s="9" t="str">
        <x:v>front</x:v>
      </x:c>
      <x:c r="AD620" s="9" t="str">
        <x:v>red block</x:v>
      </x:c>
      <x:c r="AE620" s="9" t="str">
        <x:v>blue block</x:v>
      </x:c>
      <x:c r="AF620" s="9" t="str">
        <x:v>None</x:v>
      </x:c>
      <x:c r="AG620" s="9"/>
      <x:c r="AH620" s="9"/>
      <x:c r="AI620" s="11"/>
      <x:c r="AJ620" s="9"/>
      <x:c r="AK620" s="9" t="str">
        <x:v>Eval_Relational_Placement (1).xlsm</x:v>
      </x:c>
      <x:c r="AL620" s="9" t="str">
        <x:v>GR00T vision-only Results</x:v>
      </x:c>
      <x:c r="AM620" s="9" t="n">
        <x:v>170</x:v>
      </x:c>
      <x:c r="AN620" s="9" t="n">
        <x:v>170</x:v>
      </x:c>
    </x:row>
    <x:row r="621">
      <x:c r="A621" s="9" t="str">
        <x:v>Success</x:v>
      </x:c>
      <x:c r="B621" s="9" t="str">
        <x:v>Relational Placement</x:v>
      </x:c>
      <x:c r="C621" s="10" t="n">
        <x:v>169</x:v>
      </x:c>
      <x:c r="D621" s="9" t="str">
        <x:v>Put the blue block on the table behind the red block.</x:v>
      </x:c>
      <x:c r="E621" s="9" t="str">
        <x:v>red block, blue block, green pen, pink marker</x:v>
      </x:c>
      <x:c r="F621" s="9" t="str">
        <x:v>NO MOVEMENT — requested relation is already satisfied at the start: blue block → 2–8 cm edge gap behind red block; centroid direction within ±45°.</x:v>
      </x:c>
      <x:c r="G621" s="9"/>
      <x:c r="H621" s="9" t="str">
        <x:v>Goal already satisfied / no movement</x:v>
      </x:c>
      <x:c r="I621" s="9" t="str">
        <x:v>RP-AG10</x:v>
      </x:c>
      <x:c r="J621" s="9" t="str">
        <x:v>In-distribution satisfied-state action-gating diagnostic</x:v>
      </x:c>
      <x:c r="K621" s="9" t="n">
        <x:v>168</x:v>
      </x:c>
      <x:c r="L621" s="9" t="str">
        <x:v>369</x:v>
      </x:c>
      <x:c r="M621" s="9"/>
      <x:c r="N621" s="9"/>
      <x:c r="O621" s="9" t="str">
        <x:v>Preserve the exact scene; change only the reciprocal target/reference instruction.</x:v>
      </x:c>
      <x:c r="P621" s="9" t="str">
        <x:v>Uses the reciprocal explicitly trained prompt from episode 369. Both rows in this state pair are simultaneously satisfied.</x:v>
      </x:c>
      <x:c r="Q621" s="9"/>
      <x:c r="R621" s="10" t="n">
        <x:v>4</x:v>
      </x:c>
      <x:c r="S621" s="10"/>
      <x:c r="T621" s="9"/>
      <x:c r="U621" s="9"/>
      <x:c r="V621" s="9"/>
      <x:c r="W621" s="9"/>
      <x:c r="X621" s="10"/>
      <x:c r="Y621" s="10"/>
      <x:c r="Z621" s="9"/>
      <x:c r="AA621" s="9"/>
      <x:c r="AB621" s="9"/>
      <x:c r="AC621" s="9" t="str">
        <x:v>behind</x:v>
      </x:c>
      <x:c r="AD621" s="9" t="str">
        <x:v>blue block</x:v>
      </x:c>
      <x:c r="AE621" s="9" t="str">
        <x:v>red block</x:v>
      </x:c>
      <x:c r="AF621" s="9" t="str">
        <x:v>None</x:v>
      </x:c>
      <x:c r="AG621" s="9"/>
      <x:c r="AH621" s="9"/>
      <x:c r="AI621" s="11"/>
      <x:c r="AJ621" s="9"/>
      <x:c r="AK621" s="9" t="str">
        <x:v>Eval_Relational_Placement (1).xlsm</x:v>
      </x:c>
      <x:c r="AL621" s="9" t="str">
        <x:v>GR00T vision-only Results</x:v>
      </x:c>
      <x:c r="AM621" s="9" t="n">
        <x:v>171</x:v>
      </x:c>
      <x:c r="AN621" s="9" t="n">
        <x:v>171</x:v>
      </x:c>
    </x:row>
    <x:row r="622">
      <x:c r="A622" s="9" t="str">
        <x:v>Success</x:v>
      </x:c>
      <x:c r="B622" s="9" t="str">
        <x:v>Referential Disambiguation</x:v>
      </x:c>
      <x:c r="C622" s="10" t="n">
        <x:v>0</x:v>
      </x:c>
      <x:c r="D622" s="9" t="str">
        <x:v>Move the crushed soda can lying between the green pencil sharpener and the green pen into the bowl.</x:v>
      </x:c>
      <x:c r="E622" s="9" t="str">
        <x:v>crushed Coke can; crushed Pepsi can; green pencil sharpener; green pen</x:v>
      </x:c>
      <x:c r="F622" s="9" t="str">
        <x:v>crushed Coke can</x:v>
      </x:c>
      <x:c r="G622" s="9"/>
      <x:c r="H622" s="9" t="str">
        <x:v>In-distribution concept baseline</x:v>
      </x:c>
      <x:c r="I622" s="9" t="str">
        <x:v>RD-ID01</x:v>
      </x:c>
      <x:c r="J622" s="9" t="str">
        <x:v>Exact training-supported relation × candidate-category baseline</x:v>
      </x:c>
      <x:c r="K622" s="9"/>
      <x:c r="L622" s="9" t="str">
        <x:v>430</x:v>
      </x:c>
      <x:c r="M622" s="9" t="str">
        <x:v>Exact manifest cell: prompt, relation × candidate-category combination, target identity, and object membership are explicitly represented in training; physical positions are manually recreated with a clear margin.</x:v>
      </x:c>
      <x:c r="N622" s="9" t="n">
        <x:v>1</x:v>
      </x:c>
      <x:c r="O622" s="9" t="str">
        <x:v>Place the 4 listed objects. Arrange Expected Target as the unique answer to the prompt; keep the bowl empty.</x:v>
      </x:c>
      <x:c r="P622" s="9" t="str">
        <x:v>The relation, candidate category, target identity, and object membership occur together in the cited training episode.</x:v>
      </x:c>
      <x:c r="Q622" s="9"/>
      <x:c r="R622" s="10" t="n">
        <x:v>4</x:v>
      </x:c>
      <x:c r="S622" s="10" t="n">
        <x:v>1</x:v>
      </x:c>
      <x:c r="T622" s="9" t="str">
        <x:v>Empty</x:v>
      </x:c>
      <x:c r="U622" s="9"/>
      <x:c r="V622" s="9"/>
      <x:c r="W622" s="9"/>
      <x:c r="X622" s="10"/>
      <x:c r="Y622" s="10"/>
      <x:c r="Z622" s="9"/>
      <x:c r="AA622" s="9"/>
      <x:c r="AB622" s="9" t="str">
        <x:v>between</x:v>
      </x:c>
      <x:c r="AC622" s="9"/>
      <x:c r="AD622" s="9"/>
      <x:c r="AE622" s="9"/>
      <x:c r="AF622" s="9"/>
      <x:c r="AG622" s="9" t="str">
        <x:v>crushed soda can</x:v>
      </x:c>
      <x:c r="AH622" s="9"/>
      <x:c r="AI622" s="11"/>
      <x:c r="AJ622" s="9"/>
      <x:c r="AK622" s="9" t="str">
        <x:v>Eval_Referential_Disambiguation.xlsm</x:v>
      </x:c>
      <x:c r="AL622" s="9" t="str">
        <x:v>GR00T vision-only Results</x:v>
      </x:c>
      <x:c r="AM622" s="9" t="n">
        <x:v>2</x:v>
      </x:c>
      <x:c r="AN622" s="9" t="n">
        <x:v>2</x:v>
      </x:c>
    </x:row>
    <x:row r="623">
      <x:c r="A623" s="9" t="str">
        <x:v>Failure</x:v>
      </x:c>
      <x:c r="B623" s="9" t="str">
        <x:v>Referential Disambiguation</x:v>
      </x:c>
      <x:c r="C623" s="10" t="n">
        <x:v>1</x:v>
      </x:c>
      <x:c r="D623" s="9" t="str">
        <x:v>Pick up the crushed soda can positioned between the airplane toy with propellers and the green pen, then place it in the bowl.</x:v>
      </x:c>
      <x:c r="E623" s="9" t="str">
        <x:v>crushed Coke can; crushed Pepsi can; airplane toy with propellers; green pen; green pencil sharpener</x:v>
      </x:c>
      <x:c r="F623" s="9" t="str">
        <x:v>crushed Coke can</x:v>
      </x:c>
      <x:c r="G623" s="9" t="str">
        <x:v>picked pepsi can</x:v>
      </x:c>
      <x:c r="H623" s="9" t="str">
        <x:v>In-distribution concept baseline</x:v>
      </x:c>
      <x:c r="I623" s="9" t="str">
        <x:v>RD-ID02</x:v>
      </x:c>
      <x:c r="J623" s="9" t="str">
        <x:v>Exact training-supported relation × candidate-category baseline</x:v>
      </x:c>
      <x:c r="K623" s="9"/>
      <x:c r="L623" s="9" t="str">
        <x:v>432</x:v>
      </x:c>
      <x:c r="M623" s="9" t="str">
        <x:v>Exact manifest cell: prompt, relation × candidate-category combination, target identity, and object membership are explicitly represented in training; physical positions are manually recreated with a clear margin.</x:v>
      </x:c>
      <x:c r="N623" s="9" t="n">
        <x:v>1</x:v>
      </x:c>
      <x:c r="O623" s="9" t="str">
        <x:v>Place the 5 listed objects. Arrange Expected Target as the unique answer to the prompt; keep the bowl empty.</x:v>
      </x:c>
      <x:c r="P623" s="9" t="str">
        <x:v>The relation, candidate category, target identity, and object membership occur together in the cited training episode.</x:v>
      </x:c>
      <x:c r="Q623" s="9"/>
      <x:c r="R623" s="10" t="n">
        <x:v>5</x:v>
      </x:c>
      <x:c r="S623" s="10" t="n">
        <x:v>1</x:v>
      </x:c>
      <x:c r="T623" s="9" t="str">
        <x:v>Empty</x:v>
      </x:c>
      <x:c r="U623" s="9"/>
      <x:c r="V623" s="9"/>
      <x:c r="W623" s="9"/>
      <x:c r="X623" s="10"/>
      <x:c r="Y623" s="10"/>
      <x:c r="Z623" s="9"/>
      <x:c r="AA623" s="9"/>
      <x:c r="AB623" s="9" t="str">
        <x:v>between</x:v>
      </x:c>
      <x:c r="AC623" s="9"/>
      <x:c r="AD623" s="9"/>
      <x:c r="AE623" s="9"/>
      <x:c r="AF623" s="9"/>
      <x:c r="AG623" s="9" t="str">
        <x:v>crushed soda can</x:v>
      </x:c>
      <x:c r="AH623" s="9"/>
      <x:c r="AI623" s="11"/>
      <x:c r="AJ623" s="9"/>
      <x:c r="AK623" s="9" t="str">
        <x:v>Eval_Referential_Disambiguation.xlsm</x:v>
      </x:c>
      <x:c r="AL623" s="9" t="str">
        <x:v>GR00T vision-only Results</x:v>
      </x:c>
      <x:c r="AM623" s="9" t="n">
        <x:v>3</x:v>
      </x:c>
      <x:c r="AN623" s="9" t="n">
        <x:v>3</x:v>
      </x:c>
    </x:row>
    <x:row r="624">
      <x:c r="A624" s="9" t="str">
        <x:v>Success</x:v>
      </x:c>
      <x:c r="B624" s="9" t="str">
        <x:v>Referential Disambiguation</x:v>
      </x:c>
      <x:c r="C624" s="10" t="n">
        <x:v>2</x:v>
      </x:c>
      <x:c r="D624" s="9" t="str">
        <x:v>Pick up the crushed soda can positioned between the airplane toy with propellers and the green pencil sharpener, then place it in the bowl.</x:v>
      </x:c>
      <x:c r="E624" s="9" t="str">
        <x:v>crushed Coke can; crushed Pepsi can; airplane toy with propellers; green pencil sharpener</x:v>
      </x:c>
      <x:c r="F624" s="9" t="str">
        <x:v>crushed Coke can</x:v>
      </x:c>
      <x:c r="G624" s="9"/>
      <x:c r="H624" s="9" t="str">
        <x:v>In-distribution concept baseline</x:v>
      </x:c>
      <x:c r="I624" s="9" t="str">
        <x:v>RD-ID03</x:v>
      </x:c>
      <x:c r="J624" s="9" t="str">
        <x:v>Exact training-supported relation × candidate-category baseline</x:v>
      </x:c>
      <x:c r="K624" s="9"/>
      <x:c r="L624" s="9" t="str">
        <x:v>431</x:v>
      </x:c>
      <x:c r="M624" s="9" t="str">
        <x:v>Exact manifest cell: prompt, relation × candidate-category combination, target identity, and object membership are explicitly represented in training; physical positions are manually recreated with a clear margin.</x:v>
      </x:c>
      <x:c r="N624" s="9" t="n">
        <x:v>1</x:v>
      </x:c>
      <x:c r="O624" s="9" t="str">
        <x:v>Place the 4 listed objects. Arrange Expected Target as the unique answer to the prompt; keep the bowl empty.</x:v>
      </x:c>
      <x:c r="P624" s="9" t="str">
        <x:v>The relation, candidate category, target identity, and object membership occur together in the cited training episode.</x:v>
      </x:c>
      <x:c r="Q624" s="9"/>
      <x:c r="R624" s="10" t="n">
        <x:v>4</x:v>
      </x:c>
      <x:c r="S624" s="10" t="n">
        <x:v>1</x:v>
      </x:c>
      <x:c r="T624" s="9" t="str">
        <x:v>Empty</x:v>
      </x:c>
      <x:c r="U624" s="9"/>
      <x:c r="V624" s="9"/>
      <x:c r="W624" s="9"/>
      <x:c r="X624" s="10"/>
      <x:c r="Y624" s="10"/>
      <x:c r="Z624" s="9"/>
      <x:c r="AA624" s="9"/>
      <x:c r="AB624" s="9" t="str">
        <x:v>between</x:v>
      </x:c>
      <x:c r="AC624" s="9"/>
      <x:c r="AD624" s="9"/>
      <x:c r="AE624" s="9"/>
      <x:c r="AF624" s="9"/>
      <x:c r="AG624" s="9" t="str">
        <x:v>crushed soda can</x:v>
      </x:c>
      <x:c r="AH624" s="9"/>
      <x:c r="AI624" s="11"/>
      <x:c r="AJ624" s="9"/>
      <x:c r="AK624" s="9" t="str">
        <x:v>Eval_Referential_Disambiguation.xlsm</x:v>
      </x:c>
      <x:c r="AL624" s="9" t="str">
        <x:v>GR00T vision-only Results</x:v>
      </x:c>
      <x:c r="AM624" s="9" t="n">
        <x:v>4</x:v>
      </x:c>
      <x:c r="AN624" s="9" t="n">
        <x:v>4</x:v>
      </x:c>
    </x:row>
    <x:row r="625">
      <x:c r="A625" s="9" t="str">
        <x:v>Success</x:v>
      </x:c>
      <x:c r="B625" s="9" t="str">
        <x:v>Referential Disambiguation</x:v>
      </x:c>
      <x:c r="C625" s="10" t="n">
        <x:v>3</x:v>
      </x:c>
      <x:c r="D625" s="9" t="str">
        <x:v>Pick up the crushed soda can furthest from the green pen and place it in the bowl.</x:v>
      </x:c>
      <x:c r="E625" s="9" t="str">
        <x:v>crushed Coke can; crushed Pepsi can; green pen</x:v>
      </x:c>
      <x:c r="F625" s="9" t="str">
        <x:v>crushed Pepsi can</x:v>
      </x:c>
      <x:c r="G625" s="9"/>
      <x:c r="H625" s="9" t="str">
        <x:v>In-distribution concept baseline</x:v>
      </x:c>
      <x:c r="I625" s="9" t="str">
        <x:v>RD-ID04</x:v>
      </x:c>
      <x:c r="J625" s="9" t="str">
        <x:v>Exact training-supported relation × candidate-category baseline</x:v>
      </x:c>
      <x:c r="K625" s="9"/>
      <x:c r="L625" s="9" t="str">
        <x:v>415</x:v>
      </x:c>
      <x:c r="M625" s="9" t="str">
        <x:v>Exact manifest cell: prompt, relation × candidate-category combination, target identity, and object membership are explicitly represented in training; physical positions are manually recreated with a clear margin.</x:v>
      </x:c>
      <x:c r="N625" s="9" t="n">
        <x:v>1</x:v>
      </x:c>
      <x:c r="O625" s="9" t="str">
        <x:v>Place the 3 listed objects. Arrange Expected Target as the unique answer to the prompt; keep the bowl empty.</x:v>
      </x:c>
      <x:c r="P625" s="9" t="str">
        <x:v>The relation, candidate category, target identity, and object membership occur together in the cited training episode.</x:v>
      </x:c>
      <x:c r="Q625" s="9"/>
      <x:c r="R625" s="10" t="n">
        <x:v>3</x:v>
      </x:c>
      <x:c r="S625" s="10" t="n">
        <x:v>1</x:v>
      </x:c>
      <x:c r="T625" s="9" t="str">
        <x:v>Empty</x:v>
      </x:c>
      <x:c r="U625" s="9"/>
      <x:c r="V625" s="9"/>
      <x:c r="W625" s="9"/>
      <x:c r="X625" s="10"/>
      <x:c r="Y625" s="10"/>
      <x:c r="Z625" s="9"/>
      <x:c r="AA625" s="9"/>
      <x:c r="AB625" s="9" t="str">
        <x:v>furthest</x:v>
      </x:c>
      <x:c r="AC625" s="9"/>
      <x:c r="AD625" s="9"/>
      <x:c r="AE625" s="9"/>
      <x:c r="AF625" s="9"/>
      <x:c r="AG625" s="9" t="str">
        <x:v>crushed soda can</x:v>
      </x:c>
      <x:c r="AH625" s="9"/>
      <x:c r="AI625" s="11"/>
      <x:c r="AJ625" s="9"/>
      <x:c r="AK625" s="9" t="str">
        <x:v>Eval_Referential_Disambiguation.xlsm</x:v>
      </x:c>
      <x:c r="AL625" s="9" t="str">
        <x:v>GR00T vision-only Results</x:v>
      </x:c>
      <x:c r="AM625" s="9" t="n">
        <x:v>5</x:v>
      </x:c>
      <x:c r="AN625" s="9" t="n">
        <x:v>5</x:v>
      </x:c>
    </x:row>
    <x:row r="626">
      <x:c r="A626" s="9" t="str">
        <x:v>Failure</x:v>
      </x:c>
      <x:c r="B626" s="9" t="str">
        <x:v>Referential Disambiguation</x:v>
      </x:c>
      <x:c r="C626" s="10" t="n">
        <x:v>4</x:v>
      </x:c>
      <x:c r="D626" s="9" t="str">
        <x:v>Pick up the crushed soda can furthest from the yellow pen and place it in the bowl.</x:v>
      </x:c>
      <x:c r="E626" s="9" t="str">
        <x:v>crushed Coke can; crushed Pepsi can; yellow pen; airplane toy with propellers</x:v>
      </x:c>
      <x:c r="F626" s="9" t="str">
        <x:v>crushed Coke can</x:v>
      </x:c>
      <x:c r="G626" s="9" t="str">
        <x:v>got pepsi can which was in between the yellow pen and airplane toy; also closest to the yellow pen</x:v>
      </x:c>
      <x:c r="H626" s="9" t="str">
        <x:v>In-distribution concept baseline</x:v>
      </x:c>
      <x:c r="I626" s="9" t="str">
        <x:v>RD-ID05</x:v>
      </x:c>
      <x:c r="J626" s="9" t="str">
        <x:v>Exact training-supported relation × candidate-category baseline</x:v>
      </x:c>
      <x:c r="K626" s="9"/>
      <x:c r="L626" s="9" t="str">
        <x:v>416</x:v>
      </x:c>
      <x:c r="M626" s="9" t="str">
        <x:v>Exact manifest cell: prompt, relation × candidate-category combination, target identity, and object membership are explicitly represented in training; physical positions are manually recreated with a clear margin.</x:v>
      </x:c>
      <x:c r="N626" s="9" t="n">
        <x:v>1</x:v>
      </x:c>
      <x:c r="O626" s="9" t="str">
        <x:v>Place the 4 listed objects. Arrange Expected Target as the unique answer to the prompt; keep the bowl empty.</x:v>
      </x:c>
      <x:c r="P626" s="9" t="str">
        <x:v>The relation, candidate category, target identity, and object membership occur together in the cited training episode.</x:v>
      </x:c>
      <x:c r="Q626" s="9"/>
      <x:c r="R626" s="10" t="n">
        <x:v>4</x:v>
      </x:c>
      <x:c r="S626" s="10" t="n">
        <x:v>1</x:v>
      </x:c>
      <x:c r="T626" s="9" t="str">
        <x:v>Empty</x:v>
      </x:c>
      <x:c r="U626" s="9"/>
      <x:c r="V626" s="9"/>
      <x:c r="W626" s="9"/>
      <x:c r="X626" s="10"/>
      <x:c r="Y626" s="10"/>
      <x:c r="Z626" s="9"/>
      <x:c r="AA626" s="9"/>
      <x:c r="AB626" s="9" t="str">
        <x:v>furthest</x:v>
      </x:c>
      <x:c r="AC626" s="9"/>
      <x:c r="AD626" s="9"/>
      <x:c r="AE626" s="9"/>
      <x:c r="AF626" s="9"/>
      <x:c r="AG626" s="9" t="str">
        <x:v>crushed soda can</x:v>
      </x:c>
      <x:c r="AH626" s="9"/>
      <x:c r="AI626" s="11"/>
      <x:c r="AJ626" s="9"/>
      <x:c r="AK626" s="9" t="str">
        <x:v>Eval_Referential_Disambiguation.xlsm</x:v>
      </x:c>
      <x:c r="AL626" s="9" t="str">
        <x:v>GR00T vision-only Results</x:v>
      </x:c>
      <x:c r="AM626" s="9" t="n">
        <x:v>6</x:v>
      </x:c>
      <x:c r="AN626" s="9" t="n">
        <x:v>6</x:v>
      </x:c>
    </x:row>
    <x:row r="627">
      <x:c r="A627" s="9" t="str">
        <x:v>Failure</x:v>
      </x:c>
      <x:c r="B627" s="9" t="str">
        <x:v>Referential Disambiguation</x:v>
      </x:c>
      <x:c r="C627" s="10" t="n">
        <x:v>5</x:v>
      </x:c>
      <x:c r="D627" s="9" t="str">
        <x:v>Pick up the pencil sharpener nearest to the crushed Coke can and place it in the bowl.</x:v>
      </x:c>
      <x:c r="E627" s="9" t="str">
        <x:v>green pencil sharpener; red pencil sharpener; crushed Coke can</x:v>
      </x:c>
      <x:c r="F627" s="9" t="str">
        <x:v>green pencil sharpener</x:v>
      </x:c>
      <x:c r="G627" s="9" t="str">
        <x:v>succeeded reasoning but overgripped the pencil sharpener and it slipped out the gripper. the robot then drifted to the right edge of workspace where it jittered until end of 60 seconds</x:v>
      </x:c>
      <x:c r="H627" s="9" t="str">
        <x:v>In-distribution concept baseline</x:v>
      </x:c>
      <x:c r="I627" s="9" t="str">
        <x:v>RD-ID06</x:v>
      </x:c>
      <x:c r="J627" s="9" t="str">
        <x:v>Exact training-supported relation × candidate-category baseline</x:v>
      </x:c>
      <x:c r="K627" s="9"/>
      <x:c r="L627" s="9" t="str">
        <x:v>450</x:v>
      </x:c>
      <x:c r="M627" s="9" t="str">
        <x:v>Exact manifest cell: prompt, relation × candidate-category combination, target identity, and object membership are explicitly represented in training; physical positions are manually recreated with a clear margin.</x:v>
      </x:c>
      <x:c r="N627" s="9" t="n">
        <x:v>1</x:v>
      </x:c>
      <x:c r="O627" s="9" t="str">
        <x:v>Place the 3 listed objects. Arrange Expected Target as the unique answer to the prompt; keep the bowl empty.</x:v>
      </x:c>
      <x:c r="P627" s="9" t="str">
        <x:v>The relation, candidate category, target identity, and object membership occur together in the cited training episode.</x:v>
      </x:c>
      <x:c r="Q627" s="9"/>
      <x:c r="R627" s="10" t="n">
        <x:v>3</x:v>
      </x:c>
      <x:c r="S627" s="10" t="n">
        <x:v>1</x:v>
      </x:c>
      <x:c r="T627" s="9" t="str">
        <x:v>Empty</x:v>
      </x:c>
      <x:c r="U627" s="9"/>
      <x:c r="V627" s="9"/>
      <x:c r="W627" s="9"/>
      <x:c r="X627" s="10"/>
      <x:c r="Y627" s="10"/>
      <x:c r="Z627" s="9"/>
      <x:c r="AA627" s="9"/>
      <x:c r="AB627" s="9" t="str">
        <x:v>closest</x:v>
      </x:c>
      <x:c r="AC627" s="9"/>
      <x:c r="AD627" s="9"/>
      <x:c r="AE627" s="9"/>
      <x:c r="AF627" s="9"/>
      <x:c r="AG627" s="9" t="str">
        <x:v>pencil sharpener</x:v>
      </x:c>
      <x:c r="AH627" s="9"/>
      <x:c r="AI627" s="11"/>
      <x:c r="AJ627" s="9"/>
      <x:c r="AK627" s="9" t="str">
        <x:v>Eval_Referential_Disambiguation.xlsm</x:v>
      </x:c>
      <x:c r="AL627" s="9" t="str">
        <x:v>GR00T vision-only Results</x:v>
      </x:c>
      <x:c r="AM627" s="9" t="n">
        <x:v>7</x:v>
      </x:c>
      <x:c r="AN627" s="9" t="n">
        <x:v>7</x:v>
      </x:c>
    </x:row>
    <x:row r="628">
      <x:c r="A628" s="9" t="str">
        <x:v>Success</x:v>
      </x:c>
      <x:c r="B628" s="9" t="str">
        <x:v>Referential Disambiguation</x:v>
      </x:c>
      <x:c r="C628" s="10" t="n">
        <x:v>6</x:v>
      </x:c>
      <x:c r="D628" s="9" t="str">
        <x:v>Move the pencil sharpener that is closest to the crushed Pepsi can into the bowl.</x:v>
      </x:c>
      <x:c r="E628" s="9" t="str">
        <x:v>green pencil sharpener; red pencil sharpener; crushed Pepsi can; airplane toy with propellers</x:v>
      </x:c>
      <x:c r="F628" s="9" t="str">
        <x:v>red pencil sharpener</x:v>
      </x:c>
      <x:c r="G628" s="9"/>
      <x:c r="H628" s="9" t="str">
        <x:v>In-distribution concept baseline</x:v>
      </x:c>
      <x:c r="I628" s="9" t="str">
        <x:v>RD-ID07</x:v>
      </x:c>
      <x:c r="J628" s="9" t="str">
        <x:v>Exact training-supported relation × candidate-category baseline</x:v>
      </x:c>
      <x:c r="K628" s="9"/>
      <x:c r="L628" s="9" t="str">
        <x:v>451</x:v>
      </x:c>
      <x:c r="M628" s="9" t="str">
        <x:v>Exact manifest cell: prompt, relation × candidate-category combination, target identity, and object membership are explicitly represented in training; physical positions are manually recreated with a clear margin.</x:v>
      </x:c>
      <x:c r="N628" s="9" t="n">
        <x:v>1</x:v>
      </x:c>
      <x:c r="O628" s="9" t="str">
        <x:v>Place the 4 listed objects. Arrange Expected Target as the unique answer to the prompt; keep the bowl empty.</x:v>
      </x:c>
      <x:c r="P628" s="9" t="str">
        <x:v>The relation, candidate category, target identity, and object membership occur together in the cited training episode.</x:v>
      </x:c>
      <x:c r="Q628" s="9"/>
      <x:c r="R628" s="10" t="n">
        <x:v>4</x:v>
      </x:c>
      <x:c r="S628" s="10" t="n">
        <x:v>1</x:v>
      </x:c>
      <x:c r="T628" s="9" t="str">
        <x:v>Empty</x:v>
      </x:c>
      <x:c r="U628" s="9"/>
      <x:c r="V628" s="9"/>
      <x:c r="W628" s="9"/>
      <x:c r="X628" s="10"/>
      <x:c r="Y628" s="10"/>
      <x:c r="Z628" s="9"/>
      <x:c r="AA628" s="9"/>
      <x:c r="AB628" s="9" t="str">
        <x:v>closest</x:v>
      </x:c>
      <x:c r="AC628" s="9"/>
      <x:c r="AD628" s="9"/>
      <x:c r="AE628" s="9"/>
      <x:c r="AF628" s="9"/>
      <x:c r="AG628" s="9" t="str">
        <x:v>pencil sharpener</x:v>
      </x:c>
      <x:c r="AH628" s="9"/>
      <x:c r="AI628" s="11"/>
      <x:c r="AJ628" s="9"/>
      <x:c r="AK628" s="9" t="str">
        <x:v>Eval_Referential_Disambiguation.xlsm</x:v>
      </x:c>
      <x:c r="AL628" s="9" t="str">
        <x:v>GR00T vision-only Results</x:v>
      </x:c>
      <x:c r="AM628" s="9" t="n">
        <x:v>8</x:v>
      </x:c>
      <x:c r="AN628" s="9" t="n">
        <x:v>8</x:v>
      </x:c>
    </x:row>
    <x:row r="629">
      <x:c r="A629" s="9" t="str">
        <x:v>Failure</x:v>
      </x:c>
      <x:c r="B629" s="9" t="str">
        <x:v>Referential Disambiguation</x:v>
      </x:c>
      <x:c r="C629" s="10" t="n">
        <x:v>7</x:v>
      </x:c>
      <x:c r="D629" s="9" t="str">
        <x:v>Move the pencil sharpener that is closest to the green pen into the bowl.</x:v>
      </x:c>
      <x:c r="E629" s="9" t="str">
        <x:v>green pencil sharpener; red pencil sharpener; green pen</x:v>
      </x:c>
      <x:c r="F629" s="9" t="str">
        <x:v>green pencil sharpener</x:v>
      </x:c>
      <x:c r="G629" s="9" t="str">
        <x:v>picked the green pen</x:v>
      </x:c>
      <x:c r="H629" s="9" t="str">
        <x:v>In-distribution concept baseline</x:v>
      </x:c>
      <x:c r="I629" s="9" t="str">
        <x:v>RD-ID08</x:v>
      </x:c>
      <x:c r="J629" s="9" t="str">
        <x:v>Exact training-supported relation × candidate-category baseline</x:v>
      </x:c>
      <x:c r="K629" s="9"/>
      <x:c r="L629" s="9" t="str">
        <x:v>452</x:v>
      </x:c>
      <x:c r="M629" s="9" t="str">
        <x:v>Exact manifest cell: prompt, relation × candidate-category combination, target identity, and object membership are explicitly represented in training; physical positions are manually recreated with a clear margin.</x:v>
      </x:c>
      <x:c r="N629" s="9" t="n">
        <x:v>1</x:v>
      </x:c>
      <x:c r="O629" s="9" t="str">
        <x:v>Place the 3 listed objects. Arrange Expected Target as the unique answer to the prompt; keep the bowl empty.</x:v>
      </x:c>
      <x:c r="P629" s="9" t="str">
        <x:v>The relation, candidate category, target identity, and object membership occur together in the cited training episode.</x:v>
      </x:c>
      <x:c r="Q629" s="9"/>
      <x:c r="R629" s="10" t="n">
        <x:v>3</x:v>
      </x:c>
      <x:c r="S629" s="10" t="n">
        <x:v>1</x:v>
      </x:c>
      <x:c r="T629" s="9" t="str">
        <x:v>Empty</x:v>
      </x:c>
      <x:c r="U629" s="9"/>
      <x:c r="V629" s="9"/>
      <x:c r="W629" s="9"/>
      <x:c r="X629" s="10"/>
      <x:c r="Y629" s="10"/>
      <x:c r="Z629" s="9"/>
      <x:c r="AA629" s="9"/>
      <x:c r="AB629" s="9" t="str">
        <x:v>closest</x:v>
      </x:c>
      <x:c r="AC629" s="9"/>
      <x:c r="AD629" s="9"/>
      <x:c r="AE629" s="9"/>
      <x:c r="AF629" s="9"/>
      <x:c r="AG629" s="9" t="str">
        <x:v>pencil sharpener</x:v>
      </x:c>
      <x:c r="AH629" s="9"/>
      <x:c r="AI629" s="11"/>
      <x:c r="AJ629" s="9"/>
      <x:c r="AK629" s="9" t="str">
        <x:v>Eval_Referential_Disambiguation.xlsm</x:v>
      </x:c>
      <x:c r="AL629" s="9" t="str">
        <x:v>GR00T vision-only Results</x:v>
      </x:c>
      <x:c r="AM629" s="9" t="n">
        <x:v>9</x:v>
      </x:c>
      <x:c r="AN629" s="9" t="n">
        <x:v>9</x:v>
      </x:c>
    </x:row>
    <x:row r="630">
      <x:c r="A630" s="9" t="str">
        <x:v>Success</x:v>
      </x:c>
      <x:c r="B630" s="9" t="str">
        <x:v>Referential Disambiguation</x:v>
      </x:c>
      <x:c r="C630" s="10" t="n">
        <x:v>8</x:v>
      </x:c>
      <x:c r="D630" s="9" t="str">
        <x:v>Pick up the pencil sharpener furthest from the yellow pen and place it in the bowl.</x:v>
      </x:c>
      <x:c r="E630" s="9" t="str">
        <x:v>green pencil sharpener; red pencil sharpener; yellow pen; airplane toy without propellers</x:v>
      </x:c>
      <x:c r="F630" s="9" t="str">
        <x:v>green pencil sharpener</x:v>
      </x:c>
      <x:c r="G630" s="9"/>
      <x:c r="H630" s="9" t="str">
        <x:v>In-distribution concept baseline</x:v>
      </x:c>
      <x:c r="I630" s="9" t="str">
        <x:v>RD-ID09</x:v>
      </x:c>
      <x:c r="J630" s="9" t="str">
        <x:v>Exact training-supported relation × candidate-category baseline</x:v>
      </x:c>
      <x:c r="K630" s="9"/>
      <x:c r="L630" s="9" t="str">
        <x:v>466</x:v>
      </x:c>
      <x:c r="M630" s="9" t="str">
        <x:v>Exact manifest cell: prompt, relation × candidate-category combination, target identity, and object membership are explicitly represented in training; physical positions are manually recreated with a clear margin.</x:v>
      </x:c>
      <x:c r="N630" s="9" t="n">
        <x:v>1</x:v>
      </x:c>
      <x:c r="O630" s="9" t="str">
        <x:v>Place the 4 listed objects. Arrange Expected Target as the unique answer to the prompt; keep the bowl empty.</x:v>
      </x:c>
      <x:c r="P630" s="9" t="str">
        <x:v>The relation, candidate category, target identity, and object membership occur together in the cited training episode.</x:v>
      </x:c>
      <x:c r="Q630" s="9"/>
      <x:c r="R630" s="10" t="n">
        <x:v>4</x:v>
      </x:c>
      <x:c r="S630" s="10" t="n">
        <x:v>1</x:v>
      </x:c>
      <x:c r="T630" s="9" t="str">
        <x:v>Empty</x:v>
      </x:c>
      <x:c r="U630" s="9"/>
      <x:c r="V630" s="9"/>
      <x:c r="W630" s="9"/>
      <x:c r="X630" s="10"/>
      <x:c r="Y630" s="10"/>
      <x:c r="Z630" s="9"/>
      <x:c r="AA630" s="9"/>
      <x:c r="AB630" s="9" t="str">
        <x:v>furthest</x:v>
      </x:c>
      <x:c r="AC630" s="9"/>
      <x:c r="AD630" s="9"/>
      <x:c r="AE630" s="9"/>
      <x:c r="AF630" s="9"/>
      <x:c r="AG630" s="9" t="str">
        <x:v>pencil sharpener</x:v>
      </x:c>
      <x:c r="AH630" s="9"/>
      <x:c r="AI630" s="11"/>
      <x:c r="AJ630" s="9"/>
      <x:c r="AK630" s="9" t="str">
        <x:v>Eval_Referential_Disambiguation.xlsm</x:v>
      </x:c>
      <x:c r="AL630" s="9" t="str">
        <x:v>GR00T vision-only Results</x:v>
      </x:c>
      <x:c r="AM630" s="9" t="n">
        <x:v>10</x:v>
      </x:c>
      <x:c r="AN630" s="9" t="n">
        <x:v>10</x:v>
      </x:c>
    </x:row>
    <x:row r="631">
      <x:c r="A631" s="9" t="str">
        <x:v>Success</x:v>
      </x:c>
      <x:c r="B631" s="9" t="str">
        <x:v>Referential Disambiguation</x:v>
      </x:c>
      <x:c r="C631" s="10" t="n">
        <x:v>9</x:v>
      </x:c>
      <x:c r="D631" s="9" t="str">
        <x:v>Pick up the pencil sharpener furthest from the green pen and place it in the bowl.</x:v>
      </x:c>
      <x:c r="E631" s="9" t="str">
        <x:v>green pencil sharpener; red pencil sharpener; green pen</x:v>
      </x:c>
      <x:c r="F631" s="9" t="str">
        <x:v>red pencil sharpener</x:v>
      </x:c>
      <x:c r="G631" s="9"/>
      <x:c r="H631" s="9" t="str">
        <x:v>In-distribution concept baseline</x:v>
      </x:c>
      <x:c r="I631" s="9" t="str">
        <x:v>RD-ID10</x:v>
      </x:c>
      <x:c r="J631" s="9" t="str">
        <x:v>Exact training-supported relation × candidate-category baseline</x:v>
      </x:c>
      <x:c r="K631" s="9"/>
      <x:c r="L631" s="9" t="str">
        <x:v>465</x:v>
      </x:c>
      <x:c r="M631" s="9" t="str">
        <x:v>Exact manifest cell: prompt, relation × candidate-category combination, target identity, and object membership are explicitly represented in training; physical positions are manually recreated with a clear margin.</x:v>
      </x:c>
      <x:c r="N631" s="9" t="n">
        <x:v>1</x:v>
      </x:c>
      <x:c r="O631" s="9" t="str">
        <x:v>Place the 3 listed objects. Arrange Expected Target as the unique answer to the prompt; keep the bowl empty.</x:v>
      </x:c>
      <x:c r="P631" s="9" t="str">
        <x:v>The relation, candidate category, target identity, and object membership occur together in the cited training episode.</x:v>
      </x:c>
      <x:c r="Q631" s="9"/>
      <x:c r="R631" s="10" t="n">
        <x:v>3</x:v>
      </x:c>
      <x:c r="S631" s="10" t="n">
        <x:v>1</x:v>
      </x:c>
      <x:c r="T631" s="9" t="str">
        <x:v>Empty</x:v>
      </x:c>
      <x:c r="U631" s="9"/>
      <x:c r="V631" s="9"/>
      <x:c r="W631" s="9"/>
      <x:c r="X631" s="10"/>
      <x:c r="Y631" s="10"/>
      <x:c r="Z631" s="9"/>
      <x:c r="AA631" s="9"/>
      <x:c r="AB631" s="9" t="str">
        <x:v>furthest</x:v>
      </x:c>
      <x:c r="AC631" s="9"/>
      <x:c r="AD631" s="9"/>
      <x:c r="AE631" s="9"/>
      <x:c r="AF631" s="9"/>
      <x:c r="AG631" s="9" t="str">
        <x:v>pencil sharpener</x:v>
      </x:c>
      <x:c r="AH631" s="9"/>
      <x:c r="AI631" s="11"/>
      <x:c r="AJ631" s="9"/>
      <x:c r="AK631" s="9" t="str">
        <x:v>Eval_Referential_Disambiguation.xlsm</x:v>
      </x:c>
      <x:c r="AL631" s="9" t="str">
        <x:v>GR00T vision-only Results</x:v>
      </x:c>
      <x:c r="AM631" s="9" t="n">
        <x:v>11</x:v>
      </x:c>
      <x:c r="AN631" s="9" t="n">
        <x:v>11</x:v>
      </x:c>
    </x:row>
    <x:row r="632">
      <x:c r="A632" s="9" t="str">
        <x:v>Success</x:v>
      </x:c>
      <x:c r="B632" s="9" t="str">
        <x:v>Referential Disambiguation</x:v>
      </x:c>
      <x:c r="C632" s="10" t="n">
        <x:v>10</x:v>
      </x:c>
      <x:c r="D632" s="9" t="str">
        <x:v>Put the airplane toy closest to the green pencil sharpener in the bowl.</x:v>
      </x:c>
      <x:c r="E632" s="9" t="str">
        <x:v>airplane toy with propellers; airplane toy without propellers; green pencil sharpener; red pencil sharpener</x:v>
      </x:c>
      <x:c r="F632" s="9" t="str">
        <x:v>airplane toy with propellers</x:v>
      </x:c>
      <x:c r="G632" s="9"/>
      <x:c r="H632" s="9" t="str">
        <x:v>In-distribution concept baseline</x:v>
      </x:c>
      <x:c r="I632" s="9" t="str">
        <x:v>RD-ID11</x:v>
      </x:c>
      <x:c r="J632" s="9" t="str">
        <x:v>Exact training-supported relation × candidate-category baseline</x:v>
      </x:c>
      <x:c r="K632" s="9"/>
      <x:c r="L632" s="9" t="str">
        <x:v>564</x:v>
      </x:c>
      <x:c r="M632" s="9" t="str">
        <x:v>Exact manifest cell: prompt, relation × candidate-category combination, target identity, and object membership are explicitly represented in training; physical positions are manually recreated with a clear margin.</x:v>
      </x:c>
      <x:c r="N632" s="9" t="n">
        <x:v>1</x:v>
      </x:c>
      <x:c r="O632" s="9" t="str">
        <x:v>Place the 4 listed objects. Arrange Expected Target as the unique answer to the prompt; keep the bowl empty.</x:v>
      </x:c>
      <x:c r="P632" s="9" t="str">
        <x:v>The relation, candidate category, target identity, and object membership occur together in the cited training episode.</x:v>
      </x:c>
      <x:c r="Q632" s="9"/>
      <x:c r="R632" s="10" t="n">
        <x:v>4</x:v>
      </x:c>
      <x:c r="S632" s="10" t="n">
        <x:v>1</x:v>
      </x:c>
      <x:c r="T632" s="9" t="str">
        <x:v>Empty</x:v>
      </x:c>
      <x:c r="U632" s="9"/>
      <x:c r="V632" s="9"/>
      <x:c r="W632" s="9"/>
      <x:c r="X632" s="10"/>
      <x:c r="Y632" s="10"/>
      <x:c r="Z632" s="9"/>
      <x:c r="AA632" s="9"/>
      <x:c r="AB632" s="9" t="str">
        <x:v>closest</x:v>
      </x:c>
      <x:c r="AC632" s="9"/>
      <x:c r="AD632" s="9"/>
      <x:c r="AE632" s="9"/>
      <x:c r="AF632" s="9"/>
      <x:c r="AG632" s="9" t="str">
        <x:v>airplane toy</x:v>
      </x:c>
      <x:c r="AH632" s="9"/>
      <x:c r="AI632" s="11"/>
      <x:c r="AJ632" s="9"/>
      <x:c r="AK632" s="9" t="str">
        <x:v>Eval_Referential_Disambiguation.xlsm</x:v>
      </x:c>
      <x:c r="AL632" s="9" t="str">
        <x:v>GR00T vision-only Results</x:v>
      </x:c>
      <x:c r="AM632" s="9" t="n">
        <x:v>12</x:v>
      </x:c>
      <x:c r="AN632" s="9" t="n">
        <x:v>12</x:v>
      </x:c>
    </x:row>
    <x:row r="633">
      <x:c r="A633" s="9" t="str">
        <x:v>Success</x:v>
      </x:c>
      <x:c r="B633" s="9" t="str">
        <x:v>Referential Disambiguation</x:v>
      </x:c>
      <x:c r="C633" s="10" t="n">
        <x:v>11</x:v>
      </x:c>
      <x:c r="D633" s="9" t="str">
        <x:v>Put the airplane toy closest to the green pen in the bowl.</x:v>
      </x:c>
      <x:c r="E633" s="9" t="str">
        <x:v>airplane toy with propellers; airplane toy without propellers; green pen</x:v>
      </x:c>
      <x:c r="F633" s="9" t="str">
        <x:v>airplane toy with propellers</x:v>
      </x:c>
      <x:c r="G633" s="9"/>
      <x:c r="H633" s="9" t="str">
        <x:v>In-distribution concept baseline</x:v>
      </x:c>
      <x:c r="I633" s="9" t="str">
        <x:v>RD-ID12</x:v>
      </x:c>
      <x:c r="J633" s="9" t="str">
        <x:v>Exact training-supported relation × candidate-category baseline</x:v>
      </x:c>
      <x:c r="K633" s="9"/>
      <x:c r="L633" s="9" t="str">
        <x:v>550</x:v>
      </x:c>
      <x:c r="M633" s="9" t="str">
        <x:v>Exact manifest cell: prompt, relation × candidate-category combination, target identity, and object membership are explicitly represented in training; physical positions are manually recreated with a clear margin.</x:v>
      </x:c>
      <x:c r="N633" s="9" t="n">
        <x:v>1</x:v>
      </x:c>
      <x:c r="O633" s="9" t="str">
        <x:v>Place the 3 listed objects. Arrange Expected Target as the unique answer to the prompt; keep the bowl empty.</x:v>
      </x:c>
      <x:c r="P633" s="9" t="str">
        <x:v>The relation, candidate category, target identity, and object membership occur together in the cited training episode.</x:v>
      </x:c>
      <x:c r="Q633" s="9"/>
      <x:c r="R633" s="10" t="n">
        <x:v>3</x:v>
      </x:c>
      <x:c r="S633" s="10" t="n">
        <x:v>1</x:v>
      </x:c>
      <x:c r="T633" s="9" t="str">
        <x:v>Empty</x:v>
      </x:c>
      <x:c r="U633" s="9"/>
      <x:c r="V633" s="9"/>
      <x:c r="W633" s="9"/>
      <x:c r="X633" s="10"/>
      <x:c r="Y633" s="10"/>
      <x:c r="Z633" s="9"/>
      <x:c r="AA633" s="9"/>
      <x:c r="AB633" s="9" t="str">
        <x:v>closest</x:v>
      </x:c>
      <x:c r="AC633" s="9"/>
      <x:c r="AD633" s="9"/>
      <x:c r="AE633" s="9"/>
      <x:c r="AF633" s="9"/>
      <x:c r="AG633" s="9" t="str">
        <x:v>airplane toy</x:v>
      </x:c>
      <x:c r="AH633" s="9"/>
      <x:c r="AI633" s="11"/>
      <x:c r="AJ633" s="9"/>
      <x:c r="AK633" s="9" t="str">
        <x:v>Eval_Referential_Disambiguation.xlsm</x:v>
      </x:c>
      <x:c r="AL633" s="9" t="str">
        <x:v>GR00T vision-only Results</x:v>
      </x:c>
      <x:c r="AM633" s="9" t="n">
        <x:v>13</x:v>
      </x:c>
      <x:c r="AN633" s="9" t="n">
        <x:v>13</x:v>
      </x:c>
    </x:row>
    <x:row r="634">
      <x:c r="A634" s="9" t="str">
        <x:v>Success</x:v>
      </x:c>
      <x:c r="B634" s="9" t="str">
        <x:v>Referential Disambiguation</x:v>
      </x:c>
      <x:c r="C634" s="10" t="n">
        <x:v>12</x:v>
      </x:c>
      <x:c r="D634" s="9" t="str">
        <x:v>Move the airplane toy lying between the crushed Coke can and the green pencil sharpener into the bowl.</x:v>
      </x:c>
      <x:c r="E634" s="9" t="str">
        <x:v>airplane toy with propellers; airplane toy without propellers; crushed Coke can; green pencil sharpener; red pencil sharpener</x:v>
      </x:c>
      <x:c r="F634" s="9" t="str">
        <x:v>airplane toy with propellers</x:v>
      </x:c>
      <x:c r="G634" s="9"/>
      <x:c r="H634" s="9" t="str">
        <x:v>In-distribution concept baseline</x:v>
      </x:c>
      <x:c r="I634" s="9" t="str">
        <x:v>RD-ID13</x:v>
      </x:c>
      <x:c r="J634" s="9" t="str">
        <x:v>Exact training-supported relation × candidate-category baseline</x:v>
      </x:c>
      <x:c r="K634" s="9"/>
      <x:c r="L634" s="9" t="str">
        <x:v>587</x:v>
      </x:c>
      <x:c r="M634" s="9" t="str">
        <x:v>Exact manifest cell: prompt, relation × candidate-category combination, target identity, and object membership are explicitly represented in training; physical positions are manually recreated with a clear margin.</x:v>
      </x:c>
      <x:c r="N634" s="9" t="n">
        <x:v>1</x:v>
      </x:c>
      <x:c r="O634" s="9" t="str">
        <x:v>Place the 5 listed objects. Arrange Expected Target as the unique answer to the prompt; keep the bowl empty.</x:v>
      </x:c>
      <x:c r="P634" s="9" t="str">
        <x:v>The relation, candidate category, target identity, and object membership occur together in the cited training episode.</x:v>
      </x:c>
      <x:c r="Q634" s="9"/>
      <x:c r="R634" s="10" t="n">
        <x:v>5</x:v>
      </x:c>
      <x:c r="S634" s="10" t="n">
        <x:v>1</x:v>
      </x:c>
      <x:c r="T634" s="9" t="str">
        <x:v>Empty</x:v>
      </x:c>
      <x:c r="U634" s="9"/>
      <x:c r="V634" s="9"/>
      <x:c r="W634" s="9"/>
      <x:c r="X634" s="10"/>
      <x:c r="Y634" s="10"/>
      <x:c r="Z634" s="9"/>
      <x:c r="AA634" s="9"/>
      <x:c r="AB634" s="9" t="str">
        <x:v>between</x:v>
      </x:c>
      <x:c r="AC634" s="9"/>
      <x:c r="AD634" s="9"/>
      <x:c r="AE634" s="9"/>
      <x:c r="AF634" s="9"/>
      <x:c r="AG634" s="9" t="str">
        <x:v>airplane toy</x:v>
      </x:c>
      <x:c r="AH634" s="9"/>
      <x:c r="AI634" s="11"/>
      <x:c r="AJ634" s="9"/>
      <x:c r="AK634" s="9" t="str">
        <x:v>Eval_Referential_Disambiguation.xlsm</x:v>
      </x:c>
      <x:c r="AL634" s="9" t="str">
        <x:v>GR00T vision-only Results</x:v>
      </x:c>
      <x:c r="AM634" s="9" t="n">
        <x:v>14</x:v>
      </x:c>
      <x:c r="AN634" s="9" t="n">
        <x:v>14</x:v>
      </x:c>
    </x:row>
    <x:row r="635">
      <x:c r="A635" s="9" t="str">
        <x:v>Success</x:v>
      </x:c>
      <x:c r="B635" s="9" t="str">
        <x:v>Referential Disambiguation</x:v>
      </x:c>
      <x:c r="C635" s="10" t="n">
        <x:v>13</x:v>
      </x:c>
      <x:c r="D635" s="9" t="str">
        <x:v>Put the airplane toy between the crushed Coke can and the green pen in the bowl.</x:v>
      </x:c>
      <x:c r="E635" s="9" t="str">
        <x:v>airplane toy with propellers; airplane toy without propellers; crushed Coke can; green pen</x:v>
      </x:c>
      <x:c r="F635" s="9" t="str">
        <x:v>airplane toy without propellers</x:v>
      </x:c>
      <x:c r="G635" s="9"/>
      <x:c r="H635" s="9" t="str">
        <x:v>In-distribution concept baseline</x:v>
      </x:c>
      <x:c r="I635" s="9" t="str">
        <x:v>RD-ID14</x:v>
      </x:c>
      <x:c r="J635" s="9" t="str">
        <x:v>Exact training-supported relation × candidate-category baseline</x:v>
      </x:c>
      <x:c r="K635" s="9"/>
      <x:c r="L635" s="9" t="str">
        <x:v>586</x:v>
      </x:c>
      <x:c r="M635" s="9" t="str">
        <x:v>Exact manifest cell: prompt, relation × candidate-category combination, target identity, and object membership are explicitly represented in training; physical positions are manually recreated with a clear margin.</x:v>
      </x:c>
      <x:c r="N635" s="9" t="n">
        <x:v>1</x:v>
      </x:c>
      <x:c r="O635" s="9" t="str">
        <x:v>Place the 4 listed objects. Arrange Expected Target as the unique answer to the prompt; keep the bowl empty.</x:v>
      </x:c>
      <x:c r="P635" s="9" t="str">
        <x:v>The relation, candidate category, target identity, and object membership occur together in the cited training episode.</x:v>
      </x:c>
      <x:c r="Q635" s="9"/>
      <x:c r="R635" s="10" t="n">
        <x:v>4</x:v>
      </x:c>
      <x:c r="S635" s="10" t="n">
        <x:v>1</x:v>
      </x:c>
      <x:c r="T635" s="9" t="str">
        <x:v>Empty</x:v>
      </x:c>
      <x:c r="U635" s="9"/>
      <x:c r="V635" s="9"/>
      <x:c r="W635" s="9"/>
      <x:c r="X635" s="10"/>
      <x:c r="Y635" s="10"/>
      <x:c r="Z635" s="9"/>
      <x:c r="AA635" s="9"/>
      <x:c r="AB635" s="9" t="str">
        <x:v>between</x:v>
      </x:c>
      <x:c r="AC635" s="9"/>
      <x:c r="AD635" s="9"/>
      <x:c r="AE635" s="9"/>
      <x:c r="AF635" s="9"/>
      <x:c r="AG635" s="9" t="str">
        <x:v>airplane toy</x:v>
      </x:c>
      <x:c r="AH635" s="9"/>
      <x:c r="AI635" s="11"/>
      <x:c r="AJ635" s="9"/>
      <x:c r="AK635" s="9" t="str">
        <x:v>Eval_Referential_Disambiguation.xlsm</x:v>
      </x:c>
      <x:c r="AL635" s="9" t="str">
        <x:v>GR00T vision-only Results</x:v>
      </x:c>
      <x:c r="AM635" s="9" t="n">
        <x:v>15</x:v>
      </x:c>
      <x:c r="AN635" s="9" t="n">
        <x:v>15</x:v>
      </x:c>
    </x:row>
    <x:row r="636">
      <x:c r="A636" s="9" t="str">
        <x:v>Failure</x:v>
      </x:c>
      <x:c r="B636" s="9" t="str">
        <x:v>Referential Disambiguation</x:v>
      </x:c>
      <x:c r="C636" s="10" t="n">
        <x:v>14</x:v>
      </x:c>
      <x:c r="D636" s="9" t="str">
        <x:v>Pick up the airplane toy positioned between the yellow pen and the crushed Coke can, then place it in the bowl.</x:v>
      </x:c>
      <x:c r="E636" s="9" t="str">
        <x:v>airplane toy with propellers; airplane toy without propellers; yellow pen; crushed Coke can; crushed Pepsi can</x:v>
      </x:c>
      <x:c r="F636" s="9" t="str">
        <x:v>airplane toy with propellers</x:v>
      </x:c>
      <x:c r="G636" s="9" t="str">
        <x:v>picked up the yellow pen</x:v>
      </x:c>
      <x:c r="H636" s="9" t="str">
        <x:v>In-distribution concept baseline</x:v>
      </x:c>
      <x:c r="I636" s="9" t="str">
        <x:v>RD-ID15</x:v>
      </x:c>
      <x:c r="J636" s="9" t="str">
        <x:v>Exact training-supported relation × candidate-category baseline</x:v>
      </x:c>
      <x:c r="K636" s="9"/>
      <x:c r="L636" s="9" t="str">
        <x:v>589</x:v>
      </x:c>
      <x:c r="M636" s="9" t="str">
        <x:v>Exact manifest cell: prompt, relation × candidate-category combination, target identity, and object membership are explicitly represented in training; physical positions are manually recreated with a clear margin.</x:v>
      </x:c>
      <x:c r="N636" s="9" t="n">
        <x:v>1</x:v>
      </x:c>
      <x:c r="O636" s="9" t="str">
        <x:v>Place the 5 listed objects. Arrange Expected Target as the unique answer to the prompt; keep the bowl empty.</x:v>
      </x:c>
      <x:c r="P636" s="9" t="str">
        <x:v>The relation, candidate category, target identity, and object membership occur together in the cited training episode.</x:v>
      </x:c>
      <x:c r="Q636" s="9"/>
      <x:c r="R636" s="10" t="n">
        <x:v>5</x:v>
      </x:c>
      <x:c r="S636" s="10" t="n">
        <x:v>1</x:v>
      </x:c>
      <x:c r="T636" s="9" t="str">
        <x:v>Empty</x:v>
      </x:c>
      <x:c r="U636" s="9"/>
      <x:c r="V636" s="9"/>
      <x:c r="W636" s="9"/>
      <x:c r="X636" s="10"/>
      <x:c r="Y636" s="10"/>
      <x:c r="Z636" s="9"/>
      <x:c r="AA636" s="9"/>
      <x:c r="AB636" s="9" t="str">
        <x:v>between</x:v>
      </x:c>
      <x:c r="AC636" s="9"/>
      <x:c r="AD636" s="9"/>
      <x:c r="AE636" s="9"/>
      <x:c r="AF636" s="9"/>
      <x:c r="AG636" s="9" t="str">
        <x:v>airplane toy</x:v>
      </x:c>
      <x:c r="AH636" s="9"/>
      <x:c r="AI636" s="11"/>
      <x:c r="AJ636" s="9"/>
      <x:c r="AK636" s="9" t="str">
        <x:v>Eval_Referential_Disambiguation.xlsm</x:v>
      </x:c>
      <x:c r="AL636" s="9" t="str">
        <x:v>GR00T vision-only Results</x:v>
      </x:c>
      <x:c r="AM636" s="9" t="n">
        <x:v>16</x:v>
      </x:c>
      <x:c r="AN636" s="9" t="n">
        <x:v>16</x:v>
      </x:c>
    </x:row>
    <x:row r="637">
      <x:c r="A637" s="9" t="str">
        <x:v>Failure</x:v>
      </x:c>
      <x:c r="B637" s="9" t="str">
        <x:v>Referential Disambiguation</x:v>
      </x:c>
      <x:c r="C637" s="10" t="n">
        <x:v>15</x:v>
      </x:c>
      <x:c r="D637" s="9" t="str">
        <x:v>Put the pen closest to the crushed Coke can in the bowl.</x:v>
      </x:c>
      <x:c r="E637" s="9" t="str">
        <x:v>green pen; yellow pen; crushed Coke can; crushed Pepsi can</x:v>
      </x:c>
      <x:c r="F637" s="9" t="str">
        <x:v>green pen</x:v>
      </x:c>
      <x:c r="G637" s="9" t="str">
        <x:v>got yellow pen closest to pepse can or furthest from coke can</x:v>
      </x:c>
      <x:c r="H637" s="9" t="str">
        <x:v>In-distribution concept baseline</x:v>
      </x:c>
      <x:c r="I637" s="9" t="str">
        <x:v>RD-ID16</x:v>
      </x:c>
      <x:c r="J637" s="9" t="str">
        <x:v>Exact training-supported relation × candidate-category baseline</x:v>
      </x:c>
      <x:c r="K637" s="9"/>
      <x:c r="L637" s="9" t="str">
        <x:v>514</x:v>
      </x:c>
      <x:c r="M637" s="9" t="str">
        <x:v>Exact manifest cell: prompt, relation × candidate-category combination, target identity, and object membership are explicitly represented in training; physical positions are manually recreated with a clear margin.</x:v>
      </x:c>
      <x:c r="N637" s="9" t="n">
        <x:v>1</x:v>
      </x:c>
      <x:c r="O637" s="9" t="str">
        <x:v>Place the 4 listed objects. Arrange Expected Target as the unique answer to the prompt; keep the bowl empty.</x:v>
      </x:c>
      <x:c r="P637" s="9" t="str">
        <x:v>The relation, candidate category, target identity, and object membership occur together in the cited training episode.</x:v>
      </x:c>
      <x:c r="Q637" s="9"/>
      <x:c r="R637" s="10" t="n">
        <x:v>4</x:v>
      </x:c>
      <x:c r="S637" s="10" t="n">
        <x:v>1</x:v>
      </x:c>
      <x:c r="T637" s="9" t="str">
        <x:v>Empty</x:v>
      </x:c>
      <x:c r="U637" s="9"/>
      <x:c r="V637" s="9"/>
      <x:c r="W637" s="9"/>
      <x:c r="X637" s="10"/>
      <x:c r="Y637" s="10"/>
      <x:c r="Z637" s="9"/>
      <x:c r="AA637" s="9"/>
      <x:c r="AB637" s="9" t="str">
        <x:v>closest</x:v>
      </x:c>
      <x:c r="AC637" s="9"/>
      <x:c r="AD637" s="9"/>
      <x:c r="AE637" s="9"/>
      <x:c r="AF637" s="9"/>
      <x:c r="AG637" s="9" t="str">
        <x:v>pen</x:v>
      </x:c>
      <x:c r="AH637" s="9"/>
      <x:c r="AI637" s="11"/>
      <x:c r="AJ637" s="9"/>
      <x:c r="AK637" s="9" t="str">
        <x:v>Eval_Referential_Disambiguation.xlsm</x:v>
      </x:c>
      <x:c r="AL637" s="9" t="str">
        <x:v>GR00T vision-only Results</x:v>
      </x:c>
      <x:c r="AM637" s="9" t="n">
        <x:v>17</x:v>
      </x:c>
      <x:c r="AN637" s="9" t="n">
        <x:v>17</x:v>
      </x:c>
    </x:row>
    <x:row r="638">
      <x:c r="A638" s="9" t="str">
        <x:v>Success</x:v>
      </x:c>
      <x:c r="B638" s="9" t="str">
        <x:v>Referential Disambiguation</x:v>
      </x:c>
      <x:c r="C638" s="10" t="n">
        <x:v>16</x:v>
      </x:c>
      <x:c r="D638" s="9" t="str">
        <x:v>Put the pen closest to the red pencil sharpener in the bowl.</x:v>
      </x:c>
      <x:c r="E638" s="9" t="str">
        <x:v>green pen; yellow pen; red pencil sharpener; airplane toy without propellers</x:v>
      </x:c>
      <x:c r="F638" s="9" t="str">
        <x:v>yellow pen</x:v>
      </x:c>
      <x:c r="G638" s="9"/>
      <x:c r="H638" s="9" t="str">
        <x:v>In-distribution concept baseline</x:v>
      </x:c>
      <x:c r="I638" s="9" t="str">
        <x:v>RD-ID17</x:v>
      </x:c>
      <x:c r="J638" s="9" t="str">
        <x:v>Exact training-supported relation × candidate-category baseline</x:v>
      </x:c>
      <x:c r="K638" s="9"/>
      <x:c r="L638" s="9" t="str">
        <x:v>501</x:v>
      </x:c>
      <x:c r="M638" s="9" t="str">
        <x:v>Exact manifest cell: prompt, relation × candidate-category combination, target identity, and object membership are explicitly represented in training; physical positions are manually recreated with a clear margin.</x:v>
      </x:c>
      <x:c r="N638" s="9" t="n">
        <x:v>1</x:v>
      </x:c>
      <x:c r="O638" s="9" t="str">
        <x:v>Place the 4 listed objects. Arrange Expected Target as the unique answer to the prompt; keep the bowl empty.</x:v>
      </x:c>
      <x:c r="P638" s="9" t="str">
        <x:v>The relation, candidate category, target identity, and object membership occur together in the cited training episode.</x:v>
      </x:c>
      <x:c r="Q638" s="9"/>
      <x:c r="R638" s="10" t="n">
        <x:v>4</x:v>
      </x:c>
      <x:c r="S638" s="10" t="n">
        <x:v>1</x:v>
      </x:c>
      <x:c r="T638" s="9" t="str">
        <x:v>Empty</x:v>
      </x:c>
      <x:c r="U638" s="9"/>
      <x:c r="V638" s="9"/>
      <x:c r="W638" s="9"/>
      <x:c r="X638" s="10"/>
      <x:c r="Y638" s="10"/>
      <x:c r="Z638" s="9"/>
      <x:c r="AA638" s="9"/>
      <x:c r="AB638" s="9" t="str">
        <x:v>closest</x:v>
      </x:c>
      <x:c r="AC638" s="9"/>
      <x:c r="AD638" s="9"/>
      <x:c r="AE638" s="9"/>
      <x:c r="AF638" s="9"/>
      <x:c r="AG638" s="9" t="str">
        <x:v>pen</x:v>
      </x:c>
      <x:c r="AH638" s="9"/>
      <x:c r="AI638" s="11"/>
      <x:c r="AJ638" s="9"/>
      <x:c r="AK638" s="9" t="str">
        <x:v>Eval_Referential_Disambiguation.xlsm</x:v>
      </x:c>
      <x:c r="AL638" s="9" t="str">
        <x:v>GR00T vision-only Results</x:v>
      </x:c>
      <x:c r="AM638" s="9" t="n">
        <x:v>18</x:v>
      </x:c>
      <x:c r="AN638" s="9" t="n">
        <x:v>18</x:v>
      </x:c>
    </x:row>
    <x:row r="639">
      <x:c r="A639" s="9" t="str">
        <x:v>Success</x:v>
      </x:c>
      <x:c r="B639" s="9" t="str">
        <x:v>Referential Disambiguation</x:v>
      </x:c>
      <x:c r="C639" s="10" t="n">
        <x:v>17</x:v>
      </x:c>
      <x:c r="D639" s="9" t="str">
        <x:v>Pick up the pen furthest from the crushed Coke can and place it in the bowl.</x:v>
      </x:c>
      <x:c r="E639" s="9" t="str">
        <x:v>green pen; yellow pen; crushed Coke can</x:v>
      </x:c>
      <x:c r="F639" s="9" t="str">
        <x:v>yellow pen</x:v>
      </x:c>
      <x:c r="G639" s="9"/>
      <x:c r="H639" s="9" t="str">
        <x:v>In-distribution concept baseline</x:v>
      </x:c>
      <x:c r="I639" s="9" t="str">
        <x:v>RD-ID18</x:v>
      </x:c>
      <x:c r="J639" s="9" t="str">
        <x:v>Exact training-supported relation × candidate-category baseline</x:v>
      </x:c>
      <x:c r="K639" s="9"/>
      <x:c r="L639" s="9" t="str">
        <x:v>515</x:v>
      </x:c>
      <x:c r="M639" s="9" t="str">
        <x:v>Exact manifest cell: prompt, relation × candidate-category combination, target identity, and object membership are explicitly represented in training; physical positions are manually recreated with a clear margin.</x:v>
      </x:c>
      <x:c r="N639" s="9" t="n">
        <x:v>1</x:v>
      </x:c>
      <x:c r="O639" s="9" t="str">
        <x:v>Place the 3 listed objects. Arrange Expected Target as the unique answer to the prompt; keep the bowl empty.</x:v>
      </x:c>
      <x:c r="P639" s="9" t="str">
        <x:v>The relation, candidate category, target identity, and object membership occur together in the cited training episode.</x:v>
      </x:c>
      <x:c r="Q639" s="9"/>
      <x:c r="R639" s="10" t="n">
        <x:v>3</x:v>
      </x:c>
      <x:c r="S639" s="10" t="n">
        <x:v>1</x:v>
      </x:c>
      <x:c r="T639" s="9" t="str">
        <x:v>Empty</x:v>
      </x:c>
      <x:c r="U639" s="9"/>
      <x:c r="V639" s="9"/>
      <x:c r="W639" s="9"/>
      <x:c r="X639" s="10"/>
      <x:c r="Y639" s="10"/>
      <x:c r="Z639" s="9"/>
      <x:c r="AA639" s="9"/>
      <x:c r="AB639" s="9" t="str">
        <x:v>furthest</x:v>
      </x:c>
      <x:c r="AC639" s="9"/>
      <x:c r="AD639" s="9"/>
      <x:c r="AE639" s="9"/>
      <x:c r="AF639" s="9"/>
      <x:c r="AG639" s="9" t="str">
        <x:v>pen</x:v>
      </x:c>
      <x:c r="AH639" s="9"/>
      <x:c r="AI639" s="11"/>
      <x:c r="AJ639" s="9"/>
      <x:c r="AK639" s="9" t="str">
        <x:v>Eval_Referential_Disambiguation.xlsm</x:v>
      </x:c>
      <x:c r="AL639" s="9" t="str">
        <x:v>GR00T vision-only Results</x:v>
      </x:c>
      <x:c r="AM639" s="9" t="n">
        <x:v>19</x:v>
      </x:c>
      <x:c r="AN639" s="9" t="n">
        <x:v>19</x:v>
      </x:c>
    </x:row>
    <x:row r="640">
      <x:c r="A640" s="9" t="str">
        <x:v>Failure</x:v>
      </x:c>
      <x:c r="B640" s="9" t="str">
        <x:v>Referential Disambiguation</x:v>
      </x:c>
      <x:c r="C640" s="10" t="n">
        <x:v>18</x:v>
      </x:c>
      <x:c r="D640" s="9" t="str">
        <x:v>Pick up the pen furthest from the crushed Pepsi can and place it in the bowl.</x:v>
      </x:c>
      <x:c r="E640" s="9" t="str">
        <x:v>green pen; yellow pen; crushed Pepsi can; green pencil sharpener</x:v>
      </x:c>
      <x:c r="F640" s="9" t="str">
        <x:v>green pen</x:v>
      </x:c>
      <x:c r="G640" s="9" t="str">
        <x:v>picked the yellow pen</x:v>
      </x:c>
      <x:c r="H640" s="9" t="str">
        <x:v>In-distribution concept baseline</x:v>
      </x:c>
      <x:c r="I640" s="9" t="str">
        <x:v>RD-ID19</x:v>
      </x:c>
      <x:c r="J640" s="9" t="str">
        <x:v>Exact training-supported relation × candidate-category baseline</x:v>
      </x:c>
      <x:c r="K640" s="9"/>
      <x:c r="L640" s="9" t="str">
        <x:v>516</x:v>
      </x:c>
      <x:c r="M640" s="9" t="str">
        <x:v>Exact manifest cell: prompt, relation × candidate-category combination, target identity, and object membership are explicitly represented in training; physical positions are manually recreated with a clear margin.</x:v>
      </x:c>
      <x:c r="N640" s="9" t="n">
        <x:v>1</x:v>
      </x:c>
      <x:c r="O640" s="9" t="str">
        <x:v>Place the 4 listed objects. Arrange Expected Target as the unique answer to the prompt; keep the bowl empty.</x:v>
      </x:c>
      <x:c r="P640" s="9" t="str">
        <x:v>The relation, candidate category, target identity, and object membership occur together in the cited training episode.</x:v>
      </x:c>
      <x:c r="Q640" s="9"/>
      <x:c r="R640" s="10" t="n">
        <x:v>4</x:v>
      </x:c>
      <x:c r="S640" s="10" t="n">
        <x:v>1</x:v>
      </x:c>
      <x:c r="T640" s="9" t="str">
        <x:v>Empty</x:v>
      </x:c>
      <x:c r="U640" s="9"/>
      <x:c r="V640" s="9"/>
      <x:c r="W640" s="9"/>
      <x:c r="X640" s="10"/>
      <x:c r="Y640" s="10"/>
      <x:c r="Z640" s="9"/>
      <x:c r="AA640" s="9"/>
      <x:c r="AB640" s="9" t="str">
        <x:v>furthest</x:v>
      </x:c>
      <x:c r="AC640" s="9"/>
      <x:c r="AD640" s="9"/>
      <x:c r="AE640" s="9"/>
      <x:c r="AF640" s="9"/>
      <x:c r="AG640" s="9" t="str">
        <x:v>pen</x:v>
      </x:c>
      <x:c r="AH640" s="9"/>
      <x:c r="AI640" s="11"/>
      <x:c r="AJ640" s="9"/>
      <x:c r="AK640" s="9" t="str">
        <x:v>Eval_Referential_Disambiguation.xlsm</x:v>
      </x:c>
      <x:c r="AL640" s="9" t="str">
        <x:v>GR00T vision-only Results</x:v>
      </x:c>
      <x:c r="AM640" s="9" t="n">
        <x:v>20</x:v>
      </x:c>
      <x:c r="AN640" s="9" t="n">
        <x:v>20</x:v>
      </x:c>
    </x:row>
    <x:row r="641">
      <x:c r="A641" s="9" t="str">
        <x:v>Failure</x:v>
      </x:c>
      <x:c r="B641" s="9" t="str">
        <x:v>Referential Disambiguation</x:v>
      </x:c>
      <x:c r="C641" s="10" t="n">
        <x:v>19</x:v>
      </x:c>
      <x:c r="D641" s="9" t="str">
        <x:v>Pick up the pen furthest from the airplane toy with propellers and place it in the bowl.</x:v>
      </x:c>
      <x:c r="E641" s="9" t="str">
        <x:v>green pen; yellow pen; airplane toy with propellers</x:v>
      </x:c>
      <x:c r="F641" s="9" t="str">
        <x:v>yellow pen</x:v>
      </x:c>
      <x:c r="G641" s="9" t="str">
        <x:v>picked the green pen</x:v>
      </x:c>
      <x:c r="H641" s="9" t="str">
        <x:v>In-distribution concept baseline</x:v>
      </x:c>
      <x:c r="I641" s="9" t="str">
        <x:v>RD-ID20</x:v>
      </x:c>
      <x:c r="J641" s="9" t="str">
        <x:v>Exact training-supported relation × candidate-category baseline</x:v>
      </x:c>
      <x:c r="K641" s="9"/>
      <x:c r="L641" s="9" t="str">
        <x:v>517</x:v>
      </x:c>
      <x:c r="M641" s="9" t="str">
        <x:v>Exact manifest cell: prompt, relation × candidate-category combination, target identity, and object membership are explicitly represented in training; physical positions are manually recreated with a clear margin.</x:v>
      </x:c>
      <x:c r="N641" s="9" t="n">
        <x:v>1</x:v>
      </x:c>
      <x:c r="O641" s="9" t="str">
        <x:v>Place the 3 listed objects. Arrange Expected Target as the unique answer to the prompt; keep the bowl empty.</x:v>
      </x:c>
      <x:c r="P641" s="9" t="str">
        <x:v>The relation, candidate category, target identity, and object membership occur together in the cited training episode.</x:v>
      </x:c>
      <x:c r="Q641" s="9"/>
      <x:c r="R641" s="10" t="n">
        <x:v>3</x:v>
      </x:c>
      <x:c r="S641" s="10" t="n">
        <x:v>1</x:v>
      </x:c>
      <x:c r="T641" s="9" t="str">
        <x:v>Empty</x:v>
      </x:c>
      <x:c r="U641" s="9"/>
      <x:c r="V641" s="9"/>
      <x:c r="W641" s="9"/>
      <x:c r="X641" s="10"/>
      <x:c r="Y641" s="10"/>
      <x:c r="Z641" s="9"/>
      <x:c r="AA641" s="9"/>
      <x:c r="AB641" s="9" t="str">
        <x:v>furthest</x:v>
      </x:c>
      <x:c r="AC641" s="9"/>
      <x:c r="AD641" s="9"/>
      <x:c r="AE641" s="9"/>
      <x:c r="AF641" s="9"/>
      <x:c r="AG641" s="9" t="str">
        <x:v>pen</x:v>
      </x:c>
      <x:c r="AH641" s="9"/>
      <x:c r="AI641" s="11"/>
      <x:c r="AJ641" s="9"/>
      <x:c r="AK641" s="9" t="str">
        <x:v>Eval_Referential_Disambiguation.xlsm</x:v>
      </x:c>
      <x:c r="AL641" s="9" t="str">
        <x:v>GR00T vision-only Results</x:v>
      </x:c>
      <x:c r="AM641" s="9" t="n">
        <x:v>21</x:v>
      </x:c>
      <x:c r="AN641" s="9" t="n">
        <x:v>21</x:v>
      </x:c>
    </x:row>
    <x:row r="642">
      <x:c r="A642" s="9" t="str">
        <x:v>Failure</x:v>
      </x:c>
      <x:c r="B642" s="9" t="str">
        <x:v>Referential Disambiguation</x:v>
      </x:c>
      <x:c r="C642" s="10" t="n">
        <x:v>20</x:v>
      </x:c>
      <x:c r="D642" s="9" t="str">
        <x:v>Pick up the airplane toy furthest from the green pen and place it in the bowl.</x:v>
      </x:c>
      <x:c r="E642" s="9" t="str">
        <x:v>airplane toy with propellers; airplane toy without propellers; green pen</x:v>
      </x:c>
      <x:c r="F642" s="9" t="str">
        <x:v>airplane toy with propellers</x:v>
      </x:c>
      <x:c r="G642" s="9" t="str">
        <x:v>reasoning success. went for the correct airplane toy, dropped it and during recovery went for the other one</x:v>
      </x:c>
      <x:c r="H642" s="9" t="str">
        <x:v>Concept/compositional transfer</x:v>
      </x:c>
      <x:c r="I642" s="9" t="str">
        <x:v>RD-CT01</x:v>
      </x:c>
      <x:c r="J642" s="9" t="str">
        <x:v>Primary held-out relation × candidate-category composition — Pick up</x:v>
      </x:c>
      <x:c r="K642" s="9"/>
      <x:c r="L642" s="9" t="str">
        <x:v>566</x:v>
      </x:c>
      <x:c r="M642" s="9" t="str">
        <x:v>Masked source trajectory: the target identity and physical manipulation are trained under a direct-name prompt, while this relation × candidate-category composition is intentionally absent.</x:v>
      </x:c>
      <x:c r="N642" s="9" t="n">
        <x:v>2</x:v>
      </x:c>
      <x:c r="O642" s="9" t="str">
        <x:v>Place the listed objects. Arrange Expected Target as the unique answer to the prompt; keep the bowl empty and save a reference image.</x:v>
      </x:c>
      <x:c r="P642" s="9" t="str">
        <x:v>Both candidates are present. The held-out relation is the only information that identifies the target.</x:v>
      </x:c>
      <x:c r="Q642" s="9"/>
      <x:c r="R642" s="10" t="n">
        <x:v>3</x:v>
      </x:c>
      <x:c r="S642" s="10" t="n">
        <x:v>1</x:v>
      </x:c>
      <x:c r="T642" s="9" t="str">
        <x:v>Empty</x:v>
      </x:c>
      <x:c r="U642" s="9"/>
      <x:c r="V642" s="9"/>
      <x:c r="W642" s="9"/>
      <x:c r="X642" s="10"/>
      <x:c r="Y642" s="10"/>
      <x:c r="Z642" s="9"/>
      <x:c r="AA642" s="9"/>
      <x:c r="AB642" s="9" t="str">
        <x:v>furthest</x:v>
      </x:c>
      <x:c r="AC642" s="9"/>
      <x:c r="AD642" s="9"/>
      <x:c r="AE642" s="9"/>
      <x:c r="AF642" s="9"/>
      <x:c r="AG642" s="9" t="str">
        <x:v>airplane toy</x:v>
      </x:c>
      <x:c r="AH642" s="9"/>
      <x:c r="AI642" s="11"/>
      <x:c r="AJ642" s="9"/>
      <x:c r="AK642" s="9" t="str">
        <x:v>Eval_Referential_Disambiguation.xlsm</x:v>
      </x:c>
      <x:c r="AL642" s="9" t="str">
        <x:v>GR00T vision-only Results</x:v>
      </x:c>
      <x:c r="AM642" s="9" t="n">
        <x:v>22</x:v>
      </x:c>
      <x:c r="AN642" s="9" t="n">
        <x:v>22</x:v>
      </x:c>
    </x:row>
    <x:row r="643">
      <x:c r="A643" s="9" t="str">
        <x:v>Success</x:v>
      </x:c>
      <x:c r="B643" s="9" t="str">
        <x:v>Referential Disambiguation</x:v>
      </x:c>
      <x:c r="C643" s="10" t="n">
        <x:v>21</x:v>
      </x:c>
      <x:c r="D643" s="9" t="str">
        <x:v>Put the airplane toy with propellers in the bowl.</x:v>
      </x:c>
      <x:c r="E643" s="9" t="str">
        <x:v>airplane toy with propellers; airplane toy without propellers; green pen</x:v>
      </x:c>
      <x:c r="F643" s="9" t="str">
        <x:v>airplane toy with propellers</x:v>
      </x:c>
      <x:c r="G643" s="9" t="str">
        <x:v>went for the correct airplane toy, dropped it and recovered </x:v>
      </x:c>
      <x:c r="H643" s="9" t="str">
        <x:v>Matched manipulation control</x:v>
      </x:c>
      <x:c r="I643" s="9" t="str">
        <x:v>RD-CT01</x:v>
      </x:c>
      <x:c r="J643" s="9" t="str">
        <x:v>Exact-scene direct-identity manipulation control</x:v>
      </x:c>
      <x:c r="K643" s="9" t="n">
        <x:v>20</x:v>
      </x:c>
      <x:c r="L643" s="9" t="str">
        <x:v>566</x:v>
      </x:c>
      <x:c r="M643" s="9" t="str">
        <x:v>Exact masked-cell training prompt for the same target identity. The evaluation scene and physical endpoint are identical to the paired transfer row.</x:v>
      </x:c>
      <x:c r="N643" s="9" t="n">
        <x:v>2</x:v>
      </x:c>
      <x:c r="O643" s="9" t="str">
        <x:v>Reset the moved object exactly; preserve the scene; change only the instruction.</x:v>
      </x:c>
      <x:c r="P643" s="9" t="str">
        <x:v>Controls recognition and manipulation of the same target without requiring referential reasoning.</x:v>
      </x:c>
      <x:c r="Q643" s="9"/>
      <x:c r="R643" s="10" t="n">
        <x:v>3</x:v>
      </x:c>
      <x:c r="S643" s="10" t="n">
        <x:v>1</x:v>
      </x:c>
      <x:c r="T643" s="9" t="str">
        <x:v>Empty</x:v>
      </x:c>
      <x:c r="U643" s="9"/>
      <x:c r="V643" s="9"/>
      <x:c r="W643" s="9"/>
      <x:c r="X643" s="10"/>
      <x:c r="Y643" s="10"/>
      <x:c r="Z643" s="9"/>
      <x:c r="AA643" s="9"/>
      <x:c r="AB643" s="9" t="str">
        <x:v>direct name</x:v>
      </x:c>
      <x:c r="AC643" s="9"/>
      <x:c r="AD643" s="9"/>
      <x:c r="AE643" s="9"/>
      <x:c r="AF643" s="9"/>
      <x:c r="AG643" s="9" t="str">
        <x:v>airplane toy</x:v>
      </x:c>
      <x:c r="AH643" s="9"/>
      <x:c r="AI643" s="11"/>
      <x:c r="AJ643" s="9"/>
      <x:c r="AK643" s="9" t="str">
        <x:v>Eval_Referential_Disambiguation.xlsm</x:v>
      </x:c>
      <x:c r="AL643" s="9" t="str">
        <x:v>GR00T vision-only Results</x:v>
      </x:c>
      <x:c r="AM643" s="9" t="n">
        <x:v>23</x:v>
      </x:c>
      <x:c r="AN643" s="9" t="n">
        <x:v>23</x:v>
      </x:c>
    </x:row>
    <x:row r="644">
      <x:c r="A644" s="9" t="str">
        <x:v>Failure</x:v>
      </x:c>
      <x:c r="B644" s="9" t="str">
        <x:v>Referential Disambiguation</x:v>
      </x:c>
      <x:c r="C644" s="10" t="n">
        <x:v>22</x:v>
      </x:c>
      <x:c r="D644" s="9" t="str">
        <x:v>Choose the airplane toy farthest from the green pen and put it in the bowl.</x:v>
      </x:c>
      <x:c r="E644" s="9" t="str">
        <x:v>airplane toy with propellers; airplane toy without propellers; green pen</x:v>
      </x:c>
      <x:c r="F644" s="9" t="str">
        <x:v>airplane toy with propellers</x:v>
      </x:c>
      <x:c r="G644" s="9" t="str">
        <x:v>reasoning success. got the correct toy, but over gripped it and dropped it. never recovered</x:v>
      </x:c>
      <x:c r="H644" s="9" t="str">
        <x:v>Language robustness</x:v>
      </x:c>
      <x:c r="I644" s="9" t="str">
        <x:v>RD-CT01</x:v>
      </x:c>
      <x:c r="J644" s="9" t="str">
        <x:v>Primary compositional-transfer prompt paraphrase</x:v>
      </x:c>
      <x:c r="K644" s="9" t="n">
        <x:v>20</x:v>
      </x:c>
      <x:c r="L644" s="9" t="str">
        <x:v>566</x:v>
      </x:c>
      <x:c r="M644" s="9" t="str">
        <x:v>Exact canonical transfer scene and masked trajectory reference; only the instruction wording changes. This remains a separate language diagnostic.</x:v>
      </x:c>
      <x:c r="N644" s="9" t="n">
        <x:v>2</x:v>
      </x:c>
      <x:c r="O644" s="9" t="str">
        <x:v>Reset the moved object exactly; preserve the scene; change only the wording.</x:v>
      </x:c>
      <x:c r="P644" s="9" t="str">
        <x:v>One of 10 exact-scene paraphrases of canonical transfer trials.</x:v>
      </x:c>
      <x:c r="Q644" s="9"/>
      <x:c r="R644" s="10" t="n">
        <x:v>3</x:v>
      </x:c>
      <x:c r="S644" s="10" t="n">
        <x:v>1</x:v>
      </x:c>
      <x:c r="T644" s="9" t="str">
        <x:v>Empty</x:v>
      </x:c>
      <x:c r="U644" s="9"/>
      <x:c r="V644" s="9"/>
      <x:c r="W644" s="9"/>
      <x:c r="X644" s="10"/>
      <x:c r="Y644" s="10"/>
      <x:c r="Z644" s="9"/>
      <x:c r="AA644" s="9"/>
      <x:c r="AB644" s="9" t="str">
        <x:v>furthest</x:v>
      </x:c>
      <x:c r="AC644" s="9"/>
      <x:c r="AD644" s="9"/>
      <x:c r="AE644" s="9"/>
      <x:c r="AF644" s="9"/>
      <x:c r="AG644" s="9" t="str">
        <x:v>airplane toy</x:v>
      </x:c>
      <x:c r="AH644" s="9"/>
      <x:c r="AI644" s="11"/>
      <x:c r="AJ644" s="9"/>
      <x:c r="AK644" s="9" t="str">
        <x:v>Eval_Referential_Disambiguation.xlsm</x:v>
      </x:c>
      <x:c r="AL644" s="9" t="str">
        <x:v>GR00T vision-only Results</x:v>
      </x:c>
      <x:c r="AM644" s="9" t="n">
        <x:v>24</x:v>
      </x:c>
      <x:c r="AN644" s="9" t="n">
        <x:v>24</x:v>
      </x:c>
    </x:row>
    <x:row r="645">
      <x:c r="A645" s="9" t="str">
        <x:v>Success</x:v>
      </x:c>
      <x:c r="B645" s="9" t="str">
        <x:v>Referential Disambiguation</x:v>
      </x:c>
      <x:c r="C645" s="10" t="n">
        <x:v>23</x:v>
      </x:c>
      <x:c r="D645" s="9" t="str">
        <x:v>Take the airplane toy with propellers and set it in the bowl.</x:v>
      </x:c>
      <x:c r="E645" s="9" t="str">
        <x:v>airplane toy with propellers; airplane toy without propellers; green pen</x:v>
      </x:c>
      <x:c r="F645" s="9" t="str">
        <x:v>airplane toy with propellers</x:v>
      </x:c>
      <x:c r="G645" s="9" t="str">
        <x:v>dropped and recovered</x:v>
      </x:c>
      <x:c r="H645" s="9" t="str">
        <x:v>Language robustness</x:v>
      </x:c>
      <x:c r="I645" s="9" t="str">
        <x:v>RD-CT01</x:v>
      </x:c>
      <x:c r="J645" s="9" t="str">
        <x:v>Matched-control direct-name prompt paraphrase</x:v>
      </x:c>
      <x:c r="K645" s="9" t="n">
        <x:v>21</x:v>
      </x:c>
      <x:c r="L645" s="9" t="str">
        <x:v>566</x:v>
      </x:c>
      <x:c r="M645" s="9" t="str">
        <x:v>Exact matched-control scene and target; only the direct-name instruction wording changes.</x:v>
      </x:c>
      <x:c r="N645" s="9" t="n">
        <x:v>2</x:v>
      </x:c>
      <x:c r="O645" s="9" t="str">
        <x:v>Reset the moved object exactly; preserve the scene; change only the wording.</x:v>
      </x:c>
      <x:c r="P645" s="9" t="str">
        <x:v>One of 10 exact-scene paraphrases of matched manipulation controls.</x:v>
      </x:c>
      <x:c r="Q645" s="9"/>
      <x:c r="R645" s="10" t="n">
        <x:v>3</x:v>
      </x:c>
      <x:c r="S645" s="10" t="n">
        <x:v>1</x:v>
      </x:c>
      <x:c r="T645" s="9" t="str">
        <x:v>Empty</x:v>
      </x:c>
      <x:c r="U645" s="9"/>
      <x:c r="V645" s="9"/>
      <x:c r="W645" s="9"/>
      <x:c r="X645" s="10"/>
      <x:c r="Y645" s="10"/>
      <x:c r="Z645" s="9"/>
      <x:c r="AA645" s="9"/>
      <x:c r="AB645" s="9" t="str">
        <x:v>direct-name paraphrase</x:v>
      </x:c>
      <x:c r="AC645" s="9"/>
      <x:c r="AD645" s="9"/>
      <x:c r="AE645" s="9"/>
      <x:c r="AF645" s="9"/>
      <x:c r="AG645" s="9" t="str">
        <x:v>airplane toy</x:v>
      </x:c>
      <x:c r="AH645" s="9"/>
      <x:c r="AI645" s="11"/>
      <x:c r="AJ645" s="9"/>
      <x:c r="AK645" s="9" t="str">
        <x:v>Eval_Referential_Disambiguation.xlsm</x:v>
      </x:c>
      <x:c r="AL645" s="9" t="str">
        <x:v>GR00T vision-only Results</x:v>
      </x:c>
      <x:c r="AM645" s="9" t="n">
        <x:v>25</x:v>
      </x:c>
      <x:c r="AN645" s="9" t="n">
        <x:v>25</x:v>
      </x:c>
    </x:row>
    <x:row r="646">
      <x:c r="A646" s="9" t="str">
        <x:v>Success</x:v>
      </x:c>
      <x:c r="B646" s="9" t="str">
        <x:v>Referential Disambiguation</x:v>
      </x:c>
      <x:c r="C646" s="10" t="n">
        <x:v>24</x:v>
      </x:c>
      <x:c r="D646" s="9" t="str">
        <x:v>Pick up the crushed soda can closest to the green pen and place it in the bowl.</x:v>
      </x:c>
      <x:c r="E646" s="9" t="str">
        <x:v>crushed Coke can; crushed Pepsi can; green pen</x:v>
      </x:c>
      <x:c r="F646" s="9" t="str">
        <x:v>crushed Coke can</x:v>
      </x:c>
      <x:c r="G646" s="9"/>
      <x:c r="H646" s="9" t="str">
        <x:v>Concept/compositional transfer</x:v>
      </x:c>
      <x:c r="I646" s="9" t="str">
        <x:v>RD-CT02</x:v>
      </x:c>
      <x:c r="J646" s="9" t="str">
        <x:v>Primary held-out relation × candidate-category composition — Pick up</x:v>
      </x:c>
      <x:c r="K646" s="9"/>
      <x:c r="L646" s="9" t="str">
        <x:v>400</x:v>
      </x:c>
      <x:c r="M646" s="9" t="str">
        <x:v>Masked source trajectory: the target identity and physical manipulation are trained under a direct-name prompt, while this relation × candidate-category composition is intentionally absent.</x:v>
      </x:c>
      <x:c r="N646" s="9" t="n">
        <x:v>2</x:v>
      </x:c>
      <x:c r="O646" s="9" t="str">
        <x:v>Place the listed objects. Arrange Expected Target as the unique answer to the prompt; keep the bowl empty and save a reference image.</x:v>
      </x:c>
      <x:c r="P646" s="9" t="str">
        <x:v>Both candidates are present. The held-out relation is the only information that identifies the target.</x:v>
      </x:c>
      <x:c r="Q646" s="9"/>
      <x:c r="R646" s="10" t="n">
        <x:v>3</x:v>
      </x:c>
      <x:c r="S646" s="10" t="n">
        <x:v>1</x:v>
      </x:c>
      <x:c r="T646" s="9" t="str">
        <x:v>Empty</x:v>
      </x:c>
      <x:c r="U646" s="9"/>
      <x:c r="V646" s="9"/>
      <x:c r="W646" s="9"/>
      <x:c r="X646" s="10"/>
      <x:c r="Y646" s="10"/>
      <x:c r="Z646" s="9"/>
      <x:c r="AA646" s="9"/>
      <x:c r="AB646" s="9" t="str">
        <x:v>closest</x:v>
      </x:c>
      <x:c r="AC646" s="9"/>
      <x:c r="AD646" s="9"/>
      <x:c r="AE646" s="9"/>
      <x:c r="AF646" s="9"/>
      <x:c r="AG646" s="9" t="str">
        <x:v>crushed soda can</x:v>
      </x:c>
      <x:c r="AH646" s="9"/>
      <x:c r="AI646" s="11"/>
      <x:c r="AJ646" s="9"/>
      <x:c r="AK646" s="9" t="str">
        <x:v>Eval_Referential_Disambiguation.xlsm</x:v>
      </x:c>
      <x:c r="AL646" s="9" t="str">
        <x:v>GR00T vision-only Results</x:v>
      </x:c>
      <x:c r="AM646" s="9" t="n">
        <x:v>26</x:v>
      </x:c>
      <x:c r="AN646" s="9" t="n">
        <x:v>26</x:v>
      </x:c>
    </x:row>
    <x:row r="647">
      <x:c r="A647" s="9" t="str">
        <x:v>Success</x:v>
      </x:c>
      <x:c r="B647" s="9" t="str">
        <x:v>Referential Disambiguation</x:v>
      </x:c>
      <x:c r="C647" s="10" t="n">
        <x:v>25</x:v>
      </x:c>
      <x:c r="D647" s="9" t="str">
        <x:v>Put the crushed Coke can in the bowl.</x:v>
      </x:c>
      <x:c r="E647" s="9" t="str">
        <x:v>crushed Coke can; crushed Pepsi can; green pen</x:v>
      </x:c>
      <x:c r="F647" s="9" t="str">
        <x:v>crushed Coke can</x:v>
      </x:c>
      <x:c r="G647" s="9"/>
      <x:c r="H647" s="9" t="str">
        <x:v>Matched manipulation control</x:v>
      </x:c>
      <x:c r="I647" s="9" t="str">
        <x:v>RD-CT02</x:v>
      </x:c>
      <x:c r="J647" s="9" t="str">
        <x:v>Exact-scene direct-identity manipulation control</x:v>
      </x:c>
      <x:c r="K647" s="9" t="n">
        <x:v>24</x:v>
      </x:c>
      <x:c r="L647" s="9" t="str">
        <x:v>400</x:v>
      </x:c>
      <x:c r="M647" s="9" t="str">
        <x:v>Exact masked-cell training prompt for the same target identity. The evaluation scene and physical endpoint are identical to the paired transfer row.</x:v>
      </x:c>
      <x:c r="N647" s="9" t="n">
        <x:v>2</x:v>
      </x:c>
      <x:c r="O647" s="9" t="str">
        <x:v>Reset the moved object exactly; preserve the scene; change only the instruction.</x:v>
      </x:c>
      <x:c r="P647" s="9" t="str">
        <x:v>Controls recognition and manipulation of the same target without requiring referential reasoning.</x:v>
      </x:c>
      <x:c r="Q647" s="9"/>
      <x:c r="R647" s="10" t="n">
        <x:v>3</x:v>
      </x:c>
      <x:c r="S647" s="10" t="n">
        <x:v>1</x:v>
      </x:c>
      <x:c r="T647" s="9" t="str">
        <x:v>Empty</x:v>
      </x:c>
      <x:c r="U647" s="9"/>
      <x:c r="V647" s="9"/>
      <x:c r="W647" s="9"/>
      <x:c r="X647" s="10"/>
      <x:c r="Y647" s="10"/>
      <x:c r="Z647" s="9"/>
      <x:c r="AA647" s="9"/>
      <x:c r="AB647" s="9" t="str">
        <x:v>direct name</x:v>
      </x:c>
      <x:c r="AC647" s="9"/>
      <x:c r="AD647" s="9"/>
      <x:c r="AE647" s="9"/>
      <x:c r="AF647" s="9"/>
      <x:c r="AG647" s="9" t="str">
        <x:v>crushed soda can</x:v>
      </x:c>
      <x:c r="AH647" s="9"/>
      <x:c r="AI647" s="11"/>
      <x:c r="AJ647" s="9"/>
      <x:c r="AK647" s="9" t="str">
        <x:v>Eval_Referential_Disambiguation.xlsm</x:v>
      </x:c>
      <x:c r="AL647" s="9" t="str">
        <x:v>GR00T vision-only Results</x:v>
      </x:c>
      <x:c r="AM647" s="9" t="n">
        <x:v>27</x:v>
      </x:c>
      <x:c r="AN647" s="9" t="n">
        <x:v>27</x:v>
      </x:c>
    </x:row>
    <x:row r="648">
      <x:c r="A648" s="9" t="str">
        <x:v>Success</x:v>
      </x:c>
      <x:c r="B648" s="9" t="str">
        <x:v>Referential Disambiguation</x:v>
      </x:c>
      <x:c r="C648" s="10" t="n">
        <x:v>26</x:v>
      </x:c>
      <x:c r="D648" s="9" t="str">
        <x:v>Choose the crushed soda can nearest to the green pen and put it in the bowl.</x:v>
      </x:c>
      <x:c r="E648" s="9" t="str">
        <x:v>crushed Coke can; crushed Pepsi can; green pen</x:v>
      </x:c>
      <x:c r="F648" s="9" t="str">
        <x:v>crushed Coke can</x:v>
      </x:c>
      <x:c r="G648" s="9"/>
      <x:c r="H648" s="9" t="str">
        <x:v>Language robustness</x:v>
      </x:c>
      <x:c r="I648" s="9" t="str">
        <x:v>RD-CT02</x:v>
      </x:c>
      <x:c r="J648" s="9" t="str">
        <x:v>Primary compositional-transfer prompt paraphrase</x:v>
      </x:c>
      <x:c r="K648" s="9" t="n">
        <x:v>24</x:v>
      </x:c>
      <x:c r="L648" s="9" t="str">
        <x:v>400</x:v>
      </x:c>
      <x:c r="M648" s="9" t="str">
        <x:v>Exact canonical transfer scene and masked trajectory reference; only the instruction wording changes. This remains a separate language diagnostic.</x:v>
      </x:c>
      <x:c r="N648" s="9" t="n">
        <x:v>2</x:v>
      </x:c>
      <x:c r="O648" s="9" t="str">
        <x:v>Reset the moved object exactly; preserve the scene; change only the wording.</x:v>
      </x:c>
      <x:c r="P648" s="9" t="str">
        <x:v>One of 10 exact-scene paraphrases of canonical transfer trials.</x:v>
      </x:c>
      <x:c r="Q648" s="9"/>
      <x:c r="R648" s="10" t="n">
        <x:v>3</x:v>
      </x:c>
      <x:c r="S648" s="10" t="n">
        <x:v>1</x:v>
      </x:c>
      <x:c r="T648" s="9" t="str">
        <x:v>Empty</x:v>
      </x:c>
      <x:c r="U648" s="9"/>
      <x:c r="V648" s="9"/>
      <x:c r="W648" s="9"/>
      <x:c r="X648" s="10"/>
      <x:c r="Y648" s="10"/>
      <x:c r="Z648" s="9"/>
      <x:c r="AA648" s="9"/>
      <x:c r="AB648" s="9" t="str">
        <x:v>closest</x:v>
      </x:c>
      <x:c r="AC648" s="9"/>
      <x:c r="AD648" s="9"/>
      <x:c r="AE648" s="9"/>
      <x:c r="AF648" s="9"/>
      <x:c r="AG648" s="9" t="str">
        <x:v>crushed soda can</x:v>
      </x:c>
      <x:c r="AH648" s="9"/>
      <x:c r="AI648" s="11"/>
      <x:c r="AJ648" s="9"/>
      <x:c r="AK648" s="9" t="str">
        <x:v>Eval_Referential_Disambiguation.xlsm</x:v>
      </x:c>
      <x:c r="AL648" s="9" t="str">
        <x:v>GR00T vision-only Results</x:v>
      </x:c>
      <x:c r="AM648" s="9" t="n">
        <x:v>28</x:v>
      </x:c>
      <x:c r="AN648" s="9" t="n">
        <x:v>28</x:v>
      </x:c>
    </x:row>
    <x:row r="649">
      <x:c r="A649" s="9" t="str">
        <x:v>Success</x:v>
      </x:c>
      <x:c r="B649" s="9" t="str">
        <x:v>Referential Disambiguation</x:v>
      </x:c>
      <x:c r="C649" s="10" t="n">
        <x:v>27</x:v>
      </x:c>
      <x:c r="D649" s="9" t="str">
        <x:v>Take the crushed Coke can and set it in the bowl.</x:v>
      </x:c>
      <x:c r="E649" s="9" t="str">
        <x:v>crushed Coke can; crushed Pepsi can; green pen</x:v>
      </x:c>
      <x:c r="F649" s="9" t="str">
        <x:v>crushed Coke can</x:v>
      </x:c>
      <x:c r="G649" s="9"/>
      <x:c r="H649" s="9" t="str">
        <x:v>Language robustness</x:v>
      </x:c>
      <x:c r="I649" s="9" t="str">
        <x:v>RD-CT02</x:v>
      </x:c>
      <x:c r="J649" s="9" t="str">
        <x:v>Matched-control direct-name prompt paraphrase</x:v>
      </x:c>
      <x:c r="K649" s="9" t="n">
        <x:v>25</x:v>
      </x:c>
      <x:c r="L649" s="9" t="str">
        <x:v>400</x:v>
      </x:c>
      <x:c r="M649" s="9" t="str">
        <x:v>Exact matched-control scene and target; only the direct-name instruction wording changes.</x:v>
      </x:c>
      <x:c r="N649" s="9" t="n">
        <x:v>2</x:v>
      </x:c>
      <x:c r="O649" s="9" t="str">
        <x:v>Reset the moved object exactly; preserve the scene; change only the wording.</x:v>
      </x:c>
      <x:c r="P649" s="9" t="str">
        <x:v>One of 10 exact-scene paraphrases of matched manipulation controls.</x:v>
      </x:c>
      <x:c r="Q649" s="9"/>
      <x:c r="R649" s="10" t="n">
        <x:v>3</x:v>
      </x:c>
      <x:c r="S649" s="10" t="n">
        <x:v>1</x:v>
      </x:c>
      <x:c r="T649" s="9" t="str">
        <x:v>Empty</x:v>
      </x:c>
      <x:c r="U649" s="9"/>
      <x:c r="V649" s="9"/>
      <x:c r="W649" s="9"/>
      <x:c r="X649" s="10"/>
      <x:c r="Y649" s="10"/>
      <x:c r="Z649" s="9"/>
      <x:c r="AA649" s="9"/>
      <x:c r="AB649" s="9" t="str">
        <x:v>direct-name paraphrase</x:v>
      </x:c>
      <x:c r="AC649" s="9"/>
      <x:c r="AD649" s="9"/>
      <x:c r="AE649" s="9"/>
      <x:c r="AF649" s="9"/>
      <x:c r="AG649" s="9" t="str">
        <x:v>crushed soda can</x:v>
      </x:c>
      <x:c r="AH649" s="9"/>
      <x:c r="AI649" s="11"/>
      <x:c r="AJ649" s="9"/>
      <x:c r="AK649" s="9" t="str">
        <x:v>Eval_Referential_Disambiguation.xlsm</x:v>
      </x:c>
      <x:c r="AL649" s="9" t="str">
        <x:v>GR00T vision-only Results</x:v>
      </x:c>
      <x:c r="AM649" s="9" t="n">
        <x:v>29</x:v>
      </x:c>
      <x:c r="AN649" s="9" t="n">
        <x:v>29</x:v>
      </x:c>
    </x:row>
    <x:row r="650">
      <x:c r="A650" s="9" t="str">
        <x:v>Failure</x:v>
      </x:c>
      <x:c r="B650" s="9" t="str">
        <x:v>Referential Disambiguation</x:v>
      </x:c>
      <x:c r="C650" s="10" t="n">
        <x:v>28</x:v>
      </x:c>
      <x:c r="D650" s="9" t="str">
        <x:v>Pick up the pencil sharpener between the green pen and the crushed Coke can and place it in the bowl.</x:v>
      </x:c>
      <x:c r="E650" s="9" t="str">
        <x:v>green pencil sharpener; red pencil sharpener; green pen; crushed Coke can</x:v>
      </x:c>
      <x:c r="F650" s="9" t="str">
        <x:v>green pencil sharpener</x:v>
      </x:c>
      <x:c r="G650" s="9" t="str">
        <x:v>succeeded reasoning; went for the green pencil sharpener couldn't grasp then in recovery picked the green pen</x:v>
      </x:c>
      <x:c r="H650" s="9" t="str">
        <x:v>Concept/compositional transfer</x:v>
      </x:c>
      <x:c r="I650" s="9" t="str">
        <x:v>RD-CT03</x:v>
      </x:c>
      <x:c r="J650" s="9" t="str">
        <x:v>Primary held-out relation × candidate-category composition — Pick up</x:v>
      </x:c>
      <x:c r="K650" s="9"/>
      <x:c r="L650" s="9" t="str">
        <x:v>482</x:v>
      </x:c>
      <x:c r="M650" s="9" t="str">
        <x:v>Masked source trajectory: the target identity and physical manipulation are trained under a direct-name prompt, while this relation × candidate-category composition is intentionally absent.</x:v>
      </x:c>
      <x:c r="N650" s="9" t="n">
        <x:v>2</x:v>
      </x:c>
      <x:c r="O650" s="9" t="str">
        <x:v>Place the listed objects. Arrange Expected Target as the unique answer to the prompt; keep the bowl empty and save a reference image.</x:v>
      </x:c>
      <x:c r="P650" s="9" t="str">
        <x:v>Both candidates are present. The held-out relation is the only information that identifies the target.</x:v>
      </x:c>
      <x:c r="Q650" s="9"/>
      <x:c r="R650" s="10" t="n">
        <x:v>4</x:v>
      </x:c>
      <x:c r="S650" s="10" t="n">
        <x:v>1</x:v>
      </x:c>
      <x:c r="T650" s="9" t="str">
        <x:v>Empty</x:v>
      </x:c>
      <x:c r="U650" s="9"/>
      <x:c r="V650" s="9"/>
      <x:c r="W650" s="9"/>
      <x:c r="X650" s="10"/>
      <x:c r="Y650" s="10"/>
      <x:c r="Z650" s="9"/>
      <x:c r="AA650" s="9"/>
      <x:c r="AB650" s="9" t="str">
        <x:v>between</x:v>
      </x:c>
      <x:c r="AC650" s="9"/>
      <x:c r="AD650" s="9"/>
      <x:c r="AE650" s="9"/>
      <x:c r="AF650" s="9"/>
      <x:c r="AG650" s="9" t="str">
        <x:v>pencil sharpener</x:v>
      </x:c>
      <x:c r="AH650" s="9"/>
      <x:c r="AI650" s="11"/>
      <x:c r="AJ650" s="9"/>
      <x:c r="AK650" s="9" t="str">
        <x:v>Eval_Referential_Disambiguation.xlsm</x:v>
      </x:c>
      <x:c r="AL650" s="9" t="str">
        <x:v>GR00T vision-only Results</x:v>
      </x:c>
      <x:c r="AM650" s="9" t="n">
        <x:v>30</x:v>
      </x:c>
      <x:c r="AN650" s="9" t="n">
        <x:v>30</x:v>
      </x:c>
    </x:row>
    <x:row r="651">
      <x:c r="A651" s="9" t="str">
        <x:v>Failure</x:v>
      </x:c>
      <x:c r="B651" s="9" t="str">
        <x:v>Referential Disambiguation</x:v>
      </x:c>
      <x:c r="C651" s="10" t="n">
        <x:v>29</x:v>
      </x:c>
      <x:c r="D651" s="9" t="str">
        <x:v>Pick up the green pencil sharpener and place it in the bowl.</x:v>
      </x:c>
      <x:c r="E651" s="9" t="str">
        <x:v>green pencil sharpener; red pencil sharpener; green pen; crushed Coke can</x:v>
      </x:c>
      <x:c r="F651" s="9" t="str">
        <x:v>green pencil sharpener</x:v>
      </x:c>
      <x:c r="G651" s="9" t="str">
        <x:v>went to the green pencil sharpener, but couldn't grasp it slowly drifed to the right edge of workspace with it</x:v>
      </x:c>
      <x:c r="H651" s="9" t="str">
        <x:v>Matched manipulation control</x:v>
      </x:c>
      <x:c r="I651" s="9" t="str">
        <x:v>RD-CT03</x:v>
      </x:c>
      <x:c r="J651" s="9" t="str">
        <x:v>Exact-scene direct-identity manipulation control</x:v>
      </x:c>
      <x:c r="K651" s="9" t="n">
        <x:v>28</x:v>
      </x:c>
      <x:c r="L651" s="9" t="str">
        <x:v>482</x:v>
      </x:c>
      <x:c r="M651" s="9" t="str">
        <x:v>Exact masked-cell training prompt for the same target identity. The evaluation scene and physical endpoint are identical to the paired transfer row.</x:v>
      </x:c>
      <x:c r="N651" s="9" t="n">
        <x:v>2</x:v>
      </x:c>
      <x:c r="O651" s="9" t="str">
        <x:v>Reset the moved object exactly; preserve the scene; change only the instruction.</x:v>
      </x:c>
      <x:c r="P651" s="9" t="str">
        <x:v>Controls recognition and manipulation of the same target without requiring referential reasoning.</x:v>
      </x:c>
      <x:c r="Q651" s="9"/>
      <x:c r="R651" s="10" t="n">
        <x:v>4</x:v>
      </x:c>
      <x:c r="S651" s="10" t="n">
        <x:v>1</x:v>
      </x:c>
      <x:c r="T651" s="9" t="str">
        <x:v>Empty</x:v>
      </x:c>
      <x:c r="U651" s="9"/>
      <x:c r="V651" s="9"/>
      <x:c r="W651" s="9"/>
      <x:c r="X651" s="10"/>
      <x:c r="Y651" s="10"/>
      <x:c r="Z651" s="9"/>
      <x:c r="AA651" s="9"/>
      <x:c r="AB651" s="9" t="str">
        <x:v>direct name</x:v>
      </x:c>
      <x:c r="AC651" s="9"/>
      <x:c r="AD651" s="9"/>
      <x:c r="AE651" s="9"/>
      <x:c r="AF651" s="9"/>
      <x:c r="AG651" s="9" t="str">
        <x:v>pencil sharpener</x:v>
      </x:c>
      <x:c r="AH651" s="9"/>
      <x:c r="AI651" s="11"/>
      <x:c r="AJ651" s="9"/>
      <x:c r="AK651" s="9" t="str">
        <x:v>Eval_Referential_Disambiguation.xlsm</x:v>
      </x:c>
      <x:c r="AL651" s="9" t="str">
        <x:v>GR00T vision-only Results</x:v>
      </x:c>
      <x:c r="AM651" s="9" t="n">
        <x:v>31</x:v>
      </x:c>
      <x:c r="AN651" s="9" t="n">
        <x:v>31</x:v>
      </x:c>
    </x:row>
    <x:row r="652">
      <x:c r="A652" s="9" t="str">
        <x:v>Success</x:v>
      </x:c>
      <x:c r="B652" s="9" t="str">
        <x:v>Referential Disambiguation</x:v>
      </x:c>
      <x:c r="C652" s="10" t="n">
        <x:v>30</x:v>
      </x:c>
      <x:c r="D652" s="9" t="str">
        <x:v>Choose the pencil sharpener located in the middle of the green pen and the crushed Coke can, then put it in the bowl.</x:v>
      </x:c>
      <x:c r="E652" s="9" t="str">
        <x:v>green pencil sharpener; red pencil sharpener; green pen; crushed Coke can</x:v>
      </x:c>
      <x:c r="F652" s="9" t="str">
        <x:v>green pencil sharpener</x:v>
      </x:c>
      <x:c r="G652" s="9"/>
      <x:c r="H652" s="9" t="str">
        <x:v>Language robustness</x:v>
      </x:c>
      <x:c r="I652" s="9" t="str">
        <x:v>RD-CT03</x:v>
      </x:c>
      <x:c r="J652" s="9" t="str">
        <x:v>Primary compositional-transfer prompt paraphrase</x:v>
      </x:c>
      <x:c r="K652" s="9" t="n">
        <x:v>28</x:v>
      </x:c>
      <x:c r="L652" s="9" t="str">
        <x:v>482</x:v>
      </x:c>
      <x:c r="M652" s="9" t="str">
        <x:v>Exact canonical transfer scene and masked trajectory reference; only the instruction wording changes. This remains a separate language diagnostic.</x:v>
      </x:c>
      <x:c r="N652" s="9" t="n">
        <x:v>2</x:v>
      </x:c>
      <x:c r="O652" s="9" t="str">
        <x:v>Reset the moved object exactly; preserve the scene; change only the wording.</x:v>
      </x:c>
      <x:c r="P652" s="9" t="str">
        <x:v>One of 10 exact-scene paraphrases of canonical transfer trials.</x:v>
      </x:c>
      <x:c r="Q652" s="9"/>
      <x:c r="R652" s="10" t="n">
        <x:v>4</x:v>
      </x:c>
      <x:c r="S652" s="10" t="n">
        <x:v>1</x:v>
      </x:c>
      <x:c r="T652" s="9" t="str">
        <x:v>Empty</x:v>
      </x:c>
      <x:c r="U652" s="9"/>
      <x:c r="V652" s="9"/>
      <x:c r="W652" s="9"/>
      <x:c r="X652" s="10"/>
      <x:c r="Y652" s="10"/>
      <x:c r="Z652" s="9"/>
      <x:c r="AA652" s="9"/>
      <x:c r="AB652" s="9" t="str">
        <x:v>between</x:v>
      </x:c>
      <x:c r="AC652" s="9"/>
      <x:c r="AD652" s="9"/>
      <x:c r="AE652" s="9"/>
      <x:c r="AF652" s="9"/>
      <x:c r="AG652" s="9" t="str">
        <x:v>pencil sharpener</x:v>
      </x:c>
      <x:c r="AH652" s="9"/>
      <x:c r="AI652" s="11"/>
      <x:c r="AJ652" s="9"/>
      <x:c r="AK652" s="9" t="str">
        <x:v>Eval_Referential_Disambiguation.xlsm</x:v>
      </x:c>
      <x:c r="AL652" s="9" t="str">
        <x:v>GR00T vision-only Results</x:v>
      </x:c>
      <x:c r="AM652" s="9" t="n">
        <x:v>32</x:v>
      </x:c>
      <x:c r="AN652" s="9" t="n">
        <x:v>32</x:v>
      </x:c>
    </x:row>
    <x:row r="653">
      <x:c r="A653" s="9" t="str">
        <x:v>Failure</x:v>
      </x:c>
      <x:c r="B653" s="9" t="str">
        <x:v>Referential Disambiguation</x:v>
      </x:c>
      <x:c r="C653" s="10" t="n">
        <x:v>31</x:v>
      </x:c>
      <x:c r="D653" s="9" t="str">
        <x:v>Take the green pencil sharpener and set it in the bowl.</x:v>
      </x:c>
      <x:c r="E653" s="9" t="str">
        <x:v>green pencil sharpener; red pencil sharpener; green pen; crushed Coke can</x:v>
      </x:c>
      <x:c r="F653" s="9" t="str">
        <x:v>green pencil sharpener</x:v>
      </x:c>
      <x:c r="G653" s="9" t="str">
        <x:v>went to the green pencil sharpener, but couldn't grasp it; ended up drifting to the right of the workspace</x:v>
      </x:c>
      <x:c r="H653" s="9" t="str">
        <x:v>Language robustness</x:v>
      </x:c>
      <x:c r="I653" s="9" t="str">
        <x:v>RD-CT03</x:v>
      </x:c>
      <x:c r="J653" s="9" t="str">
        <x:v>Matched-control direct-name prompt paraphrase</x:v>
      </x:c>
      <x:c r="K653" s="9" t="n">
        <x:v>29</x:v>
      </x:c>
      <x:c r="L653" s="9" t="str">
        <x:v>482</x:v>
      </x:c>
      <x:c r="M653" s="9" t="str">
        <x:v>Exact matched-control scene and target; only the direct-name instruction wording changes.</x:v>
      </x:c>
      <x:c r="N653" s="9" t="n">
        <x:v>2</x:v>
      </x:c>
      <x:c r="O653" s="9" t="str">
        <x:v>Reset the moved object exactly; preserve the scene; change only the wording.</x:v>
      </x:c>
      <x:c r="P653" s="9" t="str">
        <x:v>One of 10 exact-scene paraphrases of matched manipulation controls.</x:v>
      </x:c>
      <x:c r="Q653" s="9"/>
      <x:c r="R653" s="10" t="n">
        <x:v>4</x:v>
      </x:c>
      <x:c r="S653" s="10" t="n">
        <x:v>1</x:v>
      </x:c>
      <x:c r="T653" s="9" t="str">
        <x:v>Empty</x:v>
      </x:c>
      <x:c r="U653" s="9"/>
      <x:c r="V653" s="9"/>
      <x:c r="W653" s="9"/>
      <x:c r="X653" s="10"/>
      <x:c r="Y653" s="10"/>
      <x:c r="Z653" s="9"/>
      <x:c r="AA653" s="9"/>
      <x:c r="AB653" s="9" t="str">
        <x:v>direct-name paraphrase</x:v>
      </x:c>
      <x:c r="AC653" s="9"/>
      <x:c r="AD653" s="9"/>
      <x:c r="AE653" s="9"/>
      <x:c r="AF653" s="9"/>
      <x:c r="AG653" s="9" t="str">
        <x:v>pencil sharpener</x:v>
      </x:c>
      <x:c r="AH653" s="9"/>
      <x:c r="AI653" s="11"/>
      <x:c r="AJ653" s="9"/>
      <x:c r="AK653" s="9" t="str">
        <x:v>Eval_Referential_Disambiguation.xlsm</x:v>
      </x:c>
      <x:c r="AL653" s="9" t="str">
        <x:v>GR00T vision-only Results</x:v>
      </x:c>
      <x:c r="AM653" s="9" t="n">
        <x:v>33</x:v>
      </x:c>
      <x:c r="AN653" s="9" t="n">
        <x:v>33</x:v>
      </x:c>
    </x:row>
    <x:row r="654">
      <x:c r="A654" s="9" t="str">
        <x:v>Success</x:v>
      </x:c>
      <x:c r="B654" s="9" t="str">
        <x:v>Referential Disambiguation</x:v>
      </x:c>
      <x:c r="C654" s="10" t="n">
        <x:v>32</x:v>
      </x:c>
      <x:c r="D654" s="9" t="str">
        <x:v>Put the airplane toy furthest from the crushed Coke can in the bowl.</x:v>
      </x:c>
      <x:c r="E654" s="9" t="str">
        <x:v>airplane toy with propellers; airplane toy without propellers; crushed Coke can; green pen</x:v>
      </x:c>
      <x:c r="F654" s="9" t="str">
        <x:v>airplane toy with propellers</x:v>
      </x:c>
      <x:c r="G654" s="9"/>
      <x:c r="H654" s="9" t="str">
        <x:v>Concept/compositional transfer</x:v>
      </x:c>
      <x:c r="I654" s="9" t="str">
        <x:v>RD-CT04</x:v>
      </x:c>
      <x:c r="J654" s="9" t="str">
        <x:v>Primary held-out relation × candidate-category composition — Put</x:v>
      </x:c>
      <x:c r="K654" s="9"/>
      <x:c r="L654" s="9" t="str">
        <x:v>568</x:v>
      </x:c>
      <x:c r="M654" s="9" t="str">
        <x:v>Masked source trajectory: the target identity and physical manipulation are trained under a direct-name prompt, while this relation × candidate-category composition is intentionally absent.</x:v>
      </x:c>
      <x:c r="N654" s="9" t="n">
        <x:v>2</x:v>
      </x:c>
      <x:c r="O654" s="9" t="str">
        <x:v>Place the listed objects. Arrange Expected Target as the unique answer to the prompt; keep the bowl empty and save a reference image.</x:v>
      </x:c>
      <x:c r="P654" s="9" t="str">
        <x:v>Both candidates are present. The held-out relation is the only information that identifies the target.</x:v>
      </x:c>
      <x:c r="Q654" s="9"/>
      <x:c r="R654" s="10" t="n">
        <x:v>4</x:v>
      </x:c>
      <x:c r="S654" s="10" t="n">
        <x:v>1</x:v>
      </x:c>
      <x:c r="T654" s="9" t="str">
        <x:v>Empty</x:v>
      </x:c>
      <x:c r="U654" s="9"/>
      <x:c r="V654" s="9"/>
      <x:c r="W654" s="9"/>
      <x:c r="X654" s="10"/>
      <x:c r="Y654" s="10"/>
      <x:c r="Z654" s="9"/>
      <x:c r="AA654" s="9"/>
      <x:c r="AB654" s="9" t="str">
        <x:v>furthest</x:v>
      </x:c>
      <x:c r="AC654" s="9"/>
      <x:c r="AD654" s="9"/>
      <x:c r="AE654" s="9"/>
      <x:c r="AF654" s="9"/>
      <x:c r="AG654" s="9" t="str">
        <x:v>airplane toy</x:v>
      </x:c>
      <x:c r="AH654" s="9"/>
      <x:c r="AI654" s="11"/>
      <x:c r="AJ654" s="9"/>
      <x:c r="AK654" s="9" t="str">
        <x:v>Eval_Referential_Disambiguation.xlsm</x:v>
      </x:c>
      <x:c r="AL654" s="9" t="str">
        <x:v>GR00T vision-only Results</x:v>
      </x:c>
      <x:c r="AM654" s="9" t="n">
        <x:v>34</x:v>
      </x:c>
      <x:c r="AN654" s="9" t="n">
        <x:v>34</x:v>
      </x:c>
    </x:row>
    <x:row r="655">
      <x:c r="A655" s="9" t="str">
        <x:v>Success</x:v>
      </x:c>
      <x:c r="B655" s="9" t="str">
        <x:v>Referential Disambiguation</x:v>
      </x:c>
      <x:c r="C655" s="10" t="n">
        <x:v>33</x:v>
      </x:c>
      <x:c r="D655" s="9" t="str">
        <x:v>Move the airplane toy with propellers into the bowl.</x:v>
      </x:c>
      <x:c r="E655" s="9" t="str">
        <x:v>airplane toy with propellers; airplane toy without propellers; crushed Coke can; green pen</x:v>
      </x:c>
      <x:c r="F655" s="9" t="str">
        <x:v>airplane toy with propellers</x:v>
      </x:c>
      <x:c r="G655" s="9"/>
      <x:c r="H655" s="9" t="str">
        <x:v>Matched manipulation control</x:v>
      </x:c>
      <x:c r="I655" s="9" t="str">
        <x:v>RD-CT04</x:v>
      </x:c>
      <x:c r="J655" s="9" t="str">
        <x:v>Exact-scene direct-identity manipulation control</x:v>
      </x:c>
      <x:c r="K655" s="9" t="n">
        <x:v>32</x:v>
      </x:c>
      <x:c r="L655" s="9" t="str">
        <x:v>568</x:v>
      </x:c>
      <x:c r="M655" s="9" t="str">
        <x:v>Exact masked-cell training prompt for the same target identity. The evaluation scene and physical endpoint are identical to the paired transfer row.</x:v>
      </x:c>
      <x:c r="N655" s="9" t="n">
        <x:v>2</x:v>
      </x:c>
      <x:c r="O655" s="9" t="str">
        <x:v>Reset the moved object exactly; preserve the scene; change only the instruction.</x:v>
      </x:c>
      <x:c r="P655" s="9" t="str">
        <x:v>Controls recognition and manipulation of the same target without requiring referential reasoning.</x:v>
      </x:c>
      <x:c r="Q655" s="9"/>
      <x:c r="R655" s="10" t="n">
        <x:v>4</x:v>
      </x:c>
      <x:c r="S655" s="10" t="n">
        <x:v>1</x:v>
      </x:c>
      <x:c r="T655" s="9" t="str">
        <x:v>Empty</x:v>
      </x:c>
      <x:c r="U655" s="9"/>
      <x:c r="V655" s="9"/>
      <x:c r="W655" s="9"/>
      <x:c r="X655" s="10"/>
      <x:c r="Y655" s="10"/>
      <x:c r="Z655" s="9"/>
      <x:c r="AA655" s="9"/>
      <x:c r="AB655" s="9" t="str">
        <x:v>direct name</x:v>
      </x:c>
      <x:c r="AC655" s="9"/>
      <x:c r="AD655" s="9"/>
      <x:c r="AE655" s="9"/>
      <x:c r="AF655" s="9"/>
      <x:c r="AG655" s="9" t="str">
        <x:v>airplane toy</x:v>
      </x:c>
      <x:c r="AH655" s="9"/>
      <x:c r="AI655" s="11"/>
      <x:c r="AJ655" s="9"/>
      <x:c r="AK655" s="9" t="str">
        <x:v>Eval_Referential_Disambiguation.xlsm</x:v>
      </x:c>
      <x:c r="AL655" s="9" t="str">
        <x:v>GR00T vision-only Results</x:v>
      </x:c>
      <x:c r="AM655" s="9" t="n">
        <x:v>35</x:v>
      </x:c>
      <x:c r="AN655" s="9" t="n">
        <x:v>35</x:v>
      </x:c>
    </x:row>
    <x:row r="656">
      <x:c r="A656" s="9" t="str">
        <x:v>Failure</x:v>
      </x:c>
      <x:c r="B656" s="9" t="str">
        <x:v>Referential Disambiguation</x:v>
      </x:c>
      <x:c r="C656" s="10" t="n">
        <x:v>34</x:v>
      </x:c>
      <x:c r="D656" s="9" t="str">
        <x:v>Place the airplane toy with the greatest distance from the crushed Coke can in the bowl.</x:v>
      </x:c>
      <x:c r="E656" s="9" t="str">
        <x:v>airplane toy with propellers; airplane toy without propellers; crushed Coke can; green pen</x:v>
      </x:c>
      <x:c r="F656" s="9" t="str">
        <x:v>airplane toy with propellers</x:v>
      </x:c>
      <x:c r="G656" s="9" t="str">
        <x:v>picked green pen</x:v>
      </x:c>
      <x:c r="H656" s="9" t="str">
        <x:v>Language robustness</x:v>
      </x:c>
      <x:c r="I656" s="9" t="str">
        <x:v>RD-CT04</x:v>
      </x:c>
      <x:c r="J656" s="9" t="str">
        <x:v>Primary compositional-transfer prompt paraphrase</x:v>
      </x:c>
      <x:c r="K656" s="9" t="n">
        <x:v>32</x:v>
      </x:c>
      <x:c r="L656" s="9" t="str">
        <x:v>568</x:v>
      </x:c>
      <x:c r="M656" s="9" t="str">
        <x:v>Exact canonical transfer scene and masked trajectory reference; only the instruction wording changes. This remains a separate language diagnostic.</x:v>
      </x:c>
      <x:c r="N656" s="9" t="n">
        <x:v>2</x:v>
      </x:c>
      <x:c r="O656" s="9" t="str">
        <x:v>Reset the moved object exactly; preserve the scene; change only the wording.</x:v>
      </x:c>
      <x:c r="P656" s="9" t="str">
        <x:v>One of 10 exact-scene paraphrases of canonical transfer trials.</x:v>
      </x:c>
      <x:c r="Q656" s="9"/>
      <x:c r="R656" s="10" t="n">
        <x:v>4</x:v>
      </x:c>
      <x:c r="S656" s="10" t="n">
        <x:v>1</x:v>
      </x:c>
      <x:c r="T656" s="9" t="str">
        <x:v>Empty</x:v>
      </x:c>
      <x:c r="U656" s="9"/>
      <x:c r="V656" s="9"/>
      <x:c r="W656" s="9"/>
      <x:c r="X656" s="10"/>
      <x:c r="Y656" s="10"/>
      <x:c r="Z656" s="9"/>
      <x:c r="AA656" s="9"/>
      <x:c r="AB656" s="9" t="str">
        <x:v>furthest</x:v>
      </x:c>
      <x:c r="AC656" s="9"/>
      <x:c r="AD656" s="9"/>
      <x:c r="AE656" s="9"/>
      <x:c r="AF656" s="9"/>
      <x:c r="AG656" s="9" t="str">
        <x:v>airplane toy</x:v>
      </x:c>
      <x:c r="AH656" s="9"/>
      <x:c r="AI656" s="11"/>
      <x:c r="AJ656" s="9"/>
      <x:c r="AK656" s="9" t="str">
        <x:v>Eval_Referential_Disambiguation.xlsm</x:v>
      </x:c>
      <x:c r="AL656" s="9" t="str">
        <x:v>GR00T vision-only Results</x:v>
      </x:c>
      <x:c r="AM656" s="9" t="n">
        <x:v>36</x:v>
      </x:c>
      <x:c r="AN656" s="9" t="n">
        <x:v>36</x:v>
      </x:c>
    </x:row>
    <x:row r="657">
      <x:c r="A657" s="9" t="str">
        <x:v>Success</x:v>
      </x:c>
      <x:c r="B657" s="9" t="str">
        <x:v>Referential Disambiguation</x:v>
      </x:c>
      <x:c r="C657" s="10" t="n">
        <x:v>35</x:v>
      </x:c>
      <x:c r="D657" s="9" t="str">
        <x:v>Transfer the airplane toy with propellers into the bowl.</x:v>
      </x:c>
      <x:c r="E657" s="9" t="str">
        <x:v>airplane toy with propellers; airplane toy without propellers; crushed Coke can; green pen</x:v>
      </x:c>
      <x:c r="F657" s="9" t="str">
        <x:v>airplane toy with propellers</x:v>
      </x:c>
      <x:c r="G657" s="9" t="str">
        <x:v>picked the non-propellor plane; dropped it and then went for the propellor plane and put it in the bowl; failed reasoning</x:v>
      </x:c>
      <x:c r="H657" s="9" t="str">
        <x:v>Language robustness</x:v>
      </x:c>
      <x:c r="I657" s="9" t="str">
        <x:v>RD-CT04</x:v>
      </x:c>
      <x:c r="J657" s="9" t="str">
        <x:v>Matched-control direct-name prompt paraphrase</x:v>
      </x:c>
      <x:c r="K657" s="9" t="n">
        <x:v>33</x:v>
      </x:c>
      <x:c r="L657" s="9" t="str">
        <x:v>568</x:v>
      </x:c>
      <x:c r="M657" s="9" t="str">
        <x:v>Exact matched-control scene and target; only the direct-name instruction wording changes.</x:v>
      </x:c>
      <x:c r="N657" s="9" t="n">
        <x:v>2</x:v>
      </x:c>
      <x:c r="O657" s="9" t="str">
        <x:v>Reset the moved object exactly; preserve the scene; change only the wording.</x:v>
      </x:c>
      <x:c r="P657" s="9" t="str">
        <x:v>One of 10 exact-scene paraphrases of matched manipulation controls.</x:v>
      </x:c>
      <x:c r="Q657" s="9"/>
      <x:c r="R657" s="10" t="n">
        <x:v>4</x:v>
      </x:c>
      <x:c r="S657" s="10" t="n">
        <x:v>1</x:v>
      </x:c>
      <x:c r="T657" s="9" t="str">
        <x:v>Empty</x:v>
      </x:c>
      <x:c r="U657" s="9"/>
      <x:c r="V657" s="9"/>
      <x:c r="W657" s="9"/>
      <x:c r="X657" s="10"/>
      <x:c r="Y657" s="10"/>
      <x:c r="Z657" s="9"/>
      <x:c r="AA657" s="9"/>
      <x:c r="AB657" s="9" t="str">
        <x:v>direct-name paraphrase</x:v>
      </x:c>
      <x:c r="AC657" s="9"/>
      <x:c r="AD657" s="9"/>
      <x:c r="AE657" s="9"/>
      <x:c r="AF657" s="9"/>
      <x:c r="AG657" s="9" t="str">
        <x:v>airplane toy</x:v>
      </x:c>
      <x:c r="AH657" s="9"/>
      <x:c r="AI657" s="11"/>
      <x:c r="AJ657" s="9"/>
      <x:c r="AK657" s="9" t="str">
        <x:v>Eval_Referential_Disambiguation.xlsm</x:v>
      </x:c>
      <x:c r="AL657" s="9" t="str">
        <x:v>GR00T vision-only Results</x:v>
      </x:c>
      <x:c r="AM657" s="9" t="n">
        <x:v>37</x:v>
      </x:c>
      <x:c r="AN657" s="9" t="n">
        <x:v>37</x:v>
      </x:c>
    </x:row>
    <x:row r="658">
      <x:c r="A658" s="9" t="str">
        <x:v>Failure</x:v>
      </x:c>
      <x:c r="B658" s="9" t="str">
        <x:v>Referential Disambiguation</x:v>
      </x:c>
      <x:c r="C658" s="10" t="n">
        <x:v>36</x:v>
      </x:c>
      <x:c r="D658" s="9" t="str">
        <x:v>Put the crushed soda can closest to the airplane toy with propellers in the bowl.</x:v>
      </x:c>
      <x:c r="E658" s="9" t="str">
        <x:v>crushed Coke can; crushed Pepsi can; airplane toy with propellers; green pencil sharpener</x:v>
      </x:c>
      <x:c r="F658" s="9" t="str">
        <x:v>crushed Coke can</x:v>
      </x:c>
      <x:c r="G658" s="9" t="str">
        <x:v>didn't move</x:v>
      </x:c>
      <x:c r="H658" s="9" t="str">
        <x:v>Concept/compositional transfer</x:v>
      </x:c>
      <x:c r="I658" s="9" t="str">
        <x:v>RD-CT05</x:v>
      </x:c>
      <x:c r="J658" s="9" t="str">
        <x:v>Primary held-out relation × candidate-category composition — Put</x:v>
      </x:c>
      <x:c r="K658" s="9"/>
      <x:c r="L658" s="9" t="str">
        <x:v>402</x:v>
      </x:c>
      <x:c r="M658" s="9" t="str">
        <x:v>Masked source trajectory: the target identity and physical manipulation are trained under a direct-name prompt, while this relation × candidate-category composition is intentionally absent.</x:v>
      </x:c>
      <x:c r="N658" s="9" t="n">
        <x:v>2</x:v>
      </x:c>
      <x:c r="O658" s="9" t="str">
        <x:v>Place the listed objects. Arrange Expected Target as the unique answer to the prompt; keep the bowl empty and save a reference image.</x:v>
      </x:c>
      <x:c r="P658" s="9" t="str">
        <x:v>Both candidates are present. The held-out relation is the only information that identifies the target.</x:v>
      </x:c>
      <x:c r="Q658" s="9"/>
      <x:c r="R658" s="10" t="n">
        <x:v>4</x:v>
      </x:c>
      <x:c r="S658" s="10" t="n">
        <x:v>1</x:v>
      </x:c>
      <x:c r="T658" s="9" t="str">
        <x:v>Empty</x:v>
      </x:c>
      <x:c r="U658" s="9"/>
      <x:c r="V658" s="9"/>
      <x:c r="W658" s="9"/>
      <x:c r="X658" s="10"/>
      <x:c r="Y658" s="10"/>
      <x:c r="Z658" s="9"/>
      <x:c r="AA658" s="9"/>
      <x:c r="AB658" s="9" t="str">
        <x:v>closest</x:v>
      </x:c>
      <x:c r="AC658" s="9"/>
      <x:c r="AD658" s="9"/>
      <x:c r="AE658" s="9"/>
      <x:c r="AF658" s="9"/>
      <x:c r="AG658" s="9" t="str">
        <x:v>crushed soda can</x:v>
      </x:c>
      <x:c r="AH658" s="9"/>
      <x:c r="AI658" s="11"/>
      <x:c r="AJ658" s="9"/>
      <x:c r="AK658" s="9" t="str">
        <x:v>Eval_Referential_Disambiguation.xlsm</x:v>
      </x:c>
      <x:c r="AL658" s="9" t="str">
        <x:v>GR00T vision-only Results</x:v>
      </x:c>
      <x:c r="AM658" s="9" t="n">
        <x:v>38</x:v>
      </x:c>
      <x:c r="AN658" s="9" t="n">
        <x:v>38</x:v>
      </x:c>
    </x:row>
    <x:row r="659">
      <x:c r="A659" s="9" t="str">
        <x:v>Failure</x:v>
      </x:c>
      <x:c r="B659" s="9" t="str">
        <x:v>Referential Disambiguation</x:v>
      </x:c>
      <x:c r="C659" s="10" t="n">
        <x:v>37</x:v>
      </x:c>
      <x:c r="D659" s="9" t="str">
        <x:v>Move the crushed Coke can into the bowl.</x:v>
      </x:c>
      <x:c r="E659" s="9" t="str">
        <x:v>crushed Coke can; crushed Pepsi can; airplane toy with propellers; green pencil sharpener</x:v>
      </x:c>
      <x:c r="F659" s="9" t="str">
        <x:v>crushed Coke can</x:v>
      </x:c>
      <x:c r="G659" s="9" t="str">
        <x:v>picked the pepsi can</x:v>
      </x:c>
      <x:c r="H659" s="9" t="str">
        <x:v>Matched manipulation control</x:v>
      </x:c>
      <x:c r="I659" s="9" t="str">
        <x:v>RD-CT05</x:v>
      </x:c>
      <x:c r="J659" s="9" t="str">
        <x:v>Exact-scene direct-identity manipulation control</x:v>
      </x:c>
      <x:c r="K659" s="9" t="n">
        <x:v>36</x:v>
      </x:c>
      <x:c r="L659" s="9" t="str">
        <x:v>402</x:v>
      </x:c>
      <x:c r="M659" s="9" t="str">
        <x:v>Exact masked-cell training prompt for the same target identity. The evaluation scene and physical endpoint are identical to the paired transfer row.</x:v>
      </x:c>
      <x:c r="N659" s="9" t="n">
        <x:v>2</x:v>
      </x:c>
      <x:c r="O659" s="9" t="str">
        <x:v>Reset the moved object exactly; preserve the scene; change only the instruction.</x:v>
      </x:c>
      <x:c r="P659" s="9" t="str">
        <x:v>Controls recognition and manipulation of the same target without requiring referential reasoning.</x:v>
      </x:c>
      <x:c r="Q659" s="9"/>
      <x:c r="R659" s="10" t="n">
        <x:v>4</x:v>
      </x:c>
      <x:c r="S659" s="10" t="n">
        <x:v>1</x:v>
      </x:c>
      <x:c r="T659" s="9" t="str">
        <x:v>Empty</x:v>
      </x:c>
      <x:c r="U659" s="9"/>
      <x:c r="V659" s="9"/>
      <x:c r="W659" s="9"/>
      <x:c r="X659" s="10"/>
      <x:c r="Y659" s="10"/>
      <x:c r="Z659" s="9"/>
      <x:c r="AA659" s="9"/>
      <x:c r="AB659" s="9" t="str">
        <x:v>direct name</x:v>
      </x:c>
      <x:c r="AC659" s="9"/>
      <x:c r="AD659" s="9"/>
      <x:c r="AE659" s="9"/>
      <x:c r="AF659" s="9"/>
      <x:c r="AG659" s="9" t="str">
        <x:v>crushed soda can</x:v>
      </x:c>
      <x:c r="AH659" s="9"/>
      <x:c r="AI659" s="11"/>
      <x:c r="AJ659" s="9"/>
      <x:c r="AK659" s="9" t="str">
        <x:v>Eval_Referential_Disambiguation.xlsm</x:v>
      </x:c>
      <x:c r="AL659" s="9" t="str">
        <x:v>GR00T vision-only Results</x:v>
      </x:c>
      <x:c r="AM659" s="9" t="n">
        <x:v>39</x:v>
      </x:c>
      <x:c r="AN659" s="9" t="n">
        <x:v>39</x:v>
      </x:c>
    </x:row>
    <x:row r="660">
      <x:c r="A660" s="9" t="str">
        <x:v>Failure</x:v>
      </x:c>
      <x:c r="B660" s="9" t="str">
        <x:v>Referential Disambiguation</x:v>
      </x:c>
      <x:c r="C660" s="10" t="n">
        <x:v>38</x:v>
      </x:c>
      <x:c r="D660" s="9" t="str">
        <x:v>Place the crushed soda can with the shortest distance to the airplane toy with propellers in the bowl.</x:v>
      </x:c>
      <x:c r="E660" s="9" t="str">
        <x:v>crushed Coke can; crushed Pepsi can; airplane toy with propellers; green pencil sharpener</x:v>
      </x:c>
      <x:c r="F660" s="9" t="str">
        <x:v>crushed Coke can</x:v>
      </x:c>
      <x:c r="G660" s="9" t="str">
        <x:v>picked the pepsi can; had long pause at start of episode too</x:v>
      </x:c>
      <x:c r="H660" s="9" t="str">
        <x:v>Language robustness</x:v>
      </x:c>
      <x:c r="I660" s="9" t="str">
        <x:v>RD-CT05</x:v>
      </x:c>
      <x:c r="J660" s="9" t="str">
        <x:v>Primary compositional-transfer prompt paraphrase</x:v>
      </x:c>
      <x:c r="K660" s="9" t="n">
        <x:v>36</x:v>
      </x:c>
      <x:c r="L660" s="9" t="str">
        <x:v>402</x:v>
      </x:c>
      <x:c r="M660" s="9" t="str">
        <x:v>Exact canonical transfer scene and masked trajectory reference; only the instruction wording changes. This remains a separate language diagnostic.</x:v>
      </x:c>
      <x:c r="N660" s="9" t="n">
        <x:v>2</x:v>
      </x:c>
      <x:c r="O660" s="9" t="str">
        <x:v>Reset the moved object exactly; preserve the scene; change only the wording.</x:v>
      </x:c>
      <x:c r="P660" s="9" t="str">
        <x:v>One of 10 exact-scene paraphrases of canonical transfer trials.</x:v>
      </x:c>
      <x:c r="Q660" s="9"/>
      <x:c r="R660" s="10" t="n">
        <x:v>4</x:v>
      </x:c>
      <x:c r="S660" s="10" t="n">
        <x:v>1</x:v>
      </x:c>
      <x:c r="T660" s="9" t="str">
        <x:v>Empty</x:v>
      </x:c>
      <x:c r="U660" s="9"/>
      <x:c r="V660" s="9"/>
      <x:c r="W660" s="9"/>
      <x:c r="X660" s="10"/>
      <x:c r="Y660" s="10"/>
      <x:c r="Z660" s="9"/>
      <x:c r="AA660" s="9"/>
      <x:c r="AB660" s="9" t="str">
        <x:v>closest</x:v>
      </x:c>
      <x:c r="AC660" s="9"/>
      <x:c r="AD660" s="9"/>
      <x:c r="AE660" s="9"/>
      <x:c r="AF660" s="9"/>
      <x:c r="AG660" s="9" t="str">
        <x:v>crushed soda can</x:v>
      </x:c>
      <x:c r="AH660" s="9"/>
      <x:c r="AI660" s="11"/>
      <x:c r="AJ660" s="9"/>
      <x:c r="AK660" s="9" t="str">
        <x:v>Eval_Referential_Disambiguation.xlsm</x:v>
      </x:c>
      <x:c r="AL660" s="9" t="str">
        <x:v>GR00T vision-only Results</x:v>
      </x:c>
      <x:c r="AM660" s="9" t="n">
        <x:v>40</x:v>
      </x:c>
      <x:c r="AN660" s="9" t="n">
        <x:v>40</x:v>
      </x:c>
    </x:row>
    <x:row r="661">
      <x:c r="A661" s="9" t="str">
        <x:v>Failure</x:v>
      </x:c>
      <x:c r="B661" s="9" t="str">
        <x:v>Referential Disambiguation</x:v>
      </x:c>
      <x:c r="C661" s="10" t="n">
        <x:v>39</x:v>
      </x:c>
      <x:c r="D661" s="9" t="str">
        <x:v>Transfer the crushed Coke can into the bowl.</x:v>
      </x:c>
      <x:c r="E661" s="9" t="str">
        <x:v>crushed Coke can; crushed Pepsi can; airplane toy with propellers; green pencil sharpener</x:v>
      </x:c>
      <x:c r="F661" s="9" t="str">
        <x:v>crushed Coke can</x:v>
      </x:c>
      <x:c r="G661" s="9" t="str">
        <x:v>picked the pepsi can</x:v>
      </x:c>
      <x:c r="H661" s="9" t="str">
        <x:v>Language robustness</x:v>
      </x:c>
      <x:c r="I661" s="9" t="str">
        <x:v>RD-CT05</x:v>
      </x:c>
      <x:c r="J661" s="9" t="str">
        <x:v>Matched-control direct-name prompt paraphrase</x:v>
      </x:c>
      <x:c r="K661" s="9" t="n">
        <x:v>37</x:v>
      </x:c>
      <x:c r="L661" s="9" t="str">
        <x:v>402</x:v>
      </x:c>
      <x:c r="M661" s="9" t="str">
        <x:v>Exact matched-control scene and target; only the direct-name instruction wording changes.</x:v>
      </x:c>
      <x:c r="N661" s="9" t="n">
        <x:v>2</x:v>
      </x:c>
      <x:c r="O661" s="9" t="str">
        <x:v>Reset the moved object exactly; preserve the scene; change only the wording.</x:v>
      </x:c>
      <x:c r="P661" s="9" t="str">
        <x:v>One of 10 exact-scene paraphrases of matched manipulation controls.</x:v>
      </x:c>
      <x:c r="Q661" s="9"/>
      <x:c r="R661" s="10" t="n">
        <x:v>4</x:v>
      </x:c>
      <x:c r="S661" s="10" t="n">
        <x:v>1</x:v>
      </x:c>
      <x:c r="T661" s="9" t="str">
        <x:v>Empty</x:v>
      </x:c>
      <x:c r="U661" s="9"/>
      <x:c r="V661" s="9"/>
      <x:c r="W661" s="9"/>
      <x:c r="X661" s="10"/>
      <x:c r="Y661" s="10"/>
      <x:c r="Z661" s="9"/>
      <x:c r="AA661" s="9"/>
      <x:c r="AB661" s="9" t="str">
        <x:v>direct-name paraphrase</x:v>
      </x:c>
      <x:c r="AC661" s="9"/>
      <x:c r="AD661" s="9"/>
      <x:c r="AE661" s="9"/>
      <x:c r="AF661" s="9"/>
      <x:c r="AG661" s="9" t="str">
        <x:v>crushed soda can</x:v>
      </x:c>
      <x:c r="AH661" s="9"/>
      <x:c r="AI661" s="11"/>
      <x:c r="AJ661" s="9"/>
      <x:c r="AK661" s="9" t="str">
        <x:v>Eval_Referential_Disambiguation.xlsm</x:v>
      </x:c>
      <x:c r="AL661" s="9" t="str">
        <x:v>GR00T vision-only Results</x:v>
      </x:c>
      <x:c r="AM661" s="9" t="n">
        <x:v>41</x:v>
      </x:c>
      <x:c r="AN661" s="9" t="n">
        <x:v>41</x:v>
      </x:c>
    </x:row>
    <x:row r="662">
      <x:c r="A662" s="9" t="str">
        <x:v>Success</x:v>
      </x:c>
      <x:c r="B662" s="9" t="str">
        <x:v>Referential Disambiguation</x:v>
      </x:c>
      <x:c r="C662" s="10" t="n">
        <x:v>40</x:v>
      </x:c>
      <x:c r="D662" s="9" t="str">
        <x:v>Put the pencil sharpener between the airplane toy with propellers and the yellow pen in the bowl.</x:v>
      </x:c>
      <x:c r="E662" s="9" t="str">
        <x:v>green pencil sharpener; red pencil sharpener; airplane toy with propellers; yellow pen; airplane toy without propellers</x:v>
      </x:c>
      <x:c r="F662" s="9" t="str">
        <x:v>green pencil sharpener</x:v>
      </x:c>
      <x:c r="G662" s="9"/>
      <x:c r="H662" s="9" t="str">
        <x:v>Concept/compositional transfer</x:v>
      </x:c>
      <x:c r="I662" s="9" t="str">
        <x:v>RD-CT06</x:v>
      </x:c>
      <x:c r="J662" s="9" t="str">
        <x:v>Primary held-out relation × candidate-category composition — Put</x:v>
      </x:c>
      <x:c r="K662" s="9"/>
      <x:c r="L662" s="9" t="str">
        <x:v>483</x:v>
      </x:c>
      <x:c r="M662" s="9" t="str">
        <x:v>Masked source trajectory: the target identity and physical manipulation are trained under a direct-name prompt, while this relation × candidate-category composition is intentionally absent.</x:v>
      </x:c>
      <x:c r="N662" s="9" t="n">
        <x:v>2</x:v>
      </x:c>
      <x:c r="O662" s="9" t="str">
        <x:v>Place the listed objects. Arrange Expected Target as the unique answer to the prompt; keep the bowl empty and save a reference image.</x:v>
      </x:c>
      <x:c r="P662" s="9" t="str">
        <x:v>Both candidates are present. The held-out relation is the only information that identifies the target.</x:v>
      </x:c>
      <x:c r="Q662" s="9"/>
      <x:c r="R662" s="10" t="n">
        <x:v>5</x:v>
      </x:c>
      <x:c r="S662" s="10" t="n">
        <x:v>1</x:v>
      </x:c>
      <x:c r="T662" s="9" t="str">
        <x:v>Empty</x:v>
      </x:c>
      <x:c r="U662" s="9"/>
      <x:c r="V662" s="9"/>
      <x:c r="W662" s="9"/>
      <x:c r="X662" s="10"/>
      <x:c r="Y662" s="10"/>
      <x:c r="Z662" s="9"/>
      <x:c r="AA662" s="9"/>
      <x:c r="AB662" s="9" t="str">
        <x:v>between</x:v>
      </x:c>
      <x:c r="AC662" s="9"/>
      <x:c r="AD662" s="9"/>
      <x:c r="AE662" s="9"/>
      <x:c r="AF662" s="9"/>
      <x:c r="AG662" s="9" t="str">
        <x:v>pencil sharpener</x:v>
      </x:c>
      <x:c r="AH662" s="9"/>
      <x:c r="AI662" s="11"/>
      <x:c r="AJ662" s="9"/>
      <x:c r="AK662" s="9" t="str">
        <x:v>Eval_Referential_Disambiguation.xlsm</x:v>
      </x:c>
      <x:c r="AL662" s="9" t="str">
        <x:v>GR00T vision-only Results</x:v>
      </x:c>
      <x:c r="AM662" s="9" t="n">
        <x:v>42</x:v>
      </x:c>
      <x:c r="AN662" s="9" t="n">
        <x:v>42</x:v>
      </x:c>
    </x:row>
    <x:row r="663">
      <x:c r="A663" s="9" t="str">
        <x:v>Success</x:v>
      </x:c>
      <x:c r="B663" s="9" t="str">
        <x:v>Referential Disambiguation</x:v>
      </x:c>
      <x:c r="C663" s="10" t="n">
        <x:v>41</x:v>
      </x:c>
      <x:c r="D663" s="9" t="str">
        <x:v>Move the green pencil sharpener into the bowl.</x:v>
      </x:c>
      <x:c r="E663" s="9" t="str">
        <x:v>green pencil sharpener; red pencil sharpener; airplane toy with propellers; yellow pen; airplane toy without propellers</x:v>
      </x:c>
      <x:c r="F663" s="9" t="str">
        <x:v>green pencil sharpener</x:v>
      </x:c>
      <x:c r="G663" s="9"/>
      <x:c r="H663" s="9" t="str">
        <x:v>Matched manipulation control</x:v>
      </x:c>
      <x:c r="I663" s="9" t="str">
        <x:v>RD-CT06</x:v>
      </x:c>
      <x:c r="J663" s="9" t="str">
        <x:v>Exact-scene direct-identity manipulation control</x:v>
      </x:c>
      <x:c r="K663" s="9" t="n">
        <x:v>40</x:v>
      </x:c>
      <x:c r="L663" s="9" t="str">
        <x:v>483</x:v>
      </x:c>
      <x:c r="M663" s="9" t="str">
        <x:v>Exact masked-cell training prompt for the same target identity. The evaluation scene and physical endpoint are identical to the paired transfer row.</x:v>
      </x:c>
      <x:c r="N663" s="9" t="n">
        <x:v>2</x:v>
      </x:c>
      <x:c r="O663" s="9" t="str">
        <x:v>Reset the moved object exactly; preserve the scene; change only the instruction.</x:v>
      </x:c>
      <x:c r="P663" s="9" t="str">
        <x:v>Controls recognition and manipulation of the same target without requiring referential reasoning.</x:v>
      </x:c>
      <x:c r="Q663" s="9"/>
      <x:c r="R663" s="10" t="n">
        <x:v>5</x:v>
      </x:c>
      <x:c r="S663" s="10" t="n">
        <x:v>1</x:v>
      </x:c>
      <x:c r="T663" s="9" t="str">
        <x:v>Empty</x:v>
      </x:c>
      <x:c r="U663" s="9"/>
      <x:c r="V663" s="9"/>
      <x:c r="W663" s="9"/>
      <x:c r="X663" s="10"/>
      <x:c r="Y663" s="10"/>
      <x:c r="Z663" s="9"/>
      <x:c r="AA663" s="9"/>
      <x:c r="AB663" s="9" t="str">
        <x:v>direct name</x:v>
      </x:c>
      <x:c r="AC663" s="9"/>
      <x:c r="AD663" s="9"/>
      <x:c r="AE663" s="9"/>
      <x:c r="AF663" s="9"/>
      <x:c r="AG663" s="9" t="str">
        <x:v>pencil sharpener</x:v>
      </x:c>
      <x:c r="AH663" s="9"/>
      <x:c r="AI663" s="11"/>
      <x:c r="AJ663" s="9"/>
      <x:c r="AK663" s="9" t="str">
        <x:v>Eval_Referential_Disambiguation.xlsm</x:v>
      </x:c>
      <x:c r="AL663" s="9" t="str">
        <x:v>GR00T vision-only Results</x:v>
      </x:c>
      <x:c r="AM663" s="9" t="n">
        <x:v>43</x:v>
      </x:c>
      <x:c r="AN663" s="9" t="n">
        <x:v>43</x:v>
      </x:c>
    </x:row>
    <x:row r="664">
      <x:c r="A664" s="9" t="str">
        <x:v>Failure</x:v>
      </x:c>
      <x:c r="B664" s="9" t="str">
        <x:v>Referential Disambiguation</x:v>
      </x:c>
      <x:c r="C664" s="10" t="n">
        <x:v>42</x:v>
      </x:c>
      <x:c r="D664" s="9" t="str">
        <x:v>Place the pencil sharpener sitting between the airplane toy with propellers and the yellow pen in the bowl.</x:v>
      </x:c>
      <x:c r="E664" s="9" t="str">
        <x:v>green pencil sharpener; red pencil sharpener; airplane toy with propellers; yellow pen; airplane toy without propellers</x:v>
      </x:c>
      <x:c r="F664" s="9" t="str">
        <x:v>green pencil sharpener</x:v>
      </x:c>
      <x:c r="G664" s="9" t="str">
        <x:v>succeeded reasoning' went to the green pencil sharpener, but then moved and couldn't recover</x:v>
      </x:c>
      <x:c r="H664" s="9" t="str">
        <x:v>Language robustness</x:v>
      </x:c>
      <x:c r="I664" s="9" t="str">
        <x:v>RD-CT06</x:v>
      </x:c>
      <x:c r="J664" s="9" t="str">
        <x:v>Primary compositional-transfer prompt paraphrase</x:v>
      </x:c>
      <x:c r="K664" s="9" t="n">
        <x:v>40</x:v>
      </x:c>
      <x:c r="L664" s="9" t="str">
        <x:v>483</x:v>
      </x:c>
      <x:c r="M664" s="9" t="str">
        <x:v>Exact canonical transfer scene and masked trajectory reference; only the instruction wording changes. This remains a separate language diagnostic.</x:v>
      </x:c>
      <x:c r="N664" s="9" t="n">
        <x:v>2</x:v>
      </x:c>
      <x:c r="O664" s="9" t="str">
        <x:v>Reset the moved object exactly; preserve the scene; change only the wording.</x:v>
      </x:c>
      <x:c r="P664" s="9" t="str">
        <x:v>One of 10 exact-scene paraphrases of canonical transfer trials.</x:v>
      </x:c>
      <x:c r="Q664" s="9"/>
      <x:c r="R664" s="10" t="n">
        <x:v>5</x:v>
      </x:c>
      <x:c r="S664" s="10" t="n">
        <x:v>1</x:v>
      </x:c>
      <x:c r="T664" s="9" t="str">
        <x:v>Empty</x:v>
      </x:c>
      <x:c r="U664" s="9"/>
      <x:c r="V664" s="9"/>
      <x:c r="W664" s="9"/>
      <x:c r="X664" s="10"/>
      <x:c r="Y664" s="10"/>
      <x:c r="Z664" s="9"/>
      <x:c r="AA664" s="9"/>
      <x:c r="AB664" s="9" t="str">
        <x:v>between</x:v>
      </x:c>
      <x:c r="AC664" s="9"/>
      <x:c r="AD664" s="9"/>
      <x:c r="AE664" s="9"/>
      <x:c r="AF664" s="9"/>
      <x:c r="AG664" s="9" t="str">
        <x:v>pencil sharpener</x:v>
      </x:c>
      <x:c r="AH664" s="9"/>
      <x:c r="AI664" s="11"/>
      <x:c r="AJ664" s="9"/>
      <x:c r="AK664" s="9" t="str">
        <x:v>Eval_Referential_Disambiguation.xlsm</x:v>
      </x:c>
      <x:c r="AL664" s="9" t="str">
        <x:v>GR00T vision-only Results</x:v>
      </x:c>
      <x:c r="AM664" s="9" t="n">
        <x:v>44</x:v>
      </x:c>
      <x:c r="AN664" s="9" t="n">
        <x:v>44</x:v>
      </x:c>
    </x:row>
    <x:row r="665">
      <x:c r="A665" s="9" t="str">
        <x:v>Success</x:v>
      </x:c>
      <x:c r="B665" s="9" t="str">
        <x:v>Referential Disambiguation</x:v>
      </x:c>
      <x:c r="C665" s="10" t="n">
        <x:v>43</x:v>
      </x:c>
      <x:c r="D665" s="9" t="str">
        <x:v>Transfer the green pencil sharpener into the bowl.</x:v>
      </x:c>
      <x:c r="E665" s="9" t="str">
        <x:v>green pencil sharpener; red pencil sharpener; airplane toy with propellers; yellow pen; airplane toy without propellers</x:v>
      </x:c>
      <x:c r="F665" s="9" t="str">
        <x:v>green pencil sharpener</x:v>
      </x:c>
      <x:c r="G665" s="9"/>
      <x:c r="H665" s="9" t="str">
        <x:v>Language robustness</x:v>
      </x:c>
      <x:c r="I665" s="9" t="str">
        <x:v>RD-CT06</x:v>
      </x:c>
      <x:c r="J665" s="9" t="str">
        <x:v>Matched-control direct-name prompt paraphrase</x:v>
      </x:c>
      <x:c r="K665" s="9" t="n">
        <x:v>41</x:v>
      </x:c>
      <x:c r="L665" s="9" t="str">
        <x:v>483</x:v>
      </x:c>
      <x:c r="M665" s="9" t="str">
        <x:v>Exact matched-control scene and target; only the direct-name instruction wording changes.</x:v>
      </x:c>
      <x:c r="N665" s="9" t="n">
        <x:v>2</x:v>
      </x:c>
      <x:c r="O665" s="9" t="str">
        <x:v>Reset the moved object exactly; preserve the scene; change only the wording.</x:v>
      </x:c>
      <x:c r="P665" s="9" t="str">
        <x:v>One of 10 exact-scene paraphrases of matched manipulation controls.</x:v>
      </x:c>
      <x:c r="Q665" s="9"/>
      <x:c r="R665" s="10" t="n">
        <x:v>5</x:v>
      </x:c>
      <x:c r="S665" s="10" t="n">
        <x:v>1</x:v>
      </x:c>
      <x:c r="T665" s="9" t="str">
        <x:v>Empty</x:v>
      </x:c>
      <x:c r="U665" s="9"/>
      <x:c r="V665" s="9"/>
      <x:c r="W665" s="9"/>
      <x:c r="X665" s="10"/>
      <x:c r="Y665" s="10"/>
      <x:c r="Z665" s="9"/>
      <x:c r="AA665" s="9"/>
      <x:c r="AB665" s="9" t="str">
        <x:v>direct-name paraphrase</x:v>
      </x:c>
      <x:c r="AC665" s="9"/>
      <x:c r="AD665" s="9"/>
      <x:c r="AE665" s="9"/>
      <x:c r="AF665" s="9"/>
      <x:c r="AG665" s="9" t="str">
        <x:v>pencil sharpener</x:v>
      </x:c>
      <x:c r="AH665" s="9"/>
      <x:c r="AI665" s="11"/>
      <x:c r="AJ665" s="9"/>
      <x:c r="AK665" s="9" t="str">
        <x:v>Eval_Referential_Disambiguation.xlsm</x:v>
      </x:c>
      <x:c r="AL665" s="9" t="str">
        <x:v>GR00T vision-only Results</x:v>
      </x:c>
      <x:c r="AM665" s="9" t="n">
        <x:v>45</x:v>
      </x:c>
      <x:c r="AN665" s="9" t="n">
        <x:v>45</x:v>
      </x:c>
    </x:row>
    <x:row r="666">
      <x:c r="A666" s="9" t="str">
        <x:v>Failure</x:v>
      </x:c>
      <x:c r="B666" s="9" t="str">
        <x:v>Referential Disambiguation</x:v>
      </x:c>
      <x:c r="C666" s="10" t="n">
        <x:v>44</x:v>
      </x:c>
      <x:c r="D666" s="9" t="str">
        <x:v>Move the airplane toy furthest from the green pencil sharpener into the bowl.</x:v>
      </x:c>
      <x:c r="E666" s="9" t="str">
        <x:v>airplane toy with propellers; airplane toy without propellers; green pencil sharpener</x:v>
      </x:c>
      <x:c r="F666" s="9" t="str">
        <x:v>airplane toy without propellers</x:v>
      </x:c>
      <x:c r="G666" s="9" t="str">
        <x:v>picked the closest one</x:v>
      </x:c>
      <x:c r="H666" s="9" t="str">
        <x:v>Concept/compositional transfer</x:v>
      </x:c>
      <x:c r="I666" s="9" t="str">
        <x:v>RD-CT07</x:v>
      </x:c>
      <x:c r="J666" s="9" t="str">
        <x:v>Primary held-out relation × candidate-category composition — Move</x:v>
      </x:c>
      <x:c r="K666" s="9"/>
      <x:c r="L666" s="9" t="str">
        <x:v>565</x:v>
      </x:c>
      <x:c r="M666" s="9" t="str">
        <x:v>Masked source trajectory: the target identity and physical manipulation are trained under a direct-name prompt, while this relation × candidate-category composition is intentionally absent.</x:v>
      </x:c>
      <x:c r="N666" s="9" t="n">
        <x:v>2</x:v>
      </x:c>
      <x:c r="O666" s="9" t="str">
        <x:v>Place the listed objects. Arrange Expected Target as the unique answer to the prompt; keep the bowl empty and save a reference image.</x:v>
      </x:c>
      <x:c r="P666" s="9" t="str">
        <x:v>Both candidates are present. The held-out relation is the only information that identifies the target.</x:v>
      </x:c>
      <x:c r="Q666" s="9"/>
      <x:c r="R666" s="10" t="n">
        <x:v>3</x:v>
      </x:c>
      <x:c r="S666" s="10" t="n">
        <x:v>1</x:v>
      </x:c>
      <x:c r="T666" s="9" t="str">
        <x:v>Empty</x:v>
      </x:c>
      <x:c r="U666" s="9"/>
      <x:c r="V666" s="9"/>
      <x:c r="W666" s="9"/>
      <x:c r="X666" s="10"/>
      <x:c r="Y666" s="10"/>
      <x:c r="Z666" s="9"/>
      <x:c r="AA666" s="9"/>
      <x:c r="AB666" s="9" t="str">
        <x:v>furthest</x:v>
      </x:c>
      <x:c r="AC666" s="9"/>
      <x:c r="AD666" s="9"/>
      <x:c r="AE666" s="9"/>
      <x:c r="AF666" s="9"/>
      <x:c r="AG666" s="9" t="str">
        <x:v>airplane toy</x:v>
      </x:c>
      <x:c r="AH666" s="9"/>
      <x:c r="AI666" s="11"/>
      <x:c r="AJ666" s="9"/>
      <x:c r="AK666" s="9" t="str">
        <x:v>Eval_Referential_Disambiguation.xlsm</x:v>
      </x:c>
      <x:c r="AL666" s="9" t="str">
        <x:v>GR00T vision-only Results</x:v>
      </x:c>
      <x:c r="AM666" s="9" t="n">
        <x:v>46</x:v>
      </x:c>
      <x:c r="AN666" s="9" t="n">
        <x:v>46</x:v>
      </x:c>
    </x:row>
    <x:row r="667">
      <x:c r="A667" s="9" t="str">
        <x:v>Failure</x:v>
      </x:c>
      <x:c r="B667" s="9" t="str">
        <x:v>Referential Disambiguation</x:v>
      </x:c>
      <x:c r="C667" s="10" t="n">
        <x:v>45</x:v>
      </x:c>
      <x:c r="D667" s="9" t="str">
        <x:v>Pick up the airplane toy without propellers and place it in the bowl.</x:v>
      </x:c>
      <x:c r="E667" s="9" t="str">
        <x:v>airplane toy with propellers; airplane toy without propellers; green pencil sharpener</x:v>
      </x:c>
      <x:c r="F667" s="9" t="str">
        <x:v>airplane toy without propellers</x:v>
      </x:c>
      <x:c r="G667" s="9" t="str">
        <x:v>picked the propellor plane</x:v>
      </x:c>
      <x:c r="H667" s="9" t="str">
        <x:v>Matched manipulation control</x:v>
      </x:c>
      <x:c r="I667" s="9" t="str">
        <x:v>RD-CT07</x:v>
      </x:c>
      <x:c r="J667" s="9" t="str">
        <x:v>Exact-scene direct-identity manipulation control</x:v>
      </x:c>
      <x:c r="K667" s="9" t="n">
        <x:v>44</x:v>
      </x:c>
      <x:c r="L667" s="9" t="str">
        <x:v>565</x:v>
      </x:c>
      <x:c r="M667" s="9" t="str">
        <x:v>Exact masked-cell training prompt for the same target identity. The evaluation scene and physical endpoint are identical to the paired transfer row.</x:v>
      </x:c>
      <x:c r="N667" s="9" t="n">
        <x:v>2</x:v>
      </x:c>
      <x:c r="O667" s="9" t="str">
        <x:v>Reset the moved object exactly; preserve the scene; change only the instruction.</x:v>
      </x:c>
      <x:c r="P667" s="9" t="str">
        <x:v>Controls recognition and manipulation of the same target without requiring referential reasoning.</x:v>
      </x:c>
      <x:c r="Q667" s="9"/>
      <x:c r="R667" s="10" t="n">
        <x:v>3</x:v>
      </x:c>
      <x:c r="S667" s="10" t="n">
        <x:v>1</x:v>
      </x:c>
      <x:c r="T667" s="9" t="str">
        <x:v>Empty</x:v>
      </x:c>
      <x:c r="U667" s="9"/>
      <x:c r="V667" s="9"/>
      <x:c r="W667" s="9"/>
      <x:c r="X667" s="10"/>
      <x:c r="Y667" s="10"/>
      <x:c r="Z667" s="9"/>
      <x:c r="AA667" s="9"/>
      <x:c r="AB667" s="9" t="str">
        <x:v>direct name</x:v>
      </x:c>
      <x:c r="AC667" s="9"/>
      <x:c r="AD667" s="9"/>
      <x:c r="AE667" s="9"/>
      <x:c r="AF667" s="9"/>
      <x:c r="AG667" s="9" t="str">
        <x:v>airplane toy</x:v>
      </x:c>
      <x:c r="AH667" s="9"/>
      <x:c r="AI667" s="11"/>
      <x:c r="AJ667" s="9"/>
      <x:c r="AK667" s="9" t="str">
        <x:v>Eval_Referential_Disambiguation.xlsm</x:v>
      </x:c>
      <x:c r="AL667" s="9" t="str">
        <x:v>GR00T vision-only Results</x:v>
      </x:c>
      <x:c r="AM667" s="9" t="n">
        <x:v>47</x:v>
      </x:c>
      <x:c r="AN667" s="9" t="n">
        <x:v>47</x:v>
      </x:c>
    </x:row>
    <x:row r="668">
      <x:c r="A668" s="9" t="str">
        <x:v>Success</x:v>
      </x:c>
      <x:c r="B668" s="9" t="str">
        <x:v>Referential Disambiguation</x:v>
      </x:c>
      <x:c r="C668" s="10" t="n">
        <x:v>46</x:v>
      </x:c>
      <x:c r="D668" s="9" t="str">
        <x:v>Move whichever airplane toy is most distant from the green pencil sharpener into the bowl.</x:v>
      </x:c>
      <x:c r="E668" s="9" t="str">
        <x:v>airplane toy with propellers; airplane toy without propellers; green pencil sharpener</x:v>
      </x:c>
      <x:c r="F668" s="9" t="str">
        <x:v>airplane toy without propellers</x:v>
      </x:c>
      <x:c r="G668" s="9" t="str">
        <x:v>had a bunch of recoveries</x:v>
      </x:c>
      <x:c r="H668" s="9" t="str">
        <x:v>Language robustness</x:v>
      </x:c>
      <x:c r="I668" s="9" t="str">
        <x:v>RD-CT07</x:v>
      </x:c>
      <x:c r="J668" s="9" t="str">
        <x:v>Primary compositional-transfer prompt paraphrase</x:v>
      </x:c>
      <x:c r="K668" s="9" t="n">
        <x:v>44</x:v>
      </x:c>
      <x:c r="L668" s="9" t="str">
        <x:v>565</x:v>
      </x:c>
      <x:c r="M668" s="9" t="str">
        <x:v>Exact canonical transfer scene and masked trajectory reference; only the instruction wording changes. This remains a separate language diagnostic.</x:v>
      </x:c>
      <x:c r="N668" s="9" t="n">
        <x:v>2</x:v>
      </x:c>
      <x:c r="O668" s="9" t="str">
        <x:v>Reset the moved object exactly; preserve the scene; change only the wording.</x:v>
      </x:c>
      <x:c r="P668" s="9" t="str">
        <x:v>One of 10 exact-scene paraphrases of canonical transfer trials.</x:v>
      </x:c>
      <x:c r="Q668" s="9"/>
      <x:c r="R668" s="10" t="n">
        <x:v>3</x:v>
      </x:c>
      <x:c r="S668" s="10" t="n">
        <x:v>1</x:v>
      </x:c>
      <x:c r="T668" s="9" t="str">
        <x:v>Empty</x:v>
      </x:c>
      <x:c r="U668" s="9"/>
      <x:c r="V668" s="9"/>
      <x:c r="W668" s="9"/>
      <x:c r="X668" s="10"/>
      <x:c r="Y668" s="10"/>
      <x:c r="Z668" s="9"/>
      <x:c r="AA668" s="9"/>
      <x:c r="AB668" s="9" t="str">
        <x:v>furthest</x:v>
      </x:c>
      <x:c r="AC668" s="9"/>
      <x:c r="AD668" s="9"/>
      <x:c r="AE668" s="9"/>
      <x:c r="AF668" s="9"/>
      <x:c r="AG668" s="9" t="str">
        <x:v>airplane toy</x:v>
      </x:c>
      <x:c r="AH668" s="9"/>
      <x:c r="AI668" s="11"/>
      <x:c r="AJ668" s="9"/>
      <x:c r="AK668" s="9" t="str">
        <x:v>Eval_Referential_Disambiguation.xlsm</x:v>
      </x:c>
      <x:c r="AL668" s="9" t="str">
        <x:v>GR00T vision-only Results</x:v>
      </x:c>
      <x:c r="AM668" s="9" t="n">
        <x:v>48</x:v>
      </x:c>
      <x:c r="AN668" s="9" t="n">
        <x:v>48</x:v>
      </x:c>
    </x:row>
    <x:row r="669">
      <x:c r="A669" s="9" t="str">
        <x:v>Failure</x:v>
      </x:c>
      <x:c r="B669" s="9" t="str">
        <x:v>Referential Disambiguation</x:v>
      </x:c>
      <x:c r="C669" s="10" t="n">
        <x:v>47</x:v>
      </x:c>
      <x:c r="D669" s="9" t="str">
        <x:v>Set the airplane toy without propellers inside the bowl.</x:v>
      </x:c>
      <x:c r="E669" s="9" t="str">
        <x:v>airplane toy with propellers; airplane toy without propellers; green pencil sharpener</x:v>
      </x:c>
      <x:c r="F669" s="9" t="str">
        <x:v>airplane toy without propellers</x:v>
      </x:c>
      <x:c r="G669" s="9" t="str">
        <x:v>succeeded reasoning, but gripped so hard that the toy got knocked off of the table; robot drifted to the right edge of the workspace</x:v>
      </x:c>
      <x:c r="H669" s="9" t="str">
        <x:v>Language robustness</x:v>
      </x:c>
      <x:c r="I669" s="9" t="str">
        <x:v>RD-CT07</x:v>
      </x:c>
      <x:c r="J669" s="9" t="str">
        <x:v>Matched-control direct-name prompt paraphrase</x:v>
      </x:c>
      <x:c r="K669" s="9" t="n">
        <x:v>45</x:v>
      </x:c>
      <x:c r="L669" s="9" t="str">
        <x:v>565</x:v>
      </x:c>
      <x:c r="M669" s="9" t="str">
        <x:v>Exact matched-control scene and target; only the direct-name instruction wording changes.</x:v>
      </x:c>
      <x:c r="N669" s="9" t="n">
        <x:v>2</x:v>
      </x:c>
      <x:c r="O669" s="9" t="str">
        <x:v>Reset the moved object exactly; preserve the scene; change only the wording.</x:v>
      </x:c>
      <x:c r="P669" s="9" t="str">
        <x:v>One of 10 exact-scene paraphrases of matched manipulation controls.</x:v>
      </x:c>
      <x:c r="Q669" s="9"/>
      <x:c r="R669" s="10" t="n">
        <x:v>3</x:v>
      </x:c>
      <x:c r="S669" s="10" t="n">
        <x:v>1</x:v>
      </x:c>
      <x:c r="T669" s="9" t="str">
        <x:v>Empty</x:v>
      </x:c>
      <x:c r="U669" s="9"/>
      <x:c r="V669" s="9"/>
      <x:c r="W669" s="9"/>
      <x:c r="X669" s="10"/>
      <x:c r="Y669" s="10"/>
      <x:c r="Z669" s="9"/>
      <x:c r="AA669" s="9"/>
      <x:c r="AB669" s="9" t="str">
        <x:v>direct-name paraphrase</x:v>
      </x:c>
      <x:c r="AC669" s="9"/>
      <x:c r="AD669" s="9"/>
      <x:c r="AE669" s="9"/>
      <x:c r="AF669" s="9"/>
      <x:c r="AG669" s="9" t="str">
        <x:v>airplane toy</x:v>
      </x:c>
      <x:c r="AH669" s="9"/>
      <x:c r="AI669" s="11"/>
      <x:c r="AJ669" s="9"/>
      <x:c r="AK669" s="9" t="str">
        <x:v>Eval_Referential_Disambiguation.xlsm</x:v>
      </x:c>
      <x:c r="AL669" s="9" t="str">
        <x:v>GR00T vision-only Results</x:v>
      </x:c>
      <x:c r="AM669" s="9" t="n">
        <x:v>49</x:v>
      </x:c>
      <x:c r="AN669" s="9" t="n">
        <x:v>49</x:v>
      </x:c>
    </x:row>
    <x:row r="670">
      <x:c r="A670" s="9" t="str">
        <x:v>Success</x:v>
      </x:c>
      <x:c r="B670" s="9" t="str">
        <x:v>Referential Disambiguation</x:v>
      </x:c>
      <x:c r="C670" s="10" t="n">
        <x:v>48</x:v>
      </x:c>
      <x:c r="D670" s="9" t="str">
        <x:v>Move the crushed soda can closest to the green pencil sharpener into the bowl.</x:v>
      </x:c>
      <x:c r="E670" s="9" t="str">
        <x:v>crushed Coke can; crushed Pepsi can; green pencil sharpener</x:v>
      </x:c>
      <x:c r="F670" s="9" t="str">
        <x:v>crushed Pepsi can</x:v>
      </x:c>
      <x:c r="G670" s="9"/>
      <x:c r="H670" s="9" t="str">
        <x:v>Concept/compositional transfer</x:v>
      </x:c>
      <x:c r="I670" s="9" t="str">
        <x:v>RD-CT08</x:v>
      </x:c>
      <x:c r="J670" s="9" t="str">
        <x:v>Primary held-out relation × candidate-category composition — Move</x:v>
      </x:c>
      <x:c r="K670" s="9"/>
      <x:c r="L670" s="9" t="str">
        <x:v>401</x:v>
      </x:c>
      <x:c r="M670" s="9" t="str">
        <x:v>Masked source trajectory: the target identity and physical manipulation are trained under a direct-name prompt, while this relation × candidate-category composition is intentionally absent.</x:v>
      </x:c>
      <x:c r="N670" s="9" t="n">
        <x:v>2</x:v>
      </x:c>
      <x:c r="O670" s="9" t="str">
        <x:v>Place the listed objects. Arrange Expected Target as the unique answer to the prompt; keep the bowl empty and save a reference image.</x:v>
      </x:c>
      <x:c r="P670" s="9" t="str">
        <x:v>Both candidates are present. The held-out relation is the only information that identifies the target.</x:v>
      </x:c>
      <x:c r="Q670" s="9"/>
      <x:c r="R670" s="10" t="n">
        <x:v>3</x:v>
      </x:c>
      <x:c r="S670" s="10" t="n">
        <x:v>1</x:v>
      </x:c>
      <x:c r="T670" s="9" t="str">
        <x:v>Empty</x:v>
      </x:c>
      <x:c r="U670" s="9"/>
      <x:c r="V670" s="9"/>
      <x:c r="W670" s="9"/>
      <x:c r="X670" s="10"/>
      <x:c r="Y670" s="10"/>
      <x:c r="Z670" s="9"/>
      <x:c r="AA670" s="9"/>
      <x:c r="AB670" s="9" t="str">
        <x:v>closest</x:v>
      </x:c>
      <x:c r="AC670" s="9"/>
      <x:c r="AD670" s="9"/>
      <x:c r="AE670" s="9"/>
      <x:c r="AF670" s="9"/>
      <x:c r="AG670" s="9" t="str">
        <x:v>crushed soda can</x:v>
      </x:c>
      <x:c r="AH670" s="9"/>
      <x:c r="AI670" s="11"/>
      <x:c r="AJ670" s="9"/>
      <x:c r="AK670" s="9" t="str">
        <x:v>Eval_Referential_Disambiguation.xlsm</x:v>
      </x:c>
      <x:c r="AL670" s="9" t="str">
        <x:v>GR00T vision-only Results</x:v>
      </x:c>
      <x:c r="AM670" s="9" t="n">
        <x:v>50</x:v>
      </x:c>
      <x:c r="AN670" s="9" t="n">
        <x:v>50</x:v>
      </x:c>
    </x:row>
    <x:row r="671">
      <x:c r="A671" s="9" t="str">
        <x:v>Success</x:v>
      </x:c>
      <x:c r="B671" s="9" t="str">
        <x:v>Referential Disambiguation</x:v>
      </x:c>
      <x:c r="C671" s="10" t="n">
        <x:v>49</x:v>
      </x:c>
      <x:c r="D671" s="9" t="str">
        <x:v>Pick up the crushed Pepsi can and place it in the bowl.</x:v>
      </x:c>
      <x:c r="E671" s="9" t="str">
        <x:v>crushed Coke can; crushed Pepsi can; green pencil sharpener</x:v>
      </x:c>
      <x:c r="F671" s="9" t="str">
        <x:v>crushed Pepsi can</x:v>
      </x:c>
      <x:c r="G671" s="9"/>
      <x:c r="H671" s="9" t="str">
        <x:v>Matched manipulation control</x:v>
      </x:c>
      <x:c r="I671" s="9" t="str">
        <x:v>RD-CT08</x:v>
      </x:c>
      <x:c r="J671" s="9" t="str">
        <x:v>Exact-scene direct-identity manipulation control</x:v>
      </x:c>
      <x:c r="K671" s="9" t="n">
        <x:v>48</x:v>
      </x:c>
      <x:c r="L671" s="9" t="str">
        <x:v>401</x:v>
      </x:c>
      <x:c r="M671" s="9" t="str">
        <x:v>Exact masked-cell training prompt for the same target identity. The evaluation scene and physical endpoint are identical to the paired transfer row.</x:v>
      </x:c>
      <x:c r="N671" s="9" t="n">
        <x:v>2</x:v>
      </x:c>
      <x:c r="O671" s="9" t="str">
        <x:v>Reset the moved object exactly; preserve the scene; change only the instruction.</x:v>
      </x:c>
      <x:c r="P671" s="9" t="str">
        <x:v>Controls recognition and manipulation of the same target without requiring referential reasoning.</x:v>
      </x:c>
      <x:c r="Q671" s="9"/>
      <x:c r="R671" s="10" t="n">
        <x:v>3</x:v>
      </x:c>
      <x:c r="S671" s="10" t="n">
        <x:v>1</x:v>
      </x:c>
      <x:c r="T671" s="9" t="str">
        <x:v>Empty</x:v>
      </x:c>
      <x:c r="U671" s="9"/>
      <x:c r="V671" s="9"/>
      <x:c r="W671" s="9"/>
      <x:c r="X671" s="10"/>
      <x:c r="Y671" s="10"/>
      <x:c r="Z671" s="9"/>
      <x:c r="AA671" s="9"/>
      <x:c r="AB671" s="9" t="str">
        <x:v>direct name</x:v>
      </x:c>
      <x:c r="AC671" s="9"/>
      <x:c r="AD671" s="9"/>
      <x:c r="AE671" s="9"/>
      <x:c r="AF671" s="9"/>
      <x:c r="AG671" s="9" t="str">
        <x:v>crushed soda can</x:v>
      </x:c>
      <x:c r="AH671" s="9"/>
      <x:c r="AI671" s="11"/>
      <x:c r="AJ671" s="9"/>
      <x:c r="AK671" s="9" t="str">
        <x:v>Eval_Referential_Disambiguation.xlsm</x:v>
      </x:c>
      <x:c r="AL671" s="9" t="str">
        <x:v>GR00T vision-only Results</x:v>
      </x:c>
      <x:c r="AM671" s="9" t="n">
        <x:v>51</x:v>
      </x:c>
      <x:c r="AN671" s="9" t="n">
        <x:v>51</x:v>
      </x:c>
    </x:row>
    <x:row r="672">
      <x:c r="A672" s="9" t="str">
        <x:v>Success</x:v>
      </x:c>
      <x:c r="B672" s="9" t="str">
        <x:v>Referential Disambiguation</x:v>
      </x:c>
      <x:c r="C672" s="10" t="n">
        <x:v>50</x:v>
      </x:c>
      <x:c r="D672" s="9" t="str">
        <x:v>Move whichever crushed soda can is nearer to the green pencil sharpener into the bowl.</x:v>
      </x:c>
      <x:c r="E672" s="9" t="str">
        <x:v>crushed Coke can; crushed Pepsi can; green pencil sharpener</x:v>
      </x:c>
      <x:c r="F672" s="9" t="str">
        <x:v>crushed Pepsi can</x:v>
      </x:c>
      <x:c r="G672" s="9"/>
      <x:c r="H672" s="9" t="str">
        <x:v>Language robustness</x:v>
      </x:c>
      <x:c r="I672" s="9" t="str">
        <x:v>RD-CT08</x:v>
      </x:c>
      <x:c r="J672" s="9" t="str">
        <x:v>Primary compositional-transfer prompt paraphrase</x:v>
      </x:c>
      <x:c r="K672" s="9" t="n">
        <x:v>48</x:v>
      </x:c>
      <x:c r="L672" s="9" t="str">
        <x:v>401</x:v>
      </x:c>
      <x:c r="M672" s="9" t="str">
        <x:v>Exact canonical transfer scene and masked trajectory reference; only the instruction wording changes. This remains a separate language diagnostic.</x:v>
      </x:c>
      <x:c r="N672" s="9" t="n">
        <x:v>2</x:v>
      </x:c>
      <x:c r="O672" s="9" t="str">
        <x:v>Reset the moved object exactly; preserve the scene; change only the wording.</x:v>
      </x:c>
      <x:c r="P672" s="9" t="str">
        <x:v>One of 10 exact-scene paraphrases of canonical transfer trials.</x:v>
      </x:c>
      <x:c r="Q672" s="9"/>
      <x:c r="R672" s="10" t="n">
        <x:v>3</x:v>
      </x:c>
      <x:c r="S672" s="10" t="n">
        <x:v>1</x:v>
      </x:c>
      <x:c r="T672" s="9" t="str">
        <x:v>Empty</x:v>
      </x:c>
      <x:c r="U672" s="9"/>
      <x:c r="V672" s="9"/>
      <x:c r="W672" s="9"/>
      <x:c r="X672" s="10"/>
      <x:c r="Y672" s="10"/>
      <x:c r="Z672" s="9"/>
      <x:c r="AA672" s="9"/>
      <x:c r="AB672" s="9" t="str">
        <x:v>closest</x:v>
      </x:c>
      <x:c r="AC672" s="9"/>
      <x:c r="AD672" s="9"/>
      <x:c r="AE672" s="9"/>
      <x:c r="AF672" s="9"/>
      <x:c r="AG672" s="9" t="str">
        <x:v>crushed soda can</x:v>
      </x:c>
      <x:c r="AH672" s="9"/>
      <x:c r="AI672" s="11"/>
      <x:c r="AJ672" s="9"/>
      <x:c r="AK672" s="9" t="str">
        <x:v>Eval_Referential_Disambiguation.xlsm</x:v>
      </x:c>
      <x:c r="AL672" s="9" t="str">
        <x:v>GR00T vision-only Results</x:v>
      </x:c>
      <x:c r="AM672" s="9" t="n">
        <x:v>52</x:v>
      </x:c>
      <x:c r="AN672" s="9" t="n">
        <x:v>52</x:v>
      </x:c>
    </x:row>
    <x:row r="673">
      <x:c r="A673" s="9" t="str">
        <x:v>Success</x:v>
      </x:c>
      <x:c r="B673" s="9" t="str">
        <x:v>Referential Disambiguation</x:v>
      </x:c>
      <x:c r="C673" s="10" t="n">
        <x:v>51</x:v>
      </x:c>
      <x:c r="D673" s="9" t="str">
        <x:v>Set the crushed Pepsi can inside the bowl.</x:v>
      </x:c>
      <x:c r="E673" s="9" t="str">
        <x:v>crushed Coke can; crushed Pepsi can; green pencil sharpener</x:v>
      </x:c>
      <x:c r="F673" s="9" t="str">
        <x:v>crushed Pepsi can</x:v>
      </x:c>
      <x:c r="G673" s="9"/>
      <x:c r="H673" s="9" t="str">
        <x:v>Language robustness</x:v>
      </x:c>
      <x:c r="I673" s="9" t="str">
        <x:v>RD-CT08</x:v>
      </x:c>
      <x:c r="J673" s="9" t="str">
        <x:v>Matched-control direct-name prompt paraphrase</x:v>
      </x:c>
      <x:c r="K673" s="9" t="n">
        <x:v>49</x:v>
      </x:c>
      <x:c r="L673" s="9" t="str">
        <x:v>401</x:v>
      </x:c>
      <x:c r="M673" s="9" t="str">
        <x:v>Exact matched-control scene and target; only the direct-name instruction wording changes.</x:v>
      </x:c>
      <x:c r="N673" s="9" t="n">
        <x:v>2</x:v>
      </x:c>
      <x:c r="O673" s="9" t="str">
        <x:v>Reset the moved object exactly; preserve the scene; change only the wording.</x:v>
      </x:c>
      <x:c r="P673" s="9" t="str">
        <x:v>One of 10 exact-scene paraphrases of matched manipulation controls.</x:v>
      </x:c>
      <x:c r="Q673" s="9"/>
      <x:c r="R673" s="10" t="n">
        <x:v>3</x:v>
      </x:c>
      <x:c r="S673" s="10" t="n">
        <x:v>1</x:v>
      </x:c>
      <x:c r="T673" s="9" t="str">
        <x:v>Empty</x:v>
      </x:c>
      <x:c r="U673" s="9"/>
      <x:c r="V673" s="9"/>
      <x:c r="W673" s="9"/>
      <x:c r="X673" s="10"/>
      <x:c r="Y673" s="10"/>
      <x:c r="Z673" s="9"/>
      <x:c r="AA673" s="9"/>
      <x:c r="AB673" s="9" t="str">
        <x:v>direct-name paraphrase</x:v>
      </x:c>
      <x:c r="AC673" s="9"/>
      <x:c r="AD673" s="9"/>
      <x:c r="AE673" s="9"/>
      <x:c r="AF673" s="9"/>
      <x:c r="AG673" s="9" t="str">
        <x:v>crushed soda can</x:v>
      </x:c>
      <x:c r="AH673" s="9"/>
      <x:c r="AI673" s="11"/>
      <x:c r="AJ673" s="9"/>
      <x:c r="AK673" s="9" t="str">
        <x:v>Eval_Referential_Disambiguation.xlsm</x:v>
      </x:c>
      <x:c r="AL673" s="9" t="str">
        <x:v>GR00T vision-only Results</x:v>
      </x:c>
      <x:c r="AM673" s="9" t="n">
        <x:v>53</x:v>
      </x:c>
      <x:c r="AN673" s="9" t="n">
        <x:v>53</x:v>
      </x:c>
    </x:row>
    <x:row r="674">
      <x:c r="A674" s="9" t="str">
        <x:v>Success</x:v>
      </x:c>
      <x:c r="B674" s="9" t="str">
        <x:v>Referential Disambiguation</x:v>
      </x:c>
      <x:c r="C674" s="10" t="n">
        <x:v>52</x:v>
      </x:c>
      <x:c r="D674" s="9" t="str">
        <x:v>Move the pencil sharpener between the crushed Pepsi can and the airplane toy without propellers into the bowl.</x:v>
      </x:c>
      <x:c r="E674" s="9" t="str">
        <x:v>green pencil sharpener; red pencil sharpener; crushed Pepsi can; airplane toy without propellers</x:v>
      </x:c>
      <x:c r="F674" s="9" t="str">
        <x:v>red pencil sharpener</x:v>
      </x:c>
      <x:c r="G674" s="9"/>
      <x:c r="H674" s="9" t="str">
        <x:v>Concept/compositional transfer</x:v>
      </x:c>
      <x:c r="I674" s="9" t="str">
        <x:v>RD-CT09</x:v>
      </x:c>
      <x:c r="J674" s="9" t="str">
        <x:v>Primary held-out relation × candidate-category composition — Move</x:v>
      </x:c>
      <x:c r="K674" s="9"/>
      <x:c r="L674" s="9" t="str">
        <x:v>480</x:v>
      </x:c>
      <x:c r="M674" s="9" t="str">
        <x:v>Masked source trajectory: the target identity and physical manipulation are trained under a direct-name prompt, while this relation × candidate-category composition is intentionally absent.</x:v>
      </x:c>
      <x:c r="N674" s="9" t="n">
        <x:v>2</x:v>
      </x:c>
      <x:c r="O674" s="9" t="str">
        <x:v>Place the listed objects. Arrange Expected Target as the unique answer to the prompt; keep the bowl empty and save a reference image.</x:v>
      </x:c>
      <x:c r="P674" s="9" t="str">
        <x:v>Both candidates are present. The held-out relation is the only information that identifies the target.</x:v>
      </x:c>
      <x:c r="Q674" s="9"/>
      <x:c r="R674" s="10" t="n">
        <x:v>4</x:v>
      </x:c>
      <x:c r="S674" s="10" t="n">
        <x:v>1</x:v>
      </x:c>
      <x:c r="T674" s="9" t="str">
        <x:v>Empty</x:v>
      </x:c>
      <x:c r="U674" s="9"/>
      <x:c r="V674" s="9"/>
      <x:c r="W674" s="9"/>
      <x:c r="X674" s="10"/>
      <x:c r="Y674" s="10"/>
      <x:c r="Z674" s="9"/>
      <x:c r="AA674" s="9"/>
      <x:c r="AB674" s="9" t="str">
        <x:v>between</x:v>
      </x:c>
      <x:c r="AC674" s="9"/>
      <x:c r="AD674" s="9"/>
      <x:c r="AE674" s="9"/>
      <x:c r="AF674" s="9"/>
      <x:c r="AG674" s="9" t="str">
        <x:v>pencil sharpener</x:v>
      </x:c>
      <x:c r="AH674" s="9"/>
      <x:c r="AI674" s="11"/>
      <x:c r="AJ674" s="9"/>
      <x:c r="AK674" s="9" t="str">
        <x:v>Eval_Referential_Disambiguation.xlsm</x:v>
      </x:c>
      <x:c r="AL674" s="9" t="str">
        <x:v>GR00T vision-only Results</x:v>
      </x:c>
      <x:c r="AM674" s="9" t="n">
        <x:v>54</x:v>
      </x:c>
      <x:c r="AN674" s="9" t="n">
        <x:v>54</x:v>
      </x:c>
    </x:row>
    <x:row r="675">
      <x:c r="A675" s="9" t="str">
        <x:v>Success</x:v>
      </x:c>
      <x:c r="B675" s="9" t="str">
        <x:v>Referential Disambiguation</x:v>
      </x:c>
      <x:c r="C675" s="10" t="n">
        <x:v>53</x:v>
      </x:c>
      <x:c r="D675" s="9" t="str">
        <x:v>Move the red pencil sharpener into the bowl.</x:v>
      </x:c>
      <x:c r="E675" s="9" t="str">
        <x:v>green pencil sharpener; red pencil sharpener; crushed Pepsi can; airplane toy without propellers</x:v>
      </x:c>
      <x:c r="F675" s="9" t="str">
        <x:v>red pencil sharpener</x:v>
      </x:c>
      <x:c r="G675" s="9"/>
      <x:c r="H675" s="9" t="str">
        <x:v>Matched manipulation control</x:v>
      </x:c>
      <x:c r="I675" s="9" t="str">
        <x:v>RD-CT09</x:v>
      </x:c>
      <x:c r="J675" s="9" t="str">
        <x:v>Exact-scene direct-identity manipulation control</x:v>
      </x:c>
      <x:c r="K675" s="9" t="n">
        <x:v>52</x:v>
      </x:c>
      <x:c r="L675" s="9" t="str">
        <x:v>480</x:v>
      </x:c>
      <x:c r="M675" s="9" t="str">
        <x:v>Exact masked-cell training prompt for the same target identity. The evaluation scene and physical endpoint are identical to the paired transfer row.</x:v>
      </x:c>
      <x:c r="N675" s="9" t="n">
        <x:v>2</x:v>
      </x:c>
      <x:c r="O675" s="9" t="str">
        <x:v>Reset the moved object exactly; preserve the scene; change only the instruction.</x:v>
      </x:c>
      <x:c r="P675" s="9" t="str">
        <x:v>Controls recognition and manipulation of the same target without requiring referential reasoning.</x:v>
      </x:c>
      <x:c r="Q675" s="9"/>
      <x:c r="R675" s="10" t="n">
        <x:v>4</x:v>
      </x:c>
      <x:c r="S675" s="10" t="n">
        <x:v>1</x:v>
      </x:c>
      <x:c r="T675" s="9" t="str">
        <x:v>Empty</x:v>
      </x:c>
      <x:c r="U675" s="9"/>
      <x:c r="V675" s="9"/>
      <x:c r="W675" s="9"/>
      <x:c r="X675" s="10"/>
      <x:c r="Y675" s="10"/>
      <x:c r="Z675" s="9"/>
      <x:c r="AA675" s="9"/>
      <x:c r="AB675" s="9" t="str">
        <x:v>direct name</x:v>
      </x:c>
      <x:c r="AC675" s="9"/>
      <x:c r="AD675" s="9"/>
      <x:c r="AE675" s="9"/>
      <x:c r="AF675" s="9"/>
      <x:c r="AG675" s="9" t="str">
        <x:v>pencil sharpener</x:v>
      </x:c>
      <x:c r="AH675" s="9"/>
      <x:c r="AI675" s="11"/>
      <x:c r="AJ675" s="9"/>
      <x:c r="AK675" s="9" t="str">
        <x:v>Eval_Referential_Disambiguation.xlsm</x:v>
      </x:c>
      <x:c r="AL675" s="9" t="str">
        <x:v>GR00T vision-only Results</x:v>
      </x:c>
      <x:c r="AM675" s="9" t="n">
        <x:v>55</x:v>
      </x:c>
      <x:c r="AN675" s="9" t="n">
        <x:v>55</x:v>
      </x:c>
    </x:row>
    <x:row r="676">
      <x:c r="A676" s="9" t="str">
        <x:v>Success</x:v>
      </x:c>
      <x:c r="B676" s="9" t="str">
        <x:v>Referential Disambiguation</x:v>
      </x:c>
      <x:c r="C676" s="10" t="n">
        <x:v>54</x:v>
      </x:c>
      <x:c r="D676" s="9" t="str">
        <x:v>Move the pencil sharpener that lies on the segment joining the crushed Pepsi can and the airplane toy without propellers into the bowl.</x:v>
      </x:c>
      <x:c r="E676" s="9" t="str">
        <x:v>green pencil sharpener; red pencil sharpener; crushed Pepsi can; airplane toy without propellers</x:v>
      </x:c>
      <x:c r="F676" s="9" t="str">
        <x:v>red pencil sharpener</x:v>
      </x:c>
      <x:c r="G676" s="9"/>
      <x:c r="H676" s="9" t="str">
        <x:v>Language robustness</x:v>
      </x:c>
      <x:c r="I676" s="9" t="str">
        <x:v>RD-CT09</x:v>
      </x:c>
      <x:c r="J676" s="9" t="str">
        <x:v>Primary compositional-transfer prompt paraphrase</x:v>
      </x:c>
      <x:c r="K676" s="9" t="n">
        <x:v>52</x:v>
      </x:c>
      <x:c r="L676" s="9" t="str">
        <x:v>480</x:v>
      </x:c>
      <x:c r="M676" s="9" t="str">
        <x:v>Exact canonical transfer scene and masked trajectory reference; only the instruction wording changes. This remains a separate language diagnostic.</x:v>
      </x:c>
      <x:c r="N676" s="9" t="n">
        <x:v>2</x:v>
      </x:c>
      <x:c r="O676" s="9" t="str">
        <x:v>Reset the moved object exactly; preserve the scene; change only the wording.</x:v>
      </x:c>
      <x:c r="P676" s="9" t="str">
        <x:v>One of 10 exact-scene paraphrases of canonical transfer trials.</x:v>
      </x:c>
      <x:c r="Q676" s="9"/>
      <x:c r="R676" s="10" t="n">
        <x:v>4</x:v>
      </x:c>
      <x:c r="S676" s="10" t="n">
        <x:v>1</x:v>
      </x:c>
      <x:c r="T676" s="9" t="str">
        <x:v>Empty</x:v>
      </x:c>
      <x:c r="U676" s="9"/>
      <x:c r="V676" s="9"/>
      <x:c r="W676" s="9"/>
      <x:c r="X676" s="10"/>
      <x:c r="Y676" s="10"/>
      <x:c r="Z676" s="9"/>
      <x:c r="AA676" s="9"/>
      <x:c r="AB676" s="9" t="str">
        <x:v>between</x:v>
      </x:c>
      <x:c r="AC676" s="9"/>
      <x:c r="AD676" s="9"/>
      <x:c r="AE676" s="9"/>
      <x:c r="AF676" s="9"/>
      <x:c r="AG676" s="9" t="str">
        <x:v>pencil sharpener</x:v>
      </x:c>
      <x:c r="AH676" s="9"/>
      <x:c r="AI676" s="11"/>
      <x:c r="AJ676" s="9"/>
      <x:c r="AK676" s="9" t="str">
        <x:v>Eval_Referential_Disambiguation.xlsm</x:v>
      </x:c>
      <x:c r="AL676" s="9" t="str">
        <x:v>GR00T vision-only Results</x:v>
      </x:c>
      <x:c r="AM676" s="9" t="n">
        <x:v>56</x:v>
      </x:c>
      <x:c r="AN676" s="9" t="n">
        <x:v>56</x:v>
      </x:c>
    </x:row>
    <x:row r="677">
      <x:c r="A677" s="9" t="str">
        <x:v>Success</x:v>
      </x:c>
      <x:c r="B677" s="9" t="str">
        <x:v>Referential Disambiguation</x:v>
      </x:c>
      <x:c r="C677" s="10" t="n">
        <x:v>55</x:v>
      </x:c>
      <x:c r="D677" s="9" t="str">
        <x:v>Set the red pencil sharpener inside the bowl.</x:v>
      </x:c>
      <x:c r="E677" s="9" t="str">
        <x:v>green pencil sharpener; red pencil sharpener; crushed Pepsi can; airplane toy without propellers</x:v>
      </x:c>
      <x:c r="F677" s="9" t="str">
        <x:v>red pencil sharpener</x:v>
      </x:c>
      <x:c r="G677" s="9"/>
      <x:c r="H677" s="9" t="str">
        <x:v>Language robustness</x:v>
      </x:c>
      <x:c r="I677" s="9" t="str">
        <x:v>RD-CT09</x:v>
      </x:c>
      <x:c r="J677" s="9" t="str">
        <x:v>Matched-control direct-name prompt paraphrase</x:v>
      </x:c>
      <x:c r="K677" s="9" t="n">
        <x:v>53</x:v>
      </x:c>
      <x:c r="L677" s="9" t="str">
        <x:v>480</x:v>
      </x:c>
      <x:c r="M677" s="9" t="str">
        <x:v>Exact matched-control scene and target; only the direct-name instruction wording changes.</x:v>
      </x:c>
      <x:c r="N677" s="9" t="n">
        <x:v>2</x:v>
      </x:c>
      <x:c r="O677" s="9" t="str">
        <x:v>Reset the moved object exactly; preserve the scene; change only the wording.</x:v>
      </x:c>
      <x:c r="P677" s="9" t="str">
        <x:v>One of 10 exact-scene paraphrases of matched manipulation controls.</x:v>
      </x:c>
      <x:c r="Q677" s="9"/>
      <x:c r="R677" s="10" t="n">
        <x:v>4</x:v>
      </x:c>
      <x:c r="S677" s="10" t="n">
        <x:v>1</x:v>
      </x:c>
      <x:c r="T677" s="9" t="str">
        <x:v>Empty</x:v>
      </x:c>
      <x:c r="U677" s="9"/>
      <x:c r="V677" s="9"/>
      <x:c r="W677" s="9"/>
      <x:c r="X677" s="10"/>
      <x:c r="Y677" s="10"/>
      <x:c r="Z677" s="9"/>
      <x:c r="AA677" s="9"/>
      <x:c r="AB677" s="9" t="str">
        <x:v>direct-name paraphrase</x:v>
      </x:c>
      <x:c r="AC677" s="9"/>
      <x:c r="AD677" s="9"/>
      <x:c r="AE677" s="9"/>
      <x:c r="AF677" s="9"/>
      <x:c r="AG677" s="9" t="str">
        <x:v>pencil sharpener</x:v>
      </x:c>
      <x:c r="AH677" s="9"/>
      <x:c r="AI677" s="11"/>
      <x:c r="AJ677" s="9"/>
      <x:c r="AK677" s="9" t="str">
        <x:v>Eval_Referential_Disambiguation.xlsm</x:v>
      </x:c>
      <x:c r="AL677" s="9" t="str">
        <x:v>GR00T vision-only Results</x:v>
      </x:c>
      <x:c r="AM677" s="9" t="n">
        <x:v>57</x:v>
      </x:c>
      <x:c r="AN677" s="9" t="n">
        <x:v>57</x:v>
      </x:c>
    </x:row>
    <x:row r="678">
      <x:c r="A678" s="9" t="str">
        <x:v>Success</x:v>
      </x:c>
      <x:c r="B678" s="9" t="str">
        <x:v>Referential Disambiguation</x:v>
      </x:c>
      <x:c r="C678" s="10" t="n">
        <x:v>56</x:v>
      </x:c>
      <x:c r="D678" s="9" t="str">
        <x:v>Pick up the airplane toy furthest from the yellow pen and place it in the bowl.</x:v>
      </x:c>
      <x:c r="E678" s="9" t="str">
        <x:v>airplane toy with propellers; airplane toy without propellers; yellow pen; green pen</x:v>
      </x:c>
      <x:c r="F678" s="9" t="str">
        <x:v>airplane toy without propellers</x:v>
      </x:c>
      <x:c r="G678" s="9"/>
      <x:c r="H678" s="9" t="str">
        <x:v>Concept/compositional transfer</x:v>
      </x:c>
      <x:c r="I678" s="9" t="str">
        <x:v>RD-CT10</x:v>
      </x:c>
      <x:c r="J678" s="9" t="str">
        <x:v>Primary held-out relation × candidate-category composition — Pick up</x:v>
      </x:c>
      <x:c r="K678" s="9"/>
      <x:c r="L678" s="9" t="str">
        <x:v>567</x:v>
      </x:c>
      <x:c r="M678" s="9" t="str">
        <x:v>Masked source trajectory: the target identity and physical manipulation are trained under a direct-name prompt, while this relation × candidate-category composition is intentionally absent.</x:v>
      </x:c>
      <x:c r="N678" s="9" t="n">
        <x:v>2</x:v>
      </x:c>
      <x:c r="O678" s="9" t="str">
        <x:v>Place the listed objects. Arrange Expected Target as the unique answer to the prompt; keep the bowl empty and save a reference image.</x:v>
      </x:c>
      <x:c r="P678" s="9" t="str">
        <x:v>Both candidates are present. The held-out relation is the only information that identifies the target.</x:v>
      </x:c>
      <x:c r="Q678" s="9"/>
      <x:c r="R678" s="10" t="n">
        <x:v>4</x:v>
      </x:c>
      <x:c r="S678" s="10" t="n">
        <x:v>1</x:v>
      </x:c>
      <x:c r="T678" s="9" t="str">
        <x:v>Empty</x:v>
      </x:c>
      <x:c r="U678" s="9"/>
      <x:c r="V678" s="9"/>
      <x:c r="W678" s="9"/>
      <x:c r="X678" s="10"/>
      <x:c r="Y678" s="10"/>
      <x:c r="Z678" s="9"/>
      <x:c r="AA678" s="9"/>
      <x:c r="AB678" s="9" t="str">
        <x:v>furthest</x:v>
      </x:c>
      <x:c r="AC678" s="9"/>
      <x:c r="AD678" s="9"/>
      <x:c r="AE678" s="9"/>
      <x:c r="AF678" s="9"/>
      <x:c r="AG678" s="9" t="str">
        <x:v>airplane toy</x:v>
      </x:c>
      <x:c r="AH678" s="9"/>
      <x:c r="AI678" s="11"/>
      <x:c r="AJ678" s="9"/>
      <x:c r="AK678" s="9" t="str">
        <x:v>Eval_Referential_Disambiguation.xlsm</x:v>
      </x:c>
      <x:c r="AL678" s="9" t="str">
        <x:v>GR00T vision-only Results</x:v>
      </x:c>
      <x:c r="AM678" s="9" t="n">
        <x:v>58</x:v>
      </x:c>
      <x:c r="AN678" s="9" t="n">
        <x:v>58</x:v>
      </x:c>
    </x:row>
    <x:row r="679">
      <x:c r="A679" s="9" t="str">
        <x:v>Failure</x:v>
      </x:c>
      <x:c r="B679" s="9" t="str">
        <x:v>Referential Disambiguation</x:v>
      </x:c>
      <x:c r="C679" s="10" t="n">
        <x:v>57</x:v>
      </x:c>
      <x:c r="D679" s="9" t="str">
        <x:v>Put the airplane toy without propellers in the bowl.</x:v>
      </x:c>
      <x:c r="E679" s="9" t="str">
        <x:v>airplane toy with propellers; airplane toy without propellers; yellow pen; green pen</x:v>
      </x:c>
      <x:c r="F679" s="9" t="str">
        <x:v>airplane toy without propellers</x:v>
      </x:c>
      <x:c r="G679" s="9" t="str">
        <x:v>succeeded reasoning; knocked the toy right under the robot and couldn't get it. robot drifted off to the right edge</x:v>
      </x:c>
      <x:c r="H679" s="9" t="str">
        <x:v>Matched manipulation control</x:v>
      </x:c>
      <x:c r="I679" s="9" t="str">
        <x:v>RD-CT10</x:v>
      </x:c>
      <x:c r="J679" s="9" t="str">
        <x:v>Exact-scene direct-identity manipulation control</x:v>
      </x:c>
      <x:c r="K679" s="9" t="n">
        <x:v>56</x:v>
      </x:c>
      <x:c r="L679" s="9" t="str">
        <x:v>567</x:v>
      </x:c>
      <x:c r="M679" s="9" t="str">
        <x:v>Exact masked-cell training prompt for the same target identity. The evaluation scene and physical endpoint are identical to the paired transfer row.</x:v>
      </x:c>
      <x:c r="N679" s="9" t="n">
        <x:v>2</x:v>
      </x:c>
      <x:c r="O679" s="9" t="str">
        <x:v>Reset the moved object exactly; preserve the scene; change only the instruction.</x:v>
      </x:c>
      <x:c r="P679" s="9" t="str">
        <x:v>Controls recognition and manipulation of the same target without requiring referential reasoning.</x:v>
      </x:c>
      <x:c r="Q679" s="9"/>
      <x:c r="R679" s="10" t="n">
        <x:v>4</x:v>
      </x:c>
      <x:c r="S679" s="10" t="n">
        <x:v>1</x:v>
      </x:c>
      <x:c r="T679" s="9" t="str">
        <x:v>Empty</x:v>
      </x:c>
      <x:c r="U679" s="9"/>
      <x:c r="V679" s="9"/>
      <x:c r="W679" s="9"/>
      <x:c r="X679" s="10"/>
      <x:c r="Y679" s="10"/>
      <x:c r="Z679" s="9"/>
      <x:c r="AA679" s="9"/>
      <x:c r="AB679" s="9" t="str">
        <x:v>direct name</x:v>
      </x:c>
      <x:c r="AC679" s="9"/>
      <x:c r="AD679" s="9"/>
      <x:c r="AE679" s="9"/>
      <x:c r="AF679" s="9"/>
      <x:c r="AG679" s="9" t="str">
        <x:v>airplane toy</x:v>
      </x:c>
      <x:c r="AH679" s="9"/>
      <x:c r="AI679" s="11"/>
      <x:c r="AJ679" s="9"/>
      <x:c r="AK679" s="9" t="str">
        <x:v>Eval_Referential_Disambiguation.xlsm</x:v>
      </x:c>
      <x:c r="AL679" s="9" t="str">
        <x:v>GR00T vision-only Results</x:v>
      </x:c>
      <x:c r="AM679" s="9" t="n">
        <x:v>59</x:v>
      </x:c>
      <x:c r="AN679" s="9" t="n">
        <x:v>59</x:v>
      </x:c>
    </x:row>
    <x:row r="680">
      <x:c r="A680" s="9" t="str">
        <x:v>Failure</x:v>
      </x:c>
      <x:c r="B680" s="9" t="str">
        <x:v>Referential Disambiguation</x:v>
      </x:c>
      <x:c r="C680" s="10" t="n">
        <x:v>58</x:v>
      </x:c>
      <x:c r="D680" s="9" t="str">
        <x:v>Choose the airplane toy farthest from the yellow pen and put it in the bowl.</x:v>
      </x:c>
      <x:c r="E680" s="9" t="str">
        <x:v>airplane toy with propellers; airplane toy without propellers; yellow pen; green pen</x:v>
      </x:c>
      <x:c r="F680" s="9" t="str">
        <x:v>airplane toy without propellers</x:v>
      </x:c>
      <x:c r="G680" s="9" t="str">
        <x:v>succeeded reasoning but couldn't grasp it; knocked out of range</x:v>
      </x:c>
      <x:c r="H680" s="9" t="str">
        <x:v>Language robustness</x:v>
      </x:c>
      <x:c r="I680" s="9" t="str">
        <x:v>RD-CT10</x:v>
      </x:c>
      <x:c r="J680" s="9" t="str">
        <x:v>Primary compositional-transfer prompt paraphrase</x:v>
      </x:c>
      <x:c r="K680" s="9" t="n">
        <x:v>56</x:v>
      </x:c>
      <x:c r="L680" s="9" t="str">
        <x:v>567</x:v>
      </x:c>
      <x:c r="M680" s="9" t="str">
        <x:v>Exact canonical transfer scene and masked trajectory reference; only the instruction wording changes. This remains a separate language diagnostic.</x:v>
      </x:c>
      <x:c r="N680" s="9" t="n">
        <x:v>2</x:v>
      </x:c>
      <x:c r="O680" s="9" t="str">
        <x:v>Reset the moved object exactly; preserve the scene; change only the wording.</x:v>
      </x:c>
      <x:c r="P680" s="9" t="str">
        <x:v>One of 10 exact-scene paraphrases of canonical transfer trials.</x:v>
      </x:c>
      <x:c r="Q680" s="9"/>
      <x:c r="R680" s="10" t="n">
        <x:v>4</x:v>
      </x:c>
      <x:c r="S680" s="10" t="n">
        <x:v>1</x:v>
      </x:c>
      <x:c r="T680" s="9" t="str">
        <x:v>Empty</x:v>
      </x:c>
      <x:c r="U680" s="9"/>
      <x:c r="V680" s="9"/>
      <x:c r="W680" s="9"/>
      <x:c r="X680" s="10"/>
      <x:c r="Y680" s="10"/>
      <x:c r="Z680" s="9"/>
      <x:c r="AA680" s="9"/>
      <x:c r="AB680" s="9" t="str">
        <x:v>furthest</x:v>
      </x:c>
      <x:c r="AC680" s="9"/>
      <x:c r="AD680" s="9"/>
      <x:c r="AE680" s="9"/>
      <x:c r="AF680" s="9"/>
      <x:c r="AG680" s="9" t="str">
        <x:v>airplane toy</x:v>
      </x:c>
      <x:c r="AH680" s="9"/>
      <x:c r="AI680" s="11"/>
      <x:c r="AJ680" s="9"/>
      <x:c r="AK680" s="9" t="str">
        <x:v>Eval_Referential_Disambiguation.xlsm</x:v>
      </x:c>
      <x:c r="AL680" s="9" t="str">
        <x:v>GR00T vision-only Results</x:v>
      </x:c>
      <x:c r="AM680" s="9" t="n">
        <x:v>60</x:v>
      </x:c>
      <x:c r="AN680" s="9" t="n">
        <x:v>60</x:v>
      </x:c>
    </x:row>
    <x:row r="681">
      <x:c r="A681" s="9" t="str">
        <x:v>Failure</x:v>
      </x:c>
      <x:c r="B681" s="9" t="str">
        <x:v>Referential Disambiguation</x:v>
      </x:c>
      <x:c r="C681" s="10" t="n">
        <x:v>59</x:v>
      </x:c>
      <x:c r="D681" s="9" t="str">
        <x:v>Take the airplane toy without propellers and set it in the bowl.</x:v>
      </x:c>
      <x:c r="E681" s="9" t="str">
        <x:v>airplane toy with propellers; airplane toy without propellers; yellow pen; green pen</x:v>
      </x:c>
      <x:c r="F681" s="9" t="str">
        <x:v>airplane toy without propellers</x:v>
      </x:c>
      <x:c r="G681" s="9" t="str">
        <x:v>succeeded reasoning; knocked the toy right under the robot and couldn't get it. robot drifted off to the right edge</x:v>
      </x:c>
      <x:c r="H681" s="9" t="str">
        <x:v>Language robustness</x:v>
      </x:c>
      <x:c r="I681" s="9" t="str">
        <x:v>RD-CT10</x:v>
      </x:c>
      <x:c r="J681" s="9" t="str">
        <x:v>Matched-control direct-name prompt paraphrase</x:v>
      </x:c>
      <x:c r="K681" s="9" t="n">
        <x:v>57</x:v>
      </x:c>
      <x:c r="L681" s="9" t="str">
        <x:v>567</x:v>
      </x:c>
      <x:c r="M681" s="9" t="str">
        <x:v>Exact matched-control scene and target; only the direct-name instruction wording changes.</x:v>
      </x:c>
      <x:c r="N681" s="9" t="n">
        <x:v>2</x:v>
      </x:c>
      <x:c r="O681" s="9" t="str">
        <x:v>Reset the moved object exactly; preserve the scene; change only the wording.</x:v>
      </x:c>
      <x:c r="P681" s="9" t="str">
        <x:v>One of 10 exact-scene paraphrases of matched manipulation controls.</x:v>
      </x:c>
      <x:c r="Q681" s="9"/>
      <x:c r="R681" s="10" t="n">
        <x:v>4</x:v>
      </x:c>
      <x:c r="S681" s="10" t="n">
        <x:v>1</x:v>
      </x:c>
      <x:c r="T681" s="9" t="str">
        <x:v>Empty</x:v>
      </x:c>
      <x:c r="U681" s="9"/>
      <x:c r="V681" s="9"/>
      <x:c r="W681" s="9"/>
      <x:c r="X681" s="10"/>
      <x:c r="Y681" s="10"/>
      <x:c r="Z681" s="9"/>
      <x:c r="AA681" s="9"/>
      <x:c r="AB681" s="9" t="str">
        <x:v>direct-name paraphrase</x:v>
      </x:c>
      <x:c r="AC681" s="9"/>
      <x:c r="AD681" s="9"/>
      <x:c r="AE681" s="9"/>
      <x:c r="AF681" s="9"/>
      <x:c r="AG681" s="9" t="str">
        <x:v>airplane toy</x:v>
      </x:c>
      <x:c r="AH681" s="9"/>
      <x:c r="AI681" s="11"/>
      <x:c r="AJ681" s="9"/>
      <x:c r="AK681" s="9" t="str">
        <x:v>Eval_Referential_Disambiguation.xlsm</x:v>
      </x:c>
      <x:c r="AL681" s="9" t="str">
        <x:v>GR00T vision-only Results</x:v>
      </x:c>
      <x:c r="AM681" s="9" t="n">
        <x:v>61</x:v>
      </x:c>
      <x:c r="AN681" s="9" t="n">
        <x:v>61</x:v>
      </x:c>
    </x:row>
    <x:row r="682">
      <x:c r="A682" s="9" t="str">
        <x:v>Failure</x:v>
      </x:c>
      <x:c r="B682" s="9" t="str">
        <x:v>Referential Disambiguation</x:v>
      </x:c>
      <x:c r="C682" s="10" t="n">
        <x:v>60</x:v>
      </x:c>
      <x:c r="D682" s="9" t="str">
        <x:v>Pick up the crushed soda can closest to the yellow pen and place it in the bowl.</x:v>
      </x:c>
      <x:c r="E682" s="9" t="str">
        <x:v>crushed Coke can; crushed Pepsi can; yellow pen; red pencil sharpener</x:v>
      </x:c>
      <x:c r="F682" s="9" t="str">
        <x:v>crushed Pepsi can</x:v>
      </x:c>
      <x:c r="G682" s="9" t="str">
        <x:v>succeeded reasoning, but pinched the pepsi can so that it got knocked out of range</x:v>
      </x:c>
      <x:c r="H682" s="9" t="str">
        <x:v>Concept/compositional transfer</x:v>
      </x:c>
      <x:c r="I682" s="9" t="str">
        <x:v>RD-CT11</x:v>
      </x:c>
      <x:c r="J682" s="9" t="str">
        <x:v>Primary held-out relation × candidate-category composition — Pick up</x:v>
      </x:c>
      <x:c r="K682" s="9"/>
      <x:c r="L682" s="9" t="str">
        <x:v>403</x:v>
      </x:c>
      <x:c r="M682" s="9" t="str">
        <x:v>Masked source trajectory: the target identity and physical manipulation are trained under a direct-name prompt, while this relation × candidate-category composition is intentionally absent.</x:v>
      </x:c>
      <x:c r="N682" s="9" t="n">
        <x:v>3</x:v>
      </x:c>
      <x:c r="O682" s="9" t="str">
        <x:v>Place the listed objects. Arrange Expected Target as the unique answer to the prompt; keep the bowl empty and save a reference image.</x:v>
      </x:c>
      <x:c r="P682" s="9" t="str">
        <x:v>Both candidates are present. The held-out relation is the only information that identifies the target.</x:v>
      </x:c>
      <x:c r="Q682" s="9"/>
      <x:c r="R682" s="10" t="n">
        <x:v>4</x:v>
      </x:c>
      <x:c r="S682" s="10" t="n">
        <x:v>1</x:v>
      </x:c>
      <x:c r="T682" s="9" t="str">
        <x:v>Empty</x:v>
      </x:c>
      <x:c r="U682" s="9"/>
      <x:c r="V682" s="9"/>
      <x:c r="W682" s="9"/>
      <x:c r="X682" s="10"/>
      <x:c r="Y682" s="10"/>
      <x:c r="Z682" s="9"/>
      <x:c r="AA682" s="9"/>
      <x:c r="AB682" s="9" t="str">
        <x:v>closest</x:v>
      </x:c>
      <x:c r="AC682" s="9"/>
      <x:c r="AD682" s="9"/>
      <x:c r="AE682" s="9"/>
      <x:c r="AF682" s="9"/>
      <x:c r="AG682" s="9" t="str">
        <x:v>crushed soda can</x:v>
      </x:c>
      <x:c r="AH682" s="9"/>
      <x:c r="AI682" s="11"/>
      <x:c r="AJ682" s="9"/>
      <x:c r="AK682" s="9" t="str">
        <x:v>Eval_Referential_Disambiguation.xlsm</x:v>
      </x:c>
      <x:c r="AL682" s="9" t="str">
        <x:v>GR00T vision-only Results</x:v>
      </x:c>
      <x:c r="AM682" s="9" t="n">
        <x:v>62</x:v>
      </x:c>
      <x:c r="AN682" s="9" t="n">
        <x:v>62</x:v>
      </x:c>
    </x:row>
    <x:row r="683">
      <x:c r="A683" s="9" t="str">
        <x:v>Failure</x:v>
      </x:c>
      <x:c r="B683" s="9" t="str">
        <x:v>Referential Disambiguation</x:v>
      </x:c>
      <x:c r="C683" s="10" t="n">
        <x:v>61</x:v>
      </x:c>
      <x:c r="D683" s="9" t="str">
        <x:v>Put the crushed Pepsi can in the bowl.</x:v>
      </x:c>
      <x:c r="E683" s="9" t="str">
        <x:v>crushed Coke can; crushed Pepsi can; yellow pen; red pencil sharpener</x:v>
      </x:c>
      <x:c r="F683" s="9" t="str">
        <x:v>crushed Pepsi can</x:v>
      </x:c>
      <x:c r="G683" s="9" t="str">
        <x:v>picked the coke can</x:v>
      </x:c>
      <x:c r="H683" s="9" t="str">
        <x:v>Matched manipulation control</x:v>
      </x:c>
      <x:c r="I683" s="9" t="str">
        <x:v>RD-CT11</x:v>
      </x:c>
      <x:c r="J683" s="9" t="str">
        <x:v>Exact-scene direct-identity manipulation control</x:v>
      </x:c>
      <x:c r="K683" s="9" t="n">
        <x:v>60</x:v>
      </x:c>
      <x:c r="L683" s="9" t="str">
        <x:v>403</x:v>
      </x:c>
      <x:c r="M683" s="9" t="str">
        <x:v>Exact masked-cell training prompt for the same target identity. The evaluation scene and physical endpoint are identical to the paired transfer row.</x:v>
      </x:c>
      <x:c r="N683" s="9" t="n">
        <x:v>3</x:v>
      </x:c>
      <x:c r="O683" s="9" t="str">
        <x:v>Reset the moved object exactly; preserve the scene; change only the instruction.</x:v>
      </x:c>
      <x:c r="P683" s="9" t="str">
        <x:v>Controls recognition and manipulation of the same target without requiring referential reasoning.</x:v>
      </x:c>
      <x:c r="Q683" s="9"/>
      <x:c r="R683" s="10" t="n">
        <x:v>4</x:v>
      </x:c>
      <x:c r="S683" s="10" t="n">
        <x:v>1</x:v>
      </x:c>
      <x:c r="T683" s="9" t="str">
        <x:v>Empty</x:v>
      </x:c>
      <x:c r="U683" s="9"/>
      <x:c r="V683" s="9"/>
      <x:c r="W683" s="9"/>
      <x:c r="X683" s="10"/>
      <x:c r="Y683" s="10"/>
      <x:c r="Z683" s="9"/>
      <x:c r="AA683" s="9"/>
      <x:c r="AB683" s="9" t="str">
        <x:v>direct name</x:v>
      </x:c>
      <x:c r="AC683" s="9"/>
      <x:c r="AD683" s="9"/>
      <x:c r="AE683" s="9"/>
      <x:c r="AF683" s="9"/>
      <x:c r="AG683" s="9" t="str">
        <x:v>crushed soda can</x:v>
      </x:c>
      <x:c r="AH683" s="9"/>
      <x:c r="AI683" s="11"/>
      <x:c r="AJ683" s="9"/>
      <x:c r="AK683" s="9" t="str">
        <x:v>Eval_Referential_Disambiguation.xlsm</x:v>
      </x:c>
      <x:c r="AL683" s="9" t="str">
        <x:v>GR00T vision-only Results</x:v>
      </x:c>
      <x:c r="AM683" s="9" t="n">
        <x:v>63</x:v>
      </x:c>
      <x:c r="AN683" s="9" t="n">
        <x:v>63</x:v>
      </x:c>
    </x:row>
    <x:row r="684">
      <x:c r="A684" s="9" t="str">
        <x:v>Failure</x:v>
      </x:c>
      <x:c r="B684" s="9" t="str">
        <x:v>Referential Disambiguation</x:v>
      </x:c>
      <x:c r="C684" s="10" t="n">
        <x:v>62</x:v>
      </x:c>
      <x:c r="D684" s="9" t="str">
        <x:v>Pick up the pencil sharpener between the green pen and the crushed Coke can and place it in the bowl.</x:v>
      </x:c>
      <x:c r="E684" s="9" t="str">
        <x:v>green pencil sharpener; red pencil sharpener; green pen; crushed Coke can; yellow pen</x:v>
      </x:c>
      <x:c r="F684" s="9" t="str">
        <x:v>red pencil sharpener</x:v>
      </x:c>
      <x:c r="G684" s="9" t="str">
        <x:v>picked the green pen</x:v>
      </x:c>
      <x:c r="H684" s="9" t="str">
        <x:v>Concept/compositional transfer</x:v>
      </x:c>
      <x:c r="I684" s="9" t="str">
        <x:v>RD-CT12</x:v>
      </x:c>
      <x:c r="J684" s="9" t="str">
        <x:v>Primary held-out relation × candidate-category composition — Pick up</x:v>
      </x:c>
      <x:c r="K684" s="9"/>
      <x:c r="L684" s="9" t="str">
        <x:v>481</x:v>
      </x:c>
      <x:c r="M684" s="9" t="str">
        <x:v>Masked source trajectory: the target identity and physical manipulation are trained under a direct-name prompt, while this relation × candidate-category composition is intentionally absent.</x:v>
      </x:c>
      <x:c r="N684" s="9" t="n">
        <x:v>3</x:v>
      </x:c>
      <x:c r="O684" s="9" t="str">
        <x:v>Place the listed objects. Arrange Expected Target as the unique answer to the prompt; keep the bowl empty and save a reference image.</x:v>
      </x:c>
      <x:c r="P684" s="9" t="str">
        <x:v>Both candidates are present. The held-out relation is the only information that identifies the target.</x:v>
      </x:c>
      <x:c r="Q684" s="9"/>
      <x:c r="R684" s="10" t="n">
        <x:v>5</x:v>
      </x:c>
      <x:c r="S684" s="10" t="n">
        <x:v>1</x:v>
      </x:c>
      <x:c r="T684" s="9" t="str">
        <x:v>Empty</x:v>
      </x:c>
      <x:c r="U684" s="9"/>
      <x:c r="V684" s="9"/>
      <x:c r="W684" s="9"/>
      <x:c r="X684" s="10"/>
      <x:c r="Y684" s="10"/>
      <x:c r="Z684" s="9"/>
      <x:c r="AA684" s="9"/>
      <x:c r="AB684" s="9" t="str">
        <x:v>between</x:v>
      </x:c>
      <x:c r="AC684" s="9"/>
      <x:c r="AD684" s="9"/>
      <x:c r="AE684" s="9"/>
      <x:c r="AF684" s="9"/>
      <x:c r="AG684" s="9" t="str">
        <x:v>pencil sharpener</x:v>
      </x:c>
      <x:c r="AH684" s="9"/>
      <x:c r="AI684" s="11"/>
      <x:c r="AJ684" s="9"/>
      <x:c r="AK684" s="9" t="str">
        <x:v>Eval_Referential_Disambiguation.xlsm</x:v>
      </x:c>
      <x:c r="AL684" s="9" t="str">
        <x:v>GR00T vision-only Results</x:v>
      </x:c>
      <x:c r="AM684" s="9" t="n">
        <x:v>64</x:v>
      </x:c>
      <x:c r="AN684" s="9" t="n">
        <x:v>64</x:v>
      </x:c>
    </x:row>
    <x:row r="685">
      <x:c r="A685" s="9" t="str">
        <x:v>Success</x:v>
      </x:c>
      <x:c r="B685" s="9" t="str">
        <x:v>Referential Disambiguation</x:v>
      </x:c>
      <x:c r="C685" s="10" t="n">
        <x:v>63</x:v>
      </x:c>
      <x:c r="D685" s="9" t="str">
        <x:v>Put the red pencil sharpener in the bowl.</x:v>
      </x:c>
      <x:c r="E685" s="9" t="str">
        <x:v>green pencil sharpener; red pencil sharpener; green pen; crushed Coke can; yellow pen</x:v>
      </x:c>
      <x:c r="F685" s="9" t="str">
        <x:v>red pencil sharpener</x:v>
      </x:c>
      <x:c r="G685" s="9"/>
      <x:c r="H685" s="9" t="str">
        <x:v>Matched manipulation control</x:v>
      </x:c>
      <x:c r="I685" s="9" t="str">
        <x:v>RD-CT12</x:v>
      </x:c>
      <x:c r="J685" s="9" t="str">
        <x:v>Exact-scene direct-identity manipulation control</x:v>
      </x:c>
      <x:c r="K685" s="9" t="n">
        <x:v>62</x:v>
      </x:c>
      <x:c r="L685" s="9" t="str">
        <x:v>481</x:v>
      </x:c>
      <x:c r="M685" s="9" t="str">
        <x:v>Exact masked-cell training prompt for the same target identity. The evaluation scene and physical endpoint are identical to the paired transfer row.</x:v>
      </x:c>
      <x:c r="N685" s="9" t="n">
        <x:v>3</x:v>
      </x:c>
      <x:c r="O685" s="9" t="str">
        <x:v>Reset the moved object exactly; preserve the scene; change only the instruction.</x:v>
      </x:c>
      <x:c r="P685" s="9" t="str">
        <x:v>Controls recognition and manipulation of the same target without requiring referential reasoning.</x:v>
      </x:c>
      <x:c r="Q685" s="9"/>
      <x:c r="R685" s="10" t="n">
        <x:v>5</x:v>
      </x:c>
      <x:c r="S685" s="10" t="n">
        <x:v>1</x:v>
      </x:c>
      <x:c r="T685" s="9" t="str">
        <x:v>Empty</x:v>
      </x:c>
      <x:c r="U685" s="9"/>
      <x:c r="V685" s="9"/>
      <x:c r="W685" s="9"/>
      <x:c r="X685" s="10"/>
      <x:c r="Y685" s="10"/>
      <x:c r="Z685" s="9"/>
      <x:c r="AA685" s="9"/>
      <x:c r="AB685" s="9" t="str">
        <x:v>direct name</x:v>
      </x:c>
      <x:c r="AC685" s="9"/>
      <x:c r="AD685" s="9"/>
      <x:c r="AE685" s="9"/>
      <x:c r="AF685" s="9"/>
      <x:c r="AG685" s="9" t="str">
        <x:v>pencil sharpener</x:v>
      </x:c>
      <x:c r="AH685" s="9"/>
      <x:c r="AI685" s="11"/>
      <x:c r="AJ685" s="9"/>
      <x:c r="AK685" s="9" t="str">
        <x:v>Eval_Referential_Disambiguation.xlsm</x:v>
      </x:c>
      <x:c r="AL685" s="9" t="str">
        <x:v>GR00T vision-only Results</x:v>
      </x:c>
      <x:c r="AM685" s="9" t="n">
        <x:v>65</x:v>
      </x:c>
      <x:c r="AN685" s="9" t="n">
        <x:v>65</x:v>
      </x:c>
    </x:row>
    <x:row r="686">
      <x:c r="A686" s="9" t="str">
        <x:v>Success</x:v>
      </x:c>
      <x:c r="B686" s="9" t="str">
        <x:v>Referential Disambiguation</x:v>
      </x:c>
      <x:c r="C686" s="10" t="n">
        <x:v>64</x:v>
      </x:c>
      <x:c r="D686" s="9" t="str">
        <x:v>Put the airplane toy furthest from the crushed Pepsi can in the bowl.</x:v>
      </x:c>
      <x:c r="E686" s="9" t="str">
        <x:v>airplane toy with propellers; airplane toy without propellers; crushed Pepsi can</x:v>
      </x:c>
      <x:c r="F686" s="9" t="str">
        <x:v>airplane toy with propellers</x:v>
      </x:c>
      <x:c r="G686" s="9"/>
      <x:c r="H686" s="9" t="str">
        <x:v>Concept/compositional transfer</x:v>
      </x:c>
      <x:c r="I686" s="9" t="str">
        <x:v>RD-CT13</x:v>
      </x:c>
      <x:c r="J686" s="9" t="str">
        <x:v>Primary held-out relation × candidate-category composition — Put</x:v>
      </x:c>
      <x:c r="K686" s="9"/>
      <x:c r="L686" s="9" t="str">
        <x:v>570</x:v>
      </x:c>
      <x:c r="M686" s="9" t="str">
        <x:v>Masked source trajectory: the target identity and physical manipulation are trained under a direct-name prompt, while this relation × candidate-category composition is intentionally absent.</x:v>
      </x:c>
      <x:c r="N686" s="9" t="n">
        <x:v>3</x:v>
      </x:c>
      <x:c r="O686" s="9" t="str">
        <x:v>Place the listed objects. Arrange Expected Target as the unique answer to the prompt; keep the bowl empty and save a reference image.</x:v>
      </x:c>
      <x:c r="P686" s="9" t="str">
        <x:v>Both candidates are present. The held-out relation is the only information that identifies the target.</x:v>
      </x:c>
      <x:c r="Q686" s="9"/>
      <x:c r="R686" s="10" t="n">
        <x:v>3</x:v>
      </x:c>
      <x:c r="S686" s="10" t="n">
        <x:v>1</x:v>
      </x:c>
      <x:c r="T686" s="9" t="str">
        <x:v>Empty</x:v>
      </x:c>
      <x:c r="U686" s="9"/>
      <x:c r="V686" s="9"/>
      <x:c r="W686" s="9"/>
      <x:c r="X686" s="10"/>
      <x:c r="Y686" s="10"/>
      <x:c r="Z686" s="9"/>
      <x:c r="AA686" s="9"/>
      <x:c r="AB686" s="9" t="str">
        <x:v>furthest</x:v>
      </x:c>
      <x:c r="AC686" s="9"/>
      <x:c r="AD686" s="9"/>
      <x:c r="AE686" s="9"/>
      <x:c r="AF686" s="9"/>
      <x:c r="AG686" s="9" t="str">
        <x:v>airplane toy</x:v>
      </x:c>
      <x:c r="AH686" s="9"/>
      <x:c r="AI686" s="11"/>
      <x:c r="AJ686" s="9"/>
      <x:c r="AK686" s="9" t="str">
        <x:v>Eval_Referential_Disambiguation.xlsm</x:v>
      </x:c>
      <x:c r="AL686" s="9" t="str">
        <x:v>GR00T vision-only Results</x:v>
      </x:c>
      <x:c r="AM686" s="9" t="n">
        <x:v>66</x:v>
      </x:c>
      <x:c r="AN686" s="9" t="n">
        <x:v>66</x:v>
      </x:c>
    </x:row>
    <x:row r="687">
      <x:c r="A687" s="9" t="str">
        <x:v>Failure</x:v>
      </x:c>
      <x:c r="B687" s="9" t="str">
        <x:v>Referential Disambiguation</x:v>
      </x:c>
      <x:c r="C687" s="10" t="n">
        <x:v>65</x:v>
      </x:c>
      <x:c r="D687" s="9" t="str">
        <x:v>Put the airplane toy with propellers in the bowl.</x:v>
      </x:c>
      <x:c r="E687" s="9" t="str">
        <x:v>airplane toy with propellers; airplane toy without propellers; crushed Pepsi can</x:v>
      </x:c>
      <x:c r="F687" s="9" t="str">
        <x:v>airplane toy with propellers</x:v>
      </x:c>
      <x:c r="G687" s="9" t="str">
        <x:v>succeeded reasoning, but dropped the airplane toy not inside the bowl and couldn't recover</x:v>
      </x:c>
      <x:c r="H687" s="9" t="str">
        <x:v>Matched manipulation control</x:v>
      </x:c>
      <x:c r="I687" s="9" t="str">
        <x:v>RD-CT13</x:v>
      </x:c>
      <x:c r="J687" s="9" t="str">
        <x:v>Exact-scene direct-identity manipulation control</x:v>
      </x:c>
      <x:c r="K687" s="9" t="n">
        <x:v>64</x:v>
      </x:c>
      <x:c r="L687" s="9" t="str">
        <x:v>570</x:v>
      </x:c>
      <x:c r="M687" s="9" t="str">
        <x:v>Exact masked-cell training prompt for the same target identity. The evaluation scene and physical endpoint are identical to the paired transfer row.</x:v>
      </x:c>
      <x:c r="N687" s="9" t="n">
        <x:v>3</x:v>
      </x:c>
      <x:c r="O687" s="9" t="str">
        <x:v>Reset the moved object exactly; preserve the scene; change only the instruction.</x:v>
      </x:c>
      <x:c r="P687" s="9" t="str">
        <x:v>Controls recognition and manipulation of the same target without requiring referential reasoning.</x:v>
      </x:c>
      <x:c r="Q687" s="9"/>
      <x:c r="R687" s="10" t="n">
        <x:v>3</x:v>
      </x:c>
      <x:c r="S687" s="10" t="n">
        <x:v>1</x:v>
      </x:c>
      <x:c r="T687" s="9" t="str">
        <x:v>Empty</x:v>
      </x:c>
      <x:c r="U687" s="9"/>
      <x:c r="V687" s="9"/>
      <x:c r="W687" s="9"/>
      <x:c r="X687" s="10"/>
      <x:c r="Y687" s="10"/>
      <x:c r="Z687" s="9"/>
      <x:c r="AA687" s="9"/>
      <x:c r="AB687" s="9" t="str">
        <x:v>direct name</x:v>
      </x:c>
      <x:c r="AC687" s="9"/>
      <x:c r="AD687" s="9"/>
      <x:c r="AE687" s="9"/>
      <x:c r="AF687" s="9"/>
      <x:c r="AG687" s="9" t="str">
        <x:v>airplane toy</x:v>
      </x:c>
      <x:c r="AH687" s="9"/>
      <x:c r="AI687" s="11"/>
      <x:c r="AJ687" s="9"/>
      <x:c r="AK687" s="9" t="str">
        <x:v>Eval_Referential_Disambiguation.xlsm</x:v>
      </x:c>
      <x:c r="AL687" s="9" t="str">
        <x:v>GR00T vision-only Results</x:v>
      </x:c>
      <x:c r="AM687" s="9" t="n">
        <x:v>67</x:v>
      </x:c>
      <x:c r="AN687" s="9" t="n">
        <x:v>67</x:v>
      </x:c>
    </x:row>
    <x:row r="688">
      <x:c r="A688" s="9" t="str">
        <x:v>Failure</x:v>
      </x:c>
      <x:c r="B688" s="9" t="str">
        <x:v>Referential Disambiguation</x:v>
      </x:c>
      <x:c r="C688" s="10" t="n">
        <x:v>66</x:v>
      </x:c>
      <x:c r="D688" s="9" t="str">
        <x:v>Put the crushed soda can closest to the airplane toy without propellers in the bowl.</x:v>
      </x:c>
      <x:c r="E688" s="9" t="str">
        <x:v>crushed Coke can; crushed Pepsi can; airplane toy without propellers</x:v>
      </x:c>
      <x:c r="F688" s="9" t="str">
        <x:v>crushed Coke can</x:v>
      </x:c>
      <x:c r="G688" s="9" t="str">
        <x:v>started going for the coke can but diverted to the pepsi can </x:v>
      </x:c>
      <x:c r="H688" s="9" t="str">
        <x:v>Concept/compositional transfer</x:v>
      </x:c>
      <x:c r="I688" s="9" t="str">
        <x:v>RD-CT14</x:v>
      </x:c>
      <x:c r="J688" s="9" t="str">
        <x:v>Primary held-out relation × candidate-category composition — Put</x:v>
      </x:c>
      <x:c r="K688" s="9"/>
      <x:c r="L688" s="9" t="str">
        <x:v>404</x:v>
      </x:c>
      <x:c r="M688" s="9" t="str">
        <x:v>Masked source trajectory: the target identity and physical manipulation are trained under a direct-name prompt, while this relation × candidate-category composition is intentionally absent.</x:v>
      </x:c>
      <x:c r="N688" s="9" t="n">
        <x:v>3</x:v>
      </x:c>
      <x:c r="O688" s="9" t="str">
        <x:v>Place the listed objects. Arrange Expected Target as the unique answer to the prompt; keep the bowl empty and save a reference image.</x:v>
      </x:c>
      <x:c r="P688" s="9" t="str">
        <x:v>Both candidates are present. The held-out relation is the only information that identifies the target.</x:v>
      </x:c>
      <x:c r="Q688" s="9"/>
      <x:c r="R688" s="10" t="n">
        <x:v>3</x:v>
      </x:c>
      <x:c r="S688" s="10" t="n">
        <x:v>1</x:v>
      </x:c>
      <x:c r="T688" s="9" t="str">
        <x:v>Empty</x:v>
      </x:c>
      <x:c r="U688" s="9"/>
      <x:c r="V688" s="9"/>
      <x:c r="W688" s="9"/>
      <x:c r="X688" s="10"/>
      <x:c r="Y688" s="10"/>
      <x:c r="Z688" s="9"/>
      <x:c r="AA688" s="9"/>
      <x:c r="AB688" s="9" t="str">
        <x:v>closest</x:v>
      </x:c>
      <x:c r="AC688" s="9"/>
      <x:c r="AD688" s="9"/>
      <x:c r="AE688" s="9"/>
      <x:c r="AF688" s="9"/>
      <x:c r="AG688" s="9" t="str">
        <x:v>crushed soda can</x:v>
      </x:c>
      <x:c r="AH688" s="9"/>
      <x:c r="AI688" s="11"/>
      <x:c r="AJ688" s="9"/>
      <x:c r="AK688" s="9" t="str">
        <x:v>Eval_Referential_Disambiguation.xlsm</x:v>
      </x:c>
      <x:c r="AL688" s="9" t="str">
        <x:v>GR00T vision-only Results</x:v>
      </x:c>
      <x:c r="AM688" s="9" t="n">
        <x:v>68</x:v>
      </x:c>
      <x:c r="AN688" s="9" t="n">
        <x:v>68</x:v>
      </x:c>
    </x:row>
    <x:row r="689">
      <x:c r="A689" s="9" t="str">
        <x:v>Failure</x:v>
      </x:c>
      <x:c r="B689" s="9" t="str">
        <x:v>Referential Disambiguation</x:v>
      </x:c>
      <x:c r="C689" s="10" t="n">
        <x:v>67</x:v>
      </x:c>
      <x:c r="D689" s="9" t="str">
        <x:v>Pick up the crushed Coke can and place it in the bowl.</x:v>
      </x:c>
      <x:c r="E689" s="9" t="str">
        <x:v>crushed Coke can; crushed Pepsi can; airplane toy without propellers</x:v>
      </x:c>
      <x:c r="F689" s="9" t="str">
        <x:v>crushed Coke can</x:v>
      </x:c>
      <x:c r="G689" s="9" t="str">
        <x:v>succeeded reasoning, but pinched the coke can and it flung out of the workspace; didn't move much from where the coke can was</x:v>
      </x:c>
      <x:c r="H689" s="9" t="str">
        <x:v>Matched manipulation control</x:v>
      </x:c>
      <x:c r="I689" s="9" t="str">
        <x:v>RD-CT14</x:v>
      </x:c>
      <x:c r="J689" s="9" t="str">
        <x:v>Exact-scene direct-identity manipulation control</x:v>
      </x:c>
      <x:c r="K689" s="9" t="n">
        <x:v>66</x:v>
      </x:c>
      <x:c r="L689" s="9" t="str">
        <x:v>404</x:v>
      </x:c>
      <x:c r="M689" s="9" t="str">
        <x:v>Exact masked-cell training prompt for the same target identity. The evaluation scene and physical endpoint are identical to the paired transfer row.</x:v>
      </x:c>
      <x:c r="N689" s="9" t="n">
        <x:v>3</x:v>
      </x:c>
      <x:c r="O689" s="9" t="str">
        <x:v>Reset the moved object exactly; preserve the scene; change only the instruction.</x:v>
      </x:c>
      <x:c r="P689" s="9" t="str">
        <x:v>Controls recognition and manipulation of the same target without requiring referential reasoning.</x:v>
      </x:c>
      <x:c r="Q689" s="9"/>
      <x:c r="R689" s="10" t="n">
        <x:v>3</x:v>
      </x:c>
      <x:c r="S689" s="10" t="n">
        <x:v>1</x:v>
      </x:c>
      <x:c r="T689" s="9" t="str">
        <x:v>Empty</x:v>
      </x:c>
      <x:c r="U689" s="9"/>
      <x:c r="V689" s="9"/>
      <x:c r="W689" s="9"/>
      <x:c r="X689" s="10"/>
      <x:c r="Y689" s="10"/>
      <x:c r="Z689" s="9"/>
      <x:c r="AA689" s="9"/>
      <x:c r="AB689" s="9" t="str">
        <x:v>direct name</x:v>
      </x:c>
      <x:c r="AC689" s="9"/>
      <x:c r="AD689" s="9"/>
      <x:c r="AE689" s="9"/>
      <x:c r="AF689" s="9"/>
      <x:c r="AG689" s="9" t="str">
        <x:v>crushed soda can</x:v>
      </x:c>
      <x:c r="AH689" s="9"/>
      <x:c r="AI689" s="11"/>
      <x:c r="AJ689" s="9"/>
      <x:c r="AK689" s="9" t="str">
        <x:v>Eval_Referential_Disambiguation.xlsm</x:v>
      </x:c>
      <x:c r="AL689" s="9" t="str">
        <x:v>GR00T vision-only Results</x:v>
      </x:c>
      <x:c r="AM689" s="9" t="n">
        <x:v>69</x:v>
      </x:c>
      <x:c r="AN689" s="9" t="n">
        <x:v>69</x:v>
      </x:c>
    </x:row>
    <x:row r="690">
      <x:c r="A690" s="9" t="str">
        <x:v>Success</x:v>
      </x:c>
      <x:c r="B690" s="9" t="str">
        <x:v>Referential Disambiguation</x:v>
      </x:c>
      <x:c r="C690" s="10" t="n">
        <x:v>68</x:v>
      </x:c>
      <x:c r="D690" s="9" t="str">
        <x:v>Put the pencil sharpener between the airplane toy with propellers and the yellow pen in the bowl.</x:v>
      </x:c>
      <x:c r="E690" s="9" t="str">
        <x:v>green pencil sharpener; red pencil sharpener; airplane toy with propellers; yellow pen</x:v>
      </x:c>
      <x:c r="F690" s="9" t="str">
        <x:v>green pencil sharpener</x:v>
      </x:c>
      <x:c r="G690" s="9"/>
      <x:c r="H690" s="9" t="str">
        <x:v>Concept/compositional transfer</x:v>
      </x:c>
      <x:c r="I690" s="9" t="str">
        <x:v>RD-CT15</x:v>
      </x:c>
      <x:c r="J690" s="9" t="str">
        <x:v>Primary held-out relation × candidate-category composition — Put</x:v>
      </x:c>
      <x:c r="K690" s="9"/>
      <x:c r="L690" s="9" t="str">
        <x:v>485</x:v>
      </x:c>
      <x:c r="M690" s="9" t="str">
        <x:v>Masked source trajectory: the target identity and physical manipulation are trained under a direct-name prompt, while this relation × candidate-category composition is intentionally absent.</x:v>
      </x:c>
      <x:c r="N690" s="9" t="n">
        <x:v>3</x:v>
      </x:c>
      <x:c r="O690" s="9" t="str">
        <x:v>Place the listed objects. Arrange Expected Target as the unique answer to the prompt; keep the bowl empty and save a reference image.</x:v>
      </x:c>
      <x:c r="P690" s="9" t="str">
        <x:v>Both candidates are present. The held-out relation is the only information that identifies the target.</x:v>
      </x:c>
      <x:c r="Q690" s="9"/>
      <x:c r="R690" s="10" t="n">
        <x:v>4</x:v>
      </x:c>
      <x:c r="S690" s="10" t="n">
        <x:v>1</x:v>
      </x:c>
      <x:c r="T690" s="9" t="str">
        <x:v>Empty</x:v>
      </x:c>
      <x:c r="U690" s="9"/>
      <x:c r="V690" s="9"/>
      <x:c r="W690" s="9"/>
      <x:c r="X690" s="10"/>
      <x:c r="Y690" s="10"/>
      <x:c r="Z690" s="9"/>
      <x:c r="AA690" s="9"/>
      <x:c r="AB690" s="9" t="str">
        <x:v>between</x:v>
      </x:c>
      <x:c r="AC690" s="9"/>
      <x:c r="AD690" s="9"/>
      <x:c r="AE690" s="9"/>
      <x:c r="AF690" s="9"/>
      <x:c r="AG690" s="9" t="str">
        <x:v>pencil sharpener</x:v>
      </x:c>
      <x:c r="AH690" s="9"/>
      <x:c r="AI690" s="11"/>
      <x:c r="AJ690" s="9"/>
      <x:c r="AK690" s="9" t="str">
        <x:v>Eval_Referential_Disambiguation.xlsm</x:v>
      </x:c>
      <x:c r="AL690" s="9" t="str">
        <x:v>GR00T vision-only Results</x:v>
      </x:c>
      <x:c r="AM690" s="9" t="n">
        <x:v>70</x:v>
      </x:c>
      <x:c r="AN690" s="9" t="n">
        <x:v>70</x:v>
      </x:c>
    </x:row>
    <x:row r="691">
      <x:c r="A691" s="9" t="str">
        <x:v>Success</x:v>
      </x:c>
      <x:c r="B691" s="9" t="str">
        <x:v>Referential Disambiguation</x:v>
      </x:c>
      <x:c r="C691" s="10" t="n">
        <x:v>69</x:v>
      </x:c>
      <x:c r="D691" s="9" t="str">
        <x:v>Pick up the green pencil sharpener and place it in the bowl.</x:v>
      </x:c>
      <x:c r="E691" s="9" t="str">
        <x:v>green pencil sharpener; red pencil sharpener; airplane toy with propellers; yellow pen</x:v>
      </x:c>
      <x:c r="F691" s="9" t="str">
        <x:v>green pencil sharpener</x:v>
      </x:c>
      <x:c r="G691" s="9"/>
      <x:c r="H691" s="9" t="str">
        <x:v>Matched manipulation control</x:v>
      </x:c>
      <x:c r="I691" s="9" t="str">
        <x:v>RD-CT15</x:v>
      </x:c>
      <x:c r="J691" s="9" t="str">
        <x:v>Exact-scene direct-identity manipulation control</x:v>
      </x:c>
      <x:c r="K691" s="9" t="n">
        <x:v>68</x:v>
      </x:c>
      <x:c r="L691" s="9" t="str">
        <x:v>485</x:v>
      </x:c>
      <x:c r="M691" s="9" t="str">
        <x:v>Exact masked-cell training prompt for the same target identity. The evaluation scene and physical endpoint are identical to the paired transfer row.</x:v>
      </x:c>
      <x:c r="N691" s="9" t="n">
        <x:v>3</x:v>
      </x:c>
      <x:c r="O691" s="9" t="str">
        <x:v>Reset the moved object exactly; preserve the scene; change only the instruction.</x:v>
      </x:c>
      <x:c r="P691" s="9" t="str">
        <x:v>Controls recognition and manipulation of the same target without requiring referential reasoning.</x:v>
      </x:c>
      <x:c r="Q691" s="9"/>
      <x:c r="R691" s="10" t="n">
        <x:v>4</x:v>
      </x:c>
      <x:c r="S691" s="10" t="n">
        <x:v>1</x:v>
      </x:c>
      <x:c r="T691" s="9" t="str">
        <x:v>Empty</x:v>
      </x:c>
      <x:c r="U691" s="9"/>
      <x:c r="V691" s="9"/>
      <x:c r="W691" s="9"/>
      <x:c r="X691" s="10"/>
      <x:c r="Y691" s="10"/>
      <x:c r="Z691" s="9"/>
      <x:c r="AA691" s="9"/>
      <x:c r="AB691" s="9" t="str">
        <x:v>direct name</x:v>
      </x:c>
      <x:c r="AC691" s="9"/>
      <x:c r="AD691" s="9"/>
      <x:c r="AE691" s="9"/>
      <x:c r="AF691" s="9"/>
      <x:c r="AG691" s="9" t="str">
        <x:v>pencil sharpener</x:v>
      </x:c>
      <x:c r="AH691" s="9"/>
      <x:c r="AI691" s="11"/>
      <x:c r="AJ691" s="9"/>
      <x:c r="AK691" s="9" t="str">
        <x:v>Eval_Referential_Disambiguation.xlsm</x:v>
      </x:c>
      <x:c r="AL691" s="9" t="str">
        <x:v>GR00T vision-only Results</x:v>
      </x:c>
      <x:c r="AM691" s="9" t="n">
        <x:v>71</x:v>
      </x:c>
      <x:c r="AN691" s="9" t="n">
        <x:v>71</x:v>
      </x:c>
    </x:row>
    <x:row r="692">
      <x:c r="A692" s="9" t="str">
        <x:v>Success</x:v>
      </x:c>
      <x:c r="B692" s="9" t="str">
        <x:v>Referential Disambiguation</x:v>
      </x:c>
      <x:c r="C692" s="10" t="n">
        <x:v>70</x:v>
      </x:c>
      <x:c r="D692" s="9" t="str">
        <x:v>Move the airplane toy furthest from the red pencil sharpener into the bowl.</x:v>
      </x:c>
      <x:c r="E692" s="9" t="str">
        <x:v>airplane toy with propellers; airplane toy without propellers; red pencil sharpener; crushed Coke can</x:v>
      </x:c>
      <x:c r="F692" s="9" t="str">
        <x:v>airplane toy with propellers</x:v>
      </x:c>
      <x:c r="G692" s="9" t="str">
        <x:v>picked on closest to red pencil sharpener but dropped it. during recovery pick the correct one. failed reasoning</x:v>
      </x:c>
      <x:c r="H692" s="9" t="str">
        <x:v>Concept/compositional transfer</x:v>
      </x:c>
      <x:c r="I692" s="9" t="str">
        <x:v>RD-CT16</x:v>
      </x:c>
      <x:c r="J692" s="9" t="str">
        <x:v>Primary held-out relation × candidate-category composition — Move</x:v>
      </x:c>
      <x:c r="K692" s="9"/>
      <x:c r="L692" s="9" t="str">
        <x:v>572</x:v>
      </x:c>
      <x:c r="M692" s="9" t="str">
        <x:v>Masked source trajectory: the target identity and physical manipulation are trained under a direct-name prompt, while this relation × candidate-category composition is intentionally absent.</x:v>
      </x:c>
      <x:c r="N692" s="9" t="n">
        <x:v>3</x:v>
      </x:c>
      <x:c r="O692" s="9" t="str">
        <x:v>Place the listed objects. Arrange Expected Target as the unique answer to the prompt; keep the bowl empty and save a reference image.</x:v>
      </x:c>
      <x:c r="P692" s="9" t="str">
        <x:v>Both candidates are present. The held-out relation is the only information that identifies the target.</x:v>
      </x:c>
      <x:c r="Q692" s="9"/>
      <x:c r="R692" s="10" t="n">
        <x:v>4</x:v>
      </x:c>
      <x:c r="S692" s="10" t="n">
        <x:v>1</x:v>
      </x:c>
      <x:c r="T692" s="9" t="str">
        <x:v>Empty</x:v>
      </x:c>
      <x:c r="U692" s="9"/>
      <x:c r="V692" s="9"/>
      <x:c r="W692" s="9"/>
      <x:c r="X692" s="10"/>
      <x:c r="Y692" s="10"/>
      <x:c r="Z692" s="9"/>
      <x:c r="AA692" s="9"/>
      <x:c r="AB692" s="9" t="str">
        <x:v>furthest</x:v>
      </x:c>
      <x:c r="AC692" s="9"/>
      <x:c r="AD692" s="9"/>
      <x:c r="AE692" s="9"/>
      <x:c r="AF692" s="9"/>
      <x:c r="AG692" s="9" t="str">
        <x:v>airplane toy</x:v>
      </x:c>
      <x:c r="AH692" s="9"/>
      <x:c r="AI692" s="11"/>
      <x:c r="AJ692" s="9"/>
      <x:c r="AK692" s="9" t="str">
        <x:v>Eval_Referential_Disambiguation.xlsm</x:v>
      </x:c>
      <x:c r="AL692" s="9" t="str">
        <x:v>GR00T vision-only Results</x:v>
      </x:c>
      <x:c r="AM692" s="9" t="n">
        <x:v>72</x:v>
      </x:c>
      <x:c r="AN692" s="9" t="n">
        <x:v>72</x:v>
      </x:c>
    </x:row>
    <x:row r="693">
      <x:c r="A693" s="9" t="str">
        <x:v>Success</x:v>
      </x:c>
      <x:c r="B693" s="9" t="str">
        <x:v>Referential Disambiguation</x:v>
      </x:c>
      <x:c r="C693" s="10" t="n">
        <x:v>71</x:v>
      </x:c>
      <x:c r="D693" s="9" t="str">
        <x:v>Move the airplane toy with propellers into the bowl.</x:v>
      </x:c>
      <x:c r="E693" s="9" t="str">
        <x:v>airplane toy with propellers; airplane toy without propellers; red pencil sharpener; crushed Coke can</x:v>
      </x:c>
      <x:c r="F693" s="9" t="str">
        <x:v>airplane toy with propellers</x:v>
      </x:c>
      <x:c r="G693" s="9"/>
      <x:c r="H693" s="9" t="str">
        <x:v>Matched manipulation control</x:v>
      </x:c>
      <x:c r="I693" s="9" t="str">
        <x:v>RD-CT16</x:v>
      </x:c>
      <x:c r="J693" s="9" t="str">
        <x:v>Exact-scene direct-identity manipulation control</x:v>
      </x:c>
      <x:c r="K693" s="9" t="n">
        <x:v>70</x:v>
      </x:c>
      <x:c r="L693" s="9" t="str">
        <x:v>572</x:v>
      </x:c>
      <x:c r="M693" s="9" t="str">
        <x:v>Exact masked-cell training prompt for the same target identity. The evaluation scene and physical endpoint are identical to the paired transfer row.</x:v>
      </x:c>
      <x:c r="N693" s="9" t="n">
        <x:v>3</x:v>
      </x:c>
      <x:c r="O693" s="9" t="str">
        <x:v>Reset the moved object exactly; preserve the scene; change only the instruction.</x:v>
      </x:c>
      <x:c r="P693" s="9" t="str">
        <x:v>Controls recognition and manipulation of the same target without requiring referential reasoning.</x:v>
      </x:c>
      <x:c r="Q693" s="9"/>
      <x:c r="R693" s="10" t="n">
        <x:v>4</x:v>
      </x:c>
      <x:c r="S693" s="10" t="n">
        <x:v>1</x:v>
      </x:c>
      <x:c r="T693" s="9" t="str">
        <x:v>Empty</x:v>
      </x:c>
      <x:c r="U693" s="9"/>
      <x:c r="V693" s="9"/>
      <x:c r="W693" s="9"/>
      <x:c r="X693" s="10"/>
      <x:c r="Y693" s="10"/>
      <x:c r="Z693" s="9"/>
      <x:c r="AA693" s="9"/>
      <x:c r="AB693" s="9" t="str">
        <x:v>direct name</x:v>
      </x:c>
      <x:c r="AC693" s="9"/>
      <x:c r="AD693" s="9"/>
      <x:c r="AE693" s="9"/>
      <x:c r="AF693" s="9"/>
      <x:c r="AG693" s="9" t="str">
        <x:v>airplane toy</x:v>
      </x:c>
      <x:c r="AH693" s="9"/>
      <x:c r="AI693" s="11"/>
      <x:c r="AJ693" s="9"/>
      <x:c r="AK693" s="9" t="str">
        <x:v>Eval_Referential_Disambiguation.xlsm</x:v>
      </x:c>
      <x:c r="AL693" s="9" t="str">
        <x:v>GR00T vision-only Results</x:v>
      </x:c>
      <x:c r="AM693" s="9" t="n">
        <x:v>73</x:v>
      </x:c>
      <x:c r="AN693" s="9" t="n">
        <x:v>73</x:v>
      </x:c>
    </x:row>
    <x:row r="694">
      <x:c r="A694" s="9" t="str">
        <x:v>Success</x:v>
      </x:c>
      <x:c r="B694" s="9" t="str">
        <x:v>Referential Disambiguation</x:v>
      </x:c>
      <x:c r="C694" s="10" t="n">
        <x:v>72</x:v>
      </x:c>
      <x:c r="D694" s="9" t="str">
        <x:v>Move the crushed soda can closest to the red pencil sharpener into the bowl.</x:v>
      </x:c>
      <x:c r="E694" s="9" t="str">
        <x:v>crushed Coke can; crushed Pepsi can; red pencil sharpener; yellow pen</x:v>
      </x:c>
      <x:c r="F694" s="9" t="str">
        <x:v>crushed Coke can</x:v>
      </x:c>
      <x:c r="G694" s="9"/>
      <x:c r="H694" s="9" t="str">
        <x:v>Concept/compositional transfer</x:v>
      </x:c>
      <x:c r="I694" s="9" t="str">
        <x:v>RD-CT17</x:v>
      </x:c>
      <x:c r="J694" s="9" t="str">
        <x:v>Primary held-out relation × candidate-category composition — Move</x:v>
      </x:c>
      <x:c r="K694" s="9"/>
      <x:c r="L694" s="9" t="str">
        <x:v>406</x:v>
      </x:c>
      <x:c r="M694" s="9" t="str">
        <x:v>Masked source trajectory: the target identity and physical manipulation are trained under a direct-name prompt, while this relation × candidate-category composition is intentionally absent.</x:v>
      </x:c>
      <x:c r="N694" s="9" t="n">
        <x:v>3</x:v>
      </x:c>
      <x:c r="O694" s="9" t="str">
        <x:v>Place the listed objects. Arrange Expected Target as the unique answer to the prompt; keep the bowl empty and save a reference image.</x:v>
      </x:c>
      <x:c r="P694" s="9" t="str">
        <x:v>Both candidates are present. The held-out relation is the only information that identifies the target.</x:v>
      </x:c>
      <x:c r="Q694" s="9"/>
      <x:c r="R694" s="10" t="n">
        <x:v>4</x:v>
      </x:c>
      <x:c r="S694" s="10" t="n">
        <x:v>1</x:v>
      </x:c>
      <x:c r="T694" s="9" t="str">
        <x:v>Empty</x:v>
      </x:c>
      <x:c r="U694" s="9"/>
      <x:c r="V694" s="9"/>
      <x:c r="W694" s="9"/>
      <x:c r="X694" s="10"/>
      <x:c r="Y694" s="10"/>
      <x:c r="Z694" s="9"/>
      <x:c r="AA694" s="9"/>
      <x:c r="AB694" s="9" t="str">
        <x:v>closest</x:v>
      </x:c>
      <x:c r="AC694" s="9"/>
      <x:c r="AD694" s="9"/>
      <x:c r="AE694" s="9"/>
      <x:c r="AF694" s="9"/>
      <x:c r="AG694" s="9" t="str">
        <x:v>crushed soda can</x:v>
      </x:c>
      <x:c r="AH694" s="9"/>
      <x:c r="AI694" s="11"/>
      <x:c r="AJ694" s="9"/>
      <x:c r="AK694" s="9" t="str">
        <x:v>Eval_Referential_Disambiguation.xlsm</x:v>
      </x:c>
      <x:c r="AL694" s="9" t="str">
        <x:v>GR00T vision-only Results</x:v>
      </x:c>
      <x:c r="AM694" s="9" t="n">
        <x:v>74</x:v>
      </x:c>
      <x:c r="AN694" s="9" t="n">
        <x:v>74</x:v>
      </x:c>
    </x:row>
    <x:row r="695">
      <x:c r="A695" s="9" t="str">
        <x:v>Success</x:v>
      </x:c>
      <x:c r="B695" s="9" t="str">
        <x:v>Referential Disambiguation</x:v>
      </x:c>
      <x:c r="C695" s="10" t="n">
        <x:v>73</x:v>
      </x:c>
      <x:c r="D695" s="9" t="str">
        <x:v>Put the crushed Coke can in the bowl.</x:v>
      </x:c>
      <x:c r="E695" s="9" t="str">
        <x:v>crushed Coke can; crushed Pepsi can; red pencil sharpener; yellow pen</x:v>
      </x:c>
      <x:c r="F695" s="9" t="str">
        <x:v>crushed Coke can</x:v>
      </x:c>
      <x:c r="G695" s="9"/>
      <x:c r="H695" s="9" t="str">
        <x:v>Matched manipulation control</x:v>
      </x:c>
      <x:c r="I695" s="9" t="str">
        <x:v>RD-CT17</x:v>
      </x:c>
      <x:c r="J695" s="9" t="str">
        <x:v>Exact-scene direct-identity manipulation control</x:v>
      </x:c>
      <x:c r="K695" s="9" t="n">
        <x:v>72</x:v>
      </x:c>
      <x:c r="L695" s="9" t="str">
        <x:v>406</x:v>
      </x:c>
      <x:c r="M695" s="9" t="str">
        <x:v>Exact masked-cell training prompt for the same target identity. The evaluation scene and physical endpoint are identical to the paired transfer row.</x:v>
      </x:c>
      <x:c r="N695" s="9" t="n">
        <x:v>3</x:v>
      </x:c>
      <x:c r="O695" s="9" t="str">
        <x:v>Reset the moved object exactly; preserve the scene; change only the instruction.</x:v>
      </x:c>
      <x:c r="P695" s="9" t="str">
        <x:v>Controls recognition and manipulation of the same target without requiring referential reasoning.</x:v>
      </x:c>
      <x:c r="Q695" s="9"/>
      <x:c r="R695" s="10" t="n">
        <x:v>4</x:v>
      </x:c>
      <x:c r="S695" s="10" t="n">
        <x:v>1</x:v>
      </x:c>
      <x:c r="T695" s="9" t="str">
        <x:v>Empty</x:v>
      </x:c>
      <x:c r="U695" s="9"/>
      <x:c r="V695" s="9"/>
      <x:c r="W695" s="9"/>
      <x:c r="X695" s="10"/>
      <x:c r="Y695" s="10"/>
      <x:c r="Z695" s="9"/>
      <x:c r="AA695" s="9"/>
      <x:c r="AB695" s="9" t="str">
        <x:v>direct name</x:v>
      </x:c>
      <x:c r="AC695" s="9"/>
      <x:c r="AD695" s="9"/>
      <x:c r="AE695" s="9"/>
      <x:c r="AF695" s="9"/>
      <x:c r="AG695" s="9" t="str">
        <x:v>crushed soda can</x:v>
      </x:c>
      <x:c r="AH695" s="9"/>
      <x:c r="AI695" s="11"/>
      <x:c r="AJ695" s="9"/>
      <x:c r="AK695" s="9" t="str">
        <x:v>Eval_Referential_Disambiguation.xlsm</x:v>
      </x:c>
      <x:c r="AL695" s="9" t="str">
        <x:v>GR00T vision-only Results</x:v>
      </x:c>
      <x:c r="AM695" s="9" t="n">
        <x:v>75</x:v>
      </x:c>
      <x:c r="AN695" s="9" t="n">
        <x:v>75</x:v>
      </x:c>
    </x:row>
    <x:row r="696">
      <x:c r="A696" s="9" t="str">
        <x:v>Failure</x:v>
      </x:c>
      <x:c r="B696" s="9" t="str">
        <x:v>Referential Disambiguation</x:v>
      </x:c>
      <x:c r="C696" s="10" t="n">
        <x:v>74</x:v>
      </x:c>
      <x:c r="D696" s="9" t="str">
        <x:v>Move the pencil sharpener between the crushed Pepsi can and the airplane toy without propellers into the bowl.</x:v>
      </x:c>
      <x:c r="E696" s="9" t="str">
        <x:v>green pencil sharpener; red pencil sharpener; crushed Pepsi can; airplane toy without propellers; airplane toy with propellers</x:v>
      </x:c>
      <x:c r="F696" s="9" t="str">
        <x:v>green pencil sharpener</x:v>
      </x:c>
      <x:c r="G696" s="9" t="str">
        <x:v>went for the red pencil sharpener; struggled to grasp, but got it to bowl</x:v>
      </x:c>
      <x:c r="H696" s="9" t="str">
        <x:v>Concept/compositional transfer</x:v>
      </x:c>
      <x:c r="I696" s="9" t="str">
        <x:v>RD-CT18</x:v>
      </x:c>
      <x:c r="J696" s="9" t="str">
        <x:v>Primary held-out relation × candidate-category composition — Move</x:v>
      </x:c>
      <x:c r="K696" s="9"/>
      <x:c r="L696" s="9" t="str">
        <x:v>487</x:v>
      </x:c>
      <x:c r="M696" s="9" t="str">
        <x:v>Masked source trajectory: the target identity and physical manipulation are trained under a direct-name prompt, while this relation × candidate-category composition is intentionally absent.</x:v>
      </x:c>
      <x:c r="N696" s="9" t="n">
        <x:v>3</x:v>
      </x:c>
      <x:c r="O696" s="9" t="str">
        <x:v>Place the listed objects. Arrange Expected Target as the unique answer to the prompt; keep the bowl empty and save a reference image.</x:v>
      </x:c>
      <x:c r="P696" s="9" t="str">
        <x:v>Both candidates are present. The held-out relation is the only information that identifies the target.</x:v>
      </x:c>
      <x:c r="Q696" s="9"/>
      <x:c r="R696" s="10" t="n">
        <x:v>5</x:v>
      </x:c>
      <x:c r="S696" s="10" t="n">
        <x:v>1</x:v>
      </x:c>
      <x:c r="T696" s="9" t="str">
        <x:v>Empty</x:v>
      </x:c>
      <x:c r="U696" s="9"/>
      <x:c r="V696" s="9"/>
      <x:c r="W696" s="9"/>
      <x:c r="X696" s="10"/>
      <x:c r="Y696" s="10"/>
      <x:c r="Z696" s="9"/>
      <x:c r="AA696" s="9"/>
      <x:c r="AB696" s="9" t="str">
        <x:v>between</x:v>
      </x:c>
      <x:c r="AC696" s="9"/>
      <x:c r="AD696" s="9"/>
      <x:c r="AE696" s="9"/>
      <x:c r="AF696" s="9"/>
      <x:c r="AG696" s="9" t="str">
        <x:v>pencil sharpener</x:v>
      </x:c>
      <x:c r="AH696" s="9"/>
      <x:c r="AI696" s="11"/>
      <x:c r="AJ696" s="9"/>
      <x:c r="AK696" s="9" t="str">
        <x:v>Eval_Referential_Disambiguation.xlsm</x:v>
      </x:c>
      <x:c r="AL696" s="9" t="str">
        <x:v>GR00T vision-only Results</x:v>
      </x:c>
      <x:c r="AM696" s="9" t="n">
        <x:v>76</x:v>
      </x:c>
      <x:c r="AN696" s="9" t="n">
        <x:v>76</x:v>
      </x:c>
    </x:row>
    <x:row r="697">
      <x:c r="A697" s="9" t="str">
        <x:v>Success</x:v>
      </x:c>
      <x:c r="B697" s="9" t="str">
        <x:v>Referential Disambiguation</x:v>
      </x:c>
      <x:c r="C697" s="10" t="n">
        <x:v>75</x:v>
      </x:c>
      <x:c r="D697" s="9" t="str">
        <x:v>Put the green pencil sharpener in the bowl.</x:v>
      </x:c>
      <x:c r="E697" s="9" t="str">
        <x:v>green pencil sharpener; red pencil sharpener; crushed Pepsi can; airplane toy without propellers; airplane toy with propellers</x:v>
      </x:c>
      <x:c r="F697" s="9" t="str">
        <x:v>green pencil sharpener</x:v>
      </x:c>
      <x:c r="G697" s="9"/>
      <x:c r="H697" s="9" t="str">
        <x:v>Matched manipulation control</x:v>
      </x:c>
      <x:c r="I697" s="9" t="str">
        <x:v>RD-CT18</x:v>
      </x:c>
      <x:c r="J697" s="9" t="str">
        <x:v>Exact-scene direct-identity manipulation control</x:v>
      </x:c>
      <x:c r="K697" s="9" t="n">
        <x:v>74</x:v>
      </x:c>
      <x:c r="L697" s="9" t="str">
        <x:v>487</x:v>
      </x:c>
      <x:c r="M697" s="9" t="str">
        <x:v>Exact masked-cell training prompt for the same target identity. The evaluation scene and physical endpoint are identical to the paired transfer row.</x:v>
      </x:c>
      <x:c r="N697" s="9" t="n">
        <x:v>3</x:v>
      </x:c>
      <x:c r="O697" s="9" t="str">
        <x:v>Reset the moved object exactly; preserve the scene; change only the instruction.</x:v>
      </x:c>
      <x:c r="P697" s="9" t="str">
        <x:v>Controls recognition and manipulation of the same target without requiring referential reasoning.</x:v>
      </x:c>
      <x:c r="Q697" s="9"/>
      <x:c r="R697" s="10" t="n">
        <x:v>5</x:v>
      </x:c>
      <x:c r="S697" s="10" t="n">
        <x:v>1</x:v>
      </x:c>
      <x:c r="T697" s="9" t="str">
        <x:v>Empty</x:v>
      </x:c>
      <x:c r="U697" s="9"/>
      <x:c r="V697" s="9"/>
      <x:c r="W697" s="9"/>
      <x:c r="X697" s="10"/>
      <x:c r="Y697" s="10"/>
      <x:c r="Z697" s="9"/>
      <x:c r="AA697" s="9"/>
      <x:c r="AB697" s="9" t="str">
        <x:v>direct name</x:v>
      </x:c>
      <x:c r="AC697" s="9"/>
      <x:c r="AD697" s="9"/>
      <x:c r="AE697" s="9"/>
      <x:c r="AF697" s="9"/>
      <x:c r="AG697" s="9" t="str">
        <x:v>pencil sharpener</x:v>
      </x:c>
      <x:c r="AH697" s="9"/>
      <x:c r="AI697" s="11"/>
      <x:c r="AJ697" s="9"/>
      <x:c r="AK697" s="9" t="str">
        <x:v>Eval_Referential_Disambiguation.xlsm</x:v>
      </x:c>
      <x:c r="AL697" s="9" t="str">
        <x:v>GR00T vision-only Results</x:v>
      </x:c>
      <x:c r="AM697" s="9" t="n">
        <x:v>77</x:v>
      </x:c>
      <x:c r="AN697" s="9" t="n">
        <x:v>77</x:v>
      </x:c>
    </x:row>
    <x:row r="698">
      <x:c r="A698" s="9" t="str">
        <x:v>Failure</x:v>
      </x:c>
      <x:c r="B698" s="9" t="str">
        <x:v>Referential Disambiguation</x:v>
      </x:c>
      <x:c r="C698" s="10" t="n">
        <x:v>76</x:v>
      </x:c>
      <x:c r="D698" s="9" t="str">
        <x:v>Pick up the airplane toy furthest from the green pen and place it in the bowl.</x:v>
      </x:c>
      <x:c r="E698" s="9" t="str">
        <x:v>airplane toy with propellers; airplane toy without propellers; green pen</x:v>
      </x:c>
      <x:c r="F698" s="9" t="str">
        <x:v>airplane toy without propellers</x:v>
      </x:c>
      <x:c r="G698" s="9" t="str">
        <x:v>succeeded reasoning; knocked the furthest one under the robot from over gripping and during recover got the other airplane toy</x:v>
      </x:c>
      <x:c r="H698" s="9" t="str">
        <x:v>Concept/compositional transfer</x:v>
      </x:c>
      <x:c r="I698" s="9" t="str">
        <x:v>RD-CT19</x:v>
      </x:c>
      <x:c r="J698" s="9" t="str">
        <x:v>Primary held-out relation × candidate-category composition — Pick up</x:v>
      </x:c>
      <x:c r="K698" s="9"/>
      <x:c r="L698" s="9" t="str">
        <x:v>569</x:v>
      </x:c>
      <x:c r="M698" s="9" t="str">
        <x:v>Masked source trajectory: the target identity and physical manipulation are trained under a direct-name prompt, while this relation × candidate-category composition is intentionally absent.</x:v>
      </x:c>
      <x:c r="N698" s="9" t="n">
        <x:v>3</x:v>
      </x:c>
      <x:c r="O698" s="9" t="str">
        <x:v>Place the listed objects. Arrange Expected Target as the unique answer to the prompt; keep the bowl empty and save a reference image.</x:v>
      </x:c>
      <x:c r="P698" s="9" t="str">
        <x:v>Both candidates are present. The held-out relation is the only information that identifies the target.</x:v>
      </x:c>
      <x:c r="Q698" s="9"/>
      <x:c r="R698" s="10" t="n">
        <x:v>3</x:v>
      </x:c>
      <x:c r="S698" s="10" t="n">
        <x:v>1</x:v>
      </x:c>
      <x:c r="T698" s="9" t="str">
        <x:v>Empty</x:v>
      </x:c>
      <x:c r="U698" s="9"/>
      <x:c r="V698" s="9"/>
      <x:c r="W698" s="9"/>
      <x:c r="X698" s="10"/>
      <x:c r="Y698" s="10"/>
      <x:c r="Z698" s="9"/>
      <x:c r="AA698" s="9"/>
      <x:c r="AB698" s="9" t="str">
        <x:v>furthest</x:v>
      </x:c>
      <x:c r="AC698" s="9"/>
      <x:c r="AD698" s="9"/>
      <x:c r="AE698" s="9"/>
      <x:c r="AF698" s="9"/>
      <x:c r="AG698" s="9" t="str">
        <x:v>airplane toy</x:v>
      </x:c>
      <x:c r="AH698" s="9"/>
      <x:c r="AI698" s="11"/>
      <x:c r="AJ698" s="9"/>
      <x:c r="AK698" s="9" t="str">
        <x:v>Eval_Referential_Disambiguation.xlsm</x:v>
      </x:c>
      <x:c r="AL698" s="9" t="str">
        <x:v>GR00T vision-only Results</x:v>
      </x:c>
      <x:c r="AM698" s="9" t="n">
        <x:v>78</x:v>
      </x:c>
      <x:c r="AN698" s="9" t="n">
        <x:v>78</x:v>
      </x:c>
    </x:row>
    <x:row r="699">
      <x:c r="A699" s="9" t="str">
        <x:v>Success</x:v>
      </x:c>
      <x:c r="B699" s="9" t="str">
        <x:v>Referential Disambiguation</x:v>
      </x:c>
      <x:c r="C699" s="10" t="n">
        <x:v>77</x:v>
      </x:c>
      <x:c r="D699" s="9" t="str">
        <x:v>Put the airplane toy without propellers in the bowl.</x:v>
      </x:c>
      <x:c r="E699" s="9" t="str">
        <x:v>airplane toy with propellers; airplane toy without propellers; green pen</x:v>
      </x:c>
      <x:c r="F699" s="9" t="str">
        <x:v>airplane toy without propellers</x:v>
      </x:c>
      <x:c r="G699" s="9"/>
      <x:c r="H699" s="9" t="str">
        <x:v>Matched manipulation control</x:v>
      </x:c>
      <x:c r="I699" s="9" t="str">
        <x:v>RD-CT19</x:v>
      </x:c>
      <x:c r="J699" s="9" t="str">
        <x:v>Exact-scene direct-identity manipulation control</x:v>
      </x:c>
      <x:c r="K699" s="9" t="n">
        <x:v>76</x:v>
      </x:c>
      <x:c r="L699" s="9" t="str">
        <x:v>569</x:v>
      </x:c>
      <x:c r="M699" s="9" t="str">
        <x:v>Exact masked-cell training prompt for the same target identity. The evaluation scene and physical endpoint are identical to the paired transfer row.</x:v>
      </x:c>
      <x:c r="N699" s="9" t="n">
        <x:v>3</x:v>
      </x:c>
      <x:c r="O699" s="9" t="str">
        <x:v>Reset the moved object exactly; preserve the scene; change only the instruction.</x:v>
      </x:c>
      <x:c r="P699" s="9" t="str">
        <x:v>Controls recognition and manipulation of the same target without requiring referential reasoning.</x:v>
      </x:c>
      <x:c r="Q699" s="9"/>
      <x:c r="R699" s="10" t="n">
        <x:v>3</x:v>
      </x:c>
      <x:c r="S699" s="10" t="n">
        <x:v>1</x:v>
      </x:c>
      <x:c r="T699" s="9" t="str">
        <x:v>Empty</x:v>
      </x:c>
      <x:c r="U699" s="9"/>
      <x:c r="V699" s="9"/>
      <x:c r="W699" s="9"/>
      <x:c r="X699" s="10"/>
      <x:c r="Y699" s="10"/>
      <x:c r="Z699" s="9"/>
      <x:c r="AA699" s="9"/>
      <x:c r="AB699" s="9" t="str">
        <x:v>direct name</x:v>
      </x:c>
      <x:c r="AC699" s="9"/>
      <x:c r="AD699" s="9"/>
      <x:c r="AE699" s="9"/>
      <x:c r="AF699" s="9"/>
      <x:c r="AG699" s="9" t="str">
        <x:v>airplane toy</x:v>
      </x:c>
      <x:c r="AH699" s="9"/>
      <x:c r="AI699" s="11"/>
      <x:c r="AJ699" s="9"/>
      <x:c r="AK699" s="9" t="str">
        <x:v>Eval_Referential_Disambiguation.xlsm</x:v>
      </x:c>
      <x:c r="AL699" s="9" t="str">
        <x:v>GR00T vision-only Results</x:v>
      </x:c>
      <x:c r="AM699" s="9" t="n">
        <x:v>79</x:v>
      </x:c>
      <x:c r="AN699" s="9" t="n">
        <x:v>79</x:v>
      </x:c>
    </x:row>
    <x:row r="700">
      <x:c r="A700" s="9" t="str">
        <x:v>Success</x:v>
      </x:c>
      <x:c r="B700" s="9" t="str">
        <x:v>Referential Disambiguation</x:v>
      </x:c>
      <x:c r="C700" s="10" t="n">
        <x:v>78</x:v>
      </x:c>
      <x:c r="D700" s="9" t="str">
        <x:v>Pick up the crushed soda can closest to the green pen and place it in the bowl.</x:v>
      </x:c>
      <x:c r="E700" s="9" t="str">
        <x:v>crushed Coke can; crushed Pepsi can; green pen</x:v>
      </x:c>
      <x:c r="F700" s="9" t="str">
        <x:v>crushed Pepsi can</x:v>
      </x:c>
      <x:c r="G700" s="9"/>
      <x:c r="H700" s="9" t="str">
        <x:v>Concept/compositional transfer</x:v>
      </x:c>
      <x:c r="I700" s="9" t="str">
        <x:v>RD-CT20</x:v>
      </x:c>
      <x:c r="J700" s="9" t="str">
        <x:v>Primary held-out relation × candidate-category composition — Pick up</x:v>
      </x:c>
      <x:c r="K700" s="9"/>
      <x:c r="L700" s="9" t="str">
        <x:v>405</x:v>
      </x:c>
      <x:c r="M700" s="9" t="str">
        <x:v>Masked source trajectory: the target identity and physical manipulation are trained under a direct-name prompt, while this relation × candidate-category composition is intentionally absent.</x:v>
      </x:c>
      <x:c r="N700" s="9" t="n">
        <x:v>3</x:v>
      </x:c>
      <x:c r="O700" s="9" t="str">
        <x:v>Place the listed objects. Arrange Expected Target as the unique answer to the prompt; keep the bowl empty and save a reference image.</x:v>
      </x:c>
      <x:c r="P700" s="9" t="str">
        <x:v>Both candidates are present. The held-out relation is the only information that identifies the target.</x:v>
      </x:c>
      <x:c r="Q700" s="9"/>
      <x:c r="R700" s="10" t="n">
        <x:v>3</x:v>
      </x:c>
      <x:c r="S700" s="10" t="n">
        <x:v>1</x:v>
      </x:c>
      <x:c r="T700" s="9" t="str">
        <x:v>Empty</x:v>
      </x:c>
      <x:c r="U700" s="9"/>
      <x:c r="V700" s="9"/>
      <x:c r="W700" s="9"/>
      <x:c r="X700" s="10"/>
      <x:c r="Y700" s="10"/>
      <x:c r="Z700" s="9"/>
      <x:c r="AA700" s="9"/>
      <x:c r="AB700" s="9" t="str">
        <x:v>closest</x:v>
      </x:c>
      <x:c r="AC700" s="9"/>
      <x:c r="AD700" s="9"/>
      <x:c r="AE700" s="9"/>
      <x:c r="AF700" s="9"/>
      <x:c r="AG700" s="9" t="str">
        <x:v>crushed soda can</x:v>
      </x:c>
      <x:c r="AH700" s="9"/>
      <x:c r="AI700" s="11"/>
      <x:c r="AJ700" s="9"/>
      <x:c r="AK700" s="9" t="str">
        <x:v>Eval_Referential_Disambiguation.xlsm</x:v>
      </x:c>
      <x:c r="AL700" s="9" t="str">
        <x:v>GR00T vision-only Results</x:v>
      </x:c>
      <x:c r="AM700" s="9" t="n">
        <x:v>80</x:v>
      </x:c>
      <x:c r="AN700" s="9" t="n">
        <x:v>80</x:v>
      </x:c>
    </x:row>
    <x:row r="701">
      <x:c r="A701" s="9" t="str">
        <x:v>Failure</x:v>
      </x:c>
      <x:c r="B701" s="9" t="str">
        <x:v>Referential Disambiguation</x:v>
      </x:c>
      <x:c r="C701" s="10" t="n">
        <x:v>79</x:v>
      </x:c>
      <x:c r="D701" s="9" t="str">
        <x:v>Move the crushed Pepsi can into the bowl.</x:v>
      </x:c>
      <x:c r="E701" s="9" t="str">
        <x:v>crushed Coke can; crushed Pepsi can; green pen</x:v>
      </x:c>
      <x:c r="F701" s="9" t="str">
        <x:v>crushed Pepsi can</x:v>
      </x:c>
      <x:c r="G701" s="9" t="str">
        <x:v>succeeded reasoning, but pinched the pepsi can just out of reach</x:v>
      </x:c>
      <x:c r="H701" s="9" t="str">
        <x:v>Matched manipulation control</x:v>
      </x:c>
      <x:c r="I701" s="9" t="str">
        <x:v>RD-CT20</x:v>
      </x:c>
      <x:c r="J701" s="9" t="str">
        <x:v>Exact-scene direct-identity manipulation control</x:v>
      </x:c>
      <x:c r="K701" s="9" t="n">
        <x:v>78</x:v>
      </x:c>
      <x:c r="L701" s="9" t="str">
        <x:v>405</x:v>
      </x:c>
      <x:c r="M701" s="9" t="str">
        <x:v>Exact masked-cell training prompt for the same target identity. The evaluation scene and physical endpoint are identical to the paired transfer row.</x:v>
      </x:c>
      <x:c r="N701" s="9" t="n">
        <x:v>3</x:v>
      </x:c>
      <x:c r="O701" s="9" t="str">
        <x:v>Reset the moved object exactly; preserve the scene; change only the instruction.</x:v>
      </x:c>
      <x:c r="P701" s="9" t="str">
        <x:v>Controls recognition and manipulation of the same target without requiring referential reasoning.</x:v>
      </x:c>
      <x:c r="Q701" s="9"/>
      <x:c r="R701" s="10" t="n">
        <x:v>3</x:v>
      </x:c>
      <x:c r="S701" s="10" t="n">
        <x:v>1</x:v>
      </x:c>
      <x:c r="T701" s="9" t="str">
        <x:v>Empty</x:v>
      </x:c>
      <x:c r="U701" s="9"/>
      <x:c r="V701" s="9"/>
      <x:c r="W701" s="9"/>
      <x:c r="X701" s="10"/>
      <x:c r="Y701" s="10"/>
      <x:c r="Z701" s="9"/>
      <x:c r="AA701" s="9"/>
      <x:c r="AB701" s="9" t="str">
        <x:v>direct name</x:v>
      </x:c>
      <x:c r="AC701" s="9"/>
      <x:c r="AD701" s="9"/>
      <x:c r="AE701" s="9"/>
      <x:c r="AF701" s="9"/>
      <x:c r="AG701" s="9" t="str">
        <x:v>crushed soda can</x:v>
      </x:c>
      <x:c r="AH701" s="9"/>
      <x:c r="AI701" s="11"/>
      <x:c r="AJ701" s="9"/>
      <x:c r="AK701" s="9" t="str">
        <x:v>Eval_Referential_Disambiguation.xlsm</x:v>
      </x:c>
      <x:c r="AL701" s="9" t="str">
        <x:v>GR00T vision-only Results</x:v>
      </x:c>
      <x:c r="AM701" s="9" t="n">
        <x:v>81</x:v>
      </x:c>
      <x:c r="AN701" s="9" t="n">
        <x:v>81</x:v>
      </x:c>
    </x:row>
    <x:row r="702">
      <x:c r="A702" s="9" t="str">
        <x:v>Failure</x:v>
      </x:c>
      <x:c r="B702" s="9" t="str">
        <x:v>Referential Disambiguation</x:v>
      </x:c>
      <x:c r="C702" s="10" t="n">
        <x:v>80</x:v>
      </x:c>
      <x:c r="D702" s="9" t="str">
        <x:v>Pick up the pencil sharpener between the green pen and the crushed Coke can and place it in the bowl.</x:v>
      </x:c>
      <x:c r="E702" s="9" t="str">
        <x:v>green pencil sharpener; red pencil sharpener; green pen; crushed Coke can</x:v>
      </x:c>
      <x:c r="F702" s="9" t="str">
        <x:v>red pencil sharpener</x:v>
      </x:c>
      <x:c r="G702" s="9" t="str">
        <x:v>succeeded reasoning. went for the red pencil sharpener, but couldn't grasp, drifted to the right edge of workspace. did pick the green pen, but dropped it, then went to coke can</x:v>
      </x:c>
      <x:c r="H702" s="9" t="str">
        <x:v>Concept/compositional transfer</x:v>
      </x:c>
      <x:c r="I702" s="9" t="str">
        <x:v>RD-CT21</x:v>
      </x:c>
      <x:c r="J702" s="9" t="str">
        <x:v>Primary held-out relation × candidate-category composition — Pick up</x:v>
      </x:c>
      <x:c r="K702" s="9"/>
      <x:c r="L702" s="9" t="str">
        <x:v>484</x:v>
      </x:c>
      <x:c r="M702" s="9" t="str">
        <x:v>Masked source trajectory: the target identity and physical manipulation are trained under a direct-name prompt, while this relation × candidate-category composition is intentionally absent.</x:v>
      </x:c>
      <x:c r="N702" s="9" t="n">
        <x:v>4</x:v>
      </x:c>
      <x:c r="O702" s="9" t="str">
        <x:v>Place the listed objects. Arrange Expected Target as the unique answer to the prompt; keep the bowl empty and save a reference image.</x:v>
      </x:c>
      <x:c r="P702" s="9" t="str">
        <x:v>Both candidates are present. The held-out relation is the only information that identifies the target.</x:v>
      </x:c>
      <x:c r="Q702" s="9"/>
      <x:c r="R702" s="10" t="n">
        <x:v>4</x:v>
      </x:c>
      <x:c r="S702" s="10" t="n">
        <x:v>1</x:v>
      </x:c>
      <x:c r="T702" s="9" t="str">
        <x:v>Empty</x:v>
      </x:c>
      <x:c r="U702" s="9"/>
      <x:c r="V702" s="9"/>
      <x:c r="W702" s="9"/>
      <x:c r="X702" s="10"/>
      <x:c r="Y702" s="10"/>
      <x:c r="Z702" s="9"/>
      <x:c r="AA702" s="9"/>
      <x:c r="AB702" s="9" t="str">
        <x:v>between</x:v>
      </x:c>
      <x:c r="AC702" s="9"/>
      <x:c r="AD702" s="9"/>
      <x:c r="AE702" s="9"/>
      <x:c r="AF702" s="9"/>
      <x:c r="AG702" s="9" t="str">
        <x:v>pencil sharpener</x:v>
      </x:c>
      <x:c r="AH702" s="9"/>
      <x:c r="AI702" s="11"/>
      <x:c r="AJ702" s="9"/>
      <x:c r="AK702" s="9" t="str">
        <x:v>Eval_Referential_Disambiguation.xlsm</x:v>
      </x:c>
      <x:c r="AL702" s="9" t="str">
        <x:v>GR00T vision-only Results</x:v>
      </x:c>
      <x:c r="AM702" s="9" t="n">
        <x:v>82</x:v>
      </x:c>
      <x:c r="AN702" s="9" t="n">
        <x:v>82</x:v>
      </x:c>
    </x:row>
    <x:row r="703">
      <x:c r="A703" s="9" t="str">
        <x:v>Success</x:v>
      </x:c>
      <x:c r="B703" s="9" t="str">
        <x:v>Referential Disambiguation</x:v>
      </x:c>
      <x:c r="C703" s="10" t="n">
        <x:v>81</x:v>
      </x:c>
      <x:c r="D703" s="9" t="str">
        <x:v>Put the airplane toy furthest from the crushed Coke can in the bowl.</x:v>
      </x:c>
      <x:c r="E703" s="9" t="str">
        <x:v>airplane toy with propellers; airplane toy without propellers; crushed Coke can; green pencil sharpener</x:v>
      </x:c>
      <x:c r="F703" s="9" t="str">
        <x:v>airplane toy without propellers</x:v>
      </x:c>
      <x:c r="G703" s="9"/>
      <x:c r="H703" s="9" t="str">
        <x:v>Concept/compositional transfer</x:v>
      </x:c>
      <x:c r="I703" s="9" t="str">
        <x:v>RD-CT22</x:v>
      </x:c>
      <x:c r="J703" s="9" t="str">
        <x:v>Primary held-out relation × candidate-category composition — Put</x:v>
      </x:c>
      <x:c r="K703" s="9"/>
      <x:c r="L703" s="9" t="str">
        <x:v>571</x:v>
      </x:c>
      <x:c r="M703" s="9" t="str">
        <x:v>Masked source trajectory: the target identity and physical manipulation are trained under a direct-name prompt, while this relation × candidate-category composition is intentionally absent.</x:v>
      </x:c>
      <x:c r="N703" s="9" t="n">
        <x:v>4</x:v>
      </x:c>
      <x:c r="O703" s="9" t="str">
        <x:v>Place the listed objects. Arrange Expected Target as the unique answer to the prompt; keep the bowl empty and save a reference image.</x:v>
      </x:c>
      <x:c r="P703" s="9" t="str">
        <x:v>Both candidates are present. The held-out relation is the only information that identifies the target.</x:v>
      </x:c>
      <x:c r="Q703" s="9"/>
      <x:c r="R703" s="10" t="n">
        <x:v>4</x:v>
      </x:c>
      <x:c r="S703" s="10" t="n">
        <x:v>1</x:v>
      </x:c>
      <x:c r="T703" s="9" t="str">
        <x:v>Empty</x:v>
      </x:c>
      <x:c r="U703" s="9"/>
      <x:c r="V703" s="9"/>
      <x:c r="W703" s="9"/>
      <x:c r="X703" s="10"/>
      <x:c r="Y703" s="10"/>
      <x:c r="Z703" s="9"/>
      <x:c r="AA703" s="9"/>
      <x:c r="AB703" s="9" t="str">
        <x:v>furthest</x:v>
      </x:c>
      <x:c r="AC703" s="9"/>
      <x:c r="AD703" s="9"/>
      <x:c r="AE703" s="9"/>
      <x:c r="AF703" s="9"/>
      <x:c r="AG703" s="9" t="str">
        <x:v>airplane toy</x:v>
      </x:c>
      <x:c r="AH703" s="9"/>
      <x:c r="AI703" s="11"/>
      <x:c r="AJ703" s="9"/>
      <x:c r="AK703" s="9" t="str">
        <x:v>Eval_Referential_Disambiguation.xlsm</x:v>
      </x:c>
      <x:c r="AL703" s="9" t="str">
        <x:v>GR00T vision-only Results</x:v>
      </x:c>
      <x:c r="AM703" s="9" t="n">
        <x:v>83</x:v>
      </x:c>
      <x:c r="AN703" s="9" t="n">
        <x:v>83</x:v>
      </x:c>
    </x:row>
    <x:row r="704">
      <x:c r="A704" s="9" t="str">
        <x:v>Success</x:v>
      </x:c>
      <x:c r="B704" s="9" t="str">
        <x:v>Referential Disambiguation</x:v>
      </x:c>
      <x:c r="C704" s="10" t="n">
        <x:v>82</x:v>
      </x:c>
      <x:c r="D704" s="9" t="str">
        <x:v>Put the crushed soda can closest to the airplane toy with propellers in the bowl.</x:v>
      </x:c>
      <x:c r="E704" s="9" t="str">
        <x:v>crushed Coke can; crushed Pepsi can; airplane toy with propellers; yellow pen</x:v>
      </x:c>
      <x:c r="F704" s="9" t="str">
        <x:v>crushed Pepsi can</x:v>
      </x:c>
      <x:c r="G704" s="9"/>
      <x:c r="H704" s="9" t="str">
        <x:v>Concept/compositional transfer</x:v>
      </x:c>
      <x:c r="I704" s="9" t="str">
        <x:v>RD-CT23</x:v>
      </x:c>
      <x:c r="J704" s="9" t="str">
        <x:v>Primary held-out relation × candidate-category composition — Put</x:v>
      </x:c>
      <x:c r="K704" s="9"/>
      <x:c r="L704" s="9" t="str">
        <x:v>407</x:v>
      </x:c>
      <x:c r="M704" s="9" t="str">
        <x:v>Masked source trajectory: the target identity and physical manipulation are trained under a direct-name prompt, while this relation × candidate-category composition is intentionally absent.</x:v>
      </x:c>
      <x:c r="N704" s="9" t="n">
        <x:v>4</x:v>
      </x:c>
      <x:c r="O704" s="9" t="str">
        <x:v>Place the listed objects. Arrange Expected Target as the unique answer to the prompt; keep the bowl empty and save a reference image.</x:v>
      </x:c>
      <x:c r="P704" s="9" t="str">
        <x:v>Both candidates are present. The held-out relation is the only information that identifies the target.</x:v>
      </x:c>
      <x:c r="Q704" s="9"/>
      <x:c r="R704" s="10" t="n">
        <x:v>4</x:v>
      </x:c>
      <x:c r="S704" s="10" t="n">
        <x:v>1</x:v>
      </x:c>
      <x:c r="T704" s="9" t="str">
        <x:v>Empty</x:v>
      </x:c>
      <x:c r="U704" s="9"/>
      <x:c r="V704" s="9"/>
      <x:c r="W704" s="9"/>
      <x:c r="X704" s="10"/>
      <x:c r="Y704" s="10"/>
      <x:c r="Z704" s="9"/>
      <x:c r="AA704" s="9"/>
      <x:c r="AB704" s="9" t="str">
        <x:v>closest</x:v>
      </x:c>
      <x:c r="AC704" s="9"/>
      <x:c r="AD704" s="9"/>
      <x:c r="AE704" s="9"/>
      <x:c r="AF704" s="9"/>
      <x:c r="AG704" s="9" t="str">
        <x:v>crushed soda can</x:v>
      </x:c>
      <x:c r="AH704" s="9"/>
      <x:c r="AI704" s="11"/>
      <x:c r="AJ704" s="9"/>
      <x:c r="AK704" s="9" t="str">
        <x:v>Eval_Referential_Disambiguation.xlsm</x:v>
      </x:c>
      <x:c r="AL704" s="9" t="str">
        <x:v>GR00T vision-only Results</x:v>
      </x:c>
      <x:c r="AM704" s="9" t="n">
        <x:v>84</x:v>
      </x:c>
      <x:c r="AN704" s="9" t="n">
        <x:v>84</x:v>
      </x:c>
    </x:row>
    <x:row r="705">
      <x:c r="A705" s="9" t="str">
        <x:v>Success</x:v>
      </x:c>
      <x:c r="B705" s="9" t="str">
        <x:v>Referential Disambiguation</x:v>
      </x:c>
      <x:c r="C705" s="10" t="n">
        <x:v>83</x:v>
      </x:c>
      <x:c r="D705" s="9" t="str">
        <x:v>Put the pencil sharpener between the airplane toy with propellers and the yellow pen in the bowl.</x:v>
      </x:c>
      <x:c r="E705" s="9" t="str">
        <x:v>green pencil sharpener; red pencil sharpener; airplane toy with propellers; yellow pen; crushed Pepsi can</x:v>
      </x:c>
      <x:c r="F705" s="9" t="str">
        <x:v>red pencil sharpener</x:v>
      </x:c>
      <x:c r="G705" s="9"/>
      <x:c r="H705" s="9" t="str">
        <x:v>Concept/compositional transfer</x:v>
      </x:c>
      <x:c r="I705" s="9" t="str">
        <x:v>RD-CT24</x:v>
      </x:c>
      <x:c r="J705" s="9" t="str">
        <x:v>Primary held-out relation × candidate-category composition — Put</x:v>
      </x:c>
      <x:c r="K705" s="9"/>
      <x:c r="L705" s="9" t="str">
        <x:v>486</x:v>
      </x:c>
      <x:c r="M705" s="9" t="str">
        <x:v>Masked source trajectory: the target identity and physical manipulation are trained under a direct-name prompt, while this relation × candidate-category composition is intentionally absent.</x:v>
      </x:c>
      <x:c r="N705" s="9" t="n">
        <x:v>4</x:v>
      </x:c>
      <x:c r="O705" s="9" t="str">
        <x:v>Place the listed objects. Arrange Expected Target as the unique answer to the prompt; keep the bowl empty and save a reference image.</x:v>
      </x:c>
      <x:c r="P705" s="9" t="str">
        <x:v>Both candidates are present. The held-out relation is the only information that identifies the target.</x:v>
      </x:c>
      <x:c r="Q705" s="9"/>
      <x:c r="R705" s="10" t="n">
        <x:v>5</x:v>
      </x:c>
      <x:c r="S705" s="10" t="n">
        <x:v>1</x:v>
      </x:c>
      <x:c r="T705" s="9" t="str">
        <x:v>Empty</x:v>
      </x:c>
      <x:c r="U705" s="9"/>
      <x:c r="V705" s="9"/>
      <x:c r="W705" s="9"/>
      <x:c r="X705" s="10"/>
      <x:c r="Y705" s="10"/>
      <x:c r="Z705" s="9"/>
      <x:c r="AA705" s="9"/>
      <x:c r="AB705" s="9" t="str">
        <x:v>between</x:v>
      </x:c>
      <x:c r="AC705" s="9"/>
      <x:c r="AD705" s="9"/>
      <x:c r="AE705" s="9"/>
      <x:c r="AF705" s="9"/>
      <x:c r="AG705" s="9" t="str">
        <x:v>pencil sharpener</x:v>
      </x:c>
      <x:c r="AH705" s="9"/>
      <x:c r="AI705" s="11"/>
      <x:c r="AJ705" s="9"/>
      <x:c r="AK705" s="9" t="str">
        <x:v>Eval_Referential_Disambiguation.xlsm</x:v>
      </x:c>
      <x:c r="AL705" s="9" t="str">
        <x:v>GR00T vision-only Results</x:v>
      </x:c>
      <x:c r="AM705" s="9" t="n">
        <x:v>85</x:v>
      </x:c>
      <x:c r="AN705" s="9" t="n">
        <x:v>85</x:v>
      </x:c>
    </x:row>
    <x:row r="706">
      <x:c r="A706" s="9" t="str">
        <x:v>Failure</x:v>
      </x:c>
      <x:c r="B706" s="9" t="str">
        <x:v>Referential Disambiguation</x:v>
      </x:c>
      <x:c r="C706" s="10" t="n">
        <x:v>84</x:v>
      </x:c>
      <x:c r="D706" s="9" t="str">
        <x:v>Move the airplane toy furthest from the green pencil sharpener into the bowl.</x:v>
      </x:c>
      <x:c r="E706" s="9" t="str">
        <x:v>airplane toy with propellers; airplane toy without propellers; green pencil sharpener</x:v>
      </x:c>
      <x:c r="F706" s="9" t="str">
        <x:v>airplane toy with propellers</x:v>
      </x:c>
      <x:c r="G706" s="9" t="str">
        <x:v>picked closest</x:v>
      </x:c>
      <x:c r="H706" s="9" t="str">
        <x:v>Concept/compositional transfer</x:v>
      </x:c>
      <x:c r="I706" s="9" t="str">
        <x:v>RD-CT25</x:v>
      </x:c>
      <x:c r="J706" s="9" t="str">
        <x:v>Primary held-out relation × candidate-category composition — Move</x:v>
      </x:c>
      <x:c r="K706" s="9"/>
      <x:c r="L706" s="9" t="str">
        <x:v>574</x:v>
      </x:c>
      <x:c r="M706" s="9" t="str">
        <x:v>Masked source trajectory: the target identity and physical manipulation are trained under a direct-name prompt, while this relation × candidate-category composition is intentionally absent.</x:v>
      </x:c>
      <x:c r="N706" s="9" t="n">
        <x:v>4</x:v>
      </x:c>
      <x:c r="O706" s="9" t="str">
        <x:v>Place the listed objects. Arrange Expected Target as the unique answer to the prompt; keep the bowl empty and save a reference image.</x:v>
      </x:c>
      <x:c r="P706" s="9" t="str">
        <x:v>Both candidates are present. The held-out relation is the only information that identifies the target.</x:v>
      </x:c>
      <x:c r="Q706" s="9"/>
      <x:c r="R706" s="10" t="n">
        <x:v>3</x:v>
      </x:c>
      <x:c r="S706" s="10" t="n">
        <x:v>1</x:v>
      </x:c>
      <x:c r="T706" s="9" t="str">
        <x:v>Empty</x:v>
      </x:c>
      <x:c r="U706" s="9"/>
      <x:c r="V706" s="9"/>
      <x:c r="W706" s="9"/>
      <x:c r="X706" s="10"/>
      <x:c r="Y706" s="10"/>
      <x:c r="Z706" s="9"/>
      <x:c r="AA706" s="9"/>
      <x:c r="AB706" s="9" t="str">
        <x:v>furthest</x:v>
      </x:c>
      <x:c r="AC706" s="9"/>
      <x:c r="AD706" s="9"/>
      <x:c r="AE706" s="9"/>
      <x:c r="AF706" s="9"/>
      <x:c r="AG706" s="9" t="str">
        <x:v>airplane toy</x:v>
      </x:c>
      <x:c r="AH706" s="9"/>
      <x:c r="AI706" s="11"/>
      <x:c r="AJ706" s="9"/>
      <x:c r="AK706" s="9" t="str">
        <x:v>Eval_Referential_Disambiguation.xlsm</x:v>
      </x:c>
      <x:c r="AL706" s="9" t="str">
        <x:v>GR00T vision-only Results</x:v>
      </x:c>
      <x:c r="AM706" s="9" t="n">
        <x:v>86</x:v>
      </x:c>
      <x:c r="AN706" s="9" t="n">
        <x:v>86</x:v>
      </x:c>
    </x:row>
    <x:row r="707">
      <x:c r="A707" s="9" t="str">
        <x:v>Success</x:v>
      </x:c>
      <x:c r="B707" s="9" t="str">
        <x:v>Referential Disambiguation</x:v>
      </x:c>
      <x:c r="C707" s="10" t="n">
        <x:v>85</x:v>
      </x:c>
      <x:c r="D707" s="9" t="str">
        <x:v>Move the crushed soda can closest to the green pencil sharpener into the bowl.</x:v>
      </x:c>
      <x:c r="E707" s="9" t="str">
        <x:v>crushed Coke can; crushed Pepsi can; green pencil sharpener</x:v>
      </x:c>
      <x:c r="F707" s="9" t="str">
        <x:v>crushed Coke can</x:v>
      </x:c>
      <x:c r="G707" s="9"/>
      <x:c r="H707" s="9" t="str">
        <x:v>Concept/compositional transfer</x:v>
      </x:c>
      <x:c r="I707" s="9" t="str">
        <x:v>RD-CT26</x:v>
      </x:c>
      <x:c r="J707" s="9" t="str">
        <x:v>Primary held-out relation × candidate-category composition — Move</x:v>
      </x:c>
      <x:c r="K707" s="9"/>
      <x:c r="L707" s="9" t="str">
        <x:v>408</x:v>
      </x:c>
      <x:c r="M707" s="9" t="str">
        <x:v>Masked source trajectory: the target identity and physical manipulation are trained under a direct-name prompt, while this relation × candidate-category composition is intentionally absent.</x:v>
      </x:c>
      <x:c r="N707" s="9" t="n">
        <x:v>4</x:v>
      </x:c>
      <x:c r="O707" s="9" t="str">
        <x:v>Place the listed objects. Arrange Expected Target as the unique answer to the prompt; keep the bowl empty and save a reference image.</x:v>
      </x:c>
      <x:c r="P707" s="9" t="str">
        <x:v>Both candidates are present. The held-out relation is the only information that identifies the target.</x:v>
      </x:c>
      <x:c r="Q707" s="9"/>
      <x:c r="R707" s="10" t="n">
        <x:v>3</x:v>
      </x:c>
      <x:c r="S707" s="10" t="n">
        <x:v>1</x:v>
      </x:c>
      <x:c r="T707" s="9" t="str">
        <x:v>Empty</x:v>
      </x:c>
      <x:c r="U707" s="9"/>
      <x:c r="V707" s="9"/>
      <x:c r="W707" s="9"/>
      <x:c r="X707" s="10"/>
      <x:c r="Y707" s="10"/>
      <x:c r="Z707" s="9"/>
      <x:c r="AA707" s="9"/>
      <x:c r="AB707" s="9" t="str">
        <x:v>closest</x:v>
      </x:c>
      <x:c r="AC707" s="9"/>
      <x:c r="AD707" s="9"/>
      <x:c r="AE707" s="9"/>
      <x:c r="AF707" s="9"/>
      <x:c r="AG707" s="9" t="str">
        <x:v>crushed soda can</x:v>
      </x:c>
      <x:c r="AH707" s="9"/>
      <x:c r="AI707" s="11"/>
      <x:c r="AJ707" s="9"/>
      <x:c r="AK707" s="9" t="str">
        <x:v>Eval_Referential_Disambiguation.xlsm</x:v>
      </x:c>
      <x:c r="AL707" s="9" t="str">
        <x:v>GR00T vision-only Results</x:v>
      </x:c>
      <x:c r="AM707" s="9" t="n">
        <x:v>87</x:v>
      </x:c>
      <x:c r="AN707" s="9" t="n">
        <x:v>87</x:v>
      </x:c>
    </x:row>
    <x:row r="708">
      <x:c r="A708" s="9" t="str">
        <x:v>Success</x:v>
      </x:c>
      <x:c r="B708" s="9" t="str">
        <x:v>Referential Disambiguation</x:v>
      </x:c>
      <x:c r="C708" s="10" t="n">
        <x:v>86</x:v>
      </x:c>
      <x:c r="D708" s="9" t="str">
        <x:v>Move the pencil sharpener between the crushed Pepsi can and the airplane toy without propellers into the bowl.</x:v>
      </x:c>
      <x:c r="E708" s="9" t="str">
        <x:v>green pencil sharpener; red pencil sharpener; crushed Pepsi can; airplane toy without propellers</x:v>
      </x:c>
      <x:c r="F708" s="9" t="str">
        <x:v>green pencil sharpener</x:v>
      </x:c>
      <x:c r="G708" s="9" t="str">
        <x:v>overgrip</x:v>
      </x:c>
      <x:c r="H708" s="9" t="str">
        <x:v>Concept/compositional transfer</x:v>
      </x:c>
      <x:c r="I708" s="9" t="str">
        <x:v>RD-CT27</x:v>
      </x:c>
      <x:c r="J708" s="9" t="str">
        <x:v>Primary held-out relation × candidate-category composition — Move</x:v>
      </x:c>
      <x:c r="K708" s="9"/>
      <x:c r="L708" s="9" t="str">
        <x:v>489</x:v>
      </x:c>
      <x:c r="M708" s="9" t="str">
        <x:v>Masked source trajectory: the target identity and physical manipulation are trained under a direct-name prompt, while this relation × candidate-category composition is intentionally absent.</x:v>
      </x:c>
      <x:c r="N708" s="9" t="n">
        <x:v>4</x:v>
      </x:c>
      <x:c r="O708" s="9" t="str">
        <x:v>Place the listed objects. Arrange Expected Target as the unique answer to the prompt; keep the bowl empty and save a reference image.</x:v>
      </x:c>
      <x:c r="P708" s="9" t="str">
        <x:v>Both candidates are present. The held-out relation is the only information that identifies the target.</x:v>
      </x:c>
      <x:c r="Q708" s="9"/>
      <x:c r="R708" s="10" t="n">
        <x:v>4</x:v>
      </x:c>
      <x:c r="S708" s="10" t="n">
        <x:v>1</x:v>
      </x:c>
      <x:c r="T708" s="9" t="str">
        <x:v>Empty</x:v>
      </x:c>
      <x:c r="U708" s="9"/>
      <x:c r="V708" s="9"/>
      <x:c r="W708" s="9"/>
      <x:c r="X708" s="10"/>
      <x:c r="Y708" s="10"/>
      <x:c r="Z708" s="9"/>
      <x:c r="AA708" s="9"/>
      <x:c r="AB708" s="9" t="str">
        <x:v>between</x:v>
      </x:c>
      <x:c r="AC708" s="9"/>
      <x:c r="AD708" s="9"/>
      <x:c r="AE708" s="9"/>
      <x:c r="AF708" s="9"/>
      <x:c r="AG708" s="9" t="str">
        <x:v>pencil sharpener</x:v>
      </x:c>
      <x:c r="AH708" s="9"/>
      <x:c r="AI708" s="11"/>
      <x:c r="AJ708" s="9"/>
      <x:c r="AK708" s="9" t="str">
        <x:v>Eval_Referential_Disambiguation.xlsm</x:v>
      </x:c>
      <x:c r="AL708" s="9" t="str">
        <x:v>GR00T vision-only Results</x:v>
      </x:c>
      <x:c r="AM708" s="9" t="n">
        <x:v>88</x:v>
      </x:c>
      <x:c r="AN708" s="9" t="n">
        <x:v>88</x:v>
      </x:c>
    </x:row>
    <x:row r="709">
      <x:c r="A709" s="9" t="str">
        <x:v>Success</x:v>
      </x:c>
      <x:c r="B709" s="9" t="str">
        <x:v>Referential Disambiguation</x:v>
      </x:c>
      <x:c r="C709" s="10" t="n">
        <x:v>87</x:v>
      </x:c>
      <x:c r="D709" s="9" t="str">
        <x:v>Pick up the airplane toy furthest from the yellow pen and place it in the bowl.</x:v>
      </x:c>
      <x:c r="E709" s="9" t="str">
        <x:v>airplane toy with propellers; airplane toy without propellers; yellow pen; green pencil sharpener</x:v>
      </x:c>
      <x:c r="F709" s="9" t="str">
        <x:v>airplane toy with propellers</x:v>
      </x:c>
      <x:c r="G709" s="9"/>
      <x:c r="H709" s="9" t="str">
        <x:v>Concept/compositional transfer</x:v>
      </x:c>
      <x:c r="I709" s="9" t="str">
        <x:v>RD-CT28</x:v>
      </x:c>
      <x:c r="J709" s="9" t="str">
        <x:v>Primary held-out relation × candidate-category composition — Pick up</x:v>
      </x:c>
      <x:c r="K709" s="9"/>
      <x:c r="L709" s="9" t="str">
        <x:v>576</x:v>
      </x:c>
      <x:c r="M709" s="9" t="str">
        <x:v>Masked source trajectory: the target identity and physical manipulation are trained under a direct-name prompt, while this relation × candidate-category composition is intentionally absent.</x:v>
      </x:c>
      <x:c r="N709" s="9" t="n">
        <x:v>4</x:v>
      </x:c>
      <x:c r="O709" s="9" t="str">
        <x:v>Place the listed objects. Arrange Expected Target as the unique answer to the prompt; keep the bowl empty and save a reference image.</x:v>
      </x:c>
      <x:c r="P709" s="9" t="str">
        <x:v>Both candidates are present. The held-out relation is the only information that identifies the target.</x:v>
      </x:c>
      <x:c r="Q709" s="9"/>
      <x:c r="R709" s="10" t="n">
        <x:v>4</x:v>
      </x:c>
      <x:c r="S709" s="10" t="n">
        <x:v>1</x:v>
      </x:c>
      <x:c r="T709" s="9" t="str">
        <x:v>Empty</x:v>
      </x:c>
      <x:c r="U709" s="9"/>
      <x:c r="V709" s="9"/>
      <x:c r="W709" s="9"/>
      <x:c r="X709" s="10"/>
      <x:c r="Y709" s="10"/>
      <x:c r="Z709" s="9"/>
      <x:c r="AA709" s="9"/>
      <x:c r="AB709" s="9" t="str">
        <x:v>furthest</x:v>
      </x:c>
      <x:c r="AC709" s="9"/>
      <x:c r="AD709" s="9"/>
      <x:c r="AE709" s="9"/>
      <x:c r="AF709" s="9"/>
      <x:c r="AG709" s="9" t="str">
        <x:v>airplane toy</x:v>
      </x:c>
      <x:c r="AH709" s="9"/>
      <x:c r="AI709" s="11"/>
      <x:c r="AJ709" s="9"/>
      <x:c r="AK709" s="9" t="str">
        <x:v>Eval_Referential_Disambiguation.xlsm</x:v>
      </x:c>
      <x:c r="AL709" s="9" t="str">
        <x:v>GR00T vision-only Results</x:v>
      </x:c>
      <x:c r="AM709" s="9" t="n">
        <x:v>89</x:v>
      </x:c>
      <x:c r="AN709" s="9" t="n">
        <x:v>89</x:v>
      </x:c>
    </x:row>
    <x:row r="710">
      <x:c r="A710" s="9" t="str">
        <x:v>Success</x:v>
      </x:c>
      <x:c r="B710" s="9" t="str">
        <x:v>Referential Disambiguation</x:v>
      </x:c>
      <x:c r="C710" s="10" t="n">
        <x:v>88</x:v>
      </x:c>
      <x:c r="D710" s="9" t="str">
        <x:v>Pick up the crushed soda can closest to the yellow pen and place it in the bowl.</x:v>
      </x:c>
      <x:c r="E710" s="9" t="str">
        <x:v>crushed Coke can; crushed Pepsi can; yellow pen; airplane toy without propellers</x:v>
      </x:c>
      <x:c r="F710" s="9" t="str">
        <x:v>crushed Coke can</x:v>
      </x:c>
      <x:c r="G710" s="9"/>
      <x:c r="H710" s="9" t="str">
        <x:v>Concept/compositional transfer</x:v>
      </x:c>
      <x:c r="I710" s="9" t="str">
        <x:v>RD-CT29</x:v>
      </x:c>
      <x:c r="J710" s="9" t="str">
        <x:v>Primary held-out relation × candidate-category composition — Pick up</x:v>
      </x:c>
      <x:c r="K710" s="9"/>
      <x:c r="L710" s="9" t="str">
        <x:v>410</x:v>
      </x:c>
      <x:c r="M710" s="9" t="str">
        <x:v>Masked source trajectory: the target identity and physical manipulation are trained under a direct-name prompt, while this relation × candidate-category composition is intentionally absent.</x:v>
      </x:c>
      <x:c r="N710" s="9" t="n">
        <x:v>4</x:v>
      </x:c>
      <x:c r="O710" s="9" t="str">
        <x:v>Place the listed objects. Arrange Expected Target as the unique answer to the prompt; keep the bowl empty and save a reference image.</x:v>
      </x:c>
      <x:c r="P710" s="9" t="str">
        <x:v>Both candidates are present. The held-out relation is the only information that identifies the target.</x:v>
      </x:c>
      <x:c r="Q710" s="9"/>
      <x:c r="R710" s="10" t="n">
        <x:v>4</x:v>
      </x:c>
      <x:c r="S710" s="10" t="n">
        <x:v>1</x:v>
      </x:c>
      <x:c r="T710" s="9" t="str">
        <x:v>Empty</x:v>
      </x:c>
      <x:c r="U710" s="9"/>
      <x:c r="V710" s="9"/>
      <x:c r="W710" s="9"/>
      <x:c r="X710" s="10"/>
      <x:c r="Y710" s="10"/>
      <x:c r="Z710" s="9"/>
      <x:c r="AA710" s="9"/>
      <x:c r="AB710" s="9" t="str">
        <x:v>closest</x:v>
      </x:c>
      <x:c r="AC710" s="9"/>
      <x:c r="AD710" s="9"/>
      <x:c r="AE710" s="9"/>
      <x:c r="AF710" s="9"/>
      <x:c r="AG710" s="9" t="str">
        <x:v>crushed soda can</x:v>
      </x:c>
      <x:c r="AH710" s="9"/>
      <x:c r="AI710" s="11"/>
      <x:c r="AJ710" s="9"/>
      <x:c r="AK710" s="9" t="str">
        <x:v>Eval_Referential_Disambiguation.xlsm</x:v>
      </x:c>
      <x:c r="AL710" s="9" t="str">
        <x:v>GR00T vision-only Results</x:v>
      </x:c>
      <x:c r="AM710" s="9" t="n">
        <x:v>90</x:v>
      </x:c>
      <x:c r="AN710" s="9" t="n">
        <x:v>90</x:v>
      </x:c>
    </x:row>
    <x:row r="711">
      <x:c r="A711" s="9" t="str">
        <x:v>Failure</x:v>
      </x:c>
      <x:c r="B711" s="9" t="str">
        <x:v>Referential Disambiguation</x:v>
      </x:c>
      <x:c r="C711" s="10" t="n">
        <x:v>89</x:v>
      </x:c>
      <x:c r="D711" s="9" t="str">
        <x:v>Pick up the pencil sharpener between the green pen and the crushed Coke can and place it in the bowl.</x:v>
      </x:c>
      <x:c r="E711" s="9" t="str">
        <x:v>green pencil sharpener; red pencil sharpener; green pen; crushed Coke can; airplane toy without propellers</x:v>
      </x:c>
      <x:c r="F711" s="9" t="str">
        <x:v>green pencil sharpener</x:v>
      </x:c>
      <x:c r="G711" s="9" t="str">
        <x:v>succeeded reasoning; tried to get the green pencil sharpener; couldn't and then grabbed the green pen</x:v>
      </x:c>
      <x:c r="H711" s="9" t="str">
        <x:v>Concept/compositional transfer</x:v>
      </x:c>
      <x:c r="I711" s="9" t="str">
        <x:v>RD-CT30</x:v>
      </x:c>
      <x:c r="J711" s="9" t="str">
        <x:v>Primary held-out relation × candidate-category composition — Pick up</x:v>
      </x:c>
      <x:c r="K711" s="9"/>
      <x:c r="L711" s="9" t="str">
        <x:v>490</x:v>
      </x:c>
      <x:c r="M711" s="9" t="str">
        <x:v>Masked source trajectory: the target identity and physical manipulation are trained under a direct-name prompt, while this relation × candidate-category composition is intentionally absent.</x:v>
      </x:c>
      <x:c r="N711" s="9" t="n">
        <x:v>4</x:v>
      </x:c>
      <x:c r="O711" s="9" t="str">
        <x:v>Place the listed objects. Arrange Expected Target as the unique answer to the prompt; keep the bowl empty and save a reference image.</x:v>
      </x:c>
      <x:c r="P711" s="9" t="str">
        <x:v>Both candidates are present. The held-out relation is the only information that identifies the target.</x:v>
      </x:c>
      <x:c r="Q711" s="9"/>
      <x:c r="R711" s="10" t="n">
        <x:v>5</x:v>
      </x:c>
      <x:c r="S711" s="10" t="n">
        <x:v>1</x:v>
      </x:c>
      <x:c r="T711" s="9" t="str">
        <x:v>Empty</x:v>
      </x:c>
      <x:c r="U711" s="9"/>
      <x:c r="V711" s="9"/>
      <x:c r="W711" s="9"/>
      <x:c r="X711" s="10"/>
      <x:c r="Y711" s="10"/>
      <x:c r="Z711" s="9"/>
      <x:c r="AA711" s="9"/>
      <x:c r="AB711" s="9" t="str">
        <x:v>between</x:v>
      </x:c>
      <x:c r="AC711" s="9"/>
      <x:c r="AD711" s="9"/>
      <x:c r="AE711" s="9"/>
      <x:c r="AF711" s="9"/>
      <x:c r="AG711" s="9" t="str">
        <x:v>pencil sharpener</x:v>
      </x:c>
      <x:c r="AH711" s="9"/>
      <x:c r="AI711" s="11"/>
      <x:c r="AJ711" s="9"/>
      <x:c r="AK711" s="9" t="str">
        <x:v>Eval_Referential_Disambiguation.xlsm</x:v>
      </x:c>
      <x:c r="AL711" s="9" t="str">
        <x:v>GR00T vision-only Results</x:v>
      </x:c>
      <x:c r="AM711" s="9" t="n">
        <x:v>91</x:v>
      </x:c>
      <x:c r="AN711" s="9" t="n">
        <x:v>91</x:v>
      </x:c>
    </x:row>
    <x:row r="712">
      <x:c r="A712" s="9" t="str">
        <x:v>Failure</x:v>
      </x:c>
      <x:c r="B712" s="9" t="str">
        <x:v>Referential Disambiguation</x:v>
      </x:c>
      <x:c r="C712" s="10" t="n">
        <x:v>90</x:v>
      </x:c>
      <x:c r="D712" s="9" t="str">
        <x:v>Put the airplane toy furthest from the crushed Pepsi can in the bowl.</x:v>
      </x:c>
      <x:c r="E712" s="9" t="str">
        <x:v>airplane toy with propellers; airplane toy without propellers; crushed Pepsi can</x:v>
      </x:c>
      <x:c r="F712" s="9" t="str">
        <x:v>airplane toy without propellers</x:v>
      </x:c>
      <x:c r="G712" s="9" t="str">
        <x:v>succeeded reasoning; picked the furthest one, then  dropped it. Tried picking it up again, but couldn't </x:v>
      </x:c>
      <x:c r="H712" s="9" t="str">
        <x:v>Concept/compositional transfer</x:v>
      </x:c>
      <x:c r="I712" s="9" t="str">
        <x:v>RD-CT31</x:v>
      </x:c>
      <x:c r="J712" s="9" t="str">
        <x:v>Primary held-out relation × candidate-category composition — Put</x:v>
      </x:c>
      <x:c r="K712" s="9"/>
      <x:c r="L712" s="9" t="str">
        <x:v>573</x:v>
      </x:c>
      <x:c r="M712" s="9" t="str">
        <x:v>Masked source trajectory: the target identity and physical manipulation are trained under a direct-name prompt, while this relation × candidate-category composition is intentionally absent.</x:v>
      </x:c>
      <x:c r="N712" s="9" t="n">
        <x:v>4</x:v>
      </x:c>
      <x:c r="O712" s="9" t="str">
        <x:v>Place the listed objects. Arrange Expected Target as the unique answer to the prompt; keep the bowl empty and save a reference image.</x:v>
      </x:c>
      <x:c r="P712" s="9" t="str">
        <x:v>Both candidates are present. The held-out relation is the only information that identifies the target.</x:v>
      </x:c>
      <x:c r="Q712" s="9"/>
      <x:c r="R712" s="10" t="n">
        <x:v>3</x:v>
      </x:c>
      <x:c r="S712" s="10" t="n">
        <x:v>1</x:v>
      </x:c>
      <x:c r="T712" s="9" t="str">
        <x:v>Empty</x:v>
      </x:c>
      <x:c r="U712" s="9"/>
      <x:c r="V712" s="9"/>
      <x:c r="W712" s="9"/>
      <x:c r="X712" s="10"/>
      <x:c r="Y712" s="10"/>
      <x:c r="Z712" s="9"/>
      <x:c r="AA712" s="9"/>
      <x:c r="AB712" s="9" t="str">
        <x:v>furthest</x:v>
      </x:c>
      <x:c r="AC712" s="9"/>
      <x:c r="AD712" s="9"/>
      <x:c r="AE712" s="9"/>
      <x:c r="AF712" s="9"/>
      <x:c r="AG712" s="9" t="str">
        <x:v>airplane toy</x:v>
      </x:c>
      <x:c r="AH712" s="9"/>
      <x:c r="AI712" s="11"/>
      <x:c r="AJ712" s="9"/>
      <x:c r="AK712" s="9" t="str">
        <x:v>Eval_Referential_Disambiguation.xlsm</x:v>
      </x:c>
      <x:c r="AL712" s="9" t="str">
        <x:v>GR00T vision-only Results</x:v>
      </x:c>
      <x:c r="AM712" s="9" t="n">
        <x:v>92</x:v>
      </x:c>
      <x:c r="AN712" s="9" t="n">
        <x:v>92</x:v>
      </x:c>
    </x:row>
    <x:row r="713">
      <x:c r="A713" s="9" t="str">
        <x:v>Failure</x:v>
      </x:c>
      <x:c r="B713" s="9" t="str">
        <x:v>Referential Disambiguation</x:v>
      </x:c>
      <x:c r="C713" s="10" t="n">
        <x:v>91</x:v>
      </x:c>
      <x:c r="D713" s="9" t="str">
        <x:v>Put the crushed soda can closest to the airplane toy without propellers in the bowl.</x:v>
      </x:c>
      <x:c r="E713" s="9" t="str">
        <x:v>crushed Coke can; crushed Pepsi can; airplane toy without propellers</x:v>
      </x:c>
      <x:c r="F713" s="9" t="str">
        <x:v>crushed Pepsi can</x:v>
      </x:c>
      <x:c r="G713" s="9" t="str">
        <x:v>picked the furthest</x:v>
      </x:c>
      <x:c r="H713" s="9" t="str">
        <x:v>Concept/compositional transfer</x:v>
      </x:c>
      <x:c r="I713" s="9" t="str">
        <x:v>RD-CT32</x:v>
      </x:c>
      <x:c r="J713" s="9" t="str">
        <x:v>Primary held-out relation × candidate-category composition — Put</x:v>
      </x:c>
      <x:c r="K713" s="9"/>
      <x:c r="L713" s="9" t="str">
        <x:v>409</x:v>
      </x:c>
      <x:c r="M713" s="9" t="str">
        <x:v>Masked source trajectory: the target identity and physical manipulation are trained under a direct-name prompt, while this relation × candidate-category composition is intentionally absent.</x:v>
      </x:c>
      <x:c r="N713" s="9" t="n">
        <x:v>4</x:v>
      </x:c>
      <x:c r="O713" s="9" t="str">
        <x:v>Place the listed objects. Arrange Expected Target as the unique answer to the prompt; keep the bowl empty and save a reference image.</x:v>
      </x:c>
      <x:c r="P713" s="9" t="str">
        <x:v>Both candidates are present. The held-out relation is the only information that identifies the target.</x:v>
      </x:c>
      <x:c r="Q713" s="9"/>
      <x:c r="R713" s="10" t="n">
        <x:v>3</x:v>
      </x:c>
      <x:c r="S713" s="10" t="n">
        <x:v>1</x:v>
      </x:c>
      <x:c r="T713" s="9" t="str">
        <x:v>Empty</x:v>
      </x:c>
      <x:c r="U713" s="9"/>
      <x:c r="V713" s="9"/>
      <x:c r="W713" s="9"/>
      <x:c r="X713" s="10"/>
      <x:c r="Y713" s="10"/>
      <x:c r="Z713" s="9"/>
      <x:c r="AA713" s="9"/>
      <x:c r="AB713" s="9" t="str">
        <x:v>closest</x:v>
      </x:c>
      <x:c r="AC713" s="9"/>
      <x:c r="AD713" s="9"/>
      <x:c r="AE713" s="9"/>
      <x:c r="AF713" s="9"/>
      <x:c r="AG713" s="9" t="str">
        <x:v>crushed soda can</x:v>
      </x:c>
      <x:c r="AH713" s="9"/>
      <x:c r="AI713" s="11"/>
      <x:c r="AJ713" s="9"/>
      <x:c r="AK713" s="9" t="str">
        <x:v>Eval_Referential_Disambiguation.xlsm</x:v>
      </x:c>
      <x:c r="AL713" s="9" t="str">
        <x:v>GR00T vision-only Results</x:v>
      </x:c>
      <x:c r="AM713" s="9" t="n">
        <x:v>93</x:v>
      </x:c>
      <x:c r="AN713" s="9" t="n">
        <x:v>93</x:v>
      </x:c>
    </x:row>
    <x:row r="714">
      <x:c r="A714" s="9" t="str">
        <x:v>Success</x:v>
      </x:c>
      <x:c r="B714" s="9" t="str">
        <x:v>Referential Disambiguation</x:v>
      </x:c>
      <x:c r="C714" s="10" t="n">
        <x:v>92</x:v>
      </x:c>
      <x:c r="D714" s="9" t="str">
        <x:v>Put the pencil sharpener between the airplane toy with propellers and the yellow pen in the bowl.</x:v>
      </x:c>
      <x:c r="E714" s="9" t="str">
        <x:v>green pencil sharpener; red pencil sharpener; airplane toy with propellers; yellow pen</x:v>
      </x:c>
      <x:c r="F714" s="9" t="str">
        <x:v>red pencil sharpener</x:v>
      </x:c>
      <x:c r="G714" s="9"/>
      <x:c r="H714" s="9" t="str">
        <x:v>Concept/compositional transfer</x:v>
      </x:c>
      <x:c r="I714" s="9" t="str">
        <x:v>RD-CT33</x:v>
      </x:c>
      <x:c r="J714" s="9" t="str">
        <x:v>Primary held-out relation × candidate-category composition — Put</x:v>
      </x:c>
      <x:c r="K714" s="9"/>
      <x:c r="L714" s="9" t="str">
        <x:v>488</x:v>
      </x:c>
      <x:c r="M714" s="9" t="str">
        <x:v>Masked source trajectory: the target identity and physical manipulation are trained under a direct-name prompt, while this relation × candidate-category composition is intentionally absent.</x:v>
      </x:c>
      <x:c r="N714" s="9" t="n">
        <x:v>4</x:v>
      </x:c>
      <x:c r="O714" s="9" t="str">
        <x:v>Place the listed objects. Arrange Expected Target as the unique answer to the prompt; keep the bowl empty and save a reference image.</x:v>
      </x:c>
      <x:c r="P714" s="9" t="str">
        <x:v>Both candidates are present. The held-out relation is the only information that identifies the target.</x:v>
      </x:c>
      <x:c r="Q714" s="9"/>
      <x:c r="R714" s="10" t="n">
        <x:v>4</x:v>
      </x:c>
      <x:c r="S714" s="10" t="n">
        <x:v>1</x:v>
      </x:c>
      <x:c r="T714" s="9" t="str">
        <x:v>Empty</x:v>
      </x:c>
      <x:c r="U714" s="9"/>
      <x:c r="V714" s="9"/>
      <x:c r="W714" s="9"/>
      <x:c r="X714" s="10"/>
      <x:c r="Y714" s="10"/>
      <x:c r="Z714" s="9"/>
      <x:c r="AA714" s="9"/>
      <x:c r="AB714" s="9" t="str">
        <x:v>between</x:v>
      </x:c>
      <x:c r="AC714" s="9"/>
      <x:c r="AD714" s="9"/>
      <x:c r="AE714" s="9"/>
      <x:c r="AF714" s="9"/>
      <x:c r="AG714" s="9" t="str">
        <x:v>pencil sharpener</x:v>
      </x:c>
      <x:c r="AH714" s="9"/>
      <x:c r="AI714" s="11"/>
      <x:c r="AJ714" s="9"/>
      <x:c r="AK714" s="9" t="str">
        <x:v>Eval_Referential_Disambiguation.xlsm</x:v>
      </x:c>
      <x:c r="AL714" s="9" t="str">
        <x:v>GR00T vision-only Results</x:v>
      </x:c>
      <x:c r="AM714" s="9" t="n">
        <x:v>94</x:v>
      </x:c>
      <x:c r="AN714" s="9" t="n">
        <x:v>94</x:v>
      </x:c>
    </x:row>
    <x:row r="715">
      <x:c r="A715" s="9" t="str">
        <x:v>Failure</x:v>
      </x:c>
      <x:c r="B715" s="9" t="str">
        <x:v>Referential Disambiguation</x:v>
      </x:c>
      <x:c r="C715" s="10" t="n">
        <x:v>93</x:v>
      </x:c>
      <x:c r="D715" s="9" t="str">
        <x:v>Move the airplane toy furthest from the red pencil sharpener into the bowl.</x:v>
      </x:c>
      <x:c r="E715" s="9" t="str">
        <x:v>airplane toy with propellers; airplane toy without propellers; red pencil sharpener; green pen</x:v>
      </x:c>
      <x:c r="F715" s="9" t="str">
        <x:v>airplane toy without propellers</x:v>
      </x:c>
      <x:c r="G715" s="9" t="str">
        <x:v>picked the closest one</x:v>
      </x:c>
      <x:c r="H715" s="9" t="str">
        <x:v>Concept/compositional transfer</x:v>
      </x:c>
      <x:c r="I715" s="9" t="str">
        <x:v>RD-CT34</x:v>
      </x:c>
      <x:c r="J715" s="9" t="str">
        <x:v>Primary held-out relation × candidate-category composition — Move</x:v>
      </x:c>
      <x:c r="K715" s="9"/>
      <x:c r="L715" s="9" t="str">
        <x:v>575</x:v>
      </x:c>
      <x:c r="M715" s="9" t="str">
        <x:v>Masked source trajectory: the target identity and physical manipulation are trained under a direct-name prompt, while this relation × candidate-category composition is intentionally absent.</x:v>
      </x:c>
      <x:c r="N715" s="9" t="n">
        <x:v>4</x:v>
      </x:c>
      <x:c r="O715" s="9" t="str">
        <x:v>Place the listed objects. Arrange Expected Target as the unique answer to the prompt; keep the bowl empty and save a reference image.</x:v>
      </x:c>
      <x:c r="P715" s="9" t="str">
        <x:v>Both candidates are present. The held-out relation is the only information that identifies the target.</x:v>
      </x:c>
      <x:c r="Q715" s="9"/>
      <x:c r="R715" s="10" t="n">
        <x:v>4</x:v>
      </x:c>
      <x:c r="S715" s="10" t="n">
        <x:v>1</x:v>
      </x:c>
      <x:c r="T715" s="9" t="str">
        <x:v>Empty</x:v>
      </x:c>
      <x:c r="U715" s="9"/>
      <x:c r="V715" s="9"/>
      <x:c r="W715" s="9"/>
      <x:c r="X715" s="10"/>
      <x:c r="Y715" s="10"/>
      <x:c r="Z715" s="9"/>
      <x:c r="AA715" s="9"/>
      <x:c r="AB715" s="9" t="str">
        <x:v>furthest</x:v>
      </x:c>
      <x:c r="AC715" s="9"/>
      <x:c r="AD715" s="9"/>
      <x:c r="AE715" s="9"/>
      <x:c r="AF715" s="9"/>
      <x:c r="AG715" s="9" t="str">
        <x:v>airplane toy</x:v>
      </x:c>
      <x:c r="AH715" s="9"/>
      <x:c r="AI715" s="11"/>
      <x:c r="AJ715" s="9"/>
      <x:c r="AK715" s="9" t="str">
        <x:v>Eval_Referential_Disambiguation.xlsm</x:v>
      </x:c>
      <x:c r="AL715" s="9" t="str">
        <x:v>GR00T vision-only Results</x:v>
      </x:c>
      <x:c r="AM715" s="9" t="n">
        <x:v>95</x:v>
      </x:c>
      <x:c r="AN715" s="9" t="n">
        <x:v>95</x:v>
      </x:c>
    </x:row>
    <x:row r="716">
      <x:c r="A716" s="9" t="str">
        <x:v>Success</x:v>
      </x:c>
      <x:c r="B716" s="9" t="str">
        <x:v>Referential Disambiguation</x:v>
      </x:c>
      <x:c r="C716" s="10" t="n">
        <x:v>94</x:v>
      </x:c>
      <x:c r="D716" s="9" t="str">
        <x:v>Move the crushed soda can closest to the red pencil sharpener into the bowl.</x:v>
      </x:c>
      <x:c r="E716" s="9" t="str">
        <x:v>crushed Coke can; crushed Pepsi can; red pencil sharpener; green pencil sharpener</x:v>
      </x:c>
      <x:c r="F716" s="9" t="str">
        <x:v>crushed Pepsi can</x:v>
      </x:c>
      <x:c r="G716" s="9"/>
      <x:c r="H716" s="9" t="str">
        <x:v>Concept/compositional transfer</x:v>
      </x:c>
      <x:c r="I716" s="9" t="str">
        <x:v>RD-CT35</x:v>
      </x:c>
      <x:c r="J716" s="9" t="str">
        <x:v>Primary held-out relation × candidate-category composition — Move</x:v>
      </x:c>
      <x:c r="K716" s="9"/>
      <x:c r="L716" s="9" t="str">
        <x:v>411</x:v>
      </x:c>
      <x:c r="M716" s="9" t="str">
        <x:v>Masked source trajectory: the target identity and physical manipulation are trained under a direct-name prompt, while this relation × candidate-category composition is intentionally absent.</x:v>
      </x:c>
      <x:c r="N716" s="9" t="n">
        <x:v>4</x:v>
      </x:c>
      <x:c r="O716" s="9" t="str">
        <x:v>Place the listed objects. Arrange Expected Target as the unique answer to the prompt; keep the bowl empty and save a reference image.</x:v>
      </x:c>
      <x:c r="P716" s="9" t="str">
        <x:v>Both candidates are present. The held-out relation is the only information that identifies the target.</x:v>
      </x:c>
      <x:c r="Q716" s="9"/>
      <x:c r="R716" s="10" t="n">
        <x:v>4</x:v>
      </x:c>
      <x:c r="S716" s="10" t="n">
        <x:v>1</x:v>
      </x:c>
      <x:c r="T716" s="9" t="str">
        <x:v>Empty</x:v>
      </x:c>
      <x:c r="U716" s="9"/>
      <x:c r="V716" s="9"/>
      <x:c r="W716" s="9"/>
      <x:c r="X716" s="10"/>
      <x:c r="Y716" s="10"/>
      <x:c r="Z716" s="9"/>
      <x:c r="AA716" s="9"/>
      <x:c r="AB716" s="9" t="str">
        <x:v>closest</x:v>
      </x:c>
      <x:c r="AC716" s="9"/>
      <x:c r="AD716" s="9"/>
      <x:c r="AE716" s="9"/>
      <x:c r="AF716" s="9"/>
      <x:c r="AG716" s="9" t="str">
        <x:v>crushed soda can</x:v>
      </x:c>
      <x:c r="AH716" s="9"/>
      <x:c r="AI716" s="11"/>
      <x:c r="AJ716" s="9"/>
      <x:c r="AK716" s="9" t="str">
        <x:v>Eval_Referential_Disambiguation.xlsm</x:v>
      </x:c>
      <x:c r="AL716" s="9" t="str">
        <x:v>GR00T vision-only Results</x:v>
      </x:c>
      <x:c r="AM716" s="9" t="n">
        <x:v>96</x:v>
      </x:c>
      <x:c r="AN716" s="9" t="n">
        <x:v>96</x:v>
      </x:c>
    </x:row>
    <x:row r="717">
      <x:c r="A717" s="9" t="str">
        <x:v>Failure</x:v>
      </x:c>
      <x:c r="B717" s="9" t="str">
        <x:v>Referential Disambiguation</x:v>
      </x:c>
      <x:c r="C717" s="10" t="n">
        <x:v>95</x:v>
      </x:c>
      <x:c r="D717" s="9" t="str">
        <x:v>Move the pencil sharpener between the crushed Pepsi can and the airplane toy without propellers into the bowl.</x:v>
      </x:c>
      <x:c r="E717" s="9" t="str">
        <x:v>green pencil sharpener; red pencil sharpener; crushed Pepsi can; airplane toy without propellers; green pen</x:v>
      </x:c>
      <x:c r="F717" s="9" t="str">
        <x:v>red pencil sharpener</x:v>
      </x:c>
      <x:c r="G717" s="9" t="str">
        <x:v>picked airplane toy without propellors</x:v>
      </x:c>
      <x:c r="H717" s="9" t="str">
        <x:v>Concept/compositional transfer</x:v>
      </x:c>
      <x:c r="I717" s="9" t="str">
        <x:v>RD-CT36</x:v>
      </x:c>
      <x:c r="J717" s="9" t="str">
        <x:v>Primary held-out relation × candidate-category composition — Move</x:v>
      </x:c>
      <x:c r="K717" s="9"/>
      <x:c r="L717" s="9" t="str">
        <x:v>491</x:v>
      </x:c>
      <x:c r="M717" s="9" t="str">
        <x:v>Masked source trajectory: the target identity and physical manipulation are trained under a direct-name prompt, while this relation × candidate-category composition is intentionally absent.</x:v>
      </x:c>
      <x:c r="N717" s="9" t="n">
        <x:v>4</x:v>
      </x:c>
      <x:c r="O717" s="9" t="str">
        <x:v>Place the listed objects. Arrange Expected Target as the unique answer to the prompt; keep the bowl empty and save a reference image.</x:v>
      </x:c>
      <x:c r="P717" s="9" t="str">
        <x:v>Both candidates are present. The held-out relation is the only information that identifies the target.</x:v>
      </x:c>
      <x:c r="Q717" s="9"/>
      <x:c r="R717" s="10" t="n">
        <x:v>5</x:v>
      </x:c>
      <x:c r="S717" s="10" t="n">
        <x:v>1</x:v>
      </x:c>
      <x:c r="T717" s="9" t="str">
        <x:v>Empty</x:v>
      </x:c>
      <x:c r="U717" s="9"/>
      <x:c r="V717" s="9"/>
      <x:c r="W717" s="9"/>
      <x:c r="X717" s="10"/>
      <x:c r="Y717" s="10"/>
      <x:c r="Z717" s="9"/>
      <x:c r="AA717" s="9"/>
      <x:c r="AB717" s="9" t="str">
        <x:v>between</x:v>
      </x:c>
      <x:c r="AC717" s="9"/>
      <x:c r="AD717" s="9"/>
      <x:c r="AE717" s="9"/>
      <x:c r="AF717" s="9"/>
      <x:c r="AG717" s="9" t="str">
        <x:v>pencil sharpener</x:v>
      </x:c>
      <x:c r="AH717" s="9"/>
      <x:c r="AI717" s="11"/>
      <x:c r="AJ717" s="9"/>
      <x:c r="AK717" s="9" t="str">
        <x:v>Eval_Referential_Disambiguation.xlsm</x:v>
      </x:c>
      <x:c r="AL717" s="9" t="str">
        <x:v>GR00T vision-only Results</x:v>
      </x:c>
      <x:c r="AM717" s="9" t="n">
        <x:v>97</x:v>
      </x:c>
      <x:c r="AN717" s="9" t="n">
        <x:v>97</x:v>
      </x:c>
    </x:row>
    <x:row r="718">
      <x:c r="A718" s="9" t="str">
        <x:v>Success</x:v>
      </x:c>
      <x:c r="B718" s="9" t="str">
        <x:v>Referential Disambiguation</x:v>
      </x:c>
      <x:c r="C718" s="10" t="n">
        <x:v>96</x:v>
      </x:c>
      <x:c r="D718" s="9" t="str">
        <x:v>Pick up the airplane toy furthest from the green pen and place it in the bowl.</x:v>
      </x:c>
      <x:c r="E718" s="9" t="str">
        <x:v>airplane toy with propellers; airplane toy without propellers; green pen</x:v>
      </x:c>
      <x:c r="F718" s="9" t="str">
        <x:v>airplane toy with propellers</x:v>
      </x:c>
      <x:c r="G718" s="9"/>
      <x:c r="H718" s="9" t="str">
        <x:v>Concept/compositional transfer</x:v>
      </x:c>
      <x:c r="I718" s="9" t="str">
        <x:v>RD-CT37</x:v>
      </x:c>
      <x:c r="J718" s="9" t="str">
        <x:v>Primary held-out relation × candidate-category composition — Pick up</x:v>
      </x:c>
      <x:c r="K718" s="9"/>
      <x:c r="L718" s="9" t="str">
        <x:v>578</x:v>
      </x:c>
      <x:c r="M718" s="9" t="str">
        <x:v>Masked source trajectory: the target identity and physical manipulation are trained under a direct-name prompt, while this relation × candidate-category composition is intentionally absent.</x:v>
      </x:c>
      <x:c r="N718" s="9" t="n">
        <x:v>4</x:v>
      </x:c>
      <x:c r="O718" s="9" t="str">
        <x:v>Place the listed objects. Arrange Expected Target as the unique answer to the prompt; keep the bowl empty and save a reference image.</x:v>
      </x:c>
      <x:c r="P718" s="9" t="str">
        <x:v>Both candidates are present. The held-out relation is the only information that identifies the target.</x:v>
      </x:c>
      <x:c r="Q718" s="9"/>
      <x:c r="R718" s="10" t="n">
        <x:v>3</x:v>
      </x:c>
      <x:c r="S718" s="10" t="n">
        <x:v>1</x:v>
      </x:c>
      <x:c r="T718" s="9" t="str">
        <x:v>Empty</x:v>
      </x:c>
      <x:c r="U718" s="9"/>
      <x:c r="V718" s="9"/>
      <x:c r="W718" s="9"/>
      <x:c r="X718" s="10"/>
      <x:c r="Y718" s="10"/>
      <x:c r="Z718" s="9"/>
      <x:c r="AA718" s="9"/>
      <x:c r="AB718" s="9" t="str">
        <x:v>furthest</x:v>
      </x:c>
      <x:c r="AC718" s="9"/>
      <x:c r="AD718" s="9"/>
      <x:c r="AE718" s="9"/>
      <x:c r="AF718" s="9"/>
      <x:c r="AG718" s="9" t="str">
        <x:v>airplane toy</x:v>
      </x:c>
      <x:c r="AH718" s="9"/>
      <x:c r="AI718" s="11"/>
      <x:c r="AJ718" s="9"/>
      <x:c r="AK718" s="9" t="str">
        <x:v>Eval_Referential_Disambiguation.xlsm</x:v>
      </x:c>
      <x:c r="AL718" s="9" t="str">
        <x:v>GR00T vision-only Results</x:v>
      </x:c>
      <x:c r="AM718" s="9" t="n">
        <x:v>98</x:v>
      </x:c>
      <x:c r="AN718" s="9" t="n">
        <x:v>98</x:v>
      </x:c>
    </x:row>
    <x:row r="719">
      <x:c r="A719" s="9" t="str">
        <x:v>Success</x:v>
      </x:c>
      <x:c r="B719" s="9" t="str">
        <x:v>Referential Disambiguation</x:v>
      </x:c>
      <x:c r="C719" s="10" t="n">
        <x:v>97</x:v>
      </x:c>
      <x:c r="D719" s="9" t="str">
        <x:v>Pick up the crushed soda can closest to the green pen and place it in the bowl.</x:v>
      </x:c>
      <x:c r="E719" s="9" t="str">
        <x:v>crushed Coke can; crushed Pepsi can; green pen</x:v>
      </x:c>
      <x:c r="F719" s="9" t="str">
        <x:v>crushed Coke can</x:v>
      </x:c>
      <x:c r="G719" s="9"/>
      <x:c r="H719" s="9" t="str">
        <x:v>Concept/compositional transfer</x:v>
      </x:c>
      <x:c r="I719" s="9" t="str">
        <x:v>RD-CT38</x:v>
      </x:c>
      <x:c r="J719" s="9" t="str">
        <x:v>Primary held-out relation × candidate-category composition — Pick up</x:v>
      </x:c>
      <x:c r="K719" s="9"/>
      <x:c r="L719" s="9" t="str">
        <x:v>412</x:v>
      </x:c>
      <x:c r="M719" s="9" t="str">
        <x:v>Masked source trajectory: the target identity and physical manipulation are trained under a direct-name prompt, while this relation × candidate-category composition is intentionally absent.</x:v>
      </x:c>
      <x:c r="N719" s="9" t="n">
        <x:v>4</x:v>
      </x:c>
      <x:c r="O719" s="9" t="str">
        <x:v>Place the listed objects. Arrange Expected Target as the unique answer to the prompt; keep the bowl empty and save a reference image.</x:v>
      </x:c>
      <x:c r="P719" s="9" t="str">
        <x:v>Both candidates are present. The held-out relation is the only information that identifies the target.</x:v>
      </x:c>
      <x:c r="Q719" s="9"/>
      <x:c r="R719" s="10" t="n">
        <x:v>3</x:v>
      </x:c>
      <x:c r="S719" s="10" t="n">
        <x:v>1</x:v>
      </x:c>
      <x:c r="T719" s="9" t="str">
        <x:v>Empty</x:v>
      </x:c>
      <x:c r="U719" s="9"/>
      <x:c r="V719" s="9"/>
      <x:c r="W719" s="9"/>
      <x:c r="X719" s="10"/>
      <x:c r="Y719" s="10"/>
      <x:c r="Z719" s="9"/>
      <x:c r="AA719" s="9"/>
      <x:c r="AB719" s="9" t="str">
        <x:v>closest</x:v>
      </x:c>
      <x:c r="AC719" s="9"/>
      <x:c r="AD719" s="9"/>
      <x:c r="AE719" s="9"/>
      <x:c r="AF719" s="9"/>
      <x:c r="AG719" s="9" t="str">
        <x:v>crushed soda can</x:v>
      </x:c>
      <x:c r="AH719" s="9"/>
      <x:c r="AI719" s="11"/>
      <x:c r="AJ719" s="9"/>
      <x:c r="AK719" s="9" t="str">
        <x:v>Eval_Referential_Disambiguation.xlsm</x:v>
      </x:c>
      <x:c r="AL719" s="9" t="str">
        <x:v>GR00T vision-only Results</x:v>
      </x:c>
      <x:c r="AM719" s="9" t="n">
        <x:v>99</x:v>
      </x:c>
      <x:c r="AN719" s="9" t="n">
        <x:v>99</x:v>
      </x:c>
    </x:row>
    <x:row r="720">
      <x:c r="A720" s="9" t="str">
        <x:v>Failure</x:v>
      </x:c>
      <x:c r="B720" s="9" t="str">
        <x:v>Referential Disambiguation</x:v>
      </x:c>
      <x:c r="C720" s="10" t="n">
        <x:v>98</x:v>
      </x:c>
      <x:c r="D720" s="9" t="str">
        <x:v>Pick up the pencil sharpener between the green pen and the crushed Coke can and place it in the bowl.</x:v>
      </x:c>
      <x:c r="E720" s="9" t="str">
        <x:v>green pencil sharpener; red pencil sharpener; green pen; crushed Coke can</x:v>
      </x:c>
      <x:c r="F720" s="9" t="str">
        <x:v>green pencil sharpener</x:v>
      </x:c>
      <x:c r="G720" s="9" t="str">
        <x:v>picked the green pen</x:v>
      </x:c>
      <x:c r="H720" s="9" t="str">
        <x:v>Concept/compositional transfer</x:v>
      </x:c>
      <x:c r="I720" s="9" t="str">
        <x:v>RD-CT39</x:v>
      </x:c>
      <x:c r="J720" s="9" t="str">
        <x:v>Primary held-out relation × candidate-category composition — Pick up</x:v>
      </x:c>
      <x:c r="K720" s="9"/>
      <x:c r="L720" s="9" t="str">
        <x:v>492</x:v>
      </x:c>
      <x:c r="M720" s="9" t="str">
        <x:v>Masked source trajectory: the target identity and physical manipulation are trained under a direct-name prompt, while this relation × candidate-category composition is intentionally absent.</x:v>
      </x:c>
      <x:c r="N720" s="9" t="n">
        <x:v>4</x:v>
      </x:c>
      <x:c r="O720" s="9" t="str">
        <x:v>Place the listed objects. Arrange Expected Target as the unique answer to the prompt; keep the bowl empty and save a reference image.</x:v>
      </x:c>
      <x:c r="P720" s="9" t="str">
        <x:v>Both candidates are present. The held-out relation is the only information that identifies the target.</x:v>
      </x:c>
      <x:c r="Q720" s="9"/>
      <x:c r="R720" s="10" t="n">
        <x:v>4</x:v>
      </x:c>
      <x:c r="S720" s="10" t="n">
        <x:v>1</x:v>
      </x:c>
      <x:c r="T720" s="9" t="str">
        <x:v>Empty</x:v>
      </x:c>
      <x:c r="U720" s="9"/>
      <x:c r="V720" s="9"/>
      <x:c r="W720" s="9"/>
      <x:c r="X720" s="10"/>
      <x:c r="Y720" s="10"/>
      <x:c r="Z720" s="9"/>
      <x:c r="AA720" s="9"/>
      <x:c r="AB720" s="9" t="str">
        <x:v>between</x:v>
      </x:c>
      <x:c r="AC720" s="9"/>
      <x:c r="AD720" s="9"/>
      <x:c r="AE720" s="9"/>
      <x:c r="AF720" s="9"/>
      <x:c r="AG720" s="9" t="str">
        <x:v>pencil sharpener</x:v>
      </x:c>
      <x:c r="AH720" s="9"/>
      <x:c r="AI720" s="11"/>
      <x:c r="AJ720" s="9"/>
      <x:c r="AK720" s="9" t="str">
        <x:v>Eval_Referential_Disambiguation.xlsm</x:v>
      </x:c>
      <x:c r="AL720" s="9" t="str">
        <x:v>GR00T vision-only Results</x:v>
      </x:c>
      <x:c r="AM720" s="9" t="n">
        <x:v>100</x:v>
      </x:c>
      <x:c r="AN720" s="9" t="n">
        <x:v>100</x:v>
      </x:c>
    </x:row>
    <x:row r="721">
      <x:c r="A721" s="9" t="str">
        <x:v>Success</x:v>
      </x:c>
      <x:c r="B721" s="9" t="str">
        <x:v>Referential Disambiguation</x:v>
      </x:c>
      <x:c r="C721" s="10" t="n">
        <x:v>99</x:v>
      </x:c>
      <x:c r="D721" s="9" t="str">
        <x:v>Put the airplane toy furthest from the crushed Coke can in the bowl.</x:v>
      </x:c>
      <x:c r="E721" s="9" t="str">
        <x:v>airplane toy with propellers; airplane toy without propellers; crushed Coke can; yellow pen</x:v>
      </x:c>
      <x:c r="F721" s="9" t="str">
        <x:v>airplane toy with propellers</x:v>
      </x:c>
      <x:c r="G721" s="9"/>
      <x:c r="H721" s="9" t="str">
        <x:v>Concept/compositional transfer</x:v>
      </x:c>
      <x:c r="I721" s="9" t="str">
        <x:v>RD-CT40</x:v>
      </x:c>
      <x:c r="J721" s="9" t="str">
        <x:v>Primary held-out relation × candidate-category composition — Put</x:v>
      </x:c>
      <x:c r="K721" s="9"/>
      <x:c r="L721" s="9" t="str">
        <x:v>566</x:v>
      </x:c>
      <x:c r="M721" s="9" t="str">
        <x:v>Masked source trajectory: the target identity and physical manipulation are trained under a direct-name prompt, while this relation × candidate-category composition is intentionally absent.</x:v>
      </x:c>
      <x:c r="N721" s="9" t="n">
        <x:v>4</x:v>
      </x:c>
      <x:c r="O721" s="9" t="str">
        <x:v>Place the listed objects. Arrange Expected Target as the unique answer to the prompt; keep the bowl empty and save a reference image.</x:v>
      </x:c>
      <x:c r="P721" s="9" t="str">
        <x:v>Both candidates are present. The held-out relation is the only information that identifies the target.</x:v>
      </x:c>
      <x:c r="Q721" s="9"/>
      <x:c r="R721" s="10" t="n">
        <x:v>4</x:v>
      </x:c>
      <x:c r="S721" s="10" t="n">
        <x:v>1</x:v>
      </x:c>
      <x:c r="T721" s="9" t="str">
        <x:v>Empty</x:v>
      </x:c>
      <x:c r="U721" s="9"/>
      <x:c r="V721" s="9"/>
      <x:c r="W721" s="9"/>
      <x:c r="X721" s="10"/>
      <x:c r="Y721" s="10"/>
      <x:c r="Z721" s="9"/>
      <x:c r="AA721" s="9"/>
      <x:c r="AB721" s="9" t="str">
        <x:v>furthest</x:v>
      </x:c>
      <x:c r="AC721" s="9"/>
      <x:c r="AD721" s="9"/>
      <x:c r="AE721" s="9"/>
      <x:c r="AF721" s="9"/>
      <x:c r="AG721" s="9" t="str">
        <x:v>airplane toy</x:v>
      </x:c>
      <x:c r="AH721" s="9"/>
      <x:c r="AI721" s="11"/>
      <x:c r="AJ721" s="9"/>
      <x:c r="AK721" s="9" t="str">
        <x:v>Eval_Referential_Disambiguation.xlsm</x:v>
      </x:c>
      <x:c r="AL721" s="9" t="str">
        <x:v>GR00T vision-only Results</x:v>
      </x:c>
      <x:c r="AM721" s="9" t="n">
        <x:v>101</x:v>
      </x:c>
      <x:c r="AN721" s="9" t="n">
        <x:v>101</x:v>
      </x:c>
    </x:row>
    <x:row r="722">
      <x:c r="A722" s="9" t="str">
        <x:v>Failure</x:v>
      </x:c>
      <x:c r="B722" s="9" t="str">
        <x:v>Referential Disambiguation</x:v>
      </x:c>
      <x:c r="C722" s="10" t="n">
        <x:v>100</x:v>
      </x:c>
      <x:c r="D722" s="9" t="str">
        <x:v>Put the crushed soda can closest to the airplane toy with propellers in the bowl.</x:v>
      </x:c>
      <x:c r="E722" s="9" t="str">
        <x:v>crushed Coke can; crushed Pepsi can; airplane toy with propellers; red pencil sharpener</x:v>
      </x:c>
      <x:c r="F722" s="9" t="str">
        <x:v>crushed Coke can</x:v>
      </x:c>
      <x:c r="G722" s="9" t="str">
        <x:v>picked furthest soda can; pepsi can</x:v>
      </x:c>
      <x:c r="H722" s="9" t="str">
        <x:v>Concept/compositional transfer</x:v>
      </x:c>
      <x:c r="I722" s="9" t="str">
        <x:v>RD-CT41</x:v>
      </x:c>
      <x:c r="J722" s="9" t="str">
        <x:v>Primary held-out relation × candidate-category composition — Put</x:v>
      </x:c>
      <x:c r="K722" s="9"/>
      <x:c r="L722" s="9" t="str">
        <x:v>414</x:v>
      </x:c>
      <x:c r="M722" s="9" t="str">
        <x:v>Masked source trajectory: the target identity and physical manipulation are trained under a direct-name prompt, while this relation × candidate-category composition is intentionally absent.</x:v>
      </x:c>
      <x:c r="N722" s="9" t="n">
        <x:v>4</x:v>
      </x:c>
      <x:c r="O722" s="9" t="str">
        <x:v>Place the listed objects. Arrange Expected Target as the unique answer to the prompt; keep the bowl empty and save a reference image.</x:v>
      </x:c>
      <x:c r="P722" s="9" t="str">
        <x:v>Both candidates are present. The held-out relation is the only information that identifies the target.</x:v>
      </x:c>
      <x:c r="Q722" s="9"/>
      <x:c r="R722" s="10" t="n">
        <x:v>4</x:v>
      </x:c>
      <x:c r="S722" s="10" t="n">
        <x:v>1</x:v>
      </x:c>
      <x:c r="T722" s="9" t="str">
        <x:v>Empty</x:v>
      </x:c>
      <x:c r="U722" s="9"/>
      <x:c r="V722" s="9"/>
      <x:c r="W722" s="9"/>
      <x:c r="X722" s="10"/>
      <x:c r="Y722" s="10"/>
      <x:c r="Z722" s="9"/>
      <x:c r="AA722" s="9"/>
      <x:c r="AB722" s="9" t="str">
        <x:v>closest</x:v>
      </x:c>
      <x:c r="AC722" s="9"/>
      <x:c r="AD722" s="9"/>
      <x:c r="AE722" s="9"/>
      <x:c r="AF722" s="9"/>
      <x:c r="AG722" s="9" t="str">
        <x:v>crushed soda can</x:v>
      </x:c>
      <x:c r="AH722" s="9"/>
      <x:c r="AI722" s="11"/>
      <x:c r="AJ722" s="9"/>
      <x:c r="AK722" s="9" t="str">
        <x:v>Eval_Referential_Disambiguation.xlsm</x:v>
      </x:c>
      <x:c r="AL722" s="9" t="str">
        <x:v>GR00T vision-only Results</x:v>
      </x:c>
      <x:c r="AM722" s="9" t="n">
        <x:v>102</x:v>
      </x:c>
      <x:c r="AN722" s="9" t="n">
        <x:v>102</x:v>
      </x:c>
    </x:row>
    <x:row r="723">
      <x:c r="A723" s="9" t="str">
        <x:v>Failure</x:v>
      </x:c>
      <x:c r="B723" s="9" t="str">
        <x:v>Referential Disambiguation</x:v>
      </x:c>
      <x:c r="C723" s="10" t="n">
        <x:v>101</x:v>
      </x:c>
      <x:c r="D723" s="9" t="str">
        <x:v>Put the pencil sharpener between the airplane toy with propellers and the yellow pen in the bowl.</x:v>
      </x:c>
      <x:c r="E723" s="9" t="str">
        <x:v>green pencil sharpener; red pencil sharpener; airplane toy with propellers; yellow pen; airplane toy without propellers</x:v>
      </x:c>
      <x:c r="F723" s="9" t="str">
        <x:v>green pencil sharpener</x:v>
      </x:c>
      <x:c r="G723" s="9" t="str">
        <x:v>picked red sharpener</x:v>
      </x:c>
      <x:c r="H723" s="9" t="str">
        <x:v>Concept/compositional transfer</x:v>
      </x:c>
      <x:c r="I723" s="9" t="str">
        <x:v>RD-CT42</x:v>
      </x:c>
      <x:c r="J723" s="9" t="str">
        <x:v>Primary held-out relation × candidate-category composition — Put</x:v>
      </x:c>
      <x:c r="K723" s="9"/>
      <x:c r="L723" s="9" t="str">
        <x:v>495</x:v>
      </x:c>
      <x:c r="M723" s="9" t="str">
        <x:v>Masked source trajectory: the target identity and physical manipulation are trained under a direct-name prompt, while this relation × candidate-category composition is intentionally absent.</x:v>
      </x:c>
      <x:c r="N723" s="9" t="n">
        <x:v>4</x:v>
      </x:c>
      <x:c r="O723" s="9" t="str">
        <x:v>Place the listed objects. Arrange Expected Target as the unique answer to the prompt; keep the bowl empty and save a reference image.</x:v>
      </x:c>
      <x:c r="P723" s="9" t="str">
        <x:v>Both candidates are present. The held-out relation is the only information that identifies the target.</x:v>
      </x:c>
      <x:c r="Q723" s="9"/>
      <x:c r="R723" s="10" t="n">
        <x:v>5</x:v>
      </x:c>
      <x:c r="S723" s="10" t="n">
        <x:v>1</x:v>
      </x:c>
      <x:c r="T723" s="9" t="str">
        <x:v>Empty</x:v>
      </x:c>
      <x:c r="U723" s="9"/>
      <x:c r="V723" s="9"/>
      <x:c r="W723" s="9"/>
      <x:c r="X723" s="10"/>
      <x:c r="Y723" s="10"/>
      <x:c r="Z723" s="9"/>
      <x:c r="AA723" s="9"/>
      <x:c r="AB723" s="9" t="str">
        <x:v>between</x:v>
      </x:c>
      <x:c r="AC723" s="9"/>
      <x:c r="AD723" s="9"/>
      <x:c r="AE723" s="9"/>
      <x:c r="AF723" s="9"/>
      <x:c r="AG723" s="9" t="str">
        <x:v>pencil sharpener</x:v>
      </x:c>
      <x:c r="AH723" s="9"/>
      <x:c r="AI723" s="11"/>
      <x:c r="AJ723" s="9"/>
      <x:c r="AK723" s="9" t="str">
        <x:v>Eval_Referential_Disambiguation.xlsm</x:v>
      </x:c>
      <x:c r="AL723" s="9" t="str">
        <x:v>GR00T vision-only Results</x:v>
      </x:c>
      <x:c r="AM723" s="9" t="n">
        <x:v>103</x:v>
      </x:c>
      <x:c r="AN723" s="9" t="n">
        <x:v>103</x:v>
      </x:c>
    </x:row>
    <x:row r="724">
      <x:c r="A724" s="9" t="str">
        <x:v>Success</x:v>
      </x:c>
      <x:c r="B724" s="9" t="str">
        <x:v>Referential Disambiguation</x:v>
      </x:c>
      <x:c r="C724" s="10" t="n">
        <x:v>102</x:v>
      </x:c>
      <x:c r="D724" s="9" t="str">
        <x:v>Move the airplane toy furthest from the green pencil sharpener into the bowl.</x:v>
      </x:c>
      <x:c r="E724" s="9" t="str">
        <x:v>airplane toy with propellers; airplane toy without propellers; green pencil sharpener</x:v>
      </x:c>
      <x:c r="F724" s="9" t="str">
        <x:v>airplane toy without propellers</x:v>
      </x:c>
      <x:c r="G724" s="9"/>
      <x:c r="H724" s="9" t="str">
        <x:v>Concept/compositional transfer</x:v>
      </x:c>
      <x:c r="I724" s="9" t="str">
        <x:v>RD-CT43</x:v>
      </x:c>
      <x:c r="J724" s="9" t="str">
        <x:v>Primary held-out relation × candidate-category composition — Move</x:v>
      </x:c>
      <x:c r="K724" s="9"/>
      <x:c r="L724" s="9" t="str">
        <x:v>577</x:v>
      </x:c>
      <x:c r="M724" s="9" t="str">
        <x:v>Masked source trajectory: the target identity and physical manipulation are trained under a direct-name prompt, while this relation × candidate-category composition is intentionally absent.</x:v>
      </x:c>
      <x:c r="N724" s="9" t="n">
        <x:v>4</x:v>
      </x:c>
      <x:c r="O724" s="9" t="str">
        <x:v>Place the listed objects. Arrange Expected Target as the unique answer to the prompt; keep the bowl empty and save a reference image.</x:v>
      </x:c>
      <x:c r="P724" s="9" t="str">
        <x:v>Both candidates are present. The held-out relation is the only information that identifies the target.</x:v>
      </x:c>
      <x:c r="Q724" s="9"/>
      <x:c r="R724" s="10" t="n">
        <x:v>3</x:v>
      </x:c>
      <x:c r="S724" s="10" t="n">
        <x:v>1</x:v>
      </x:c>
      <x:c r="T724" s="9" t="str">
        <x:v>Empty</x:v>
      </x:c>
      <x:c r="U724" s="9"/>
      <x:c r="V724" s="9"/>
      <x:c r="W724" s="9"/>
      <x:c r="X724" s="10"/>
      <x:c r="Y724" s="10"/>
      <x:c r="Z724" s="9"/>
      <x:c r="AA724" s="9"/>
      <x:c r="AB724" s="9" t="str">
        <x:v>furthest</x:v>
      </x:c>
      <x:c r="AC724" s="9"/>
      <x:c r="AD724" s="9"/>
      <x:c r="AE724" s="9"/>
      <x:c r="AF724" s="9"/>
      <x:c r="AG724" s="9" t="str">
        <x:v>airplane toy</x:v>
      </x:c>
      <x:c r="AH724" s="9"/>
      <x:c r="AI724" s="11"/>
      <x:c r="AJ724" s="9"/>
      <x:c r="AK724" s="9" t="str">
        <x:v>Eval_Referential_Disambiguation.xlsm</x:v>
      </x:c>
      <x:c r="AL724" s="9" t="str">
        <x:v>GR00T vision-only Results</x:v>
      </x:c>
      <x:c r="AM724" s="9" t="n">
        <x:v>104</x:v>
      </x:c>
      <x:c r="AN724" s="9" t="n">
        <x:v>104</x:v>
      </x:c>
    </x:row>
    <x:row r="725">
      <x:c r="A725" s="9" t="str">
        <x:v>Success</x:v>
      </x:c>
      <x:c r="B725" s="9" t="str">
        <x:v>Referential Disambiguation</x:v>
      </x:c>
      <x:c r="C725" s="10" t="n">
        <x:v>103</x:v>
      </x:c>
      <x:c r="D725" s="9" t="str">
        <x:v>Move the crushed soda can closest to the green pencil sharpener into the bowl.</x:v>
      </x:c>
      <x:c r="E725" s="9" t="str">
        <x:v>crushed Coke can; crushed Pepsi can; green pencil sharpener</x:v>
      </x:c>
      <x:c r="F725" s="9" t="str">
        <x:v>crushed Pepsi can</x:v>
      </x:c>
      <x:c r="G725" s="9"/>
      <x:c r="H725" s="9" t="str">
        <x:v>Concept/compositional transfer</x:v>
      </x:c>
      <x:c r="I725" s="9" t="str">
        <x:v>RD-CT44</x:v>
      </x:c>
      <x:c r="J725" s="9" t="str">
        <x:v>Primary held-out relation × candidate-category composition — Move</x:v>
      </x:c>
      <x:c r="K725" s="9"/>
      <x:c r="L725" s="9" t="str">
        <x:v>413</x:v>
      </x:c>
      <x:c r="M725" s="9" t="str">
        <x:v>Masked source trajectory: the target identity and physical manipulation are trained under a direct-name prompt, while this relation × candidate-category composition is intentionally absent.</x:v>
      </x:c>
      <x:c r="N725" s="9" t="n">
        <x:v>4</x:v>
      </x:c>
      <x:c r="O725" s="9" t="str">
        <x:v>Place the listed objects. Arrange Expected Target as the unique answer to the prompt; keep the bowl empty and save a reference image.</x:v>
      </x:c>
      <x:c r="P725" s="9" t="str">
        <x:v>Both candidates are present. The held-out relation is the only information that identifies the target.</x:v>
      </x:c>
      <x:c r="Q725" s="9"/>
      <x:c r="R725" s="10" t="n">
        <x:v>3</x:v>
      </x:c>
      <x:c r="S725" s="10" t="n">
        <x:v>1</x:v>
      </x:c>
      <x:c r="T725" s="9" t="str">
        <x:v>Empty</x:v>
      </x:c>
      <x:c r="U725" s="9"/>
      <x:c r="V725" s="9"/>
      <x:c r="W725" s="9"/>
      <x:c r="X725" s="10"/>
      <x:c r="Y725" s="10"/>
      <x:c r="Z725" s="9"/>
      <x:c r="AA725" s="9"/>
      <x:c r="AB725" s="9" t="str">
        <x:v>closest</x:v>
      </x:c>
      <x:c r="AC725" s="9"/>
      <x:c r="AD725" s="9"/>
      <x:c r="AE725" s="9"/>
      <x:c r="AF725" s="9"/>
      <x:c r="AG725" s="9" t="str">
        <x:v>crushed soda can</x:v>
      </x:c>
      <x:c r="AH725" s="9"/>
      <x:c r="AI725" s="11"/>
      <x:c r="AJ725" s="9"/>
      <x:c r="AK725" s="9" t="str">
        <x:v>Eval_Referential_Disambiguation.xlsm</x:v>
      </x:c>
      <x:c r="AL725" s="9" t="str">
        <x:v>GR00T vision-only Results</x:v>
      </x:c>
      <x:c r="AM725" s="9" t="n">
        <x:v>105</x:v>
      </x:c>
      <x:c r="AN725" s="9" t="n">
        <x:v>105</x:v>
      </x:c>
    </x:row>
    <x:row r="726">
      <x:c r="A726" s="9" t="str">
        <x:v>Success</x:v>
      </x:c>
      <x:c r="B726" s="9" t="str">
        <x:v>Referential Disambiguation</x:v>
      </x:c>
      <x:c r="C726" s="10" t="n">
        <x:v>104</x:v>
      </x:c>
      <x:c r="D726" s="9" t="str">
        <x:v>Move the pencil sharpener between the crushed Pepsi can and the airplane toy without propellers into the bowl.</x:v>
      </x:c>
      <x:c r="E726" s="9" t="str">
        <x:v>green pencil sharpener; red pencil sharpener; crushed Pepsi can; airplane toy without propellers</x:v>
      </x:c>
      <x:c r="F726" s="9" t="str">
        <x:v>red pencil sharpener</x:v>
      </x:c>
      <x:c r="G726" s="9"/>
      <x:c r="H726" s="9" t="str">
        <x:v>Concept/compositional transfer</x:v>
      </x:c>
      <x:c r="I726" s="9" t="str">
        <x:v>RD-CT45</x:v>
      </x:c>
      <x:c r="J726" s="9" t="str">
        <x:v>Primary held-out relation × candidate-category composition — Move</x:v>
      </x:c>
      <x:c r="K726" s="9"/>
      <x:c r="L726" s="9" t="str">
        <x:v>493</x:v>
      </x:c>
      <x:c r="M726" s="9" t="str">
        <x:v>Masked source trajectory: the target identity and physical manipulation are trained under a direct-name prompt, while this relation × candidate-category composition is intentionally absent.</x:v>
      </x:c>
      <x:c r="N726" s="9" t="n">
        <x:v>4</x:v>
      </x:c>
      <x:c r="O726" s="9" t="str">
        <x:v>Place the listed objects. Arrange Expected Target as the unique answer to the prompt; keep the bowl empty and save a reference image.</x:v>
      </x:c>
      <x:c r="P726" s="9" t="str">
        <x:v>Both candidates are present. The held-out relation is the only information that identifies the target.</x:v>
      </x:c>
      <x:c r="Q726" s="9"/>
      <x:c r="R726" s="10" t="n">
        <x:v>4</x:v>
      </x:c>
      <x:c r="S726" s="10" t="n">
        <x:v>1</x:v>
      </x:c>
      <x:c r="T726" s="9" t="str">
        <x:v>Empty</x:v>
      </x:c>
      <x:c r="U726" s="9"/>
      <x:c r="V726" s="9"/>
      <x:c r="W726" s="9"/>
      <x:c r="X726" s="10"/>
      <x:c r="Y726" s="10"/>
      <x:c r="Z726" s="9"/>
      <x:c r="AA726" s="9"/>
      <x:c r="AB726" s="9" t="str">
        <x:v>between</x:v>
      </x:c>
      <x:c r="AC726" s="9"/>
      <x:c r="AD726" s="9"/>
      <x:c r="AE726" s="9"/>
      <x:c r="AF726" s="9"/>
      <x:c r="AG726" s="9" t="str">
        <x:v>pencil sharpener</x:v>
      </x:c>
      <x:c r="AH726" s="9"/>
      <x:c r="AI726" s="11"/>
      <x:c r="AJ726" s="9"/>
      <x:c r="AK726" s="9" t="str">
        <x:v>Eval_Referential_Disambiguation.xlsm</x:v>
      </x:c>
      <x:c r="AL726" s="9" t="str">
        <x:v>GR00T vision-only Results</x:v>
      </x:c>
      <x:c r="AM726" s="9" t="n">
        <x:v>106</x:v>
      </x:c>
      <x:c r="AN726" s="9" t="n">
        <x:v>106</x:v>
      </x:c>
    </x:row>
    <x:row r="727">
      <x:c r="A727" s="9" t="str">
        <x:v>Failure</x:v>
      </x:c>
      <x:c r="B727" s="9" t="str">
        <x:v>Referential Disambiguation</x:v>
      </x:c>
      <x:c r="C727" s="10" t="n">
        <x:v>105</x:v>
      </x:c>
      <x:c r="D727" s="9" t="str">
        <x:v>Pick up the airplane toy furthest from the yellow pen and place it in the bowl.</x:v>
      </x:c>
      <x:c r="E727" s="9" t="str">
        <x:v>airplane toy with propellers; airplane toy without propellers; yellow pen; crushed Coke can</x:v>
      </x:c>
      <x:c r="F727" s="9" t="str">
        <x:v>airplane toy without propellers</x:v>
      </x:c>
      <x:c r="G727" s="9" t="str">
        <x:v>succeeded reasoning, but couldn't grasp the furthest airplane toy</x:v>
      </x:c>
      <x:c r="H727" s="9" t="str">
        <x:v>Concept/compositional transfer</x:v>
      </x:c>
      <x:c r="I727" s="9" t="str">
        <x:v>RD-CT46</x:v>
      </x:c>
      <x:c r="J727" s="9" t="str">
        <x:v>Primary held-out relation × candidate-category composition — Pick up</x:v>
      </x:c>
      <x:c r="K727" s="9"/>
      <x:c r="L727" s="9" t="str">
        <x:v>579</x:v>
      </x:c>
      <x:c r="M727" s="9" t="str">
        <x:v>Masked source trajectory: the target identity and physical manipulation are trained under a direct-name prompt, while this relation × candidate-category composition is intentionally absent.</x:v>
      </x:c>
      <x:c r="N727" s="9" t="n">
        <x:v>4</x:v>
      </x:c>
      <x:c r="O727" s="9" t="str">
        <x:v>Place the listed objects. Arrange Expected Target as the unique answer to the prompt; keep the bowl empty and save a reference image.</x:v>
      </x:c>
      <x:c r="P727" s="9" t="str">
        <x:v>Both candidates are present. The held-out relation is the only information that identifies the target.</x:v>
      </x:c>
      <x:c r="Q727" s="9"/>
      <x:c r="R727" s="10" t="n">
        <x:v>4</x:v>
      </x:c>
      <x:c r="S727" s="10" t="n">
        <x:v>1</x:v>
      </x:c>
      <x:c r="T727" s="9" t="str">
        <x:v>Empty</x:v>
      </x:c>
      <x:c r="U727" s="9"/>
      <x:c r="V727" s="9"/>
      <x:c r="W727" s="9"/>
      <x:c r="X727" s="10"/>
      <x:c r="Y727" s="10"/>
      <x:c r="Z727" s="9"/>
      <x:c r="AA727" s="9"/>
      <x:c r="AB727" s="9" t="str">
        <x:v>furthest</x:v>
      </x:c>
      <x:c r="AC727" s="9"/>
      <x:c r="AD727" s="9"/>
      <x:c r="AE727" s="9"/>
      <x:c r="AF727" s="9"/>
      <x:c r="AG727" s="9" t="str">
        <x:v>airplane toy</x:v>
      </x:c>
      <x:c r="AH727" s="9"/>
      <x:c r="AI727" s="11"/>
      <x:c r="AJ727" s="9"/>
      <x:c r="AK727" s="9" t="str">
        <x:v>Eval_Referential_Disambiguation.xlsm</x:v>
      </x:c>
      <x:c r="AL727" s="9" t="str">
        <x:v>GR00T vision-only Results</x:v>
      </x:c>
      <x:c r="AM727" s="9" t="n">
        <x:v>107</x:v>
      </x:c>
      <x:c r="AN727" s="9" t="n">
        <x:v>107</x:v>
      </x:c>
    </x:row>
    <x:row r="728">
      <x:c r="A728" s="9" t="str">
        <x:v>Failure</x:v>
      </x:c>
      <x:c r="B728" s="9" t="str">
        <x:v>Referential Disambiguation</x:v>
      </x:c>
      <x:c r="C728" s="10" t="n">
        <x:v>106</x:v>
      </x:c>
      <x:c r="D728" s="9" t="str">
        <x:v>Pick up the crushed soda can closest to the yellow pen and place it in the bowl.</x:v>
      </x:c>
      <x:c r="E728" s="9" t="str">
        <x:v>crushed Coke can; crushed Pepsi can; yellow pen; green pen</x:v>
      </x:c>
      <x:c r="F728" s="9" t="str">
        <x:v>crushed Pepsi can</x:v>
      </x:c>
      <x:c r="G728" s="9" t="str">
        <x:v>picked coke can; furthest</x:v>
      </x:c>
      <x:c r="H728" s="9" t="str">
        <x:v>Concept/compositional transfer</x:v>
      </x:c>
      <x:c r="I728" s="9" t="str">
        <x:v>RD-CT47</x:v>
      </x:c>
      <x:c r="J728" s="9" t="str">
        <x:v>Primary held-out relation × candidate-category composition — Pick up</x:v>
      </x:c>
      <x:c r="K728" s="9"/>
      <x:c r="L728" s="9" t="str">
        <x:v>401</x:v>
      </x:c>
      <x:c r="M728" s="9" t="str">
        <x:v>Masked source trajectory: the target identity and physical manipulation are trained under a direct-name prompt, while this relation × candidate-category composition is intentionally absent.</x:v>
      </x:c>
      <x:c r="N728" s="9" t="n">
        <x:v>4</x:v>
      </x:c>
      <x:c r="O728" s="9" t="str">
        <x:v>Place the listed objects. Arrange Expected Target as the unique answer to the prompt; keep the bowl empty and save a reference image.</x:v>
      </x:c>
      <x:c r="P728" s="9" t="str">
        <x:v>Both candidates are present. The held-out relation is the only information that identifies the target.</x:v>
      </x:c>
      <x:c r="Q728" s="9"/>
      <x:c r="R728" s="10" t="n">
        <x:v>4</x:v>
      </x:c>
      <x:c r="S728" s="10" t="n">
        <x:v>1</x:v>
      </x:c>
      <x:c r="T728" s="9" t="str">
        <x:v>Empty</x:v>
      </x:c>
      <x:c r="U728" s="9"/>
      <x:c r="V728" s="9"/>
      <x:c r="W728" s="9"/>
      <x:c r="X728" s="10"/>
      <x:c r="Y728" s="10"/>
      <x:c r="Z728" s="9"/>
      <x:c r="AA728" s="9"/>
      <x:c r="AB728" s="9" t="str">
        <x:v>closest</x:v>
      </x:c>
      <x:c r="AC728" s="9"/>
      <x:c r="AD728" s="9"/>
      <x:c r="AE728" s="9"/>
      <x:c r="AF728" s="9"/>
      <x:c r="AG728" s="9" t="str">
        <x:v>crushed soda can</x:v>
      </x:c>
      <x:c r="AH728" s="9"/>
      <x:c r="AI728" s="11"/>
      <x:c r="AJ728" s="9"/>
      <x:c r="AK728" s="9" t="str">
        <x:v>Eval_Referential_Disambiguation.xlsm</x:v>
      </x:c>
      <x:c r="AL728" s="9" t="str">
        <x:v>GR00T vision-only Results</x:v>
      </x:c>
      <x:c r="AM728" s="9" t="n">
        <x:v>108</x:v>
      </x:c>
      <x:c r="AN728" s="9" t="n">
        <x:v>108</x:v>
      </x:c>
    </x:row>
    <x:row r="729">
      <x:c r="A729" s="9" t="str">
        <x:v>Success</x:v>
      </x:c>
      <x:c r="B729" s="9" t="str">
        <x:v>Referential Disambiguation</x:v>
      </x:c>
      <x:c r="C729" s="10" t="n">
        <x:v>107</x:v>
      </x:c>
      <x:c r="D729" s="9" t="str">
        <x:v>Pick up the pencil sharpener between the green pen and the crushed Coke can and place it in the bowl.</x:v>
      </x:c>
      <x:c r="E729" s="9" t="str">
        <x:v>green pencil sharpener; red pencil sharpener; green pen; crushed Coke can; yellow pen</x:v>
      </x:c>
      <x:c r="F729" s="9" t="str">
        <x:v>red pencil sharpener</x:v>
      </x:c>
      <x:c r="G729" s="9"/>
      <x:c r="H729" s="9" t="str">
        <x:v>Concept/compositional transfer</x:v>
      </x:c>
      <x:c r="I729" s="9" t="str">
        <x:v>RD-CT48</x:v>
      </x:c>
      <x:c r="J729" s="9" t="str">
        <x:v>Primary held-out relation × candidate-category composition — Pick up</x:v>
      </x:c>
      <x:c r="K729" s="9"/>
      <x:c r="L729" s="9" t="str">
        <x:v>494</x:v>
      </x:c>
      <x:c r="M729" s="9" t="str">
        <x:v>Masked source trajectory: the target identity and physical manipulation are trained under a direct-name prompt, while this relation × candidate-category composition is intentionally absent.</x:v>
      </x:c>
      <x:c r="N729" s="9" t="n">
        <x:v>4</x:v>
      </x:c>
      <x:c r="O729" s="9" t="str">
        <x:v>Place the listed objects. Arrange Expected Target as the unique answer to the prompt; keep the bowl empty and save a reference image.</x:v>
      </x:c>
      <x:c r="P729" s="9" t="str">
        <x:v>Both candidates are present. The held-out relation is the only information that identifies the target.</x:v>
      </x:c>
      <x:c r="Q729" s="9"/>
      <x:c r="R729" s="10" t="n">
        <x:v>5</x:v>
      </x:c>
      <x:c r="S729" s="10" t="n">
        <x:v>1</x:v>
      </x:c>
      <x:c r="T729" s="9" t="str">
        <x:v>Empty</x:v>
      </x:c>
      <x:c r="U729" s="9"/>
      <x:c r="V729" s="9"/>
      <x:c r="W729" s="9"/>
      <x:c r="X729" s="10"/>
      <x:c r="Y729" s="10"/>
      <x:c r="Z729" s="9"/>
      <x:c r="AA729" s="9"/>
      <x:c r="AB729" s="9" t="str">
        <x:v>between</x:v>
      </x:c>
      <x:c r="AC729" s="9"/>
      <x:c r="AD729" s="9"/>
      <x:c r="AE729" s="9"/>
      <x:c r="AF729" s="9"/>
      <x:c r="AG729" s="9" t="str">
        <x:v>pencil sharpener</x:v>
      </x:c>
      <x:c r="AH729" s="9"/>
      <x:c r="AI729" s="11"/>
      <x:c r="AJ729" s="9"/>
      <x:c r="AK729" s="9" t="str">
        <x:v>Eval_Referential_Disambiguation.xlsm</x:v>
      </x:c>
      <x:c r="AL729" s="9" t="str">
        <x:v>GR00T vision-only Results</x:v>
      </x:c>
      <x:c r="AM729" s="9" t="n">
        <x:v>109</x:v>
      </x:c>
      <x:c r="AN729" s="9" t="n">
        <x:v>109</x:v>
      </x:c>
    </x:row>
    <x:row r="730">
      <x:c r="A730" s="9" t="str">
        <x:v>Failure</x:v>
      </x:c>
      <x:c r="B730" s="9" t="str">
        <x:v>Referential Disambiguation</x:v>
      </x:c>
      <x:c r="C730" s="10" t="n">
        <x:v>108</x:v>
      </x:c>
      <x:c r="D730" s="9" t="str">
        <x:v>Put the airplane toy furthest from the crushed Pepsi can in the bowl.</x:v>
      </x:c>
      <x:c r="E730" s="9" t="str">
        <x:v>airplane toy with propellers; airplane toy without propellers; crushed Pepsi can; green pen</x:v>
      </x:c>
      <x:c r="F730" s="9" t="str">
        <x:v>airplane toy with propellers</x:v>
      </x:c>
      <x:c r="G730" s="9" t="str">
        <x:v>picked green pen</x:v>
      </x:c>
      <x:c r="H730" s="9" t="str">
        <x:v>Concept/compositional transfer</x:v>
      </x:c>
      <x:c r="I730" s="9" t="str">
        <x:v>RD-CT49</x:v>
      </x:c>
      <x:c r="J730" s="9" t="str">
        <x:v>Primary held-out relation × candidate-category composition — Put</x:v>
      </x:c>
      <x:c r="K730" s="9"/>
      <x:c r="L730" s="9" t="str">
        <x:v>568</x:v>
      </x:c>
      <x:c r="M730" s="9" t="str">
        <x:v>Masked source trajectory: the target identity and physical manipulation are trained under a direct-name prompt, while this relation × candidate-category composition is intentionally absent.</x:v>
      </x:c>
      <x:c r="N730" s="9" t="n">
        <x:v>4</x:v>
      </x:c>
      <x:c r="O730" s="9" t="str">
        <x:v>Place the listed objects. Arrange Expected Target as the unique answer to the prompt; keep the bowl empty and save a reference image.</x:v>
      </x:c>
      <x:c r="P730" s="9" t="str">
        <x:v>Both candidates are present. The held-out relation is the only information that identifies the target.</x:v>
      </x:c>
      <x:c r="Q730" s="9"/>
      <x:c r="R730" s="10" t="n">
        <x:v>4</x:v>
      </x:c>
      <x:c r="S730" s="10" t="n">
        <x:v>1</x:v>
      </x:c>
      <x:c r="T730" s="9" t="str">
        <x:v>Empty</x:v>
      </x:c>
      <x:c r="U730" s="9"/>
      <x:c r="V730" s="9"/>
      <x:c r="W730" s="9"/>
      <x:c r="X730" s="10"/>
      <x:c r="Y730" s="10"/>
      <x:c r="Z730" s="9"/>
      <x:c r="AA730" s="9"/>
      <x:c r="AB730" s="9" t="str">
        <x:v>furthest</x:v>
      </x:c>
      <x:c r="AC730" s="9"/>
      <x:c r="AD730" s="9"/>
      <x:c r="AE730" s="9"/>
      <x:c r="AF730" s="9"/>
      <x:c r="AG730" s="9" t="str">
        <x:v>airplane toy</x:v>
      </x:c>
      <x:c r="AH730" s="9"/>
      <x:c r="AI730" s="11"/>
      <x:c r="AJ730" s="9"/>
      <x:c r="AK730" s="9" t="str">
        <x:v>Eval_Referential_Disambiguation.xlsm</x:v>
      </x:c>
      <x:c r="AL730" s="9" t="str">
        <x:v>GR00T vision-only Results</x:v>
      </x:c>
      <x:c r="AM730" s="9" t="n">
        <x:v>110</x:v>
      </x:c>
      <x:c r="AN730" s="9" t="n">
        <x:v>110</x:v>
      </x:c>
    </x:row>
    <x:row r="731">
      <x:c r="A731" s="9" t="str">
        <x:v>Failure</x:v>
      </x:c>
      <x:c r="B731" s="9" t="str">
        <x:v>Referential Disambiguation</x:v>
      </x:c>
      <x:c r="C731" s="10" t="n">
        <x:v>109</x:v>
      </x:c>
      <x:c r="D731" s="9" t="str">
        <x:v>Put the crushed soda can closest to the airplane toy without propellers in the bowl.</x:v>
      </x:c>
      <x:c r="E731" s="9" t="str">
        <x:v>crushed Coke can; crushed Pepsi can; airplane toy without propellers; green pencil sharpener</x:v>
      </x:c>
      <x:c r="F731" s="9" t="str">
        <x:v>crushed Coke can</x:v>
      </x:c>
      <x:c r="G731" s="9" t="str">
        <x:v>picked the pepsi can</x:v>
      </x:c>
      <x:c r="H731" s="9" t="str">
        <x:v>Concept/compositional transfer</x:v>
      </x:c>
      <x:c r="I731" s="9" t="str">
        <x:v>RD-CT50</x:v>
      </x:c>
      <x:c r="J731" s="9" t="str">
        <x:v>Primary held-out relation × candidate-category composition — Put</x:v>
      </x:c>
      <x:c r="K731" s="9"/>
      <x:c r="L731" s="9" t="str">
        <x:v>400</x:v>
      </x:c>
      <x:c r="M731" s="9" t="str">
        <x:v>Masked source trajectory: the target identity and physical manipulation are trained under a direct-name prompt, while this relation × candidate-category composition is intentionally absent.</x:v>
      </x:c>
      <x:c r="N731" s="9" t="n">
        <x:v>4</x:v>
      </x:c>
      <x:c r="O731" s="9" t="str">
        <x:v>Place the listed objects. Arrange Expected Target as the unique answer to the prompt; keep the bowl empty and save a reference image.</x:v>
      </x:c>
      <x:c r="P731" s="9" t="str">
        <x:v>Both candidates are present. The held-out relation is the only information that identifies the target.</x:v>
      </x:c>
      <x:c r="Q731" s="9"/>
      <x:c r="R731" s="10" t="n">
        <x:v>4</x:v>
      </x:c>
      <x:c r="S731" s="10" t="n">
        <x:v>1</x:v>
      </x:c>
      <x:c r="T731" s="9" t="str">
        <x:v>Empty</x:v>
      </x:c>
      <x:c r="U731" s="9"/>
      <x:c r="V731" s="9"/>
      <x:c r="W731" s="9"/>
      <x:c r="X731" s="10"/>
      <x:c r="Y731" s="10"/>
      <x:c r="Z731" s="9"/>
      <x:c r="AA731" s="9"/>
      <x:c r="AB731" s="9" t="str">
        <x:v>closest</x:v>
      </x:c>
      <x:c r="AC731" s="9"/>
      <x:c r="AD731" s="9"/>
      <x:c r="AE731" s="9"/>
      <x:c r="AF731" s="9"/>
      <x:c r="AG731" s="9" t="str">
        <x:v>crushed soda can</x:v>
      </x:c>
      <x:c r="AH731" s="9"/>
      <x:c r="AI731" s="11"/>
      <x:c r="AJ731" s="9"/>
      <x:c r="AK731" s="9" t="str">
        <x:v>Eval_Referential_Disambiguation.xlsm</x:v>
      </x:c>
      <x:c r="AL731" s="9" t="str">
        <x:v>GR00T vision-only Results</x:v>
      </x:c>
      <x:c r="AM731" s="9" t="n">
        <x:v>111</x:v>
      </x:c>
      <x:c r="AN731" s="9" t="n">
        <x:v>111</x:v>
      </x:c>
    </x:row>
    <x:row r="732">
      <x:c r="A732" s="9" t="str">
        <x:v>Success</x:v>
      </x:c>
      <x:c r="B732" s="9" t="str">
        <x:v>Referential Disambiguation</x:v>
      </x:c>
      <x:c r="C732" s="10" t="n">
        <x:v>110</x:v>
      </x:c>
      <x:c r="D732" s="9" t="str">
        <x:v>Pick up the block closest to the crushed Coke can and place it in the bowl.</x:v>
      </x:c>
      <x:c r="E732" s="9" t="str">
        <x:v>green block; blue block; crushed Coke can</x:v>
      </x:c>
      <x:c r="F732" s="9" t="str">
        <x:v>green block</x:v>
      </x:c>
      <x:c r="G732" s="9"/>
      <x:c r="H732" s="9" t="str">
        <x:v>Cross-task block reasoning</x:v>
      </x:c>
      <x:c r="I732" s="9" t="str">
        <x:v>RD-BLOCK01</x:v>
      </x:c>
      <x:c r="J732" s="9" t="str">
        <x:v>Cross-task block candidate pair — closest</x:v>
      </x:c>
      <x:c r="K732" s="9"/>
      <x:c r="L732" s="9" t="str">
        <x:v>500; 1075; 350</x:v>
      </x:c>
      <x:c r="M732" s="9" t="str">
        <x:v>Relation grounding is explicit in Referential Disambiguation, and both block identities are manipulated elsewhere in fine-tuning; block × referential-relation is absent.</x:v>
      </x:c>
      <x:c r="N732" s="9" t="n">
        <x:v>5</x:v>
      </x:c>
      <x:c r="O732" s="9" t="str">
        <x:v>Place the listed objects. Arrange the expected block as the unique closest target; keep the bowl empty.</x:v>
      </x:c>
      <x:c r="P732" s="9" t="str">
        <x:v>Reasoning-only cross-task diagnostic; no direct-name block control is included.</x:v>
      </x:c>
      <x:c r="Q732" s="9"/>
      <x:c r="R732" s="10" t="n">
        <x:v>3</x:v>
      </x:c>
      <x:c r="S732" s="10" t="n">
        <x:v>1</x:v>
      </x:c>
      <x:c r="T732" s="9" t="str">
        <x:v>Empty</x:v>
      </x:c>
      <x:c r="U732" s="9"/>
      <x:c r="V732" s="9"/>
      <x:c r="W732" s="9"/>
      <x:c r="X732" s="10"/>
      <x:c r="Y732" s="10"/>
      <x:c r="Z732" s="9"/>
      <x:c r="AA732" s="9"/>
      <x:c r="AB732" s="9" t="str">
        <x:v>closest</x:v>
      </x:c>
      <x:c r="AC732" s="9"/>
      <x:c r="AD732" s="9"/>
      <x:c r="AE732" s="9"/>
      <x:c r="AF732" s="9"/>
      <x:c r="AG732" s="9" t="str">
        <x:v>block</x:v>
      </x:c>
      <x:c r="AH732" s="9"/>
      <x:c r="AI732" s="11"/>
      <x:c r="AJ732" s="9"/>
      <x:c r="AK732" s="9" t="str">
        <x:v>Eval_Referential_Disambiguation.xlsm</x:v>
      </x:c>
      <x:c r="AL732" s="9" t="str">
        <x:v>GR00T vision-only Results</x:v>
      </x:c>
      <x:c r="AM732" s="9" t="n">
        <x:v>112</x:v>
      </x:c>
      <x:c r="AN732" s="9" t="n">
        <x:v>112</x:v>
      </x:c>
    </x:row>
    <x:row r="733">
      <x:c r="A733" s="9" t="str">
        <x:v>Failure</x:v>
      </x:c>
      <x:c r="B733" s="9" t="str">
        <x:v>Referential Disambiguation</x:v>
      </x:c>
      <x:c r="C733" s="10" t="n">
        <x:v>111</x:v>
      </x:c>
      <x:c r="D733" s="9" t="str">
        <x:v>Put the block furthest from the crushed Coke can in the bowl.</x:v>
      </x:c>
      <x:c r="E733" s="9" t="str">
        <x:v>green block; blue block; crushed Coke can</x:v>
      </x:c>
      <x:c r="F733" s="9" t="str">
        <x:v>blue block</x:v>
      </x:c>
      <x:c r="G733" s="9" t="str">
        <x:v>succeeded reasonind and went to the blue block but failed grasping</x:v>
      </x:c>
      <x:c r="H733" s="9" t="str">
        <x:v>Cross-task block reasoning</x:v>
      </x:c>
      <x:c r="I733" s="9" t="str">
        <x:v>RD-BLOCK01</x:v>
      </x:c>
      <x:c r="J733" s="9" t="str">
        <x:v>Cross-task block candidate pair — furthest</x:v>
      </x:c>
      <x:c r="K733" s="9" t="n">
        <x:v>110</x:v>
      </x:c>
      <x:c r="L733" s="9" t="str">
        <x:v>515; 1075; 350</x:v>
      </x:c>
      <x:c r="M733" s="9" t="str">
        <x:v>Relation grounding is explicit in Referential Disambiguation, and both block identities are manipulated elsewhere in fine-tuning; block × referential-relation is absent.</x:v>
      </x:c>
      <x:c r="N733" s="9" t="n">
        <x:v>5</x:v>
      </x:c>
      <x:c r="O733" s="9" t="str">
        <x:v>Reset the moved block exactly; preserve the scene; change only the relation prompt.</x:v>
      </x:c>
      <x:c r="P733" s="9" t="str">
        <x:v>Exact-scene closest/furthest counterfactual; the correct block switches.</x:v>
      </x:c>
      <x:c r="Q733" s="9"/>
      <x:c r="R733" s="10" t="n">
        <x:v>3</x:v>
      </x:c>
      <x:c r="S733" s="10" t="n">
        <x:v>1</x:v>
      </x:c>
      <x:c r="T733" s="9" t="str">
        <x:v>Empty</x:v>
      </x:c>
      <x:c r="U733" s="9"/>
      <x:c r="V733" s="9"/>
      <x:c r="W733" s="9"/>
      <x:c r="X733" s="10"/>
      <x:c r="Y733" s="10"/>
      <x:c r="Z733" s="9"/>
      <x:c r="AA733" s="9"/>
      <x:c r="AB733" s="9" t="str">
        <x:v>furthest</x:v>
      </x:c>
      <x:c r="AC733" s="9"/>
      <x:c r="AD733" s="9"/>
      <x:c r="AE733" s="9"/>
      <x:c r="AF733" s="9"/>
      <x:c r="AG733" s="9" t="str">
        <x:v>block</x:v>
      </x:c>
      <x:c r="AH733" s="9"/>
      <x:c r="AI733" s="11"/>
      <x:c r="AJ733" s="9"/>
      <x:c r="AK733" s="9" t="str">
        <x:v>Eval_Referential_Disambiguation.xlsm</x:v>
      </x:c>
      <x:c r="AL733" s="9" t="str">
        <x:v>GR00T vision-only Results</x:v>
      </x:c>
      <x:c r="AM733" s="9" t="n">
        <x:v>113</x:v>
      </x:c>
      <x:c r="AN733" s="9" t="n">
        <x:v>113</x:v>
      </x:c>
    </x:row>
    <x:row r="734">
      <x:c r="A734" s="9" t="str">
        <x:v>Failure</x:v>
      </x:c>
      <x:c r="B734" s="9" t="str">
        <x:v>Referential Disambiguation</x:v>
      </x:c>
      <x:c r="C734" s="10" t="n">
        <x:v>112</x:v>
      </x:c>
      <x:c r="D734" s="9" t="str">
        <x:v>Put the block closest to the green pencil sharpener in the bowl.</x:v>
      </x:c>
      <x:c r="E734" s="9" t="str">
        <x:v>green block; blue block; green pencil sharpener; airplane toy without propellers</x:v>
      </x:c>
      <x:c r="F734" s="9" t="str">
        <x:v>blue block</x:v>
      </x:c>
      <x:c r="G734" s="9" t="str">
        <x:v>succeeded reasonind and went to the blue block but failed grasping; during recovery tried to grab the green pencil sharpener, but failed</x:v>
      </x:c>
      <x:c r="H734" s="9" t="str">
        <x:v>Cross-task block reasoning</x:v>
      </x:c>
      <x:c r="I734" s="9" t="str">
        <x:v>RD-BLOCK02</x:v>
      </x:c>
      <x:c r="J734" s="9" t="str">
        <x:v>Cross-task block candidate pair — closest</x:v>
      </x:c>
      <x:c r="K734" s="9"/>
      <x:c r="L734" s="9" t="str">
        <x:v>500; 1075; 350</x:v>
      </x:c>
      <x:c r="M734" s="9" t="str">
        <x:v>Relation grounding is explicit in Referential Disambiguation, and both block identities are manipulated elsewhere in fine-tuning; block × referential-relation is absent.</x:v>
      </x:c>
      <x:c r="N734" s="9" t="n">
        <x:v>5</x:v>
      </x:c>
      <x:c r="O734" s="9" t="str">
        <x:v>Place the listed objects. Arrange the expected block as the unique closest target; keep the bowl empty.</x:v>
      </x:c>
      <x:c r="P734" s="9" t="str">
        <x:v>Reasoning-only cross-task diagnostic; no direct-name block control is included.</x:v>
      </x:c>
      <x:c r="Q734" s="9"/>
      <x:c r="R734" s="10" t="n">
        <x:v>4</x:v>
      </x:c>
      <x:c r="S734" s="10" t="n">
        <x:v>1</x:v>
      </x:c>
      <x:c r="T734" s="9" t="str">
        <x:v>Empty</x:v>
      </x:c>
      <x:c r="U734" s="9"/>
      <x:c r="V734" s="9"/>
      <x:c r="W734" s="9"/>
      <x:c r="X734" s="10"/>
      <x:c r="Y734" s="10"/>
      <x:c r="Z734" s="9"/>
      <x:c r="AA734" s="9"/>
      <x:c r="AB734" s="9" t="str">
        <x:v>closest</x:v>
      </x:c>
      <x:c r="AC734" s="9"/>
      <x:c r="AD734" s="9"/>
      <x:c r="AE734" s="9"/>
      <x:c r="AF734" s="9"/>
      <x:c r="AG734" s="9" t="str">
        <x:v>block</x:v>
      </x:c>
      <x:c r="AH734" s="9"/>
      <x:c r="AI734" s="11"/>
      <x:c r="AJ734" s="9"/>
      <x:c r="AK734" s="9" t="str">
        <x:v>Eval_Referential_Disambiguation.xlsm</x:v>
      </x:c>
      <x:c r="AL734" s="9" t="str">
        <x:v>GR00T vision-only Results</x:v>
      </x:c>
      <x:c r="AM734" s="9" t="n">
        <x:v>114</x:v>
      </x:c>
      <x:c r="AN734" s="9" t="n">
        <x:v>114</x:v>
      </x:c>
    </x:row>
    <x:row r="735">
      <x:c r="A735" s="9" t="str">
        <x:v>Failure</x:v>
      </x:c>
      <x:c r="B735" s="9" t="str">
        <x:v>Referential Disambiguation</x:v>
      </x:c>
      <x:c r="C735" s="10" t="n">
        <x:v>113</x:v>
      </x:c>
      <x:c r="D735" s="9" t="str">
        <x:v>Move the block furthest from the green pencil sharpener into the bowl.</x:v>
      </x:c>
      <x:c r="E735" s="9" t="str">
        <x:v>green block; blue block; green pencil sharpener; airplane toy without propellers</x:v>
      </x:c>
      <x:c r="F735" s="9" t="str">
        <x:v>green block</x:v>
      </x:c>
      <x:c r="G735" s="9" t="str">
        <x:v>picked the green pencil sharpener</x:v>
      </x:c>
      <x:c r="H735" s="9" t="str">
        <x:v>Cross-task block reasoning</x:v>
      </x:c>
      <x:c r="I735" s="9" t="str">
        <x:v>RD-BLOCK02</x:v>
      </x:c>
      <x:c r="J735" s="9" t="str">
        <x:v>Cross-task block candidate pair — furthest</x:v>
      </x:c>
      <x:c r="K735" s="9" t="n">
        <x:v>112</x:v>
      </x:c>
      <x:c r="L735" s="9" t="str">
        <x:v>515; 1075; 350</x:v>
      </x:c>
      <x:c r="M735" s="9" t="str">
        <x:v>Relation grounding is explicit in Referential Disambiguation, and both block identities are manipulated elsewhere in fine-tuning; block × referential-relation is absent.</x:v>
      </x:c>
      <x:c r="N735" s="9" t="n">
        <x:v>5</x:v>
      </x:c>
      <x:c r="O735" s="9" t="str">
        <x:v>Reset the moved block exactly; preserve the scene; change only the relation prompt.</x:v>
      </x:c>
      <x:c r="P735" s="9" t="str">
        <x:v>Exact-scene closest/furthest counterfactual; the correct block switches.</x:v>
      </x:c>
      <x:c r="Q735" s="9"/>
      <x:c r="R735" s="10" t="n">
        <x:v>4</x:v>
      </x:c>
      <x:c r="S735" s="10" t="n">
        <x:v>1</x:v>
      </x:c>
      <x:c r="T735" s="9" t="str">
        <x:v>Empty</x:v>
      </x:c>
      <x:c r="U735" s="9"/>
      <x:c r="V735" s="9"/>
      <x:c r="W735" s="9"/>
      <x:c r="X735" s="10"/>
      <x:c r="Y735" s="10"/>
      <x:c r="Z735" s="9"/>
      <x:c r="AA735" s="9"/>
      <x:c r="AB735" s="9" t="str">
        <x:v>furthest</x:v>
      </x:c>
      <x:c r="AC735" s="9"/>
      <x:c r="AD735" s="9"/>
      <x:c r="AE735" s="9"/>
      <x:c r="AF735" s="9"/>
      <x:c r="AG735" s="9" t="str">
        <x:v>block</x:v>
      </x:c>
      <x:c r="AH735" s="9"/>
      <x:c r="AI735" s="11"/>
      <x:c r="AJ735" s="9"/>
      <x:c r="AK735" s="9" t="str">
        <x:v>Eval_Referential_Disambiguation.xlsm</x:v>
      </x:c>
      <x:c r="AL735" s="9" t="str">
        <x:v>GR00T vision-only Results</x:v>
      </x:c>
      <x:c r="AM735" s="9" t="n">
        <x:v>115</x:v>
      </x:c>
      <x:c r="AN735" s="9" t="n">
        <x:v>115</x:v>
      </x:c>
    </x:row>
    <x:row r="736">
      <x:c r="A736" s="9" t="str">
        <x:v>Failure</x:v>
      </x:c>
      <x:c r="B736" s="9" t="str">
        <x:v>Referential Disambiguation</x:v>
      </x:c>
      <x:c r="C736" s="10" t="n">
        <x:v>114</x:v>
      </x:c>
      <x:c r="D736" s="9" t="str">
        <x:v>Move the block closest to the green pen into the bowl.</x:v>
      </x:c>
      <x:c r="E736" s="9" t="str">
        <x:v>green block; blue block; green pen</x:v>
      </x:c>
      <x:c r="F736" s="9" t="str">
        <x:v>green block</x:v>
      </x:c>
      <x:c r="G736" s="9" t="str">
        <x:v>picked the green pencil sharpener</x:v>
      </x:c>
      <x:c r="H736" s="9" t="str">
        <x:v>Cross-task block reasoning</x:v>
      </x:c>
      <x:c r="I736" s="9" t="str">
        <x:v>RD-BLOCK03</x:v>
      </x:c>
      <x:c r="J736" s="9" t="str">
        <x:v>Cross-task block candidate pair — closest</x:v>
      </x:c>
      <x:c r="K736" s="9"/>
      <x:c r="L736" s="9" t="str">
        <x:v>500; 1075; 350</x:v>
      </x:c>
      <x:c r="M736" s="9" t="str">
        <x:v>Relation grounding is explicit in Referential Disambiguation, and both block identities are manipulated elsewhere in fine-tuning; block × referential-relation is absent.</x:v>
      </x:c>
      <x:c r="N736" s="9" t="n">
        <x:v>5</x:v>
      </x:c>
      <x:c r="O736" s="9" t="str">
        <x:v>Place the listed objects. Arrange the expected block as the unique closest target; keep the bowl empty.</x:v>
      </x:c>
      <x:c r="P736" s="9" t="str">
        <x:v>Reasoning-only cross-task diagnostic; no direct-name block control is included.</x:v>
      </x:c>
      <x:c r="Q736" s="9"/>
      <x:c r="R736" s="10" t="n">
        <x:v>3</x:v>
      </x:c>
      <x:c r="S736" s="10" t="n">
        <x:v>1</x:v>
      </x:c>
      <x:c r="T736" s="9" t="str">
        <x:v>Empty</x:v>
      </x:c>
      <x:c r="U736" s="9"/>
      <x:c r="V736" s="9"/>
      <x:c r="W736" s="9"/>
      <x:c r="X736" s="10"/>
      <x:c r="Y736" s="10"/>
      <x:c r="Z736" s="9"/>
      <x:c r="AA736" s="9"/>
      <x:c r="AB736" s="9" t="str">
        <x:v>closest</x:v>
      </x:c>
      <x:c r="AC736" s="9"/>
      <x:c r="AD736" s="9"/>
      <x:c r="AE736" s="9"/>
      <x:c r="AF736" s="9"/>
      <x:c r="AG736" s="9" t="str">
        <x:v>block</x:v>
      </x:c>
      <x:c r="AH736" s="9"/>
      <x:c r="AI736" s="11"/>
      <x:c r="AJ736" s="9"/>
      <x:c r="AK736" s="9" t="str">
        <x:v>Eval_Referential_Disambiguation.xlsm</x:v>
      </x:c>
      <x:c r="AL736" s="9" t="str">
        <x:v>GR00T vision-only Results</x:v>
      </x:c>
      <x:c r="AM736" s="9" t="n">
        <x:v>116</x:v>
      </x:c>
      <x:c r="AN736" s="9" t="n">
        <x:v>116</x:v>
      </x:c>
    </x:row>
    <x:row r="737">
      <x:c r="A737" s="9" t="str">
        <x:v>Success</x:v>
      </x:c>
      <x:c r="B737" s="9" t="str">
        <x:v>Referential Disambiguation</x:v>
      </x:c>
      <x:c r="C737" s="10" t="n">
        <x:v>115</x:v>
      </x:c>
      <x:c r="D737" s="9" t="str">
        <x:v>Pick up the block furthest from the green pen and place it in the bowl.</x:v>
      </x:c>
      <x:c r="E737" s="9" t="str">
        <x:v>green block; blue block; green pen</x:v>
      </x:c>
      <x:c r="F737" s="9" t="str">
        <x:v>blue block</x:v>
      </x:c>
      <x:c r="G737" s="9"/>
      <x:c r="H737" s="9" t="str">
        <x:v>Cross-task block reasoning</x:v>
      </x:c>
      <x:c r="I737" s="9" t="str">
        <x:v>RD-BLOCK03</x:v>
      </x:c>
      <x:c r="J737" s="9" t="str">
        <x:v>Cross-task block candidate pair — furthest</x:v>
      </x:c>
      <x:c r="K737" s="9" t="n">
        <x:v>114</x:v>
      </x:c>
      <x:c r="L737" s="9" t="str">
        <x:v>515; 1075; 350</x:v>
      </x:c>
      <x:c r="M737" s="9" t="str">
        <x:v>Relation grounding is explicit in Referential Disambiguation, and both block identities are manipulated elsewhere in fine-tuning; block × referential-relation is absent.</x:v>
      </x:c>
      <x:c r="N737" s="9" t="n">
        <x:v>5</x:v>
      </x:c>
      <x:c r="O737" s="9" t="str">
        <x:v>Reset the moved block exactly; preserve the scene; change only the relation prompt.</x:v>
      </x:c>
      <x:c r="P737" s="9" t="str">
        <x:v>Exact-scene closest/furthest counterfactual; the correct block switches.</x:v>
      </x:c>
      <x:c r="Q737" s="9"/>
      <x:c r="R737" s="10" t="n">
        <x:v>3</x:v>
      </x:c>
      <x:c r="S737" s="10" t="n">
        <x:v>1</x:v>
      </x:c>
      <x:c r="T737" s="9" t="str">
        <x:v>Empty</x:v>
      </x:c>
      <x:c r="U737" s="9"/>
      <x:c r="V737" s="9"/>
      <x:c r="W737" s="9"/>
      <x:c r="X737" s="10"/>
      <x:c r="Y737" s="10"/>
      <x:c r="Z737" s="9"/>
      <x:c r="AA737" s="9"/>
      <x:c r="AB737" s="9" t="str">
        <x:v>furthest</x:v>
      </x:c>
      <x:c r="AC737" s="9"/>
      <x:c r="AD737" s="9"/>
      <x:c r="AE737" s="9"/>
      <x:c r="AF737" s="9"/>
      <x:c r="AG737" s="9" t="str">
        <x:v>block</x:v>
      </x:c>
      <x:c r="AH737" s="9"/>
      <x:c r="AI737" s="11"/>
      <x:c r="AJ737" s="9"/>
      <x:c r="AK737" s="9" t="str">
        <x:v>Eval_Referential_Disambiguation.xlsm</x:v>
      </x:c>
      <x:c r="AL737" s="9" t="str">
        <x:v>GR00T vision-only Results</x:v>
      </x:c>
      <x:c r="AM737" s="9" t="n">
        <x:v>117</x:v>
      </x:c>
      <x:c r="AN737" s="9" t="n">
        <x:v>117</x:v>
      </x:c>
    </x:row>
    <x:row r="738">
      <x:c r="A738" s="9" t="str">
        <x:v>Success</x:v>
      </x:c>
      <x:c r="B738" s="9" t="str">
        <x:v>Referential Disambiguation</x:v>
      </x:c>
      <x:c r="C738" s="10" t="n">
        <x:v>116</x:v>
      </x:c>
      <x:c r="D738" s="9" t="str">
        <x:v>Pick up the block closest to the airplane toy with propellers and place it in the bowl.</x:v>
      </x:c>
      <x:c r="E738" s="9" t="str">
        <x:v>green block; blue block; airplane toy with propellers; crushed Pepsi can</x:v>
      </x:c>
      <x:c r="F738" s="9" t="str">
        <x:v>blue block</x:v>
      </x:c>
      <x:c r="G738" s="9"/>
      <x:c r="H738" s="9" t="str">
        <x:v>Cross-task block reasoning</x:v>
      </x:c>
      <x:c r="I738" s="9" t="str">
        <x:v>RD-BLOCK04</x:v>
      </x:c>
      <x:c r="J738" s="9" t="str">
        <x:v>Cross-task block candidate pair — closest</x:v>
      </x:c>
      <x:c r="K738" s="9"/>
      <x:c r="L738" s="9" t="str">
        <x:v>500; 1075; 350</x:v>
      </x:c>
      <x:c r="M738" s="9" t="str">
        <x:v>Relation grounding is explicit in Referential Disambiguation, and both block identities are manipulated elsewhere in fine-tuning; block × referential-relation is absent.</x:v>
      </x:c>
      <x:c r="N738" s="9" t="n">
        <x:v>5</x:v>
      </x:c>
      <x:c r="O738" s="9" t="str">
        <x:v>Place the listed objects. Arrange the expected block as the unique closest target; keep the bowl empty.</x:v>
      </x:c>
      <x:c r="P738" s="9" t="str">
        <x:v>Reasoning-only cross-task diagnostic; no direct-name block control is included.</x:v>
      </x:c>
      <x:c r="Q738" s="9"/>
      <x:c r="R738" s="10" t="n">
        <x:v>4</x:v>
      </x:c>
      <x:c r="S738" s="10" t="n">
        <x:v>1</x:v>
      </x:c>
      <x:c r="T738" s="9" t="str">
        <x:v>Empty</x:v>
      </x:c>
      <x:c r="U738" s="9"/>
      <x:c r="V738" s="9"/>
      <x:c r="W738" s="9"/>
      <x:c r="X738" s="10"/>
      <x:c r="Y738" s="10"/>
      <x:c r="Z738" s="9"/>
      <x:c r="AA738" s="9"/>
      <x:c r="AB738" s="9" t="str">
        <x:v>closest</x:v>
      </x:c>
      <x:c r="AC738" s="9"/>
      <x:c r="AD738" s="9"/>
      <x:c r="AE738" s="9"/>
      <x:c r="AF738" s="9"/>
      <x:c r="AG738" s="9" t="str">
        <x:v>block</x:v>
      </x:c>
      <x:c r="AH738" s="9"/>
      <x:c r="AI738" s="11"/>
      <x:c r="AJ738" s="9"/>
      <x:c r="AK738" s="9" t="str">
        <x:v>Eval_Referential_Disambiguation.xlsm</x:v>
      </x:c>
      <x:c r="AL738" s="9" t="str">
        <x:v>GR00T vision-only Results</x:v>
      </x:c>
      <x:c r="AM738" s="9" t="n">
        <x:v>118</x:v>
      </x:c>
      <x:c r="AN738" s="9" t="n">
        <x:v>118</x:v>
      </x:c>
    </x:row>
    <x:row r="739">
      <x:c r="A739" s="9" t="str">
        <x:v>Failure</x:v>
      </x:c>
      <x:c r="B739" s="9" t="str">
        <x:v>Referential Disambiguation</x:v>
      </x:c>
      <x:c r="C739" s="10" t="n">
        <x:v>117</x:v>
      </x:c>
      <x:c r="D739" s="9" t="str">
        <x:v>Put the block furthest from the airplane toy with propellers in the bowl.</x:v>
      </x:c>
      <x:c r="E739" s="9" t="str">
        <x:v>green block; blue block; airplane toy with propellers; crushed Pepsi can</x:v>
      </x:c>
      <x:c r="F739" s="9" t="str">
        <x:v>green block</x:v>
      </x:c>
      <x:c r="G739" s="9" t="str">
        <x:v>picked the airplane toy</x:v>
      </x:c>
      <x:c r="H739" s="9" t="str">
        <x:v>Cross-task block reasoning</x:v>
      </x:c>
      <x:c r="I739" s="9" t="str">
        <x:v>RD-BLOCK04</x:v>
      </x:c>
      <x:c r="J739" s="9" t="str">
        <x:v>Cross-task block candidate pair — furthest</x:v>
      </x:c>
      <x:c r="K739" s="9" t="n">
        <x:v>116</x:v>
      </x:c>
      <x:c r="L739" s="9" t="str">
        <x:v>515; 1075; 350</x:v>
      </x:c>
      <x:c r="M739" s="9" t="str">
        <x:v>Relation grounding is explicit in Referential Disambiguation, and both block identities are manipulated elsewhere in fine-tuning; block × referential-relation is absent.</x:v>
      </x:c>
      <x:c r="N739" s="9" t="n">
        <x:v>5</x:v>
      </x:c>
      <x:c r="O739" s="9" t="str">
        <x:v>Reset the moved block exactly; preserve the scene; change only the relation prompt.</x:v>
      </x:c>
      <x:c r="P739" s="9" t="str">
        <x:v>Exact-scene closest/furthest counterfactual; the correct block switches.</x:v>
      </x:c>
      <x:c r="Q739" s="9"/>
      <x:c r="R739" s="10" t="n">
        <x:v>4</x:v>
      </x:c>
      <x:c r="S739" s="10" t="n">
        <x:v>1</x:v>
      </x:c>
      <x:c r="T739" s="9" t="str">
        <x:v>Empty</x:v>
      </x:c>
      <x:c r="U739" s="9"/>
      <x:c r="V739" s="9"/>
      <x:c r="W739" s="9"/>
      <x:c r="X739" s="10"/>
      <x:c r="Y739" s="10"/>
      <x:c r="Z739" s="9"/>
      <x:c r="AA739" s="9"/>
      <x:c r="AB739" s="9" t="str">
        <x:v>furthest</x:v>
      </x:c>
      <x:c r="AC739" s="9"/>
      <x:c r="AD739" s="9"/>
      <x:c r="AE739" s="9"/>
      <x:c r="AF739" s="9"/>
      <x:c r="AG739" s="9" t="str">
        <x:v>block</x:v>
      </x:c>
      <x:c r="AH739" s="9"/>
      <x:c r="AI739" s="11"/>
      <x:c r="AJ739" s="9"/>
      <x:c r="AK739" s="9" t="str">
        <x:v>Eval_Referential_Disambiguation.xlsm</x:v>
      </x:c>
      <x:c r="AL739" s="9" t="str">
        <x:v>GR00T vision-only Results</x:v>
      </x:c>
      <x:c r="AM739" s="9" t="n">
        <x:v>119</x:v>
      </x:c>
      <x:c r="AN739" s="9" t="n">
        <x:v>119</x:v>
      </x:c>
    </x:row>
    <x:row r="740">
      <x:c r="A740" s="9" t="str">
        <x:v>Success</x:v>
      </x:c>
      <x:c r="B740" s="9" t="str">
        <x:v>Referential Disambiguation</x:v>
      </x:c>
      <x:c r="C740" s="10" t="n">
        <x:v>118</x:v>
      </x:c>
      <x:c r="D740" s="9" t="str">
        <x:v>Put the block closest to the crushed Coke can in the bowl.</x:v>
      </x:c>
      <x:c r="E740" s="9" t="str">
        <x:v>green block; blue block; crushed Coke can</x:v>
      </x:c>
      <x:c r="F740" s="9" t="str">
        <x:v>green block</x:v>
      </x:c>
      <x:c r="G740" s="9"/>
      <x:c r="H740" s="9" t="str">
        <x:v>Cross-task block reasoning</x:v>
      </x:c>
      <x:c r="I740" s="9" t="str">
        <x:v>RD-BLOCK05</x:v>
      </x:c>
      <x:c r="J740" s="9" t="str">
        <x:v>Cross-task block candidate pair — closest</x:v>
      </x:c>
      <x:c r="K740" s="9"/>
      <x:c r="L740" s="9" t="str">
        <x:v>500; 1075; 350</x:v>
      </x:c>
      <x:c r="M740" s="9" t="str">
        <x:v>Relation grounding is explicit in Referential Disambiguation, and both block identities are manipulated elsewhere in fine-tuning; block × referential-relation is absent.</x:v>
      </x:c>
      <x:c r="N740" s="9" t="n">
        <x:v>5</x:v>
      </x:c>
      <x:c r="O740" s="9" t="str">
        <x:v>Place the listed objects. Arrange the expected block as the unique closest target; keep the bowl empty.</x:v>
      </x:c>
      <x:c r="P740" s="9" t="str">
        <x:v>Reasoning-only cross-task diagnostic; no direct-name block control is included.</x:v>
      </x:c>
      <x:c r="Q740" s="9"/>
      <x:c r="R740" s="10" t="n">
        <x:v>3</x:v>
      </x:c>
      <x:c r="S740" s="10" t="n">
        <x:v>1</x:v>
      </x:c>
      <x:c r="T740" s="9" t="str">
        <x:v>Empty</x:v>
      </x:c>
      <x:c r="U740" s="9"/>
      <x:c r="V740" s="9"/>
      <x:c r="W740" s="9"/>
      <x:c r="X740" s="10"/>
      <x:c r="Y740" s="10"/>
      <x:c r="Z740" s="9"/>
      <x:c r="AA740" s="9"/>
      <x:c r="AB740" s="9" t="str">
        <x:v>closest</x:v>
      </x:c>
      <x:c r="AC740" s="9"/>
      <x:c r="AD740" s="9"/>
      <x:c r="AE740" s="9"/>
      <x:c r="AF740" s="9"/>
      <x:c r="AG740" s="9" t="str">
        <x:v>block</x:v>
      </x:c>
      <x:c r="AH740" s="9"/>
      <x:c r="AI740" s="11"/>
      <x:c r="AJ740" s="9"/>
      <x:c r="AK740" s="9" t="str">
        <x:v>Eval_Referential_Disambiguation.xlsm</x:v>
      </x:c>
      <x:c r="AL740" s="9" t="str">
        <x:v>GR00T vision-only Results</x:v>
      </x:c>
      <x:c r="AM740" s="9" t="n">
        <x:v>120</x:v>
      </x:c>
      <x:c r="AN740" s="9" t="n">
        <x:v>120</x:v>
      </x:c>
    </x:row>
    <x:row r="741">
      <x:c r="A741" s="9" t="str">
        <x:v>Success</x:v>
      </x:c>
      <x:c r="B741" s="9" t="str">
        <x:v>Referential Disambiguation</x:v>
      </x:c>
      <x:c r="C741" s="10" t="n">
        <x:v>119</x:v>
      </x:c>
      <x:c r="D741" s="9" t="str">
        <x:v>Move the block furthest from the crushed Coke can into the bowl.</x:v>
      </x:c>
      <x:c r="E741" s="9" t="str">
        <x:v>green block; blue block; crushed Coke can</x:v>
      </x:c>
      <x:c r="F741" s="9" t="str">
        <x:v>blue block</x:v>
      </x:c>
      <x:c r="G741" s="9"/>
      <x:c r="H741" s="9" t="str">
        <x:v>Cross-task block reasoning</x:v>
      </x:c>
      <x:c r="I741" s="9" t="str">
        <x:v>RD-BLOCK05</x:v>
      </x:c>
      <x:c r="J741" s="9" t="str">
        <x:v>Cross-task block candidate pair — furthest</x:v>
      </x:c>
      <x:c r="K741" s="9" t="n">
        <x:v>118</x:v>
      </x:c>
      <x:c r="L741" s="9" t="str">
        <x:v>515; 1075; 350</x:v>
      </x:c>
      <x:c r="M741" s="9" t="str">
        <x:v>Relation grounding is explicit in Referential Disambiguation, and both block identities are manipulated elsewhere in fine-tuning; block × referential-relation is absent.</x:v>
      </x:c>
      <x:c r="N741" s="9" t="n">
        <x:v>5</x:v>
      </x:c>
      <x:c r="O741" s="9" t="str">
        <x:v>Reset the moved block exactly; preserve the scene; change only the relation prompt.</x:v>
      </x:c>
      <x:c r="P741" s="9" t="str">
        <x:v>Exact-scene closest/furthest counterfactual; the correct block switches.</x:v>
      </x:c>
      <x:c r="Q741" s="9"/>
      <x:c r="R741" s="10" t="n">
        <x:v>3</x:v>
      </x:c>
      <x:c r="S741" s="10" t="n">
        <x:v>1</x:v>
      </x:c>
      <x:c r="T741" s="9" t="str">
        <x:v>Empty</x:v>
      </x:c>
      <x:c r="U741" s="9"/>
      <x:c r="V741" s="9"/>
      <x:c r="W741" s="9"/>
      <x:c r="X741" s="10"/>
      <x:c r="Y741" s="10"/>
      <x:c r="Z741" s="9"/>
      <x:c r="AA741" s="9"/>
      <x:c r="AB741" s="9" t="str">
        <x:v>furthest</x:v>
      </x:c>
      <x:c r="AC741" s="9"/>
      <x:c r="AD741" s="9"/>
      <x:c r="AE741" s="9"/>
      <x:c r="AF741" s="9"/>
      <x:c r="AG741" s="9" t="str">
        <x:v>block</x:v>
      </x:c>
      <x:c r="AH741" s="9"/>
      <x:c r="AI741" s="11"/>
      <x:c r="AJ741" s="9"/>
      <x:c r="AK741" s="9" t="str">
        <x:v>Eval_Referential_Disambiguation.xlsm</x:v>
      </x:c>
      <x:c r="AL741" s="9" t="str">
        <x:v>GR00T vision-only Results</x:v>
      </x:c>
      <x:c r="AM741" s="9" t="n">
        <x:v>121</x:v>
      </x:c>
      <x:c r="AN741" s="9" t="n">
        <x:v>121</x:v>
      </x:c>
    </x:row>
    <x:row r="742">
      <x:c r="A742" s="9" t="str">
        <x:v>Success</x:v>
      </x:c>
      <x:c r="B742" s="9" t="str">
        <x:v>Referential Disambiguation</x:v>
      </x:c>
      <x:c r="C742" s="10" t="n">
        <x:v>120</x:v>
      </x:c>
      <x:c r="D742" s="9" t="str">
        <x:v>Move the block closest to the green pencil sharpener into the bowl.</x:v>
      </x:c>
      <x:c r="E742" s="9" t="str">
        <x:v>green block; blue block; green pencil sharpener; green pen</x:v>
      </x:c>
      <x:c r="F742" s="9" t="str">
        <x:v>blue block</x:v>
      </x:c>
      <x:c r="G742" s="9"/>
      <x:c r="H742" s="9" t="str">
        <x:v>Cross-task block reasoning</x:v>
      </x:c>
      <x:c r="I742" s="9" t="str">
        <x:v>RD-BLOCK06</x:v>
      </x:c>
      <x:c r="J742" s="9" t="str">
        <x:v>Cross-task block candidate pair — closest</x:v>
      </x:c>
      <x:c r="K742" s="9"/>
      <x:c r="L742" s="9" t="str">
        <x:v>500; 1075; 350</x:v>
      </x:c>
      <x:c r="M742" s="9" t="str">
        <x:v>Relation grounding is explicit in Referential Disambiguation, and both block identities are manipulated elsewhere in fine-tuning; block × referential-relation is absent.</x:v>
      </x:c>
      <x:c r="N742" s="9" t="n">
        <x:v>5</x:v>
      </x:c>
      <x:c r="O742" s="9" t="str">
        <x:v>Place the listed objects. Arrange the expected block as the unique closest target; keep the bowl empty.</x:v>
      </x:c>
      <x:c r="P742" s="9" t="str">
        <x:v>Reasoning-only cross-task diagnostic; no direct-name block control is included.</x:v>
      </x:c>
      <x:c r="Q742" s="9"/>
      <x:c r="R742" s="10" t="n">
        <x:v>4</x:v>
      </x:c>
      <x:c r="S742" s="10" t="n">
        <x:v>1</x:v>
      </x:c>
      <x:c r="T742" s="9" t="str">
        <x:v>Empty</x:v>
      </x:c>
      <x:c r="U742" s="9"/>
      <x:c r="V742" s="9"/>
      <x:c r="W742" s="9"/>
      <x:c r="X742" s="10"/>
      <x:c r="Y742" s="10"/>
      <x:c r="Z742" s="9"/>
      <x:c r="AA742" s="9"/>
      <x:c r="AB742" s="9" t="str">
        <x:v>closest</x:v>
      </x:c>
      <x:c r="AC742" s="9"/>
      <x:c r="AD742" s="9"/>
      <x:c r="AE742" s="9"/>
      <x:c r="AF742" s="9"/>
      <x:c r="AG742" s="9" t="str">
        <x:v>block</x:v>
      </x:c>
      <x:c r="AH742" s="9"/>
      <x:c r="AI742" s="11"/>
      <x:c r="AJ742" s="9"/>
      <x:c r="AK742" s="9" t="str">
        <x:v>Eval_Referential_Disambiguation.xlsm</x:v>
      </x:c>
      <x:c r="AL742" s="9" t="str">
        <x:v>GR00T vision-only Results</x:v>
      </x:c>
      <x:c r="AM742" s="9" t="n">
        <x:v>122</x:v>
      </x:c>
      <x:c r="AN742" s="9" t="n">
        <x:v>122</x:v>
      </x:c>
    </x:row>
    <x:row r="743">
      <x:c r="A743" s="9" t="str">
        <x:v>Failure</x:v>
      </x:c>
      <x:c r="B743" s="9" t="str">
        <x:v>Referential Disambiguation</x:v>
      </x:c>
      <x:c r="C743" s="10" t="n">
        <x:v>121</x:v>
      </x:c>
      <x:c r="D743" s="9" t="str">
        <x:v>Pick up the block furthest from the green pencil sharpener and place it in the bowl.</x:v>
      </x:c>
      <x:c r="E743" s="9" t="str">
        <x:v>green block; blue block; green pencil sharpener; green pen</x:v>
      </x:c>
      <x:c r="F743" s="9" t="str">
        <x:v>green block</x:v>
      </x:c>
      <x:c r="G743" s="9" t="str">
        <x:v>picked blue block again</x:v>
      </x:c>
      <x:c r="H743" s="9" t="str">
        <x:v>Cross-task block reasoning</x:v>
      </x:c>
      <x:c r="I743" s="9" t="str">
        <x:v>RD-BLOCK06</x:v>
      </x:c>
      <x:c r="J743" s="9" t="str">
        <x:v>Cross-task block candidate pair — furthest</x:v>
      </x:c>
      <x:c r="K743" s="9" t="n">
        <x:v>120</x:v>
      </x:c>
      <x:c r="L743" s="9" t="str">
        <x:v>515; 1075; 350</x:v>
      </x:c>
      <x:c r="M743" s="9" t="str">
        <x:v>Relation grounding is explicit in Referential Disambiguation, and both block identities are manipulated elsewhere in fine-tuning; block × referential-relation is absent.</x:v>
      </x:c>
      <x:c r="N743" s="9" t="n">
        <x:v>5</x:v>
      </x:c>
      <x:c r="O743" s="9" t="str">
        <x:v>Reset the moved block exactly; preserve the scene; change only the relation prompt.</x:v>
      </x:c>
      <x:c r="P743" s="9" t="str">
        <x:v>Exact-scene closest/furthest counterfactual; the correct block switches.</x:v>
      </x:c>
      <x:c r="Q743" s="9"/>
      <x:c r="R743" s="10" t="n">
        <x:v>4</x:v>
      </x:c>
      <x:c r="S743" s="10" t="n">
        <x:v>1</x:v>
      </x:c>
      <x:c r="T743" s="9" t="str">
        <x:v>Empty</x:v>
      </x:c>
      <x:c r="U743" s="9"/>
      <x:c r="V743" s="9"/>
      <x:c r="W743" s="9"/>
      <x:c r="X743" s="10"/>
      <x:c r="Y743" s="10"/>
      <x:c r="Z743" s="9"/>
      <x:c r="AA743" s="9"/>
      <x:c r="AB743" s="9" t="str">
        <x:v>furthest</x:v>
      </x:c>
      <x:c r="AC743" s="9"/>
      <x:c r="AD743" s="9"/>
      <x:c r="AE743" s="9"/>
      <x:c r="AF743" s="9"/>
      <x:c r="AG743" s="9" t="str">
        <x:v>block</x:v>
      </x:c>
      <x:c r="AH743" s="9"/>
      <x:c r="AI743" s="11"/>
      <x:c r="AJ743" s="9"/>
      <x:c r="AK743" s="9" t="str">
        <x:v>Eval_Referential_Disambiguation.xlsm</x:v>
      </x:c>
      <x:c r="AL743" s="9" t="str">
        <x:v>GR00T vision-only Results</x:v>
      </x:c>
      <x:c r="AM743" s="9" t="n">
        <x:v>123</x:v>
      </x:c>
      <x:c r="AN743" s="9" t="n">
        <x:v>123</x:v>
      </x:c>
    </x:row>
    <x:row r="744">
      <x:c r="A744" s="9" t="str">
        <x:v>Failure</x:v>
      </x:c>
      <x:c r="B744" s="9" t="str">
        <x:v>Referential Disambiguation</x:v>
      </x:c>
      <x:c r="C744" s="10" t="n">
        <x:v>122</x:v>
      </x:c>
      <x:c r="D744" s="9" t="str">
        <x:v>Pick up the block closest to the green pen and place it in the bowl.</x:v>
      </x:c>
      <x:c r="E744" s="9" t="str">
        <x:v>green block; blue block; green pen; yellow pen</x:v>
      </x:c>
      <x:c r="F744" s="9" t="str">
        <x:v>green block</x:v>
      </x:c>
      <x:c r="G744" s="9" t="str">
        <x:v>picked blue block</x:v>
      </x:c>
      <x:c r="H744" s="9" t="str">
        <x:v>Cross-task block reasoning</x:v>
      </x:c>
      <x:c r="I744" s="9" t="str">
        <x:v>RD-BLOCK07</x:v>
      </x:c>
      <x:c r="J744" s="9" t="str">
        <x:v>Cross-task block candidate pair — closest</x:v>
      </x:c>
      <x:c r="K744" s="9"/>
      <x:c r="L744" s="9" t="str">
        <x:v>500; 1075; 350</x:v>
      </x:c>
      <x:c r="M744" s="9" t="str">
        <x:v>Relation grounding is explicit in Referential Disambiguation, and both block identities are manipulated elsewhere in fine-tuning; block × referential-relation is absent.</x:v>
      </x:c>
      <x:c r="N744" s="9" t="n">
        <x:v>5</x:v>
      </x:c>
      <x:c r="O744" s="9" t="str">
        <x:v>Place the listed objects. Arrange the expected block as the unique closest target; keep the bowl empty.</x:v>
      </x:c>
      <x:c r="P744" s="9" t="str">
        <x:v>Reasoning-only cross-task diagnostic; no direct-name block control is included.</x:v>
      </x:c>
      <x:c r="Q744" s="9"/>
      <x:c r="R744" s="10" t="n">
        <x:v>4</x:v>
      </x:c>
      <x:c r="S744" s="10" t="n">
        <x:v>1</x:v>
      </x:c>
      <x:c r="T744" s="9" t="str">
        <x:v>Empty</x:v>
      </x:c>
      <x:c r="U744" s="9"/>
      <x:c r="V744" s="9"/>
      <x:c r="W744" s="9"/>
      <x:c r="X744" s="10"/>
      <x:c r="Y744" s="10"/>
      <x:c r="Z744" s="9"/>
      <x:c r="AA744" s="9"/>
      <x:c r="AB744" s="9" t="str">
        <x:v>closest</x:v>
      </x:c>
      <x:c r="AC744" s="9"/>
      <x:c r="AD744" s="9"/>
      <x:c r="AE744" s="9"/>
      <x:c r="AF744" s="9"/>
      <x:c r="AG744" s="9" t="str">
        <x:v>block</x:v>
      </x:c>
      <x:c r="AH744" s="9"/>
      <x:c r="AI744" s="11"/>
      <x:c r="AJ744" s="9"/>
      <x:c r="AK744" s="9" t="str">
        <x:v>Eval_Referential_Disambiguation.xlsm</x:v>
      </x:c>
      <x:c r="AL744" s="9" t="str">
        <x:v>GR00T vision-only Results</x:v>
      </x:c>
      <x:c r="AM744" s="9" t="n">
        <x:v>124</x:v>
      </x:c>
      <x:c r="AN744" s="9" t="n">
        <x:v>124</x:v>
      </x:c>
    </x:row>
    <x:row r="745">
      <x:c r="A745" s="9" t="str">
        <x:v>Success</x:v>
      </x:c>
      <x:c r="B745" s="9" t="str">
        <x:v>Referential Disambiguation</x:v>
      </x:c>
      <x:c r="C745" s="10" t="n">
        <x:v>123</x:v>
      </x:c>
      <x:c r="D745" s="9" t="str">
        <x:v>Put the block furthest from the green pen in the bowl.</x:v>
      </x:c>
      <x:c r="E745" s="9" t="str">
        <x:v>green block; blue block; green pen; yellow pen</x:v>
      </x:c>
      <x:c r="F745" s="9" t="str">
        <x:v>blue block</x:v>
      </x:c>
      <x:c r="G745" s="9"/>
      <x:c r="H745" s="9" t="str">
        <x:v>Cross-task block reasoning</x:v>
      </x:c>
      <x:c r="I745" s="9" t="str">
        <x:v>RD-BLOCK07</x:v>
      </x:c>
      <x:c r="J745" s="9" t="str">
        <x:v>Cross-task block candidate pair — furthest</x:v>
      </x:c>
      <x:c r="K745" s="9" t="n">
        <x:v>122</x:v>
      </x:c>
      <x:c r="L745" s="9" t="str">
        <x:v>515; 1075; 350</x:v>
      </x:c>
      <x:c r="M745" s="9" t="str">
        <x:v>Relation grounding is explicit in Referential Disambiguation, and both block identities are manipulated elsewhere in fine-tuning; block × referential-relation is absent.</x:v>
      </x:c>
      <x:c r="N745" s="9" t="n">
        <x:v>5</x:v>
      </x:c>
      <x:c r="O745" s="9" t="str">
        <x:v>Reset the moved block exactly; preserve the scene; change only the relation prompt.</x:v>
      </x:c>
      <x:c r="P745" s="9" t="str">
        <x:v>Exact-scene closest/furthest counterfactual; the correct block switches.</x:v>
      </x:c>
      <x:c r="Q745" s="9"/>
      <x:c r="R745" s="10" t="n">
        <x:v>4</x:v>
      </x:c>
      <x:c r="S745" s="10" t="n">
        <x:v>1</x:v>
      </x:c>
      <x:c r="T745" s="9" t="str">
        <x:v>Empty</x:v>
      </x:c>
      <x:c r="U745" s="9"/>
      <x:c r="V745" s="9"/>
      <x:c r="W745" s="9"/>
      <x:c r="X745" s="10"/>
      <x:c r="Y745" s="10"/>
      <x:c r="Z745" s="9"/>
      <x:c r="AA745" s="9"/>
      <x:c r="AB745" s="9" t="str">
        <x:v>furthest</x:v>
      </x:c>
      <x:c r="AC745" s="9"/>
      <x:c r="AD745" s="9"/>
      <x:c r="AE745" s="9"/>
      <x:c r="AF745" s="9"/>
      <x:c r="AG745" s="9" t="str">
        <x:v>block</x:v>
      </x:c>
      <x:c r="AH745" s="9"/>
      <x:c r="AI745" s="11"/>
      <x:c r="AJ745" s="9"/>
      <x:c r="AK745" s="9" t="str">
        <x:v>Eval_Referential_Disambiguation.xlsm</x:v>
      </x:c>
      <x:c r="AL745" s="9" t="str">
        <x:v>GR00T vision-only Results</x:v>
      </x:c>
      <x:c r="AM745" s="9" t="n">
        <x:v>125</x:v>
      </x:c>
      <x:c r="AN745" s="9" t="n">
        <x:v>125</x:v>
      </x:c>
    </x:row>
    <x:row r="746">
      <x:c r="A746" s="9" t="str">
        <x:v>Failure</x:v>
      </x:c>
      <x:c r="B746" s="9" t="str">
        <x:v>Referential Disambiguation</x:v>
      </x:c>
      <x:c r="C746" s="10" t="n">
        <x:v>124</x:v>
      </x:c>
      <x:c r="D746" s="9" t="str">
        <x:v>Pick up the block between the green pen and the crushed Coke can and place it in the bowl.</x:v>
      </x:c>
      <x:c r="E746" s="9" t="str">
        <x:v>green block; blue block; green pen; crushed Coke can</x:v>
      </x:c>
      <x:c r="F746" s="9" t="str">
        <x:v>green block</x:v>
      </x:c>
      <x:c r="G746" s="9" t="str">
        <x:v>succeeded reasoning; tried picking green block but couldn't and drifted to the right</x:v>
      </x:c>
      <x:c r="H746" s="9" t="str">
        <x:v>Cross-task block reasoning</x:v>
      </x:c>
      <x:c r="I746" s="9" t="str">
        <x:v>RD-BLOCK-B01A</x:v>
      </x:c>
      <x:c r="J746" s="9" t="str">
        <x:v>Cross-task block candidate pair — between</x:v>
      </x:c>
      <x:c r="K746" s="9"/>
      <x:c r="L746" s="9" t="str">
        <x:v>530; 1075; 350</x:v>
      </x:c>
      <x:c r="M746" s="9" t="str">
        <x:v>Between is explicit in Referential Disambiguation, and both block identities are manipulated elsewhere in fine-tuning; block × between is absent.</x:v>
      </x:c>
      <x:c r="N746" s="9" t="n">
        <x:v>5</x:v>
      </x:c>
      <x:c r="O746" s="9" t="str">
        <x:v>Place the listed objects. Put Expected Target between the two named references and the other block outside that segment.</x:v>
      </x:c>
      <x:c r="P746" s="9" t="str">
        <x:v>Adjacent between counterfactual scenes alternate which block occupies the midpoint.</x:v>
      </x:c>
      <x:c r="Q746" s="9"/>
      <x:c r="R746" s="10" t="n">
        <x:v>4</x:v>
      </x:c>
      <x:c r="S746" s="10" t="n">
        <x:v>1</x:v>
      </x:c>
      <x:c r="T746" s="9" t="str">
        <x:v>Empty</x:v>
      </x:c>
      <x:c r="U746" s="9"/>
      <x:c r="V746" s="9"/>
      <x:c r="W746" s="9"/>
      <x:c r="X746" s="10"/>
      <x:c r="Y746" s="10"/>
      <x:c r="Z746" s="9"/>
      <x:c r="AA746" s="9"/>
      <x:c r="AB746" s="9" t="str">
        <x:v>between</x:v>
      </x:c>
      <x:c r="AC746" s="9"/>
      <x:c r="AD746" s="9"/>
      <x:c r="AE746" s="9"/>
      <x:c r="AF746" s="9"/>
      <x:c r="AG746" s="9" t="str">
        <x:v>block</x:v>
      </x:c>
      <x:c r="AH746" s="9"/>
      <x:c r="AI746" s="11"/>
      <x:c r="AJ746" s="9"/>
      <x:c r="AK746" s="9" t="str">
        <x:v>Eval_Referential_Disambiguation.xlsm</x:v>
      </x:c>
      <x:c r="AL746" s="9" t="str">
        <x:v>GR00T vision-only Results</x:v>
      </x:c>
      <x:c r="AM746" s="9" t="n">
        <x:v>126</x:v>
      </x:c>
      <x:c r="AN746" s="9" t="n">
        <x:v>126</x:v>
      </x:c>
    </x:row>
    <x:row r="747">
      <x:c r="A747" s="9" t="str">
        <x:v>Success</x:v>
      </x:c>
      <x:c r="B747" s="9" t="str">
        <x:v>Referential Disambiguation</x:v>
      </x:c>
      <x:c r="C747" s="10" t="n">
        <x:v>125</x:v>
      </x:c>
      <x:c r="D747" s="9" t="str">
        <x:v>Put the block between the yellow pen and the crushed Pepsi can in the bowl.</x:v>
      </x:c>
      <x:c r="E747" s="9" t="str">
        <x:v>green block; blue block; yellow pen; crushed Pepsi can; red pencil sharpener</x:v>
      </x:c>
      <x:c r="F747" s="9" t="str">
        <x:v>blue block</x:v>
      </x:c>
      <x:c r="G747" s="9"/>
      <x:c r="H747" s="9" t="str">
        <x:v>Cross-task block reasoning</x:v>
      </x:c>
      <x:c r="I747" s="9" t="str">
        <x:v>RD-BLOCK-B01B</x:v>
      </x:c>
      <x:c r="J747" s="9" t="str">
        <x:v>Cross-task block candidate pair — between</x:v>
      </x:c>
      <x:c r="K747" s="9"/>
      <x:c r="L747" s="9" t="str">
        <x:v>530; 1075; 350</x:v>
      </x:c>
      <x:c r="M747" s="9" t="str">
        <x:v>Between is explicit in Referential Disambiguation, and both block identities are manipulated elsewhere in fine-tuning; block × between is absent.</x:v>
      </x:c>
      <x:c r="N747" s="9" t="n">
        <x:v>5</x:v>
      </x:c>
      <x:c r="O747" s="9" t="str">
        <x:v>Place the listed objects. Put Expected Target between the two named references and the other block outside that segment.</x:v>
      </x:c>
      <x:c r="P747" s="9" t="str">
        <x:v>Adjacent between counterfactual scenes alternate which block occupies the midpoint.</x:v>
      </x:c>
      <x:c r="Q747" s="9"/>
      <x:c r="R747" s="10" t="n">
        <x:v>5</x:v>
      </x:c>
      <x:c r="S747" s="10" t="n">
        <x:v>1</x:v>
      </x:c>
      <x:c r="T747" s="9" t="str">
        <x:v>Empty</x:v>
      </x:c>
      <x:c r="U747" s="9"/>
      <x:c r="V747" s="9"/>
      <x:c r="W747" s="9"/>
      <x:c r="X747" s="10"/>
      <x:c r="Y747" s="10"/>
      <x:c r="Z747" s="9"/>
      <x:c r="AA747" s="9"/>
      <x:c r="AB747" s="9" t="str">
        <x:v>between</x:v>
      </x:c>
      <x:c r="AC747" s="9"/>
      <x:c r="AD747" s="9"/>
      <x:c r="AE747" s="9"/>
      <x:c r="AF747" s="9"/>
      <x:c r="AG747" s="9" t="str">
        <x:v>block</x:v>
      </x:c>
      <x:c r="AH747" s="9"/>
      <x:c r="AI747" s="11"/>
      <x:c r="AJ747" s="9"/>
      <x:c r="AK747" s="9" t="str">
        <x:v>Eval_Referential_Disambiguation.xlsm</x:v>
      </x:c>
      <x:c r="AL747" s="9" t="str">
        <x:v>GR00T vision-only Results</x:v>
      </x:c>
      <x:c r="AM747" s="9" t="n">
        <x:v>127</x:v>
      </x:c>
      <x:c r="AN747" s="9" t="n">
        <x:v>127</x:v>
      </x:c>
    </x:row>
    <x:row r="748">
      <x:c r="A748" s="9" t="str">
        <x:v>Failure</x:v>
      </x:c>
      <x:c r="B748" s="9" t="str">
        <x:v>Referential Disambiguation</x:v>
      </x:c>
      <x:c r="C748" s="10" t="n">
        <x:v>126</x:v>
      </x:c>
      <x:c r="D748" s="9" t="str">
        <x:v>Move the block between the green pencil sharpener and the airplane toy with propellers into the bowl.</x:v>
      </x:c>
      <x:c r="E748" s="9" t="str">
        <x:v>green block; blue block; green pencil sharpener; airplane toy with propellers; green pen</x:v>
      </x:c>
      <x:c r="F748" s="9" t="str">
        <x:v>green block</x:v>
      </x:c>
      <x:c r="G748" s="9" t="str">
        <x:v>picked blue block</x:v>
      </x:c>
      <x:c r="H748" s="9" t="str">
        <x:v>Cross-task block reasoning</x:v>
      </x:c>
      <x:c r="I748" s="9" t="str">
        <x:v>RD-BLOCK-B02A</x:v>
      </x:c>
      <x:c r="J748" s="9" t="str">
        <x:v>Cross-task block candidate pair — between</x:v>
      </x:c>
      <x:c r="K748" s="9"/>
      <x:c r="L748" s="9" t="str">
        <x:v>530; 1075; 350</x:v>
      </x:c>
      <x:c r="M748" s="9" t="str">
        <x:v>Between is explicit in Referential Disambiguation, and both block identities are manipulated elsewhere in fine-tuning; block × between is absent.</x:v>
      </x:c>
      <x:c r="N748" s="9" t="n">
        <x:v>5</x:v>
      </x:c>
      <x:c r="O748" s="9" t="str">
        <x:v>Place the listed objects. Put Expected Target between the two named references and the other block outside that segment.</x:v>
      </x:c>
      <x:c r="P748" s="9" t="str">
        <x:v>Adjacent between counterfactual scenes alternate which block occupies the midpoint.</x:v>
      </x:c>
      <x:c r="Q748" s="9"/>
      <x:c r="R748" s="10" t="n">
        <x:v>5</x:v>
      </x:c>
      <x:c r="S748" s="10" t="n">
        <x:v>1</x:v>
      </x:c>
      <x:c r="T748" s="9" t="str">
        <x:v>Empty</x:v>
      </x:c>
      <x:c r="U748" s="9"/>
      <x:c r="V748" s="9"/>
      <x:c r="W748" s="9"/>
      <x:c r="X748" s="10"/>
      <x:c r="Y748" s="10"/>
      <x:c r="Z748" s="9"/>
      <x:c r="AA748" s="9"/>
      <x:c r="AB748" s="9" t="str">
        <x:v>between</x:v>
      </x:c>
      <x:c r="AC748" s="9"/>
      <x:c r="AD748" s="9"/>
      <x:c r="AE748" s="9"/>
      <x:c r="AF748" s="9"/>
      <x:c r="AG748" s="9" t="str">
        <x:v>block</x:v>
      </x:c>
      <x:c r="AH748" s="9"/>
      <x:c r="AI748" s="11"/>
      <x:c r="AJ748" s="9"/>
      <x:c r="AK748" s="9" t="str">
        <x:v>Eval_Referential_Disambiguation.xlsm</x:v>
      </x:c>
      <x:c r="AL748" s="9" t="str">
        <x:v>GR00T vision-only Results</x:v>
      </x:c>
      <x:c r="AM748" s="9" t="n">
        <x:v>128</x:v>
      </x:c>
      <x:c r="AN748" s="9" t="n">
        <x:v>128</x:v>
      </x:c>
    </x:row>
    <x:row r="749">
      <x:c r="A749" s="9" t="str">
        <x:v>Failure</x:v>
      </x:c>
      <x:c r="B749" s="9" t="str">
        <x:v>Referential Disambiguation</x:v>
      </x:c>
      <x:c r="C749" s="10" t="n">
        <x:v>127</x:v>
      </x:c>
      <x:c r="D749" s="9" t="str">
        <x:v>Pick up the block between the red pencil sharpener and the airplane toy without propellers and place it in the bowl.</x:v>
      </x:c>
      <x:c r="E749" s="9" t="str">
        <x:v>green block; blue block; red pencil sharpener; airplane toy without propellers</x:v>
      </x:c>
      <x:c r="F749" s="9" t="str">
        <x:v>blue block</x:v>
      </x:c>
      <x:c r="G749" s="9" t="str">
        <x:v>picked the red sharpener</x:v>
      </x:c>
      <x:c r="H749" s="9" t="str">
        <x:v>Cross-task block reasoning</x:v>
      </x:c>
      <x:c r="I749" s="9" t="str">
        <x:v>RD-BLOCK-B02B</x:v>
      </x:c>
      <x:c r="J749" s="9" t="str">
        <x:v>Cross-task block candidate pair — between</x:v>
      </x:c>
      <x:c r="K749" s="9"/>
      <x:c r="L749" s="9" t="str">
        <x:v>530; 1075; 350</x:v>
      </x:c>
      <x:c r="M749" s="9" t="str">
        <x:v>Between is explicit in Referential Disambiguation, and both block identities are manipulated elsewhere in fine-tuning; block × between is absent.</x:v>
      </x:c>
      <x:c r="N749" s="9" t="n">
        <x:v>5</x:v>
      </x:c>
      <x:c r="O749" s="9" t="str">
        <x:v>Place the listed objects. Put Expected Target between the two named references and the other block outside that segment.</x:v>
      </x:c>
      <x:c r="P749" s="9" t="str">
        <x:v>Adjacent between counterfactual scenes alternate which block occupies the midpoint.</x:v>
      </x:c>
      <x:c r="Q749" s="9"/>
      <x:c r="R749" s="10" t="n">
        <x:v>4</x:v>
      </x:c>
      <x:c r="S749" s="10" t="n">
        <x:v>1</x:v>
      </x:c>
      <x:c r="T749" s="9" t="str">
        <x:v>Empty</x:v>
      </x:c>
      <x:c r="U749" s="9"/>
      <x:c r="V749" s="9"/>
      <x:c r="W749" s="9"/>
      <x:c r="X749" s="10"/>
      <x:c r="Y749" s="10"/>
      <x:c r="Z749" s="9"/>
      <x:c r="AA749" s="9"/>
      <x:c r="AB749" s="9" t="str">
        <x:v>between</x:v>
      </x:c>
      <x:c r="AC749" s="9"/>
      <x:c r="AD749" s="9"/>
      <x:c r="AE749" s="9"/>
      <x:c r="AF749" s="9"/>
      <x:c r="AG749" s="9" t="str">
        <x:v>block</x:v>
      </x:c>
      <x:c r="AH749" s="9"/>
      <x:c r="AI749" s="11"/>
      <x:c r="AJ749" s="9"/>
      <x:c r="AK749" s="9" t="str">
        <x:v>Eval_Referential_Disambiguation.xlsm</x:v>
      </x:c>
      <x:c r="AL749" s="9" t="str">
        <x:v>GR00T vision-only Results</x:v>
      </x:c>
      <x:c r="AM749" s="9" t="n">
        <x:v>129</x:v>
      </x:c>
      <x:c r="AN749" s="9" t="n">
        <x:v>129</x:v>
      </x:c>
    </x:row>
    <x:row r="750">
      <x:c r="A750" s="9" t="str">
        <x:v>Failure</x:v>
      </x:c>
      <x:c r="B750" s="9" t="str">
        <x:v>Referential Disambiguation</x:v>
      </x:c>
      <x:c r="C750" s="10" t="n">
        <x:v>128</x:v>
      </x:c>
      <x:c r="D750" s="9" t="str">
        <x:v>Put the block between the green pen and the airplane toy without propellers in the bowl.</x:v>
      </x:c>
      <x:c r="E750" s="9" t="str">
        <x:v>green block; blue block; green pen; airplane toy without propellers</x:v>
      </x:c>
      <x:c r="F750" s="9" t="str">
        <x:v>green block</x:v>
      </x:c>
      <x:c r="G750" s="9" t="str">
        <x:v>picked blue block</x:v>
      </x:c>
      <x:c r="H750" s="9" t="str">
        <x:v>Cross-task block reasoning</x:v>
      </x:c>
      <x:c r="I750" s="9" t="str">
        <x:v>RD-BLOCK-B03A</x:v>
      </x:c>
      <x:c r="J750" s="9" t="str">
        <x:v>Cross-task block candidate pair — between</x:v>
      </x:c>
      <x:c r="K750" s="9"/>
      <x:c r="L750" s="9" t="str">
        <x:v>530; 1075; 350</x:v>
      </x:c>
      <x:c r="M750" s="9" t="str">
        <x:v>Between is explicit in Referential Disambiguation, and both block identities are manipulated elsewhere in fine-tuning; block × between is absent.</x:v>
      </x:c>
      <x:c r="N750" s="9" t="n">
        <x:v>5</x:v>
      </x:c>
      <x:c r="O750" s="9" t="str">
        <x:v>Place the listed objects. Put Expected Target between the two named references and the other block outside that segment.</x:v>
      </x:c>
      <x:c r="P750" s="9" t="str">
        <x:v>Adjacent between counterfactual scenes alternate which block occupies the midpoint.</x:v>
      </x:c>
      <x:c r="Q750" s="9"/>
      <x:c r="R750" s="10" t="n">
        <x:v>4</x:v>
      </x:c>
      <x:c r="S750" s="10" t="n">
        <x:v>1</x:v>
      </x:c>
      <x:c r="T750" s="9" t="str">
        <x:v>Empty</x:v>
      </x:c>
      <x:c r="U750" s="9"/>
      <x:c r="V750" s="9"/>
      <x:c r="W750" s="9"/>
      <x:c r="X750" s="10"/>
      <x:c r="Y750" s="10"/>
      <x:c r="Z750" s="9"/>
      <x:c r="AA750" s="9"/>
      <x:c r="AB750" s="9" t="str">
        <x:v>between</x:v>
      </x:c>
      <x:c r="AC750" s="9"/>
      <x:c r="AD750" s="9"/>
      <x:c r="AE750" s="9"/>
      <x:c r="AF750" s="9"/>
      <x:c r="AG750" s="9" t="str">
        <x:v>block</x:v>
      </x:c>
      <x:c r="AH750" s="9"/>
      <x:c r="AI750" s="11"/>
      <x:c r="AJ750" s="9"/>
      <x:c r="AK750" s="9" t="str">
        <x:v>Eval_Referential_Disambiguation.xlsm</x:v>
      </x:c>
      <x:c r="AL750" s="9" t="str">
        <x:v>GR00T vision-only Results</x:v>
      </x:c>
      <x:c r="AM750" s="9" t="n">
        <x:v>130</x:v>
      </x:c>
      <x:c r="AN750" s="9" t="n">
        <x:v>130</x:v>
      </x:c>
    </x:row>
    <x:row r="751">
      <x:c r="A751" s="9" t="str">
        <x:v>Failure</x:v>
      </x:c>
      <x:c r="B751" s="9" t="str">
        <x:v>Referential Disambiguation</x:v>
      </x:c>
      <x:c r="C751" s="10" t="n">
        <x:v>129</x:v>
      </x:c>
      <x:c r="D751" s="9" t="str">
        <x:v>Move the block between the yellow pen and the airplane toy with propellers into the bowl.</x:v>
      </x:c>
      <x:c r="E751" s="9" t="str">
        <x:v>green block; blue block; yellow pen; airplane toy with propellers; crushed Coke can</x:v>
      </x:c>
      <x:c r="F751" s="9" t="str">
        <x:v>blue block</x:v>
      </x:c>
      <x:c r="G751" s="9" t="str">
        <x:v>picked yellow pen</x:v>
      </x:c>
      <x:c r="H751" s="9" t="str">
        <x:v>Cross-task block reasoning</x:v>
      </x:c>
      <x:c r="I751" s="9" t="str">
        <x:v>RD-BLOCK-B03B</x:v>
      </x:c>
      <x:c r="J751" s="9" t="str">
        <x:v>Cross-task block candidate pair — between</x:v>
      </x:c>
      <x:c r="K751" s="9"/>
      <x:c r="L751" s="9" t="str">
        <x:v>530; 1075; 350</x:v>
      </x:c>
      <x:c r="M751" s="9" t="str">
        <x:v>Between is explicit in Referential Disambiguation, and both block identities are manipulated elsewhere in fine-tuning; block × between is absent.</x:v>
      </x:c>
      <x:c r="N751" s="9" t="n">
        <x:v>5</x:v>
      </x:c>
      <x:c r="O751" s="9" t="str">
        <x:v>Place the listed objects. Put Expected Target between the two named references and the other block outside that segment.</x:v>
      </x:c>
      <x:c r="P751" s="9" t="str">
        <x:v>Adjacent between counterfactual scenes alternate which block occupies the midpoint.</x:v>
      </x:c>
      <x:c r="Q751" s="9"/>
      <x:c r="R751" s="10" t="n">
        <x:v>5</x:v>
      </x:c>
      <x:c r="S751" s="10" t="n">
        <x:v>1</x:v>
      </x:c>
      <x:c r="T751" s="9" t="str">
        <x:v>Empty</x:v>
      </x:c>
      <x:c r="U751" s="9"/>
      <x:c r="V751" s="9"/>
      <x:c r="W751" s="9"/>
      <x:c r="X751" s="10"/>
      <x:c r="Y751" s="10"/>
      <x:c r="Z751" s="9"/>
      <x:c r="AA751" s="9"/>
      <x:c r="AB751" s="9" t="str">
        <x:v>between</x:v>
      </x:c>
      <x:c r="AC751" s="9"/>
      <x:c r="AD751" s="9"/>
      <x:c r="AE751" s="9"/>
      <x:c r="AF751" s="9"/>
      <x:c r="AG751" s="9" t="str">
        <x:v>block</x:v>
      </x:c>
      <x:c r="AH751" s="9"/>
      <x:c r="AI751" s="11"/>
      <x:c r="AJ751" s="9"/>
      <x:c r="AK751" s="9" t="str">
        <x:v>Eval_Referential_Disambiguation.xlsm</x:v>
      </x:c>
      <x:c r="AL751" s="9" t="str">
        <x:v>GR00T vision-only Results</x:v>
      </x:c>
      <x:c r="AM751" s="9" t="n">
        <x:v>131</x:v>
      </x:c>
      <x:c r="AN751" s="9" t="n">
        <x:v>131</x:v>
      </x:c>
    </x:row>
    <x:row r="752">
      <x:c r="A752" s="9" t="str">
        <x:v>Failure</x:v>
      </x:c>
      <x:c r="B752" s="9" t="str">
        <x:v>Referential Disambiguation</x:v>
      </x:c>
      <x:c r="C752" s="10" t="n">
        <x:v>130</x:v>
      </x:c>
      <x:c r="D752" s="9" t="str">
        <x:v>Pick up the crushed soda can between the green pen and the airplane toy with propellers and place it in the bowl.</x:v>
      </x:c>
      <x:c r="E752" s="9" t="str">
        <x:v>green pen; airplane toy with propellers; yellow pen; airplane toy without propellers</x:v>
      </x:c>
      <x:c r="F752" s="9" t="str">
        <x:v>NO-OP; neither crushed Coke can nor crushed Pepsi can is present</x:v>
      </x:c>
      <x:c r="G752" s="9" t="str">
        <x:v>tried to pick propellor plane like a soda can; didn't actually pick it</x:v>
      </x:c>
      <x:c r="H752" s="9" t="str">
        <x:v>No valid candidate category / no movement</x:v>
      </x:c>
      <x:c r="I752" s="9" t="str">
        <x:v>RD-NOVALID01</x:v>
      </x:c>
      <x:c r="J752" s="9" t="str">
        <x:v>Queried candidate pair absent; bowl remains empty</x:v>
      </x:c>
      <x:c r="K752" s="9"/>
      <x:c r="L752" s="9" t="str">
        <x:v>430</x:v>
      </x:c>
      <x:c r="M752" s="9" t="str">
        <x:v>The relation × candidate-category prompt cell is explicitly trained. The evaluation scene deliberately removes both candidate identities; the abstention outcome is not demonstrated in training.</x:v>
      </x:c>
      <x:c r="N752" s="9" t="n">
        <x:v>6</x:v>
      </x:c>
      <x:c r="O752" s="9" t="str">
        <x:v>Place only the listed objects; neither queried candidate identity may be present. Keep the bowl empty.</x:v>
      </x:c>
      <x:c r="P752" s="9" t="str">
        <x:v>The instruction uses normal active-trial wording. Success requires no grasp or object displacement.</x:v>
      </x:c>
      <x:c r="Q752" s="9"/>
      <x:c r="R752" s="10" t="n">
        <x:v>4</x:v>
      </x:c>
      <x:c r="S752" s="10" t="n">
        <x:v>0</x:v>
      </x:c>
      <x:c r="T752" s="9" t="str">
        <x:v>Empty</x:v>
      </x:c>
      <x:c r="U752" s="9"/>
      <x:c r="V752" s="9"/>
      <x:c r="W752" s="9"/>
      <x:c r="X752" s="10"/>
      <x:c r="Y752" s="10"/>
      <x:c r="Z752" s="9"/>
      <x:c r="AA752" s="9"/>
      <x:c r="AB752" s="9" t="str">
        <x:v>between</x:v>
      </x:c>
      <x:c r="AC752" s="9"/>
      <x:c r="AD752" s="9"/>
      <x:c r="AE752" s="9"/>
      <x:c r="AF752" s="9"/>
      <x:c r="AG752" s="9" t="str">
        <x:v>crushed soda can</x:v>
      </x:c>
      <x:c r="AH752" s="9"/>
      <x:c r="AI752" s="11"/>
      <x:c r="AJ752" s="9"/>
      <x:c r="AK752" s="9" t="str">
        <x:v>Eval_Referential_Disambiguation.xlsm</x:v>
      </x:c>
      <x:c r="AL752" s="9" t="str">
        <x:v>GR00T vision-only Results</x:v>
      </x:c>
      <x:c r="AM752" s="9" t="n">
        <x:v>132</x:v>
      </x:c>
      <x:c r="AN752" s="9" t="n">
        <x:v>132</x:v>
      </x:c>
    </x:row>
    <x:row r="753">
      <x:c r="A753" s="9" t="str">
        <x:v>Failure</x:v>
      </x:c>
      <x:c r="B753" s="9" t="str">
        <x:v>Referential Disambiguation</x:v>
      </x:c>
      <x:c r="C753" s="10" t="n">
        <x:v>131</x:v>
      </x:c>
      <x:c r="D753" s="9" t="str">
        <x:v>Pick up the pencil sharpener closest to the crushed Coke can and place it in the bowl.</x:v>
      </x:c>
      <x:c r="E753" s="9" t="str">
        <x:v>crushed Coke can; green pen; yellow pen</x:v>
      </x:c>
      <x:c r="F753" s="9" t="str">
        <x:v>NO-OP; neither green pencil sharpener nor red pencil sharpener is present</x:v>
      </x:c>
      <x:c r="G753" s="9" t="str">
        <x:v>picked the green pen which was pen closest to the coke can</x:v>
      </x:c>
      <x:c r="H753" s="9" t="str">
        <x:v>No valid candidate category / no movement</x:v>
      </x:c>
      <x:c r="I753" s="9" t="str">
        <x:v>RD-NOVALID02</x:v>
      </x:c>
      <x:c r="J753" s="9" t="str">
        <x:v>Queried candidate pair absent; bowl remains empty</x:v>
      </x:c>
      <x:c r="K753" s="9"/>
      <x:c r="L753" s="9" t="str">
        <x:v>450</x:v>
      </x:c>
      <x:c r="M753" s="9" t="str">
        <x:v>The relation × candidate-category prompt cell is explicitly trained. The evaluation scene deliberately removes both candidate identities; the abstention outcome is not demonstrated in training.</x:v>
      </x:c>
      <x:c r="N753" s="9" t="n">
        <x:v>6</x:v>
      </x:c>
      <x:c r="O753" s="9" t="str">
        <x:v>Place only the listed objects; neither queried candidate identity may be present. Keep the bowl empty.</x:v>
      </x:c>
      <x:c r="P753" s="9" t="str">
        <x:v>The instruction uses normal active-trial wording. Success requires no grasp or object displacement.</x:v>
      </x:c>
      <x:c r="Q753" s="9"/>
      <x:c r="R753" s="10" t="n">
        <x:v>3</x:v>
      </x:c>
      <x:c r="S753" s="10" t="n">
        <x:v>0</x:v>
      </x:c>
      <x:c r="T753" s="9" t="str">
        <x:v>Empty</x:v>
      </x:c>
      <x:c r="U753" s="9"/>
      <x:c r="V753" s="9"/>
      <x:c r="W753" s="9"/>
      <x:c r="X753" s="10"/>
      <x:c r="Y753" s="10"/>
      <x:c r="Z753" s="9"/>
      <x:c r="AA753" s="9"/>
      <x:c r="AB753" s="9" t="str">
        <x:v>closest</x:v>
      </x:c>
      <x:c r="AC753" s="9"/>
      <x:c r="AD753" s="9"/>
      <x:c r="AE753" s="9"/>
      <x:c r="AF753" s="9"/>
      <x:c r="AG753" s="9" t="str">
        <x:v>pencil sharpener</x:v>
      </x:c>
      <x:c r="AH753" s="9"/>
      <x:c r="AI753" s="11"/>
      <x:c r="AJ753" s="9"/>
      <x:c r="AK753" s="9" t="str">
        <x:v>Eval_Referential_Disambiguation.xlsm</x:v>
      </x:c>
      <x:c r="AL753" s="9" t="str">
        <x:v>GR00T vision-only Results</x:v>
      </x:c>
      <x:c r="AM753" s="9" t="n">
        <x:v>133</x:v>
      </x:c>
      <x:c r="AN753" s="9" t="n">
        <x:v>133</x:v>
      </x:c>
    </x:row>
    <x:row r="754">
      <x:c r="A754" s="9" t="str">
        <x:v>Failure</x:v>
      </x:c>
      <x:c r="B754" s="9" t="str">
        <x:v>Referential Disambiguation</x:v>
      </x:c>
      <x:c r="C754" s="10" t="n">
        <x:v>132</x:v>
      </x:c>
      <x:c r="D754" s="9" t="str">
        <x:v>Put the airplane toy closest to the green pencil sharpener in the bowl.</x:v>
      </x:c>
      <x:c r="E754" s="9" t="str">
        <x:v>green pencil sharpener; red pencil sharpener; green pen; yellow pen</x:v>
      </x:c>
      <x:c r="F754" s="9" t="str">
        <x:v>NO-OP; neither airplane toy with propellers nor airplane toy without propellers is present</x:v>
      </x:c>
      <x:c r="G754" s="9" t="str">
        <x:v>picked the green pen, which was closest pen to the green sharpener</x:v>
      </x:c>
      <x:c r="H754" s="9" t="str">
        <x:v>No valid candidate category / no movement</x:v>
      </x:c>
      <x:c r="I754" s="9" t="str">
        <x:v>RD-NOVALID03</x:v>
      </x:c>
      <x:c r="J754" s="9" t="str">
        <x:v>Queried candidate pair absent; bowl remains empty</x:v>
      </x:c>
      <x:c r="K754" s="9"/>
      <x:c r="L754" s="9" t="str">
        <x:v>550</x:v>
      </x:c>
      <x:c r="M754" s="9" t="str">
        <x:v>The relation × candidate-category prompt cell is explicitly trained. The evaluation scene deliberately removes both candidate identities; the abstention outcome is not demonstrated in training.</x:v>
      </x:c>
      <x:c r="N754" s="9" t="n">
        <x:v>6</x:v>
      </x:c>
      <x:c r="O754" s="9" t="str">
        <x:v>Place only the listed objects; neither queried candidate identity may be present. Keep the bowl empty.</x:v>
      </x:c>
      <x:c r="P754" s="9" t="str">
        <x:v>The instruction uses normal active-trial wording. Success requires no grasp or object displacement.</x:v>
      </x:c>
      <x:c r="Q754" s="9"/>
      <x:c r="R754" s="10" t="n">
        <x:v>4</x:v>
      </x:c>
      <x:c r="S754" s="10" t="n">
        <x:v>0</x:v>
      </x:c>
      <x:c r="T754" s="9" t="str">
        <x:v>Empty</x:v>
      </x:c>
      <x:c r="U754" s="9"/>
      <x:c r="V754" s="9"/>
      <x:c r="W754" s="9"/>
      <x:c r="X754" s="10"/>
      <x:c r="Y754" s="10"/>
      <x:c r="Z754" s="9"/>
      <x:c r="AA754" s="9"/>
      <x:c r="AB754" s="9" t="str">
        <x:v>closest</x:v>
      </x:c>
      <x:c r="AC754" s="9"/>
      <x:c r="AD754" s="9"/>
      <x:c r="AE754" s="9"/>
      <x:c r="AF754" s="9"/>
      <x:c r="AG754" s="9" t="str">
        <x:v>airplane toy</x:v>
      </x:c>
      <x:c r="AH754" s="9"/>
      <x:c r="AI754" s="11"/>
      <x:c r="AJ754" s="9"/>
      <x:c r="AK754" s="9" t="str">
        <x:v>Eval_Referential_Disambiguation.xlsm</x:v>
      </x:c>
      <x:c r="AL754" s="9" t="str">
        <x:v>GR00T vision-only Results</x:v>
      </x:c>
      <x:c r="AM754" s="9" t="n">
        <x:v>134</x:v>
      </x:c>
      <x:c r="AN754" s="9" t="n">
        <x:v>134</x:v>
      </x:c>
    </x:row>
    <x:row r="755">
      <x:c r="A755" s="9" t="str">
        <x:v>Failure</x:v>
      </x:c>
      <x:c r="B755" s="9" t="str">
        <x:v>Referential Disambiguation</x:v>
      </x:c>
      <x:c r="C755" s="10" t="n">
        <x:v>133</x:v>
      </x:c>
      <x:c r="D755" s="9" t="str">
        <x:v>Pick up the pen furthest from the crushed Pepsi can and place it in the bowl.</x:v>
      </x:c>
      <x:c r="E755" s="9" t="str">
        <x:v>crushed Pepsi can; airplane toy with propellers; airplane toy without propellers</x:v>
      </x:c>
      <x:c r="F755" s="9" t="str">
        <x:v>NO-OP; neither green pen nor yellow pen is present</x:v>
      </x:c>
      <x:c r="G755" s="9" t="str">
        <x:v>picked airplane toy furthest</x:v>
      </x:c>
      <x:c r="H755" s="9" t="str">
        <x:v>No valid candidate category / no movement</x:v>
      </x:c>
      <x:c r="I755" s="9" t="str">
        <x:v>RD-NOVALID04</x:v>
      </x:c>
      <x:c r="J755" s="9" t="str">
        <x:v>Queried candidate pair absent; bowl remains empty</x:v>
      </x:c>
      <x:c r="K755" s="9"/>
      <x:c r="L755" s="9" t="str">
        <x:v>515</x:v>
      </x:c>
      <x:c r="M755" s="9" t="str">
        <x:v>The relation × candidate-category prompt cell is explicitly trained. The evaluation scene deliberately removes both candidate identities; the abstention outcome is not demonstrated in training.</x:v>
      </x:c>
      <x:c r="N755" s="9" t="n">
        <x:v>6</x:v>
      </x:c>
      <x:c r="O755" s="9" t="str">
        <x:v>Place only the listed objects; neither queried candidate identity may be present. Keep the bowl empty.</x:v>
      </x:c>
      <x:c r="P755" s="9" t="str">
        <x:v>The instruction uses normal active-trial wording. Success requires no grasp or object displacement.</x:v>
      </x:c>
      <x:c r="Q755" s="9"/>
      <x:c r="R755" s="10" t="n">
        <x:v>3</x:v>
      </x:c>
      <x:c r="S755" s="10" t="n">
        <x:v>0</x:v>
      </x:c>
      <x:c r="T755" s="9" t="str">
        <x:v>Empty</x:v>
      </x:c>
      <x:c r="U755" s="9"/>
      <x:c r="V755" s="9"/>
      <x:c r="W755" s="9"/>
      <x:c r="X755" s="10"/>
      <x:c r="Y755" s="10"/>
      <x:c r="Z755" s="9"/>
      <x:c r="AA755" s="9"/>
      <x:c r="AB755" s="9" t="str">
        <x:v>furthest</x:v>
      </x:c>
      <x:c r="AC755" s="9"/>
      <x:c r="AD755" s="9"/>
      <x:c r="AE755" s="9"/>
      <x:c r="AF755" s="9"/>
      <x:c r="AG755" s="9" t="str">
        <x:v>pen</x:v>
      </x:c>
      <x:c r="AH755" s="9"/>
      <x:c r="AI755" s="11"/>
      <x:c r="AJ755" s="9"/>
      <x:c r="AK755" s="9" t="str">
        <x:v>Eval_Referential_Disambiguation.xlsm</x:v>
      </x:c>
      <x:c r="AL755" s="9" t="str">
        <x:v>GR00T vision-only Results</x:v>
      </x:c>
      <x:c r="AM755" s="9" t="n">
        <x:v>135</x:v>
      </x:c>
      <x:c r="AN755" s="9" t="n">
        <x:v>135</x:v>
      </x:c>
    </x:row>
    <x:row r="756">
      <x:c r="A756" s="9" t="str">
        <x:v>Failure</x:v>
      </x:c>
      <x:c r="B756" s="9" t="str">
        <x:v>Referential Disambiguation</x:v>
      </x:c>
      <x:c r="C756" s="10" t="n">
        <x:v>134</x:v>
      </x:c>
      <x:c r="D756" s="9" t="str">
        <x:v>Put the crushed soda can furthest from the airplane toy without propellers in the bowl.</x:v>
      </x:c>
      <x:c r="E756" s="9" t="str">
        <x:v>airplane toy without propellers; airplane toy with propellers; green pencil sharpener; red pencil sharpener</x:v>
      </x:c>
      <x:c r="F756" s="9" t="str">
        <x:v>NO-OP; neither crushed Coke can nor crushed Pepsi can is present</x:v>
      </x:c>
      <x:c r="G756" s="9" t="str">
        <x:v>picked the airplane toy without propellors</x:v>
      </x:c>
      <x:c r="H756" s="9" t="str">
        <x:v>No valid candidate category / no movement</x:v>
      </x:c>
      <x:c r="I756" s="9" t="str">
        <x:v>RD-NOVALID05</x:v>
      </x:c>
      <x:c r="J756" s="9" t="str">
        <x:v>Queried candidate pair absent; bowl remains empty</x:v>
      </x:c>
      <x:c r="K756" s="9"/>
      <x:c r="L756" s="9" t="str">
        <x:v>415</x:v>
      </x:c>
      <x:c r="M756" s="9" t="str">
        <x:v>The relation × candidate-category prompt cell is explicitly trained. The evaluation scene deliberately removes both candidate identities; the abstention outcome is not demonstrated in training.</x:v>
      </x:c>
      <x:c r="N756" s="9" t="n">
        <x:v>6</x:v>
      </x:c>
      <x:c r="O756" s="9" t="str">
        <x:v>Place only the listed objects; neither queried candidate identity may be present. Keep the bowl empty.</x:v>
      </x:c>
      <x:c r="P756" s="9" t="str">
        <x:v>The instruction uses normal active-trial wording. Success requires no grasp or object displacement.</x:v>
      </x:c>
      <x:c r="Q756" s="9"/>
      <x:c r="R756" s="10" t="n">
        <x:v>4</x:v>
      </x:c>
      <x:c r="S756" s="10" t="n">
        <x:v>0</x:v>
      </x:c>
      <x:c r="T756" s="9" t="str">
        <x:v>Empty</x:v>
      </x:c>
      <x:c r="U756" s="9"/>
      <x:c r="V756" s="9"/>
      <x:c r="W756" s="9"/>
      <x:c r="X756" s="10"/>
      <x:c r="Y756" s="10"/>
      <x:c r="Z756" s="9"/>
      <x:c r="AA756" s="9"/>
      <x:c r="AB756" s="9" t="str">
        <x:v>furthest</x:v>
      </x:c>
      <x:c r="AC756" s="9"/>
      <x:c r="AD756" s="9"/>
      <x:c r="AE756" s="9"/>
      <x:c r="AF756" s="9"/>
      <x:c r="AG756" s="9" t="str">
        <x:v>crushed soda can</x:v>
      </x:c>
      <x:c r="AH756" s="9"/>
      <x:c r="AI756" s="11"/>
      <x:c r="AJ756" s="9"/>
      <x:c r="AK756" s="9" t="str">
        <x:v>Eval_Referential_Disambiguation.xlsm</x:v>
      </x:c>
      <x:c r="AL756" s="9" t="str">
        <x:v>GR00T vision-only Results</x:v>
      </x:c>
      <x:c r="AM756" s="9" t="n">
        <x:v>136</x:v>
      </x:c>
      <x:c r="AN756" s="9" t="n">
        <x:v>136</x:v>
      </x:c>
    </x:row>
    <x:row r="757">
      <x:c r="A757" s="9" t="str">
        <x:v>Failure</x:v>
      </x:c>
      <x:c r="B757" s="9" t="str">
        <x:v>Referential Disambiguation</x:v>
      </x:c>
      <x:c r="C757" s="10" t="n">
        <x:v>135</x:v>
      </x:c>
      <x:c r="D757" s="9" t="str">
        <x:v>Move the pencil sharpener furthest from the airplane toy without propellers into the bowl.</x:v>
      </x:c>
      <x:c r="E757" s="9" t="str">
        <x:v>airplane toy without propellers; crushed Coke can; crushed Pepsi can</x:v>
      </x:c>
      <x:c r="F757" s="9" t="str">
        <x:v>NO-OP; neither green pencil sharpener nor red pencil sharpener is present</x:v>
      </x:c>
      <x:c r="G757" s="9" t="str">
        <x:v>picked non propellor plane</x:v>
      </x:c>
      <x:c r="H757" s="9" t="str">
        <x:v>No valid candidate category / no movement</x:v>
      </x:c>
      <x:c r="I757" s="9" t="str">
        <x:v>RD-NOVALID06</x:v>
      </x:c>
      <x:c r="J757" s="9" t="str">
        <x:v>Queried candidate pair absent; bowl remains empty</x:v>
      </x:c>
      <x:c r="K757" s="9"/>
      <x:c r="L757" s="9" t="str">
        <x:v>465</x:v>
      </x:c>
      <x:c r="M757" s="9" t="str">
        <x:v>The relation × candidate-category prompt cell is explicitly trained. The evaluation scene deliberately removes both candidate identities; the abstention outcome is not demonstrated in training.</x:v>
      </x:c>
      <x:c r="N757" s="9" t="n">
        <x:v>6</x:v>
      </x:c>
      <x:c r="O757" s="9" t="str">
        <x:v>Place only the listed objects; neither queried candidate identity may be present. Keep the bowl empty.</x:v>
      </x:c>
      <x:c r="P757" s="9" t="str">
        <x:v>The instruction uses normal active-trial wording. Success requires no grasp or object displacement.</x:v>
      </x:c>
      <x:c r="Q757" s="9"/>
      <x:c r="R757" s="10" t="n">
        <x:v>3</x:v>
      </x:c>
      <x:c r="S757" s="10" t="n">
        <x:v>0</x:v>
      </x:c>
      <x:c r="T757" s="9" t="str">
        <x:v>Empty</x:v>
      </x:c>
      <x:c r="U757" s="9"/>
      <x:c r="V757" s="9"/>
      <x:c r="W757" s="9"/>
      <x:c r="X757" s="10"/>
      <x:c r="Y757" s="10"/>
      <x:c r="Z757" s="9"/>
      <x:c r="AA757" s="9"/>
      <x:c r="AB757" s="9" t="str">
        <x:v>furthest</x:v>
      </x:c>
      <x:c r="AC757" s="9"/>
      <x:c r="AD757" s="9"/>
      <x:c r="AE757" s="9"/>
      <x:c r="AF757" s="9"/>
      <x:c r="AG757" s="9" t="str">
        <x:v>pencil sharpener</x:v>
      </x:c>
      <x:c r="AH757" s="9"/>
      <x:c r="AI757" s="11"/>
      <x:c r="AJ757" s="9"/>
      <x:c r="AK757" s="9" t="str">
        <x:v>Eval_Referential_Disambiguation.xlsm</x:v>
      </x:c>
      <x:c r="AL757" s="9" t="str">
        <x:v>GR00T vision-only Results</x:v>
      </x:c>
      <x:c r="AM757" s="9" t="n">
        <x:v>137</x:v>
      </x:c>
      <x:c r="AN757" s="9" t="n">
        <x:v>137</x:v>
      </x:c>
    </x:row>
    <x:row r="758">
      <x:c r="A758" s="9" t="str">
        <x:v>Failure</x:v>
      </x:c>
      <x:c r="B758" s="9" t="str">
        <x:v>Referential Disambiguation</x:v>
      </x:c>
      <x:c r="C758" s="10" t="n">
        <x:v>136</x:v>
      </x:c>
      <x:c r="D758" s="9" t="str">
        <x:v>Put the airplane toy between the green pen and the crushed Coke can in the bowl.</x:v>
      </x:c>
      <x:c r="E758" s="9" t="str">
        <x:v>green pen; crushed Coke can; crushed Pepsi can; green pencil sharpener; red pencil sharpener</x:v>
      </x:c>
      <x:c r="F758" s="9" t="str">
        <x:v>NO-OP; neither airplane toy with propellers nor airplane toy without propellers is present</x:v>
      </x:c>
      <x:c r="G758" s="9" t="str">
        <x:v>picked green pen</x:v>
      </x:c>
      <x:c r="H758" s="9" t="str">
        <x:v>No valid candidate category / no movement</x:v>
      </x:c>
      <x:c r="I758" s="9" t="str">
        <x:v>RD-NOVALID07</x:v>
      </x:c>
      <x:c r="J758" s="9" t="str">
        <x:v>Queried candidate pair absent; bowl remains empty</x:v>
      </x:c>
      <x:c r="K758" s="9"/>
      <x:c r="L758" s="9" t="str">
        <x:v>580</x:v>
      </x:c>
      <x:c r="M758" s="9" t="str">
        <x:v>The relation × candidate-category prompt cell is explicitly trained. The evaluation scene deliberately removes both candidate identities; the abstention outcome is not demonstrated in training.</x:v>
      </x:c>
      <x:c r="N758" s="9" t="n">
        <x:v>6</x:v>
      </x:c>
      <x:c r="O758" s="9" t="str">
        <x:v>Place only the listed objects; neither queried candidate identity may be present. Keep the bowl empty.</x:v>
      </x:c>
      <x:c r="P758" s="9" t="str">
        <x:v>The instruction uses normal active-trial wording. Success requires no grasp or object displacement.</x:v>
      </x:c>
      <x:c r="Q758" s="9"/>
      <x:c r="R758" s="10" t="n">
        <x:v>5</x:v>
      </x:c>
      <x:c r="S758" s="10" t="n">
        <x:v>0</x:v>
      </x:c>
      <x:c r="T758" s="9" t="str">
        <x:v>Empty</x:v>
      </x:c>
      <x:c r="U758" s="9"/>
      <x:c r="V758" s="9"/>
      <x:c r="W758" s="9"/>
      <x:c r="X758" s="10"/>
      <x:c r="Y758" s="10"/>
      <x:c r="Z758" s="9"/>
      <x:c r="AA758" s="9"/>
      <x:c r="AB758" s="9" t="str">
        <x:v>between</x:v>
      </x:c>
      <x:c r="AC758" s="9"/>
      <x:c r="AD758" s="9"/>
      <x:c r="AE758" s="9"/>
      <x:c r="AF758" s="9"/>
      <x:c r="AG758" s="9" t="str">
        <x:v>airplane toy</x:v>
      </x:c>
      <x:c r="AH758" s="9"/>
      <x:c r="AI758" s="11"/>
      <x:c r="AJ758" s="9"/>
      <x:c r="AK758" s="9" t="str">
        <x:v>Eval_Referential_Disambiguation.xlsm</x:v>
      </x:c>
      <x:c r="AL758" s="9" t="str">
        <x:v>GR00T vision-only Results</x:v>
      </x:c>
      <x:c r="AM758" s="9" t="n">
        <x:v>138</x:v>
      </x:c>
      <x:c r="AN758" s="9" t="n">
        <x:v>138</x:v>
      </x:c>
    </x:row>
    <x:row r="759">
      <x:c r="A759" s="9" t="str">
        <x:v>Failure</x:v>
      </x:c>
      <x:c r="B759" s="9" t="str">
        <x:v>Referential Disambiguation</x:v>
      </x:c>
      <x:c r="C759" s="10" t="n">
        <x:v>137</x:v>
      </x:c>
      <x:c r="D759" s="9" t="str">
        <x:v>Move the pen closest to the green pencil sharpener into the bowl.</x:v>
      </x:c>
      <x:c r="E759" s="9" t="str">
        <x:v>green pencil sharpener; red pencil sharpener; airplane toy with propellers</x:v>
      </x:c>
      <x:c r="F759" s="9" t="str">
        <x:v>NO-OP; neither green pen nor yellow pen is present</x:v>
      </x:c>
      <x:c r="G759" s="9" t="str">
        <x:v>picked the green pencil sharpener</x:v>
      </x:c>
      <x:c r="H759" s="9" t="str">
        <x:v>No valid candidate category / no movement</x:v>
      </x:c>
      <x:c r="I759" s="9" t="str">
        <x:v>RD-NOVALID08</x:v>
      </x:c>
      <x:c r="J759" s="9" t="str">
        <x:v>Queried candidate pair absent; bowl remains empty</x:v>
      </x:c>
      <x:c r="K759" s="9"/>
      <x:c r="L759" s="9" t="str">
        <x:v>500</x:v>
      </x:c>
      <x:c r="M759" s="9" t="str">
        <x:v>The relation × candidate-category prompt cell is explicitly trained. The evaluation scene deliberately removes both candidate identities; the abstention outcome is not demonstrated in training.</x:v>
      </x:c>
      <x:c r="N759" s="9" t="n">
        <x:v>6</x:v>
      </x:c>
      <x:c r="O759" s="9" t="str">
        <x:v>Place only the listed objects; neither queried candidate identity may be present. Keep the bowl empty.</x:v>
      </x:c>
      <x:c r="P759" s="9" t="str">
        <x:v>The instruction uses normal active-trial wording. Success requires no grasp or object displacement.</x:v>
      </x:c>
      <x:c r="Q759" s="9"/>
      <x:c r="R759" s="10" t="n">
        <x:v>3</x:v>
      </x:c>
      <x:c r="S759" s="10" t="n">
        <x:v>0</x:v>
      </x:c>
      <x:c r="T759" s="9" t="str">
        <x:v>Empty</x:v>
      </x:c>
      <x:c r="U759" s="9"/>
      <x:c r="V759" s="9"/>
      <x:c r="W759" s="9"/>
      <x:c r="X759" s="10"/>
      <x:c r="Y759" s="10"/>
      <x:c r="Z759" s="9"/>
      <x:c r="AA759" s="9"/>
      <x:c r="AB759" s="9" t="str">
        <x:v>closest</x:v>
      </x:c>
      <x:c r="AC759" s="9"/>
      <x:c r="AD759" s="9"/>
      <x:c r="AE759" s="9"/>
      <x:c r="AF759" s="9"/>
      <x:c r="AG759" s="9" t="str">
        <x:v>pen</x:v>
      </x:c>
      <x:c r="AH759" s="9"/>
      <x:c r="AI759" s="11"/>
      <x:c r="AJ759" s="9"/>
      <x:c r="AK759" s="9" t="str">
        <x:v>Eval_Referential_Disambiguation.xlsm</x:v>
      </x:c>
      <x:c r="AL759" s="9" t="str">
        <x:v>GR00T vision-only Results</x:v>
      </x:c>
      <x:c r="AM759" s="9" t="n">
        <x:v>139</x:v>
      </x:c>
      <x:c r="AN759" s="9" t="n">
        <x:v>139</x:v>
      </x:c>
    </x:row>
    <x:row r="760">
      <x:c r="A760" s="9" t="str">
        <x:v>Failure</x:v>
      </x:c>
      <x:c r="B760" s="9" t="str">
        <x:v>Referential Disambiguation</x:v>
      </x:c>
      <x:c r="C760" s="10" t="n">
        <x:v>138</x:v>
      </x:c>
      <x:c r="D760" s="9" t="str">
        <x:v>Move the crushed soda can between the airplane toy without propellers and the red pencil sharpener into the bowl.</x:v>
      </x:c>
      <x:c r="E760" s="9" t="str">
        <x:v>airplane toy without propellers; red pencil sharpener; yellow pen; airplane toy with propellers</x:v>
      </x:c>
      <x:c r="F760" s="9" t="str">
        <x:v>NO-OP; neither crushed Coke can nor crushed Pepsi can is present</x:v>
      </x:c>
      <x:c r="G760" s="9" t="str">
        <x:v>picked the yellow pen</x:v>
      </x:c>
      <x:c r="H760" s="9" t="str">
        <x:v>No valid candidate category / no movement</x:v>
      </x:c>
      <x:c r="I760" s="9" t="str">
        <x:v>RD-NOVALID09</x:v>
      </x:c>
      <x:c r="J760" s="9" t="str">
        <x:v>Queried candidate pair absent; bowl remains empty</x:v>
      </x:c>
      <x:c r="K760" s="9"/>
      <x:c r="L760" s="9" t="str">
        <x:v>431</x:v>
      </x:c>
      <x:c r="M760" s="9" t="str">
        <x:v>The relation × candidate-category prompt cell is explicitly trained. The evaluation scene deliberately removes both candidate identities; the abstention outcome is not demonstrated in training.</x:v>
      </x:c>
      <x:c r="N760" s="9" t="n">
        <x:v>6</x:v>
      </x:c>
      <x:c r="O760" s="9" t="str">
        <x:v>Place only the listed objects; neither queried candidate identity may be present. Keep the bowl empty.</x:v>
      </x:c>
      <x:c r="P760" s="9" t="str">
        <x:v>The instruction uses normal active-trial wording. Success requires no grasp or object displacement.</x:v>
      </x:c>
      <x:c r="Q760" s="9"/>
      <x:c r="R760" s="10" t="n">
        <x:v>4</x:v>
      </x:c>
      <x:c r="S760" s="10" t="n">
        <x:v>0</x:v>
      </x:c>
      <x:c r="T760" s="9" t="str">
        <x:v>Empty</x:v>
      </x:c>
      <x:c r="U760" s="9"/>
      <x:c r="V760" s="9"/>
      <x:c r="W760" s="9"/>
      <x:c r="X760" s="10"/>
      <x:c r="Y760" s="10"/>
      <x:c r="Z760" s="9"/>
      <x:c r="AA760" s="9"/>
      <x:c r="AB760" s="9" t="str">
        <x:v>between</x:v>
      </x:c>
      <x:c r="AC760" s="9"/>
      <x:c r="AD760" s="9"/>
      <x:c r="AE760" s="9"/>
      <x:c r="AF760" s="9"/>
      <x:c r="AG760" s="9" t="str">
        <x:v>crushed soda can</x:v>
      </x:c>
      <x:c r="AH760" s="9"/>
      <x:c r="AI760" s="11"/>
      <x:c r="AJ760" s="9"/>
      <x:c r="AK760" s="9" t="str">
        <x:v>Eval_Referential_Disambiguation.xlsm</x:v>
      </x:c>
      <x:c r="AL760" s="9" t="str">
        <x:v>GR00T vision-only Results</x:v>
      </x:c>
      <x:c r="AM760" s="9" t="n">
        <x:v>140</x:v>
      </x:c>
      <x:c r="AN760" s="9" t="n">
        <x:v>140</x:v>
      </x:c>
    </x:row>
    <x:row r="761">
      <x:c r="A761" s="9" t="str">
        <x:v>Failure</x:v>
      </x:c>
      <x:c r="B761" s="9" t="str">
        <x:v>Referential Disambiguation</x:v>
      </x:c>
      <x:c r="C761" s="10" t="n">
        <x:v>139</x:v>
      </x:c>
      <x:c r="D761" s="9" t="str">
        <x:v>Pick up the pencil sharpener closest to the yellow pen and place it in the bowl.</x:v>
      </x:c>
      <x:c r="E761" s="9" t="str">
        <x:v>yellow pen; airplane toy without propellers; crushed Coke can; crushed Pepsi can</x:v>
      </x:c>
      <x:c r="F761" s="9" t="str">
        <x:v>NO-OP; neither green pencil sharpener nor red pencil sharpener is present</x:v>
      </x:c>
      <x:c r="G761" s="9" t="str">
        <x:v>picked yellow pen</x:v>
      </x:c>
      <x:c r="H761" s="9" t="str">
        <x:v>No valid candidate category / no movement</x:v>
      </x:c>
      <x:c r="I761" s="9" t="str">
        <x:v>RD-NOVALID10</x:v>
      </x:c>
      <x:c r="J761" s="9" t="str">
        <x:v>Queried candidate pair absent; bowl remains empty</x:v>
      </x:c>
      <x:c r="K761" s="9"/>
      <x:c r="L761" s="9" t="str">
        <x:v>451</x:v>
      </x:c>
      <x:c r="M761" s="9" t="str">
        <x:v>The relation × candidate-category prompt cell is explicitly trained. The evaluation scene deliberately removes both candidate identities; the abstention outcome is not demonstrated in training.</x:v>
      </x:c>
      <x:c r="N761" s="9" t="n">
        <x:v>6</x:v>
      </x:c>
      <x:c r="O761" s="9" t="str">
        <x:v>Place only the listed objects; neither queried candidate identity may be present. Keep the bowl empty.</x:v>
      </x:c>
      <x:c r="P761" s="9" t="str">
        <x:v>The instruction uses normal active-trial wording. Success requires no grasp or object displacement.</x:v>
      </x:c>
      <x:c r="Q761" s="9"/>
      <x:c r="R761" s="10" t="n">
        <x:v>4</x:v>
      </x:c>
      <x:c r="S761" s="10" t="n">
        <x:v>0</x:v>
      </x:c>
      <x:c r="T761" s="9" t="str">
        <x:v>Empty</x:v>
      </x:c>
      <x:c r="U761" s="9"/>
      <x:c r="V761" s="9"/>
      <x:c r="W761" s="9"/>
      <x:c r="X761" s="10"/>
      <x:c r="Y761" s="10"/>
      <x:c r="Z761" s="9"/>
      <x:c r="AA761" s="9"/>
      <x:c r="AB761" s="9" t="str">
        <x:v>closest</x:v>
      </x:c>
      <x:c r="AC761" s="9"/>
      <x:c r="AD761" s="9"/>
      <x:c r="AE761" s="9"/>
      <x:c r="AF761" s="9"/>
      <x:c r="AG761" s="9" t="str">
        <x:v>pencil sharpener</x:v>
      </x:c>
      <x:c r="AH761" s="9"/>
      <x:c r="AI761" s="11"/>
      <x:c r="AJ761" s="9"/>
      <x:c r="AK761" s="9" t="str">
        <x:v>Eval_Referential_Disambiguation.xlsm</x:v>
      </x:c>
      <x:c r="AL761" s="9" t="str">
        <x:v>GR00T vision-only Results</x:v>
      </x:c>
      <x:c r="AM761" s="9" t="n">
        <x:v>141</x:v>
      </x:c>
      <x:c r="AN761" s="9" t="n">
        <x:v>141</x:v>
      </x:c>
    </x:row>
    <x:row r="762">
      <x:c r="A762" s="9" t="str">
        <x:v>Failure</x:v>
      </x:c>
      <x:c r="B762" s="9" t="str">
        <x:v>Referential Disambiguation</x:v>
      </x:c>
      <x:c r="C762" s="10" t="n">
        <x:v>140</x:v>
      </x:c>
      <x:c r="D762" s="9" t="str">
        <x:v>Pick up the airplane toy between the green pencil sharpener and the yellow pen and place it in the bowl.</x:v>
      </x:c>
      <x:c r="E762" s="9" t="str">
        <x:v>green pencil sharpener; yellow pen; crushed Coke can; crushed Pepsi can; red pencil sharpener</x:v>
      </x:c>
      <x:c r="F762" s="9" t="str">
        <x:v>NO-OP; neither airplane toy with propellers nor airplane toy without propellers is present</x:v>
      </x:c>
      <x:c r="G762" s="9" t="str">
        <x:v>picked the green pencil sharpener</x:v>
      </x:c>
      <x:c r="H762" s="9" t="str">
        <x:v>No valid candidate category / no movement</x:v>
      </x:c>
      <x:c r="I762" s="9" t="str">
        <x:v>RD-NOVALID11</x:v>
      </x:c>
      <x:c r="J762" s="9" t="str">
        <x:v>Queried candidate pair absent; bowl remains empty</x:v>
      </x:c>
      <x:c r="K762" s="9"/>
      <x:c r="L762" s="9" t="str">
        <x:v>581</x:v>
      </x:c>
      <x:c r="M762" s="9" t="str">
        <x:v>The relation × candidate-category prompt cell is explicitly trained. The evaluation scene deliberately removes both candidate identities; the abstention outcome is not demonstrated in training.</x:v>
      </x:c>
      <x:c r="N762" s="9" t="n">
        <x:v>6</x:v>
      </x:c>
      <x:c r="O762" s="9" t="str">
        <x:v>Place only the listed objects; neither queried candidate identity may be present. Keep the bowl empty.</x:v>
      </x:c>
      <x:c r="P762" s="9" t="str">
        <x:v>The instruction uses normal active-trial wording. Success requires no grasp or object displacement.</x:v>
      </x:c>
      <x:c r="Q762" s="9"/>
      <x:c r="R762" s="10" t="n">
        <x:v>5</x:v>
      </x:c>
      <x:c r="S762" s="10" t="n">
        <x:v>0</x:v>
      </x:c>
      <x:c r="T762" s="9" t="str">
        <x:v>Empty</x:v>
      </x:c>
      <x:c r="U762" s="9"/>
      <x:c r="V762" s="9"/>
      <x:c r="W762" s="9"/>
      <x:c r="X762" s="10"/>
      <x:c r="Y762" s="10"/>
      <x:c r="Z762" s="9"/>
      <x:c r="AA762" s="9"/>
      <x:c r="AB762" s="9" t="str">
        <x:v>between</x:v>
      </x:c>
      <x:c r="AC762" s="9"/>
      <x:c r="AD762" s="9"/>
      <x:c r="AE762" s="9"/>
      <x:c r="AF762" s="9"/>
      <x:c r="AG762" s="9" t="str">
        <x:v>airplane toy</x:v>
      </x:c>
      <x:c r="AH762" s="9"/>
      <x:c r="AI762" s="11"/>
      <x:c r="AJ762" s="9"/>
      <x:c r="AK762" s="9" t="str">
        <x:v>Eval_Referential_Disambiguation.xlsm</x:v>
      </x:c>
      <x:c r="AL762" s="9" t="str">
        <x:v>GR00T vision-only Results</x:v>
      </x:c>
      <x:c r="AM762" s="9" t="n">
        <x:v>142</x:v>
      </x:c>
      <x:c r="AN762" s="9" t="n">
        <x:v>142</x:v>
      </x:c>
    </x:row>
    <x:row r="763">
      <x:c r="A763" s="9" t="str">
        <x:v>Failure</x:v>
      </x:c>
      <x:c r="B763" s="9" t="str">
        <x:v>Referential Disambiguation</x:v>
      </x:c>
      <x:c r="C763" s="10" t="n">
        <x:v>141</x:v>
      </x:c>
      <x:c r="D763" s="9" t="str">
        <x:v>Pick up the pen furthest from the airplane toy without propellers and place it in the bowl.</x:v>
      </x:c>
      <x:c r="E763" s="9" t="str">
        <x:v>airplane toy without propellers; crushed Pepsi can; green pencil sharpener; red pencil sharpener</x:v>
      </x:c>
      <x:c r="F763" s="9" t="str">
        <x:v>NO-OP; neither green pen nor yellow pen is present</x:v>
      </x:c>
      <x:c r="G763" s="9" t="str">
        <x:v>picked red pencil sharpener; closest sharpener to airplane toy</x:v>
      </x:c>
      <x:c r="H763" s="9" t="str">
        <x:v>No valid candidate category / no movement</x:v>
      </x:c>
      <x:c r="I763" s="9" t="str">
        <x:v>RD-NOVALID12</x:v>
      </x:c>
      <x:c r="J763" s="9" t="str">
        <x:v>Queried candidate pair absent; bowl remains empty</x:v>
      </x:c>
      <x:c r="K763" s="9"/>
      <x:c r="L763" s="9" t="str">
        <x:v>516</x:v>
      </x:c>
      <x:c r="M763" s="9" t="str">
        <x:v>The relation × candidate-category prompt cell is explicitly trained. The evaluation scene deliberately removes both candidate identities; the abstention outcome is not demonstrated in training.</x:v>
      </x:c>
      <x:c r="N763" s="9" t="n">
        <x:v>6</x:v>
      </x:c>
      <x:c r="O763" s="9" t="str">
        <x:v>Place only the listed objects; neither queried candidate identity may be present. Keep the bowl empty.</x:v>
      </x:c>
      <x:c r="P763" s="9" t="str">
        <x:v>The instruction uses normal active-trial wording. Success requires no grasp or object displacement.</x:v>
      </x:c>
      <x:c r="Q763" s="9"/>
      <x:c r="R763" s="10" t="n">
        <x:v>4</x:v>
      </x:c>
      <x:c r="S763" s="10" t="n">
        <x:v>0</x:v>
      </x:c>
      <x:c r="T763" s="9" t="str">
        <x:v>Empty</x:v>
      </x:c>
      <x:c r="U763" s="9"/>
      <x:c r="V763" s="9"/>
      <x:c r="W763" s="9"/>
      <x:c r="X763" s="10"/>
      <x:c r="Y763" s="10"/>
      <x:c r="Z763" s="9"/>
      <x:c r="AA763" s="9"/>
      <x:c r="AB763" s="9" t="str">
        <x:v>furthest</x:v>
      </x:c>
      <x:c r="AC763" s="9"/>
      <x:c r="AD763" s="9"/>
      <x:c r="AE763" s="9"/>
      <x:c r="AF763" s="9"/>
      <x:c r="AG763" s="9" t="str">
        <x:v>pen</x:v>
      </x:c>
      <x:c r="AH763" s="9"/>
      <x:c r="AI763" s="11"/>
      <x:c r="AJ763" s="9"/>
      <x:c r="AK763" s="9" t="str">
        <x:v>Eval_Referential_Disambiguation.xlsm</x:v>
      </x:c>
      <x:c r="AL763" s="9" t="str">
        <x:v>GR00T vision-only Results</x:v>
      </x:c>
      <x:c r="AM763" s="9" t="n">
        <x:v>143</x:v>
      </x:c>
      <x:c r="AN763" s="9" t="n">
        <x:v>143</x:v>
      </x:c>
    </x:row>
    <x:row r="764">
      <x:c r="A764" s="9" t="str">
        <x:v>Failure</x:v>
      </x:c>
      <x:c r="B764" s="9" t="str">
        <x:v>Referential Disambiguation</x:v>
      </x:c>
      <x:c r="C764" s="10" t="n">
        <x:v>142</x:v>
      </x:c>
      <x:c r="D764" s="9" t="str">
        <x:v>Put the crushed soda can furthest from the green pen in the bowl.</x:v>
      </x:c>
      <x:c r="E764" s="9" t="str">
        <x:v>green pen; yellow pen; airplane toy with propellers</x:v>
      </x:c>
      <x:c r="F764" s="9" t="str">
        <x:v>NO-OP; neither crushed Coke can nor crushed Pepsi can is present</x:v>
      </x:c>
      <x:c r="G764" s="9" t="str">
        <x:v>tried to picked the airplane toy, but dropped it</x:v>
      </x:c>
      <x:c r="H764" s="9" t="str">
        <x:v>No valid candidate category / no movement</x:v>
      </x:c>
      <x:c r="I764" s="9" t="str">
        <x:v>RD-NOVALID13</x:v>
      </x:c>
      <x:c r="J764" s="9" t="str">
        <x:v>Queried candidate pair absent; bowl remains empty</x:v>
      </x:c>
      <x:c r="K764" s="9"/>
      <x:c r="L764" s="9" t="str">
        <x:v>416</x:v>
      </x:c>
      <x:c r="M764" s="9" t="str">
        <x:v>The relation × candidate-category prompt cell is explicitly trained. The evaluation scene deliberately removes both candidate identities; the abstention outcome is not demonstrated in training.</x:v>
      </x:c>
      <x:c r="N764" s="9" t="n">
        <x:v>6</x:v>
      </x:c>
      <x:c r="O764" s="9" t="str">
        <x:v>Place only the listed objects; neither queried candidate identity may be present. Keep the bowl empty.</x:v>
      </x:c>
      <x:c r="P764" s="9" t="str">
        <x:v>The instruction uses normal active-trial wording. Success requires no grasp or object displacement.</x:v>
      </x:c>
      <x:c r="Q764" s="9"/>
      <x:c r="R764" s="10" t="n">
        <x:v>3</x:v>
      </x:c>
      <x:c r="S764" s="10" t="n">
        <x:v>0</x:v>
      </x:c>
      <x:c r="T764" s="9" t="str">
        <x:v>Empty</x:v>
      </x:c>
      <x:c r="U764" s="9"/>
      <x:c r="V764" s="9"/>
      <x:c r="W764" s="9"/>
      <x:c r="X764" s="10"/>
      <x:c r="Y764" s="10"/>
      <x:c r="Z764" s="9"/>
      <x:c r="AA764" s="9"/>
      <x:c r="AB764" s="9" t="str">
        <x:v>furthest</x:v>
      </x:c>
      <x:c r="AC764" s="9"/>
      <x:c r="AD764" s="9"/>
      <x:c r="AE764" s="9"/>
      <x:c r="AF764" s="9"/>
      <x:c r="AG764" s="9" t="str">
        <x:v>crushed soda can</x:v>
      </x:c>
      <x:c r="AH764" s="9"/>
      <x:c r="AI764" s="11"/>
      <x:c r="AJ764" s="9"/>
      <x:c r="AK764" s="9" t="str">
        <x:v>Eval_Referential_Disambiguation.xlsm</x:v>
      </x:c>
      <x:c r="AL764" s="9" t="str">
        <x:v>GR00T vision-only Results</x:v>
      </x:c>
      <x:c r="AM764" s="9" t="n">
        <x:v>144</x:v>
      </x:c>
      <x:c r="AN764" s="9" t="n">
        <x:v>144</x:v>
      </x:c>
    </x:row>
    <x:row r="765">
      <x:c r="A765" s="9" t="str">
        <x:v>Failure</x:v>
      </x:c>
      <x:c r="B765" s="9" t="str">
        <x:v>Referential Disambiguation</x:v>
      </x:c>
      <x:c r="C765" s="10" t="n">
        <x:v>143</x:v>
      </x:c>
      <x:c r="D765" s="9" t="str">
        <x:v>Put the pencil sharpener closest to the crushed Coke can in the bowl.</x:v>
      </x:c>
      <x:c r="E765" s="9" t="str">
        <x:v>crushed Coke can; airplane toy with propellers; airplane toy without propellers</x:v>
      </x:c>
      <x:c r="F765" s="9" t="str">
        <x:v>NO-OP; neither green pencil sharpener nor red pencil sharpener is present</x:v>
      </x:c>
      <x:c r="G765" s="9" t="str">
        <x:v>picked airplane toy closest to coke can</x:v>
      </x:c>
      <x:c r="H765" s="9" t="str">
        <x:v>No valid candidate category / no movement</x:v>
      </x:c>
      <x:c r="I765" s="9" t="str">
        <x:v>RD-NOVALID14</x:v>
      </x:c>
      <x:c r="J765" s="9" t="str">
        <x:v>Queried candidate pair absent; bowl remains empty</x:v>
      </x:c>
      <x:c r="K765" s="9"/>
      <x:c r="L765" s="9" t="str">
        <x:v>452</x:v>
      </x:c>
      <x:c r="M765" s="9" t="str">
        <x:v>The relation × candidate-category prompt cell is explicitly trained. The evaluation scene deliberately removes both candidate identities; the abstention outcome is not demonstrated in training.</x:v>
      </x:c>
      <x:c r="N765" s="9" t="n">
        <x:v>6</x:v>
      </x:c>
      <x:c r="O765" s="9" t="str">
        <x:v>Place only the listed objects; neither queried candidate identity may be present. Keep the bowl empty.</x:v>
      </x:c>
      <x:c r="P765" s="9" t="str">
        <x:v>The instruction uses normal active-trial wording. Success requires no grasp or object displacement.</x:v>
      </x:c>
      <x:c r="Q765" s="9"/>
      <x:c r="R765" s="10" t="n">
        <x:v>3</x:v>
      </x:c>
      <x:c r="S765" s="10" t="n">
        <x:v>0</x:v>
      </x:c>
      <x:c r="T765" s="9" t="str">
        <x:v>Empty</x:v>
      </x:c>
      <x:c r="U765" s="9"/>
      <x:c r="V765" s="9"/>
      <x:c r="W765" s="9"/>
      <x:c r="X765" s="10"/>
      <x:c r="Y765" s="10"/>
      <x:c r="Z765" s="9"/>
      <x:c r="AA765" s="9"/>
      <x:c r="AB765" s="9" t="str">
        <x:v>closest</x:v>
      </x:c>
      <x:c r="AC765" s="9"/>
      <x:c r="AD765" s="9"/>
      <x:c r="AE765" s="9"/>
      <x:c r="AF765" s="9"/>
      <x:c r="AG765" s="9" t="str">
        <x:v>pencil sharpener</x:v>
      </x:c>
      <x:c r="AH765" s="9"/>
      <x:c r="AI765" s="11"/>
      <x:c r="AJ765" s="9"/>
      <x:c r="AK765" s="9" t="str">
        <x:v>Eval_Referential_Disambiguation.xlsm</x:v>
      </x:c>
      <x:c r="AL765" s="9" t="str">
        <x:v>GR00T vision-only Results</x:v>
      </x:c>
      <x:c r="AM765" s="9" t="n">
        <x:v>145</x:v>
      </x:c>
      <x:c r="AN765" s="9" t="n">
        <x:v>145</x:v>
      </x:c>
    </x:row>
    <x:row r="766">
      <x:c r="A766" s="9" t="str">
        <x:v>Failure</x:v>
      </x:c>
      <x:c r="B766" s="9" t="str">
        <x:v>Referential Disambiguation</x:v>
      </x:c>
      <x:c r="C766" s="10" t="n">
        <x:v>144</x:v>
      </x:c>
      <x:c r="D766" s="9" t="str">
        <x:v>Move the airplane toy closest to the green pencil sharpener into the bowl.</x:v>
      </x:c>
      <x:c r="E766" s="9" t="str">
        <x:v>green pencil sharpener; yellow pen; crushed Coke can; crushed Pepsi can</x:v>
      </x:c>
      <x:c r="F766" s="9" t="str">
        <x:v>NO-OP; neither airplane toy with propellers nor airplane toy without propellers is present</x:v>
      </x:c>
      <x:c r="G766" s="9" t="str">
        <x:v>picked green pencil sharpener</x:v>
      </x:c>
      <x:c r="H766" s="9" t="str">
        <x:v>No valid candidate category / no movement</x:v>
      </x:c>
      <x:c r="I766" s="9" t="str">
        <x:v>RD-NOVALID15</x:v>
      </x:c>
      <x:c r="J766" s="9" t="str">
        <x:v>Queried candidate pair absent; bowl remains empty</x:v>
      </x:c>
      <x:c r="K766" s="9"/>
      <x:c r="L766" s="9" t="str">
        <x:v>551</x:v>
      </x:c>
      <x:c r="M766" s="9" t="str">
        <x:v>The relation × candidate-category prompt cell is explicitly trained. The evaluation scene deliberately removes both candidate identities; the abstention outcome is not demonstrated in training.</x:v>
      </x:c>
      <x:c r="N766" s="9" t="n">
        <x:v>6</x:v>
      </x:c>
      <x:c r="O766" s="9" t="str">
        <x:v>Place only the listed objects; neither queried candidate identity may be present. Keep the bowl empty.</x:v>
      </x:c>
      <x:c r="P766" s="9" t="str">
        <x:v>The instruction uses normal active-trial wording. Success requires no grasp or object displacement.</x:v>
      </x:c>
      <x:c r="Q766" s="9"/>
      <x:c r="R766" s="10" t="n">
        <x:v>4</x:v>
      </x:c>
      <x:c r="S766" s="10" t="n">
        <x:v>0</x:v>
      </x:c>
      <x:c r="T766" s="9" t="str">
        <x:v>Empty</x:v>
      </x:c>
      <x:c r="U766" s="9"/>
      <x:c r="V766" s="9"/>
      <x:c r="W766" s="9"/>
      <x:c r="X766" s="10"/>
      <x:c r="Y766" s="10"/>
      <x:c r="Z766" s="9"/>
      <x:c r="AA766" s="9"/>
      <x:c r="AB766" s="9" t="str">
        <x:v>closest</x:v>
      </x:c>
      <x:c r="AC766" s="9"/>
      <x:c r="AD766" s="9"/>
      <x:c r="AE766" s="9"/>
      <x:c r="AF766" s="9"/>
      <x:c r="AG766" s="9" t="str">
        <x:v>airplane toy</x:v>
      </x:c>
      <x:c r="AH766" s="9"/>
      <x:c r="AI766" s="11"/>
      <x:c r="AJ766" s="9"/>
      <x:c r="AK766" s="9" t="str">
        <x:v>Eval_Referential_Disambiguation.xlsm</x:v>
      </x:c>
      <x:c r="AL766" s="9" t="str">
        <x:v>GR00T vision-only Results</x:v>
      </x:c>
      <x:c r="AM766" s="9" t="n">
        <x:v>146</x:v>
      </x:c>
      <x:c r="AN766" s="9" t="n">
        <x:v>146</x:v>
      </x:c>
    </x:row>
    <x:row r="767">
      <x:c r="A767" s="9" t="str">
        <x:v>Failure</x:v>
      </x:c>
      <x:c r="B767" s="9" t="str">
        <x:v>Referential Disambiguation</x:v>
      </x:c>
      <x:c r="C767" s="10" t="n">
        <x:v>145</x:v>
      </x:c>
      <x:c r="D767" s="9" t="str">
        <x:v>Move the pen furthest from the crushed Pepsi can into the bowl.</x:v>
      </x:c>
      <x:c r="E767" s="9" t="str">
        <x:v>crushed Pepsi can; crushed Coke can; green pencil sharpener; red pencil sharpener</x:v>
      </x:c>
      <x:c r="F767" s="9" t="str">
        <x:v>NO-OP; neither green pen nor yellow pen is present</x:v>
      </x:c>
      <x:c r="G767" s="9" t="str">
        <x:v>picked the red pencil sharpener that was furthest from the crushed pepsi can</x:v>
      </x:c>
      <x:c r="H767" s="9" t="str">
        <x:v>No valid candidate category / no movement</x:v>
      </x:c>
      <x:c r="I767" s="9" t="str">
        <x:v>RD-NOVALID16</x:v>
      </x:c>
      <x:c r="J767" s="9" t="str">
        <x:v>Queried candidate pair absent; bowl remains empty</x:v>
      </x:c>
      <x:c r="K767" s="9"/>
      <x:c r="L767" s="9" t="str">
        <x:v>517</x:v>
      </x:c>
      <x:c r="M767" s="9" t="str">
        <x:v>The relation × candidate-category prompt cell is explicitly trained. The evaluation scene deliberately removes both candidate identities; the abstention outcome is not demonstrated in training.</x:v>
      </x:c>
      <x:c r="N767" s="9" t="n">
        <x:v>6</x:v>
      </x:c>
      <x:c r="O767" s="9" t="str">
        <x:v>Place only the listed objects; neither queried candidate identity may be present. Keep the bowl empty.</x:v>
      </x:c>
      <x:c r="P767" s="9" t="str">
        <x:v>The instruction uses normal active-trial wording. Success requires no grasp or object displacement.</x:v>
      </x:c>
      <x:c r="Q767" s="9"/>
      <x:c r="R767" s="10" t="n">
        <x:v>4</x:v>
      </x:c>
      <x:c r="S767" s="10" t="n">
        <x:v>0</x:v>
      </x:c>
      <x:c r="T767" s="9" t="str">
        <x:v>Empty</x:v>
      </x:c>
      <x:c r="U767" s="9"/>
      <x:c r="V767" s="9"/>
      <x:c r="W767" s="9"/>
      <x:c r="X767" s="10"/>
      <x:c r="Y767" s="10"/>
      <x:c r="Z767" s="9"/>
      <x:c r="AA767" s="9"/>
      <x:c r="AB767" s="9" t="str">
        <x:v>furthest</x:v>
      </x:c>
      <x:c r="AC767" s="9"/>
      <x:c r="AD767" s="9"/>
      <x:c r="AE767" s="9"/>
      <x:c r="AF767" s="9"/>
      <x:c r="AG767" s="9" t="str">
        <x:v>pen</x:v>
      </x:c>
      <x:c r="AH767" s="9"/>
      <x:c r="AI767" s="11"/>
      <x:c r="AJ767" s="9"/>
      <x:c r="AK767" s="9" t="str">
        <x:v>Eval_Referential_Disambiguation.xlsm</x:v>
      </x:c>
      <x:c r="AL767" s="9" t="str">
        <x:v>GR00T vision-only Results</x:v>
      </x:c>
      <x:c r="AM767" s="9" t="n">
        <x:v>147</x:v>
      </x:c>
      <x:c r="AN767" s="9" t="n">
        <x:v>147</x:v>
      </x:c>
    </x:row>
    <x:row r="768">
      <x:c r="A768" s="9" t="str">
        <x:v>Failure</x:v>
      </x:c>
      <x:c r="B768" s="9" t="str">
        <x:v>Referential Disambiguation</x:v>
      </x:c>
      <x:c r="C768" s="10" t="n">
        <x:v>146</x:v>
      </x:c>
      <x:c r="D768" s="9" t="str">
        <x:v>Put the crushed soda can between the green pencil sharpener and the yellow pen in the bowl.</x:v>
      </x:c>
      <x:c r="E768" s="9" t="str">
        <x:v>green pencil sharpener; yellow pen; airplane toy with propellers; airplane toy without propellers</x:v>
      </x:c>
      <x:c r="F768" s="9" t="str">
        <x:v>NO-OP; neither crushed Coke can nor crushed Pepsi can is present</x:v>
      </x:c>
      <x:c r="G768" s="9" t="str">
        <x:v>picked the yellow pen</x:v>
      </x:c>
      <x:c r="H768" s="9" t="str">
        <x:v>No valid candidate category / no movement</x:v>
      </x:c>
      <x:c r="I768" s="9" t="str">
        <x:v>RD-NOVALID17</x:v>
      </x:c>
      <x:c r="J768" s="9" t="str">
        <x:v>Queried candidate pair absent; bowl remains empty</x:v>
      </x:c>
      <x:c r="K768" s="9"/>
      <x:c r="L768" s="9" t="str">
        <x:v>432</x:v>
      </x:c>
      <x:c r="M768" s="9" t="str">
        <x:v>The relation × candidate-category prompt cell is explicitly trained. The evaluation scene deliberately removes both candidate identities; the abstention outcome is not demonstrated in training.</x:v>
      </x:c>
      <x:c r="N768" s="9" t="n">
        <x:v>6</x:v>
      </x:c>
      <x:c r="O768" s="9" t="str">
        <x:v>Place only the listed objects; neither queried candidate identity may be present. Keep the bowl empty.</x:v>
      </x:c>
      <x:c r="P768" s="9" t="str">
        <x:v>The instruction uses normal active-trial wording. Success requires no grasp or object displacement.</x:v>
      </x:c>
      <x:c r="Q768" s="9"/>
      <x:c r="R768" s="10" t="n">
        <x:v>4</x:v>
      </x:c>
      <x:c r="S768" s="10" t="n">
        <x:v>0</x:v>
      </x:c>
      <x:c r="T768" s="9" t="str">
        <x:v>Empty</x:v>
      </x:c>
      <x:c r="U768" s="9"/>
      <x:c r="V768" s="9"/>
      <x:c r="W768" s="9"/>
      <x:c r="X768" s="10"/>
      <x:c r="Y768" s="10"/>
      <x:c r="Z768" s="9"/>
      <x:c r="AA768" s="9"/>
      <x:c r="AB768" s="9" t="str">
        <x:v>between</x:v>
      </x:c>
      <x:c r="AC768" s="9"/>
      <x:c r="AD768" s="9"/>
      <x:c r="AE768" s="9"/>
      <x:c r="AF768" s="9"/>
      <x:c r="AG768" s="9" t="str">
        <x:v>crushed soda can</x:v>
      </x:c>
      <x:c r="AH768" s="9"/>
      <x:c r="AI768" s="11"/>
      <x:c r="AJ768" s="9"/>
      <x:c r="AK768" s="9" t="str">
        <x:v>Eval_Referential_Disambiguation.xlsm</x:v>
      </x:c>
      <x:c r="AL768" s="9" t="str">
        <x:v>GR00T vision-only Results</x:v>
      </x:c>
      <x:c r="AM768" s="9" t="n">
        <x:v>148</x:v>
      </x:c>
      <x:c r="AN768" s="9" t="n">
        <x:v>148</x:v>
      </x:c>
    </x:row>
    <x:row r="769">
      <x:c r="A769" s="9" t="str">
        <x:v>Failure</x:v>
      </x:c>
      <x:c r="B769" s="9" t="str">
        <x:v>Referential Disambiguation</x:v>
      </x:c>
      <x:c r="C769" s="10" t="n">
        <x:v>147</x:v>
      </x:c>
      <x:c r="D769" s="9" t="str">
        <x:v>Pick up the pencil sharpener furthest from the airplane toy without propellers and place it in the bowl.</x:v>
      </x:c>
      <x:c r="E769" s="9" t="str">
        <x:v>airplane toy without propellers; green pen; yellow pen; airplane toy with propellers</x:v>
      </x:c>
      <x:c r="F769" s="9" t="str">
        <x:v>NO-OP; neither green pencil sharpener nor red pencil sharpener is present</x:v>
      </x:c>
      <x:c r="G769" s="9" t="str">
        <x:v>picked the green pen; closest pen to the non-propellor plane</x:v>
      </x:c>
      <x:c r="H769" s="9" t="str">
        <x:v>No valid candidate category / no movement</x:v>
      </x:c>
      <x:c r="I769" s="9" t="str">
        <x:v>RD-NOVALID18</x:v>
      </x:c>
      <x:c r="J769" s="9" t="str">
        <x:v>Queried candidate pair absent; bowl remains empty</x:v>
      </x:c>
      <x:c r="K769" s="9"/>
      <x:c r="L769" s="9" t="str">
        <x:v>466</x:v>
      </x:c>
      <x:c r="M769" s="9" t="str">
        <x:v>The relation × candidate-category prompt cell is explicitly trained. The evaluation scene deliberately removes both candidate identities; the abstention outcome is not demonstrated in training.</x:v>
      </x:c>
      <x:c r="N769" s="9" t="n">
        <x:v>6</x:v>
      </x:c>
      <x:c r="O769" s="9" t="str">
        <x:v>Place only the listed objects; neither queried candidate identity may be present. Keep the bowl empty.</x:v>
      </x:c>
      <x:c r="P769" s="9" t="str">
        <x:v>The instruction uses normal active-trial wording. Success requires no grasp or object displacement.</x:v>
      </x:c>
      <x:c r="Q769" s="9"/>
      <x:c r="R769" s="10" t="n">
        <x:v>4</x:v>
      </x:c>
      <x:c r="S769" s="10" t="n">
        <x:v>0</x:v>
      </x:c>
      <x:c r="T769" s="9" t="str">
        <x:v>Empty</x:v>
      </x:c>
      <x:c r="U769" s="9"/>
      <x:c r="V769" s="9"/>
      <x:c r="W769" s="9"/>
      <x:c r="X769" s="10"/>
      <x:c r="Y769" s="10"/>
      <x:c r="Z769" s="9"/>
      <x:c r="AA769" s="9"/>
      <x:c r="AB769" s="9" t="str">
        <x:v>furthest</x:v>
      </x:c>
      <x:c r="AC769" s="9"/>
      <x:c r="AD769" s="9"/>
      <x:c r="AE769" s="9"/>
      <x:c r="AF769" s="9"/>
      <x:c r="AG769" s="9" t="str">
        <x:v>pencil sharpener</x:v>
      </x:c>
      <x:c r="AH769" s="9"/>
      <x:c r="AI769" s="11"/>
      <x:c r="AJ769" s="9"/>
      <x:c r="AK769" s="9" t="str">
        <x:v>Eval_Referential_Disambiguation.xlsm</x:v>
      </x:c>
      <x:c r="AL769" s="9" t="str">
        <x:v>GR00T vision-only Results</x:v>
      </x:c>
      <x:c r="AM769" s="9" t="n">
        <x:v>149</x:v>
      </x:c>
      <x:c r="AN769" s="9" t="n">
        <x:v>149</x:v>
      </x:c>
    </x:row>
    <x:row r="770">
      <x:c r="A770" s="9" t="str">
        <x:v>Failure</x:v>
      </x:c>
      <x:c r="B770" s="9" t="str">
        <x:v>Referential Disambiguation</x:v>
      </x:c>
      <x:c r="C770" s="10" t="n">
        <x:v>148</x:v>
      </x:c>
      <x:c r="D770" s="9" t="str">
        <x:v>Move the airplane toy between the green pen and the crushed Coke can into the bowl.</x:v>
      </x:c>
      <x:c r="E770" s="9" t="str">
        <x:v>green pen; crushed Coke can; crushed Pepsi can; green pencil sharpener; red pencil sharpener</x:v>
      </x:c>
      <x:c r="F770" s="9" t="str">
        <x:v>NO-OP; neither airplane toy with propellers nor airplane toy without propellers is present</x:v>
      </x:c>
      <x:c r="G770" s="9" t="str">
        <x:v>picked the green pencil sharpener; sharpener between the green pen and crushed pepsi can</x:v>
      </x:c>
      <x:c r="H770" s="9" t="str">
        <x:v>No valid candidate category / no movement</x:v>
      </x:c>
      <x:c r="I770" s="9" t="str">
        <x:v>RD-NOVALID19</x:v>
      </x:c>
      <x:c r="J770" s="9" t="str">
        <x:v>Queried candidate pair absent; bowl remains empty</x:v>
      </x:c>
      <x:c r="K770" s="9"/>
      <x:c r="L770" s="9" t="str">
        <x:v>582</x:v>
      </x:c>
      <x:c r="M770" s="9" t="str">
        <x:v>The relation × candidate-category prompt cell is explicitly trained. The evaluation scene deliberately removes both candidate identities; the abstention outcome is not demonstrated in training.</x:v>
      </x:c>
      <x:c r="N770" s="9" t="n">
        <x:v>6</x:v>
      </x:c>
      <x:c r="O770" s="9" t="str">
        <x:v>Place only the listed objects; neither queried candidate identity may be present. Keep the bowl empty.</x:v>
      </x:c>
      <x:c r="P770" s="9" t="str">
        <x:v>The instruction uses normal active-trial wording. Success requires no grasp or object displacement.</x:v>
      </x:c>
      <x:c r="Q770" s="9"/>
      <x:c r="R770" s="10" t="n">
        <x:v>5</x:v>
      </x:c>
      <x:c r="S770" s="10" t="n">
        <x:v>0</x:v>
      </x:c>
      <x:c r="T770" s="9" t="str">
        <x:v>Empty</x:v>
      </x:c>
      <x:c r="U770" s="9"/>
      <x:c r="V770" s="9"/>
      <x:c r="W770" s="9"/>
      <x:c r="X770" s="10"/>
      <x:c r="Y770" s="10"/>
      <x:c r="Z770" s="9"/>
      <x:c r="AA770" s="9"/>
      <x:c r="AB770" s="9" t="str">
        <x:v>between</x:v>
      </x:c>
      <x:c r="AC770" s="9"/>
      <x:c r="AD770" s="9"/>
      <x:c r="AE770" s="9"/>
      <x:c r="AF770" s="9"/>
      <x:c r="AG770" s="9" t="str">
        <x:v>airplane toy</x:v>
      </x:c>
      <x:c r="AH770" s="9"/>
      <x:c r="AI770" s="11"/>
      <x:c r="AJ770" s="9"/>
      <x:c r="AK770" s="9" t="str">
        <x:v>Eval_Referential_Disambiguation.xlsm</x:v>
      </x:c>
      <x:c r="AL770" s="9" t="str">
        <x:v>GR00T vision-only Results</x:v>
      </x:c>
      <x:c r="AM770" s="9" t="n">
        <x:v>150</x:v>
      </x:c>
      <x:c r="AN770" s="9" t="n">
        <x:v>150</x:v>
      </x:c>
    </x:row>
    <x:row r="771">
      <x:c r="A771" s="9" t="str">
        <x:v>Failure</x:v>
      </x:c>
      <x:c r="B771" s="9" t="str">
        <x:v>Referential Disambiguation</x:v>
      </x:c>
      <x:c r="C771" s="10" t="n">
        <x:v>149</x:v>
      </x:c>
      <x:c r="D771" s="9" t="str">
        <x:v>Pick up the pen closest to the green pencil sharpener and place it in the bowl.</x:v>
      </x:c>
      <x:c r="E771" s="9" t="str">
        <x:v>green pencil sharpener; airplane toy without propellers; crushed Coke can; crushed Pepsi can</x:v>
      </x:c>
      <x:c r="F771" s="9" t="str">
        <x:v>NO-OP; neither green pen nor yellow pen is present</x:v>
      </x:c>
      <x:c r="G771" s="9" t="str">
        <x:v>tried to pick the airplane toy but couldn't; closest object to the green pen</x:v>
      </x:c>
      <x:c r="H771" s="9" t="str">
        <x:v>No valid candidate category / no movement</x:v>
      </x:c>
      <x:c r="I771" s="9" t="str">
        <x:v>RD-NOVALID20</x:v>
      </x:c>
      <x:c r="J771" s="9" t="str">
        <x:v>Queried candidate pair absent; bowl remains empty</x:v>
      </x:c>
      <x:c r="K771" s="9"/>
      <x:c r="L771" s="9" t="str">
        <x:v>501</x:v>
      </x:c>
      <x:c r="M771" s="9" t="str">
        <x:v>The relation × candidate-category prompt cell is explicitly trained. The evaluation scene deliberately removes both candidate identities; the abstention outcome is not demonstrated in training.</x:v>
      </x:c>
      <x:c r="N771" s="9" t="n">
        <x:v>6</x:v>
      </x:c>
      <x:c r="O771" s="9" t="str">
        <x:v>Place only the listed objects; neither queried candidate identity may be present. Keep the bowl empty.</x:v>
      </x:c>
      <x:c r="P771" s="9" t="str">
        <x:v>The instruction uses normal active-trial wording. Success requires no grasp or object displacement.</x:v>
      </x:c>
      <x:c r="Q771" s="9"/>
      <x:c r="R771" s="10" t="n">
        <x:v>4</x:v>
      </x:c>
      <x:c r="S771" s="10" t="n">
        <x:v>0</x:v>
      </x:c>
      <x:c r="T771" s="9" t="str">
        <x:v>Empty</x:v>
      </x:c>
      <x:c r="U771" s="9"/>
      <x:c r="V771" s="9"/>
      <x:c r="W771" s="9"/>
      <x:c r="X771" s="10"/>
      <x:c r="Y771" s="10"/>
      <x:c r="Z771" s="9"/>
      <x:c r="AA771" s="9"/>
      <x:c r="AB771" s="9" t="str">
        <x:v>closest</x:v>
      </x:c>
      <x:c r="AC771" s="9"/>
      <x:c r="AD771" s="9"/>
      <x:c r="AE771" s="9"/>
      <x:c r="AF771" s="9"/>
      <x:c r="AG771" s="9" t="str">
        <x:v>pen</x:v>
      </x:c>
      <x:c r="AH771" s="9"/>
      <x:c r="AI771" s="11"/>
      <x:c r="AJ771" s="9"/>
      <x:c r="AK771" s="9" t="str">
        <x:v>Eval_Referential_Disambiguation.xlsm</x:v>
      </x:c>
      <x:c r="AL771" s="9" t="str">
        <x:v>GR00T vision-only Results</x:v>
      </x:c>
      <x:c r="AM771" s="9" t="n">
        <x:v>151</x:v>
      </x:c>
      <x:c r="AN771" s="9" t="n">
        <x:v>151</x:v>
      </x:c>
    </x:row>
    <x:row r="772">
      <x:c r="A772" s="9" t="str">
        <x:v>Success</x:v>
      </x:c>
      <x:c r="B772" s="9" t="str">
        <x:v>Size Recognition</x:v>
      </x:c>
      <x:c r="C772" s="10" t="n">
        <x:v>0</x:v>
      </x:c>
      <x:c r="D772" s="9" t="str">
        <x:v>Move the object that is smallest into the bowl.</x:v>
      </x:c>
      <x:c r="E772" s="9" t="str">
        <x:v>Bowl: empty. Table, robot-left→robot-right: P1 red pencil sharpener; P2 green block; P3 juggling ball; P4 crushed Pepsi can. Adjacent centers 8 cm apart; row centered on the workspace; all objects fully visible and grasp paths clear.</x:v>
      </x:c>
      <x:c r="F772" s="9" t="str">
        <x:v>MOVE red pencil sharpener to bowl</x:v>
      </x:c>
      <x:c r="G772" s="9"/>
      <x:c r="H772" s="9" t="str">
        <x:v>In-distribution concept baseline</x:v>
      </x:c>
      <x:c r="I772" s="9" t="str">
        <x:v>SZ-ID-SH01</x:v>
      </x:c>
      <x:c r="J772" s="9" t="str">
        <x:v>smallest</x:v>
      </x:c>
      <x:c r="K772" s="9"/>
      <x:c r="L772" s="9" t="str">
        <x:v>1005</x:v>
      </x:c>
      <x:c r="M772" s="9"/>
      <x:c r="N772" s="9"/>
      <x:c r="O772" s="9" t="str">
        <x:v>Build the listed manifest-supported scene.</x:v>
      </x:c>
      <x:c r="P772" s="9" t="str">
        <x:v>Exact prompt and object composition from training episode 1005; this establishes the familiar smallest × red pencil sharpener cell.</x:v>
      </x:c>
      <x:c r="Q772" s="9"/>
      <x:c r="R772" s="10" t="n">
        <x:v>4</x:v>
      </x:c>
      <x:c r="S772" s="10"/>
      <x:c r="T772" s="9"/>
      <x:c r="U772" s="9"/>
      <x:c r="V772" s="9"/>
      <x:c r="W772" s="9"/>
      <x:c r="X772" s="10"/>
      <x:c r="Y772" s="10"/>
      <x:c r="Z772" s="9"/>
      <x:c r="AA772" s="9"/>
      <x:c r="AB772" s="9"/>
      <x:c r="AC772" s="9"/>
      <x:c r="AD772" s="9" t="str">
        <x:v>red pencil sharpener</x:v>
      </x:c>
      <x:c r="AE772" s="9"/>
      <x:c r="AF772" s="9"/>
      <x:c r="AG772" s="9"/>
      <x:c r="AH772" s="9" t="str">
        <x:v>Left</x:v>
      </x:c>
      <x:c r="AI772" s="11" t="n">
        <x:v>8</x:v>
      </x:c>
      <x:c r="AJ772" s="9" t="str">
        <x:v>Explicitly trained smallest × red pencil sharpener</x:v>
      </x:c>
      <x:c r="AK772" s="9" t="str">
        <x:v>Eval_Size_Recognition (1).xlsm</x:v>
      </x:c>
      <x:c r="AL772" s="9" t="str">
        <x:v>GR00T vision-only Results</x:v>
      </x:c>
      <x:c r="AM772" s="9" t="n">
        <x:v>2</x:v>
      </x:c>
      <x:c r="AN772" s="9" t="n">
        <x:v>2</x:v>
      </x:c>
    </x:row>
    <x:row r="773">
      <x:c r="A773" s="9" t="str">
        <x:v>Success</x:v>
      </x:c>
      <x:c r="B773" s="9" t="str">
        <x:v>Size Recognition</x:v>
      </x:c>
      <x:c r="C773" s="10" t="n">
        <x:v>1</x:v>
      </x:c>
      <x:c r="D773" s="9" t="str">
        <x:v>Pick up the smallest item and place it in the bowl.</x:v>
      </x:c>
      <x:c r="E773" s="9" t="str">
        <x:v>Bowl: empty. Table, robot-left→robot-right: P1 crushed Pepsi can; P2 juggling ball; P3 green block. Adjacent centers 12 cm apart; row shifted 4 cm toward robot-left; all objects fully visible and grasp paths clear.</x:v>
      </x:c>
      <x:c r="F773" s="9" t="str">
        <x:v>MOVE green block to bowl</x:v>
      </x:c>
      <x:c r="G773" s="9"/>
      <x:c r="H773" s="9" t="str">
        <x:v>In-distribution concept baseline</x:v>
      </x:c>
      <x:c r="I773" s="9" t="str">
        <x:v>SZ-ID-GB01</x:v>
      </x:c>
      <x:c r="J773" s="9" t="str">
        <x:v>smallest</x:v>
      </x:c>
      <x:c r="K773" s="9"/>
      <x:c r="L773" s="9" t="str">
        <x:v>1050</x:v>
      </x:c>
      <x:c r="M773" s="9"/>
      <x:c r="N773" s="9"/>
      <x:c r="O773" s="9" t="str">
        <x:v>Build the listed manifest-supported scene.</x:v>
      </x:c>
      <x:c r="P773" s="9" t="str">
        <x:v>Exact prompt and object composition from training episode 1050; this establishes the familiar smallest × green block cell.</x:v>
      </x:c>
      <x:c r="Q773" s="9"/>
      <x:c r="R773" s="10" t="n">
        <x:v>3</x:v>
      </x:c>
      <x:c r="S773" s="10"/>
      <x:c r="T773" s="9"/>
      <x:c r="U773" s="9"/>
      <x:c r="V773" s="9"/>
      <x:c r="W773" s="9"/>
      <x:c r="X773" s="10"/>
      <x:c r="Y773" s="10"/>
      <x:c r="Z773" s="9"/>
      <x:c r="AA773" s="9"/>
      <x:c r="AB773" s="9"/>
      <x:c r="AC773" s="9"/>
      <x:c r="AD773" s="9" t="str">
        <x:v>green block</x:v>
      </x:c>
      <x:c r="AE773" s="9"/>
      <x:c r="AF773" s="9"/>
      <x:c r="AG773" s="9"/>
      <x:c r="AH773" s="9" t="str">
        <x:v>Right</x:v>
      </x:c>
      <x:c r="AI773" s="11" t="n">
        <x:v>12</x:v>
      </x:c>
      <x:c r="AJ773" s="9" t="str">
        <x:v>Explicitly trained smallest × green block</x:v>
      </x:c>
      <x:c r="AK773" s="9" t="str">
        <x:v>Eval_Size_Recognition (1).xlsm</x:v>
      </x:c>
      <x:c r="AL773" s="9" t="str">
        <x:v>GR00T vision-only Results</x:v>
      </x:c>
      <x:c r="AM773" s="9" t="n">
        <x:v>3</x:v>
      </x:c>
      <x:c r="AN773" s="9" t="n">
        <x:v>3</x:v>
      </x:c>
    </x:row>
    <x:row r="774">
      <x:c r="A774" s="9" t="str">
        <x:v>Success</x:v>
      </x:c>
      <x:c r="B774" s="9" t="str">
        <x:v>Size Recognition</x:v>
      </x:c>
      <x:c r="C774" s="10" t="n">
        <x:v>2</x:v>
      </x:c>
      <x:c r="D774" s="9" t="str">
        <x:v>Put the largest object in the bowl.</x:v>
      </x:c>
      <x:c r="E774" s="9" t="str">
        <x:v>Bowl: empty. Table, robot-left→robot-right: P1 juggling ball; P2 red pencil sharpener; P3 green block. Adjacent centers 16 cm apart; row shifted 4 cm toward robot-right; all objects fully visible and grasp paths clear.</x:v>
      </x:c>
      <x:c r="F774" s="9" t="str">
        <x:v>MOVE juggling ball to bowl</x:v>
      </x:c>
      <x:c r="G774" s="9"/>
      <x:c r="H774" s="9" t="str">
        <x:v>In-distribution concept baseline</x:v>
      </x:c>
      <x:c r="I774" s="9" t="str">
        <x:v>SZ-ID-JB01</x:v>
      </x:c>
      <x:c r="J774" s="9" t="str">
        <x:v>largest</x:v>
      </x:c>
      <x:c r="K774" s="9"/>
      <x:c r="L774" s="9" t="str">
        <x:v>1125</x:v>
      </x:c>
      <x:c r="M774" s="9"/>
      <x:c r="N774" s="9"/>
      <x:c r="O774" s="9" t="str">
        <x:v>Build the listed manifest-supported scene.</x:v>
      </x:c>
      <x:c r="P774" s="9" t="str">
        <x:v>Exact prompt and object composition from training episode 1125; this establishes the familiar largest × juggling ball cell.</x:v>
      </x:c>
      <x:c r="Q774" s="9"/>
      <x:c r="R774" s="10" t="n">
        <x:v>3</x:v>
      </x:c>
      <x:c r="S774" s="10"/>
      <x:c r="T774" s="9"/>
      <x:c r="U774" s="9"/>
      <x:c r="V774" s="9"/>
      <x:c r="W774" s="9"/>
      <x:c r="X774" s="10"/>
      <x:c r="Y774" s="10"/>
      <x:c r="Z774" s="9"/>
      <x:c r="AA774" s="9"/>
      <x:c r="AB774" s="9"/>
      <x:c r="AC774" s="9"/>
      <x:c r="AD774" s="9" t="str">
        <x:v>juggling ball</x:v>
      </x:c>
      <x:c r="AE774" s="9"/>
      <x:c r="AF774" s="9"/>
      <x:c r="AG774" s="9"/>
      <x:c r="AH774" s="9" t="str">
        <x:v>Left</x:v>
      </x:c>
      <x:c r="AI774" s="11" t="n">
        <x:v>16</x:v>
      </x:c>
      <x:c r="AJ774" s="9" t="str">
        <x:v>Explicitly trained largest × juggling ball</x:v>
      </x:c>
      <x:c r="AK774" s="9" t="str">
        <x:v>Eval_Size_Recognition (1).xlsm</x:v>
      </x:c>
      <x:c r="AL774" s="9" t="str">
        <x:v>GR00T vision-only Results</x:v>
      </x:c>
      <x:c r="AM774" s="9" t="n">
        <x:v>4</x:v>
      </x:c>
      <x:c r="AN774" s="9" t="n">
        <x:v>4</x:v>
      </x:c>
    </x:row>
    <x:row r="775">
      <x:c r="A775" s="9" t="str">
        <x:v>Failure</x:v>
      </x:c>
      <x:c r="B775" s="9" t="str">
        <x:v>Size Recognition</x:v>
      </x:c>
      <x:c r="C775" s="10" t="n">
        <x:v>3</x:v>
      </x:c>
      <x:c r="D775" s="9" t="str">
        <x:v>Pick up the largest item and place it in the bowl.</x:v>
      </x:c>
      <x:c r="E775" s="9" t="str">
        <x:v>Bowl: empty. Table, robot-left→robot-right: P1 red pencil sharpener; P2 green block; P3 juggling ball; P4 crushed Pepsi can. Adjacent centers 8 cm apart; row shifted 4 cm toward the robot; all objects fully visible and grasp paths clear.</x:v>
      </x:c>
      <x:c r="F775" s="9" t="str">
        <x:v>MOVE crushed Pepsi can to bowl</x:v>
      </x:c>
      <x:c r="G775" s="9" t="str">
        <x:v>successfully went to the pepsi can but didn't close gripper around it. Success on reasoning, failure on grasping</x:v>
      </x:c>
      <x:c r="H775" s="9" t="str">
        <x:v>In-distribution concept baseline</x:v>
      </x:c>
      <x:c r="I775" s="9" t="str">
        <x:v>SZ-ID-PC01</x:v>
      </x:c>
      <x:c r="J775" s="9" t="str">
        <x:v>largest</x:v>
      </x:c>
      <x:c r="K775" s="9"/>
      <x:c r="L775" s="9" t="str">
        <x:v>1155</x:v>
      </x:c>
      <x:c r="M775" s="9"/>
      <x:c r="N775" s="9"/>
      <x:c r="O775" s="9" t="str">
        <x:v>Build the listed manifest-supported scene.</x:v>
      </x:c>
      <x:c r="P775" s="9" t="str">
        <x:v>Exact prompt and object composition from training episode 1155; this establishes the familiar largest × crushed Pepsi can cell.</x:v>
      </x:c>
      <x:c r="Q775" s="9"/>
      <x:c r="R775" s="10" t="n">
        <x:v>4</x:v>
      </x:c>
      <x:c r="S775" s="10"/>
      <x:c r="T775" s="9"/>
      <x:c r="U775" s="9"/>
      <x:c r="V775" s="9"/>
      <x:c r="W775" s="9"/>
      <x:c r="X775" s="10"/>
      <x:c r="Y775" s="10"/>
      <x:c r="Z775" s="9"/>
      <x:c r="AA775" s="9"/>
      <x:c r="AB775" s="9"/>
      <x:c r="AC775" s="9"/>
      <x:c r="AD775" s="9" t="str">
        <x:v>crushed Pepsi can</x:v>
      </x:c>
      <x:c r="AE775" s="9"/>
      <x:c r="AF775" s="9"/>
      <x:c r="AG775" s="9"/>
      <x:c r="AH775" s="9" t="str">
        <x:v>Right</x:v>
      </x:c>
      <x:c r="AI775" s="11" t="n">
        <x:v>8</x:v>
      </x:c>
      <x:c r="AJ775" s="9" t="str">
        <x:v>Explicitly trained largest × crushed Pepsi can</x:v>
      </x:c>
      <x:c r="AK775" s="9" t="str">
        <x:v>Eval_Size_Recognition (1).xlsm</x:v>
      </x:c>
      <x:c r="AL775" s="9" t="str">
        <x:v>GR00T vision-only Results</x:v>
      </x:c>
      <x:c r="AM775" s="9" t="n">
        <x:v>5</x:v>
      </x:c>
      <x:c r="AN775" s="9" t="n">
        <x:v>5</x:v>
      </x:c>
    </x:row>
    <x:row r="776">
      <x:c r="A776" s="9" t="str">
        <x:v>Success</x:v>
      </x:c>
      <x:c r="B776" s="9" t="str">
        <x:v>Size Recognition</x:v>
      </x:c>
      <x:c r="C776" s="10" t="n">
        <x:v>4</x:v>
      </x:c>
      <x:c r="D776" s="9" t="str">
        <x:v>Pick up the smallest item and place it in the bowl.</x:v>
      </x:c>
      <x:c r="E776" s="9" t="str">
        <x:v>Bowl: empty. Table, robot-left→robot-right: P1 juggling ball; P2 crushed Pepsi can; P3 green block; P4 red pencil sharpener. Adjacent centers 12 cm apart; row shifted 4 cm toward robot-left; all objects fully visible and grasp paths clear.</x:v>
      </x:c>
      <x:c r="F776" s="9" t="str">
        <x:v>MOVE red pencil sharpener to bowl</x:v>
      </x:c>
      <x:c r="G776" s="9"/>
      <x:c r="H776" s="9" t="str">
        <x:v>In-distribution concept baseline</x:v>
      </x:c>
      <x:c r="I776" s="9" t="str">
        <x:v>SZ-ID-SH02</x:v>
      </x:c>
      <x:c r="J776" s="9" t="str">
        <x:v>smallest</x:v>
      </x:c>
      <x:c r="K776" s="9"/>
      <x:c r="L776" s="9" t="str">
        <x:v>1006</x:v>
      </x:c>
      <x:c r="M776" s="9"/>
      <x:c r="N776" s="9"/>
      <x:c r="O776" s="9" t="str">
        <x:v>Build the listed manifest-supported scene.</x:v>
      </x:c>
      <x:c r="P776" s="9" t="str">
        <x:v>Exact prompt and object composition from training episode 1006; this establishes the familiar smallest × red pencil sharpener cell.</x:v>
      </x:c>
      <x:c r="Q776" s="9"/>
      <x:c r="R776" s="10" t="n">
        <x:v>4</x:v>
      </x:c>
      <x:c r="S776" s="10"/>
      <x:c r="T776" s="9"/>
      <x:c r="U776" s="9"/>
      <x:c r="V776" s="9"/>
      <x:c r="W776" s="9"/>
      <x:c r="X776" s="10"/>
      <x:c r="Y776" s="10"/>
      <x:c r="Z776" s="9"/>
      <x:c r="AA776" s="9"/>
      <x:c r="AB776" s="9"/>
      <x:c r="AC776" s="9"/>
      <x:c r="AD776" s="9" t="str">
        <x:v>red pencil sharpener</x:v>
      </x:c>
      <x:c r="AE776" s="9"/>
      <x:c r="AF776" s="9"/>
      <x:c r="AG776" s="9"/>
      <x:c r="AH776" s="9" t="str">
        <x:v>Right</x:v>
      </x:c>
      <x:c r="AI776" s="11" t="n">
        <x:v>12</x:v>
      </x:c>
      <x:c r="AJ776" s="9" t="str">
        <x:v>Explicitly trained smallest × red pencil sharpener</x:v>
      </x:c>
      <x:c r="AK776" s="9" t="str">
        <x:v>Eval_Size_Recognition (1).xlsm</x:v>
      </x:c>
      <x:c r="AL776" s="9" t="str">
        <x:v>GR00T vision-only Results</x:v>
      </x:c>
      <x:c r="AM776" s="9" t="n">
        <x:v>6</x:v>
      </x:c>
      <x:c r="AN776" s="9" t="n">
        <x:v>6</x:v>
      </x:c>
    </x:row>
    <x:row r="777">
      <x:c r="A777" s="9" t="str">
        <x:v>Success</x:v>
      </x:c>
      <x:c r="B777" s="9" t="str">
        <x:v>Size Recognition</x:v>
      </x:c>
      <x:c r="C777" s="10" t="n">
        <x:v>5</x:v>
      </x:c>
      <x:c r="D777" s="9" t="str">
        <x:v>Pick up the smallest item and place it in the bowl.</x:v>
      </x:c>
      <x:c r="E777" s="9" t="str">
        <x:v>Bowl: empty. Table, robot-left→robot-right: P1 green block; P2 juggling ball; P3 crushed Pepsi can. Adjacent centers 16 cm apart; row shifted 4 cm toward robot-right; all objects fully visible and grasp paths clear.</x:v>
      </x:c>
      <x:c r="F777" s="9" t="str">
        <x:v>MOVE green block to bowl</x:v>
      </x:c>
      <x:c r="G777" s="9" t="str">
        <x:v>over gripped it that is squeezed the block out of the gripper into the bowl instead of dropping it in the bowl</x:v>
      </x:c>
      <x:c r="H777" s="9" t="str">
        <x:v>In-distribution concept baseline</x:v>
      </x:c>
      <x:c r="I777" s="9" t="str">
        <x:v>SZ-ID-GB02</x:v>
      </x:c>
      <x:c r="J777" s="9" t="str">
        <x:v>smallest</x:v>
      </x:c>
      <x:c r="K777" s="9"/>
      <x:c r="L777" s="9" t="str">
        <x:v>1051</x:v>
      </x:c>
      <x:c r="M777" s="9"/>
      <x:c r="N777" s="9"/>
      <x:c r="O777" s="9" t="str">
        <x:v>Build the listed manifest-supported scene.</x:v>
      </x:c>
      <x:c r="P777" s="9" t="str">
        <x:v>Exact prompt and object composition from training episode 1051; this establishes the familiar smallest × green block cell.</x:v>
      </x:c>
      <x:c r="Q777" s="9"/>
      <x:c r="R777" s="10" t="n">
        <x:v>3</x:v>
      </x:c>
      <x:c r="S777" s="10"/>
      <x:c r="T777" s="9"/>
      <x:c r="U777" s="9"/>
      <x:c r="V777" s="9"/>
      <x:c r="W777" s="9"/>
      <x:c r="X777" s="10"/>
      <x:c r="Y777" s="10"/>
      <x:c r="Z777" s="9"/>
      <x:c r="AA777" s="9"/>
      <x:c r="AB777" s="9"/>
      <x:c r="AC777" s="9"/>
      <x:c r="AD777" s="9" t="str">
        <x:v>green block</x:v>
      </x:c>
      <x:c r="AE777" s="9"/>
      <x:c r="AF777" s="9"/>
      <x:c r="AG777" s="9"/>
      <x:c r="AH777" s="9" t="str">
        <x:v>Left</x:v>
      </x:c>
      <x:c r="AI777" s="11" t="n">
        <x:v>16</x:v>
      </x:c>
      <x:c r="AJ777" s="9" t="str">
        <x:v>Explicitly trained smallest × green block</x:v>
      </x:c>
      <x:c r="AK777" s="9" t="str">
        <x:v>Eval_Size_Recognition (1).xlsm</x:v>
      </x:c>
      <x:c r="AL777" s="9" t="str">
        <x:v>GR00T vision-only Results</x:v>
      </x:c>
      <x:c r="AM777" s="9" t="n">
        <x:v>7</x:v>
      </x:c>
      <x:c r="AN777" s="9" t="n">
        <x:v>7</x:v>
      </x:c>
    </x:row>
    <x:row r="778">
      <x:c r="A778" s="9" t="str">
        <x:v>Success</x:v>
      </x:c>
      <x:c r="B778" s="9" t="str">
        <x:v>Size Recognition</x:v>
      </x:c>
      <x:c r="C778" s="10" t="n">
        <x:v>6</x:v>
      </x:c>
      <x:c r="D778" s="9" t="str">
        <x:v>Pick up the largest item and place it in the bowl.</x:v>
      </x:c>
      <x:c r="E778" s="9" t="str">
        <x:v>Bowl: empty. Table, robot-left→robot-right: P1 green block; P2 red pencil sharpener; P3 juggling ball. Adjacent centers 8 cm apart; row shifted 4 cm toward the robot; all objects fully visible and grasp paths clear.</x:v>
      </x:c>
      <x:c r="F778" s="9" t="str">
        <x:v>MOVE juggling ball to bowl</x:v>
      </x:c>
      <x:c r="G778" s="9"/>
      <x:c r="H778" s="9" t="str">
        <x:v>In-distribution concept baseline</x:v>
      </x:c>
      <x:c r="I778" s="9" t="str">
        <x:v>SZ-ID-JB02</x:v>
      </x:c>
      <x:c r="J778" s="9" t="str">
        <x:v>largest</x:v>
      </x:c>
      <x:c r="K778" s="9"/>
      <x:c r="L778" s="9" t="str">
        <x:v>1126</x:v>
      </x:c>
      <x:c r="M778" s="9"/>
      <x:c r="N778" s="9"/>
      <x:c r="O778" s="9" t="str">
        <x:v>Build the listed manifest-supported scene.</x:v>
      </x:c>
      <x:c r="P778" s="9" t="str">
        <x:v>Exact prompt and object composition from training episode 1126; this establishes the familiar largest × juggling ball cell.</x:v>
      </x:c>
      <x:c r="Q778" s="9"/>
      <x:c r="R778" s="10" t="n">
        <x:v>3</x:v>
      </x:c>
      <x:c r="S778" s="10"/>
      <x:c r="T778" s="9"/>
      <x:c r="U778" s="9"/>
      <x:c r="V778" s="9"/>
      <x:c r="W778" s="9"/>
      <x:c r="X778" s="10"/>
      <x:c r="Y778" s="10"/>
      <x:c r="Z778" s="9"/>
      <x:c r="AA778" s="9"/>
      <x:c r="AB778" s="9"/>
      <x:c r="AC778" s="9"/>
      <x:c r="AD778" s="9" t="str">
        <x:v>juggling ball</x:v>
      </x:c>
      <x:c r="AE778" s="9"/>
      <x:c r="AF778" s="9"/>
      <x:c r="AG778" s="9"/>
      <x:c r="AH778" s="9" t="str">
        <x:v>Right</x:v>
      </x:c>
      <x:c r="AI778" s="11" t="n">
        <x:v>8</x:v>
      </x:c>
      <x:c r="AJ778" s="9" t="str">
        <x:v>Explicitly trained largest × juggling ball</x:v>
      </x:c>
      <x:c r="AK778" s="9" t="str">
        <x:v>Eval_Size_Recognition (1).xlsm</x:v>
      </x:c>
      <x:c r="AL778" s="9" t="str">
        <x:v>GR00T vision-only Results</x:v>
      </x:c>
      <x:c r="AM778" s="9" t="n">
        <x:v>8</x:v>
      </x:c>
      <x:c r="AN778" s="9" t="n">
        <x:v>8</x:v>
      </x:c>
    </x:row>
    <x:row r="779">
      <x:c r="A779" s="9" t="str">
        <x:v>Success</x:v>
      </x:c>
      <x:c r="B779" s="9" t="str">
        <x:v>Size Recognition</x:v>
      </x:c>
      <x:c r="C779" s="10" t="n">
        <x:v>7</x:v>
      </x:c>
      <x:c r="D779" s="9" t="str">
        <x:v>Move the object that is largest into the bowl.</x:v>
      </x:c>
      <x:c r="E779" s="9" t="str">
        <x:v>Bowl: empty. Table, robot-left→robot-right: P1 crushed Pepsi can; P2 green block; P3 juggling ball; P4 red pencil sharpener. Adjacent centers 12 cm apart; row shifted 4 cm away from the robot; all objects fully visible and grasp paths clear.</x:v>
      </x:c>
      <x:c r="F779" s="9" t="str">
        <x:v>MOVE crushed Pepsi can to bowl</x:v>
      </x:c>
      <x:c r="G779" s="9"/>
      <x:c r="H779" s="9" t="str">
        <x:v>In-distribution concept baseline</x:v>
      </x:c>
      <x:c r="I779" s="9" t="str">
        <x:v>SZ-ID-PC02</x:v>
      </x:c>
      <x:c r="J779" s="9" t="str">
        <x:v>largest</x:v>
      </x:c>
      <x:c r="K779" s="9"/>
      <x:c r="L779" s="9" t="str">
        <x:v>1156</x:v>
      </x:c>
      <x:c r="M779" s="9"/>
      <x:c r="N779" s="9"/>
      <x:c r="O779" s="9" t="str">
        <x:v>Build the listed manifest-supported scene.</x:v>
      </x:c>
      <x:c r="P779" s="9" t="str">
        <x:v>Exact prompt and object composition from training episode 1156; this establishes the familiar largest × crushed Pepsi can cell.</x:v>
      </x:c>
      <x:c r="Q779" s="9"/>
      <x:c r="R779" s="10" t="n">
        <x:v>4</x:v>
      </x:c>
      <x:c r="S779" s="10"/>
      <x:c r="T779" s="9"/>
      <x:c r="U779" s="9"/>
      <x:c r="V779" s="9"/>
      <x:c r="W779" s="9"/>
      <x:c r="X779" s="10"/>
      <x:c r="Y779" s="10"/>
      <x:c r="Z779" s="9"/>
      <x:c r="AA779" s="9"/>
      <x:c r="AB779" s="9"/>
      <x:c r="AC779" s="9"/>
      <x:c r="AD779" s="9" t="str">
        <x:v>crushed Pepsi can</x:v>
      </x:c>
      <x:c r="AE779" s="9"/>
      <x:c r="AF779" s="9"/>
      <x:c r="AG779" s="9"/>
      <x:c r="AH779" s="9" t="str">
        <x:v>Left</x:v>
      </x:c>
      <x:c r="AI779" s="11" t="n">
        <x:v>12</x:v>
      </x:c>
      <x:c r="AJ779" s="9" t="str">
        <x:v>Explicitly trained largest × crushed Pepsi can</x:v>
      </x:c>
      <x:c r="AK779" s="9" t="str">
        <x:v>Eval_Size_Recognition (1).xlsm</x:v>
      </x:c>
      <x:c r="AL779" s="9" t="str">
        <x:v>GR00T vision-only Results</x:v>
      </x:c>
      <x:c r="AM779" s="9" t="n">
        <x:v>9</x:v>
      </x:c>
      <x:c r="AN779" s="9" t="n">
        <x:v>9</x:v>
      </x:c>
    </x:row>
    <x:row r="780">
      <x:c r="A780" s="9" t="str">
        <x:v>Success</x:v>
      </x:c>
      <x:c r="B780" s="9" t="str">
        <x:v>Size Recognition</x:v>
      </x:c>
      <x:c r="C780" s="10" t="n">
        <x:v>8</x:v>
      </x:c>
      <x:c r="D780" s="9" t="str">
        <x:v>Move the object that is smallest into the bowl.</x:v>
      </x:c>
      <x:c r="E780" s="9" t="str">
        <x:v>Bowl: empty. Table, robot-left→robot-right: P1 red pencil sharpener; P2 crushed Pepsi can; P3 green block; P4 juggling ball. Adjacent centers 16 cm apart; row shifted 4 cm toward robot-right; all objects fully visible and grasp paths clear.</x:v>
      </x:c>
      <x:c r="F780" s="9" t="str">
        <x:v>MOVE red pencil sharpener to bowl</x:v>
      </x:c>
      <x:c r="G780" s="9"/>
      <x:c r="H780" s="9" t="str">
        <x:v>In-distribution concept baseline</x:v>
      </x:c>
      <x:c r="I780" s="9" t="str">
        <x:v>SZ-ID-SH03</x:v>
      </x:c>
      <x:c r="J780" s="9" t="str">
        <x:v>smallest</x:v>
      </x:c>
      <x:c r="K780" s="9"/>
      <x:c r="L780" s="9" t="str">
        <x:v>1007</x:v>
      </x:c>
      <x:c r="M780" s="9"/>
      <x:c r="N780" s="9"/>
      <x:c r="O780" s="9" t="str">
        <x:v>Build the listed manifest-supported scene.</x:v>
      </x:c>
      <x:c r="P780" s="9" t="str">
        <x:v>Exact prompt and object composition from training episode 1007; this establishes the familiar smallest × red pencil sharpener cell.</x:v>
      </x:c>
      <x:c r="Q780" s="9"/>
      <x:c r="R780" s="10" t="n">
        <x:v>4</x:v>
      </x:c>
      <x:c r="S780" s="10"/>
      <x:c r="T780" s="9"/>
      <x:c r="U780" s="9"/>
      <x:c r="V780" s="9"/>
      <x:c r="W780" s="9"/>
      <x:c r="X780" s="10"/>
      <x:c r="Y780" s="10"/>
      <x:c r="Z780" s="9"/>
      <x:c r="AA780" s="9"/>
      <x:c r="AB780" s="9"/>
      <x:c r="AC780" s="9"/>
      <x:c r="AD780" s="9" t="str">
        <x:v>red pencil sharpener</x:v>
      </x:c>
      <x:c r="AE780" s="9"/>
      <x:c r="AF780" s="9"/>
      <x:c r="AG780" s="9"/>
      <x:c r="AH780" s="9" t="str">
        <x:v>Left</x:v>
      </x:c>
      <x:c r="AI780" s="11" t="n">
        <x:v>16</x:v>
      </x:c>
      <x:c r="AJ780" s="9" t="str">
        <x:v>Explicitly trained smallest × red pencil sharpener</x:v>
      </x:c>
      <x:c r="AK780" s="9" t="str">
        <x:v>Eval_Size_Recognition (1).xlsm</x:v>
      </x:c>
      <x:c r="AL780" s="9" t="str">
        <x:v>GR00T vision-only Results</x:v>
      </x:c>
      <x:c r="AM780" s="9" t="n">
        <x:v>10</x:v>
      </x:c>
      <x:c r="AN780" s="9" t="n">
        <x:v>10</x:v>
      </x:c>
    </x:row>
    <x:row r="781">
      <x:c r="A781" s="9" t="str">
        <x:v>Success</x:v>
      </x:c>
      <x:c r="B781" s="9" t="str">
        <x:v>Size Recognition</x:v>
      </x:c>
      <x:c r="C781" s="10" t="n">
        <x:v>9</x:v>
      </x:c>
      <x:c r="D781" s="9" t="str">
        <x:v>Put the smallest object in the bowl.</x:v>
      </x:c>
      <x:c r="E781" s="9" t="str">
        <x:v>Bowl: empty. Table, robot-left→robot-right: P1 crushed Pepsi can; P2 juggling ball; P3 green block. Adjacent centers 8 cm apart; row shifted 4 cm toward the robot; all objects fully visible and grasp paths clear.</x:v>
      </x:c>
      <x:c r="F781" s="9" t="str">
        <x:v>MOVE green block to bowl</x:v>
      </x:c>
      <x:c r="G781" s="9"/>
      <x:c r="H781" s="9" t="str">
        <x:v>In-distribution concept baseline</x:v>
      </x:c>
      <x:c r="I781" s="9" t="str">
        <x:v>SZ-ID-GB03</x:v>
      </x:c>
      <x:c r="J781" s="9" t="str">
        <x:v>smallest</x:v>
      </x:c>
      <x:c r="K781" s="9"/>
      <x:c r="L781" s="9" t="str">
        <x:v>1052</x:v>
      </x:c>
      <x:c r="M781" s="9"/>
      <x:c r="N781" s="9"/>
      <x:c r="O781" s="9" t="str">
        <x:v>Build the listed manifest-supported scene.</x:v>
      </x:c>
      <x:c r="P781" s="9" t="str">
        <x:v>Exact prompt and object composition from training episode 1052; this establishes the familiar smallest × green block cell.</x:v>
      </x:c>
      <x:c r="Q781" s="9"/>
      <x:c r="R781" s="10" t="n">
        <x:v>3</x:v>
      </x:c>
      <x:c r="S781" s="10"/>
      <x:c r="T781" s="9"/>
      <x:c r="U781" s="9"/>
      <x:c r="V781" s="9"/>
      <x:c r="W781" s="9"/>
      <x:c r="X781" s="10"/>
      <x:c r="Y781" s="10"/>
      <x:c r="Z781" s="9"/>
      <x:c r="AA781" s="9"/>
      <x:c r="AB781" s="9"/>
      <x:c r="AC781" s="9"/>
      <x:c r="AD781" s="9" t="str">
        <x:v>green block</x:v>
      </x:c>
      <x:c r="AE781" s="9"/>
      <x:c r="AF781" s="9"/>
      <x:c r="AG781" s="9"/>
      <x:c r="AH781" s="9" t="str">
        <x:v>Right</x:v>
      </x:c>
      <x:c r="AI781" s="11" t="n">
        <x:v>8</x:v>
      </x:c>
      <x:c r="AJ781" s="9" t="str">
        <x:v>Explicitly trained smallest × green block</x:v>
      </x:c>
      <x:c r="AK781" s="9" t="str">
        <x:v>Eval_Size_Recognition (1).xlsm</x:v>
      </x:c>
      <x:c r="AL781" s="9" t="str">
        <x:v>GR00T vision-only Results</x:v>
      </x:c>
      <x:c r="AM781" s="9" t="n">
        <x:v>11</x:v>
      </x:c>
      <x:c r="AN781" s="9" t="n">
        <x:v>11</x:v>
      </x:c>
    </x:row>
    <x:row r="782">
      <x:c r="A782" s="9" t="str">
        <x:v>Success</x:v>
      </x:c>
      <x:c r="B782" s="9" t="str">
        <x:v>Size Recognition</x:v>
      </x:c>
      <x:c r="C782" s="10" t="n">
        <x:v>10</x:v>
      </x:c>
      <x:c r="D782" s="9" t="str">
        <x:v>Pick up the largest item and place it in the bowl.</x:v>
      </x:c>
      <x:c r="E782" s="9" t="str">
        <x:v>Bowl: empty. Table, robot-left→robot-right: P1 juggling ball; P2 red pencil sharpener; P3 green block. Adjacent centers 12 cm apart; row shifted 4 cm away from the robot; all objects fully visible and grasp paths clear.</x:v>
      </x:c>
      <x:c r="F782" s="9" t="str">
        <x:v>MOVE juggling ball to bowl</x:v>
      </x:c>
      <x:c r="G782" s="9"/>
      <x:c r="H782" s="9" t="str">
        <x:v>In-distribution concept baseline</x:v>
      </x:c>
      <x:c r="I782" s="9" t="str">
        <x:v>SZ-ID-JB03</x:v>
      </x:c>
      <x:c r="J782" s="9" t="str">
        <x:v>largest</x:v>
      </x:c>
      <x:c r="K782" s="9"/>
      <x:c r="L782" s="9" t="str">
        <x:v>1127</x:v>
      </x:c>
      <x:c r="M782" s="9"/>
      <x:c r="N782" s="9"/>
      <x:c r="O782" s="9" t="str">
        <x:v>Build the listed manifest-supported scene.</x:v>
      </x:c>
      <x:c r="P782" s="9" t="str">
        <x:v>Exact prompt and object composition from training episode 1127; this establishes the familiar largest × juggling ball cell.</x:v>
      </x:c>
      <x:c r="Q782" s="9"/>
      <x:c r="R782" s="10" t="n">
        <x:v>3</x:v>
      </x:c>
      <x:c r="S782" s="10"/>
      <x:c r="T782" s="9"/>
      <x:c r="U782" s="9"/>
      <x:c r="V782" s="9"/>
      <x:c r="W782" s="9"/>
      <x:c r="X782" s="10"/>
      <x:c r="Y782" s="10"/>
      <x:c r="Z782" s="9"/>
      <x:c r="AA782" s="9"/>
      <x:c r="AB782" s="9"/>
      <x:c r="AC782" s="9"/>
      <x:c r="AD782" s="9" t="str">
        <x:v>juggling ball</x:v>
      </x:c>
      <x:c r="AE782" s="9"/>
      <x:c r="AF782" s="9"/>
      <x:c r="AG782" s="9"/>
      <x:c r="AH782" s="9" t="str">
        <x:v>Left</x:v>
      </x:c>
      <x:c r="AI782" s="11" t="n">
        <x:v>12</x:v>
      </x:c>
      <x:c r="AJ782" s="9" t="str">
        <x:v>Explicitly trained largest × juggling ball</x:v>
      </x:c>
      <x:c r="AK782" s="9" t="str">
        <x:v>Eval_Size_Recognition (1).xlsm</x:v>
      </x:c>
      <x:c r="AL782" s="9" t="str">
        <x:v>GR00T vision-only Results</x:v>
      </x:c>
      <x:c r="AM782" s="9" t="n">
        <x:v>12</x:v>
      </x:c>
      <x:c r="AN782" s="9" t="n">
        <x:v>12</x:v>
      </x:c>
    </x:row>
    <x:row r="783">
      <x:c r="A783" s="9" t="str">
        <x:v>Failure</x:v>
      </x:c>
      <x:c r="B783" s="9" t="str">
        <x:v>Size Recognition</x:v>
      </x:c>
      <x:c r="C783" s="10" t="n">
        <x:v>11</x:v>
      </x:c>
      <x:c r="D783" s="9" t="str">
        <x:v>Put the largest object in the bowl.</x:v>
      </x:c>
      <x:c r="E783" s="9" t="str">
        <x:v>Bowl: empty. Table, robot-left→robot-right: P1 juggling ball; P2 red pencil sharpener; P3 green block; P4 crushed Pepsi can. Adjacent centers 16 cm apart; row centered on the workspace; all objects fully visible and grasp paths clear.</x:v>
      </x:c>
      <x:c r="F783" s="9" t="str">
        <x:v>MOVE crushed Pepsi can to bowl</x:v>
      </x:c>
      <x:c r="G783" s="9" t="str">
        <x:v>succeeded resoning in going to the pepsi can, but once it had its grippers around it, it couldn't grasp it</x:v>
      </x:c>
      <x:c r="H783" s="9" t="str">
        <x:v>In-distribution concept baseline</x:v>
      </x:c>
      <x:c r="I783" s="9" t="str">
        <x:v>SZ-ID-PC03</x:v>
      </x:c>
      <x:c r="J783" s="9" t="str">
        <x:v>largest</x:v>
      </x:c>
      <x:c r="K783" s="9"/>
      <x:c r="L783" s="9" t="str">
        <x:v>1157</x:v>
      </x:c>
      <x:c r="M783" s="9"/>
      <x:c r="N783" s="9"/>
      <x:c r="O783" s="9" t="str">
        <x:v>Build the listed manifest-supported scene.</x:v>
      </x:c>
      <x:c r="P783" s="9" t="str">
        <x:v>Exact prompt and object composition from training episode 1157; this establishes the familiar largest × crushed Pepsi can cell.</x:v>
      </x:c>
      <x:c r="Q783" s="9"/>
      <x:c r="R783" s="10" t="n">
        <x:v>4</x:v>
      </x:c>
      <x:c r="S783" s="10"/>
      <x:c r="T783" s="9"/>
      <x:c r="U783" s="9"/>
      <x:c r="V783" s="9"/>
      <x:c r="W783" s="9"/>
      <x:c r="X783" s="10"/>
      <x:c r="Y783" s="10"/>
      <x:c r="Z783" s="9"/>
      <x:c r="AA783" s="9"/>
      <x:c r="AB783" s="9"/>
      <x:c r="AC783" s="9"/>
      <x:c r="AD783" s="9" t="str">
        <x:v>crushed Pepsi can</x:v>
      </x:c>
      <x:c r="AE783" s="9"/>
      <x:c r="AF783" s="9"/>
      <x:c r="AG783" s="9"/>
      <x:c r="AH783" s="9" t="str">
        <x:v>Right</x:v>
      </x:c>
      <x:c r="AI783" s="11" t="n">
        <x:v>16</x:v>
      </x:c>
      <x:c r="AJ783" s="9" t="str">
        <x:v>Explicitly trained largest × crushed Pepsi can</x:v>
      </x:c>
      <x:c r="AK783" s="9" t="str">
        <x:v>Eval_Size_Recognition (1).xlsm</x:v>
      </x:c>
      <x:c r="AL783" s="9" t="str">
        <x:v>GR00T vision-only Results</x:v>
      </x:c>
      <x:c r="AM783" s="9" t="n">
        <x:v>13</x:v>
      </x:c>
      <x:c r="AN783" s="9" t="n">
        <x:v>13</x:v>
      </x:c>
    </x:row>
    <x:row r="784">
      <x:c r="A784" s="9" t="str">
        <x:v>Success</x:v>
      </x:c>
      <x:c r="B784" s="9" t="str">
        <x:v>Size Recognition</x:v>
      </x:c>
      <x:c r="C784" s="10" t="n">
        <x:v>12</x:v>
      </x:c>
      <x:c r="D784" s="9" t="str">
        <x:v>Put the smallest object in the bowl.</x:v>
      </x:c>
      <x:c r="E784" s="9" t="str">
        <x:v>Bowl: empty. Table, robot-left→robot-right: P1 green block; P2 juggling ball; P3 crushed Pepsi can; P4 red pencil sharpener. Adjacent centers 8 cm apart; row shifted 4 cm toward the robot; all objects fully visible and grasp paths clear.</x:v>
      </x:c>
      <x:c r="F784" s="9" t="str">
        <x:v>MOVE red pencil sharpener to bowl</x:v>
      </x:c>
      <x:c r="G784" s="9"/>
      <x:c r="H784" s="9" t="str">
        <x:v>In-distribution concept baseline</x:v>
      </x:c>
      <x:c r="I784" s="9" t="str">
        <x:v>SZ-ID-SH04</x:v>
      </x:c>
      <x:c r="J784" s="9" t="str">
        <x:v>smallest</x:v>
      </x:c>
      <x:c r="K784" s="9"/>
      <x:c r="L784" s="9" t="str">
        <x:v>1008</x:v>
      </x:c>
      <x:c r="M784" s="9"/>
      <x:c r="N784" s="9"/>
      <x:c r="O784" s="9" t="str">
        <x:v>Build the listed manifest-supported scene.</x:v>
      </x:c>
      <x:c r="P784" s="9" t="str">
        <x:v>Exact prompt and object composition from training episode 1008; this establishes the familiar smallest × red pencil sharpener cell.</x:v>
      </x:c>
      <x:c r="Q784" s="9"/>
      <x:c r="R784" s="10" t="n">
        <x:v>4</x:v>
      </x:c>
      <x:c r="S784" s="10"/>
      <x:c r="T784" s="9"/>
      <x:c r="U784" s="9"/>
      <x:c r="V784" s="9"/>
      <x:c r="W784" s="9"/>
      <x:c r="X784" s="10"/>
      <x:c r="Y784" s="10"/>
      <x:c r="Z784" s="9"/>
      <x:c r="AA784" s="9"/>
      <x:c r="AB784" s="9"/>
      <x:c r="AC784" s="9"/>
      <x:c r="AD784" s="9" t="str">
        <x:v>red pencil sharpener</x:v>
      </x:c>
      <x:c r="AE784" s="9"/>
      <x:c r="AF784" s="9"/>
      <x:c r="AG784" s="9"/>
      <x:c r="AH784" s="9" t="str">
        <x:v>Right</x:v>
      </x:c>
      <x:c r="AI784" s="11" t="n">
        <x:v>8</x:v>
      </x:c>
      <x:c r="AJ784" s="9" t="str">
        <x:v>Explicitly trained smallest × red pencil sharpener</x:v>
      </x:c>
      <x:c r="AK784" s="9" t="str">
        <x:v>Eval_Size_Recognition (1).xlsm</x:v>
      </x:c>
      <x:c r="AL784" s="9" t="str">
        <x:v>GR00T vision-only Results</x:v>
      </x:c>
      <x:c r="AM784" s="9" t="n">
        <x:v>14</x:v>
      </x:c>
      <x:c r="AN784" s="9" t="n">
        <x:v>14</x:v>
      </x:c>
    </x:row>
    <x:row r="785">
      <x:c r="A785" s="9" t="str">
        <x:v>Success</x:v>
      </x:c>
      <x:c r="B785" s="9" t="str">
        <x:v>Size Recognition</x:v>
      </x:c>
      <x:c r="C785" s="10" t="n">
        <x:v>13</x:v>
      </x:c>
      <x:c r="D785" s="9" t="str">
        <x:v>Put the smallest object in the bowl.</x:v>
      </x:c>
      <x:c r="E785" s="9" t="str">
        <x:v>Bowl: empty. Table, robot-left→robot-right: P1 green block; P2 juggling ball; P3 crushed Pepsi can. Adjacent centers 12 cm apart; row shifted 4 cm away from the robot; all objects fully visible and grasp paths clear.</x:v>
      </x:c>
      <x:c r="F785" s="9" t="str">
        <x:v>MOVE green block to bowl</x:v>
      </x:c>
      <x:c r="G785" s="9"/>
      <x:c r="H785" s="9" t="str">
        <x:v>In-distribution concept baseline</x:v>
      </x:c>
      <x:c r="I785" s="9" t="str">
        <x:v>SZ-ID-GB04</x:v>
      </x:c>
      <x:c r="J785" s="9" t="str">
        <x:v>smallest</x:v>
      </x:c>
      <x:c r="K785" s="9"/>
      <x:c r="L785" s="9" t="str">
        <x:v>1053</x:v>
      </x:c>
      <x:c r="M785" s="9"/>
      <x:c r="N785" s="9"/>
      <x:c r="O785" s="9" t="str">
        <x:v>Build the listed manifest-supported scene.</x:v>
      </x:c>
      <x:c r="P785" s="9" t="str">
        <x:v>Exact prompt and object composition from training episode 1053; this establishes the familiar smallest × green block cell.</x:v>
      </x:c>
      <x:c r="Q785" s="9"/>
      <x:c r="R785" s="10" t="n">
        <x:v>3</x:v>
      </x:c>
      <x:c r="S785" s="10"/>
      <x:c r="T785" s="9"/>
      <x:c r="U785" s="9"/>
      <x:c r="V785" s="9"/>
      <x:c r="W785" s="9"/>
      <x:c r="X785" s="10"/>
      <x:c r="Y785" s="10"/>
      <x:c r="Z785" s="9"/>
      <x:c r="AA785" s="9"/>
      <x:c r="AB785" s="9"/>
      <x:c r="AC785" s="9"/>
      <x:c r="AD785" s="9" t="str">
        <x:v>green block</x:v>
      </x:c>
      <x:c r="AE785" s="9"/>
      <x:c r="AF785" s="9"/>
      <x:c r="AG785" s="9"/>
      <x:c r="AH785" s="9" t="str">
        <x:v>Left</x:v>
      </x:c>
      <x:c r="AI785" s="11" t="n">
        <x:v>12</x:v>
      </x:c>
      <x:c r="AJ785" s="9" t="str">
        <x:v>Explicitly trained smallest × green block</x:v>
      </x:c>
      <x:c r="AK785" s="9" t="str">
        <x:v>Eval_Size_Recognition (1).xlsm</x:v>
      </x:c>
      <x:c r="AL785" s="9" t="str">
        <x:v>GR00T vision-only Results</x:v>
      </x:c>
      <x:c r="AM785" s="9" t="n">
        <x:v>15</x:v>
      </x:c>
      <x:c r="AN785" s="9" t="n">
        <x:v>15</x:v>
      </x:c>
    </x:row>
    <x:row r="786">
      <x:c r="A786" s="9" t="str">
        <x:v>Success</x:v>
      </x:c>
      <x:c r="B786" s="9" t="str">
        <x:v>Size Recognition</x:v>
      </x:c>
      <x:c r="C786" s="10" t="n">
        <x:v>14</x:v>
      </x:c>
      <x:c r="D786" s="9" t="str">
        <x:v>Pick up the largest item and place it in the bowl.</x:v>
      </x:c>
      <x:c r="E786" s="9" t="str">
        <x:v>Bowl: empty. Table, robot-left→robot-right: P1 green block; P2 red pencil sharpener; P3 juggling ball. Adjacent centers 16 cm apart; row centered on the workspace; all objects fully visible and grasp paths clear.</x:v>
      </x:c>
      <x:c r="F786" s="9" t="str">
        <x:v>MOVE juggling ball to bowl</x:v>
      </x:c>
      <x:c r="G786" s="9"/>
      <x:c r="H786" s="9" t="str">
        <x:v>In-distribution concept baseline</x:v>
      </x:c>
      <x:c r="I786" s="9" t="str">
        <x:v>SZ-ID-JB04</x:v>
      </x:c>
      <x:c r="J786" s="9" t="str">
        <x:v>largest</x:v>
      </x:c>
      <x:c r="K786" s="9"/>
      <x:c r="L786" s="9" t="str">
        <x:v>1128</x:v>
      </x:c>
      <x:c r="M786" s="9"/>
      <x:c r="N786" s="9"/>
      <x:c r="O786" s="9" t="str">
        <x:v>Build the listed manifest-supported scene.</x:v>
      </x:c>
      <x:c r="P786" s="9" t="str">
        <x:v>Exact prompt and object composition from training episode 1128; this establishes the familiar largest × juggling ball cell.</x:v>
      </x:c>
      <x:c r="Q786" s="9"/>
      <x:c r="R786" s="10" t="n">
        <x:v>3</x:v>
      </x:c>
      <x:c r="S786" s="10"/>
      <x:c r="T786" s="9"/>
      <x:c r="U786" s="9"/>
      <x:c r="V786" s="9"/>
      <x:c r="W786" s="9"/>
      <x:c r="X786" s="10"/>
      <x:c r="Y786" s="10"/>
      <x:c r="Z786" s="9"/>
      <x:c r="AA786" s="9"/>
      <x:c r="AB786" s="9"/>
      <x:c r="AC786" s="9"/>
      <x:c r="AD786" s="9" t="str">
        <x:v>juggling ball</x:v>
      </x:c>
      <x:c r="AE786" s="9"/>
      <x:c r="AF786" s="9"/>
      <x:c r="AG786" s="9"/>
      <x:c r="AH786" s="9" t="str">
        <x:v>Right</x:v>
      </x:c>
      <x:c r="AI786" s="11" t="n">
        <x:v>16</x:v>
      </x:c>
      <x:c r="AJ786" s="9" t="str">
        <x:v>Explicitly trained largest × juggling ball</x:v>
      </x:c>
      <x:c r="AK786" s="9" t="str">
        <x:v>Eval_Size_Recognition (1).xlsm</x:v>
      </x:c>
      <x:c r="AL786" s="9" t="str">
        <x:v>GR00T vision-only Results</x:v>
      </x:c>
      <x:c r="AM786" s="9" t="n">
        <x:v>16</x:v>
      </x:c>
      <x:c r="AN786" s="9" t="n">
        <x:v>16</x:v>
      </x:c>
    </x:row>
    <x:row r="787">
      <x:c r="A787" s="9" t="str">
        <x:v>Success</x:v>
      </x:c>
      <x:c r="B787" s="9" t="str">
        <x:v>Size Recognition</x:v>
      </x:c>
      <x:c r="C787" s="10" t="n">
        <x:v>15</x:v>
      </x:c>
      <x:c r="D787" s="9" t="str">
        <x:v>Put the largest object in the bowl.</x:v>
      </x:c>
      <x:c r="E787" s="9" t="str">
        <x:v>Bowl: empty. Table, robot-left→robot-right: P1 crushed Pepsi can; P2 red pencil sharpener; P3 green block; P4 juggling ball. Adjacent centers 8 cm apart; row shifted 4 cm toward robot-left; all objects fully visible and grasp paths clear.</x:v>
      </x:c>
      <x:c r="F787" s="9" t="str">
        <x:v>MOVE crushed Pepsi can to bowl</x:v>
      </x:c>
      <x:c r="G787" s="9"/>
      <x:c r="H787" s="9" t="str">
        <x:v>In-distribution concept baseline</x:v>
      </x:c>
      <x:c r="I787" s="9" t="str">
        <x:v>SZ-ID-PC04</x:v>
      </x:c>
      <x:c r="J787" s="9" t="str">
        <x:v>largest</x:v>
      </x:c>
      <x:c r="K787" s="9"/>
      <x:c r="L787" s="9" t="str">
        <x:v>1158</x:v>
      </x:c>
      <x:c r="M787" s="9"/>
      <x:c r="N787" s="9"/>
      <x:c r="O787" s="9" t="str">
        <x:v>Build the listed manifest-supported scene.</x:v>
      </x:c>
      <x:c r="P787" s="9" t="str">
        <x:v>Exact prompt and object composition from training episode 1158; this establishes the familiar largest × crushed Pepsi can cell.</x:v>
      </x:c>
      <x:c r="Q787" s="9"/>
      <x:c r="R787" s="10" t="n">
        <x:v>4</x:v>
      </x:c>
      <x:c r="S787" s="10"/>
      <x:c r="T787" s="9"/>
      <x:c r="U787" s="9"/>
      <x:c r="V787" s="9"/>
      <x:c r="W787" s="9"/>
      <x:c r="X787" s="10"/>
      <x:c r="Y787" s="10"/>
      <x:c r="Z787" s="9"/>
      <x:c r="AA787" s="9"/>
      <x:c r="AB787" s="9"/>
      <x:c r="AC787" s="9"/>
      <x:c r="AD787" s="9" t="str">
        <x:v>crushed Pepsi can</x:v>
      </x:c>
      <x:c r="AE787" s="9"/>
      <x:c r="AF787" s="9"/>
      <x:c r="AG787" s="9"/>
      <x:c r="AH787" s="9" t="str">
        <x:v>Left</x:v>
      </x:c>
      <x:c r="AI787" s="11" t="n">
        <x:v>8</x:v>
      </x:c>
      <x:c r="AJ787" s="9" t="str">
        <x:v>Explicitly trained largest × crushed Pepsi can</x:v>
      </x:c>
      <x:c r="AK787" s="9" t="str">
        <x:v>Eval_Size_Recognition (1).xlsm</x:v>
      </x:c>
      <x:c r="AL787" s="9" t="str">
        <x:v>GR00T vision-only Results</x:v>
      </x:c>
      <x:c r="AM787" s="9" t="n">
        <x:v>17</x:v>
      </x:c>
      <x:c r="AN787" s="9" t="n">
        <x:v>17</x:v>
      </x:c>
    </x:row>
    <x:row r="788">
      <x:c r="A788" s="9" t="str">
        <x:v>Success</x:v>
      </x:c>
      <x:c r="B788" s="9" t="str">
        <x:v>Size Recognition</x:v>
      </x:c>
      <x:c r="C788" s="10" t="n">
        <x:v>16</x:v>
      </x:c>
      <x:c r="D788" s="9" t="str">
        <x:v>Move the object that is smallest into the bowl.</x:v>
      </x:c>
      <x:c r="E788" s="9" t="str">
        <x:v>Bowl: empty. Table, robot-left→robot-right: P1 red pencil sharpener; P2 juggling ball; P3 crushed Pepsi can; P4 green block. Adjacent centers 12 cm apart; row shifted 4 cm away from the robot; all objects fully visible and grasp paths clear.</x:v>
      </x:c>
      <x:c r="F788" s="9" t="str">
        <x:v>MOVE red pencil sharpener to bowl</x:v>
      </x:c>
      <x:c r="G788" s="9"/>
      <x:c r="H788" s="9" t="str">
        <x:v>In-distribution concept baseline</x:v>
      </x:c>
      <x:c r="I788" s="9" t="str">
        <x:v>SZ-ID-SH05</x:v>
      </x:c>
      <x:c r="J788" s="9" t="str">
        <x:v>smallest</x:v>
      </x:c>
      <x:c r="K788" s="9"/>
      <x:c r="L788" s="9" t="str">
        <x:v>1009</x:v>
      </x:c>
      <x:c r="M788" s="9"/>
      <x:c r="N788" s="9"/>
      <x:c r="O788" s="9" t="str">
        <x:v>Build the listed manifest-supported scene.</x:v>
      </x:c>
      <x:c r="P788" s="9" t="str">
        <x:v>Exact prompt and object composition from training episode 1009; this establishes the familiar smallest × red pencil sharpener cell.</x:v>
      </x:c>
      <x:c r="Q788" s="9"/>
      <x:c r="R788" s="10" t="n">
        <x:v>4</x:v>
      </x:c>
      <x:c r="S788" s="10"/>
      <x:c r="T788" s="9"/>
      <x:c r="U788" s="9"/>
      <x:c r="V788" s="9"/>
      <x:c r="W788" s="9"/>
      <x:c r="X788" s="10"/>
      <x:c r="Y788" s="10"/>
      <x:c r="Z788" s="9"/>
      <x:c r="AA788" s="9"/>
      <x:c r="AB788" s="9"/>
      <x:c r="AC788" s="9"/>
      <x:c r="AD788" s="9" t="str">
        <x:v>red pencil sharpener</x:v>
      </x:c>
      <x:c r="AE788" s="9"/>
      <x:c r="AF788" s="9"/>
      <x:c r="AG788" s="9"/>
      <x:c r="AH788" s="9" t="str">
        <x:v>Left</x:v>
      </x:c>
      <x:c r="AI788" s="11" t="n">
        <x:v>12</x:v>
      </x:c>
      <x:c r="AJ788" s="9" t="str">
        <x:v>Explicitly trained smallest × red pencil sharpener</x:v>
      </x:c>
      <x:c r="AK788" s="9" t="str">
        <x:v>Eval_Size_Recognition (1).xlsm</x:v>
      </x:c>
      <x:c r="AL788" s="9" t="str">
        <x:v>GR00T vision-only Results</x:v>
      </x:c>
      <x:c r="AM788" s="9" t="n">
        <x:v>18</x:v>
      </x:c>
      <x:c r="AN788" s="9" t="n">
        <x:v>18</x:v>
      </x:c>
    </x:row>
    <x:row r="789">
      <x:c r="A789" s="9" t="str">
        <x:v>Failure</x:v>
      </x:c>
      <x:c r="B789" s="9" t="str">
        <x:v>Size Recognition</x:v>
      </x:c>
      <x:c r="C789" s="10" t="n">
        <x:v>17</x:v>
      </x:c>
      <x:c r="D789" s="9" t="str">
        <x:v>Put the smallest object in the bowl.</x:v>
      </x:c>
      <x:c r="E789" s="9" t="str">
        <x:v>Bowl: empty. Table, robot-left→robot-right: P1 crushed Pepsi can; P2 juggling ball; P3 green block. Adjacent centers 16 cm apart; row centered on the workspace; all objects fully visible and grasp paths clear.</x:v>
      </x:c>
      <x:c r="F789" s="9" t="str">
        <x:v>MOVE green block to bowl</x:v>
      </x:c>
      <x:c r="G789" s="9" t="str">
        <x:v>successful reasoning, but had a bad grip and it got pushed out of range</x:v>
      </x:c>
      <x:c r="H789" s="9" t="str">
        <x:v>In-distribution concept baseline</x:v>
      </x:c>
      <x:c r="I789" s="9" t="str">
        <x:v>SZ-ID-GB05</x:v>
      </x:c>
      <x:c r="J789" s="9" t="str">
        <x:v>smallest</x:v>
      </x:c>
      <x:c r="K789" s="9"/>
      <x:c r="L789" s="9" t="str">
        <x:v>1054</x:v>
      </x:c>
      <x:c r="M789" s="9"/>
      <x:c r="N789" s="9"/>
      <x:c r="O789" s="9" t="str">
        <x:v>Build the listed manifest-supported scene.</x:v>
      </x:c>
      <x:c r="P789" s="9" t="str">
        <x:v>Exact prompt and object composition from training episode 1054; this establishes the familiar smallest × green block cell.</x:v>
      </x:c>
      <x:c r="Q789" s="9"/>
      <x:c r="R789" s="10" t="n">
        <x:v>3</x:v>
      </x:c>
      <x:c r="S789" s="10"/>
      <x:c r="T789" s="9"/>
      <x:c r="U789" s="9"/>
      <x:c r="V789" s="9"/>
      <x:c r="W789" s="9"/>
      <x:c r="X789" s="10"/>
      <x:c r="Y789" s="10"/>
      <x:c r="Z789" s="9"/>
      <x:c r="AA789" s="9"/>
      <x:c r="AB789" s="9"/>
      <x:c r="AC789" s="9"/>
      <x:c r="AD789" s="9" t="str">
        <x:v>green block</x:v>
      </x:c>
      <x:c r="AE789" s="9"/>
      <x:c r="AF789" s="9"/>
      <x:c r="AG789" s="9"/>
      <x:c r="AH789" s="9" t="str">
        <x:v>Right</x:v>
      </x:c>
      <x:c r="AI789" s="11" t="n">
        <x:v>16</x:v>
      </x:c>
      <x:c r="AJ789" s="9" t="str">
        <x:v>Explicitly trained smallest × green block</x:v>
      </x:c>
      <x:c r="AK789" s="9" t="str">
        <x:v>Eval_Size_Recognition (1).xlsm</x:v>
      </x:c>
      <x:c r="AL789" s="9" t="str">
        <x:v>GR00T vision-only Results</x:v>
      </x:c>
      <x:c r="AM789" s="9" t="n">
        <x:v>19</x:v>
      </x:c>
      <x:c r="AN789" s="9" t="n">
        <x:v>19</x:v>
      </x:c>
    </x:row>
    <x:row r="790">
      <x:c r="A790" s="9" t="str">
        <x:v>Success</x:v>
      </x:c>
      <x:c r="B790" s="9" t="str">
        <x:v>Size Recognition</x:v>
      </x:c>
      <x:c r="C790" s="10" t="n">
        <x:v>18</x:v>
      </x:c>
      <x:c r="D790" s="9" t="str">
        <x:v>Put the largest object in the bowl.</x:v>
      </x:c>
      <x:c r="E790" s="9" t="str">
        <x:v>Bowl: empty. Table, robot-left→robot-right: P1 juggling ball; P2 red pencil sharpener; P3 green block. Adjacent centers 8 cm apart; row shifted 4 cm toward robot-left; all objects fully visible and grasp paths clear.</x:v>
      </x:c>
      <x:c r="F790" s="9" t="str">
        <x:v>MOVE juggling ball to bowl</x:v>
      </x:c>
      <x:c r="G790" s="9"/>
      <x:c r="H790" s="9" t="str">
        <x:v>In-distribution concept baseline</x:v>
      </x:c>
      <x:c r="I790" s="9" t="str">
        <x:v>SZ-ID-JB05</x:v>
      </x:c>
      <x:c r="J790" s="9" t="str">
        <x:v>largest</x:v>
      </x:c>
      <x:c r="K790" s="9"/>
      <x:c r="L790" s="9" t="str">
        <x:v>1129</x:v>
      </x:c>
      <x:c r="M790" s="9"/>
      <x:c r="N790" s="9"/>
      <x:c r="O790" s="9" t="str">
        <x:v>Build the listed manifest-supported scene.</x:v>
      </x:c>
      <x:c r="P790" s="9" t="str">
        <x:v>Exact prompt and object composition from training episode 1129; this establishes the familiar largest × juggling ball cell.</x:v>
      </x:c>
      <x:c r="Q790" s="9"/>
      <x:c r="R790" s="10" t="n">
        <x:v>3</x:v>
      </x:c>
      <x:c r="S790" s="10"/>
      <x:c r="T790" s="9"/>
      <x:c r="U790" s="9"/>
      <x:c r="V790" s="9"/>
      <x:c r="W790" s="9"/>
      <x:c r="X790" s="10"/>
      <x:c r="Y790" s="10"/>
      <x:c r="Z790" s="9"/>
      <x:c r="AA790" s="9"/>
      <x:c r="AB790" s="9"/>
      <x:c r="AC790" s="9"/>
      <x:c r="AD790" s="9" t="str">
        <x:v>juggling ball</x:v>
      </x:c>
      <x:c r="AE790" s="9"/>
      <x:c r="AF790" s="9"/>
      <x:c r="AG790" s="9"/>
      <x:c r="AH790" s="9" t="str">
        <x:v>Left</x:v>
      </x:c>
      <x:c r="AI790" s="11" t="n">
        <x:v>8</x:v>
      </x:c>
      <x:c r="AJ790" s="9" t="str">
        <x:v>Explicitly trained largest × juggling ball</x:v>
      </x:c>
      <x:c r="AK790" s="9" t="str">
        <x:v>Eval_Size_Recognition (1).xlsm</x:v>
      </x:c>
      <x:c r="AL790" s="9" t="str">
        <x:v>GR00T vision-only Results</x:v>
      </x:c>
      <x:c r="AM790" s="9" t="n">
        <x:v>20</x:v>
      </x:c>
      <x:c r="AN790" s="9" t="n">
        <x:v>20</x:v>
      </x:c>
    </x:row>
    <x:row r="791">
      <x:c r="A791" s="9" t="str">
        <x:v>Success</x:v>
      </x:c>
      <x:c r="B791" s="9" t="str">
        <x:v>Size Recognition</x:v>
      </x:c>
      <x:c r="C791" s="10" t="n">
        <x:v>19</x:v>
      </x:c>
      <x:c r="D791" s="9" t="str">
        <x:v>Move the object that is largest into the bowl.</x:v>
      </x:c>
      <x:c r="E791" s="9" t="str">
        <x:v>Bowl: empty. Table, robot-left→robot-right: P1 green block; P2 juggling ball; P3 red pencil sharpener; P4 crushed Pepsi can. Adjacent centers 12 cm apart; row shifted 4 cm toward robot-right; all objects fully visible and grasp paths clear.</x:v>
      </x:c>
      <x:c r="F791" s="9" t="str">
        <x:v>MOVE crushed Pepsi can to bowl</x:v>
      </x:c>
      <x:c r="G791" s="9"/>
      <x:c r="H791" s="9" t="str">
        <x:v>In-distribution concept baseline</x:v>
      </x:c>
      <x:c r="I791" s="9" t="str">
        <x:v>SZ-ID-PC05</x:v>
      </x:c>
      <x:c r="J791" s="9" t="str">
        <x:v>largest</x:v>
      </x:c>
      <x:c r="K791" s="9"/>
      <x:c r="L791" s="9" t="str">
        <x:v>1159</x:v>
      </x:c>
      <x:c r="M791" s="9"/>
      <x:c r="N791" s="9"/>
      <x:c r="O791" s="9" t="str">
        <x:v>Build the listed manifest-supported scene.</x:v>
      </x:c>
      <x:c r="P791" s="9" t="str">
        <x:v>Exact prompt and object composition from training episode 1159; this establishes the familiar largest × crushed Pepsi can cell.</x:v>
      </x:c>
      <x:c r="Q791" s="9"/>
      <x:c r="R791" s="10" t="n">
        <x:v>4</x:v>
      </x:c>
      <x:c r="S791" s="10"/>
      <x:c r="T791" s="9"/>
      <x:c r="U791" s="9"/>
      <x:c r="V791" s="9"/>
      <x:c r="W791" s="9"/>
      <x:c r="X791" s="10"/>
      <x:c r="Y791" s="10"/>
      <x:c r="Z791" s="9"/>
      <x:c r="AA791" s="9"/>
      <x:c r="AB791" s="9"/>
      <x:c r="AC791" s="9"/>
      <x:c r="AD791" s="9" t="str">
        <x:v>crushed Pepsi can</x:v>
      </x:c>
      <x:c r="AE791" s="9"/>
      <x:c r="AF791" s="9"/>
      <x:c r="AG791" s="9"/>
      <x:c r="AH791" s="9" t="str">
        <x:v>Right</x:v>
      </x:c>
      <x:c r="AI791" s="11" t="n">
        <x:v>12</x:v>
      </x:c>
      <x:c r="AJ791" s="9" t="str">
        <x:v>Explicitly trained largest × crushed Pepsi can</x:v>
      </x:c>
      <x:c r="AK791" s="9" t="str">
        <x:v>Eval_Size_Recognition (1).xlsm</x:v>
      </x:c>
      <x:c r="AL791" s="9" t="str">
        <x:v>GR00T vision-only Results</x:v>
      </x:c>
      <x:c r="AM791" s="9" t="n">
        <x:v>21</x:v>
      </x:c>
      <x:c r="AN791" s="9" t="n">
        <x:v>21</x:v>
      </x:c>
    </x:row>
    <x:row r="792">
      <x:c r="A792" s="9" t="str">
        <x:v>Success</x:v>
      </x:c>
      <x:c r="B792" s="9" t="str">
        <x:v>Size Recognition</x:v>
      </x:c>
      <x:c r="C792" s="10" t="n">
        <x:v>20</x:v>
      </x:c>
      <x:c r="D792" s="9" t="str">
        <x:v>Move the object that is largest into the bowl.</x:v>
      </x:c>
      <x:c r="E792" s="9" t="str">
        <x:v>Bowl: empty. Table, robot-left→robot-right: P1 green block; P2 red pencil sharpener. Adjacent centers 8 cm apart; row centered on the workspace; all objects fully visible and grasp paths clear.</x:v>
      </x:c>
      <x:c r="F792" s="9" t="str">
        <x:v>MOVE green block to bowl</x:v>
      </x:c>
      <x:c r="G792" s="9"/>
      <x:c r="H792" s="9" t="str">
        <x:v>Concept/compositional transfer</x:v>
      </x:c>
      <x:c r="I792" s="9" t="str">
        <x:v>SZ-CT-LG01</x:v>
      </x:c>
      <x:c r="J792" s="9" t="str">
        <x:v>largest</x:v>
      </x:c>
      <x:c r="K792" s="9"/>
      <x:c r="L792" s="9" t="str">
        <x:v>1080</x:v>
      </x:c>
      <x:c r="M792" s="9"/>
      <x:c r="N792" s="9"/>
      <x:c r="O792" s="9" t="str">
        <x:v>Build the listed two-object scene and save a first-frame filename.</x:v>
      </x:c>
      <x:c r="P792" s="9" t="str">
        <x:v>Primary missing cell. Training episode 1080 contains the same target trajectory but masks the size word with a direct identity prompt.</x:v>
      </x:c>
      <x:c r="Q792" s="9"/>
      <x:c r="R792" s="10" t="n">
        <x:v>2</x:v>
      </x:c>
      <x:c r="S792" s="10"/>
      <x:c r="T792" s="9"/>
      <x:c r="U792" s="9"/>
      <x:c r="V792" s="9"/>
      <x:c r="W792" s="9"/>
      <x:c r="X792" s="10"/>
      <x:c r="Y792" s="10"/>
      <x:c r="Z792" s="9"/>
      <x:c r="AA792" s="9"/>
      <x:c r="AB792" s="9"/>
      <x:c r="AC792" s="9"/>
      <x:c r="AD792" s="9" t="str">
        <x:v>green block</x:v>
      </x:c>
      <x:c r="AE792" s="9"/>
      <x:c r="AF792" s="9"/>
      <x:c r="AG792" s="9"/>
      <x:c r="AH792" s="9" t="str">
        <x:v>Left</x:v>
      </x:c>
      <x:c r="AI792" s="11" t="n">
        <x:v>8</x:v>
      </x:c>
      <x:c r="AJ792" s="9" t="str">
        <x:v>Held-out largest × green block — Move</x:v>
      </x:c>
      <x:c r="AK792" s="9" t="str">
        <x:v>Eval_Size_Recognition (1).xlsm</x:v>
      </x:c>
      <x:c r="AL792" s="9" t="str">
        <x:v>GR00T vision-only Results</x:v>
      </x:c>
      <x:c r="AM792" s="9" t="n">
        <x:v>22</x:v>
      </x:c>
      <x:c r="AN792" s="9" t="n">
        <x:v>22</x:v>
      </x:c>
    </x:row>
    <x:row r="793">
      <x:c r="A793" s="9" t="str">
        <x:v>Success</x:v>
      </x:c>
      <x:c r="B793" s="9" t="str">
        <x:v>Size Recognition</x:v>
      </x:c>
      <x:c r="C793" s="10" t="n">
        <x:v>21</x:v>
      </x:c>
      <x:c r="D793" s="9" t="str">
        <x:v>Put the green block in the bowl.</x:v>
      </x:c>
      <x:c r="E793" s="9" t="str">
        <x:v>Bowl: empty. Table, robot-left→robot-right: P1 green block; P2 red pencil sharpener. Adjacent centers 8 cm apart; row centered on the workspace; all objects fully visible and grasp paths clear.</x:v>
      </x:c>
      <x:c r="F793" s="9" t="str">
        <x:v>MOVE green block to bowl</x:v>
      </x:c>
      <x:c r="G793" s="9"/>
      <x:c r="H793" s="9" t="str">
        <x:v>Matched manipulation control</x:v>
      </x:c>
      <x:c r="I793" s="9" t="str">
        <x:v>SZ-CT-LG01</x:v>
      </x:c>
      <x:c r="J793" s="9" t="str">
        <x:v>Direct</x:v>
      </x:c>
      <x:c r="K793" s="9" t="n">
        <x:v>20</x:v>
      </x:c>
      <x:c r="L793" s="9" t="str">
        <x:v>1075</x:v>
      </x:c>
      <x:c r="M793" s="9"/>
      <x:c r="N793" s="9"/>
      <x:c r="O793" s="9" t="str">
        <x:v>Reset the target to its original pose; change only the prompt.</x:v>
      </x:c>
      <x:c r="P793" s="9" t="str">
        <x:v>Exact-scene control using a direct prompt supported by training episode 1075.</x:v>
      </x:c>
      <x:c r="Q793" s="9"/>
      <x:c r="R793" s="10" t="n">
        <x:v>2</x:v>
      </x:c>
      <x:c r="S793" s="10"/>
      <x:c r="T793" s="9"/>
      <x:c r="U793" s="9"/>
      <x:c r="V793" s="9"/>
      <x:c r="W793" s="9"/>
      <x:c r="X793" s="10"/>
      <x:c r="Y793" s="10"/>
      <x:c r="Z793" s="9"/>
      <x:c r="AA793" s="9"/>
      <x:c r="AB793" s="9"/>
      <x:c r="AC793" s="9"/>
      <x:c r="AD793" s="9" t="str">
        <x:v>green block</x:v>
      </x:c>
      <x:c r="AE793" s="9"/>
      <x:c r="AF793" s="9"/>
      <x:c r="AG793" s="9"/>
      <x:c r="AH793" s="9" t="str">
        <x:v>Left</x:v>
      </x:c>
      <x:c r="AI793" s="11" t="n">
        <x:v>8</x:v>
      </x:c>
      <x:c r="AJ793" s="9" t="str">
        <x:v>Same-scene direct target control</x:v>
      </x:c>
      <x:c r="AK793" s="9" t="str">
        <x:v>Eval_Size_Recognition (1).xlsm</x:v>
      </x:c>
      <x:c r="AL793" s="9" t="str">
        <x:v>GR00T vision-only Results</x:v>
      </x:c>
      <x:c r="AM793" s="9" t="n">
        <x:v>23</x:v>
      </x:c>
      <x:c r="AN793" s="9" t="n">
        <x:v>23</x:v>
      </x:c>
    </x:row>
    <x:row r="794">
      <x:c r="A794" s="9" t="str">
        <x:v>Success</x:v>
      </x:c>
      <x:c r="B794" s="9" t="str">
        <x:v>Size Recognition</x:v>
      </x:c>
      <x:c r="C794" s="10" t="n">
        <x:v>22</x:v>
      </x:c>
      <x:c r="D794" s="9" t="str">
        <x:v>Choose the biggest item and move it into the bowl.</x:v>
      </x:c>
      <x:c r="E794" s="9" t="str">
        <x:v>Bowl: empty. Table, robot-left→robot-right: P1 green block; P2 red pencil sharpener. Adjacent centers 8 cm apart; row centered on the workspace; all objects fully visible and grasp paths clear.</x:v>
      </x:c>
      <x:c r="F794" s="9" t="str">
        <x:v>MOVE green block to bowl</x:v>
      </x:c>
      <x:c r="G794" s="9"/>
      <x:c r="H794" s="9" t="str">
        <x:v>Language robustness</x:v>
      </x:c>
      <x:c r="I794" s="9" t="str">
        <x:v>SZ-CT-LG01</x:v>
      </x:c>
      <x:c r="J794" s="9" t="str">
        <x:v>largest</x:v>
      </x:c>
      <x:c r="K794" s="9" t="n">
        <x:v>20</x:v>
      </x:c>
      <x:c r="L794" s="9" t="str">
        <x:v>1080</x:v>
      </x:c>
      <x:c r="M794" s="9"/>
      <x:c r="N794" s="9"/>
      <x:c r="O794" s="9" t="str">
        <x:v>Reset the target; preserve the exact scene and paraphrase only the transfer prompt.</x:v>
      </x:c>
      <x:c r="P794" s="9" t="str">
        <x:v>Exact-scene paraphrase of the primary transfer instruction.</x:v>
      </x:c>
      <x:c r="Q794" s="9"/>
      <x:c r="R794" s="10" t="n">
        <x:v>2</x:v>
      </x:c>
      <x:c r="S794" s="10"/>
      <x:c r="T794" s="9"/>
      <x:c r="U794" s="9"/>
      <x:c r="V794" s="9"/>
      <x:c r="W794" s="9"/>
      <x:c r="X794" s="10"/>
      <x:c r="Y794" s="10"/>
      <x:c r="Z794" s="9"/>
      <x:c r="AA794" s="9"/>
      <x:c r="AB794" s="9"/>
      <x:c r="AC794" s="9"/>
      <x:c r="AD794" s="9" t="str">
        <x:v>green block</x:v>
      </x:c>
      <x:c r="AE794" s="9"/>
      <x:c r="AF794" s="9"/>
      <x:c r="AG794" s="9"/>
      <x:c r="AH794" s="9" t="str">
        <x:v>Left</x:v>
      </x:c>
      <x:c r="AI794" s="11" t="n">
        <x:v>8</x:v>
      </x:c>
      <x:c r="AJ794" s="9" t="str">
        <x:v>Primary compositional-transfer prompt paraphrase</x:v>
      </x:c>
      <x:c r="AK794" s="9" t="str">
        <x:v>Eval_Size_Recognition (1).xlsm</x:v>
      </x:c>
      <x:c r="AL794" s="9" t="str">
        <x:v>GR00T vision-only Results</x:v>
      </x:c>
      <x:c r="AM794" s="9" t="n">
        <x:v>24</x:v>
      </x:c>
      <x:c r="AN794" s="9" t="n">
        <x:v>24</x:v>
      </x:c>
    </x:row>
    <x:row r="795">
      <x:c r="A795" s="9" t="str">
        <x:v>Success</x:v>
      </x:c>
      <x:c r="B795" s="9" t="str">
        <x:v>Size Recognition</x:v>
      </x:c>
      <x:c r="C795" s="10" t="n">
        <x:v>23</x:v>
      </x:c>
      <x:c r="D795" s="9" t="str">
        <x:v>Transfer the green block from the table into the bowl.</x:v>
      </x:c>
      <x:c r="E795" s="9" t="str">
        <x:v>Bowl: empty. Table, robot-left→robot-right: P1 green block; P2 red pencil sharpener. Adjacent centers 8 cm apart; row centered on the workspace; all objects fully visible and grasp paths clear.</x:v>
      </x:c>
      <x:c r="F795" s="9" t="str">
        <x:v>MOVE green block to bowl</x:v>
      </x:c>
      <x:c r="G795" s="9"/>
      <x:c r="H795" s="9" t="str">
        <x:v>Language robustness</x:v>
      </x:c>
      <x:c r="I795" s="9" t="str">
        <x:v>SZ-CT-LG01</x:v>
      </x:c>
      <x:c r="J795" s="9" t="str">
        <x:v>Direct</x:v>
      </x:c>
      <x:c r="K795" s="9" t="n">
        <x:v>21</x:v>
      </x:c>
      <x:c r="L795" s="9" t="str">
        <x:v>1075</x:v>
      </x:c>
      <x:c r="M795" s="9"/>
      <x:c r="N795" s="9"/>
      <x:c r="O795" s="9" t="str">
        <x:v>Reset the target; preserve the exact scene and paraphrase only the matched-control prompt.</x:v>
      </x:c>
      <x:c r="P795" s="9" t="str">
        <x:v>Exact-scene paraphrase of the direct manipulation control.</x:v>
      </x:c>
      <x:c r="Q795" s="9"/>
      <x:c r="R795" s="10" t="n">
        <x:v>2</x:v>
      </x:c>
      <x:c r="S795" s="10"/>
      <x:c r="T795" s="9"/>
      <x:c r="U795" s="9"/>
      <x:c r="V795" s="9"/>
      <x:c r="W795" s="9"/>
      <x:c r="X795" s="10"/>
      <x:c r="Y795" s="10"/>
      <x:c r="Z795" s="9"/>
      <x:c r="AA795" s="9"/>
      <x:c r="AB795" s="9"/>
      <x:c r="AC795" s="9"/>
      <x:c r="AD795" s="9" t="str">
        <x:v>green block</x:v>
      </x:c>
      <x:c r="AE795" s="9"/>
      <x:c r="AF795" s="9"/>
      <x:c r="AG795" s="9"/>
      <x:c r="AH795" s="9" t="str">
        <x:v>Left</x:v>
      </x:c>
      <x:c r="AI795" s="11" t="n">
        <x:v>8</x:v>
      </x:c>
      <x:c r="AJ795" s="9" t="str">
        <x:v>Matched-control direct prompt paraphrase</x:v>
      </x:c>
      <x:c r="AK795" s="9" t="str">
        <x:v>Eval_Size_Recognition (1).xlsm</x:v>
      </x:c>
      <x:c r="AL795" s="9" t="str">
        <x:v>GR00T vision-only Results</x:v>
      </x:c>
      <x:c r="AM795" s="9" t="n">
        <x:v>25</x:v>
      </x:c>
      <x:c r="AN795" s="9" t="n">
        <x:v>25</x:v>
      </x:c>
    </x:row>
    <x:row r="796">
      <x:c r="A796" s="9" t="str">
        <x:v>Failure</x:v>
      </x:c>
      <x:c r="B796" s="9" t="str">
        <x:v>Size Recognition</x:v>
      </x:c>
      <x:c r="C796" s="10" t="n">
        <x:v>24</x:v>
      </x:c>
      <x:c r="D796" s="9" t="str">
        <x:v>Pick up the smallest item and place it in the bowl.</x:v>
      </x:c>
      <x:c r="E796" s="9" t="str">
        <x:v>Bowl: empty. Table, robot-left→robot-right: P1 crushed Pepsi can; P2 juggling ball. Adjacent centers 12 cm apart; row shifted 4 cm toward robot-right; all objects fully visible and grasp paths clear.</x:v>
      </x:c>
      <x:c r="F796" s="9" t="str">
        <x:v>MOVE juggling ball to bowl</x:v>
      </x:c>
      <x:c r="G796" s="9" t="str">
        <x:v>went for the juggling ball, then drifted off to the right edge of the workspace</x:v>
      </x:c>
      <x:c r="H796" s="9" t="str">
        <x:v>Concept/compositional transfer</x:v>
      </x:c>
      <x:c r="I796" s="9" t="str">
        <x:v>SZ-CT-SJ01</x:v>
      </x:c>
      <x:c r="J796" s="9" t="str">
        <x:v>smallest</x:v>
      </x:c>
      <x:c r="K796" s="9"/>
      <x:c r="L796" s="9" t="str">
        <x:v>1105</x:v>
      </x:c>
      <x:c r="M796" s="9"/>
      <x:c r="N796" s="9"/>
      <x:c r="O796" s="9" t="str">
        <x:v>Build the listed two-object scene and save a first-frame filename.</x:v>
      </x:c>
      <x:c r="P796" s="9" t="str">
        <x:v>Primary missing cell. Training episode 1105 contains the same target trajectory but masks the size word with a direct identity prompt.</x:v>
      </x:c>
      <x:c r="Q796" s="9"/>
      <x:c r="R796" s="10" t="n">
        <x:v>2</x:v>
      </x:c>
      <x:c r="S796" s="10"/>
      <x:c r="T796" s="9"/>
      <x:c r="U796" s="9"/>
      <x:c r="V796" s="9"/>
      <x:c r="W796" s="9"/>
      <x:c r="X796" s="10"/>
      <x:c r="Y796" s="10"/>
      <x:c r="Z796" s="9"/>
      <x:c r="AA796" s="9"/>
      <x:c r="AB796" s="9"/>
      <x:c r="AC796" s="9"/>
      <x:c r="AD796" s="9" t="str">
        <x:v>juggling ball</x:v>
      </x:c>
      <x:c r="AE796" s="9"/>
      <x:c r="AF796" s="9"/>
      <x:c r="AG796" s="9"/>
      <x:c r="AH796" s="9" t="str">
        <x:v>Right</x:v>
      </x:c>
      <x:c r="AI796" s="11" t="n">
        <x:v>12</x:v>
      </x:c>
      <x:c r="AJ796" s="9" t="str">
        <x:v>Held-out smallest × juggling ball — Pick up</x:v>
      </x:c>
      <x:c r="AK796" s="9" t="str">
        <x:v>Eval_Size_Recognition (1).xlsm</x:v>
      </x:c>
      <x:c r="AL796" s="9" t="str">
        <x:v>GR00T vision-only Results</x:v>
      </x:c>
      <x:c r="AM796" s="9" t="n">
        <x:v>26</x:v>
      </x:c>
      <x:c r="AN796" s="9" t="n">
        <x:v>26</x:v>
      </x:c>
    </x:row>
    <x:row r="797">
      <x:c r="A797" s="9" t="str">
        <x:v>Success</x:v>
      </x:c>
      <x:c r="B797" s="9" t="str">
        <x:v>Size Recognition</x:v>
      </x:c>
      <x:c r="C797" s="10" t="n">
        <x:v>25</x:v>
      </x:c>
      <x:c r="D797" s="9" t="str">
        <x:v>Put the juggling ball in the bowl.</x:v>
      </x:c>
      <x:c r="E797" s="9" t="str">
        <x:v>Bowl: empty. Table, robot-left→robot-right: P1 crushed Pepsi can; P2 juggling ball. Adjacent centers 12 cm apart; row shifted 4 cm toward robot-right; all objects fully visible and grasp paths clear.</x:v>
      </x:c>
      <x:c r="F797" s="9" t="str">
        <x:v>MOVE juggling ball to bowl</x:v>
      </x:c>
      <x:c r="G797" s="9"/>
      <x:c r="H797" s="9" t="str">
        <x:v>Matched manipulation control</x:v>
      </x:c>
      <x:c r="I797" s="9" t="str">
        <x:v>SZ-CT-SJ01</x:v>
      </x:c>
      <x:c r="J797" s="9" t="str">
        <x:v>Direct</x:v>
      </x:c>
      <x:c r="K797" s="9" t="n">
        <x:v>24</x:v>
      </x:c>
      <x:c r="L797" s="9" t="str">
        <x:v>1100</x:v>
      </x:c>
      <x:c r="M797" s="9"/>
      <x:c r="N797" s="9"/>
      <x:c r="O797" s="9" t="str">
        <x:v>Reset the target to its original pose; change only the prompt.</x:v>
      </x:c>
      <x:c r="P797" s="9" t="str">
        <x:v>Exact-scene control using a direct prompt supported by training episode 1100.</x:v>
      </x:c>
      <x:c r="Q797" s="9"/>
      <x:c r="R797" s="10" t="n">
        <x:v>2</x:v>
      </x:c>
      <x:c r="S797" s="10"/>
      <x:c r="T797" s="9"/>
      <x:c r="U797" s="9"/>
      <x:c r="V797" s="9"/>
      <x:c r="W797" s="9"/>
      <x:c r="X797" s="10"/>
      <x:c r="Y797" s="10"/>
      <x:c r="Z797" s="9"/>
      <x:c r="AA797" s="9"/>
      <x:c r="AB797" s="9"/>
      <x:c r="AC797" s="9"/>
      <x:c r="AD797" s="9" t="str">
        <x:v>juggling ball</x:v>
      </x:c>
      <x:c r="AE797" s="9"/>
      <x:c r="AF797" s="9"/>
      <x:c r="AG797" s="9"/>
      <x:c r="AH797" s="9" t="str">
        <x:v>Right</x:v>
      </x:c>
      <x:c r="AI797" s="11" t="n">
        <x:v>12</x:v>
      </x:c>
      <x:c r="AJ797" s="9" t="str">
        <x:v>Same-scene direct target control</x:v>
      </x:c>
      <x:c r="AK797" s="9" t="str">
        <x:v>Eval_Size_Recognition (1).xlsm</x:v>
      </x:c>
      <x:c r="AL797" s="9" t="str">
        <x:v>GR00T vision-only Results</x:v>
      </x:c>
      <x:c r="AM797" s="9" t="n">
        <x:v>27</x:v>
      </x:c>
      <x:c r="AN797" s="9" t="n">
        <x:v>27</x:v>
      </x:c>
    </x:row>
    <x:row r="798">
      <x:c r="A798" s="9" t="str">
        <x:v>Success</x:v>
      </x:c>
      <x:c r="B798" s="9" t="str">
        <x:v>Size Recognition</x:v>
      </x:c>
      <x:c r="C798" s="10" t="n">
        <x:v>26</x:v>
      </x:c>
      <x:c r="D798" s="9" t="str">
        <x:v>Choose the tiniest item and move it into the bowl.</x:v>
      </x:c>
      <x:c r="E798" s="9" t="str">
        <x:v>Bowl: empty. Table, robot-left→robot-right: P1 crushed Pepsi can; P2 juggling ball. Adjacent centers 12 cm apart; row shifted 4 cm toward robot-right; all objects fully visible and grasp paths clear.</x:v>
      </x:c>
      <x:c r="F798" s="9" t="str">
        <x:v>MOVE juggling ball to bowl</x:v>
      </x:c>
      <x:c r="G798" s="9"/>
      <x:c r="H798" s="9" t="str">
        <x:v>Language robustness</x:v>
      </x:c>
      <x:c r="I798" s="9" t="str">
        <x:v>SZ-CT-SJ01</x:v>
      </x:c>
      <x:c r="J798" s="9" t="str">
        <x:v>smallest</x:v>
      </x:c>
      <x:c r="K798" s="9" t="n">
        <x:v>24</x:v>
      </x:c>
      <x:c r="L798" s="9" t="str">
        <x:v>1105</x:v>
      </x:c>
      <x:c r="M798" s="9"/>
      <x:c r="N798" s="9"/>
      <x:c r="O798" s="9" t="str">
        <x:v>Reset the target; preserve the exact scene and paraphrase only the transfer prompt.</x:v>
      </x:c>
      <x:c r="P798" s="9" t="str">
        <x:v>Exact-scene paraphrase of the primary transfer instruction.</x:v>
      </x:c>
      <x:c r="Q798" s="9"/>
      <x:c r="R798" s="10" t="n">
        <x:v>2</x:v>
      </x:c>
      <x:c r="S798" s="10"/>
      <x:c r="T798" s="9"/>
      <x:c r="U798" s="9"/>
      <x:c r="V798" s="9"/>
      <x:c r="W798" s="9"/>
      <x:c r="X798" s="10"/>
      <x:c r="Y798" s="10"/>
      <x:c r="Z798" s="9"/>
      <x:c r="AA798" s="9"/>
      <x:c r="AB798" s="9"/>
      <x:c r="AC798" s="9"/>
      <x:c r="AD798" s="9" t="str">
        <x:v>juggling ball</x:v>
      </x:c>
      <x:c r="AE798" s="9"/>
      <x:c r="AF798" s="9"/>
      <x:c r="AG798" s="9"/>
      <x:c r="AH798" s="9" t="str">
        <x:v>Right</x:v>
      </x:c>
      <x:c r="AI798" s="11" t="n">
        <x:v>12</x:v>
      </x:c>
      <x:c r="AJ798" s="9" t="str">
        <x:v>Primary compositional-transfer prompt paraphrase</x:v>
      </x:c>
      <x:c r="AK798" s="9" t="str">
        <x:v>Eval_Size_Recognition (1).xlsm</x:v>
      </x:c>
      <x:c r="AL798" s="9" t="str">
        <x:v>GR00T vision-only Results</x:v>
      </x:c>
      <x:c r="AM798" s="9" t="n">
        <x:v>28</x:v>
      </x:c>
      <x:c r="AN798" s="9" t="n">
        <x:v>28</x:v>
      </x:c>
    </x:row>
    <x:row r="799">
      <x:c r="A799" s="9" t="str">
        <x:v>Success</x:v>
      </x:c>
      <x:c r="B799" s="9" t="str">
        <x:v>Size Recognition</x:v>
      </x:c>
      <x:c r="C799" s="10" t="n">
        <x:v>27</x:v>
      </x:c>
      <x:c r="D799" s="9" t="str">
        <x:v>Transfer the juggling ball from the table into the bowl.</x:v>
      </x:c>
      <x:c r="E799" s="9" t="str">
        <x:v>Bowl: empty. Table, robot-left→robot-right: P1 crushed Pepsi can; P2 juggling ball. Adjacent centers 12 cm apart; row shifted 4 cm toward robot-right; all objects fully visible and grasp paths clear.</x:v>
      </x:c>
      <x:c r="F799" s="9" t="str">
        <x:v>MOVE juggling ball to bowl</x:v>
      </x:c>
      <x:c r="G799" s="9"/>
      <x:c r="H799" s="9" t="str">
        <x:v>Language robustness</x:v>
      </x:c>
      <x:c r="I799" s="9" t="str">
        <x:v>SZ-CT-SJ01</x:v>
      </x:c>
      <x:c r="J799" s="9" t="str">
        <x:v>Direct</x:v>
      </x:c>
      <x:c r="K799" s="9" t="n">
        <x:v>25</x:v>
      </x:c>
      <x:c r="L799" s="9" t="str">
        <x:v>1100</x:v>
      </x:c>
      <x:c r="M799" s="9"/>
      <x:c r="N799" s="9"/>
      <x:c r="O799" s="9" t="str">
        <x:v>Reset the target; preserve the exact scene and paraphrase only the matched-control prompt.</x:v>
      </x:c>
      <x:c r="P799" s="9" t="str">
        <x:v>Exact-scene paraphrase of the direct manipulation control.</x:v>
      </x:c>
      <x:c r="Q799" s="9"/>
      <x:c r="R799" s="10" t="n">
        <x:v>2</x:v>
      </x:c>
      <x:c r="S799" s="10"/>
      <x:c r="T799" s="9"/>
      <x:c r="U799" s="9"/>
      <x:c r="V799" s="9"/>
      <x:c r="W799" s="9"/>
      <x:c r="X799" s="10"/>
      <x:c r="Y799" s="10"/>
      <x:c r="Z799" s="9"/>
      <x:c r="AA799" s="9"/>
      <x:c r="AB799" s="9"/>
      <x:c r="AC799" s="9"/>
      <x:c r="AD799" s="9" t="str">
        <x:v>juggling ball</x:v>
      </x:c>
      <x:c r="AE799" s="9"/>
      <x:c r="AF799" s="9"/>
      <x:c r="AG799" s="9"/>
      <x:c r="AH799" s="9" t="str">
        <x:v>Right</x:v>
      </x:c>
      <x:c r="AI799" s="11" t="n">
        <x:v>12</x:v>
      </x:c>
      <x:c r="AJ799" s="9" t="str">
        <x:v>Matched-control direct prompt paraphrase</x:v>
      </x:c>
      <x:c r="AK799" s="9" t="str">
        <x:v>Eval_Size_Recognition (1).xlsm</x:v>
      </x:c>
      <x:c r="AL799" s="9" t="str">
        <x:v>GR00T vision-only Results</x:v>
      </x:c>
      <x:c r="AM799" s="9" t="n">
        <x:v>29</x:v>
      </x:c>
      <x:c r="AN799" s="9" t="n">
        <x:v>29</x:v>
      </x:c>
    </x:row>
    <x:row r="800">
      <x:c r="A800" s="9" t="str">
        <x:v>Success</x:v>
      </x:c>
      <x:c r="B800" s="9" t="str">
        <x:v>Size Recognition</x:v>
      </x:c>
      <x:c r="C800" s="10" t="n">
        <x:v>28</x:v>
      </x:c>
      <x:c r="D800" s="9" t="str">
        <x:v>Pick up the largest item and place it in the bowl.</x:v>
      </x:c>
      <x:c r="E800" s="9" t="str">
        <x:v>Bowl: empty. Table, robot-left→robot-right: P1 red pencil sharpener; P2 green block. Adjacent centers 12 cm apart; row shifted 4 cm toward robot-left; all objects fully visible and grasp paths clear.</x:v>
      </x:c>
      <x:c r="F800" s="9" t="str">
        <x:v>MOVE green block to bowl</x:v>
      </x:c>
      <x:c r="G800" s="9"/>
      <x:c r="H800" s="9" t="str">
        <x:v>Concept/compositional transfer</x:v>
      </x:c>
      <x:c r="I800" s="9" t="str">
        <x:v>SZ-CT-LG02</x:v>
      </x:c>
      <x:c r="J800" s="9" t="str">
        <x:v>largest</x:v>
      </x:c>
      <x:c r="K800" s="9"/>
      <x:c r="L800" s="9" t="str">
        <x:v>1081</x:v>
      </x:c>
      <x:c r="M800" s="9"/>
      <x:c r="N800" s="9"/>
      <x:c r="O800" s="9" t="str">
        <x:v>Build the listed two-object scene and save a first-frame filename.</x:v>
      </x:c>
      <x:c r="P800" s="9" t="str">
        <x:v>Primary missing cell. Training episode 1081 contains the same target trajectory but masks the size word with a direct identity prompt.</x:v>
      </x:c>
      <x:c r="Q800" s="9"/>
      <x:c r="R800" s="10" t="n">
        <x:v>2</x:v>
      </x:c>
      <x:c r="S800" s="10"/>
      <x:c r="T800" s="9"/>
      <x:c r="U800" s="9"/>
      <x:c r="V800" s="9"/>
      <x:c r="W800" s="9"/>
      <x:c r="X800" s="10"/>
      <x:c r="Y800" s="10"/>
      <x:c r="Z800" s="9"/>
      <x:c r="AA800" s="9"/>
      <x:c r="AB800" s="9"/>
      <x:c r="AC800" s="9"/>
      <x:c r="AD800" s="9" t="str">
        <x:v>green block</x:v>
      </x:c>
      <x:c r="AE800" s="9"/>
      <x:c r="AF800" s="9"/>
      <x:c r="AG800" s="9"/>
      <x:c r="AH800" s="9" t="str">
        <x:v>Right</x:v>
      </x:c>
      <x:c r="AI800" s="11" t="n">
        <x:v>12</x:v>
      </x:c>
      <x:c r="AJ800" s="9" t="str">
        <x:v>Held-out largest × green block — Pick up</x:v>
      </x:c>
      <x:c r="AK800" s="9" t="str">
        <x:v>Eval_Size_Recognition (1).xlsm</x:v>
      </x:c>
      <x:c r="AL800" s="9" t="str">
        <x:v>GR00T vision-only Results</x:v>
      </x:c>
      <x:c r="AM800" s="9" t="n">
        <x:v>30</x:v>
      </x:c>
      <x:c r="AN800" s="9" t="n">
        <x:v>30</x:v>
      </x:c>
    </x:row>
    <x:row r="801">
      <x:c r="A801" s="9" t="str">
        <x:v>Success</x:v>
      </x:c>
      <x:c r="B801" s="9" t="str">
        <x:v>Size Recognition</x:v>
      </x:c>
      <x:c r="C801" s="10" t="n">
        <x:v>29</x:v>
      </x:c>
      <x:c r="D801" s="9" t="str">
        <x:v>Move the green block into the bowl.</x:v>
      </x:c>
      <x:c r="E801" s="9" t="str">
        <x:v>Bowl: empty. Table, robot-left→robot-right: P1 red pencil sharpener; P2 green block. Adjacent centers 12 cm apart; row shifted 4 cm toward robot-left; all objects fully visible and grasp paths clear.</x:v>
      </x:c>
      <x:c r="F801" s="9" t="str">
        <x:v>MOVE green block to bowl</x:v>
      </x:c>
      <x:c r="G801" s="9"/>
      <x:c r="H801" s="9" t="str">
        <x:v>Matched manipulation control</x:v>
      </x:c>
      <x:c r="I801" s="9" t="str">
        <x:v>SZ-CT-LG02</x:v>
      </x:c>
      <x:c r="J801" s="9" t="str">
        <x:v>Direct</x:v>
      </x:c>
      <x:c r="K801" s="9" t="n">
        <x:v>28</x:v>
      </x:c>
      <x:c r="L801" s="9" t="str">
        <x:v>1076</x:v>
      </x:c>
      <x:c r="M801" s="9"/>
      <x:c r="N801" s="9"/>
      <x:c r="O801" s="9" t="str">
        <x:v>Reset the target to its original pose; change only the prompt.</x:v>
      </x:c>
      <x:c r="P801" s="9" t="str">
        <x:v>Exact-scene control using a direct prompt supported by training episode 1076.</x:v>
      </x:c>
      <x:c r="Q801" s="9"/>
      <x:c r="R801" s="10" t="n">
        <x:v>2</x:v>
      </x:c>
      <x:c r="S801" s="10"/>
      <x:c r="T801" s="9"/>
      <x:c r="U801" s="9"/>
      <x:c r="V801" s="9"/>
      <x:c r="W801" s="9"/>
      <x:c r="X801" s="10"/>
      <x:c r="Y801" s="10"/>
      <x:c r="Z801" s="9"/>
      <x:c r="AA801" s="9"/>
      <x:c r="AB801" s="9"/>
      <x:c r="AC801" s="9"/>
      <x:c r="AD801" s="9" t="str">
        <x:v>green block</x:v>
      </x:c>
      <x:c r="AE801" s="9"/>
      <x:c r="AF801" s="9"/>
      <x:c r="AG801" s="9"/>
      <x:c r="AH801" s="9" t="str">
        <x:v>Right</x:v>
      </x:c>
      <x:c r="AI801" s="11" t="n">
        <x:v>12</x:v>
      </x:c>
      <x:c r="AJ801" s="9" t="str">
        <x:v>Same-scene direct target control</x:v>
      </x:c>
      <x:c r="AK801" s="9" t="str">
        <x:v>Eval_Size_Recognition (1).xlsm</x:v>
      </x:c>
      <x:c r="AL801" s="9" t="str">
        <x:v>GR00T vision-only Results</x:v>
      </x:c>
      <x:c r="AM801" s="9" t="n">
        <x:v>31</x:v>
      </x:c>
      <x:c r="AN801" s="9" t="n">
        <x:v>31</x:v>
      </x:c>
    </x:row>
    <x:row r="802">
      <x:c r="A802" s="9" t="str">
        <x:v>Success</x:v>
      </x:c>
      <x:c r="B802" s="9" t="str">
        <x:v>Size Recognition</x:v>
      </x:c>
      <x:c r="C802" s="10" t="n">
        <x:v>30</x:v>
      </x:c>
      <x:c r="D802" s="9" t="str">
        <x:v>Place whichever object is greatest in size inside the bowl.</x:v>
      </x:c>
      <x:c r="E802" s="9" t="str">
        <x:v>Bowl: empty. Table, robot-left→robot-right: P1 red pencil sharpener; P2 green block. Adjacent centers 12 cm apart; row shifted 4 cm toward robot-left; all objects fully visible and grasp paths clear.</x:v>
      </x:c>
      <x:c r="F802" s="9" t="str">
        <x:v>MOVE green block to bowl</x:v>
      </x:c>
      <x:c r="G802" s="9"/>
      <x:c r="H802" s="9" t="str">
        <x:v>Language robustness</x:v>
      </x:c>
      <x:c r="I802" s="9" t="str">
        <x:v>SZ-CT-LG02</x:v>
      </x:c>
      <x:c r="J802" s="9" t="str">
        <x:v>largest</x:v>
      </x:c>
      <x:c r="K802" s="9" t="n">
        <x:v>28</x:v>
      </x:c>
      <x:c r="L802" s="9" t="str">
        <x:v>1081</x:v>
      </x:c>
      <x:c r="M802" s="9"/>
      <x:c r="N802" s="9"/>
      <x:c r="O802" s="9" t="str">
        <x:v>Reset the target; preserve the exact scene and paraphrase only the transfer prompt.</x:v>
      </x:c>
      <x:c r="P802" s="9" t="str">
        <x:v>Exact-scene paraphrase of the primary transfer instruction.</x:v>
      </x:c>
      <x:c r="Q802" s="9"/>
      <x:c r="R802" s="10" t="n">
        <x:v>2</x:v>
      </x:c>
      <x:c r="S802" s="10"/>
      <x:c r="T802" s="9"/>
      <x:c r="U802" s="9"/>
      <x:c r="V802" s="9"/>
      <x:c r="W802" s="9"/>
      <x:c r="X802" s="10"/>
      <x:c r="Y802" s="10"/>
      <x:c r="Z802" s="9"/>
      <x:c r="AA802" s="9"/>
      <x:c r="AB802" s="9"/>
      <x:c r="AC802" s="9"/>
      <x:c r="AD802" s="9" t="str">
        <x:v>green block</x:v>
      </x:c>
      <x:c r="AE802" s="9"/>
      <x:c r="AF802" s="9"/>
      <x:c r="AG802" s="9"/>
      <x:c r="AH802" s="9" t="str">
        <x:v>Right</x:v>
      </x:c>
      <x:c r="AI802" s="11" t="n">
        <x:v>12</x:v>
      </x:c>
      <x:c r="AJ802" s="9" t="str">
        <x:v>Primary compositional-transfer prompt paraphrase</x:v>
      </x:c>
      <x:c r="AK802" s="9" t="str">
        <x:v>Eval_Size_Recognition (1).xlsm</x:v>
      </x:c>
      <x:c r="AL802" s="9" t="str">
        <x:v>GR00T vision-only Results</x:v>
      </x:c>
      <x:c r="AM802" s="9" t="n">
        <x:v>32</x:v>
      </x:c>
      <x:c r="AN802" s="9" t="n">
        <x:v>32</x:v>
      </x:c>
    </x:row>
    <x:row r="803">
      <x:c r="A803" s="9" t="str">
        <x:v>Success</x:v>
      </x:c>
      <x:c r="B803" s="9" t="str">
        <x:v>Size Recognition</x:v>
      </x:c>
      <x:c r="C803" s="10" t="n">
        <x:v>31</x:v>
      </x:c>
      <x:c r="D803" s="9" t="str">
        <x:v>Lift the green block and set it inside the bowl.</x:v>
      </x:c>
      <x:c r="E803" s="9" t="str">
        <x:v>Bowl: empty. Table, robot-left→robot-right: P1 red pencil sharpener; P2 green block. Adjacent centers 12 cm apart; row shifted 4 cm toward robot-left; all objects fully visible and grasp paths clear.</x:v>
      </x:c>
      <x:c r="F803" s="9" t="str">
        <x:v>MOVE green block to bowl</x:v>
      </x:c>
      <x:c r="G803" s="9"/>
      <x:c r="H803" s="9" t="str">
        <x:v>Language robustness</x:v>
      </x:c>
      <x:c r="I803" s="9" t="str">
        <x:v>SZ-CT-LG02</x:v>
      </x:c>
      <x:c r="J803" s="9" t="str">
        <x:v>Direct</x:v>
      </x:c>
      <x:c r="K803" s="9" t="n">
        <x:v>29</x:v>
      </x:c>
      <x:c r="L803" s="9" t="str">
        <x:v>1076</x:v>
      </x:c>
      <x:c r="M803" s="9"/>
      <x:c r="N803" s="9"/>
      <x:c r="O803" s="9" t="str">
        <x:v>Reset the target; preserve the exact scene and paraphrase only the matched-control prompt.</x:v>
      </x:c>
      <x:c r="P803" s="9" t="str">
        <x:v>Exact-scene paraphrase of the direct manipulation control.</x:v>
      </x:c>
      <x:c r="Q803" s="9"/>
      <x:c r="R803" s="10" t="n">
        <x:v>2</x:v>
      </x:c>
      <x:c r="S803" s="10"/>
      <x:c r="T803" s="9"/>
      <x:c r="U803" s="9"/>
      <x:c r="V803" s="9"/>
      <x:c r="W803" s="9"/>
      <x:c r="X803" s="10"/>
      <x:c r="Y803" s="10"/>
      <x:c r="Z803" s="9"/>
      <x:c r="AA803" s="9"/>
      <x:c r="AB803" s="9"/>
      <x:c r="AC803" s="9"/>
      <x:c r="AD803" s="9" t="str">
        <x:v>green block</x:v>
      </x:c>
      <x:c r="AE803" s="9"/>
      <x:c r="AF803" s="9"/>
      <x:c r="AG803" s="9"/>
      <x:c r="AH803" s="9" t="str">
        <x:v>Right</x:v>
      </x:c>
      <x:c r="AI803" s="11" t="n">
        <x:v>12</x:v>
      </x:c>
      <x:c r="AJ803" s="9" t="str">
        <x:v>Matched-control direct prompt paraphrase</x:v>
      </x:c>
      <x:c r="AK803" s="9" t="str">
        <x:v>Eval_Size_Recognition (1).xlsm</x:v>
      </x:c>
      <x:c r="AL803" s="9" t="str">
        <x:v>GR00T vision-only Results</x:v>
      </x:c>
      <x:c r="AM803" s="9" t="n">
        <x:v>33</x:v>
      </x:c>
      <x:c r="AN803" s="9" t="n">
        <x:v>33</x:v>
      </x:c>
    </x:row>
    <x:row r="804">
      <x:c r="A804" s="9" t="str">
        <x:v>Success</x:v>
      </x:c>
      <x:c r="B804" s="9" t="str">
        <x:v>Size Recognition</x:v>
      </x:c>
      <x:c r="C804" s="10" t="n">
        <x:v>32</x:v>
      </x:c>
      <x:c r="D804" s="9" t="str">
        <x:v>Put the smallest object in the bowl.</x:v>
      </x:c>
      <x:c r="E804" s="9" t="str">
        <x:v>Bowl: empty. Table, robot-left→robot-right: P1 juggling ball; P2 crushed Pepsi can. Adjacent centers 16 cm apart; row shifted 4 cm toward the robot; all objects fully visible and grasp paths clear.</x:v>
      </x:c>
      <x:c r="F804" s="9" t="str">
        <x:v>MOVE juggling ball to bowl</x:v>
      </x:c>
      <x:c r="G804" s="9"/>
      <x:c r="H804" s="9" t="str">
        <x:v>Concept/compositional transfer</x:v>
      </x:c>
      <x:c r="I804" s="9" t="str">
        <x:v>SZ-CT-SJ02</x:v>
      </x:c>
      <x:c r="J804" s="9" t="str">
        <x:v>smallest</x:v>
      </x:c>
      <x:c r="K804" s="9"/>
      <x:c r="L804" s="9" t="str">
        <x:v>1106</x:v>
      </x:c>
      <x:c r="M804" s="9"/>
      <x:c r="N804" s="9"/>
      <x:c r="O804" s="9" t="str">
        <x:v>Build the listed two-object scene and save a first-frame filename.</x:v>
      </x:c>
      <x:c r="P804" s="9" t="str">
        <x:v>Primary missing cell. Training episode 1106 contains the same target trajectory but masks the size word with a direct identity prompt.</x:v>
      </x:c>
      <x:c r="Q804" s="9"/>
      <x:c r="R804" s="10" t="n">
        <x:v>2</x:v>
      </x:c>
      <x:c r="S804" s="10"/>
      <x:c r="T804" s="9"/>
      <x:c r="U804" s="9"/>
      <x:c r="V804" s="9"/>
      <x:c r="W804" s="9"/>
      <x:c r="X804" s="10"/>
      <x:c r="Y804" s="10"/>
      <x:c r="Z804" s="9"/>
      <x:c r="AA804" s="9"/>
      <x:c r="AB804" s="9"/>
      <x:c r="AC804" s="9"/>
      <x:c r="AD804" s="9" t="str">
        <x:v>juggling ball</x:v>
      </x:c>
      <x:c r="AE804" s="9"/>
      <x:c r="AF804" s="9"/>
      <x:c r="AG804" s="9"/>
      <x:c r="AH804" s="9" t="str">
        <x:v>Left</x:v>
      </x:c>
      <x:c r="AI804" s="11" t="n">
        <x:v>16</x:v>
      </x:c>
      <x:c r="AJ804" s="9" t="str">
        <x:v>Held-out smallest × juggling ball — Put</x:v>
      </x:c>
      <x:c r="AK804" s="9" t="str">
        <x:v>Eval_Size_Recognition (1).xlsm</x:v>
      </x:c>
      <x:c r="AL804" s="9" t="str">
        <x:v>GR00T vision-only Results</x:v>
      </x:c>
      <x:c r="AM804" s="9" t="n">
        <x:v>34</x:v>
      </x:c>
      <x:c r="AN804" s="9" t="n">
        <x:v>34</x:v>
      </x:c>
    </x:row>
    <x:row r="805">
      <x:c r="A805" s="9" t="str">
        <x:v>Success</x:v>
      </x:c>
      <x:c r="B805" s="9" t="str">
        <x:v>Size Recognition</x:v>
      </x:c>
      <x:c r="C805" s="10" t="n">
        <x:v>33</x:v>
      </x:c>
      <x:c r="D805" s="9" t="str">
        <x:v>Move the juggling ball into the bowl.</x:v>
      </x:c>
      <x:c r="E805" s="9" t="str">
        <x:v>Bowl: empty. Table, robot-left→robot-right: P1 juggling ball; P2 crushed Pepsi can. Adjacent centers 16 cm apart; row shifted 4 cm toward the robot; all objects fully visible and grasp paths clear.</x:v>
      </x:c>
      <x:c r="F805" s="9" t="str">
        <x:v>MOVE juggling ball to bowl</x:v>
      </x:c>
      <x:c r="G805" s="9"/>
      <x:c r="H805" s="9" t="str">
        <x:v>Matched manipulation control</x:v>
      </x:c>
      <x:c r="I805" s="9" t="str">
        <x:v>SZ-CT-SJ02</x:v>
      </x:c>
      <x:c r="J805" s="9" t="str">
        <x:v>Direct</x:v>
      </x:c>
      <x:c r="K805" s="9" t="n">
        <x:v>32</x:v>
      </x:c>
      <x:c r="L805" s="9" t="str">
        <x:v>1101</x:v>
      </x:c>
      <x:c r="M805" s="9"/>
      <x:c r="N805" s="9"/>
      <x:c r="O805" s="9" t="str">
        <x:v>Reset the target to its original pose; change only the prompt.</x:v>
      </x:c>
      <x:c r="P805" s="9" t="str">
        <x:v>Exact-scene control using a direct prompt supported by training episode 1101.</x:v>
      </x:c>
      <x:c r="Q805" s="9"/>
      <x:c r="R805" s="10" t="n">
        <x:v>2</x:v>
      </x:c>
      <x:c r="S805" s="10"/>
      <x:c r="T805" s="9"/>
      <x:c r="U805" s="9"/>
      <x:c r="V805" s="9"/>
      <x:c r="W805" s="9"/>
      <x:c r="X805" s="10"/>
      <x:c r="Y805" s="10"/>
      <x:c r="Z805" s="9"/>
      <x:c r="AA805" s="9"/>
      <x:c r="AB805" s="9"/>
      <x:c r="AC805" s="9"/>
      <x:c r="AD805" s="9" t="str">
        <x:v>juggling ball</x:v>
      </x:c>
      <x:c r="AE805" s="9"/>
      <x:c r="AF805" s="9"/>
      <x:c r="AG805" s="9"/>
      <x:c r="AH805" s="9" t="str">
        <x:v>Left</x:v>
      </x:c>
      <x:c r="AI805" s="11" t="n">
        <x:v>16</x:v>
      </x:c>
      <x:c r="AJ805" s="9" t="str">
        <x:v>Same-scene direct target control</x:v>
      </x:c>
      <x:c r="AK805" s="9" t="str">
        <x:v>Eval_Size_Recognition (1).xlsm</x:v>
      </x:c>
      <x:c r="AL805" s="9" t="str">
        <x:v>GR00T vision-only Results</x:v>
      </x:c>
      <x:c r="AM805" s="9" t="n">
        <x:v>35</x:v>
      </x:c>
      <x:c r="AN805" s="9" t="n">
        <x:v>35</x:v>
      </x:c>
    </x:row>
    <x:row r="806">
      <x:c r="A806" s="9" t="str">
        <x:v>Success</x:v>
      </x:c>
      <x:c r="B806" s="9" t="str">
        <x:v>Size Recognition</x:v>
      </x:c>
      <x:c r="C806" s="10" t="n">
        <x:v>34</x:v>
      </x:c>
      <x:c r="D806" s="9" t="str">
        <x:v>Place whichever object is least in size inside the bowl.</x:v>
      </x:c>
      <x:c r="E806" s="9" t="str">
        <x:v>Bowl: empty. Table, robot-left→robot-right: P1 juggling ball; P2 crushed Pepsi can. Adjacent centers 16 cm apart; row shifted 4 cm toward the robot; all objects fully visible and grasp paths clear.</x:v>
      </x:c>
      <x:c r="F806" s="9" t="str">
        <x:v>MOVE juggling ball to bowl</x:v>
      </x:c>
      <x:c r="G806" s="9"/>
      <x:c r="H806" s="9" t="str">
        <x:v>Language robustness</x:v>
      </x:c>
      <x:c r="I806" s="9" t="str">
        <x:v>SZ-CT-SJ02</x:v>
      </x:c>
      <x:c r="J806" s="9" t="str">
        <x:v>smallest</x:v>
      </x:c>
      <x:c r="K806" s="9" t="n">
        <x:v>32</x:v>
      </x:c>
      <x:c r="L806" s="9" t="str">
        <x:v>1106</x:v>
      </x:c>
      <x:c r="M806" s="9"/>
      <x:c r="N806" s="9"/>
      <x:c r="O806" s="9" t="str">
        <x:v>Reset the target; preserve the exact scene and paraphrase only the transfer prompt.</x:v>
      </x:c>
      <x:c r="P806" s="9" t="str">
        <x:v>Exact-scene paraphrase of the primary transfer instruction.</x:v>
      </x:c>
      <x:c r="Q806" s="9"/>
      <x:c r="R806" s="10" t="n">
        <x:v>2</x:v>
      </x:c>
      <x:c r="S806" s="10"/>
      <x:c r="T806" s="9"/>
      <x:c r="U806" s="9"/>
      <x:c r="V806" s="9"/>
      <x:c r="W806" s="9"/>
      <x:c r="X806" s="10"/>
      <x:c r="Y806" s="10"/>
      <x:c r="Z806" s="9"/>
      <x:c r="AA806" s="9"/>
      <x:c r="AB806" s="9"/>
      <x:c r="AC806" s="9"/>
      <x:c r="AD806" s="9" t="str">
        <x:v>juggling ball</x:v>
      </x:c>
      <x:c r="AE806" s="9"/>
      <x:c r="AF806" s="9"/>
      <x:c r="AG806" s="9"/>
      <x:c r="AH806" s="9" t="str">
        <x:v>Left</x:v>
      </x:c>
      <x:c r="AI806" s="11" t="n">
        <x:v>16</x:v>
      </x:c>
      <x:c r="AJ806" s="9" t="str">
        <x:v>Primary compositional-transfer prompt paraphrase</x:v>
      </x:c>
      <x:c r="AK806" s="9" t="str">
        <x:v>Eval_Size_Recognition (1).xlsm</x:v>
      </x:c>
      <x:c r="AL806" s="9" t="str">
        <x:v>GR00T vision-only Results</x:v>
      </x:c>
      <x:c r="AM806" s="9" t="n">
        <x:v>36</x:v>
      </x:c>
      <x:c r="AN806" s="9" t="n">
        <x:v>36</x:v>
      </x:c>
    </x:row>
    <x:row r="807">
      <x:c r="A807" s="9" t="str">
        <x:v>Success</x:v>
      </x:c>
      <x:c r="B807" s="9" t="str">
        <x:v>Size Recognition</x:v>
      </x:c>
      <x:c r="C807" s="10" t="n">
        <x:v>35</x:v>
      </x:c>
      <x:c r="D807" s="9" t="str">
        <x:v>Lift the juggling ball and set it inside the bowl.</x:v>
      </x:c>
      <x:c r="E807" s="9" t="str">
        <x:v>Bowl: empty. Table, robot-left→robot-right: P1 juggling ball; P2 crushed Pepsi can. Adjacent centers 16 cm apart; row shifted 4 cm toward the robot; all objects fully visible and grasp paths clear.</x:v>
      </x:c>
      <x:c r="F807" s="9" t="str">
        <x:v>MOVE juggling ball to bowl</x:v>
      </x:c>
      <x:c r="G807" s="9"/>
      <x:c r="H807" s="9" t="str">
        <x:v>Language robustness</x:v>
      </x:c>
      <x:c r="I807" s="9" t="str">
        <x:v>SZ-CT-SJ02</x:v>
      </x:c>
      <x:c r="J807" s="9" t="str">
        <x:v>Direct</x:v>
      </x:c>
      <x:c r="K807" s="9" t="n">
        <x:v>33</x:v>
      </x:c>
      <x:c r="L807" s="9" t="str">
        <x:v>1101</x:v>
      </x:c>
      <x:c r="M807" s="9"/>
      <x:c r="N807" s="9"/>
      <x:c r="O807" s="9" t="str">
        <x:v>Reset the target; preserve the exact scene and paraphrase only the matched-control prompt.</x:v>
      </x:c>
      <x:c r="P807" s="9" t="str">
        <x:v>Exact-scene paraphrase of the direct manipulation control.</x:v>
      </x:c>
      <x:c r="Q807" s="9"/>
      <x:c r="R807" s="10" t="n">
        <x:v>2</x:v>
      </x:c>
      <x:c r="S807" s="10"/>
      <x:c r="T807" s="9"/>
      <x:c r="U807" s="9"/>
      <x:c r="V807" s="9"/>
      <x:c r="W807" s="9"/>
      <x:c r="X807" s="10"/>
      <x:c r="Y807" s="10"/>
      <x:c r="Z807" s="9"/>
      <x:c r="AA807" s="9"/>
      <x:c r="AB807" s="9"/>
      <x:c r="AC807" s="9"/>
      <x:c r="AD807" s="9" t="str">
        <x:v>juggling ball</x:v>
      </x:c>
      <x:c r="AE807" s="9"/>
      <x:c r="AF807" s="9"/>
      <x:c r="AG807" s="9"/>
      <x:c r="AH807" s="9" t="str">
        <x:v>Left</x:v>
      </x:c>
      <x:c r="AI807" s="11" t="n">
        <x:v>16</x:v>
      </x:c>
      <x:c r="AJ807" s="9" t="str">
        <x:v>Matched-control direct prompt paraphrase</x:v>
      </x:c>
      <x:c r="AK807" s="9" t="str">
        <x:v>Eval_Size_Recognition (1).xlsm</x:v>
      </x:c>
      <x:c r="AL807" s="9" t="str">
        <x:v>GR00T vision-only Results</x:v>
      </x:c>
      <x:c r="AM807" s="9" t="n">
        <x:v>37</x:v>
      </x:c>
      <x:c r="AN807" s="9" t="n">
        <x:v>37</x:v>
      </x:c>
    </x:row>
    <x:row r="808">
      <x:c r="A808" s="9" t="str">
        <x:v>Success</x:v>
      </x:c>
      <x:c r="B808" s="9" t="str">
        <x:v>Size Recognition</x:v>
      </x:c>
      <x:c r="C808" s="10" t="n">
        <x:v>36</x:v>
      </x:c>
      <x:c r="D808" s="9" t="str">
        <x:v>Put the largest object in the bowl.</x:v>
      </x:c>
      <x:c r="E808" s="9" t="str">
        <x:v>Bowl: empty. Table, robot-left→robot-right: P1 green block; P2 red pencil sharpener. Adjacent centers 16 cm apart; row shifted 4 cm toward robot-right; all objects fully visible and grasp paths clear.</x:v>
      </x:c>
      <x:c r="F808" s="9" t="str">
        <x:v>MOVE green block to bowl</x:v>
      </x:c>
      <x:c r="G808" s="9"/>
      <x:c r="H808" s="9" t="str">
        <x:v>Concept/compositional transfer</x:v>
      </x:c>
      <x:c r="I808" s="9" t="str">
        <x:v>SZ-CT-LG03</x:v>
      </x:c>
      <x:c r="J808" s="9" t="str">
        <x:v>largest</x:v>
      </x:c>
      <x:c r="K808" s="9"/>
      <x:c r="L808" s="9" t="str">
        <x:v>1082</x:v>
      </x:c>
      <x:c r="M808" s="9"/>
      <x:c r="N808" s="9"/>
      <x:c r="O808" s="9" t="str">
        <x:v>Build the listed two-object scene and save a first-frame filename.</x:v>
      </x:c>
      <x:c r="P808" s="9" t="str">
        <x:v>Primary missing cell. Training episode 1082 contains the same target trajectory but masks the size word with a direct identity prompt.</x:v>
      </x:c>
      <x:c r="Q808" s="9"/>
      <x:c r="R808" s="10" t="n">
        <x:v>2</x:v>
      </x:c>
      <x:c r="S808" s="10"/>
      <x:c r="T808" s="9"/>
      <x:c r="U808" s="9"/>
      <x:c r="V808" s="9"/>
      <x:c r="W808" s="9"/>
      <x:c r="X808" s="10"/>
      <x:c r="Y808" s="10"/>
      <x:c r="Z808" s="9"/>
      <x:c r="AA808" s="9"/>
      <x:c r="AB808" s="9"/>
      <x:c r="AC808" s="9"/>
      <x:c r="AD808" s="9" t="str">
        <x:v>green block</x:v>
      </x:c>
      <x:c r="AE808" s="9"/>
      <x:c r="AF808" s="9"/>
      <x:c r="AG808" s="9"/>
      <x:c r="AH808" s="9" t="str">
        <x:v>Left</x:v>
      </x:c>
      <x:c r="AI808" s="11" t="n">
        <x:v>16</x:v>
      </x:c>
      <x:c r="AJ808" s="9" t="str">
        <x:v>Held-out largest × green block — Put</x:v>
      </x:c>
      <x:c r="AK808" s="9" t="str">
        <x:v>Eval_Size_Recognition (1).xlsm</x:v>
      </x:c>
      <x:c r="AL808" s="9" t="str">
        <x:v>GR00T vision-only Results</x:v>
      </x:c>
      <x:c r="AM808" s="9" t="n">
        <x:v>38</x:v>
      </x:c>
      <x:c r="AN808" s="9" t="n">
        <x:v>38</x:v>
      </x:c>
    </x:row>
    <x:row r="809">
      <x:c r="A809" s="9" t="str">
        <x:v>Success</x:v>
      </x:c>
      <x:c r="B809" s="9" t="str">
        <x:v>Size Recognition</x:v>
      </x:c>
      <x:c r="C809" s="10" t="n">
        <x:v>37</x:v>
      </x:c>
      <x:c r="D809" s="9" t="str">
        <x:v>Pick up the green block and place it in the bowl.</x:v>
      </x:c>
      <x:c r="E809" s="9" t="str">
        <x:v>Bowl: empty. Table, robot-left→robot-right: P1 green block; P2 red pencil sharpener. Adjacent centers 16 cm apart; row shifted 4 cm toward robot-right; all objects fully visible and grasp paths clear.</x:v>
      </x:c>
      <x:c r="F809" s="9" t="str">
        <x:v>MOVE green block to bowl</x:v>
      </x:c>
      <x:c r="G809" s="9"/>
      <x:c r="H809" s="9" t="str">
        <x:v>Matched manipulation control</x:v>
      </x:c>
      <x:c r="I809" s="9" t="str">
        <x:v>SZ-CT-LG03</x:v>
      </x:c>
      <x:c r="J809" s="9" t="str">
        <x:v>Direct</x:v>
      </x:c>
      <x:c r="K809" s="9" t="n">
        <x:v>36</x:v>
      </x:c>
      <x:c r="L809" s="9" t="str">
        <x:v>1077</x:v>
      </x:c>
      <x:c r="M809" s="9"/>
      <x:c r="N809" s="9"/>
      <x:c r="O809" s="9" t="str">
        <x:v>Reset the target to its original pose; change only the prompt.</x:v>
      </x:c>
      <x:c r="P809" s="9" t="str">
        <x:v>Exact-scene control using a direct prompt supported by training episode 1077.</x:v>
      </x:c>
      <x:c r="Q809" s="9"/>
      <x:c r="R809" s="10" t="n">
        <x:v>2</x:v>
      </x:c>
      <x:c r="S809" s="10"/>
      <x:c r="T809" s="9"/>
      <x:c r="U809" s="9"/>
      <x:c r="V809" s="9"/>
      <x:c r="W809" s="9"/>
      <x:c r="X809" s="10"/>
      <x:c r="Y809" s="10"/>
      <x:c r="Z809" s="9"/>
      <x:c r="AA809" s="9"/>
      <x:c r="AB809" s="9"/>
      <x:c r="AC809" s="9"/>
      <x:c r="AD809" s="9" t="str">
        <x:v>green block</x:v>
      </x:c>
      <x:c r="AE809" s="9"/>
      <x:c r="AF809" s="9"/>
      <x:c r="AG809" s="9"/>
      <x:c r="AH809" s="9" t="str">
        <x:v>Left</x:v>
      </x:c>
      <x:c r="AI809" s="11" t="n">
        <x:v>16</x:v>
      </x:c>
      <x:c r="AJ809" s="9" t="str">
        <x:v>Same-scene direct target control</x:v>
      </x:c>
      <x:c r="AK809" s="9" t="str">
        <x:v>Eval_Size_Recognition (1).xlsm</x:v>
      </x:c>
      <x:c r="AL809" s="9" t="str">
        <x:v>GR00T vision-only Results</x:v>
      </x:c>
      <x:c r="AM809" s="9" t="n">
        <x:v>39</x:v>
      </x:c>
      <x:c r="AN809" s="9" t="n">
        <x:v>39</x:v>
      </x:c>
    </x:row>
    <x:row r="810">
      <x:c r="A810" s="9" t="str">
        <x:v>Failure</x:v>
      </x:c>
      <x:c r="B810" s="9" t="str">
        <x:v>Size Recognition</x:v>
      </x:c>
      <x:c r="C810" s="10" t="n">
        <x:v>38</x:v>
      </x:c>
      <x:c r="D810" s="9" t="str">
        <x:v>Select the bigger object and put it into the bowl.</x:v>
      </x:c>
      <x:c r="E810" s="9" t="str">
        <x:v>Bowl: empty. Table, robot-left→robot-right: P1 green block; P2 red pencil sharpener. Adjacent centers 16 cm apart; row shifted 4 cm toward robot-right; all objects fully visible and grasp paths clear.</x:v>
      </x:c>
      <x:c r="F810" s="9" t="str">
        <x:v>MOVE green block to bowl</x:v>
      </x:c>
      <x:c r="G810" s="9" t="str">
        <x:v>picked red sharpener</x:v>
      </x:c>
      <x:c r="H810" s="9" t="str">
        <x:v>Language robustness</x:v>
      </x:c>
      <x:c r="I810" s="9" t="str">
        <x:v>SZ-CT-LG03</x:v>
      </x:c>
      <x:c r="J810" s="9" t="str">
        <x:v>largest</x:v>
      </x:c>
      <x:c r="K810" s="9" t="n">
        <x:v>36</x:v>
      </x:c>
      <x:c r="L810" s="9" t="str">
        <x:v>1082</x:v>
      </x:c>
      <x:c r="M810" s="9"/>
      <x:c r="N810" s="9"/>
      <x:c r="O810" s="9" t="str">
        <x:v>Reset the target; preserve the exact scene and paraphrase only the transfer prompt.</x:v>
      </x:c>
      <x:c r="P810" s="9" t="str">
        <x:v>Exact-scene paraphrase of the primary transfer instruction.</x:v>
      </x:c>
      <x:c r="Q810" s="9"/>
      <x:c r="R810" s="10" t="n">
        <x:v>2</x:v>
      </x:c>
      <x:c r="S810" s="10"/>
      <x:c r="T810" s="9"/>
      <x:c r="U810" s="9"/>
      <x:c r="V810" s="9"/>
      <x:c r="W810" s="9"/>
      <x:c r="X810" s="10"/>
      <x:c r="Y810" s="10"/>
      <x:c r="Z810" s="9"/>
      <x:c r="AA810" s="9"/>
      <x:c r="AB810" s="9"/>
      <x:c r="AC810" s="9"/>
      <x:c r="AD810" s="9" t="str">
        <x:v>green block</x:v>
      </x:c>
      <x:c r="AE810" s="9"/>
      <x:c r="AF810" s="9"/>
      <x:c r="AG810" s="9"/>
      <x:c r="AH810" s="9" t="str">
        <x:v>Left</x:v>
      </x:c>
      <x:c r="AI810" s="11" t="n">
        <x:v>16</x:v>
      </x:c>
      <x:c r="AJ810" s="9" t="str">
        <x:v>Primary compositional-transfer prompt paraphrase</x:v>
      </x:c>
      <x:c r="AK810" s="9" t="str">
        <x:v>Eval_Size_Recognition (1).xlsm</x:v>
      </x:c>
      <x:c r="AL810" s="9" t="str">
        <x:v>GR00T vision-only Results</x:v>
      </x:c>
      <x:c r="AM810" s="9" t="n">
        <x:v>40</x:v>
      </x:c>
      <x:c r="AN810" s="9" t="n">
        <x:v>40</x:v>
      </x:c>
    </x:row>
    <x:row r="811">
      <x:c r="A811" s="9" t="str">
        <x:v>Success</x:v>
      </x:c>
      <x:c r="B811" s="9" t="str">
        <x:v>Size Recognition</x:v>
      </x:c>
      <x:c r="C811" s="10" t="n">
        <x:v>39</x:v>
      </x:c>
      <x:c r="D811" s="9" t="str">
        <x:v>Move the green block off the table and into the bowl.</x:v>
      </x:c>
      <x:c r="E811" s="9" t="str">
        <x:v>Bowl: empty. Table, robot-left→robot-right: P1 green block; P2 red pencil sharpener. Adjacent centers 16 cm apart; row shifted 4 cm toward robot-right; all objects fully visible and grasp paths clear.</x:v>
      </x:c>
      <x:c r="F811" s="9" t="str">
        <x:v>MOVE green block to bowl</x:v>
      </x:c>
      <x:c r="G811" s="9" t="str">
        <x:v>knocked the green block, but did get it</x:v>
      </x:c>
      <x:c r="H811" s="9" t="str">
        <x:v>Language robustness</x:v>
      </x:c>
      <x:c r="I811" s="9" t="str">
        <x:v>SZ-CT-LG03</x:v>
      </x:c>
      <x:c r="J811" s="9" t="str">
        <x:v>Direct</x:v>
      </x:c>
      <x:c r="K811" s="9" t="n">
        <x:v>37</x:v>
      </x:c>
      <x:c r="L811" s="9" t="str">
        <x:v>1077</x:v>
      </x:c>
      <x:c r="M811" s="9"/>
      <x:c r="N811" s="9"/>
      <x:c r="O811" s="9" t="str">
        <x:v>Reset the target; preserve the exact scene and paraphrase only the matched-control prompt.</x:v>
      </x:c>
      <x:c r="P811" s="9" t="str">
        <x:v>Exact-scene paraphrase of the direct manipulation control.</x:v>
      </x:c>
      <x:c r="Q811" s="9"/>
      <x:c r="R811" s="10" t="n">
        <x:v>2</x:v>
      </x:c>
      <x:c r="S811" s="10"/>
      <x:c r="T811" s="9"/>
      <x:c r="U811" s="9"/>
      <x:c r="V811" s="9"/>
      <x:c r="W811" s="9"/>
      <x:c r="X811" s="10"/>
      <x:c r="Y811" s="10"/>
      <x:c r="Z811" s="9"/>
      <x:c r="AA811" s="9"/>
      <x:c r="AB811" s="9"/>
      <x:c r="AC811" s="9"/>
      <x:c r="AD811" s="9" t="str">
        <x:v>green block</x:v>
      </x:c>
      <x:c r="AE811" s="9"/>
      <x:c r="AF811" s="9"/>
      <x:c r="AG811" s="9"/>
      <x:c r="AH811" s="9" t="str">
        <x:v>Left</x:v>
      </x:c>
      <x:c r="AI811" s="11" t="n">
        <x:v>16</x:v>
      </x:c>
      <x:c r="AJ811" s="9" t="str">
        <x:v>Matched-control direct prompt paraphrase</x:v>
      </x:c>
      <x:c r="AK811" s="9" t="str">
        <x:v>Eval_Size_Recognition (1).xlsm</x:v>
      </x:c>
      <x:c r="AL811" s="9" t="str">
        <x:v>GR00T vision-only Results</x:v>
      </x:c>
      <x:c r="AM811" s="9" t="n">
        <x:v>41</x:v>
      </x:c>
      <x:c r="AN811" s="9" t="n">
        <x:v>41</x:v>
      </x:c>
    </x:row>
    <x:row r="812">
      <x:c r="A812" s="9" t="str">
        <x:v>Success</x:v>
      </x:c>
      <x:c r="B812" s="9" t="str">
        <x:v>Size Recognition</x:v>
      </x:c>
      <x:c r="C812" s="10" t="n">
        <x:v>40</x:v>
      </x:c>
      <x:c r="D812" s="9" t="str">
        <x:v>Move the object that is smallest into the bowl.</x:v>
      </x:c>
      <x:c r="E812" s="9" t="str">
        <x:v>Bowl: empty. Table, robot-left→robot-right: P1 crushed Pepsi can; P2 juggling ball. Adjacent centers 8 cm apart; row shifted 4 cm away from the robot; all objects fully visible and grasp paths clear.</x:v>
      </x:c>
      <x:c r="F812" s="9" t="str">
        <x:v>MOVE juggling ball to bowl</x:v>
      </x:c>
      <x:c r="G812" s="9"/>
      <x:c r="H812" s="9" t="str">
        <x:v>Concept/compositional transfer</x:v>
      </x:c>
      <x:c r="I812" s="9" t="str">
        <x:v>SZ-CT-SJ03</x:v>
      </x:c>
      <x:c r="J812" s="9" t="str">
        <x:v>smallest</x:v>
      </x:c>
      <x:c r="K812" s="9"/>
      <x:c r="L812" s="9" t="str">
        <x:v>1107</x:v>
      </x:c>
      <x:c r="M812" s="9"/>
      <x:c r="N812" s="9"/>
      <x:c r="O812" s="9" t="str">
        <x:v>Build the listed two-object scene and save a first-frame filename.</x:v>
      </x:c>
      <x:c r="P812" s="9" t="str">
        <x:v>Primary missing cell. Training episode 1107 contains the same target trajectory but masks the size word with a direct identity prompt.</x:v>
      </x:c>
      <x:c r="Q812" s="9"/>
      <x:c r="R812" s="10" t="n">
        <x:v>2</x:v>
      </x:c>
      <x:c r="S812" s="10"/>
      <x:c r="T812" s="9"/>
      <x:c r="U812" s="9"/>
      <x:c r="V812" s="9"/>
      <x:c r="W812" s="9"/>
      <x:c r="X812" s="10"/>
      <x:c r="Y812" s="10"/>
      <x:c r="Z812" s="9"/>
      <x:c r="AA812" s="9"/>
      <x:c r="AB812" s="9"/>
      <x:c r="AC812" s="9"/>
      <x:c r="AD812" s="9" t="str">
        <x:v>juggling ball</x:v>
      </x:c>
      <x:c r="AE812" s="9"/>
      <x:c r="AF812" s="9"/>
      <x:c r="AG812" s="9"/>
      <x:c r="AH812" s="9" t="str">
        <x:v>Right</x:v>
      </x:c>
      <x:c r="AI812" s="11" t="n">
        <x:v>8</x:v>
      </x:c>
      <x:c r="AJ812" s="9" t="str">
        <x:v>Held-out smallest × juggling ball — Move</x:v>
      </x:c>
      <x:c r="AK812" s="9" t="str">
        <x:v>Eval_Size_Recognition (1).xlsm</x:v>
      </x:c>
      <x:c r="AL812" s="9" t="str">
        <x:v>GR00T vision-only Results</x:v>
      </x:c>
      <x:c r="AM812" s="9" t="n">
        <x:v>42</x:v>
      </x:c>
      <x:c r="AN812" s="9" t="n">
        <x:v>42</x:v>
      </x:c>
    </x:row>
    <x:row r="813">
      <x:c r="A813" s="9" t="str">
        <x:v>Success</x:v>
      </x:c>
      <x:c r="B813" s="9" t="str">
        <x:v>Size Recognition</x:v>
      </x:c>
      <x:c r="C813" s="10" t="n">
        <x:v>41</x:v>
      </x:c>
      <x:c r="D813" s="9" t="str">
        <x:v>Pick up the juggling ball and place it in the bowl.</x:v>
      </x:c>
      <x:c r="E813" s="9" t="str">
        <x:v>Bowl: empty. Table, robot-left→robot-right: P1 crushed Pepsi can; P2 juggling ball. Adjacent centers 8 cm apart; row shifted 4 cm away from the robot; all objects fully visible and grasp paths clear.</x:v>
      </x:c>
      <x:c r="F813" s="9" t="str">
        <x:v>MOVE juggling ball to bowl</x:v>
      </x:c>
      <x:c r="G813" s="9"/>
      <x:c r="H813" s="9" t="str">
        <x:v>Matched manipulation control</x:v>
      </x:c>
      <x:c r="I813" s="9" t="str">
        <x:v>SZ-CT-SJ03</x:v>
      </x:c>
      <x:c r="J813" s="9" t="str">
        <x:v>Direct</x:v>
      </x:c>
      <x:c r="K813" s="9" t="n">
        <x:v>40</x:v>
      </x:c>
      <x:c r="L813" s="9" t="str">
        <x:v>1102</x:v>
      </x:c>
      <x:c r="M813" s="9"/>
      <x:c r="N813" s="9"/>
      <x:c r="O813" s="9" t="str">
        <x:v>Reset the target to its original pose; change only the prompt.</x:v>
      </x:c>
      <x:c r="P813" s="9" t="str">
        <x:v>Exact-scene control using a direct prompt supported by training episode 1102.</x:v>
      </x:c>
      <x:c r="Q813" s="9"/>
      <x:c r="R813" s="10" t="n">
        <x:v>2</x:v>
      </x:c>
      <x:c r="S813" s="10"/>
      <x:c r="T813" s="9"/>
      <x:c r="U813" s="9"/>
      <x:c r="V813" s="9"/>
      <x:c r="W813" s="9"/>
      <x:c r="X813" s="10"/>
      <x:c r="Y813" s="10"/>
      <x:c r="Z813" s="9"/>
      <x:c r="AA813" s="9"/>
      <x:c r="AB813" s="9"/>
      <x:c r="AC813" s="9"/>
      <x:c r="AD813" s="9" t="str">
        <x:v>juggling ball</x:v>
      </x:c>
      <x:c r="AE813" s="9"/>
      <x:c r="AF813" s="9"/>
      <x:c r="AG813" s="9"/>
      <x:c r="AH813" s="9" t="str">
        <x:v>Right</x:v>
      </x:c>
      <x:c r="AI813" s="11" t="n">
        <x:v>8</x:v>
      </x:c>
      <x:c r="AJ813" s="9" t="str">
        <x:v>Same-scene direct target control</x:v>
      </x:c>
      <x:c r="AK813" s="9" t="str">
        <x:v>Eval_Size_Recognition (1).xlsm</x:v>
      </x:c>
      <x:c r="AL813" s="9" t="str">
        <x:v>GR00T vision-only Results</x:v>
      </x:c>
      <x:c r="AM813" s="9" t="n">
        <x:v>43</x:v>
      </x:c>
      <x:c r="AN813" s="9" t="n">
        <x:v>43</x:v>
      </x:c>
    </x:row>
    <x:row r="814">
      <x:c r="A814" s="9" t="str">
        <x:v>Failure</x:v>
      </x:c>
      <x:c r="B814" s="9" t="str">
        <x:v>Size Recognition</x:v>
      </x:c>
      <x:c r="C814" s="10" t="n">
        <x:v>42</x:v>
      </x:c>
      <x:c r="D814" s="9" t="str">
        <x:v>Select the smaller object and put it into the bowl.</x:v>
      </x:c>
      <x:c r="E814" s="9" t="str">
        <x:v>Bowl: empty. Table, robot-left→robot-right: P1 crushed Pepsi can; P2 juggling ball. Adjacent centers 8 cm apart; row shifted 4 cm away from the robot; all objects fully visible and grasp paths clear.</x:v>
      </x:c>
      <x:c r="F814" s="9" t="str">
        <x:v>MOVE juggling ball to bowl</x:v>
      </x:c>
      <x:c r="G814" s="9" t="str">
        <x:v>went to pepsi can, had wrong gripping strategy, knocked it over and never recovered</x:v>
      </x:c>
      <x:c r="H814" s="9" t="str">
        <x:v>Language robustness</x:v>
      </x:c>
      <x:c r="I814" s="9" t="str">
        <x:v>SZ-CT-SJ03</x:v>
      </x:c>
      <x:c r="J814" s="9" t="str">
        <x:v>smallest</x:v>
      </x:c>
      <x:c r="K814" s="9" t="n">
        <x:v>40</x:v>
      </x:c>
      <x:c r="L814" s="9" t="str">
        <x:v>1107</x:v>
      </x:c>
      <x:c r="M814" s="9"/>
      <x:c r="N814" s="9"/>
      <x:c r="O814" s="9" t="str">
        <x:v>Reset the target; preserve the exact scene and paraphrase only the transfer prompt.</x:v>
      </x:c>
      <x:c r="P814" s="9" t="str">
        <x:v>Exact-scene paraphrase of the primary transfer instruction.</x:v>
      </x:c>
      <x:c r="Q814" s="9"/>
      <x:c r="R814" s="10" t="n">
        <x:v>2</x:v>
      </x:c>
      <x:c r="S814" s="10"/>
      <x:c r="T814" s="9"/>
      <x:c r="U814" s="9"/>
      <x:c r="V814" s="9"/>
      <x:c r="W814" s="9"/>
      <x:c r="X814" s="10"/>
      <x:c r="Y814" s="10"/>
      <x:c r="Z814" s="9"/>
      <x:c r="AA814" s="9"/>
      <x:c r="AB814" s="9"/>
      <x:c r="AC814" s="9"/>
      <x:c r="AD814" s="9" t="str">
        <x:v>juggling ball</x:v>
      </x:c>
      <x:c r="AE814" s="9"/>
      <x:c r="AF814" s="9"/>
      <x:c r="AG814" s="9"/>
      <x:c r="AH814" s="9" t="str">
        <x:v>Right</x:v>
      </x:c>
      <x:c r="AI814" s="11" t="n">
        <x:v>8</x:v>
      </x:c>
      <x:c r="AJ814" s="9" t="str">
        <x:v>Primary compositional-transfer prompt paraphrase</x:v>
      </x:c>
      <x:c r="AK814" s="9" t="str">
        <x:v>Eval_Size_Recognition (1).xlsm</x:v>
      </x:c>
      <x:c r="AL814" s="9" t="str">
        <x:v>GR00T vision-only Results</x:v>
      </x:c>
      <x:c r="AM814" s="9" t="n">
        <x:v>44</x:v>
      </x:c>
      <x:c r="AN814" s="9" t="n">
        <x:v>44</x:v>
      </x:c>
    </x:row>
    <x:row r="815">
      <x:c r="A815" s="9" t="str">
        <x:v>Success</x:v>
      </x:c>
      <x:c r="B815" s="9" t="str">
        <x:v>Size Recognition</x:v>
      </x:c>
      <x:c r="C815" s="10" t="n">
        <x:v>43</x:v>
      </x:c>
      <x:c r="D815" s="9" t="str">
        <x:v>Move the juggling ball off the table and into the bowl.</x:v>
      </x:c>
      <x:c r="E815" s="9" t="str">
        <x:v>Bowl: empty. Table, robot-left→robot-right: P1 crushed Pepsi can; P2 juggling ball. Adjacent centers 8 cm apart; row shifted 4 cm away from the robot; all objects fully visible and grasp paths clear.</x:v>
      </x:c>
      <x:c r="F815" s="9" t="str">
        <x:v>MOVE juggling ball to bowl</x:v>
      </x:c>
      <x:c r="G815" s="9"/>
      <x:c r="H815" s="9" t="str">
        <x:v>Language robustness</x:v>
      </x:c>
      <x:c r="I815" s="9" t="str">
        <x:v>SZ-CT-SJ03</x:v>
      </x:c>
      <x:c r="J815" s="9" t="str">
        <x:v>Direct</x:v>
      </x:c>
      <x:c r="K815" s="9" t="n">
        <x:v>41</x:v>
      </x:c>
      <x:c r="L815" s="9" t="str">
        <x:v>1102</x:v>
      </x:c>
      <x:c r="M815" s="9"/>
      <x:c r="N815" s="9"/>
      <x:c r="O815" s="9" t="str">
        <x:v>Reset the target; preserve the exact scene and paraphrase only the matched-control prompt.</x:v>
      </x:c>
      <x:c r="P815" s="9" t="str">
        <x:v>Exact-scene paraphrase of the direct manipulation control.</x:v>
      </x:c>
      <x:c r="Q815" s="9"/>
      <x:c r="R815" s="10" t="n">
        <x:v>2</x:v>
      </x:c>
      <x:c r="S815" s="10"/>
      <x:c r="T815" s="9"/>
      <x:c r="U815" s="9"/>
      <x:c r="V815" s="9"/>
      <x:c r="W815" s="9"/>
      <x:c r="X815" s="10"/>
      <x:c r="Y815" s="10"/>
      <x:c r="Z815" s="9"/>
      <x:c r="AA815" s="9"/>
      <x:c r="AB815" s="9"/>
      <x:c r="AC815" s="9"/>
      <x:c r="AD815" s="9" t="str">
        <x:v>juggling ball</x:v>
      </x:c>
      <x:c r="AE815" s="9"/>
      <x:c r="AF815" s="9"/>
      <x:c r="AG815" s="9"/>
      <x:c r="AH815" s="9" t="str">
        <x:v>Right</x:v>
      </x:c>
      <x:c r="AI815" s="11" t="n">
        <x:v>8</x:v>
      </x:c>
      <x:c r="AJ815" s="9" t="str">
        <x:v>Matched-control direct prompt paraphrase</x:v>
      </x:c>
      <x:c r="AK815" s="9" t="str">
        <x:v>Eval_Size_Recognition (1).xlsm</x:v>
      </x:c>
      <x:c r="AL815" s="9" t="str">
        <x:v>GR00T vision-only Results</x:v>
      </x:c>
      <x:c r="AM815" s="9" t="n">
        <x:v>45</x:v>
      </x:c>
      <x:c r="AN815" s="9" t="n">
        <x:v>45</x:v>
      </x:c>
    </x:row>
    <x:row r="816">
      <x:c r="A816" s="9" t="str">
        <x:v>Success</x:v>
      </x:c>
      <x:c r="B816" s="9" t="str">
        <x:v>Size Recognition</x:v>
      </x:c>
      <x:c r="C816" s="10" t="n">
        <x:v>44</x:v>
      </x:c>
      <x:c r="D816" s="9" t="str">
        <x:v>Move the object that is largest into the bowl.</x:v>
      </x:c>
      <x:c r="E816" s="9" t="str">
        <x:v>Bowl: empty. Table, robot-left→robot-right: P1 red pencil sharpener; P2 green block. Adjacent centers 8 cm apart; row shifted 4 cm toward the robot; all objects fully visible and grasp paths clear.</x:v>
      </x:c>
      <x:c r="F816" s="9" t="str">
        <x:v>MOVE green block to bowl</x:v>
      </x:c>
      <x:c r="G816" s="9"/>
      <x:c r="H816" s="9" t="str">
        <x:v>Concept/compositional transfer</x:v>
      </x:c>
      <x:c r="I816" s="9" t="str">
        <x:v>SZ-CT-LG04</x:v>
      </x:c>
      <x:c r="J816" s="9" t="str">
        <x:v>largest</x:v>
      </x:c>
      <x:c r="K816" s="9"/>
      <x:c r="L816" s="9" t="str">
        <x:v>1083</x:v>
      </x:c>
      <x:c r="M816" s="9"/>
      <x:c r="N816" s="9"/>
      <x:c r="O816" s="9" t="str">
        <x:v>Build the listed two-object scene and save a first-frame filename.</x:v>
      </x:c>
      <x:c r="P816" s="9" t="str">
        <x:v>Primary missing cell. Training episode 1083 contains the same target trajectory but masks the size word with a direct identity prompt.</x:v>
      </x:c>
      <x:c r="Q816" s="9"/>
      <x:c r="R816" s="10" t="n">
        <x:v>2</x:v>
      </x:c>
      <x:c r="S816" s="10"/>
      <x:c r="T816" s="9"/>
      <x:c r="U816" s="9"/>
      <x:c r="V816" s="9"/>
      <x:c r="W816" s="9"/>
      <x:c r="X816" s="10"/>
      <x:c r="Y816" s="10"/>
      <x:c r="Z816" s="9"/>
      <x:c r="AA816" s="9"/>
      <x:c r="AB816" s="9"/>
      <x:c r="AC816" s="9"/>
      <x:c r="AD816" s="9" t="str">
        <x:v>green block</x:v>
      </x:c>
      <x:c r="AE816" s="9"/>
      <x:c r="AF816" s="9"/>
      <x:c r="AG816" s="9"/>
      <x:c r="AH816" s="9" t="str">
        <x:v>Right</x:v>
      </x:c>
      <x:c r="AI816" s="11" t="n">
        <x:v>8</x:v>
      </x:c>
      <x:c r="AJ816" s="9" t="str">
        <x:v>Held-out largest × green block — Move</x:v>
      </x:c>
      <x:c r="AK816" s="9" t="str">
        <x:v>Eval_Size_Recognition (1).xlsm</x:v>
      </x:c>
      <x:c r="AL816" s="9" t="str">
        <x:v>GR00T vision-only Results</x:v>
      </x:c>
      <x:c r="AM816" s="9" t="n">
        <x:v>46</x:v>
      </x:c>
      <x:c r="AN816" s="9" t="n">
        <x:v>46</x:v>
      </x:c>
    </x:row>
    <x:row r="817">
      <x:c r="A817" s="9" t="str">
        <x:v>Success</x:v>
      </x:c>
      <x:c r="B817" s="9" t="str">
        <x:v>Size Recognition</x:v>
      </x:c>
      <x:c r="C817" s="10" t="n">
        <x:v>45</x:v>
      </x:c>
      <x:c r="D817" s="9" t="str">
        <x:v>Put the green block in the bowl.</x:v>
      </x:c>
      <x:c r="E817" s="9" t="str">
        <x:v>Bowl: empty. Table, robot-left→robot-right: P1 red pencil sharpener; P2 green block. Adjacent centers 8 cm apart; row shifted 4 cm toward the robot; all objects fully visible and grasp paths clear.</x:v>
      </x:c>
      <x:c r="F817" s="9" t="str">
        <x:v>MOVE green block to bowl</x:v>
      </x:c>
      <x:c r="G817" s="9"/>
      <x:c r="H817" s="9" t="str">
        <x:v>Matched manipulation control</x:v>
      </x:c>
      <x:c r="I817" s="9" t="str">
        <x:v>SZ-CT-LG04</x:v>
      </x:c>
      <x:c r="J817" s="9" t="str">
        <x:v>Direct</x:v>
      </x:c>
      <x:c r="K817" s="9" t="n">
        <x:v>44</x:v>
      </x:c>
      <x:c r="L817" s="9" t="str">
        <x:v>1078</x:v>
      </x:c>
      <x:c r="M817" s="9"/>
      <x:c r="N817" s="9"/>
      <x:c r="O817" s="9" t="str">
        <x:v>Reset the target to its original pose; change only the prompt.</x:v>
      </x:c>
      <x:c r="P817" s="9" t="str">
        <x:v>Exact-scene control using a direct prompt supported by training episode 1078.</x:v>
      </x:c>
      <x:c r="Q817" s="9"/>
      <x:c r="R817" s="10" t="n">
        <x:v>2</x:v>
      </x:c>
      <x:c r="S817" s="10"/>
      <x:c r="T817" s="9"/>
      <x:c r="U817" s="9"/>
      <x:c r="V817" s="9"/>
      <x:c r="W817" s="9"/>
      <x:c r="X817" s="10"/>
      <x:c r="Y817" s="10"/>
      <x:c r="Z817" s="9"/>
      <x:c r="AA817" s="9"/>
      <x:c r="AB817" s="9"/>
      <x:c r="AC817" s="9"/>
      <x:c r="AD817" s="9" t="str">
        <x:v>green block</x:v>
      </x:c>
      <x:c r="AE817" s="9"/>
      <x:c r="AF817" s="9"/>
      <x:c r="AG817" s="9"/>
      <x:c r="AH817" s="9" t="str">
        <x:v>Right</x:v>
      </x:c>
      <x:c r="AI817" s="11" t="n">
        <x:v>8</x:v>
      </x:c>
      <x:c r="AJ817" s="9" t="str">
        <x:v>Same-scene direct target control</x:v>
      </x:c>
      <x:c r="AK817" s="9" t="str">
        <x:v>Eval_Size_Recognition (1).xlsm</x:v>
      </x:c>
      <x:c r="AL817" s="9" t="str">
        <x:v>GR00T vision-only Results</x:v>
      </x:c>
      <x:c r="AM817" s="9" t="n">
        <x:v>47</x:v>
      </x:c>
      <x:c r="AN817" s="9" t="n">
        <x:v>47</x:v>
      </x:c>
    </x:row>
    <x:row r="818">
      <x:c r="A818" s="9" t="str">
        <x:v>Success</x:v>
      </x:c>
      <x:c r="B818" s="9" t="str">
        <x:v>Size Recognition</x:v>
      </x:c>
      <x:c r="C818" s="10" t="n">
        <x:v>46</x:v>
      </x:c>
      <x:c r="D818" s="9" t="str">
        <x:v>Find the greatest-sized item and move it to the bowl.</x:v>
      </x:c>
      <x:c r="E818" s="9" t="str">
        <x:v>Bowl: empty. Table, robot-left→robot-right: P1 red pencil sharpener; P2 green block. Adjacent centers 8 cm apart; row shifted 4 cm toward the robot; all objects fully visible and grasp paths clear.</x:v>
      </x:c>
      <x:c r="F818" s="9" t="str">
        <x:v>MOVE green block to bowl</x:v>
      </x:c>
      <x:c r="G818" s="9"/>
      <x:c r="H818" s="9" t="str">
        <x:v>Language robustness</x:v>
      </x:c>
      <x:c r="I818" s="9" t="str">
        <x:v>SZ-CT-LG04</x:v>
      </x:c>
      <x:c r="J818" s="9" t="str">
        <x:v>largest</x:v>
      </x:c>
      <x:c r="K818" s="9" t="n">
        <x:v>44</x:v>
      </x:c>
      <x:c r="L818" s="9" t="str">
        <x:v>1083</x:v>
      </x:c>
      <x:c r="M818" s="9"/>
      <x:c r="N818" s="9"/>
      <x:c r="O818" s="9" t="str">
        <x:v>Reset the target; preserve the exact scene and paraphrase only the transfer prompt.</x:v>
      </x:c>
      <x:c r="P818" s="9" t="str">
        <x:v>Exact-scene paraphrase of the primary transfer instruction.</x:v>
      </x:c>
      <x:c r="Q818" s="9"/>
      <x:c r="R818" s="10" t="n">
        <x:v>2</x:v>
      </x:c>
      <x:c r="S818" s="10"/>
      <x:c r="T818" s="9"/>
      <x:c r="U818" s="9"/>
      <x:c r="V818" s="9"/>
      <x:c r="W818" s="9"/>
      <x:c r="X818" s="10"/>
      <x:c r="Y818" s="10"/>
      <x:c r="Z818" s="9"/>
      <x:c r="AA818" s="9"/>
      <x:c r="AB818" s="9"/>
      <x:c r="AC818" s="9"/>
      <x:c r="AD818" s="9" t="str">
        <x:v>green block</x:v>
      </x:c>
      <x:c r="AE818" s="9"/>
      <x:c r="AF818" s="9"/>
      <x:c r="AG818" s="9"/>
      <x:c r="AH818" s="9" t="str">
        <x:v>Right</x:v>
      </x:c>
      <x:c r="AI818" s="11" t="n">
        <x:v>8</x:v>
      </x:c>
      <x:c r="AJ818" s="9" t="str">
        <x:v>Primary compositional-transfer prompt paraphrase</x:v>
      </x:c>
      <x:c r="AK818" s="9" t="str">
        <x:v>Eval_Size_Recognition (1).xlsm</x:v>
      </x:c>
      <x:c r="AL818" s="9" t="str">
        <x:v>GR00T vision-only Results</x:v>
      </x:c>
      <x:c r="AM818" s="9" t="n">
        <x:v>48</x:v>
      </x:c>
      <x:c r="AN818" s="9" t="n">
        <x:v>48</x:v>
      </x:c>
    </x:row>
    <x:row r="819">
      <x:c r="A819" s="9" t="str">
        <x:v>Success</x:v>
      </x:c>
      <x:c r="B819" s="9" t="str">
        <x:v>Size Recognition</x:v>
      </x:c>
      <x:c r="C819" s="10" t="n">
        <x:v>47</x:v>
      </x:c>
      <x:c r="D819" s="9" t="str">
        <x:v>Place the table's green block inside the bowl.</x:v>
      </x:c>
      <x:c r="E819" s="9" t="str">
        <x:v>Bowl: empty. Table, robot-left→robot-right: P1 red pencil sharpener; P2 green block. Adjacent centers 8 cm apart; row shifted 4 cm toward the robot; all objects fully visible and grasp paths clear.</x:v>
      </x:c>
      <x:c r="F819" s="9" t="str">
        <x:v>MOVE green block to bowl</x:v>
      </x:c>
      <x:c r="G819" s="9"/>
      <x:c r="H819" s="9" t="str">
        <x:v>Language robustness</x:v>
      </x:c>
      <x:c r="I819" s="9" t="str">
        <x:v>SZ-CT-LG04</x:v>
      </x:c>
      <x:c r="J819" s="9" t="str">
        <x:v>Direct</x:v>
      </x:c>
      <x:c r="K819" s="9" t="n">
        <x:v>45</x:v>
      </x:c>
      <x:c r="L819" s="9" t="str">
        <x:v>1078</x:v>
      </x:c>
      <x:c r="M819" s="9"/>
      <x:c r="N819" s="9"/>
      <x:c r="O819" s="9" t="str">
        <x:v>Reset the target; preserve the exact scene and paraphrase only the matched-control prompt.</x:v>
      </x:c>
      <x:c r="P819" s="9" t="str">
        <x:v>Exact-scene paraphrase of the direct manipulation control.</x:v>
      </x:c>
      <x:c r="Q819" s="9"/>
      <x:c r="R819" s="10" t="n">
        <x:v>2</x:v>
      </x:c>
      <x:c r="S819" s="10"/>
      <x:c r="T819" s="9"/>
      <x:c r="U819" s="9"/>
      <x:c r="V819" s="9"/>
      <x:c r="W819" s="9"/>
      <x:c r="X819" s="10"/>
      <x:c r="Y819" s="10"/>
      <x:c r="Z819" s="9"/>
      <x:c r="AA819" s="9"/>
      <x:c r="AB819" s="9"/>
      <x:c r="AC819" s="9"/>
      <x:c r="AD819" s="9" t="str">
        <x:v>green block</x:v>
      </x:c>
      <x:c r="AE819" s="9"/>
      <x:c r="AF819" s="9"/>
      <x:c r="AG819" s="9"/>
      <x:c r="AH819" s="9" t="str">
        <x:v>Right</x:v>
      </x:c>
      <x:c r="AI819" s="11" t="n">
        <x:v>8</x:v>
      </x:c>
      <x:c r="AJ819" s="9" t="str">
        <x:v>Matched-control direct prompt paraphrase</x:v>
      </x:c>
      <x:c r="AK819" s="9" t="str">
        <x:v>Eval_Size_Recognition (1).xlsm</x:v>
      </x:c>
      <x:c r="AL819" s="9" t="str">
        <x:v>GR00T vision-only Results</x:v>
      </x:c>
      <x:c r="AM819" s="9" t="n">
        <x:v>49</x:v>
      </x:c>
      <x:c r="AN819" s="9" t="n">
        <x:v>49</x:v>
      </x:c>
    </x:row>
    <x:row r="820">
      <x:c r="A820" s="9" t="str">
        <x:v>Success</x:v>
      </x:c>
      <x:c r="B820" s="9" t="str">
        <x:v>Size Recognition</x:v>
      </x:c>
      <x:c r="C820" s="10" t="n">
        <x:v>48</x:v>
      </x:c>
      <x:c r="D820" s="9" t="str">
        <x:v>Pick up the smallest item and place it in the bowl.</x:v>
      </x:c>
      <x:c r="E820" s="9" t="str">
        <x:v>Bowl: empty. Table, robot-left→robot-right: P1 juggling ball; P2 crushed Pepsi can. Adjacent centers 12 cm apart; row centered on the workspace; all objects fully visible and grasp paths clear.</x:v>
      </x:c>
      <x:c r="F820" s="9" t="str">
        <x:v>MOVE juggling ball to bowl</x:v>
      </x:c>
      <x:c r="G820" s="9"/>
      <x:c r="H820" s="9" t="str">
        <x:v>Concept/compositional transfer</x:v>
      </x:c>
      <x:c r="I820" s="9" t="str">
        <x:v>SZ-CT-SJ04</x:v>
      </x:c>
      <x:c r="J820" s="9" t="str">
        <x:v>smallest</x:v>
      </x:c>
      <x:c r="K820" s="9"/>
      <x:c r="L820" s="9" t="str">
        <x:v>1108</x:v>
      </x:c>
      <x:c r="M820" s="9"/>
      <x:c r="N820" s="9"/>
      <x:c r="O820" s="9" t="str">
        <x:v>Build the listed two-object scene and save a first-frame filename.</x:v>
      </x:c>
      <x:c r="P820" s="9" t="str">
        <x:v>Primary missing cell. Training episode 1108 contains the same target trajectory but masks the size word with a direct identity prompt.</x:v>
      </x:c>
      <x:c r="Q820" s="9"/>
      <x:c r="R820" s="10" t="n">
        <x:v>2</x:v>
      </x:c>
      <x:c r="S820" s="10"/>
      <x:c r="T820" s="9"/>
      <x:c r="U820" s="9"/>
      <x:c r="V820" s="9"/>
      <x:c r="W820" s="9"/>
      <x:c r="X820" s="10"/>
      <x:c r="Y820" s="10"/>
      <x:c r="Z820" s="9"/>
      <x:c r="AA820" s="9"/>
      <x:c r="AB820" s="9"/>
      <x:c r="AC820" s="9"/>
      <x:c r="AD820" s="9" t="str">
        <x:v>juggling ball</x:v>
      </x:c>
      <x:c r="AE820" s="9"/>
      <x:c r="AF820" s="9"/>
      <x:c r="AG820" s="9"/>
      <x:c r="AH820" s="9" t="str">
        <x:v>Left</x:v>
      </x:c>
      <x:c r="AI820" s="11" t="n">
        <x:v>12</x:v>
      </x:c>
      <x:c r="AJ820" s="9" t="str">
        <x:v>Held-out smallest × juggling ball — Pick up</x:v>
      </x:c>
      <x:c r="AK820" s="9" t="str">
        <x:v>Eval_Size_Recognition (1).xlsm</x:v>
      </x:c>
      <x:c r="AL820" s="9" t="str">
        <x:v>GR00T vision-only Results</x:v>
      </x:c>
      <x:c r="AM820" s="9" t="n">
        <x:v>50</x:v>
      </x:c>
      <x:c r="AN820" s="9" t="n">
        <x:v>50</x:v>
      </x:c>
    </x:row>
    <x:row r="821">
      <x:c r="A821" s="9" t="str">
        <x:v>Success</x:v>
      </x:c>
      <x:c r="B821" s="9" t="str">
        <x:v>Size Recognition</x:v>
      </x:c>
      <x:c r="C821" s="10" t="n">
        <x:v>49</x:v>
      </x:c>
      <x:c r="D821" s="9" t="str">
        <x:v>Put the juggling ball in the bowl.</x:v>
      </x:c>
      <x:c r="E821" s="9" t="str">
        <x:v>Bowl: empty. Table, robot-left→robot-right: P1 juggling ball; P2 crushed Pepsi can. Adjacent centers 12 cm apart; row centered on the workspace; all objects fully visible and grasp paths clear.</x:v>
      </x:c>
      <x:c r="F821" s="9" t="str">
        <x:v>MOVE juggling ball to bowl</x:v>
      </x:c>
      <x:c r="G821" s="9"/>
      <x:c r="H821" s="9" t="str">
        <x:v>Matched manipulation control</x:v>
      </x:c>
      <x:c r="I821" s="9" t="str">
        <x:v>SZ-CT-SJ04</x:v>
      </x:c>
      <x:c r="J821" s="9" t="str">
        <x:v>Direct</x:v>
      </x:c>
      <x:c r="K821" s="9" t="n">
        <x:v>48</x:v>
      </x:c>
      <x:c r="L821" s="9" t="str">
        <x:v>1103</x:v>
      </x:c>
      <x:c r="M821" s="9"/>
      <x:c r="N821" s="9"/>
      <x:c r="O821" s="9" t="str">
        <x:v>Reset the target to its original pose; change only the prompt.</x:v>
      </x:c>
      <x:c r="P821" s="9" t="str">
        <x:v>Exact-scene control using a direct prompt supported by training episode 1103.</x:v>
      </x:c>
      <x:c r="Q821" s="9"/>
      <x:c r="R821" s="10" t="n">
        <x:v>2</x:v>
      </x:c>
      <x:c r="S821" s="10"/>
      <x:c r="T821" s="9"/>
      <x:c r="U821" s="9"/>
      <x:c r="V821" s="9"/>
      <x:c r="W821" s="9"/>
      <x:c r="X821" s="10"/>
      <x:c r="Y821" s="10"/>
      <x:c r="Z821" s="9"/>
      <x:c r="AA821" s="9"/>
      <x:c r="AB821" s="9"/>
      <x:c r="AC821" s="9"/>
      <x:c r="AD821" s="9" t="str">
        <x:v>juggling ball</x:v>
      </x:c>
      <x:c r="AE821" s="9"/>
      <x:c r="AF821" s="9"/>
      <x:c r="AG821" s="9"/>
      <x:c r="AH821" s="9" t="str">
        <x:v>Left</x:v>
      </x:c>
      <x:c r="AI821" s="11" t="n">
        <x:v>12</x:v>
      </x:c>
      <x:c r="AJ821" s="9" t="str">
        <x:v>Same-scene direct target control</x:v>
      </x:c>
      <x:c r="AK821" s="9" t="str">
        <x:v>Eval_Size_Recognition (1).xlsm</x:v>
      </x:c>
      <x:c r="AL821" s="9" t="str">
        <x:v>GR00T vision-only Results</x:v>
      </x:c>
      <x:c r="AM821" s="9" t="n">
        <x:v>51</x:v>
      </x:c>
      <x:c r="AN821" s="9" t="n">
        <x:v>51</x:v>
      </x:c>
    </x:row>
    <x:row r="822">
      <x:c r="A822" s="9" t="str">
        <x:v>Failure</x:v>
      </x:c>
      <x:c r="B822" s="9" t="str">
        <x:v>Size Recognition</x:v>
      </x:c>
      <x:c r="C822" s="10" t="n">
        <x:v>50</x:v>
      </x:c>
      <x:c r="D822" s="9" t="str">
        <x:v>Find the least-sized item and move it to the bowl.</x:v>
      </x:c>
      <x:c r="E822" s="9" t="str">
        <x:v>Bowl: empty. Table, robot-left→robot-right: P1 juggling ball; P2 crushed Pepsi can. Adjacent centers 12 cm apart; row centered on the workspace; all objects fully visible and grasp paths clear.</x:v>
      </x:c>
      <x:c r="F822" s="9" t="str">
        <x:v>MOVE juggling ball to bowl</x:v>
      </x:c>
      <x:c r="G822" s="9" t="str">
        <x:v>went between the soda can and juggling ball, then couldn't grab the juggling ball; kind of drifted towards it but still failed</x:v>
      </x:c>
      <x:c r="H822" s="9" t="str">
        <x:v>Language robustness</x:v>
      </x:c>
      <x:c r="I822" s="9" t="str">
        <x:v>SZ-CT-SJ04</x:v>
      </x:c>
      <x:c r="J822" s="9" t="str">
        <x:v>smallest</x:v>
      </x:c>
      <x:c r="K822" s="9" t="n">
        <x:v>48</x:v>
      </x:c>
      <x:c r="L822" s="9" t="str">
        <x:v>1108</x:v>
      </x:c>
      <x:c r="M822" s="9"/>
      <x:c r="N822" s="9"/>
      <x:c r="O822" s="9" t="str">
        <x:v>Reset the target; preserve the exact scene and paraphrase only the transfer prompt.</x:v>
      </x:c>
      <x:c r="P822" s="9" t="str">
        <x:v>Exact-scene paraphrase of the primary transfer instruction.</x:v>
      </x:c>
      <x:c r="Q822" s="9"/>
      <x:c r="R822" s="10" t="n">
        <x:v>2</x:v>
      </x:c>
      <x:c r="S822" s="10"/>
      <x:c r="T822" s="9"/>
      <x:c r="U822" s="9"/>
      <x:c r="V822" s="9"/>
      <x:c r="W822" s="9"/>
      <x:c r="X822" s="10"/>
      <x:c r="Y822" s="10"/>
      <x:c r="Z822" s="9"/>
      <x:c r="AA822" s="9"/>
      <x:c r="AB822" s="9"/>
      <x:c r="AC822" s="9"/>
      <x:c r="AD822" s="9" t="str">
        <x:v>juggling ball</x:v>
      </x:c>
      <x:c r="AE822" s="9"/>
      <x:c r="AF822" s="9"/>
      <x:c r="AG822" s="9"/>
      <x:c r="AH822" s="9" t="str">
        <x:v>Left</x:v>
      </x:c>
      <x:c r="AI822" s="11" t="n">
        <x:v>12</x:v>
      </x:c>
      <x:c r="AJ822" s="9" t="str">
        <x:v>Primary compositional-transfer prompt paraphrase</x:v>
      </x:c>
      <x:c r="AK822" s="9" t="str">
        <x:v>Eval_Size_Recognition (1).xlsm</x:v>
      </x:c>
      <x:c r="AL822" s="9" t="str">
        <x:v>GR00T vision-only Results</x:v>
      </x:c>
      <x:c r="AM822" s="9" t="n">
        <x:v>52</x:v>
      </x:c>
      <x:c r="AN822" s="9" t="n">
        <x:v>52</x:v>
      </x:c>
    </x:row>
    <x:row r="823">
      <x:c r="A823" s="9" t="str">
        <x:v>Success</x:v>
      </x:c>
      <x:c r="B823" s="9" t="str">
        <x:v>Size Recognition</x:v>
      </x:c>
      <x:c r="C823" s="10" t="n">
        <x:v>51</x:v>
      </x:c>
      <x:c r="D823" s="9" t="str">
        <x:v>Place the table's juggling ball inside the bowl.</x:v>
      </x:c>
      <x:c r="E823" s="9" t="str">
        <x:v>Bowl: empty. Table, robot-left→robot-right: P1 juggling ball; P2 crushed Pepsi can. Adjacent centers 12 cm apart; row centered on the workspace; all objects fully visible and grasp paths clear.</x:v>
      </x:c>
      <x:c r="F823" s="9" t="str">
        <x:v>MOVE juggling ball to bowl</x:v>
      </x:c>
      <x:c r="G823" s="9"/>
      <x:c r="H823" s="9" t="str">
        <x:v>Language robustness</x:v>
      </x:c>
      <x:c r="I823" s="9" t="str">
        <x:v>SZ-CT-SJ04</x:v>
      </x:c>
      <x:c r="J823" s="9" t="str">
        <x:v>Direct</x:v>
      </x:c>
      <x:c r="K823" s="9" t="n">
        <x:v>49</x:v>
      </x:c>
      <x:c r="L823" s="9" t="str">
        <x:v>1103</x:v>
      </x:c>
      <x:c r="M823" s="9"/>
      <x:c r="N823" s="9"/>
      <x:c r="O823" s="9" t="str">
        <x:v>Reset the target; preserve the exact scene and paraphrase only the matched-control prompt.</x:v>
      </x:c>
      <x:c r="P823" s="9" t="str">
        <x:v>Exact-scene paraphrase of the direct manipulation control.</x:v>
      </x:c>
      <x:c r="Q823" s="9"/>
      <x:c r="R823" s="10" t="n">
        <x:v>2</x:v>
      </x:c>
      <x:c r="S823" s="10"/>
      <x:c r="T823" s="9"/>
      <x:c r="U823" s="9"/>
      <x:c r="V823" s="9"/>
      <x:c r="W823" s="9"/>
      <x:c r="X823" s="10"/>
      <x:c r="Y823" s="10"/>
      <x:c r="Z823" s="9"/>
      <x:c r="AA823" s="9"/>
      <x:c r="AB823" s="9"/>
      <x:c r="AC823" s="9"/>
      <x:c r="AD823" s="9" t="str">
        <x:v>juggling ball</x:v>
      </x:c>
      <x:c r="AE823" s="9"/>
      <x:c r="AF823" s="9"/>
      <x:c r="AG823" s="9"/>
      <x:c r="AH823" s="9" t="str">
        <x:v>Left</x:v>
      </x:c>
      <x:c r="AI823" s="11" t="n">
        <x:v>12</x:v>
      </x:c>
      <x:c r="AJ823" s="9" t="str">
        <x:v>Matched-control direct prompt paraphrase</x:v>
      </x:c>
      <x:c r="AK823" s="9" t="str">
        <x:v>Eval_Size_Recognition (1).xlsm</x:v>
      </x:c>
      <x:c r="AL823" s="9" t="str">
        <x:v>GR00T vision-only Results</x:v>
      </x:c>
      <x:c r="AM823" s="9" t="n">
        <x:v>53</x:v>
      </x:c>
      <x:c r="AN823" s="9" t="n">
        <x:v>53</x:v>
      </x:c>
    </x:row>
    <x:row r="824">
      <x:c r="A824" s="9" t="str">
        <x:v>Failure</x:v>
      </x:c>
      <x:c r="B824" s="9" t="str">
        <x:v>Size Recognition</x:v>
      </x:c>
      <x:c r="C824" s="10" t="n">
        <x:v>52</x:v>
      </x:c>
      <x:c r="D824" s="9" t="str">
        <x:v>Pick up the largest item and place it in the bowl.</x:v>
      </x:c>
      <x:c r="E824" s="9" t="str">
        <x:v>Bowl: empty. Table, robot-left→robot-right: P1 green block; P2 red pencil sharpener. Adjacent centers 12 cm apart; row shifted 4 cm away from the robot; all objects fully visible and grasp paths clear.</x:v>
      </x:c>
      <x:c r="F824" s="9" t="str">
        <x:v>MOVE green block to bowl</x:v>
      </x:c>
      <x:c r="G824" s="9" t="str">
        <x:v>went towards the green block, but then drifted off to the right edge of workspace and didn't recover</x:v>
      </x:c>
      <x:c r="H824" s="9" t="str">
        <x:v>Concept/compositional transfer</x:v>
      </x:c>
      <x:c r="I824" s="9" t="str">
        <x:v>SZ-CT-LG05</x:v>
      </x:c>
      <x:c r="J824" s="9" t="str">
        <x:v>largest</x:v>
      </x:c>
      <x:c r="K824" s="9"/>
      <x:c r="L824" s="9" t="str">
        <x:v>1084</x:v>
      </x:c>
      <x:c r="M824" s="9"/>
      <x:c r="N824" s="9"/>
      <x:c r="O824" s="9" t="str">
        <x:v>Build the listed two-object scene and save a first-frame filename.</x:v>
      </x:c>
      <x:c r="P824" s="9" t="str">
        <x:v>Primary missing cell. Training episode 1084 contains the same target trajectory but masks the size word with a direct identity prompt.</x:v>
      </x:c>
      <x:c r="Q824" s="9"/>
      <x:c r="R824" s="10" t="n">
        <x:v>2</x:v>
      </x:c>
      <x:c r="S824" s="10"/>
      <x:c r="T824" s="9"/>
      <x:c r="U824" s="9"/>
      <x:c r="V824" s="9"/>
      <x:c r="W824" s="9"/>
      <x:c r="X824" s="10"/>
      <x:c r="Y824" s="10"/>
      <x:c r="Z824" s="9"/>
      <x:c r="AA824" s="9"/>
      <x:c r="AB824" s="9"/>
      <x:c r="AC824" s="9"/>
      <x:c r="AD824" s="9" t="str">
        <x:v>green block</x:v>
      </x:c>
      <x:c r="AE824" s="9"/>
      <x:c r="AF824" s="9"/>
      <x:c r="AG824" s="9"/>
      <x:c r="AH824" s="9" t="str">
        <x:v>Left</x:v>
      </x:c>
      <x:c r="AI824" s="11" t="n">
        <x:v>12</x:v>
      </x:c>
      <x:c r="AJ824" s="9" t="str">
        <x:v>Held-out largest × green block — Pick up</x:v>
      </x:c>
      <x:c r="AK824" s="9" t="str">
        <x:v>Eval_Size_Recognition (1).xlsm</x:v>
      </x:c>
      <x:c r="AL824" s="9" t="str">
        <x:v>GR00T vision-only Results</x:v>
      </x:c>
      <x:c r="AM824" s="9" t="n">
        <x:v>54</x:v>
      </x:c>
      <x:c r="AN824" s="9" t="n">
        <x:v>54</x:v>
      </x:c>
    </x:row>
    <x:row r="825">
      <x:c r="A825" s="9" t="str">
        <x:v>Success</x:v>
      </x:c>
      <x:c r="B825" s="9" t="str">
        <x:v>Size Recognition</x:v>
      </x:c>
      <x:c r="C825" s="10" t="n">
        <x:v>53</x:v>
      </x:c>
      <x:c r="D825" s="9" t="str">
        <x:v>Move the green block into the bowl.</x:v>
      </x:c>
      <x:c r="E825" s="9" t="str">
        <x:v>Bowl: empty. Table, robot-left→robot-right: P1 green block; P2 red pencil sharpener. Adjacent centers 12 cm apart; row shifted 4 cm away from the robot; all objects fully visible and grasp paths clear.</x:v>
      </x:c>
      <x:c r="F825" s="9" t="str">
        <x:v>MOVE green block to bowl</x:v>
      </x:c>
      <x:c r="G825" s="9"/>
      <x:c r="H825" s="9" t="str">
        <x:v>Matched manipulation control</x:v>
      </x:c>
      <x:c r="I825" s="9" t="str">
        <x:v>SZ-CT-LG05</x:v>
      </x:c>
      <x:c r="J825" s="9" t="str">
        <x:v>Direct</x:v>
      </x:c>
      <x:c r="K825" s="9" t="n">
        <x:v>52</x:v>
      </x:c>
      <x:c r="L825" s="9" t="str">
        <x:v>1079</x:v>
      </x:c>
      <x:c r="M825" s="9"/>
      <x:c r="N825" s="9"/>
      <x:c r="O825" s="9" t="str">
        <x:v>Reset the target to its original pose; change only the prompt.</x:v>
      </x:c>
      <x:c r="P825" s="9" t="str">
        <x:v>Exact-scene control using a direct prompt supported by training episode 1079.</x:v>
      </x:c>
      <x:c r="Q825" s="9"/>
      <x:c r="R825" s="10" t="n">
        <x:v>2</x:v>
      </x:c>
      <x:c r="S825" s="10"/>
      <x:c r="T825" s="9"/>
      <x:c r="U825" s="9"/>
      <x:c r="V825" s="9"/>
      <x:c r="W825" s="9"/>
      <x:c r="X825" s="10"/>
      <x:c r="Y825" s="10"/>
      <x:c r="Z825" s="9"/>
      <x:c r="AA825" s="9"/>
      <x:c r="AB825" s="9"/>
      <x:c r="AC825" s="9"/>
      <x:c r="AD825" s="9" t="str">
        <x:v>green block</x:v>
      </x:c>
      <x:c r="AE825" s="9"/>
      <x:c r="AF825" s="9"/>
      <x:c r="AG825" s="9"/>
      <x:c r="AH825" s="9" t="str">
        <x:v>Left</x:v>
      </x:c>
      <x:c r="AI825" s="11" t="n">
        <x:v>12</x:v>
      </x:c>
      <x:c r="AJ825" s="9" t="str">
        <x:v>Same-scene direct target control</x:v>
      </x:c>
      <x:c r="AK825" s="9" t="str">
        <x:v>Eval_Size_Recognition (1).xlsm</x:v>
      </x:c>
      <x:c r="AL825" s="9" t="str">
        <x:v>GR00T vision-only Results</x:v>
      </x:c>
      <x:c r="AM825" s="9" t="n">
        <x:v>55</x:v>
      </x:c>
      <x:c r="AN825" s="9" t="n">
        <x:v>55</x:v>
      </x:c>
    </x:row>
    <x:row r="826">
      <x:c r="A826" s="9" t="str">
        <x:v>Success</x:v>
      </x:c>
      <x:c r="B826" s="9" t="str">
        <x:v>Size Recognition</x:v>
      </x:c>
      <x:c r="C826" s="10" t="n">
        <x:v>54</x:v>
      </x:c>
      <x:c r="D826" s="9" t="str">
        <x:v>Move whichever item is larger into the bowl.</x:v>
      </x:c>
      <x:c r="E826" s="9" t="str">
        <x:v>Bowl: empty. Table, robot-left→robot-right: P1 green block; P2 red pencil sharpener. Adjacent centers 12 cm apart; row shifted 4 cm away from the robot; all objects fully visible and grasp paths clear.</x:v>
      </x:c>
      <x:c r="F826" s="9" t="str">
        <x:v>MOVE green block to bowl</x:v>
      </x:c>
      <x:c r="G826" s="9"/>
      <x:c r="H826" s="9" t="str">
        <x:v>Language robustness</x:v>
      </x:c>
      <x:c r="I826" s="9" t="str">
        <x:v>SZ-CT-LG05</x:v>
      </x:c>
      <x:c r="J826" s="9" t="str">
        <x:v>largest</x:v>
      </x:c>
      <x:c r="K826" s="9" t="n">
        <x:v>52</x:v>
      </x:c>
      <x:c r="L826" s="9" t="str">
        <x:v>1084</x:v>
      </x:c>
      <x:c r="M826" s="9"/>
      <x:c r="N826" s="9"/>
      <x:c r="O826" s="9" t="str">
        <x:v>Reset the target; preserve the exact scene and paraphrase only the transfer prompt.</x:v>
      </x:c>
      <x:c r="P826" s="9" t="str">
        <x:v>Exact-scene paraphrase of the primary transfer instruction.</x:v>
      </x:c>
      <x:c r="Q826" s="9"/>
      <x:c r="R826" s="10" t="n">
        <x:v>2</x:v>
      </x:c>
      <x:c r="S826" s="10"/>
      <x:c r="T826" s="9"/>
      <x:c r="U826" s="9"/>
      <x:c r="V826" s="9"/>
      <x:c r="W826" s="9"/>
      <x:c r="X826" s="10"/>
      <x:c r="Y826" s="10"/>
      <x:c r="Z826" s="9"/>
      <x:c r="AA826" s="9"/>
      <x:c r="AB826" s="9"/>
      <x:c r="AC826" s="9"/>
      <x:c r="AD826" s="9" t="str">
        <x:v>green block</x:v>
      </x:c>
      <x:c r="AE826" s="9"/>
      <x:c r="AF826" s="9"/>
      <x:c r="AG826" s="9"/>
      <x:c r="AH826" s="9" t="str">
        <x:v>Left</x:v>
      </x:c>
      <x:c r="AI826" s="11" t="n">
        <x:v>12</x:v>
      </x:c>
      <x:c r="AJ826" s="9" t="str">
        <x:v>Primary compositional-transfer prompt paraphrase</x:v>
      </x:c>
      <x:c r="AK826" s="9" t="str">
        <x:v>Eval_Size_Recognition (1).xlsm</x:v>
      </x:c>
      <x:c r="AL826" s="9" t="str">
        <x:v>GR00T vision-only Results</x:v>
      </x:c>
      <x:c r="AM826" s="9" t="n">
        <x:v>56</x:v>
      </x:c>
      <x:c r="AN826" s="9" t="n">
        <x:v>56</x:v>
      </x:c>
    </x:row>
    <x:row r="827">
      <x:c r="A827" s="9" t="str">
        <x:v>Success</x:v>
      </x:c>
      <x:c r="B827" s="9" t="str">
        <x:v>Size Recognition</x:v>
      </x:c>
      <x:c r="C827" s="10" t="n">
        <x:v>55</x:v>
      </x:c>
      <x:c r="D827" s="9" t="str">
        <x:v>Take the green block from the table and put it in the bowl.</x:v>
      </x:c>
      <x:c r="E827" s="9" t="str">
        <x:v>Bowl: empty. Table, robot-left→robot-right: P1 green block; P2 red pencil sharpener. Adjacent centers 12 cm apart; row shifted 4 cm away from the robot; all objects fully visible and grasp paths clear.</x:v>
      </x:c>
      <x:c r="F827" s="9" t="str">
        <x:v>MOVE green block to bowl</x:v>
      </x:c>
      <x:c r="G827" s="9"/>
      <x:c r="H827" s="9" t="str">
        <x:v>Language robustness</x:v>
      </x:c>
      <x:c r="I827" s="9" t="str">
        <x:v>SZ-CT-LG05</x:v>
      </x:c>
      <x:c r="J827" s="9" t="str">
        <x:v>Direct</x:v>
      </x:c>
      <x:c r="K827" s="9" t="n">
        <x:v>53</x:v>
      </x:c>
      <x:c r="L827" s="9" t="str">
        <x:v>1079</x:v>
      </x:c>
      <x:c r="M827" s="9"/>
      <x:c r="N827" s="9"/>
      <x:c r="O827" s="9" t="str">
        <x:v>Reset the target; preserve the exact scene and paraphrase only the matched-control prompt.</x:v>
      </x:c>
      <x:c r="P827" s="9" t="str">
        <x:v>Exact-scene paraphrase of the direct manipulation control.</x:v>
      </x:c>
      <x:c r="Q827" s="9"/>
      <x:c r="R827" s="10" t="n">
        <x:v>2</x:v>
      </x:c>
      <x:c r="S827" s="10"/>
      <x:c r="T827" s="9"/>
      <x:c r="U827" s="9"/>
      <x:c r="V827" s="9"/>
      <x:c r="W827" s="9"/>
      <x:c r="X827" s="10"/>
      <x:c r="Y827" s="10"/>
      <x:c r="Z827" s="9"/>
      <x:c r="AA827" s="9"/>
      <x:c r="AB827" s="9"/>
      <x:c r="AC827" s="9"/>
      <x:c r="AD827" s="9" t="str">
        <x:v>green block</x:v>
      </x:c>
      <x:c r="AE827" s="9"/>
      <x:c r="AF827" s="9"/>
      <x:c r="AG827" s="9"/>
      <x:c r="AH827" s="9" t="str">
        <x:v>Left</x:v>
      </x:c>
      <x:c r="AI827" s="11" t="n">
        <x:v>12</x:v>
      </x:c>
      <x:c r="AJ827" s="9" t="str">
        <x:v>Matched-control direct prompt paraphrase</x:v>
      </x:c>
      <x:c r="AK827" s="9" t="str">
        <x:v>Eval_Size_Recognition (1).xlsm</x:v>
      </x:c>
      <x:c r="AL827" s="9" t="str">
        <x:v>GR00T vision-only Results</x:v>
      </x:c>
      <x:c r="AM827" s="9" t="n">
        <x:v>57</x:v>
      </x:c>
      <x:c r="AN827" s="9" t="n">
        <x:v>57</x:v>
      </x:c>
    </x:row>
    <x:row r="828">
      <x:c r="A828" s="9" t="str">
        <x:v>Success</x:v>
      </x:c>
      <x:c r="B828" s="9" t="str">
        <x:v>Size Recognition</x:v>
      </x:c>
      <x:c r="C828" s="10" t="n">
        <x:v>56</x:v>
      </x:c>
      <x:c r="D828" s="9" t="str">
        <x:v>Put the smallest object in the bowl.</x:v>
      </x:c>
      <x:c r="E828" s="9" t="str">
        <x:v>Bowl: empty. Table, robot-left→robot-right: P1 crushed Pepsi can; P2 juggling ball. Adjacent centers 16 cm apart; row shifted 4 cm toward robot-left; all objects fully visible and grasp paths clear.</x:v>
      </x:c>
      <x:c r="F828" s="9" t="str">
        <x:v>MOVE juggling ball to bowl</x:v>
      </x:c>
      <x:c r="G828" s="9"/>
      <x:c r="H828" s="9" t="str">
        <x:v>Concept/compositional transfer</x:v>
      </x:c>
      <x:c r="I828" s="9" t="str">
        <x:v>SZ-CT-SJ05</x:v>
      </x:c>
      <x:c r="J828" s="9" t="str">
        <x:v>smallest</x:v>
      </x:c>
      <x:c r="K828" s="9"/>
      <x:c r="L828" s="9" t="str">
        <x:v>1109</x:v>
      </x:c>
      <x:c r="M828" s="9"/>
      <x:c r="N828" s="9"/>
      <x:c r="O828" s="9" t="str">
        <x:v>Build the listed two-object scene and save a first-frame filename.</x:v>
      </x:c>
      <x:c r="P828" s="9" t="str">
        <x:v>Primary missing cell. Training episode 1109 contains the same target trajectory but masks the size word with a direct identity prompt.</x:v>
      </x:c>
      <x:c r="Q828" s="9"/>
      <x:c r="R828" s="10" t="n">
        <x:v>2</x:v>
      </x:c>
      <x:c r="S828" s="10"/>
      <x:c r="T828" s="9"/>
      <x:c r="U828" s="9"/>
      <x:c r="V828" s="9"/>
      <x:c r="W828" s="9"/>
      <x:c r="X828" s="10"/>
      <x:c r="Y828" s="10"/>
      <x:c r="Z828" s="9"/>
      <x:c r="AA828" s="9"/>
      <x:c r="AB828" s="9"/>
      <x:c r="AC828" s="9"/>
      <x:c r="AD828" s="9" t="str">
        <x:v>juggling ball</x:v>
      </x:c>
      <x:c r="AE828" s="9"/>
      <x:c r="AF828" s="9"/>
      <x:c r="AG828" s="9"/>
      <x:c r="AH828" s="9" t="str">
        <x:v>Right</x:v>
      </x:c>
      <x:c r="AI828" s="11" t="n">
        <x:v>16</x:v>
      </x:c>
      <x:c r="AJ828" s="9" t="str">
        <x:v>Held-out smallest × juggling ball — Put</x:v>
      </x:c>
      <x:c r="AK828" s="9" t="str">
        <x:v>Eval_Size_Recognition (1).xlsm</x:v>
      </x:c>
      <x:c r="AL828" s="9" t="str">
        <x:v>GR00T vision-only Results</x:v>
      </x:c>
      <x:c r="AM828" s="9" t="n">
        <x:v>58</x:v>
      </x:c>
      <x:c r="AN828" s="9" t="n">
        <x:v>58</x:v>
      </x:c>
    </x:row>
    <x:row r="829">
      <x:c r="A829" s="9" t="str">
        <x:v>Success</x:v>
      </x:c>
      <x:c r="B829" s="9" t="str">
        <x:v>Size Recognition</x:v>
      </x:c>
      <x:c r="C829" s="10" t="n">
        <x:v>57</x:v>
      </x:c>
      <x:c r="D829" s="9" t="str">
        <x:v>Move the juggling ball into the bowl.</x:v>
      </x:c>
      <x:c r="E829" s="9" t="str">
        <x:v>Bowl: empty. Table, robot-left→robot-right: P1 crushed Pepsi can; P2 juggling ball. Adjacent centers 16 cm apart; row shifted 4 cm toward robot-left; all objects fully visible and grasp paths clear.</x:v>
      </x:c>
      <x:c r="F829" s="9" t="str">
        <x:v>MOVE juggling ball to bowl</x:v>
      </x:c>
      <x:c r="G829" s="9"/>
      <x:c r="H829" s="9" t="str">
        <x:v>Matched manipulation control</x:v>
      </x:c>
      <x:c r="I829" s="9" t="str">
        <x:v>SZ-CT-SJ05</x:v>
      </x:c>
      <x:c r="J829" s="9" t="str">
        <x:v>Direct</x:v>
      </x:c>
      <x:c r="K829" s="9" t="n">
        <x:v>56</x:v>
      </x:c>
      <x:c r="L829" s="9" t="str">
        <x:v>1104</x:v>
      </x:c>
      <x:c r="M829" s="9"/>
      <x:c r="N829" s="9"/>
      <x:c r="O829" s="9" t="str">
        <x:v>Reset the target to its original pose; change only the prompt.</x:v>
      </x:c>
      <x:c r="P829" s="9" t="str">
        <x:v>Exact-scene control using a direct prompt supported by training episode 1104.</x:v>
      </x:c>
      <x:c r="Q829" s="9"/>
      <x:c r="R829" s="10" t="n">
        <x:v>2</x:v>
      </x:c>
      <x:c r="S829" s="10"/>
      <x:c r="T829" s="9"/>
      <x:c r="U829" s="9"/>
      <x:c r="V829" s="9"/>
      <x:c r="W829" s="9"/>
      <x:c r="X829" s="10"/>
      <x:c r="Y829" s="10"/>
      <x:c r="Z829" s="9"/>
      <x:c r="AA829" s="9"/>
      <x:c r="AB829" s="9"/>
      <x:c r="AC829" s="9"/>
      <x:c r="AD829" s="9" t="str">
        <x:v>juggling ball</x:v>
      </x:c>
      <x:c r="AE829" s="9"/>
      <x:c r="AF829" s="9"/>
      <x:c r="AG829" s="9"/>
      <x:c r="AH829" s="9" t="str">
        <x:v>Right</x:v>
      </x:c>
      <x:c r="AI829" s="11" t="n">
        <x:v>16</x:v>
      </x:c>
      <x:c r="AJ829" s="9" t="str">
        <x:v>Same-scene direct target control</x:v>
      </x:c>
      <x:c r="AK829" s="9" t="str">
        <x:v>Eval_Size_Recognition (1).xlsm</x:v>
      </x:c>
      <x:c r="AL829" s="9" t="str">
        <x:v>GR00T vision-only Results</x:v>
      </x:c>
      <x:c r="AM829" s="9" t="n">
        <x:v>59</x:v>
      </x:c>
      <x:c r="AN829" s="9" t="n">
        <x:v>59</x:v>
      </x:c>
    </x:row>
    <x:row r="830">
      <x:c r="A830" s="9" t="str">
        <x:v>Success</x:v>
      </x:c>
      <x:c r="B830" s="9" t="str">
        <x:v>Size Recognition</x:v>
      </x:c>
      <x:c r="C830" s="10" t="n">
        <x:v>58</x:v>
      </x:c>
      <x:c r="D830" s="9" t="str">
        <x:v>Move whichever item is smaller into the bowl.</x:v>
      </x:c>
      <x:c r="E830" s="9" t="str">
        <x:v>Bowl: empty. Table, robot-left→robot-right: P1 crushed Pepsi can; P2 juggling ball. Adjacent centers 16 cm apart; row shifted 4 cm toward robot-left; all objects fully visible and grasp paths clear.</x:v>
      </x:c>
      <x:c r="F830" s="9" t="str">
        <x:v>MOVE juggling ball to bowl</x:v>
      </x:c>
      <x:c r="G830" s="9"/>
      <x:c r="H830" s="9" t="str">
        <x:v>Language robustness</x:v>
      </x:c>
      <x:c r="I830" s="9" t="str">
        <x:v>SZ-CT-SJ05</x:v>
      </x:c>
      <x:c r="J830" s="9" t="str">
        <x:v>smallest</x:v>
      </x:c>
      <x:c r="K830" s="9" t="n">
        <x:v>56</x:v>
      </x:c>
      <x:c r="L830" s="9" t="str">
        <x:v>1109</x:v>
      </x:c>
      <x:c r="M830" s="9"/>
      <x:c r="N830" s="9"/>
      <x:c r="O830" s="9" t="str">
        <x:v>Reset the target; preserve the exact scene and paraphrase only the transfer prompt.</x:v>
      </x:c>
      <x:c r="P830" s="9" t="str">
        <x:v>Exact-scene paraphrase of the primary transfer instruction.</x:v>
      </x:c>
      <x:c r="Q830" s="9"/>
      <x:c r="R830" s="10" t="n">
        <x:v>2</x:v>
      </x:c>
      <x:c r="S830" s="10"/>
      <x:c r="T830" s="9"/>
      <x:c r="U830" s="9"/>
      <x:c r="V830" s="9"/>
      <x:c r="W830" s="9"/>
      <x:c r="X830" s="10"/>
      <x:c r="Y830" s="10"/>
      <x:c r="Z830" s="9"/>
      <x:c r="AA830" s="9"/>
      <x:c r="AB830" s="9"/>
      <x:c r="AC830" s="9"/>
      <x:c r="AD830" s="9" t="str">
        <x:v>juggling ball</x:v>
      </x:c>
      <x:c r="AE830" s="9"/>
      <x:c r="AF830" s="9"/>
      <x:c r="AG830" s="9"/>
      <x:c r="AH830" s="9" t="str">
        <x:v>Right</x:v>
      </x:c>
      <x:c r="AI830" s="11" t="n">
        <x:v>16</x:v>
      </x:c>
      <x:c r="AJ830" s="9" t="str">
        <x:v>Primary compositional-transfer prompt paraphrase</x:v>
      </x:c>
      <x:c r="AK830" s="9" t="str">
        <x:v>Eval_Size_Recognition (1).xlsm</x:v>
      </x:c>
      <x:c r="AL830" s="9" t="str">
        <x:v>GR00T vision-only Results</x:v>
      </x:c>
      <x:c r="AM830" s="9" t="n">
        <x:v>60</x:v>
      </x:c>
      <x:c r="AN830" s="9" t="n">
        <x:v>60</x:v>
      </x:c>
    </x:row>
    <x:row r="831">
      <x:c r="A831" s="9" t="str">
        <x:v>Success</x:v>
      </x:c>
      <x:c r="B831" s="9" t="str">
        <x:v>Size Recognition</x:v>
      </x:c>
      <x:c r="C831" s="10" t="n">
        <x:v>59</x:v>
      </x:c>
      <x:c r="D831" s="9" t="str">
        <x:v>Take the juggling ball from the table and put it in the bowl.</x:v>
      </x:c>
      <x:c r="E831" s="9" t="str">
        <x:v>Bowl: empty. Table, robot-left→robot-right: P1 crushed Pepsi can; P2 juggling ball. Adjacent centers 16 cm apart; row shifted 4 cm toward robot-left; all objects fully visible and grasp paths clear.</x:v>
      </x:c>
      <x:c r="F831" s="9" t="str">
        <x:v>MOVE juggling ball to bowl</x:v>
      </x:c>
      <x:c r="G831" s="9"/>
      <x:c r="H831" s="9" t="str">
        <x:v>Language robustness</x:v>
      </x:c>
      <x:c r="I831" s="9" t="str">
        <x:v>SZ-CT-SJ05</x:v>
      </x:c>
      <x:c r="J831" s="9" t="str">
        <x:v>Direct</x:v>
      </x:c>
      <x:c r="K831" s="9" t="n">
        <x:v>57</x:v>
      </x:c>
      <x:c r="L831" s="9" t="str">
        <x:v>1104</x:v>
      </x:c>
      <x:c r="M831" s="9"/>
      <x:c r="N831" s="9"/>
      <x:c r="O831" s="9" t="str">
        <x:v>Reset the target; preserve the exact scene and paraphrase only the matched-control prompt.</x:v>
      </x:c>
      <x:c r="P831" s="9" t="str">
        <x:v>Exact-scene paraphrase of the direct manipulation control.</x:v>
      </x:c>
      <x:c r="Q831" s="9"/>
      <x:c r="R831" s="10" t="n">
        <x:v>2</x:v>
      </x:c>
      <x:c r="S831" s="10"/>
      <x:c r="T831" s="9"/>
      <x:c r="U831" s="9"/>
      <x:c r="V831" s="9"/>
      <x:c r="W831" s="9"/>
      <x:c r="X831" s="10"/>
      <x:c r="Y831" s="10"/>
      <x:c r="Z831" s="9"/>
      <x:c r="AA831" s="9"/>
      <x:c r="AB831" s="9"/>
      <x:c r="AC831" s="9"/>
      <x:c r="AD831" s="9" t="str">
        <x:v>juggling ball</x:v>
      </x:c>
      <x:c r="AE831" s="9"/>
      <x:c r="AF831" s="9"/>
      <x:c r="AG831" s="9"/>
      <x:c r="AH831" s="9" t="str">
        <x:v>Right</x:v>
      </x:c>
      <x:c r="AI831" s="11" t="n">
        <x:v>16</x:v>
      </x:c>
      <x:c r="AJ831" s="9" t="str">
        <x:v>Matched-control direct prompt paraphrase</x:v>
      </x:c>
      <x:c r="AK831" s="9" t="str">
        <x:v>Eval_Size_Recognition (1).xlsm</x:v>
      </x:c>
      <x:c r="AL831" s="9" t="str">
        <x:v>GR00T vision-only Results</x:v>
      </x:c>
      <x:c r="AM831" s="9" t="n">
        <x:v>61</x:v>
      </x:c>
      <x:c r="AN831" s="9" t="n">
        <x:v>61</x:v>
      </x:c>
    </x:row>
    <x:row r="832">
      <x:c r="A832" s="9" t="str">
        <x:v>Failure</x:v>
      </x:c>
      <x:c r="B832" s="9" t="str">
        <x:v>Size Recognition</x:v>
      </x:c>
      <x:c r="C832" s="10" t="n">
        <x:v>60</x:v>
      </x:c>
      <x:c r="D832" s="9" t="str">
        <x:v>Put the largest object in the bowl.</x:v>
      </x:c>
      <x:c r="E832" s="9" t="str">
        <x:v>Bowl: empty. Table, robot-left→robot-right: P1 red pencil sharpener; P2 green block. Adjacent centers 16 cm apart; row centered on the workspace; all objects fully visible and grasp paths clear.</x:v>
      </x:c>
      <x:c r="F832" s="9" t="str">
        <x:v>MOVE green block to bowl</x:v>
      </x:c>
      <x:c r="G832" s="9" t="str">
        <x:v>picked in between the two items, knocked green block, then went for red pencil sharpener. Dropped it and tried picking it, but was out of range</x:v>
      </x:c>
      <x:c r="H832" s="9" t="str">
        <x:v>Concept/compositional transfer</x:v>
      </x:c>
      <x:c r="I832" s="9" t="str">
        <x:v>SZ-CT-LG06</x:v>
      </x:c>
      <x:c r="J832" s="9" t="str">
        <x:v>largest</x:v>
      </x:c>
      <x:c r="K832" s="9"/>
      <x:c r="L832" s="9" t="str">
        <x:v>1085</x:v>
      </x:c>
      <x:c r="M832" s="9"/>
      <x:c r="N832" s="9"/>
      <x:c r="O832" s="9" t="str">
        <x:v>Build the listed two-object scene and save a first-frame filename.</x:v>
      </x:c>
      <x:c r="P832" s="9" t="str">
        <x:v>Primary missing cell. Training episode 1085 contains the same target trajectory but masks the size word with a direct identity prompt.</x:v>
      </x:c>
      <x:c r="Q832" s="9"/>
      <x:c r="R832" s="10" t="n">
        <x:v>2</x:v>
      </x:c>
      <x:c r="S832" s="10"/>
      <x:c r="T832" s="9"/>
      <x:c r="U832" s="9"/>
      <x:c r="V832" s="9"/>
      <x:c r="W832" s="9"/>
      <x:c r="X832" s="10"/>
      <x:c r="Y832" s="10"/>
      <x:c r="Z832" s="9"/>
      <x:c r="AA832" s="9"/>
      <x:c r="AB832" s="9"/>
      <x:c r="AC832" s="9"/>
      <x:c r="AD832" s="9" t="str">
        <x:v>green block</x:v>
      </x:c>
      <x:c r="AE832" s="9"/>
      <x:c r="AF832" s="9"/>
      <x:c r="AG832" s="9"/>
      <x:c r="AH832" s="9" t="str">
        <x:v>Right</x:v>
      </x:c>
      <x:c r="AI832" s="11" t="n">
        <x:v>16</x:v>
      </x:c>
      <x:c r="AJ832" s="9" t="str">
        <x:v>Held-out largest × green block — Put</x:v>
      </x:c>
      <x:c r="AK832" s="9" t="str">
        <x:v>Eval_Size_Recognition (1).xlsm</x:v>
      </x:c>
      <x:c r="AL832" s="9" t="str">
        <x:v>GR00T vision-only Results</x:v>
      </x:c>
      <x:c r="AM832" s="9" t="n">
        <x:v>62</x:v>
      </x:c>
      <x:c r="AN832" s="9" t="n">
        <x:v>62</x:v>
      </x:c>
    </x:row>
    <x:row r="833">
      <x:c r="A833" s="9" t="str">
        <x:v>Success</x:v>
      </x:c>
      <x:c r="B833" s="9" t="str">
        <x:v>Size Recognition</x:v>
      </x:c>
      <x:c r="C833" s="10" t="n">
        <x:v>61</x:v>
      </x:c>
      <x:c r="D833" s="9" t="str">
        <x:v>Pick up the green block and place it in the bowl.</x:v>
      </x:c>
      <x:c r="E833" s="9" t="str">
        <x:v>Bowl: empty. Table, robot-left→robot-right: P1 red pencil sharpener; P2 green block. Adjacent centers 16 cm apart; row centered on the workspace; all objects fully visible and grasp paths clear.</x:v>
      </x:c>
      <x:c r="F833" s="9" t="str">
        <x:v>MOVE green block to bowl</x:v>
      </x:c>
      <x:c r="G833" s="9"/>
      <x:c r="H833" s="9" t="str">
        <x:v>Matched manipulation control</x:v>
      </x:c>
      <x:c r="I833" s="9" t="str">
        <x:v>SZ-CT-LG06</x:v>
      </x:c>
      <x:c r="J833" s="9" t="str">
        <x:v>Direct</x:v>
      </x:c>
      <x:c r="K833" s="9" t="n">
        <x:v>60</x:v>
      </x:c>
      <x:c r="L833" s="9" t="str">
        <x:v>1075</x:v>
      </x:c>
      <x:c r="M833" s="9"/>
      <x:c r="N833" s="9"/>
      <x:c r="O833" s="9" t="str">
        <x:v>Reset the target to its original pose; change only the prompt.</x:v>
      </x:c>
      <x:c r="P833" s="9" t="str">
        <x:v>Exact-scene control using a direct prompt supported by training episode 1075.</x:v>
      </x:c>
      <x:c r="Q833" s="9"/>
      <x:c r="R833" s="10" t="n">
        <x:v>2</x:v>
      </x:c>
      <x:c r="S833" s="10"/>
      <x:c r="T833" s="9"/>
      <x:c r="U833" s="9"/>
      <x:c r="V833" s="9"/>
      <x:c r="W833" s="9"/>
      <x:c r="X833" s="10"/>
      <x:c r="Y833" s="10"/>
      <x:c r="Z833" s="9"/>
      <x:c r="AA833" s="9"/>
      <x:c r="AB833" s="9"/>
      <x:c r="AC833" s="9"/>
      <x:c r="AD833" s="9" t="str">
        <x:v>green block</x:v>
      </x:c>
      <x:c r="AE833" s="9"/>
      <x:c r="AF833" s="9"/>
      <x:c r="AG833" s="9"/>
      <x:c r="AH833" s="9" t="str">
        <x:v>Right</x:v>
      </x:c>
      <x:c r="AI833" s="11" t="n">
        <x:v>16</x:v>
      </x:c>
      <x:c r="AJ833" s="9" t="str">
        <x:v>Same-scene direct target control</x:v>
      </x:c>
      <x:c r="AK833" s="9" t="str">
        <x:v>Eval_Size_Recognition (1).xlsm</x:v>
      </x:c>
      <x:c r="AL833" s="9" t="str">
        <x:v>GR00T vision-only Results</x:v>
      </x:c>
      <x:c r="AM833" s="9" t="n">
        <x:v>63</x:v>
      </x:c>
      <x:c r="AN833" s="9" t="n">
        <x:v>63</x:v>
      </x:c>
    </x:row>
    <x:row r="834">
      <x:c r="A834" s="9" t="str">
        <x:v>Success</x:v>
      </x:c>
      <x:c r="B834" s="9" t="str">
        <x:v>Size Recognition</x:v>
      </x:c>
      <x:c r="C834" s="10" t="n">
        <x:v>62</x:v>
      </x:c>
      <x:c r="D834" s="9" t="str">
        <x:v>Move the object that is smallest into the bowl.</x:v>
      </x:c>
      <x:c r="E834" s="9" t="str">
        <x:v>Bowl: empty. Table, robot-left→robot-right: P1 juggling ball; P2 crushed Pepsi can. Adjacent centers 8 cm apart; row shifted 4 cm toward robot-right; all objects fully visible and grasp paths clear.</x:v>
      </x:c>
      <x:c r="F834" s="9" t="str">
        <x:v>MOVE juggling ball to bowl</x:v>
      </x:c>
      <x:c r="G834" s="9"/>
      <x:c r="H834" s="9" t="str">
        <x:v>Concept/compositional transfer</x:v>
      </x:c>
      <x:c r="I834" s="9" t="str">
        <x:v>SZ-CT-SJ06</x:v>
      </x:c>
      <x:c r="J834" s="9" t="str">
        <x:v>smallest</x:v>
      </x:c>
      <x:c r="K834" s="9"/>
      <x:c r="L834" s="9" t="str">
        <x:v>1110</x:v>
      </x:c>
      <x:c r="M834" s="9"/>
      <x:c r="N834" s="9"/>
      <x:c r="O834" s="9" t="str">
        <x:v>Build the listed two-object scene and save a first-frame filename.</x:v>
      </x:c>
      <x:c r="P834" s="9" t="str">
        <x:v>Primary missing cell. Training episode 1110 contains the same target trajectory but masks the size word with a direct identity prompt.</x:v>
      </x:c>
      <x:c r="Q834" s="9"/>
      <x:c r="R834" s="10" t="n">
        <x:v>2</x:v>
      </x:c>
      <x:c r="S834" s="10"/>
      <x:c r="T834" s="9"/>
      <x:c r="U834" s="9"/>
      <x:c r="V834" s="9"/>
      <x:c r="W834" s="9"/>
      <x:c r="X834" s="10"/>
      <x:c r="Y834" s="10"/>
      <x:c r="Z834" s="9"/>
      <x:c r="AA834" s="9"/>
      <x:c r="AB834" s="9"/>
      <x:c r="AC834" s="9"/>
      <x:c r="AD834" s="9" t="str">
        <x:v>juggling ball</x:v>
      </x:c>
      <x:c r="AE834" s="9"/>
      <x:c r="AF834" s="9"/>
      <x:c r="AG834" s="9"/>
      <x:c r="AH834" s="9" t="str">
        <x:v>Left</x:v>
      </x:c>
      <x:c r="AI834" s="11" t="n">
        <x:v>8</x:v>
      </x:c>
      <x:c r="AJ834" s="9" t="str">
        <x:v>Held-out smallest × juggling ball — Move</x:v>
      </x:c>
      <x:c r="AK834" s="9" t="str">
        <x:v>Eval_Size_Recognition (1).xlsm</x:v>
      </x:c>
      <x:c r="AL834" s="9" t="str">
        <x:v>GR00T vision-only Results</x:v>
      </x:c>
      <x:c r="AM834" s="9" t="n">
        <x:v>64</x:v>
      </x:c>
      <x:c r="AN834" s="9" t="n">
        <x:v>64</x:v>
      </x:c>
    </x:row>
    <x:row r="835">
      <x:c r="A835" s="9" t="str">
        <x:v>Success</x:v>
      </x:c>
      <x:c r="B835" s="9" t="str">
        <x:v>Size Recognition</x:v>
      </x:c>
      <x:c r="C835" s="10" t="n">
        <x:v>63</x:v>
      </x:c>
      <x:c r="D835" s="9" t="str">
        <x:v>Pick up the juggling ball and place it in the bowl.</x:v>
      </x:c>
      <x:c r="E835" s="9" t="str">
        <x:v>Bowl: empty. Table, robot-left→robot-right: P1 juggling ball; P2 crushed Pepsi can. Adjacent centers 8 cm apart; row shifted 4 cm toward robot-right; all objects fully visible and grasp paths clear.</x:v>
      </x:c>
      <x:c r="F835" s="9" t="str">
        <x:v>MOVE juggling ball to bowl</x:v>
      </x:c>
      <x:c r="G835" s="9"/>
      <x:c r="H835" s="9" t="str">
        <x:v>Matched manipulation control</x:v>
      </x:c>
      <x:c r="I835" s="9" t="str">
        <x:v>SZ-CT-SJ06</x:v>
      </x:c>
      <x:c r="J835" s="9" t="str">
        <x:v>Direct</x:v>
      </x:c>
      <x:c r="K835" s="9" t="n">
        <x:v>62</x:v>
      </x:c>
      <x:c r="L835" s="9" t="str">
        <x:v>1100</x:v>
      </x:c>
      <x:c r="M835" s="9"/>
      <x:c r="N835" s="9"/>
      <x:c r="O835" s="9" t="str">
        <x:v>Reset the target to its original pose; change only the prompt.</x:v>
      </x:c>
      <x:c r="P835" s="9" t="str">
        <x:v>Exact-scene control using a direct prompt supported by training episode 1100.</x:v>
      </x:c>
      <x:c r="Q835" s="9"/>
      <x:c r="R835" s="10" t="n">
        <x:v>2</x:v>
      </x:c>
      <x:c r="S835" s="10"/>
      <x:c r="T835" s="9"/>
      <x:c r="U835" s="9"/>
      <x:c r="V835" s="9"/>
      <x:c r="W835" s="9"/>
      <x:c r="X835" s="10"/>
      <x:c r="Y835" s="10"/>
      <x:c r="Z835" s="9"/>
      <x:c r="AA835" s="9"/>
      <x:c r="AB835" s="9"/>
      <x:c r="AC835" s="9"/>
      <x:c r="AD835" s="9" t="str">
        <x:v>juggling ball</x:v>
      </x:c>
      <x:c r="AE835" s="9"/>
      <x:c r="AF835" s="9"/>
      <x:c r="AG835" s="9"/>
      <x:c r="AH835" s="9" t="str">
        <x:v>Left</x:v>
      </x:c>
      <x:c r="AI835" s="11" t="n">
        <x:v>8</x:v>
      </x:c>
      <x:c r="AJ835" s="9" t="str">
        <x:v>Same-scene direct target control</x:v>
      </x:c>
      <x:c r="AK835" s="9" t="str">
        <x:v>Eval_Size_Recognition (1).xlsm</x:v>
      </x:c>
      <x:c r="AL835" s="9" t="str">
        <x:v>GR00T vision-only Results</x:v>
      </x:c>
      <x:c r="AM835" s="9" t="n">
        <x:v>65</x:v>
      </x:c>
      <x:c r="AN835" s="9" t="n">
        <x:v>65</x:v>
      </x:c>
    </x:row>
    <x:row r="836">
      <x:c r="A836" s="9" t="str">
        <x:v>Failure</x:v>
      </x:c>
      <x:c r="B836" s="9" t="str">
        <x:v>Size Recognition</x:v>
      </x:c>
      <x:c r="C836" s="10" t="n">
        <x:v>64</x:v>
      </x:c>
      <x:c r="D836" s="9" t="str">
        <x:v>Move the object that is largest into the bowl.</x:v>
      </x:c>
      <x:c r="E836" s="9" t="str">
        <x:v>Bowl: empty. Table, robot-left→robot-right: P1 green block; P2 red pencil sharpener. Adjacent centers 8 cm apart; row shifted 4 cm toward robot-left; all objects fully visible and grasp paths clear.</x:v>
      </x:c>
      <x:c r="F836" s="9" t="str">
        <x:v>MOVE green block to bowl</x:v>
      </x:c>
      <x:c r="G836" s="9" t="str">
        <x:v>went for red pencil sharpener, but couldn't grasp it, difted off to the right edge of the workspace</x:v>
      </x:c>
      <x:c r="H836" s="9" t="str">
        <x:v>Concept/compositional transfer</x:v>
      </x:c>
      <x:c r="I836" s="9" t="str">
        <x:v>SZ-CT-LG07</x:v>
      </x:c>
      <x:c r="J836" s="9" t="str">
        <x:v>largest</x:v>
      </x:c>
      <x:c r="K836" s="9"/>
      <x:c r="L836" s="9" t="str">
        <x:v>1086</x:v>
      </x:c>
      <x:c r="M836" s="9"/>
      <x:c r="N836" s="9"/>
      <x:c r="O836" s="9" t="str">
        <x:v>Build the listed two-object scene and save a first-frame filename.</x:v>
      </x:c>
      <x:c r="P836" s="9" t="str">
        <x:v>Primary missing cell. Training episode 1086 contains the same target trajectory but masks the size word with a direct identity prompt.</x:v>
      </x:c>
      <x:c r="Q836" s="9"/>
      <x:c r="R836" s="10" t="n">
        <x:v>2</x:v>
      </x:c>
      <x:c r="S836" s="10"/>
      <x:c r="T836" s="9"/>
      <x:c r="U836" s="9"/>
      <x:c r="V836" s="9"/>
      <x:c r="W836" s="9"/>
      <x:c r="X836" s="10"/>
      <x:c r="Y836" s="10"/>
      <x:c r="Z836" s="9"/>
      <x:c r="AA836" s="9"/>
      <x:c r="AB836" s="9"/>
      <x:c r="AC836" s="9"/>
      <x:c r="AD836" s="9" t="str">
        <x:v>green block</x:v>
      </x:c>
      <x:c r="AE836" s="9"/>
      <x:c r="AF836" s="9"/>
      <x:c r="AG836" s="9"/>
      <x:c r="AH836" s="9" t="str">
        <x:v>Left</x:v>
      </x:c>
      <x:c r="AI836" s="11" t="n">
        <x:v>8</x:v>
      </x:c>
      <x:c r="AJ836" s="9" t="str">
        <x:v>Held-out largest × green block — Move</x:v>
      </x:c>
      <x:c r="AK836" s="9" t="str">
        <x:v>Eval_Size_Recognition (1).xlsm</x:v>
      </x:c>
      <x:c r="AL836" s="9" t="str">
        <x:v>GR00T vision-only Results</x:v>
      </x:c>
      <x:c r="AM836" s="9" t="n">
        <x:v>66</x:v>
      </x:c>
      <x:c r="AN836" s="9" t="n">
        <x:v>66</x:v>
      </x:c>
    </x:row>
    <x:row r="837">
      <x:c r="A837" s="9" t="str">
        <x:v>Success</x:v>
      </x:c>
      <x:c r="B837" s="9" t="str">
        <x:v>Size Recognition</x:v>
      </x:c>
      <x:c r="C837" s="10" t="n">
        <x:v>65</x:v>
      </x:c>
      <x:c r="D837" s="9" t="str">
        <x:v>Put the green block in the bowl.</x:v>
      </x:c>
      <x:c r="E837" s="9" t="str">
        <x:v>Bowl: empty. Table, robot-left→robot-right: P1 green block; P2 red pencil sharpener. Adjacent centers 8 cm apart; row shifted 4 cm toward robot-left; all objects fully visible and grasp paths clear.</x:v>
      </x:c>
      <x:c r="F837" s="9" t="str">
        <x:v>MOVE green block to bowl</x:v>
      </x:c>
      <x:c r="G837" s="9"/>
      <x:c r="H837" s="9" t="str">
        <x:v>Matched manipulation control</x:v>
      </x:c>
      <x:c r="I837" s="9" t="str">
        <x:v>SZ-CT-LG07</x:v>
      </x:c>
      <x:c r="J837" s="9" t="str">
        <x:v>Direct</x:v>
      </x:c>
      <x:c r="K837" s="9" t="n">
        <x:v>64</x:v>
      </x:c>
      <x:c r="L837" s="9" t="str">
        <x:v>1076</x:v>
      </x:c>
      <x:c r="M837" s="9"/>
      <x:c r="N837" s="9"/>
      <x:c r="O837" s="9" t="str">
        <x:v>Reset the target to its original pose; change only the prompt.</x:v>
      </x:c>
      <x:c r="P837" s="9" t="str">
        <x:v>Exact-scene control using a direct prompt supported by training episode 1076.</x:v>
      </x:c>
      <x:c r="Q837" s="9"/>
      <x:c r="R837" s="10" t="n">
        <x:v>2</x:v>
      </x:c>
      <x:c r="S837" s="10"/>
      <x:c r="T837" s="9"/>
      <x:c r="U837" s="9"/>
      <x:c r="V837" s="9"/>
      <x:c r="W837" s="9"/>
      <x:c r="X837" s="10"/>
      <x:c r="Y837" s="10"/>
      <x:c r="Z837" s="9"/>
      <x:c r="AA837" s="9"/>
      <x:c r="AB837" s="9"/>
      <x:c r="AC837" s="9"/>
      <x:c r="AD837" s="9" t="str">
        <x:v>green block</x:v>
      </x:c>
      <x:c r="AE837" s="9"/>
      <x:c r="AF837" s="9"/>
      <x:c r="AG837" s="9"/>
      <x:c r="AH837" s="9" t="str">
        <x:v>Left</x:v>
      </x:c>
      <x:c r="AI837" s="11" t="n">
        <x:v>8</x:v>
      </x:c>
      <x:c r="AJ837" s="9" t="str">
        <x:v>Same-scene direct target control</x:v>
      </x:c>
      <x:c r="AK837" s="9" t="str">
        <x:v>Eval_Size_Recognition (1).xlsm</x:v>
      </x:c>
      <x:c r="AL837" s="9" t="str">
        <x:v>GR00T vision-only Results</x:v>
      </x:c>
      <x:c r="AM837" s="9" t="n">
        <x:v>67</x:v>
      </x:c>
      <x:c r="AN837" s="9" t="n">
        <x:v>67</x:v>
      </x:c>
    </x:row>
    <x:row r="838">
      <x:c r="A838" s="9" t="str">
        <x:v>Success</x:v>
      </x:c>
      <x:c r="B838" s="9" t="str">
        <x:v>Size Recognition</x:v>
      </x:c>
      <x:c r="C838" s="10" t="n">
        <x:v>66</x:v>
      </x:c>
      <x:c r="D838" s="9" t="str">
        <x:v>Pick up the smallest item and place it in the bowl.</x:v>
      </x:c>
      <x:c r="E838" s="9" t="str">
        <x:v>Bowl: empty. Table, robot-left→robot-right: P1 crushed Pepsi can; P2 juggling ball. Adjacent centers 12 cm apart; row shifted 4 cm toward the robot; all objects fully visible and grasp paths clear.</x:v>
      </x:c>
      <x:c r="F838" s="9" t="str">
        <x:v>MOVE juggling ball to bowl</x:v>
      </x:c>
      <x:c r="G838" s="9"/>
      <x:c r="H838" s="9" t="str">
        <x:v>Concept/compositional transfer</x:v>
      </x:c>
      <x:c r="I838" s="9" t="str">
        <x:v>SZ-CT-SJ07</x:v>
      </x:c>
      <x:c r="J838" s="9" t="str">
        <x:v>smallest</x:v>
      </x:c>
      <x:c r="K838" s="9"/>
      <x:c r="L838" s="9" t="str">
        <x:v>1111</x:v>
      </x:c>
      <x:c r="M838" s="9"/>
      <x:c r="N838" s="9"/>
      <x:c r="O838" s="9" t="str">
        <x:v>Build the listed two-object scene and save a first-frame filename.</x:v>
      </x:c>
      <x:c r="P838" s="9" t="str">
        <x:v>Primary missing cell. Training episode 1111 contains the same target trajectory but masks the size word with a direct identity prompt.</x:v>
      </x:c>
      <x:c r="Q838" s="9"/>
      <x:c r="R838" s="10" t="n">
        <x:v>2</x:v>
      </x:c>
      <x:c r="S838" s="10"/>
      <x:c r="T838" s="9"/>
      <x:c r="U838" s="9"/>
      <x:c r="V838" s="9"/>
      <x:c r="W838" s="9"/>
      <x:c r="X838" s="10"/>
      <x:c r="Y838" s="10"/>
      <x:c r="Z838" s="9"/>
      <x:c r="AA838" s="9"/>
      <x:c r="AB838" s="9"/>
      <x:c r="AC838" s="9"/>
      <x:c r="AD838" s="9" t="str">
        <x:v>juggling ball</x:v>
      </x:c>
      <x:c r="AE838" s="9"/>
      <x:c r="AF838" s="9"/>
      <x:c r="AG838" s="9"/>
      <x:c r="AH838" s="9" t="str">
        <x:v>Right</x:v>
      </x:c>
      <x:c r="AI838" s="11" t="n">
        <x:v>12</x:v>
      </x:c>
      <x:c r="AJ838" s="9" t="str">
        <x:v>Held-out smallest × juggling ball — Pick up</x:v>
      </x:c>
      <x:c r="AK838" s="9" t="str">
        <x:v>Eval_Size_Recognition (1).xlsm</x:v>
      </x:c>
      <x:c r="AL838" s="9" t="str">
        <x:v>GR00T vision-only Results</x:v>
      </x:c>
      <x:c r="AM838" s="9" t="n">
        <x:v>68</x:v>
      </x:c>
      <x:c r="AN838" s="9" t="n">
        <x:v>68</x:v>
      </x:c>
    </x:row>
    <x:row r="839">
      <x:c r="A839" s="9" t="str">
        <x:v>Success</x:v>
      </x:c>
      <x:c r="B839" s="9" t="str">
        <x:v>Size Recognition</x:v>
      </x:c>
      <x:c r="C839" s="10" t="n">
        <x:v>67</x:v>
      </x:c>
      <x:c r="D839" s="9" t="str">
        <x:v>Put the juggling ball in the bowl.</x:v>
      </x:c>
      <x:c r="E839" s="9" t="str">
        <x:v>Bowl: empty. Table, robot-left→robot-right: P1 crushed Pepsi can; P2 juggling ball. Adjacent centers 12 cm apart; row shifted 4 cm toward the robot; all objects fully visible and grasp paths clear.</x:v>
      </x:c>
      <x:c r="F839" s="9" t="str">
        <x:v>MOVE juggling ball to bowl</x:v>
      </x:c>
      <x:c r="G839" s="9"/>
      <x:c r="H839" s="9" t="str">
        <x:v>Matched manipulation control</x:v>
      </x:c>
      <x:c r="I839" s="9" t="str">
        <x:v>SZ-CT-SJ07</x:v>
      </x:c>
      <x:c r="J839" s="9" t="str">
        <x:v>Direct</x:v>
      </x:c>
      <x:c r="K839" s="9" t="n">
        <x:v>66</x:v>
      </x:c>
      <x:c r="L839" s="9" t="str">
        <x:v>1101</x:v>
      </x:c>
      <x:c r="M839" s="9"/>
      <x:c r="N839" s="9"/>
      <x:c r="O839" s="9" t="str">
        <x:v>Reset the target to its original pose; change only the prompt.</x:v>
      </x:c>
      <x:c r="P839" s="9" t="str">
        <x:v>Exact-scene control using a direct prompt supported by training episode 1101.</x:v>
      </x:c>
      <x:c r="Q839" s="9"/>
      <x:c r="R839" s="10" t="n">
        <x:v>2</x:v>
      </x:c>
      <x:c r="S839" s="10"/>
      <x:c r="T839" s="9"/>
      <x:c r="U839" s="9"/>
      <x:c r="V839" s="9"/>
      <x:c r="W839" s="9"/>
      <x:c r="X839" s="10"/>
      <x:c r="Y839" s="10"/>
      <x:c r="Z839" s="9"/>
      <x:c r="AA839" s="9"/>
      <x:c r="AB839" s="9"/>
      <x:c r="AC839" s="9"/>
      <x:c r="AD839" s="9" t="str">
        <x:v>juggling ball</x:v>
      </x:c>
      <x:c r="AE839" s="9"/>
      <x:c r="AF839" s="9"/>
      <x:c r="AG839" s="9"/>
      <x:c r="AH839" s="9" t="str">
        <x:v>Right</x:v>
      </x:c>
      <x:c r="AI839" s="11" t="n">
        <x:v>12</x:v>
      </x:c>
      <x:c r="AJ839" s="9" t="str">
        <x:v>Same-scene direct target control</x:v>
      </x:c>
      <x:c r="AK839" s="9" t="str">
        <x:v>Eval_Size_Recognition (1).xlsm</x:v>
      </x:c>
      <x:c r="AL839" s="9" t="str">
        <x:v>GR00T vision-only Results</x:v>
      </x:c>
      <x:c r="AM839" s="9" t="n">
        <x:v>69</x:v>
      </x:c>
      <x:c r="AN839" s="9" t="n">
        <x:v>69</x:v>
      </x:c>
    </x:row>
    <x:row r="840">
      <x:c r="A840" s="9" t="str">
        <x:v>Failure</x:v>
      </x:c>
      <x:c r="B840" s="9" t="str">
        <x:v>Size Recognition</x:v>
      </x:c>
      <x:c r="C840" s="10" t="n">
        <x:v>68</x:v>
      </x:c>
      <x:c r="D840" s="9" t="str">
        <x:v>Pick up the largest item and place it in the bowl.</x:v>
      </x:c>
      <x:c r="E840" s="9" t="str">
        <x:v>Bowl: empty. Table, robot-left→robot-right: P1 red pencil sharpener; P2 green block. Adjacent centers 12 cm apart; row shifted 4 cm toward robot-right; all objects fully visible and grasp paths clear.</x:v>
      </x:c>
      <x:c r="F840" s="9" t="str">
        <x:v>MOVE green block to bowl</x:v>
      </x:c>
      <x:c r="G840" s="9" t="str">
        <x:v>successfull reasoning; failed grasping and knocked the block out of range.</x:v>
      </x:c>
      <x:c r="H840" s="9" t="str">
        <x:v>Concept/compositional transfer</x:v>
      </x:c>
      <x:c r="I840" s="9" t="str">
        <x:v>SZ-CT-LG08</x:v>
      </x:c>
      <x:c r="J840" s="9" t="str">
        <x:v>largest</x:v>
      </x:c>
      <x:c r="K840" s="9"/>
      <x:c r="L840" s="9" t="str">
        <x:v>1087</x:v>
      </x:c>
      <x:c r="M840" s="9"/>
      <x:c r="N840" s="9"/>
      <x:c r="O840" s="9" t="str">
        <x:v>Build the listed two-object scene and save a first-frame filename.</x:v>
      </x:c>
      <x:c r="P840" s="9" t="str">
        <x:v>Primary missing cell. Training episode 1087 contains the same target trajectory but masks the size word with a direct identity prompt.</x:v>
      </x:c>
      <x:c r="Q840" s="9"/>
      <x:c r="R840" s="10" t="n">
        <x:v>2</x:v>
      </x:c>
      <x:c r="S840" s="10"/>
      <x:c r="T840" s="9"/>
      <x:c r="U840" s="9"/>
      <x:c r="V840" s="9"/>
      <x:c r="W840" s="9"/>
      <x:c r="X840" s="10"/>
      <x:c r="Y840" s="10"/>
      <x:c r="Z840" s="9"/>
      <x:c r="AA840" s="9"/>
      <x:c r="AB840" s="9"/>
      <x:c r="AC840" s="9"/>
      <x:c r="AD840" s="9" t="str">
        <x:v>green block</x:v>
      </x:c>
      <x:c r="AE840" s="9"/>
      <x:c r="AF840" s="9"/>
      <x:c r="AG840" s="9"/>
      <x:c r="AH840" s="9" t="str">
        <x:v>Right</x:v>
      </x:c>
      <x:c r="AI840" s="11" t="n">
        <x:v>12</x:v>
      </x:c>
      <x:c r="AJ840" s="9" t="str">
        <x:v>Held-out largest × green block — Pick up</x:v>
      </x:c>
      <x:c r="AK840" s="9" t="str">
        <x:v>Eval_Size_Recognition (1).xlsm</x:v>
      </x:c>
      <x:c r="AL840" s="9" t="str">
        <x:v>GR00T vision-only Results</x:v>
      </x:c>
      <x:c r="AM840" s="9" t="n">
        <x:v>70</x:v>
      </x:c>
      <x:c r="AN840" s="9" t="n">
        <x:v>70</x:v>
      </x:c>
    </x:row>
    <x:row r="841">
      <x:c r="A841" s="9" t="str">
        <x:v>Success</x:v>
      </x:c>
      <x:c r="B841" s="9" t="str">
        <x:v>Size Recognition</x:v>
      </x:c>
      <x:c r="C841" s="10" t="n">
        <x:v>69</x:v>
      </x:c>
      <x:c r="D841" s="9" t="str">
        <x:v>Move the green block into the bowl.</x:v>
      </x:c>
      <x:c r="E841" s="9" t="str">
        <x:v>Bowl: empty. Table, robot-left→robot-right: P1 red pencil sharpener; P2 green block. Adjacent centers 12 cm apart; row shifted 4 cm toward robot-right; all objects fully visible and grasp paths clear.</x:v>
      </x:c>
      <x:c r="F841" s="9" t="str">
        <x:v>MOVE green block to bowl</x:v>
      </x:c>
      <x:c r="G841" s="9"/>
      <x:c r="H841" s="9" t="str">
        <x:v>Matched manipulation control</x:v>
      </x:c>
      <x:c r="I841" s="9" t="str">
        <x:v>SZ-CT-LG08</x:v>
      </x:c>
      <x:c r="J841" s="9" t="str">
        <x:v>Direct</x:v>
      </x:c>
      <x:c r="K841" s="9" t="n">
        <x:v>68</x:v>
      </x:c>
      <x:c r="L841" s="9" t="str">
        <x:v>1077</x:v>
      </x:c>
      <x:c r="M841" s="9"/>
      <x:c r="N841" s="9"/>
      <x:c r="O841" s="9" t="str">
        <x:v>Reset the target to its original pose; change only the prompt.</x:v>
      </x:c>
      <x:c r="P841" s="9" t="str">
        <x:v>Exact-scene control using a direct prompt supported by training episode 1077.</x:v>
      </x:c>
      <x:c r="Q841" s="9"/>
      <x:c r="R841" s="10" t="n">
        <x:v>2</x:v>
      </x:c>
      <x:c r="S841" s="10"/>
      <x:c r="T841" s="9"/>
      <x:c r="U841" s="9"/>
      <x:c r="V841" s="9"/>
      <x:c r="W841" s="9"/>
      <x:c r="X841" s="10"/>
      <x:c r="Y841" s="10"/>
      <x:c r="Z841" s="9"/>
      <x:c r="AA841" s="9"/>
      <x:c r="AB841" s="9"/>
      <x:c r="AC841" s="9"/>
      <x:c r="AD841" s="9" t="str">
        <x:v>green block</x:v>
      </x:c>
      <x:c r="AE841" s="9"/>
      <x:c r="AF841" s="9"/>
      <x:c r="AG841" s="9"/>
      <x:c r="AH841" s="9" t="str">
        <x:v>Right</x:v>
      </x:c>
      <x:c r="AI841" s="11" t="n">
        <x:v>12</x:v>
      </x:c>
      <x:c r="AJ841" s="9" t="str">
        <x:v>Same-scene direct target control</x:v>
      </x:c>
      <x:c r="AK841" s="9" t="str">
        <x:v>Eval_Size_Recognition (1).xlsm</x:v>
      </x:c>
      <x:c r="AL841" s="9" t="str">
        <x:v>GR00T vision-only Results</x:v>
      </x:c>
      <x:c r="AM841" s="9" t="n">
        <x:v>71</x:v>
      </x:c>
      <x:c r="AN841" s="9" t="n">
        <x:v>71</x:v>
      </x:c>
    </x:row>
    <x:row r="842">
      <x:c r="A842" s="9" t="str">
        <x:v>Failure</x:v>
      </x:c>
      <x:c r="B842" s="9" t="str">
        <x:v>Size Recognition</x:v>
      </x:c>
      <x:c r="C842" s="10" t="n">
        <x:v>70</x:v>
      </x:c>
      <x:c r="D842" s="9" t="str">
        <x:v>Put the smallest object in the bowl.</x:v>
      </x:c>
      <x:c r="E842" s="9" t="str">
        <x:v>Bowl: empty. Table, robot-left→robot-right: P1 juggling ball; P2 crushed Pepsi can. Adjacent centers 16 cm apart; row shifted 4 cm away from the robot; all objects fully visible and grasp paths clear.</x:v>
      </x:c>
      <x:c r="F842" s="9" t="str">
        <x:v>MOVE juggling ball to bowl</x:v>
      </x:c>
      <x:c r="G842" s="9" t="str">
        <x:v>went to pepsi can with wrong gripping strategy; froze up once it got there; slowly drifted to the right edge of the workspace</x:v>
      </x:c>
      <x:c r="H842" s="9" t="str">
        <x:v>Concept/compositional transfer</x:v>
      </x:c>
      <x:c r="I842" s="9" t="str">
        <x:v>SZ-CT-SJ08</x:v>
      </x:c>
      <x:c r="J842" s="9" t="str">
        <x:v>smallest</x:v>
      </x:c>
      <x:c r="K842" s="9"/>
      <x:c r="L842" s="9" t="str">
        <x:v>1112</x:v>
      </x:c>
      <x:c r="M842" s="9"/>
      <x:c r="N842" s="9"/>
      <x:c r="O842" s="9" t="str">
        <x:v>Build the listed two-object scene and save a first-frame filename.</x:v>
      </x:c>
      <x:c r="P842" s="9" t="str">
        <x:v>Primary missing cell. Training episode 1112 contains the same target trajectory but masks the size word with a direct identity prompt.</x:v>
      </x:c>
      <x:c r="Q842" s="9"/>
      <x:c r="R842" s="10" t="n">
        <x:v>2</x:v>
      </x:c>
      <x:c r="S842" s="10"/>
      <x:c r="T842" s="9"/>
      <x:c r="U842" s="9"/>
      <x:c r="V842" s="9"/>
      <x:c r="W842" s="9"/>
      <x:c r="X842" s="10"/>
      <x:c r="Y842" s="10"/>
      <x:c r="Z842" s="9"/>
      <x:c r="AA842" s="9"/>
      <x:c r="AB842" s="9"/>
      <x:c r="AC842" s="9"/>
      <x:c r="AD842" s="9" t="str">
        <x:v>juggling ball</x:v>
      </x:c>
      <x:c r="AE842" s="9"/>
      <x:c r="AF842" s="9"/>
      <x:c r="AG842" s="9"/>
      <x:c r="AH842" s="9" t="str">
        <x:v>Left</x:v>
      </x:c>
      <x:c r="AI842" s="11" t="n">
        <x:v>16</x:v>
      </x:c>
      <x:c r="AJ842" s="9" t="str">
        <x:v>Held-out smallest × juggling ball — Put</x:v>
      </x:c>
      <x:c r="AK842" s="9" t="str">
        <x:v>Eval_Size_Recognition (1).xlsm</x:v>
      </x:c>
      <x:c r="AL842" s="9" t="str">
        <x:v>GR00T vision-only Results</x:v>
      </x:c>
      <x:c r="AM842" s="9" t="n">
        <x:v>72</x:v>
      </x:c>
      <x:c r="AN842" s="9" t="n">
        <x:v>72</x:v>
      </x:c>
    </x:row>
    <x:row r="843">
      <x:c r="A843" s="9" t="str">
        <x:v>Success</x:v>
      </x:c>
      <x:c r="B843" s="9" t="str">
        <x:v>Size Recognition</x:v>
      </x:c>
      <x:c r="C843" s="10" t="n">
        <x:v>71</x:v>
      </x:c>
      <x:c r="D843" s="9" t="str">
        <x:v>Move the juggling ball into the bowl.</x:v>
      </x:c>
      <x:c r="E843" s="9" t="str">
        <x:v>Bowl: empty. Table, robot-left→robot-right: P1 juggling ball; P2 crushed Pepsi can. Adjacent centers 16 cm apart; row shifted 4 cm away from the robot; all objects fully visible and grasp paths clear.</x:v>
      </x:c>
      <x:c r="F843" s="9" t="str">
        <x:v>MOVE juggling ball to bowl</x:v>
      </x:c>
      <x:c r="G843" s="9"/>
      <x:c r="H843" s="9" t="str">
        <x:v>Matched manipulation control</x:v>
      </x:c>
      <x:c r="I843" s="9" t="str">
        <x:v>SZ-CT-SJ08</x:v>
      </x:c>
      <x:c r="J843" s="9" t="str">
        <x:v>Direct</x:v>
      </x:c>
      <x:c r="K843" s="9" t="n">
        <x:v>70</x:v>
      </x:c>
      <x:c r="L843" s="9" t="str">
        <x:v>1102</x:v>
      </x:c>
      <x:c r="M843" s="9"/>
      <x:c r="N843" s="9"/>
      <x:c r="O843" s="9" t="str">
        <x:v>Reset the target to its original pose; change only the prompt.</x:v>
      </x:c>
      <x:c r="P843" s="9" t="str">
        <x:v>Exact-scene control using a direct prompt supported by training episode 1102.</x:v>
      </x:c>
      <x:c r="Q843" s="9"/>
      <x:c r="R843" s="10" t="n">
        <x:v>2</x:v>
      </x:c>
      <x:c r="S843" s="10"/>
      <x:c r="T843" s="9"/>
      <x:c r="U843" s="9"/>
      <x:c r="V843" s="9"/>
      <x:c r="W843" s="9"/>
      <x:c r="X843" s="10"/>
      <x:c r="Y843" s="10"/>
      <x:c r="Z843" s="9"/>
      <x:c r="AA843" s="9"/>
      <x:c r="AB843" s="9"/>
      <x:c r="AC843" s="9"/>
      <x:c r="AD843" s="9" t="str">
        <x:v>juggling ball</x:v>
      </x:c>
      <x:c r="AE843" s="9"/>
      <x:c r="AF843" s="9"/>
      <x:c r="AG843" s="9"/>
      <x:c r="AH843" s="9" t="str">
        <x:v>Left</x:v>
      </x:c>
      <x:c r="AI843" s="11" t="n">
        <x:v>16</x:v>
      </x:c>
      <x:c r="AJ843" s="9" t="str">
        <x:v>Same-scene direct target control</x:v>
      </x:c>
      <x:c r="AK843" s="9" t="str">
        <x:v>Eval_Size_Recognition (1).xlsm</x:v>
      </x:c>
      <x:c r="AL843" s="9" t="str">
        <x:v>GR00T vision-only Results</x:v>
      </x:c>
      <x:c r="AM843" s="9" t="n">
        <x:v>73</x:v>
      </x:c>
      <x:c r="AN843" s="9" t="n">
        <x:v>73</x:v>
      </x:c>
    </x:row>
    <x:row r="844">
      <x:c r="A844" s="9" t="str">
        <x:v>Success</x:v>
      </x:c>
      <x:c r="B844" s="9" t="str">
        <x:v>Size Recognition</x:v>
      </x:c>
      <x:c r="C844" s="10" t="n">
        <x:v>72</x:v>
      </x:c>
      <x:c r="D844" s="9" t="str">
        <x:v>Put the largest object in the bowl.</x:v>
      </x:c>
      <x:c r="E844" s="9" t="str">
        <x:v>Bowl: empty. Table, robot-left→robot-right: P1 green block; P2 red pencil sharpener. Adjacent centers 16 cm apart; row shifted 4 cm toward the robot; all objects fully visible and grasp paths clear.</x:v>
      </x:c>
      <x:c r="F844" s="9" t="str">
        <x:v>MOVE green block to bowl</x:v>
      </x:c>
      <x:c r="G844" s="9"/>
      <x:c r="H844" s="9" t="str">
        <x:v>Concept/compositional transfer</x:v>
      </x:c>
      <x:c r="I844" s="9" t="str">
        <x:v>SZ-CT-LG09</x:v>
      </x:c>
      <x:c r="J844" s="9" t="str">
        <x:v>largest</x:v>
      </x:c>
      <x:c r="K844" s="9"/>
      <x:c r="L844" s="9" t="str">
        <x:v>1088</x:v>
      </x:c>
      <x:c r="M844" s="9"/>
      <x:c r="N844" s="9"/>
      <x:c r="O844" s="9" t="str">
        <x:v>Build the listed two-object scene and save a first-frame filename.</x:v>
      </x:c>
      <x:c r="P844" s="9" t="str">
        <x:v>Primary missing cell. Training episode 1088 contains the same target trajectory but masks the size word with a direct identity prompt.</x:v>
      </x:c>
      <x:c r="Q844" s="9"/>
      <x:c r="R844" s="10" t="n">
        <x:v>2</x:v>
      </x:c>
      <x:c r="S844" s="10"/>
      <x:c r="T844" s="9"/>
      <x:c r="U844" s="9"/>
      <x:c r="V844" s="9"/>
      <x:c r="W844" s="9"/>
      <x:c r="X844" s="10"/>
      <x:c r="Y844" s="10"/>
      <x:c r="Z844" s="9"/>
      <x:c r="AA844" s="9"/>
      <x:c r="AB844" s="9"/>
      <x:c r="AC844" s="9"/>
      <x:c r="AD844" s="9" t="str">
        <x:v>green block</x:v>
      </x:c>
      <x:c r="AE844" s="9"/>
      <x:c r="AF844" s="9"/>
      <x:c r="AG844" s="9"/>
      <x:c r="AH844" s="9" t="str">
        <x:v>Left</x:v>
      </x:c>
      <x:c r="AI844" s="11" t="n">
        <x:v>16</x:v>
      </x:c>
      <x:c r="AJ844" s="9" t="str">
        <x:v>Held-out largest × green block — Put</x:v>
      </x:c>
      <x:c r="AK844" s="9" t="str">
        <x:v>Eval_Size_Recognition (1).xlsm</x:v>
      </x:c>
      <x:c r="AL844" s="9" t="str">
        <x:v>GR00T vision-only Results</x:v>
      </x:c>
      <x:c r="AM844" s="9" t="n">
        <x:v>74</x:v>
      </x:c>
      <x:c r="AN844" s="9" t="n">
        <x:v>74</x:v>
      </x:c>
    </x:row>
    <x:row r="845">
      <x:c r="A845" s="9" t="str">
        <x:v>Success</x:v>
      </x:c>
      <x:c r="B845" s="9" t="str">
        <x:v>Size Recognition</x:v>
      </x:c>
      <x:c r="C845" s="10" t="n">
        <x:v>73</x:v>
      </x:c>
      <x:c r="D845" s="9" t="str">
        <x:v>Pick up the green block and place it in the bowl.</x:v>
      </x:c>
      <x:c r="E845" s="9" t="str">
        <x:v>Bowl: empty. Table, robot-left→robot-right: P1 green block; P2 red pencil sharpener. Adjacent centers 16 cm apart; row shifted 4 cm toward the robot; all objects fully visible and grasp paths clear.</x:v>
      </x:c>
      <x:c r="F845" s="9" t="str">
        <x:v>MOVE green block to bowl</x:v>
      </x:c>
      <x:c r="G845" s="9"/>
      <x:c r="H845" s="9" t="str">
        <x:v>Matched manipulation control</x:v>
      </x:c>
      <x:c r="I845" s="9" t="str">
        <x:v>SZ-CT-LG09</x:v>
      </x:c>
      <x:c r="J845" s="9" t="str">
        <x:v>Direct</x:v>
      </x:c>
      <x:c r="K845" s="9" t="n">
        <x:v>72</x:v>
      </x:c>
      <x:c r="L845" s="9" t="str">
        <x:v>1078</x:v>
      </x:c>
      <x:c r="M845" s="9"/>
      <x:c r="N845" s="9"/>
      <x:c r="O845" s="9" t="str">
        <x:v>Reset the target to its original pose; change only the prompt.</x:v>
      </x:c>
      <x:c r="P845" s="9" t="str">
        <x:v>Exact-scene control using a direct prompt supported by training episode 1078.</x:v>
      </x:c>
      <x:c r="Q845" s="9"/>
      <x:c r="R845" s="10" t="n">
        <x:v>2</x:v>
      </x:c>
      <x:c r="S845" s="10"/>
      <x:c r="T845" s="9"/>
      <x:c r="U845" s="9"/>
      <x:c r="V845" s="9"/>
      <x:c r="W845" s="9"/>
      <x:c r="X845" s="10"/>
      <x:c r="Y845" s="10"/>
      <x:c r="Z845" s="9"/>
      <x:c r="AA845" s="9"/>
      <x:c r="AB845" s="9"/>
      <x:c r="AC845" s="9"/>
      <x:c r="AD845" s="9" t="str">
        <x:v>green block</x:v>
      </x:c>
      <x:c r="AE845" s="9"/>
      <x:c r="AF845" s="9"/>
      <x:c r="AG845" s="9"/>
      <x:c r="AH845" s="9" t="str">
        <x:v>Left</x:v>
      </x:c>
      <x:c r="AI845" s="11" t="n">
        <x:v>16</x:v>
      </x:c>
      <x:c r="AJ845" s="9" t="str">
        <x:v>Same-scene direct target control</x:v>
      </x:c>
      <x:c r="AK845" s="9" t="str">
        <x:v>Eval_Size_Recognition (1).xlsm</x:v>
      </x:c>
      <x:c r="AL845" s="9" t="str">
        <x:v>GR00T vision-only Results</x:v>
      </x:c>
      <x:c r="AM845" s="9" t="n">
        <x:v>75</x:v>
      </x:c>
      <x:c r="AN845" s="9" t="n">
        <x:v>75</x:v>
      </x:c>
    </x:row>
    <x:row r="846">
      <x:c r="A846" s="9" t="str">
        <x:v>Success</x:v>
      </x:c>
      <x:c r="B846" s="9" t="str">
        <x:v>Size Recognition</x:v>
      </x:c>
      <x:c r="C846" s="10" t="n">
        <x:v>74</x:v>
      </x:c>
      <x:c r="D846" s="9" t="str">
        <x:v>Move the object that is smallest into the bowl.</x:v>
      </x:c>
      <x:c r="E846" s="9" t="str">
        <x:v>Bowl: empty. Table, robot-left→robot-right: P1 crushed Pepsi can; P2 juggling ball. Adjacent centers 8 cm apart; row centered on the workspace; all objects fully visible and grasp paths clear.</x:v>
      </x:c>
      <x:c r="F846" s="9" t="str">
        <x:v>MOVE juggling ball to bowl</x:v>
      </x:c>
      <x:c r="G846" s="9"/>
      <x:c r="H846" s="9" t="str">
        <x:v>Concept/compositional transfer</x:v>
      </x:c>
      <x:c r="I846" s="9" t="str">
        <x:v>SZ-CT-SJ09</x:v>
      </x:c>
      <x:c r="J846" s="9" t="str">
        <x:v>smallest</x:v>
      </x:c>
      <x:c r="K846" s="9"/>
      <x:c r="L846" s="9" t="str">
        <x:v>1113</x:v>
      </x:c>
      <x:c r="M846" s="9"/>
      <x:c r="N846" s="9"/>
      <x:c r="O846" s="9" t="str">
        <x:v>Build the listed two-object scene and save a first-frame filename.</x:v>
      </x:c>
      <x:c r="P846" s="9" t="str">
        <x:v>Primary missing cell. Training episode 1113 contains the same target trajectory but masks the size word with a direct identity prompt.</x:v>
      </x:c>
      <x:c r="Q846" s="9"/>
      <x:c r="R846" s="10" t="n">
        <x:v>2</x:v>
      </x:c>
      <x:c r="S846" s="10"/>
      <x:c r="T846" s="9"/>
      <x:c r="U846" s="9"/>
      <x:c r="V846" s="9"/>
      <x:c r="W846" s="9"/>
      <x:c r="X846" s="10"/>
      <x:c r="Y846" s="10"/>
      <x:c r="Z846" s="9"/>
      <x:c r="AA846" s="9"/>
      <x:c r="AB846" s="9"/>
      <x:c r="AC846" s="9"/>
      <x:c r="AD846" s="9" t="str">
        <x:v>juggling ball</x:v>
      </x:c>
      <x:c r="AE846" s="9"/>
      <x:c r="AF846" s="9"/>
      <x:c r="AG846" s="9"/>
      <x:c r="AH846" s="9" t="str">
        <x:v>Right</x:v>
      </x:c>
      <x:c r="AI846" s="11" t="n">
        <x:v>8</x:v>
      </x:c>
      <x:c r="AJ846" s="9" t="str">
        <x:v>Held-out smallest × juggling ball — Move</x:v>
      </x:c>
      <x:c r="AK846" s="9" t="str">
        <x:v>Eval_Size_Recognition (1).xlsm</x:v>
      </x:c>
      <x:c r="AL846" s="9" t="str">
        <x:v>GR00T vision-only Results</x:v>
      </x:c>
      <x:c r="AM846" s="9" t="n">
        <x:v>76</x:v>
      </x:c>
      <x:c r="AN846" s="9" t="n">
        <x:v>76</x:v>
      </x:c>
    </x:row>
    <x:row r="847">
      <x:c r="A847" s="9" t="str">
        <x:v>Success</x:v>
      </x:c>
      <x:c r="B847" s="9" t="str">
        <x:v>Size Recognition</x:v>
      </x:c>
      <x:c r="C847" s="10" t="n">
        <x:v>75</x:v>
      </x:c>
      <x:c r="D847" s="9" t="str">
        <x:v>Pick up the juggling ball and place it in the bowl.</x:v>
      </x:c>
      <x:c r="E847" s="9" t="str">
        <x:v>Bowl: empty. Table, robot-left→robot-right: P1 crushed Pepsi can; P2 juggling ball. Adjacent centers 8 cm apart; row centered on the workspace; all objects fully visible and grasp paths clear.</x:v>
      </x:c>
      <x:c r="F847" s="9" t="str">
        <x:v>MOVE juggling ball to bowl</x:v>
      </x:c>
      <x:c r="G847" s="9"/>
      <x:c r="H847" s="9" t="str">
        <x:v>Matched manipulation control</x:v>
      </x:c>
      <x:c r="I847" s="9" t="str">
        <x:v>SZ-CT-SJ09</x:v>
      </x:c>
      <x:c r="J847" s="9" t="str">
        <x:v>Direct</x:v>
      </x:c>
      <x:c r="K847" s="9" t="n">
        <x:v>74</x:v>
      </x:c>
      <x:c r="L847" s="9" t="str">
        <x:v>1103</x:v>
      </x:c>
      <x:c r="M847" s="9"/>
      <x:c r="N847" s="9"/>
      <x:c r="O847" s="9" t="str">
        <x:v>Reset the target to its original pose; change only the prompt.</x:v>
      </x:c>
      <x:c r="P847" s="9" t="str">
        <x:v>Exact-scene control using a direct prompt supported by training episode 1103.</x:v>
      </x:c>
      <x:c r="Q847" s="9"/>
      <x:c r="R847" s="10" t="n">
        <x:v>2</x:v>
      </x:c>
      <x:c r="S847" s="10"/>
      <x:c r="T847" s="9"/>
      <x:c r="U847" s="9"/>
      <x:c r="V847" s="9"/>
      <x:c r="W847" s="9"/>
      <x:c r="X847" s="10"/>
      <x:c r="Y847" s="10"/>
      <x:c r="Z847" s="9"/>
      <x:c r="AA847" s="9"/>
      <x:c r="AB847" s="9"/>
      <x:c r="AC847" s="9"/>
      <x:c r="AD847" s="9" t="str">
        <x:v>juggling ball</x:v>
      </x:c>
      <x:c r="AE847" s="9"/>
      <x:c r="AF847" s="9"/>
      <x:c r="AG847" s="9"/>
      <x:c r="AH847" s="9" t="str">
        <x:v>Right</x:v>
      </x:c>
      <x:c r="AI847" s="11" t="n">
        <x:v>8</x:v>
      </x:c>
      <x:c r="AJ847" s="9" t="str">
        <x:v>Same-scene direct target control</x:v>
      </x:c>
      <x:c r="AK847" s="9" t="str">
        <x:v>Eval_Size_Recognition (1).xlsm</x:v>
      </x:c>
      <x:c r="AL847" s="9" t="str">
        <x:v>GR00T vision-only Results</x:v>
      </x:c>
      <x:c r="AM847" s="9" t="n">
        <x:v>77</x:v>
      </x:c>
      <x:c r="AN847" s="9" t="n">
        <x:v>77</x:v>
      </x:c>
    </x:row>
    <x:row r="848">
      <x:c r="A848" s="9" t="str">
        <x:v>Failure</x:v>
      </x:c>
      <x:c r="B848" s="9" t="str">
        <x:v>Size Recognition</x:v>
      </x:c>
      <x:c r="C848" s="10" t="n">
        <x:v>76</x:v>
      </x:c>
      <x:c r="D848" s="9" t="str">
        <x:v>Move the object that is largest into the bowl.</x:v>
      </x:c>
      <x:c r="E848" s="9" t="str">
        <x:v>Bowl: empty. Table, robot-left→robot-right: P1 red pencil sharpener; P2 green block. Adjacent centers 8 cm apart; row shifted 4 cm away from the robot; all objects fully visible and grasp paths clear.</x:v>
      </x:c>
      <x:c r="F848" s="9" t="str">
        <x:v>MOVE green block to bowl</x:v>
      </x:c>
      <x:c r="G848" s="9" t="str">
        <x:v>succeeded reasoning, but overgripped it that the block flung out; drifted to the right edge of the workspace</x:v>
      </x:c>
      <x:c r="H848" s="9" t="str">
        <x:v>Concept/compositional transfer</x:v>
      </x:c>
      <x:c r="I848" s="9" t="str">
        <x:v>SZ-CT-LG10</x:v>
      </x:c>
      <x:c r="J848" s="9" t="str">
        <x:v>largest</x:v>
      </x:c>
      <x:c r="K848" s="9"/>
      <x:c r="L848" s="9" t="str">
        <x:v>1089</x:v>
      </x:c>
      <x:c r="M848" s="9"/>
      <x:c r="N848" s="9"/>
      <x:c r="O848" s="9" t="str">
        <x:v>Build the listed two-object scene and save a first-frame filename.</x:v>
      </x:c>
      <x:c r="P848" s="9" t="str">
        <x:v>Primary missing cell. Training episode 1089 contains the same target trajectory but masks the size word with a direct identity prompt.</x:v>
      </x:c>
      <x:c r="Q848" s="9"/>
      <x:c r="R848" s="10" t="n">
        <x:v>2</x:v>
      </x:c>
      <x:c r="S848" s="10"/>
      <x:c r="T848" s="9"/>
      <x:c r="U848" s="9"/>
      <x:c r="V848" s="9"/>
      <x:c r="W848" s="9"/>
      <x:c r="X848" s="10"/>
      <x:c r="Y848" s="10"/>
      <x:c r="Z848" s="9"/>
      <x:c r="AA848" s="9"/>
      <x:c r="AB848" s="9"/>
      <x:c r="AC848" s="9"/>
      <x:c r="AD848" s="9" t="str">
        <x:v>green block</x:v>
      </x:c>
      <x:c r="AE848" s="9"/>
      <x:c r="AF848" s="9"/>
      <x:c r="AG848" s="9"/>
      <x:c r="AH848" s="9" t="str">
        <x:v>Right</x:v>
      </x:c>
      <x:c r="AI848" s="11" t="n">
        <x:v>8</x:v>
      </x:c>
      <x:c r="AJ848" s="9" t="str">
        <x:v>Held-out largest × green block — Move</x:v>
      </x:c>
      <x:c r="AK848" s="9" t="str">
        <x:v>Eval_Size_Recognition (1).xlsm</x:v>
      </x:c>
      <x:c r="AL848" s="9" t="str">
        <x:v>GR00T vision-only Results</x:v>
      </x:c>
      <x:c r="AM848" s="9" t="n">
        <x:v>78</x:v>
      </x:c>
      <x:c r="AN848" s="9" t="n">
        <x:v>78</x:v>
      </x:c>
    </x:row>
    <x:row r="849">
      <x:c r="A849" s="9" t="str">
        <x:v>Failure</x:v>
      </x:c>
      <x:c r="B849" s="9" t="str">
        <x:v>Size Recognition</x:v>
      </x:c>
      <x:c r="C849" s="10" t="n">
        <x:v>77</x:v>
      </x:c>
      <x:c r="D849" s="9" t="str">
        <x:v>Put the green block in the bowl.</x:v>
      </x:c>
      <x:c r="E849" s="9" t="str">
        <x:v>Bowl: empty. Table, robot-left→robot-right: P1 red pencil sharpener; P2 green block. Adjacent centers 8 cm apart; row shifted 4 cm away from the robot; all objects fully visible and grasp paths clear.</x:v>
      </x:c>
      <x:c r="F849" s="9" t="str">
        <x:v>MOVE green block to bowl</x:v>
      </x:c>
      <x:c r="G849" s="9" t="str">
        <x:v>gripped it, but didn't move once it was grouped. Also was overgripping a ton</x:v>
      </x:c>
      <x:c r="H849" s="9" t="str">
        <x:v>Matched manipulation control</x:v>
      </x:c>
      <x:c r="I849" s="9" t="str">
        <x:v>SZ-CT-LG10</x:v>
      </x:c>
      <x:c r="J849" s="9" t="str">
        <x:v>Direct</x:v>
      </x:c>
      <x:c r="K849" s="9" t="n">
        <x:v>76</x:v>
      </x:c>
      <x:c r="L849" s="9" t="str">
        <x:v>1079</x:v>
      </x:c>
      <x:c r="M849" s="9"/>
      <x:c r="N849" s="9"/>
      <x:c r="O849" s="9" t="str">
        <x:v>Reset the target to its original pose; change only the prompt.</x:v>
      </x:c>
      <x:c r="P849" s="9" t="str">
        <x:v>Exact-scene control using a direct prompt supported by training episode 1079.</x:v>
      </x:c>
      <x:c r="Q849" s="9"/>
      <x:c r="R849" s="10" t="n">
        <x:v>2</x:v>
      </x:c>
      <x:c r="S849" s="10"/>
      <x:c r="T849" s="9"/>
      <x:c r="U849" s="9"/>
      <x:c r="V849" s="9"/>
      <x:c r="W849" s="9"/>
      <x:c r="X849" s="10"/>
      <x:c r="Y849" s="10"/>
      <x:c r="Z849" s="9"/>
      <x:c r="AA849" s="9"/>
      <x:c r="AB849" s="9"/>
      <x:c r="AC849" s="9"/>
      <x:c r="AD849" s="9" t="str">
        <x:v>green block</x:v>
      </x:c>
      <x:c r="AE849" s="9"/>
      <x:c r="AF849" s="9"/>
      <x:c r="AG849" s="9"/>
      <x:c r="AH849" s="9" t="str">
        <x:v>Right</x:v>
      </x:c>
      <x:c r="AI849" s="11" t="n">
        <x:v>8</x:v>
      </x:c>
      <x:c r="AJ849" s="9" t="str">
        <x:v>Same-scene direct target control</x:v>
      </x:c>
      <x:c r="AK849" s="9" t="str">
        <x:v>Eval_Size_Recognition (1).xlsm</x:v>
      </x:c>
      <x:c r="AL849" s="9" t="str">
        <x:v>GR00T vision-only Results</x:v>
      </x:c>
      <x:c r="AM849" s="9" t="n">
        <x:v>79</x:v>
      </x:c>
      <x:c r="AN849" s="9" t="n">
        <x:v>79</x:v>
      </x:c>
    </x:row>
    <x:row r="850">
      <x:c r="A850" s="9" t="str">
        <x:v>Failure</x:v>
      </x:c>
      <x:c r="B850" s="9" t="str">
        <x:v>Size Recognition</x:v>
      </x:c>
      <x:c r="C850" s="10" t="n">
        <x:v>78</x:v>
      </x:c>
      <x:c r="D850" s="9" t="str">
        <x:v>Pick up the smallest item and place it in the bowl.</x:v>
      </x:c>
      <x:c r="E850" s="9" t="str">
        <x:v>Bowl: empty. Table, robot-left→robot-right: P1 juggling ball; P2 crushed Pepsi can. Adjacent centers 12 cm apart; row shifted 4 cm toward robot-left; all objects fully visible and grasp paths clear.</x:v>
      </x:c>
      <x:c r="F850" s="9" t="str">
        <x:v>MOVE juggling ball to bowl</x:v>
      </x:c>
      <x:c r="G850" s="9" t="str">
        <x:v>went to pepsi can with wrong gripping strategy; couldn't pick it up</x:v>
      </x:c>
      <x:c r="H850" s="9" t="str">
        <x:v>Concept/compositional transfer</x:v>
      </x:c>
      <x:c r="I850" s="9" t="str">
        <x:v>SZ-CT-SJ10</x:v>
      </x:c>
      <x:c r="J850" s="9" t="str">
        <x:v>smallest</x:v>
      </x:c>
      <x:c r="K850" s="9"/>
      <x:c r="L850" s="9" t="str">
        <x:v>1114</x:v>
      </x:c>
      <x:c r="M850" s="9"/>
      <x:c r="N850" s="9"/>
      <x:c r="O850" s="9" t="str">
        <x:v>Build the listed two-object scene and save a first-frame filename.</x:v>
      </x:c>
      <x:c r="P850" s="9" t="str">
        <x:v>Primary missing cell. Training episode 1114 contains the same target trajectory but masks the size word with a direct identity prompt.</x:v>
      </x:c>
      <x:c r="Q850" s="9"/>
      <x:c r="R850" s="10" t="n">
        <x:v>2</x:v>
      </x:c>
      <x:c r="S850" s="10"/>
      <x:c r="T850" s="9"/>
      <x:c r="U850" s="9"/>
      <x:c r="V850" s="9"/>
      <x:c r="W850" s="9"/>
      <x:c r="X850" s="10"/>
      <x:c r="Y850" s="10"/>
      <x:c r="Z850" s="9"/>
      <x:c r="AA850" s="9"/>
      <x:c r="AB850" s="9"/>
      <x:c r="AC850" s="9"/>
      <x:c r="AD850" s="9" t="str">
        <x:v>juggling ball</x:v>
      </x:c>
      <x:c r="AE850" s="9"/>
      <x:c r="AF850" s="9"/>
      <x:c r="AG850" s="9"/>
      <x:c r="AH850" s="9" t="str">
        <x:v>Left</x:v>
      </x:c>
      <x:c r="AI850" s="11" t="n">
        <x:v>12</x:v>
      </x:c>
      <x:c r="AJ850" s="9" t="str">
        <x:v>Held-out smallest × juggling ball — Pick up</x:v>
      </x:c>
      <x:c r="AK850" s="9" t="str">
        <x:v>Eval_Size_Recognition (1).xlsm</x:v>
      </x:c>
      <x:c r="AL850" s="9" t="str">
        <x:v>GR00T vision-only Results</x:v>
      </x:c>
      <x:c r="AM850" s="9" t="n">
        <x:v>80</x:v>
      </x:c>
      <x:c r="AN850" s="9" t="n">
        <x:v>80</x:v>
      </x:c>
    </x:row>
    <x:row r="851">
      <x:c r="A851" s="9" t="str">
        <x:v>Success</x:v>
      </x:c>
      <x:c r="B851" s="9" t="str">
        <x:v>Size Recognition</x:v>
      </x:c>
      <x:c r="C851" s="10" t="n">
        <x:v>79</x:v>
      </x:c>
      <x:c r="D851" s="9" t="str">
        <x:v>Put the juggling ball in the bowl.</x:v>
      </x:c>
      <x:c r="E851" s="9" t="str">
        <x:v>Bowl: empty. Table, robot-left→robot-right: P1 juggling ball; P2 crushed Pepsi can. Adjacent centers 12 cm apart; row shifted 4 cm toward robot-left; all objects fully visible and grasp paths clear.</x:v>
      </x:c>
      <x:c r="F851" s="9" t="str">
        <x:v>MOVE juggling ball to bowl</x:v>
      </x:c>
      <x:c r="G851" s="9"/>
      <x:c r="H851" s="9" t="str">
        <x:v>Matched manipulation control</x:v>
      </x:c>
      <x:c r="I851" s="9" t="str">
        <x:v>SZ-CT-SJ10</x:v>
      </x:c>
      <x:c r="J851" s="9" t="str">
        <x:v>Direct</x:v>
      </x:c>
      <x:c r="K851" s="9" t="n">
        <x:v>78</x:v>
      </x:c>
      <x:c r="L851" s="9" t="str">
        <x:v>1104</x:v>
      </x:c>
      <x:c r="M851" s="9"/>
      <x:c r="N851" s="9"/>
      <x:c r="O851" s="9" t="str">
        <x:v>Reset the target to its original pose; change only the prompt.</x:v>
      </x:c>
      <x:c r="P851" s="9" t="str">
        <x:v>Exact-scene control using a direct prompt supported by training episode 1104.</x:v>
      </x:c>
      <x:c r="Q851" s="9"/>
      <x:c r="R851" s="10" t="n">
        <x:v>2</x:v>
      </x:c>
      <x:c r="S851" s="10"/>
      <x:c r="T851" s="9"/>
      <x:c r="U851" s="9"/>
      <x:c r="V851" s="9"/>
      <x:c r="W851" s="9"/>
      <x:c r="X851" s="10"/>
      <x:c r="Y851" s="10"/>
      <x:c r="Z851" s="9"/>
      <x:c r="AA851" s="9"/>
      <x:c r="AB851" s="9"/>
      <x:c r="AC851" s="9"/>
      <x:c r="AD851" s="9" t="str">
        <x:v>juggling ball</x:v>
      </x:c>
      <x:c r="AE851" s="9"/>
      <x:c r="AF851" s="9"/>
      <x:c r="AG851" s="9"/>
      <x:c r="AH851" s="9" t="str">
        <x:v>Left</x:v>
      </x:c>
      <x:c r="AI851" s="11" t="n">
        <x:v>12</x:v>
      </x:c>
      <x:c r="AJ851" s="9" t="str">
        <x:v>Same-scene direct target control</x:v>
      </x:c>
      <x:c r="AK851" s="9" t="str">
        <x:v>Eval_Size_Recognition (1).xlsm</x:v>
      </x:c>
      <x:c r="AL851" s="9" t="str">
        <x:v>GR00T vision-only Results</x:v>
      </x:c>
      <x:c r="AM851" s="9" t="n">
        <x:v>81</x:v>
      </x:c>
      <x:c r="AN851" s="9" t="n">
        <x:v>81</x:v>
      </x:c>
    </x:row>
    <x:row r="852">
      <x:c r="A852" s="9" t="str">
        <x:v>Success</x:v>
      </x:c>
      <x:c r="B852" s="9" t="str">
        <x:v>Size Recognition</x:v>
      </x:c>
      <x:c r="C852" s="10" t="n">
        <x:v>80</x:v>
      </x:c>
      <x:c r="D852" s="9" t="str">
        <x:v>Pick up the largest item and place it in the bowl.</x:v>
      </x:c>
      <x:c r="E852" s="9" t="str">
        <x:v>Bowl: empty. Table, robot-left→robot-right: P1 green block; P2 red pencil sharpener. Adjacent centers 12 cm apart; row centered on the workspace; all objects fully visible and grasp paths clear.</x:v>
      </x:c>
      <x:c r="F852" s="9" t="str">
        <x:v>MOVE green block to bowl</x:v>
      </x:c>
      <x:c r="G852" s="9"/>
      <x:c r="H852" s="9" t="str">
        <x:v>Concept/compositional transfer</x:v>
      </x:c>
      <x:c r="I852" s="9" t="str">
        <x:v>SZ-CT-LG11</x:v>
      </x:c>
      <x:c r="J852" s="9" t="str">
        <x:v>largest</x:v>
      </x:c>
      <x:c r="K852" s="9"/>
      <x:c r="L852" s="9" t="str">
        <x:v>1090</x:v>
      </x:c>
      <x:c r="M852" s="9"/>
      <x:c r="N852" s="9"/>
      <x:c r="O852" s="9" t="str">
        <x:v>Build the listed two-object scene and save a first-frame filename.</x:v>
      </x:c>
      <x:c r="P852" s="9" t="str">
        <x:v>Primary missing cell. Training episode 1090 contains the same target trajectory but masks the size word with a direct identity prompt.</x:v>
      </x:c>
      <x:c r="Q852" s="9"/>
      <x:c r="R852" s="10" t="n">
        <x:v>2</x:v>
      </x:c>
      <x:c r="S852" s="10"/>
      <x:c r="T852" s="9"/>
      <x:c r="U852" s="9"/>
      <x:c r="V852" s="9"/>
      <x:c r="W852" s="9"/>
      <x:c r="X852" s="10"/>
      <x:c r="Y852" s="10"/>
      <x:c r="Z852" s="9"/>
      <x:c r="AA852" s="9"/>
      <x:c r="AB852" s="9"/>
      <x:c r="AC852" s="9"/>
      <x:c r="AD852" s="9" t="str">
        <x:v>green block</x:v>
      </x:c>
      <x:c r="AE852" s="9"/>
      <x:c r="AF852" s="9"/>
      <x:c r="AG852" s="9"/>
      <x:c r="AH852" s="9" t="str">
        <x:v>Left</x:v>
      </x:c>
      <x:c r="AI852" s="11" t="n">
        <x:v>12</x:v>
      </x:c>
      <x:c r="AJ852" s="9" t="str">
        <x:v>Held-out largest × green block — Pick up</x:v>
      </x:c>
      <x:c r="AK852" s="9" t="str">
        <x:v>Eval_Size_Recognition (1).xlsm</x:v>
      </x:c>
      <x:c r="AL852" s="9" t="str">
        <x:v>GR00T vision-only Results</x:v>
      </x:c>
      <x:c r="AM852" s="9" t="n">
        <x:v>82</x:v>
      </x:c>
      <x:c r="AN852" s="9" t="n">
        <x:v>82</x:v>
      </x:c>
    </x:row>
    <x:row r="853">
      <x:c r="A853" s="9" t="str">
        <x:v>Success</x:v>
      </x:c>
      <x:c r="B853" s="9" t="str">
        <x:v>Size Recognition</x:v>
      </x:c>
      <x:c r="C853" s="10" t="n">
        <x:v>81</x:v>
      </x:c>
      <x:c r="D853" s="9" t="str">
        <x:v>Put the smallest object in the bowl.</x:v>
      </x:c>
      <x:c r="E853" s="9" t="str">
        <x:v>Bowl: empty. Table, robot-left→robot-right: P1 crushed Pepsi can; P2 juggling ball. Adjacent centers 16 cm apart; row shifted 4 cm toward robot-right; all objects fully visible and grasp paths clear.</x:v>
      </x:c>
      <x:c r="F853" s="9" t="str">
        <x:v>MOVE juggling ball to bowl</x:v>
      </x:c>
      <x:c r="G853" s="9"/>
      <x:c r="H853" s="9" t="str">
        <x:v>Concept/compositional transfer</x:v>
      </x:c>
      <x:c r="I853" s="9" t="str">
        <x:v>SZ-CT-SJ11</x:v>
      </x:c>
      <x:c r="J853" s="9" t="str">
        <x:v>smallest</x:v>
      </x:c>
      <x:c r="K853" s="9"/>
      <x:c r="L853" s="9" t="str">
        <x:v>1115</x:v>
      </x:c>
      <x:c r="M853" s="9"/>
      <x:c r="N853" s="9"/>
      <x:c r="O853" s="9" t="str">
        <x:v>Build the listed two-object scene and save a first-frame filename.</x:v>
      </x:c>
      <x:c r="P853" s="9" t="str">
        <x:v>Primary missing cell. Training episode 1115 contains the same target trajectory but masks the size word with a direct identity prompt.</x:v>
      </x:c>
      <x:c r="Q853" s="9"/>
      <x:c r="R853" s="10" t="n">
        <x:v>2</x:v>
      </x:c>
      <x:c r="S853" s="10"/>
      <x:c r="T853" s="9"/>
      <x:c r="U853" s="9"/>
      <x:c r="V853" s="9"/>
      <x:c r="W853" s="9"/>
      <x:c r="X853" s="10"/>
      <x:c r="Y853" s="10"/>
      <x:c r="Z853" s="9"/>
      <x:c r="AA853" s="9"/>
      <x:c r="AB853" s="9"/>
      <x:c r="AC853" s="9"/>
      <x:c r="AD853" s="9" t="str">
        <x:v>juggling ball</x:v>
      </x:c>
      <x:c r="AE853" s="9"/>
      <x:c r="AF853" s="9"/>
      <x:c r="AG853" s="9"/>
      <x:c r="AH853" s="9" t="str">
        <x:v>Right</x:v>
      </x:c>
      <x:c r="AI853" s="11" t="n">
        <x:v>16</x:v>
      </x:c>
      <x:c r="AJ853" s="9" t="str">
        <x:v>Held-out smallest × juggling ball — Put</x:v>
      </x:c>
      <x:c r="AK853" s="9" t="str">
        <x:v>Eval_Size_Recognition (1).xlsm</x:v>
      </x:c>
      <x:c r="AL853" s="9" t="str">
        <x:v>GR00T vision-only Results</x:v>
      </x:c>
      <x:c r="AM853" s="9" t="n">
        <x:v>83</x:v>
      </x:c>
      <x:c r="AN853" s="9" t="n">
        <x:v>83</x:v>
      </x:c>
    </x:row>
    <x:row r="854">
      <x:c r="A854" s="9" t="str">
        <x:v>Failure</x:v>
      </x:c>
      <x:c r="B854" s="9" t="str">
        <x:v>Size Recognition</x:v>
      </x:c>
      <x:c r="C854" s="10" t="n">
        <x:v>82</x:v>
      </x:c>
      <x:c r="D854" s="9" t="str">
        <x:v>Put the largest object in the bowl.</x:v>
      </x:c>
      <x:c r="E854" s="9" t="str">
        <x:v>Bowl: empty. Table, robot-left→robot-right: P1 red pencil sharpener; P2 green block. Adjacent centers 16 cm apart; row shifted 4 cm toward robot-left; all objects fully visible and grasp paths clear.</x:v>
      </x:c>
      <x:c r="F854" s="9" t="str">
        <x:v>MOVE green block to bowl</x:v>
      </x:c>
      <x:c r="G854" s="9" t="str">
        <x:v>succeeded reasoning; but overgripping the block and knocked it out of the workspace; then went for the red pencil sharpener, which was technically correct since it wsa the only object in the environment</x:v>
      </x:c>
      <x:c r="H854" s="9" t="str">
        <x:v>Concept/compositional transfer</x:v>
      </x:c>
      <x:c r="I854" s="9" t="str">
        <x:v>SZ-CT-LG12</x:v>
      </x:c>
      <x:c r="J854" s="9" t="str">
        <x:v>largest</x:v>
      </x:c>
      <x:c r="K854" s="9"/>
      <x:c r="L854" s="9" t="str">
        <x:v>1091</x:v>
      </x:c>
      <x:c r="M854" s="9"/>
      <x:c r="N854" s="9"/>
      <x:c r="O854" s="9" t="str">
        <x:v>Build the listed two-object scene and save a first-frame filename.</x:v>
      </x:c>
      <x:c r="P854" s="9" t="str">
        <x:v>Primary missing cell. Training episode 1091 contains the same target trajectory but masks the size word with a direct identity prompt.</x:v>
      </x:c>
      <x:c r="Q854" s="9"/>
      <x:c r="R854" s="10" t="n">
        <x:v>2</x:v>
      </x:c>
      <x:c r="S854" s="10"/>
      <x:c r="T854" s="9"/>
      <x:c r="U854" s="9"/>
      <x:c r="V854" s="9"/>
      <x:c r="W854" s="9"/>
      <x:c r="X854" s="10"/>
      <x:c r="Y854" s="10"/>
      <x:c r="Z854" s="9"/>
      <x:c r="AA854" s="9"/>
      <x:c r="AB854" s="9"/>
      <x:c r="AC854" s="9"/>
      <x:c r="AD854" s="9" t="str">
        <x:v>green block</x:v>
      </x:c>
      <x:c r="AE854" s="9"/>
      <x:c r="AF854" s="9"/>
      <x:c r="AG854" s="9"/>
      <x:c r="AH854" s="9" t="str">
        <x:v>Right</x:v>
      </x:c>
      <x:c r="AI854" s="11" t="n">
        <x:v>16</x:v>
      </x:c>
      <x:c r="AJ854" s="9" t="str">
        <x:v>Held-out largest × green block — Put</x:v>
      </x:c>
      <x:c r="AK854" s="9" t="str">
        <x:v>Eval_Size_Recognition (1).xlsm</x:v>
      </x:c>
      <x:c r="AL854" s="9" t="str">
        <x:v>GR00T vision-only Results</x:v>
      </x:c>
      <x:c r="AM854" s="9" t="n">
        <x:v>84</x:v>
      </x:c>
      <x:c r="AN854" s="9" t="n">
        <x:v>84</x:v>
      </x:c>
    </x:row>
    <x:row r="855">
      <x:c r="A855" s="9" t="str">
        <x:v>Success</x:v>
      </x:c>
      <x:c r="B855" s="9" t="str">
        <x:v>Size Recognition</x:v>
      </x:c>
      <x:c r="C855" s="10" t="n">
        <x:v>83</x:v>
      </x:c>
      <x:c r="D855" s="9" t="str">
        <x:v>Move the object that is smallest into the bowl.</x:v>
      </x:c>
      <x:c r="E855" s="9" t="str">
        <x:v>Bowl: empty. Table, robot-left→robot-right: P1 juggling ball; P2 crushed Pepsi can. Adjacent centers 8 cm apart; row shifted 4 cm toward the robot; all objects fully visible and grasp paths clear.</x:v>
      </x:c>
      <x:c r="F855" s="9" t="str">
        <x:v>MOVE juggling ball to bowl</x:v>
      </x:c>
      <x:c r="G855" s="9"/>
      <x:c r="H855" s="9" t="str">
        <x:v>Concept/compositional transfer</x:v>
      </x:c>
      <x:c r="I855" s="9" t="str">
        <x:v>SZ-CT-SJ12</x:v>
      </x:c>
      <x:c r="J855" s="9" t="str">
        <x:v>smallest</x:v>
      </x:c>
      <x:c r="K855" s="9"/>
      <x:c r="L855" s="9" t="str">
        <x:v>1116</x:v>
      </x:c>
      <x:c r="M855" s="9"/>
      <x:c r="N855" s="9"/>
      <x:c r="O855" s="9" t="str">
        <x:v>Build the listed two-object scene and save a first-frame filename.</x:v>
      </x:c>
      <x:c r="P855" s="9" t="str">
        <x:v>Primary missing cell. Training episode 1116 contains the same target trajectory but masks the size word with a direct identity prompt.</x:v>
      </x:c>
      <x:c r="Q855" s="9"/>
      <x:c r="R855" s="10" t="n">
        <x:v>2</x:v>
      </x:c>
      <x:c r="S855" s="10"/>
      <x:c r="T855" s="9"/>
      <x:c r="U855" s="9"/>
      <x:c r="V855" s="9"/>
      <x:c r="W855" s="9"/>
      <x:c r="X855" s="10"/>
      <x:c r="Y855" s="10"/>
      <x:c r="Z855" s="9"/>
      <x:c r="AA855" s="9"/>
      <x:c r="AB855" s="9"/>
      <x:c r="AC855" s="9"/>
      <x:c r="AD855" s="9" t="str">
        <x:v>juggling ball</x:v>
      </x:c>
      <x:c r="AE855" s="9"/>
      <x:c r="AF855" s="9"/>
      <x:c r="AG855" s="9"/>
      <x:c r="AH855" s="9" t="str">
        <x:v>Left</x:v>
      </x:c>
      <x:c r="AI855" s="11" t="n">
        <x:v>8</x:v>
      </x:c>
      <x:c r="AJ855" s="9" t="str">
        <x:v>Held-out smallest × juggling ball — Move</x:v>
      </x:c>
      <x:c r="AK855" s="9" t="str">
        <x:v>Eval_Size_Recognition (1).xlsm</x:v>
      </x:c>
      <x:c r="AL855" s="9" t="str">
        <x:v>GR00T vision-only Results</x:v>
      </x:c>
      <x:c r="AM855" s="9" t="n">
        <x:v>85</x:v>
      </x:c>
      <x:c r="AN855" s="9" t="n">
        <x:v>85</x:v>
      </x:c>
    </x:row>
    <x:row r="856">
      <x:c r="A856" s="9" t="str">
        <x:v>Success</x:v>
      </x:c>
      <x:c r="B856" s="9" t="str">
        <x:v>Size Recognition</x:v>
      </x:c>
      <x:c r="C856" s="10" t="n">
        <x:v>84</x:v>
      </x:c>
      <x:c r="D856" s="9" t="str">
        <x:v>Move the object that is largest into the bowl.</x:v>
      </x:c>
      <x:c r="E856" s="9" t="str">
        <x:v>Bowl: empty. Table, robot-left→robot-right: P1 green block; P2 red pencil sharpener. Adjacent centers 8 cm apart; row shifted 4 cm toward robot-right; all objects fully visible and grasp paths clear.</x:v>
      </x:c>
      <x:c r="F856" s="9" t="str">
        <x:v>MOVE green block to bowl</x:v>
      </x:c>
      <x:c r="G856" s="9"/>
      <x:c r="H856" s="9" t="str">
        <x:v>Concept/compositional transfer</x:v>
      </x:c>
      <x:c r="I856" s="9" t="str">
        <x:v>SZ-CT-LG13</x:v>
      </x:c>
      <x:c r="J856" s="9" t="str">
        <x:v>largest</x:v>
      </x:c>
      <x:c r="K856" s="9"/>
      <x:c r="L856" s="9" t="str">
        <x:v>1092</x:v>
      </x:c>
      <x:c r="M856" s="9"/>
      <x:c r="N856" s="9"/>
      <x:c r="O856" s="9" t="str">
        <x:v>Build the listed two-object scene and save a first-frame filename.</x:v>
      </x:c>
      <x:c r="P856" s="9" t="str">
        <x:v>Primary missing cell. Training episode 1092 contains the same target trajectory but masks the size word with a direct identity prompt.</x:v>
      </x:c>
      <x:c r="Q856" s="9"/>
      <x:c r="R856" s="10" t="n">
        <x:v>2</x:v>
      </x:c>
      <x:c r="S856" s="10"/>
      <x:c r="T856" s="9"/>
      <x:c r="U856" s="9"/>
      <x:c r="V856" s="9"/>
      <x:c r="W856" s="9"/>
      <x:c r="X856" s="10"/>
      <x:c r="Y856" s="10"/>
      <x:c r="Z856" s="9"/>
      <x:c r="AA856" s="9"/>
      <x:c r="AB856" s="9"/>
      <x:c r="AC856" s="9"/>
      <x:c r="AD856" s="9" t="str">
        <x:v>green block</x:v>
      </x:c>
      <x:c r="AE856" s="9"/>
      <x:c r="AF856" s="9"/>
      <x:c r="AG856" s="9"/>
      <x:c r="AH856" s="9" t="str">
        <x:v>Left</x:v>
      </x:c>
      <x:c r="AI856" s="11" t="n">
        <x:v>8</x:v>
      </x:c>
      <x:c r="AJ856" s="9" t="str">
        <x:v>Held-out largest × green block — Move</x:v>
      </x:c>
      <x:c r="AK856" s="9" t="str">
        <x:v>Eval_Size_Recognition (1).xlsm</x:v>
      </x:c>
      <x:c r="AL856" s="9" t="str">
        <x:v>GR00T vision-only Results</x:v>
      </x:c>
      <x:c r="AM856" s="9" t="n">
        <x:v>86</x:v>
      </x:c>
      <x:c r="AN856" s="9" t="n">
        <x:v>86</x:v>
      </x:c>
    </x:row>
    <x:row r="857">
      <x:c r="A857" s="9" t="str">
        <x:v>Failure</x:v>
      </x:c>
      <x:c r="B857" s="9" t="str">
        <x:v>Size Recognition</x:v>
      </x:c>
      <x:c r="C857" s="10" t="n">
        <x:v>85</x:v>
      </x:c>
      <x:c r="D857" s="9" t="str">
        <x:v>Pick up the smallest item and place it in the bowl.</x:v>
      </x:c>
      <x:c r="E857" s="9" t="str">
        <x:v>Bowl: empty. Table, robot-left→robot-right: P1 crushed Pepsi can; P2 juggling ball. Adjacent centers 12 cm apart; row shifted 4 cm away from the robot; all objects fully visible and grasp paths clear.</x:v>
      </x:c>
      <x:c r="F857" s="9" t="str">
        <x:v>MOVE juggling ball to bowl</x:v>
      </x:c>
      <x:c r="G857" s="9" t="str">
        <x:v>successful reasoning; went for the juggling ball, but didn't grab it; ended up drifting off to the right edge of the workspace</x:v>
      </x:c>
      <x:c r="H857" s="9" t="str">
        <x:v>Concept/compositional transfer</x:v>
      </x:c>
      <x:c r="I857" s="9" t="str">
        <x:v>SZ-CT-SJ13</x:v>
      </x:c>
      <x:c r="J857" s="9" t="str">
        <x:v>smallest</x:v>
      </x:c>
      <x:c r="K857" s="9"/>
      <x:c r="L857" s="9" t="str">
        <x:v>1117</x:v>
      </x:c>
      <x:c r="M857" s="9"/>
      <x:c r="N857" s="9"/>
      <x:c r="O857" s="9" t="str">
        <x:v>Build the listed two-object scene and save a first-frame filename.</x:v>
      </x:c>
      <x:c r="P857" s="9" t="str">
        <x:v>Primary missing cell. Training episode 1117 contains the same target trajectory but masks the size word with a direct identity prompt.</x:v>
      </x:c>
      <x:c r="Q857" s="9"/>
      <x:c r="R857" s="10" t="n">
        <x:v>2</x:v>
      </x:c>
      <x:c r="S857" s="10"/>
      <x:c r="T857" s="9"/>
      <x:c r="U857" s="9"/>
      <x:c r="V857" s="9"/>
      <x:c r="W857" s="9"/>
      <x:c r="X857" s="10"/>
      <x:c r="Y857" s="10"/>
      <x:c r="Z857" s="9"/>
      <x:c r="AA857" s="9"/>
      <x:c r="AB857" s="9"/>
      <x:c r="AC857" s="9"/>
      <x:c r="AD857" s="9" t="str">
        <x:v>juggling ball</x:v>
      </x:c>
      <x:c r="AE857" s="9"/>
      <x:c r="AF857" s="9"/>
      <x:c r="AG857" s="9"/>
      <x:c r="AH857" s="9" t="str">
        <x:v>Right</x:v>
      </x:c>
      <x:c r="AI857" s="11" t="n">
        <x:v>12</x:v>
      </x:c>
      <x:c r="AJ857" s="9" t="str">
        <x:v>Held-out smallest × juggling ball — Pick up</x:v>
      </x:c>
      <x:c r="AK857" s="9" t="str">
        <x:v>Eval_Size_Recognition (1).xlsm</x:v>
      </x:c>
      <x:c r="AL857" s="9" t="str">
        <x:v>GR00T vision-only Results</x:v>
      </x:c>
      <x:c r="AM857" s="9" t="n">
        <x:v>87</x:v>
      </x:c>
      <x:c r="AN857" s="9" t="n">
        <x:v>87</x:v>
      </x:c>
    </x:row>
    <x:row r="858">
      <x:c r="A858" s="9" t="str">
        <x:v>Failure</x:v>
      </x:c>
      <x:c r="B858" s="9" t="str">
        <x:v>Size Recognition</x:v>
      </x:c>
      <x:c r="C858" s="10" t="n">
        <x:v>86</x:v>
      </x:c>
      <x:c r="D858" s="9" t="str">
        <x:v>Pick up the largest item and place it in the bowl.</x:v>
      </x:c>
      <x:c r="E858" s="9" t="str">
        <x:v>Bowl: empty. Table, robot-left→robot-right: P1 red pencil sharpener; P2 green block. Adjacent centers 12 cm apart; row shifted 4 cm toward the robot; all objects fully visible and grasp paths clear.</x:v>
      </x:c>
      <x:c r="F858" s="9" t="str">
        <x:v>MOVE green block to bowl</x:v>
      </x:c>
      <x:c r="G858" s="9" t="str">
        <x:v>drifted to the right of the workspace again</x:v>
      </x:c>
      <x:c r="H858" s="9" t="str">
        <x:v>Concept/compositional transfer</x:v>
      </x:c>
      <x:c r="I858" s="9" t="str">
        <x:v>SZ-CT-LG14</x:v>
      </x:c>
      <x:c r="J858" s="9" t="str">
        <x:v>largest</x:v>
      </x:c>
      <x:c r="K858" s="9"/>
      <x:c r="L858" s="9" t="str">
        <x:v>1093</x:v>
      </x:c>
      <x:c r="M858" s="9"/>
      <x:c r="N858" s="9"/>
      <x:c r="O858" s="9" t="str">
        <x:v>Build the listed two-object scene and save a first-frame filename.</x:v>
      </x:c>
      <x:c r="P858" s="9" t="str">
        <x:v>Primary missing cell. Training episode 1093 contains the same target trajectory but masks the size word with a direct identity prompt.</x:v>
      </x:c>
      <x:c r="Q858" s="9"/>
      <x:c r="R858" s="10" t="n">
        <x:v>2</x:v>
      </x:c>
      <x:c r="S858" s="10"/>
      <x:c r="T858" s="9"/>
      <x:c r="U858" s="9"/>
      <x:c r="V858" s="9"/>
      <x:c r="W858" s="9"/>
      <x:c r="X858" s="10"/>
      <x:c r="Y858" s="10"/>
      <x:c r="Z858" s="9"/>
      <x:c r="AA858" s="9"/>
      <x:c r="AB858" s="9"/>
      <x:c r="AC858" s="9"/>
      <x:c r="AD858" s="9" t="str">
        <x:v>green block</x:v>
      </x:c>
      <x:c r="AE858" s="9"/>
      <x:c r="AF858" s="9"/>
      <x:c r="AG858" s="9"/>
      <x:c r="AH858" s="9" t="str">
        <x:v>Right</x:v>
      </x:c>
      <x:c r="AI858" s="11" t="n">
        <x:v>12</x:v>
      </x:c>
      <x:c r="AJ858" s="9" t="str">
        <x:v>Held-out largest × green block — Pick up</x:v>
      </x:c>
      <x:c r="AK858" s="9" t="str">
        <x:v>Eval_Size_Recognition (1).xlsm</x:v>
      </x:c>
      <x:c r="AL858" s="9" t="str">
        <x:v>GR00T vision-only Results</x:v>
      </x:c>
      <x:c r="AM858" s="9" t="n">
        <x:v>88</x:v>
      </x:c>
      <x:c r="AN858" s="9" t="n">
        <x:v>88</x:v>
      </x:c>
    </x:row>
    <x:row r="859">
      <x:c r="A859" s="9" t="str">
        <x:v>Failure</x:v>
      </x:c>
      <x:c r="B859" s="9" t="str">
        <x:v>Size Recognition</x:v>
      </x:c>
      <x:c r="C859" s="10" t="n">
        <x:v>87</x:v>
      </x:c>
      <x:c r="D859" s="9" t="str">
        <x:v>Put the smallest object in the bowl.</x:v>
      </x:c>
      <x:c r="E859" s="9" t="str">
        <x:v>Bowl: empty. Table, robot-left→robot-right: P1 juggling ball; P2 crushed Pepsi can. Adjacent centers 16 cm apart; row centered on the workspace; all objects fully visible and grasp paths clear.</x:v>
      </x:c>
      <x:c r="F859" s="9" t="str">
        <x:v>MOVE juggling ball to bowl</x:v>
      </x:c>
      <x:c r="G859" s="9" t="str">
        <x:v>went for the pepsi can with wrong gripping strategy then drifted off to the right edge of the workspace</x:v>
      </x:c>
      <x:c r="H859" s="9" t="str">
        <x:v>Concept/compositional transfer</x:v>
      </x:c>
      <x:c r="I859" s="9" t="str">
        <x:v>SZ-CT-SJ14</x:v>
      </x:c>
      <x:c r="J859" s="9" t="str">
        <x:v>smallest</x:v>
      </x:c>
      <x:c r="K859" s="9"/>
      <x:c r="L859" s="9" t="str">
        <x:v>1118</x:v>
      </x:c>
      <x:c r="M859" s="9"/>
      <x:c r="N859" s="9"/>
      <x:c r="O859" s="9" t="str">
        <x:v>Build the listed two-object scene and save a first-frame filename.</x:v>
      </x:c>
      <x:c r="P859" s="9" t="str">
        <x:v>Primary missing cell. Training episode 1118 contains the same target trajectory but masks the size word with a direct identity prompt.</x:v>
      </x:c>
      <x:c r="Q859" s="9"/>
      <x:c r="R859" s="10" t="n">
        <x:v>2</x:v>
      </x:c>
      <x:c r="S859" s="10"/>
      <x:c r="T859" s="9"/>
      <x:c r="U859" s="9"/>
      <x:c r="V859" s="9"/>
      <x:c r="W859" s="9"/>
      <x:c r="X859" s="10"/>
      <x:c r="Y859" s="10"/>
      <x:c r="Z859" s="9"/>
      <x:c r="AA859" s="9"/>
      <x:c r="AB859" s="9"/>
      <x:c r="AC859" s="9"/>
      <x:c r="AD859" s="9" t="str">
        <x:v>juggling ball</x:v>
      </x:c>
      <x:c r="AE859" s="9"/>
      <x:c r="AF859" s="9"/>
      <x:c r="AG859" s="9"/>
      <x:c r="AH859" s="9" t="str">
        <x:v>Left</x:v>
      </x:c>
      <x:c r="AI859" s="11" t="n">
        <x:v>16</x:v>
      </x:c>
      <x:c r="AJ859" s="9" t="str">
        <x:v>Held-out smallest × juggling ball — Put</x:v>
      </x:c>
      <x:c r="AK859" s="9" t="str">
        <x:v>Eval_Size_Recognition (1).xlsm</x:v>
      </x:c>
      <x:c r="AL859" s="9" t="str">
        <x:v>GR00T vision-only Results</x:v>
      </x:c>
      <x:c r="AM859" s="9" t="n">
        <x:v>89</x:v>
      </x:c>
      <x:c r="AN859" s="9" t="n">
        <x:v>89</x:v>
      </x:c>
    </x:row>
    <x:row r="860">
      <x:c r="A860" s="9" t="str">
        <x:v>Success</x:v>
      </x:c>
      <x:c r="B860" s="9" t="str">
        <x:v>Size Recognition</x:v>
      </x:c>
      <x:c r="C860" s="10" t="n">
        <x:v>88</x:v>
      </x:c>
      <x:c r="D860" s="9" t="str">
        <x:v>Put the largest object in the bowl.</x:v>
      </x:c>
      <x:c r="E860" s="9" t="str">
        <x:v>Bowl: empty. Table, robot-left→robot-right: P1 green block; P2 red pencil sharpener. Adjacent centers 16 cm apart; row shifted 4 cm away from the robot; all objects fully visible and grasp paths clear.</x:v>
      </x:c>
      <x:c r="F860" s="9" t="str">
        <x:v>MOVE green block to bowl</x:v>
      </x:c>
      <x:c r="G860" s="9"/>
      <x:c r="H860" s="9" t="str">
        <x:v>Concept/compositional transfer</x:v>
      </x:c>
      <x:c r="I860" s="9" t="str">
        <x:v>SZ-CT-LG15</x:v>
      </x:c>
      <x:c r="J860" s="9" t="str">
        <x:v>largest</x:v>
      </x:c>
      <x:c r="K860" s="9"/>
      <x:c r="L860" s="9" t="str">
        <x:v>1094</x:v>
      </x:c>
      <x:c r="M860" s="9"/>
      <x:c r="N860" s="9"/>
      <x:c r="O860" s="9" t="str">
        <x:v>Build the listed two-object scene and save a first-frame filename.</x:v>
      </x:c>
      <x:c r="P860" s="9" t="str">
        <x:v>Primary missing cell. Training episode 1094 contains the same target trajectory but masks the size word with a direct identity prompt.</x:v>
      </x:c>
      <x:c r="Q860" s="9"/>
      <x:c r="R860" s="10" t="n">
        <x:v>2</x:v>
      </x:c>
      <x:c r="S860" s="10"/>
      <x:c r="T860" s="9"/>
      <x:c r="U860" s="9"/>
      <x:c r="V860" s="9"/>
      <x:c r="W860" s="9"/>
      <x:c r="X860" s="10"/>
      <x:c r="Y860" s="10"/>
      <x:c r="Z860" s="9"/>
      <x:c r="AA860" s="9"/>
      <x:c r="AB860" s="9"/>
      <x:c r="AC860" s="9"/>
      <x:c r="AD860" s="9" t="str">
        <x:v>green block</x:v>
      </x:c>
      <x:c r="AE860" s="9"/>
      <x:c r="AF860" s="9"/>
      <x:c r="AG860" s="9"/>
      <x:c r="AH860" s="9" t="str">
        <x:v>Left</x:v>
      </x:c>
      <x:c r="AI860" s="11" t="n">
        <x:v>16</x:v>
      </x:c>
      <x:c r="AJ860" s="9" t="str">
        <x:v>Held-out largest × green block — Put</x:v>
      </x:c>
      <x:c r="AK860" s="9" t="str">
        <x:v>Eval_Size_Recognition (1).xlsm</x:v>
      </x:c>
      <x:c r="AL860" s="9" t="str">
        <x:v>GR00T vision-only Results</x:v>
      </x:c>
      <x:c r="AM860" s="9" t="n">
        <x:v>90</x:v>
      </x:c>
      <x:c r="AN860" s="9" t="n">
        <x:v>90</x:v>
      </x:c>
    </x:row>
    <x:row r="861">
      <x:c r="A861" s="9" t="str">
        <x:v>Success</x:v>
      </x:c>
      <x:c r="B861" s="9" t="str">
        <x:v>Size Recognition</x:v>
      </x:c>
      <x:c r="C861" s="10" t="n">
        <x:v>89</x:v>
      </x:c>
      <x:c r="D861" s="9" t="str">
        <x:v>Move the object that is smallest into the bowl.</x:v>
      </x:c>
      <x:c r="E861" s="9" t="str">
        <x:v>Bowl: empty. Table, robot-left→robot-right: P1 crushed Pepsi can; P2 juggling ball. Adjacent centers 8 cm apart; row shifted 4 cm toward robot-left; all objects fully visible and grasp paths clear.</x:v>
      </x:c>
      <x:c r="F861" s="9" t="str">
        <x:v>MOVE juggling ball to bowl</x:v>
      </x:c>
      <x:c r="G861" s="9"/>
      <x:c r="H861" s="9" t="str">
        <x:v>Concept/compositional transfer</x:v>
      </x:c>
      <x:c r="I861" s="9" t="str">
        <x:v>SZ-CT-SJ15</x:v>
      </x:c>
      <x:c r="J861" s="9" t="str">
        <x:v>smallest</x:v>
      </x:c>
      <x:c r="K861" s="9"/>
      <x:c r="L861" s="9" t="str">
        <x:v>1119</x:v>
      </x:c>
      <x:c r="M861" s="9"/>
      <x:c r="N861" s="9"/>
      <x:c r="O861" s="9" t="str">
        <x:v>Build the listed two-object scene and save a first-frame filename.</x:v>
      </x:c>
      <x:c r="P861" s="9" t="str">
        <x:v>Primary missing cell. Training episode 1119 contains the same target trajectory but masks the size word with a direct identity prompt.</x:v>
      </x:c>
      <x:c r="Q861" s="9"/>
      <x:c r="R861" s="10" t="n">
        <x:v>2</x:v>
      </x:c>
      <x:c r="S861" s="10"/>
      <x:c r="T861" s="9"/>
      <x:c r="U861" s="9"/>
      <x:c r="V861" s="9"/>
      <x:c r="W861" s="9"/>
      <x:c r="X861" s="10"/>
      <x:c r="Y861" s="10"/>
      <x:c r="Z861" s="9"/>
      <x:c r="AA861" s="9"/>
      <x:c r="AB861" s="9"/>
      <x:c r="AC861" s="9"/>
      <x:c r="AD861" s="9" t="str">
        <x:v>juggling ball</x:v>
      </x:c>
      <x:c r="AE861" s="9"/>
      <x:c r="AF861" s="9"/>
      <x:c r="AG861" s="9"/>
      <x:c r="AH861" s="9" t="str">
        <x:v>Right</x:v>
      </x:c>
      <x:c r="AI861" s="11" t="n">
        <x:v>8</x:v>
      </x:c>
      <x:c r="AJ861" s="9" t="str">
        <x:v>Held-out smallest × juggling ball — Move</x:v>
      </x:c>
      <x:c r="AK861" s="9" t="str">
        <x:v>Eval_Size_Recognition (1).xlsm</x:v>
      </x:c>
      <x:c r="AL861" s="9" t="str">
        <x:v>GR00T vision-only Results</x:v>
      </x:c>
      <x:c r="AM861" s="9" t="n">
        <x:v>91</x:v>
      </x:c>
      <x:c r="AN861" s="9" t="n">
        <x:v>91</x:v>
      </x:c>
    </x:row>
    <x:row r="862">
      <x:c r="A862" s="9" t="str">
        <x:v>Failure</x:v>
      </x:c>
      <x:c r="B862" s="9" t="str">
        <x:v>Size Recognition</x:v>
      </x:c>
      <x:c r="C862" s="10" t="n">
        <x:v>90</x:v>
      </x:c>
      <x:c r="D862" s="9" t="str">
        <x:v>Move the object that is largest into the bowl.</x:v>
      </x:c>
      <x:c r="E862" s="9" t="str">
        <x:v>Bowl: empty. Table, robot-left→robot-right: P1 red pencil sharpener; P2 green block. Adjacent centers 8 cm apart; row centered on the workspace; all objects fully visible and grasp paths clear.</x:v>
      </x:c>
      <x:c r="F862" s="9" t="str">
        <x:v>MOVE green block to bowl</x:v>
      </x:c>
      <x:c r="G862" s="9" t="str">
        <x:v>picked red pencil sharpener</x:v>
      </x:c>
      <x:c r="H862" s="9" t="str">
        <x:v>Concept/compositional transfer</x:v>
      </x:c>
      <x:c r="I862" s="9" t="str">
        <x:v>SZ-CT-LG16</x:v>
      </x:c>
      <x:c r="J862" s="9" t="str">
        <x:v>largest</x:v>
      </x:c>
      <x:c r="K862" s="9"/>
      <x:c r="L862" s="9" t="str">
        <x:v>1095</x:v>
      </x:c>
      <x:c r="M862" s="9"/>
      <x:c r="N862" s="9"/>
      <x:c r="O862" s="9" t="str">
        <x:v>Build the listed two-object scene and save a first-frame filename.</x:v>
      </x:c>
      <x:c r="P862" s="9" t="str">
        <x:v>Primary missing cell. Training episode 1095 contains the same target trajectory but masks the size word with a direct identity prompt.</x:v>
      </x:c>
      <x:c r="Q862" s="9"/>
      <x:c r="R862" s="10" t="n">
        <x:v>2</x:v>
      </x:c>
      <x:c r="S862" s="10"/>
      <x:c r="T862" s="9"/>
      <x:c r="U862" s="9"/>
      <x:c r="V862" s="9"/>
      <x:c r="W862" s="9"/>
      <x:c r="X862" s="10"/>
      <x:c r="Y862" s="10"/>
      <x:c r="Z862" s="9"/>
      <x:c r="AA862" s="9"/>
      <x:c r="AB862" s="9"/>
      <x:c r="AC862" s="9"/>
      <x:c r="AD862" s="9" t="str">
        <x:v>green block</x:v>
      </x:c>
      <x:c r="AE862" s="9"/>
      <x:c r="AF862" s="9"/>
      <x:c r="AG862" s="9"/>
      <x:c r="AH862" s="9" t="str">
        <x:v>Right</x:v>
      </x:c>
      <x:c r="AI862" s="11" t="n">
        <x:v>8</x:v>
      </x:c>
      <x:c r="AJ862" s="9" t="str">
        <x:v>Held-out largest × green block — Move</x:v>
      </x:c>
      <x:c r="AK862" s="9" t="str">
        <x:v>Eval_Size_Recognition (1).xlsm</x:v>
      </x:c>
      <x:c r="AL862" s="9" t="str">
        <x:v>GR00T vision-only Results</x:v>
      </x:c>
      <x:c r="AM862" s="9" t="n">
        <x:v>92</x:v>
      </x:c>
      <x:c r="AN862" s="9" t="n">
        <x:v>92</x:v>
      </x:c>
    </x:row>
    <x:row r="863">
      <x:c r="A863" s="9" t="str">
        <x:v>Success</x:v>
      </x:c>
      <x:c r="B863" s="9" t="str">
        <x:v>Size Recognition</x:v>
      </x:c>
      <x:c r="C863" s="10" t="n">
        <x:v>91</x:v>
      </x:c>
      <x:c r="D863" s="9" t="str">
        <x:v>Pick up the smallest item and place it in the bowl.</x:v>
      </x:c>
      <x:c r="E863" s="9" t="str">
        <x:v>Bowl: empty. Table, robot-left→robot-right: P1 juggling ball; P2 crushed Pepsi can. Adjacent centers 12 cm apart; row shifted 4 cm toward robot-right; all objects fully visible and grasp paths clear.</x:v>
      </x:c>
      <x:c r="F863" s="9" t="str">
        <x:v>MOVE juggling ball to bowl</x:v>
      </x:c>
      <x:c r="G863" s="9"/>
      <x:c r="H863" s="9" t="str">
        <x:v>Concept/compositional transfer</x:v>
      </x:c>
      <x:c r="I863" s="9" t="str">
        <x:v>SZ-CT-SJ16</x:v>
      </x:c>
      <x:c r="J863" s="9" t="str">
        <x:v>smallest</x:v>
      </x:c>
      <x:c r="K863" s="9"/>
      <x:c r="L863" s="9" t="str">
        <x:v>1120</x:v>
      </x:c>
      <x:c r="M863" s="9"/>
      <x:c r="N863" s="9"/>
      <x:c r="O863" s="9" t="str">
        <x:v>Build the listed two-object scene and save a first-frame filename.</x:v>
      </x:c>
      <x:c r="P863" s="9" t="str">
        <x:v>Primary missing cell. Training episode 1120 contains the same target trajectory but masks the size word with a direct identity prompt.</x:v>
      </x:c>
      <x:c r="Q863" s="9"/>
      <x:c r="R863" s="10" t="n">
        <x:v>2</x:v>
      </x:c>
      <x:c r="S863" s="10"/>
      <x:c r="T863" s="9"/>
      <x:c r="U863" s="9"/>
      <x:c r="V863" s="9"/>
      <x:c r="W863" s="9"/>
      <x:c r="X863" s="10"/>
      <x:c r="Y863" s="10"/>
      <x:c r="Z863" s="9"/>
      <x:c r="AA863" s="9"/>
      <x:c r="AB863" s="9"/>
      <x:c r="AC863" s="9"/>
      <x:c r="AD863" s="9" t="str">
        <x:v>juggling ball</x:v>
      </x:c>
      <x:c r="AE863" s="9"/>
      <x:c r="AF863" s="9"/>
      <x:c r="AG863" s="9"/>
      <x:c r="AH863" s="9" t="str">
        <x:v>Left</x:v>
      </x:c>
      <x:c r="AI863" s="11" t="n">
        <x:v>12</x:v>
      </x:c>
      <x:c r="AJ863" s="9" t="str">
        <x:v>Held-out smallest × juggling ball — Pick up</x:v>
      </x:c>
      <x:c r="AK863" s="9" t="str">
        <x:v>Eval_Size_Recognition (1).xlsm</x:v>
      </x:c>
      <x:c r="AL863" s="9" t="str">
        <x:v>GR00T vision-only Results</x:v>
      </x:c>
      <x:c r="AM863" s="9" t="n">
        <x:v>93</x:v>
      </x:c>
      <x:c r="AN863" s="9" t="n">
        <x:v>93</x:v>
      </x:c>
    </x:row>
    <x:row r="864">
      <x:c r="A864" s="9" t="str">
        <x:v>Failure</x:v>
      </x:c>
      <x:c r="B864" s="9" t="str">
        <x:v>Size Recognition</x:v>
      </x:c>
      <x:c r="C864" s="10" t="n">
        <x:v>92</x:v>
      </x:c>
      <x:c r="D864" s="9" t="str">
        <x:v>Pick up the largest item and place it in the bowl.</x:v>
      </x:c>
      <x:c r="E864" s="9" t="str">
        <x:v>Bowl: empty. Table, robot-left→robot-right: P1 green block; P2 red pencil sharpener. Adjacent centers 12 cm apart; row shifted 4 cm toward robot-left; all objects fully visible and grasp paths clear.</x:v>
      </x:c>
      <x:c r="F864" s="9" t="str">
        <x:v>MOVE green block to bowl</x:v>
      </x:c>
      <x:c r="G864" s="9" t="str">
        <x:v>succeeded reasoning, but knocked the green block out of range and couldn't get it; started to drift to the right edge of the workspace</x:v>
      </x:c>
      <x:c r="H864" s="9" t="str">
        <x:v>Concept/compositional transfer</x:v>
      </x:c>
      <x:c r="I864" s="9" t="str">
        <x:v>SZ-CT-LG17</x:v>
      </x:c>
      <x:c r="J864" s="9" t="str">
        <x:v>largest</x:v>
      </x:c>
      <x:c r="K864" s="9"/>
      <x:c r="L864" s="9" t="str">
        <x:v>1096</x:v>
      </x:c>
      <x:c r="M864" s="9"/>
      <x:c r="N864" s="9"/>
      <x:c r="O864" s="9" t="str">
        <x:v>Build the listed two-object scene and save a first-frame filename.</x:v>
      </x:c>
      <x:c r="P864" s="9" t="str">
        <x:v>Primary missing cell. Training episode 1096 contains the same target trajectory but masks the size word with a direct identity prompt.</x:v>
      </x:c>
      <x:c r="Q864" s="9"/>
      <x:c r="R864" s="10" t="n">
        <x:v>2</x:v>
      </x:c>
      <x:c r="S864" s="10"/>
      <x:c r="T864" s="9"/>
      <x:c r="U864" s="9"/>
      <x:c r="V864" s="9"/>
      <x:c r="W864" s="9"/>
      <x:c r="X864" s="10"/>
      <x:c r="Y864" s="10"/>
      <x:c r="Z864" s="9"/>
      <x:c r="AA864" s="9"/>
      <x:c r="AB864" s="9"/>
      <x:c r="AC864" s="9"/>
      <x:c r="AD864" s="9" t="str">
        <x:v>green block</x:v>
      </x:c>
      <x:c r="AE864" s="9"/>
      <x:c r="AF864" s="9"/>
      <x:c r="AG864" s="9"/>
      <x:c r="AH864" s="9" t="str">
        <x:v>Left</x:v>
      </x:c>
      <x:c r="AI864" s="11" t="n">
        <x:v>12</x:v>
      </x:c>
      <x:c r="AJ864" s="9" t="str">
        <x:v>Held-out largest × green block — Pick up</x:v>
      </x:c>
      <x:c r="AK864" s="9" t="str">
        <x:v>Eval_Size_Recognition (1).xlsm</x:v>
      </x:c>
      <x:c r="AL864" s="9" t="str">
        <x:v>GR00T vision-only Results</x:v>
      </x:c>
      <x:c r="AM864" s="9" t="n">
        <x:v>94</x:v>
      </x:c>
      <x:c r="AN864" s="9" t="n">
        <x:v>94</x:v>
      </x:c>
    </x:row>
    <x:row r="865">
      <x:c r="A865" s="9" t="str">
        <x:v>Success</x:v>
      </x:c>
      <x:c r="B865" s="9" t="str">
        <x:v>Size Recognition</x:v>
      </x:c>
      <x:c r="C865" s="10" t="n">
        <x:v>93</x:v>
      </x:c>
      <x:c r="D865" s="9" t="str">
        <x:v>Put the smallest object in the bowl.</x:v>
      </x:c>
      <x:c r="E865" s="9" t="str">
        <x:v>Bowl: empty. Table, robot-left→robot-right: P1 crushed Pepsi can; P2 juggling ball. Adjacent centers 16 cm apart; row shifted 4 cm toward the robot; all objects fully visible and grasp paths clear.</x:v>
      </x:c>
      <x:c r="F865" s="9" t="str">
        <x:v>MOVE juggling ball to bowl</x:v>
      </x:c>
      <x:c r="G865" s="9"/>
      <x:c r="H865" s="9" t="str">
        <x:v>Concept/compositional transfer</x:v>
      </x:c>
      <x:c r="I865" s="9" t="str">
        <x:v>SZ-CT-SJ17</x:v>
      </x:c>
      <x:c r="J865" s="9" t="str">
        <x:v>smallest</x:v>
      </x:c>
      <x:c r="K865" s="9"/>
      <x:c r="L865" s="9" t="str">
        <x:v>1121</x:v>
      </x:c>
      <x:c r="M865" s="9"/>
      <x:c r="N865" s="9"/>
      <x:c r="O865" s="9" t="str">
        <x:v>Build the listed two-object scene and save a first-frame filename.</x:v>
      </x:c>
      <x:c r="P865" s="9" t="str">
        <x:v>Primary missing cell. Training episode 1121 contains the same target trajectory but masks the size word with a direct identity prompt.</x:v>
      </x:c>
      <x:c r="Q865" s="9"/>
      <x:c r="R865" s="10" t="n">
        <x:v>2</x:v>
      </x:c>
      <x:c r="S865" s="10"/>
      <x:c r="T865" s="9"/>
      <x:c r="U865" s="9"/>
      <x:c r="V865" s="9"/>
      <x:c r="W865" s="9"/>
      <x:c r="X865" s="10"/>
      <x:c r="Y865" s="10"/>
      <x:c r="Z865" s="9"/>
      <x:c r="AA865" s="9"/>
      <x:c r="AB865" s="9"/>
      <x:c r="AC865" s="9"/>
      <x:c r="AD865" s="9" t="str">
        <x:v>juggling ball</x:v>
      </x:c>
      <x:c r="AE865" s="9"/>
      <x:c r="AF865" s="9"/>
      <x:c r="AG865" s="9"/>
      <x:c r="AH865" s="9" t="str">
        <x:v>Right</x:v>
      </x:c>
      <x:c r="AI865" s="11" t="n">
        <x:v>16</x:v>
      </x:c>
      <x:c r="AJ865" s="9" t="str">
        <x:v>Held-out smallest × juggling ball — Put</x:v>
      </x:c>
      <x:c r="AK865" s="9" t="str">
        <x:v>Eval_Size_Recognition (1).xlsm</x:v>
      </x:c>
      <x:c r="AL865" s="9" t="str">
        <x:v>GR00T vision-only Results</x:v>
      </x:c>
      <x:c r="AM865" s="9" t="n">
        <x:v>95</x:v>
      </x:c>
      <x:c r="AN865" s="9" t="n">
        <x:v>95</x:v>
      </x:c>
    </x:row>
    <x:row r="866">
      <x:c r="A866" s="9" t="str">
        <x:v>Success</x:v>
      </x:c>
      <x:c r="B866" s="9" t="str">
        <x:v>Size Recognition</x:v>
      </x:c>
      <x:c r="C866" s="10" t="n">
        <x:v>94</x:v>
      </x:c>
      <x:c r="D866" s="9" t="str">
        <x:v>Put the largest object in the bowl.</x:v>
      </x:c>
      <x:c r="E866" s="9" t="str">
        <x:v>Bowl: empty. Table, robot-left→robot-right: P1 red pencil sharpener; P2 green block. Adjacent centers 16 cm apart; row shifted 4 cm toward robot-right; all objects fully visible and grasp paths clear.</x:v>
      </x:c>
      <x:c r="F866" s="9" t="str">
        <x:v>MOVE green block to bowl</x:v>
      </x:c>
      <x:c r="G866" s="9"/>
      <x:c r="H866" s="9" t="str">
        <x:v>Concept/compositional transfer</x:v>
      </x:c>
      <x:c r="I866" s="9" t="str">
        <x:v>SZ-CT-LG18</x:v>
      </x:c>
      <x:c r="J866" s="9" t="str">
        <x:v>largest</x:v>
      </x:c>
      <x:c r="K866" s="9"/>
      <x:c r="L866" s="9" t="str">
        <x:v>1097</x:v>
      </x:c>
      <x:c r="M866" s="9"/>
      <x:c r="N866" s="9"/>
      <x:c r="O866" s="9" t="str">
        <x:v>Build the listed two-object scene and save a first-frame filename.</x:v>
      </x:c>
      <x:c r="P866" s="9" t="str">
        <x:v>Primary missing cell. Training episode 1097 contains the same target trajectory but masks the size word with a direct identity prompt.</x:v>
      </x:c>
      <x:c r="Q866" s="9"/>
      <x:c r="R866" s="10" t="n">
        <x:v>2</x:v>
      </x:c>
      <x:c r="S866" s="10"/>
      <x:c r="T866" s="9"/>
      <x:c r="U866" s="9"/>
      <x:c r="V866" s="9"/>
      <x:c r="W866" s="9"/>
      <x:c r="X866" s="10"/>
      <x:c r="Y866" s="10"/>
      <x:c r="Z866" s="9"/>
      <x:c r="AA866" s="9"/>
      <x:c r="AB866" s="9"/>
      <x:c r="AC866" s="9"/>
      <x:c r="AD866" s="9" t="str">
        <x:v>green block</x:v>
      </x:c>
      <x:c r="AE866" s="9"/>
      <x:c r="AF866" s="9"/>
      <x:c r="AG866" s="9"/>
      <x:c r="AH866" s="9" t="str">
        <x:v>Right</x:v>
      </x:c>
      <x:c r="AI866" s="11" t="n">
        <x:v>16</x:v>
      </x:c>
      <x:c r="AJ866" s="9" t="str">
        <x:v>Held-out largest × green block — Put</x:v>
      </x:c>
      <x:c r="AK866" s="9" t="str">
        <x:v>Eval_Size_Recognition (1).xlsm</x:v>
      </x:c>
      <x:c r="AL866" s="9" t="str">
        <x:v>GR00T vision-only Results</x:v>
      </x:c>
      <x:c r="AM866" s="9" t="n">
        <x:v>96</x:v>
      </x:c>
      <x:c r="AN866" s="9" t="n">
        <x:v>96</x:v>
      </x:c>
    </x:row>
    <x:row r="867">
      <x:c r="A867" s="9" t="str">
        <x:v>Failure</x:v>
      </x:c>
      <x:c r="B867" s="9" t="str">
        <x:v>Size Recognition</x:v>
      </x:c>
      <x:c r="C867" s="10" t="n">
        <x:v>95</x:v>
      </x:c>
      <x:c r="D867" s="9" t="str">
        <x:v>Move the object that is smallest into the bowl.</x:v>
      </x:c>
      <x:c r="E867" s="9" t="str">
        <x:v>Bowl: empty. Table, robot-left→robot-right: P1 juggling ball; P2 crushed Pepsi can. Adjacent centers 8 cm apart; row shifted 4 cm away from the robot; all objects fully visible and grasp paths clear.</x:v>
      </x:c>
      <x:c r="F867" s="9" t="str">
        <x:v>MOVE juggling ball to bowl</x:v>
      </x:c>
      <x:c r="G867" s="9" t="str">
        <x:v>succeeded reasoning; went to the juggling ball, but couldn't grasp it; kept drifting to the right</x:v>
      </x:c>
      <x:c r="H867" s="9" t="str">
        <x:v>Concept/compositional transfer</x:v>
      </x:c>
      <x:c r="I867" s="9" t="str">
        <x:v>SZ-CT-SJ18</x:v>
      </x:c>
      <x:c r="J867" s="9" t="str">
        <x:v>smallest</x:v>
      </x:c>
      <x:c r="K867" s="9"/>
      <x:c r="L867" s="9" t="str">
        <x:v>1122</x:v>
      </x:c>
      <x:c r="M867" s="9"/>
      <x:c r="N867" s="9"/>
      <x:c r="O867" s="9" t="str">
        <x:v>Build the listed two-object scene and save a first-frame filename.</x:v>
      </x:c>
      <x:c r="P867" s="9" t="str">
        <x:v>Primary missing cell. Training episode 1122 contains the same target trajectory but masks the size word with a direct identity prompt.</x:v>
      </x:c>
      <x:c r="Q867" s="9"/>
      <x:c r="R867" s="10" t="n">
        <x:v>2</x:v>
      </x:c>
      <x:c r="S867" s="10"/>
      <x:c r="T867" s="9"/>
      <x:c r="U867" s="9"/>
      <x:c r="V867" s="9"/>
      <x:c r="W867" s="9"/>
      <x:c r="X867" s="10"/>
      <x:c r="Y867" s="10"/>
      <x:c r="Z867" s="9"/>
      <x:c r="AA867" s="9"/>
      <x:c r="AB867" s="9"/>
      <x:c r="AC867" s="9"/>
      <x:c r="AD867" s="9" t="str">
        <x:v>juggling ball</x:v>
      </x:c>
      <x:c r="AE867" s="9"/>
      <x:c r="AF867" s="9"/>
      <x:c r="AG867" s="9"/>
      <x:c r="AH867" s="9" t="str">
        <x:v>Left</x:v>
      </x:c>
      <x:c r="AI867" s="11" t="n">
        <x:v>8</x:v>
      </x:c>
      <x:c r="AJ867" s="9" t="str">
        <x:v>Held-out smallest × juggling ball — Move</x:v>
      </x:c>
      <x:c r="AK867" s="9" t="str">
        <x:v>Eval_Size_Recognition (1).xlsm</x:v>
      </x:c>
      <x:c r="AL867" s="9" t="str">
        <x:v>GR00T vision-only Results</x:v>
      </x:c>
      <x:c r="AM867" s="9" t="n">
        <x:v>97</x:v>
      </x:c>
      <x:c r="AN867" s="9" t="n">
        <x:v>97</x:v>
      </x:c>
    </x:row>
    <x:row r="868">
      <x:c r="A868" s="9" t="str">
        <x:v>Failure</x:v>
      </x:c>
      <x:c r="B868" s="9" t="str">
        <x:v>Size Recognition</x:v>
      </x:c>
      <x:c r="C868" s="10" t="n">
        <x:v>96</x:v>
      </x:c>
      <x:c r="D868" s="9" t="str">
        <x:v>Move the object that is largest into the bowl.</x:v>
      </x:c>
      <x:c r="E868" s="9" t="str">
        <x:v>Bowl: empty. Table, robot-left→robot-right: P1 green block; P2 red pencil sharpener. Adjacent centers 8 cm apart; row shifted 4 cm toward the robot; all objects fully visible and grasp paths clear.</x:v>
      </x:c>
      <x:c r="F868" s="9" t="str">
        <x:v>MOVE green block to bowl</x:v>
      </x:c>
      <x:c r="G868" s="9" t="str">
        <x:v>succeeded readoning but overgripped the green block; knocked it off the workspace, then went for pencil sharpener and knocked it out of the workspace as well from overgripping</x:v>
      </x:c>
      <x:c r="H868" s="9" t="str">
        <x:v>Concept/compositional transfer</x:v>
      </x:c>
      <x:c r="I868" s="9" t="str">
        <x:v>SZ-CT-LG19</x:v>
      </x:c>
      <x:c r="J868" s="9" t="str">
        <x:v>largest</x:v>
      </x:c>
      <x:c r="K868" s="9"/>
      <x:c r="L868" s="9" t="str">
        <x:v>1098</x:v>
      </x:c>
      <x:c r="M868" s="9"/>
      <x:c r="N868" s="9"/>
      <x:c r="O868" s="9" t="str">
        <x:v>Build the listed two-object scene and save a first-frame filename.</x:v>
      </x:c>
      <x:c r="P868" s="9" t="str">
        <x:v>Primary missing cell. Training episode 1098 contains the same target trajectory but masks the size word with a direct identity prompt.</x:v>
      </x:c>
      <x:c r="Q868" s="9"/>
      <x:c r="R868" s="10" t="n">
        <x:v>2</x:v>
      </x:c>
      <x:c r="S868" s="10"/>
      <x:c r="T868" s="9"/>
      <x:c r="U868" s="9"/>
      <x:c r="V868" s="9"/>
      <x:c r="W868" s="9"/>
      <x:c r="X868" s="10"/>
      <x:c r="Y868" s="10"/>
      <x:c r="Z868" s="9"/>
      <x:c r="AA868" s="9"/>
      <x:c r="AB868" s="9"/>
      <x:c r="AC868" s="9"/>
      <x:c r="AD868" s="9" t="str">
        <x:v>green block</x:v>
      </x:c>
      <x:c r="AE868" s="9"/>
      <x:c r="AF868" s="9"/>
      <x:c r="AG868" s="9"/>
      <x:c r="AH868" s="9" t="str">
        <x:v>Left</x:v>
      </x:c>
      <x:c r="AI868" s="11" t="n">
        <x:v>8</x:v>
      </x:c>
      <x:c r="AJ868" s="9" t="str">
        <x:v>Held-out largest × green block — Move</x:v>
      </x:c>
      <x:c r="AK868" s="9" t="str">
        <x:v>Eval_Size_Recognition (1).xlsm</x:v>
      </x:c>
      <x:c r="AL868" s="9" t="str">
        <x:v>GR00T vision-only Results</x:v>
      </x:c>
      <x:c r="AM868" s="9" t="n">
        <x:v>98</x:v>
      </x:c>
      <x:c r="AN868" s="9" t="n">
        <x:v>98</x:v>
      </x:c>
    </x:row>
    <x:row r="869">
      <x:c r="A869" s="9" t="str">
        <x:v>Failure</x:v>
      </x:c>
      <x:c r="B869" s="9" t="str">
        <x:v>Size Recognition</x:v>
      </x:c>
      <x:c r="C869" s="10" t="n">
        <x:v>97</x:v>
      </x:c>
      <x:c r="D869" s="9" t="str">
        <x:v>Pick up the smallest item and place it in the bowl.</x:v>
      </x:c>
      <x:c r="E869" s="9" t="str">
        <x:v>Bowl: empty. Table, robot-left→robot-right: P1 crushed Pepsi can; P2 juggling ball. Adjacent centers 12 cm apart; row centered on the workspace; all objects fully visible and grasp paths clear.</x:v>
      </x:c>
      <x:c r="F869" s="9" t="str">
        <x:v>MOVE juggling ball to bowl</x:v>
      </x:c>
      <x:c r="G869" s="9" t="str">
        <x:v>went to the pepsi can with the wrong gripping strategy; drifted to the right edge of the workspace</x:v>
      </x:c>
      <x:c r="H869" s="9" t="str">
        <x:v>Concept/compositional transfer</x:v>
      </x:c>
      <x:c r="I869" s="9" t="str">
        <x:v>SZ-CT-SJ19</x:v>
      </x:c>
      <x:c r="J869" s="9" t="str">
        <x:v>smallest</x:v>
      </x:c>
      <x:c r="K869" s="9"/>
      <x:c r="L869" s="9" t="str">
        <x:v>1123</x:v>
      </x:c>
      <x:c r="M869" s="9"/>
      <x:c r="N869" s="9"/>
      <x:c r="O869" s="9" t="str">
        <x:v>Build the listed two-object scene and save a first-frame filename.</x:v>
      </x:c>
      <x:c r="P869" s="9" t="str">
        <x:v>Primary missing cell. Training episode 1123 contains the same target trajectory but masks the size word with a direct identity prompt.</x:v>
      </x:c>
      <x:c r="Q869" s="9"/>
      <x:c r="R869" s="10" t="n">
        <x:v>2</x:v>
      </x:c>
      <x:c r="S869" s="10"/>
      <x:c r="T869" s="9"/>
      <x:c r="U869" s="9"/>
      <x:c r="V869" s="9"/>
      <x:c r="W869" s="9"/>
      <x:c r="X869" s="10"/>
      <x:c r="Y869" s="10"/>
      <x:c r="Z869" s="9"/>
      <x:c r="AA869" s="9"/>
      <x:c r="AB869" s="9"/>
      <x:c r="AC869" s="9"/>
      <x:c r="AD869" s="9" t="str">
        <x:v>juggling ball</x:v>
      </x:c>
      <x:c r="AE869" s="9"/>
      <x:c r="AF869" s="9"/>
      <x:c r="AG869" s="9"/>
      <x:c r="AH869" s="9" t="str">
        <x:v>Right</x:v>
      </x:c>
      <x:c r="AI869" s="11" t="n">
        <x:v>12</x:v>
      </x:c>
      <x:c r="AJ869" s="9" t="str">
        <x:v>Held-out smallest × juggling ball — Pick up</x:v>
      </x:c>
      <x:c r="AK869" s="9" t="str">
        <x:v>Eval_Size_Recognition (1).xlsm</x:v>
      </x:c>
      <x:c r="AL869" s="9" t="str">
        <x:v>GR00T vision-only Results</x:v>
      </x:c>
      <x:c r="AM869" s="9" t="n">
        <x:v>99</x:v>
      </x:c>
      <x:c r="AN869" s="9" t="n">
        <x:v>99</x:v>
      </x:c>
    </x:row>
    <x:row r="870">
      <x:c r="A870" s="9" t="str">
        <x:v>Failure</x:v>
      </x:c>
      <x:c r="B870" s="9" t="str">
        <x:v>Size Recognition</x:v>
      </x:c>
      <x:c r="C870" s="10" t="n">
        <x:v>98</x:v>
      </x:c>
      <x:c r="D870" s="9" t="str">
        <x:v>Pick up the largest item and place it in the bowl.</x:v>
      </x:c>
      <x:c r="E870" s="9" t="str">
        <x:v>Bowl: empty. Table, robot-left→robot-right: P1 red pencil sharpener; P2 green block. Adjacent centers 12 cm apart; row shifted 4 cm away from the robot; all objects fully visible and grasp paths clear.</x:v>
      </x:c>
      <x:c r="F870" s="9" t="str">
        <x:v>MOVE green block to bowl</x:v>
      </x:c>
      <x:c r="G870" s="9" t="str">
        <x:v>tried to pick the red pencil sharpener; keeps overgripping</x:v>
      </x:c>
      <x:c r="H870" s="9" t="str">
        <x:v>Concept/compositional transfer</x:v>
      </x:c>
      <x:c r="I870" s="9" t="str">
        <x:v>SZ-CT-LG20</x:v>
      </x:c>
      <x:c r="J870" s="9" t="str">
        <x:v>largest</x:v>
      </x:c>
      <x:c r="K870" s="9"/>
      <x:c r="L870" s="9" t="str">
        <x:v>1099</x:v>
      </x:c>
      <x:c r="M870" s="9"/>
      <x:c r="N870" s="9"/>
      <x:c r="O870" s="9" t="str">
        <x:v>Build the listed two-object scene and save a first-frame filename.</x:v>
      </x:c>
      <x:c r="P870" s="9" t="str">
        <x:v>Primary missing cell. Training episode 1099 contains the same target trajectory but masks the size word with a direct identity prompt.</x:v>
      </x:c>
      <x:c r="Q870" s="9"/>
      <x:c r="R870" s="10" t="n">
        <x:v>2</x:v>
      </x:c>
      <x:c r="S870" s="10"/>
      <x:c r="T870" s="9"/>
      <x:c r="U870" s="9"/>
      <x:c r="V870" s="9"/>
      <x:c r="W870" s="9"/>
      <x:c r="X870" s="10"/>
      <x:c r="Y870" s="10"/>
      <x:c r="Z870" s="9"/>
      <x:c r="AA870" s="9"/>
      <x:c r="AB870" s="9"/>
      <x:c r="AC870" s="9"/>
      <x:c r="AD870" s="9" t="str">
        <x:v>green block</x:v>
      </x:c>
      <x:c r="AE870" s="9"/>
      <x:c r="AF870" s="9"/>
      <x:c r="AG870" s="9"/>
      <x:c r="AH870" s="9" t="str">
        <x:v>Right</x:v>
      </x:c>
      <x:c r="AI870" s="11" t="n">
        <x:v>12</x:v>
      </x:c>
      <x:c r="AJ870" s="9" t="str">
        <x:v>Held-out largest × green block — Pick up</x:v>
      </x:c>
      <x:c r="AK870" s="9" t="str">
        <x:v>Eval_Size_Recognition (1).xlsm</x:v>
      </x:c>
      <x:c r="AL870" s="9" t="str">
        <x:v>GR00T vision-only Results</x:v>
      </x:c>
      <x:c r="AM870" s="9" t="n">
        <x:v>100</x:v>
      </x:c>
      <x:c r="AN870" s="9" t="n">
        <x:v>100</x:v>
      </x:c>
    </x:row>
    <x:row r="871">
      <x:c r="A871" s="9" t="str">
        <x:v>Success</x:v>
      </x:c>
      <x:c r="B871" s="9" t="str">
        <x:v>Size Recognition</x:v>
      </x:c>
      <x:c r="C871" s="10" t="n">
        <x:v>99</x:v>
      </x:c>
      <x:c r="D871" s="9" t="str">
        <x:v>Put the smallest object in the bowl.</x:v>
      </x:c>
      <x:c r="E871" s="9" t="str">
        <x:v>Bowl: empty. Table, robot-left→robot-right: P1 juggling ball; P2 crushed Pepsi can. Adjacent centers 16 cm apart; row shifted 4 cm toward robot-left; all objects fully visible and grasp paths clear.</x:v>
      </x:c>
      <x:c r="F871" s="9" t="str">
        <x:v>MOVE juggling ball to bowl</x:v>
      </x:c>
      <x:c r="G871" s="9"/>
      <x:c r="H871" s="9" t="str">
        <x:v>Concept/compositional transfer</x:v>
      </x:c>
      <x:c r="I871" s="9" t="str">
        <x:v>SZ-CT-SJ20</x:v>
      </x:c>
      <x:c r="J871" s="9" t="str">
        <x:v>smallest</x:v>
      </x:c>
      <x:c r="K871" s="9"/>
      <x:c r="L871" s="9" t="str">
        <x:v>1124</x:v>
      </x:c>
      <x:c r="M871" s="9"/>
      <x:c r="N871" s="9"/>
      <x:c r="O871" s="9" t="str">
        <x:v>Build the listed two-object scene and save a first-frame filename.</x:v>
      </x:c>
      <x:c r="P871" s="9" t="str">
        <x:v>Primary missing cell. Training episode 1124 contains the same target trajectory but masks the size word with a direct identity prompt.</x:v>
      </x:c>
      <x:c r="Q871" s="9"/>
      <x:c r="R871" s="10" t="n">
        <x:v>2</x:v>
      </x:c>
      <x:c r="S871" s="10"/>
      <x:c r="T871" s="9"/>
      <x:c r="U871" s="9"/>
      <x:c r="V871" s="9"/>
      <x:c r="W871" s="9"/>
      <x:c r="X871" s="10"/>
      <x:c r="Y871" s="10"/>
      <x:c r="Z871" s="9"/>
      <x:c r="AA871" s="9"/>
      <x:c r="AB871" s="9"/>
      <x:c r="AC871" s="9"/>
      <x:c r="AD871" s="9" t="str">
        <x:v>juggling ball</x:v>
      </x:c>
      <x:c r="AE871" s="9"/>
      <x:c r="AF871" s="9"/>
      <x:c r="AG871" s="9"/>
      <x:c r="AH871" s="9" t="str">
        <x:v>Left</x:v>
      </x:c>
      <x:c r="AI871" s="11" t="n">
        <x:v>16</x:v>
      </x:c>
      <x:c r="AJ871" s="9" t="str">
        <x:v>Held-out smallest × juggling ball — Put</x:v>
      </x:c>
      <x:c r="AK871" s="9" t="str">
        <x:v>Eval_Size_Recognition (1).xlsm</x:v>
      </x:c>
      <x:c r="AL871" s="9" t="str">
        <x:v>GR00T vision-only Results</x:v>
      </x:c>
      <x:c r="AM871" s="9" t="n">
        <x:v>101</x:v>
      </x:c>
      <x:c r="AN871" s="9" t="n">
        <x:v>101</x:v>
      </x:c>
    </x:row>
    <x:row r="872">
      <x:c r="A872" s="9" t="str">
        <x:v>Success</x:v>
      </x:c>
      <x:c r="B872" s="9" t="str">
        <x:v>Size Recognition</x:v>
      </x:c>
      <x:c r="C872" s="10" t="n">
        <x:v>100</x:v>
      </x:c>
      <x:c r="D872" s="9" t="str">
        <x:v>Put the largest object in the bowl.</x:v>
      </x:c>
      <x:c r="E872" s="9" t="str">
        <x:v>Bowl: empty. Table, robot-left→robot-right: P1 green block; P2 red pencil sharpener. Adjacent centers 16 cm apart; row centered on the workspace; all objects fully visible and grasp paths clear.</x:v>
      </x:c>
      <x:c r="F872" s="9" t="str">
        <x:v>MOVE green block to bowl</x:v>
      </x:c>
      <x:c r="G872" s="9"/>
      <x:c r="H872" s="9" t="str">
        <x:v>Concept/compositional transfer</x:v>
      </x:c>
      <x:c r="I872" s="9" t="str">
        <x:v>SZ-CT-LG21</x:v>
      </x:c>
      <x:c r="J872" s="9" t="str">
        <x:v>largest</x:v>
      </x:c>
      <x:c r="K872" s="9"/>
      <x:c r="L872" s="9" t="str">
        <x:v>1080</x:v>
      </x:c>
      <x:c r="M872" s="9"/>
      <x:c r="N872" s="9"/>
      <x:c r="O872" s="9" t="str">
        <x:v>Build the listed two-object scene and save a first-frame filename.</x:v>
      </x:c>
      <x:c r="P872" s="9" t="str">
        <x:v>Primary missing cell. Training episode 1080 contains the same target trajectory but masks the size word with a direct identity prompt.</x:v>
      </x:c>
      <x:c r="Q872" s="9"/>
      <x:c r="R872" s="10" t="n">
        <x:v>2</x:v>
      </x:c>
      <x:c r="S872" s="10"/>
      <x:c r="T872" s="9"/>
      <x:c r="U872" s="9"/>
      <x:c r="V872" s="9"/>
      <x:c r="W872" s="9"/>
      <x:c r="X872" s="10"/>
      <x:c r="Y872" s="10"/>
      <x:c r="Z872" s="9"/>
      <x:c r="AA872" s="9"/>
      <x:c r="AB872" s="9"/>
      <x:c r="AC872" s="9"/>
      <x:c r="AD872" s="9" t="str">
        <x:v>green block</x:v>
      </x:c>
      <x:c r="AE872" s="9"/>
      <x:c r="AF872" s="9"/>
      <x:c r="AG872" s="9"/>
      <x:c r="AH872" s="9" t="str">
        <x:v>Left</x:v>
      </x:c>
      <x:c r="AI872" s="11" t="n">
        <x:v>16</x:v>
      </x:c>
      <x:c r="AJ872" s="9" t="str">
        <x:v>Held-out largest × green block — Put</x:v>
      </x:c>
      <x:c r="AK872" s="9" t="str">
        <x:v>Eval_Size_Recognition (1).xlsm</x:v>
      </x:c>
      <x:c r="AL872" s="9" t="str">
        <x:v>GR00T vision-only Results</x:v>
      </x:c>
      <x:c r="AM872" s="9" t="n">
        <x:v>102</x:v>
      </x:c>
      <x:c r="AN872" s="9" t="n">
        <x:v>102</x:v>
      </x:c>
    </x:row>
    <x:row r="873">
      <x:c r="A873" s="9" t="str">
        <x:v>Failure</x:v>
      </x:c>
      <x:c r="B873" s="9" t="str">
        <x:v>Size Recognition</x:v>
      </x:c>
      <x:c r="C873" s="10" t="n">
        <x:v>101</x:v>
      </x:c>
      <x:c r="D873" s="9" t="str">
        <x:v>Move the object that is smallest into the bowl.</x:v>
      </x:c>
      <x:c r="E873" s="9" t="str">
        <x:v>Bowl: empty. Table, robot-left→robot-right: P1 crushed Pepsi can; P2 juggling ball. Adjacent centers 8 cm apart; row shifted 4 cm toward robot-right; all objects fully visible and grasp paths clear.</x:v>
      </x:c>
      <x:c r="F873" s="9" t="str">
        <x:v>MOVE juggling ball to bowl</x:v>
      </x:c>
      <x:c r="G873" s="9" t="str">
        <x:v>went for the pepsi can with the wrong gripping strategy</x:v>
      </x:c>
      <x:c r="H873" s="9" t="str">
        <x:v>Concept/compositional transfer</x:v>
      </x:c>
      <x:c r="I873" s="9" t="str">
        <x:v>SZ-CT-SJ21</x:v>
      </x:c>
      <x:c r="J873" s="9" t="str">
        <x:v>smallest</x:v>
      </x:c>
      <x:c r="K873" s="9"/>
      <x:c r="L873" s="9" t="str">
        <x:v>1105</x:v>
      </x:c>
      <x:c r="M873" s="9"/>
      <x:c r="N873" s="9"/>
      <x:c r="O873" s="9" t="str">
        <x:v>Build the listed two-object scene and save a first-frame filename.</x:v>
      </x:c>
      <x:c r="P873" s="9" t="str">
        <x:v>Primary missing cell. Training episode 1105 contains the same target trajectory but masks the size word with a direct identity prompt.</x:v>
      </x:c>
      <x:c r="Q873" s="9"/>
      <x:c r="R873" s="10" t="n">
        <x:v>2</x:v>
      </x:c>
      <x:c r="S873" s="10"/>
      <x:c r="T873" s="9"/>
      <x:c r="U873" s="9"/>
      <x:c r="V873" s="9"/>
      <x:c r="W873" s="9"/>
      <x:c r="X873" s="10"/>
      <x:c r="Y873" s="10"/>
      <x:c r="Z873" s="9"/>
      <x:c r="AA873" s="9"/>
      <x:c r="AB873" s="9"/>
      <x:c r="AC873" s="9"/>
      <x:c r="AD873" s="9" t="str">
        <x:v>juggling ball</x:v>
      </x:c>
      <x:c r="AE873" s="9"/>
      <x:c r="AF873" s="9"/>
      <x:c r="AG873" s="9"/>
      <x:c r="AH873" s="9" t="str">
        <x:v>Right</x:v>
      </x:c>
      <x:c r="AI873" s="11" t="n">
        <x:v>8</x:v>
      </x:c>
      <x:c r="AJ873" s="9" t="str">
        <x:v>Held-out smallest × juggling ball — Move</x:v>
      </x:c>
      <x:c r="AK873" s="9" t="str">
        <x:v>Eval_Size_Recognition (1).xlsm</x:v>
      </x:c>
      <x:c r="AL873" s="9" t="str">
        <x:v>GR00T vision-only Results</x:v>
      </x:c>
      <x:c r="AM873" s="9" t="n">
        <x:v>103</x:v>
      </x:c>
      <x:c r="AN873" s="9" t="n">
        <x:v>103</x:v>
      </x:c>
    </x:row>
    <x:row r="874">
      <x:c r="A874" s="9" t="str">
        <x:v>Success</x:v>
      </x:c>
      <x:c r="B874" s="9" t="str">
        <x:v>Size Recognition</x:v>
      </x:c>
      <x:c r="C874" s="10" t="n">
        <x:v>102</x:v>
      </x:c>
      <x:c r="D874" s="9" t="str">
        <x:v>Move the object that is largest into the bowl.</x:v>
      </x:c>
      <x:c r="E874" s="9" t="str">
        <x:v>Bowl: empty. Table, robot-left→robot-right: P1 red pencil sharpener; P2 green block. Adjacent centers 8 cm apart; row shifted 4 cm toward robot-left; all objects fully visible and grasp paths clear.</x:v>
      </x:c>
      <x:c r="F874" s="9" t="str">
        <x:v>MOVE green block to bowl</x:v>
      </x:c>
      <x:c r="G874" s="9"/>
      <x:c r="H874" s="9" t="str">
        <x:v>Concept/compositional transfer</x:v>
      </x:c>
      <x:c r="I874" s="9" t="str">
        <x:v>SZ-CT-LG22</x:v>
      </x:c>
      <x:c r="J874" s="9" t="str">
        <x:v>largest</x:v>
      </x:c>
      <x:c r="K874" s="9"/>
      <x:c r="L874" s="9" t="str">
        <x:v>1081</x:v>
      </x:c>
      <x:c r="M874" s="9"/>
      <x:c r="N874" s="9"/>
      <x:c r="O874" s="9" t="str">
        <x:v>Build the listed two-object scene and save a first-frame filename.</x:v>
      </x:c>
      <x:c r="P874" s="9" t="str">
        <x:v>Primary missing cell. Training episode 1081 contains the same target trajectory but masks the size word with a direct identity prompt.</x:v>
      </x:c>
      <x:c r="Q874" s="9"/>
      <x:c r="R874" s="10" t="n">
        <x:v>2</x:v>
      </x:c>
      <x:c r="S874" s="10"/>
      <x:c r="T874" s="9"/>
      <x:c r="U874" s="9"/>
      <x:c r="V874" s="9"/>
      <x:c r="W874" s="9"/>
      <x:c r="X874" s="10"/>
      <x:c r="Y874" s="10"/>
      <x:c r="Z874" s="9"/>
      <x:c r="AA874" s="9"/>
      <x:c r="AB874" s="9"/>
      <x:c r="AC874" s="9"/>
      <x:c r="AD874" s="9" t="str">
        <x:v>green block</x:v>
      </x:c>
      <x:c r="AE874" s="9"/>
      <x:c r="AF874" s="9"/>
      <x:c r="AG874" s="9"/>
      <x:c r="AH874" s="9" t="str">
        <x:v>Right</x:v>
      </x:c>
      <x:c r="AI874" s="11" t="n">
        <x:v>8</x:v>
      </x:c>
      <x:c r="AJ874" s="9" t="str">
        <x:v>Held-out largest × green block — Move</x:v>
      </x:c>
      <x:c r="AK874" s="9" t="str">
        <x:v>Eval_Size_Recognition (1).xlsm</x:v>
      </x:c>
      <x:c r="AL874" s="9" t="str">
        <x:v>GR00T vision-only Results</x:v>
      </x:c>
      <x:c r="AM874" s="9" t="n">
        <x:v>104</x:v>
      </x:c>
      <x:c r="AN874" s="9" t="n">
        <x:v>104</x:v>
      </x:c>
    </x:row>
    <x:row r="875">
      <x:c r="A875" s="9" t="str">
        <x:v>Failure</x:v>
      </x:c>
      <x:c r="B875" s="9" t="str">
        <x:v>Size Recognition</x:v>
      </x:c>
      <x:c r="C875" s="10" t="n">
        <x:v>103</x:v>
      </x:c>
      <x:c r="D875" s="9" t="str">
        <x:v>Pick up the smallest item and place it in the bowl.</x:v>
      </x:c>
      <x:c r="E875" s="9" t="str">
        <x:v>Bowl: empty. Table, robot-left→robot-right: P1 juggling ball; P2 crushed Pepsi can. Adjacent centers 12 cm apart; row shifted 4 cm toward the robot; all objects fully visible and grasp paths clear.</x:v>
      </x:c>
      <x:c r="F875" s="9" t="str">
        <x:v>MOVE juggling ball to bowl</x:v>
      </x:c>
      <x:c r="G875" s="9" t="str">
        <x:v>went to the pepsi can with wrong gripping strategy</x:v>
      </x:c>
      <x:c r="H875" s="9" t="str">
        <x:v>Concept/compositional transfer</x:v>
      </x:c>
      <x:c r="I875" s="9" t="str">
        <x:v>SZ-CT-SJ22</x:v>
      </x:c>
      <x:c r="J875" s="9" t="str">
        <x:v>smallest</x:v>
      </x:c>
      <x:c r="K875" s="9"/>
      <x:c r="L875" s="9" t="str">
        <x:v>1106</x:v>
      </x:c>
      <x:c r="M875" s="9"/>
      <x:c r="N875" s="9"/>
      <x:c r="O875" s="9" t="str">
        <x:v>Build the listed two-object scene and save a first-frame filename.</x:v>
      </x:c>
      <x:c r="P875" s="9" t="str">
        <x:v>Primary missing cell. Training episode 1106 contains the same target trajectory but masks the size word with a direct identity prompt.</x:v>
      </x:c>
      <x:c r="Q875" s="9"/>
      <x:c r="R875" s="10" t="n">
        <x:v>2</x:v>
      </x:c>
      <x:c r="S875" s="10"/>
      <x:c r="T875" s="9"/>
      <x:c r="U875" s="9"/>
      <x:c r="V875" s="9"/>
      <x:c r="W875" s="9"/>
      <x:c r="X875" s="10"/>
      <x:c r="Y875" s="10"/>
      <x:c r="Z875" s="9"/>
      <x:c r="AA875" s="9"/>
      <x:c r="AB875" s="9"/>
      <x:c r="AC875" s="9"/>
      <x:c r="AD875" s="9" t="str">
        <x:v>juggling ball</x:v>
      </x:c>
      <x:c r="AE875" s="9"/>
      <x:c r="AF875" s="9"/>
      <x:c r="AG875" s="9"/>
      <x:c r="AH875" s="9" t="str">
        <x:v>Left</x:v>
      </x:c>
      <x:c r="AI875" s="11" t="n">
        <x:v>12</x:v>
      </x:c>
      <x:c r="AJ875" s="9" t="str">
        <x:v>Held-out smallest × juggling ball — Pick up</x:v>
      </x:c>
      <x:c r="AK875" s="9" t="str">
        <x:v>Eval_Size_Recognition (1).xlsm</x:v>
      </x:c>
      <x:c r="AL875" s="9" t="str">
        <x:v>GR00T vision-only Results</x:v>
      </x:c>
      <x:c r="AM875" s="9" t="n">
        <x:v>105</x:v>
      </x:c>
      <x:c r="AN875" s="9" t="n">
        <x:v>105</x:v>
      </x:c>
    </x:row>
    <x:row r="876">
      <x:c r="A876" s="9" t="str">
        <x:v>Success</x:v>
      </x:c>
      <x:c r="B876" s="9" t="str">
        <x:v>Size Recognition</x:v>
      </x:c>
      <x:c r="C876" s="10" t="n">
        <x:v>104</x:v>
      </x:c>
      <x:c r="D876" s="9" t="str">
        <x:v>Pick up the largest item and place it in the bowl.</x:v>
      </x:c>
      <x:c r="E876" s="9" t="str">
        <x:v>Bowl: empty. Table, robot-left→robot-right: P1 green block; P2 red pencil sharpener. Adjacent centers 12 cm apart; row shifted 4 cm toward robot-right; all objects fully visible and grasp paths clear.</x:v>
      </x:c>
      <x:c r="F876" s="9" t="str">
        <x:v>MOVE green block to bowl</x:v>
      </x:c>
      <x:c r="G876" s="9"/>
      <x:c r="H876" s="9" t="str">
        <x:v>Concept/compositional transfer</x:v>
      </x:c>
      <x:c r="I876" s="9" t="str">
        <x:v>SZ-CT-LG23</x:v>
      </x:c>
      <x:c r="J876" s="9" t="str">
        <x:v>largest</x:v>
      </x:c>
      <x:c r="K876" s="9"/>
      <x:c r="L876" s="9" t="str">
        <x:v>1082</x:v>
      </x:c>
      <x:c r="M876" s="9"/>
      <x:c r="N876" s="9"/>
      <x:c r="O876" s="9" t="str">
        <x:v>Build the listed two-object scene and save a first-frame filename.</x:v>
      </x:c>
      <x:c r="P876" s="9" t="str">
        <x:v>Primary missing cell. Training episode 1082 contains the same target trajectory but masks the size word with a direct identity prompt.</x:v>
      </x:c>
      <x:c r="Q876" s="9"/>
      <x:c r="R876" s="10" t="n">
        <x:v>2</x:v>
      </x:c>
      <x:c r="S876" s="10"/>
      <x:c r="T876" s="9"/>
      <x:c r="U876" s="9"/>
      <x:c r="V876" s="9"/>
      <x:c r="W876" s="9"/>
      <x:c r="X876" s="10"/>
      <x:c r="Y876" s="10"/>
      <x:c r="Z876" s="9"/>
      <x:c r="AA876" s="9"/>
      <x:c r="AB876" s="9"/>
      <x:c r="AC876" s="9"/>
      <x:c r="AD876" s="9" t="str">
        <x:v>green block</x:v>
      </x:c>
      <x:c r="AE876" s="9"/>
      <x:c r="AF876" s="9"/>
      <x:c r="AG876" s="9"/>
      <x:c r="AH876" s="9" t="str">
        <x:v>Left</x:v>
      </x:c>
      <x:c r="AI876" s="11" t="n">
        <x:v>12</x:v>
      </x:c>
      <x:c r="AJ876" s="9" t="str">
        <x:v>Held-out largest × green block — Pick up</x:v>
      </x:c>
      <x:c r="AK876" s="9" t="str">
        <x:v>Eval_Size_Recognition (1).xlsm</x:v>
      </x:c>
      <x:c r="AL876" s="9" t="str">
        <x:v>GR00T vision-only Results</x:v>
      </x:c>
      <x:c r="AM876" s="9" t="n">
        <x:v>106</x:v>
      </x:c>
      <x:c r="AN876" s="9" t="n">
        <x:v>106</x:v>
      </x:c>
    </x:row>
    <x:row r="877">
      <x:c r="A877" s="9" t="str">
        <x:v>Success</x:v>
      </x:c>
      <x:c r="B877" s="9" t="str">
        <x:v>Size Recognition</x:v>
      </x:c>
      <x:c r="C877" s="10" t="n">
        <x:v>105</x:v>
      </x:c>
      <x:c r="D877" s="9" t="str">
        <x:v>Put the smallest object in the bowl.</x:v>
      </x:c>
      <x:c r="E877" s="9" t="str">
        <x:v>Bowl: empty. Table, robot-left→robot-right: P1 crushed Pepsi can; P2 juggling ball. Adjacent centers 16 cm apart; row shifted 4 cm away from the robot; all objects fully visible and grasp paths clear.</x:v>
      </x:c>
      <x:c r="F877" s="9" t="str">
        <x:v>MOVE juggling ball to bowl</x:v>
      </x:c>
      <x:c r="G877" s="9"/>
      <x:c r="H877" s="9" t="str">
        <x:v>Concept/compositional transfer</x:v>
      </x:c>
      <x:c r="I877" s="9" t="str">
        <x:v>SZ-CT-SJ23</x:v>
      </x:c>
      <x:c r="J877" s="9" t="str">
        <x:v>smallest</x:v>
      </x:c>
      <x:c r="K877" s="9"/>
      <x:c r="L877" s="9" t="str">
        <x:v>1107</x:v>
      </x:c>
      <x:c r="M877" s="9"/>
      <x:c r="N877" s="9"/>
      <x:c r="O877" s="9" t="str">
        <x:v>Build the listed two-object scene and save a first-frame filename.</x:v>
      </x:c>
      <x:c r="P877" s="9" t="str">
        <x:v>Primary missing cell. Training episode 1107 contains the same target trajectory but masks the size word with a direct identity prompt.</x:v>
      </x:c>
      <x:c r="Q877" s="9"/>
      <x:c r="R877" s="10" t="n">
        <x:v>2</x:v>
      </x:c>
      <x:c r="S877" s="10"/>
      <x:c r="T877" s="9"/>
      <x:c r="U877" s="9"/>
      <x:c r="V877" s="9"/>
      <x:c r="W877" s="9"/>
      <x:c r="X877" s="10"/>
      <x:c r="Y877" s="10"/>
      <x:c r="Z877" s="9"/>
      <x:c r="AA877" s="9"/>
      <x:c r="AB877" s="9"/>
      <x:c r="AC877" s="9"/>
      <x:c r="AD877" s="9" t="str">
        <x:v>juggling ball</x:v>
      </x:c>
      <x:c r="AE877" s="9"/>
      <x:c r="AF877" s="9"/>
      <x:c r="AG877" s="9"/>
      <x:c r="AH877" s="9" t="str">
        <x:v>Right</x:v>
      </x:c>
      <x:c r="AI877" s="11" t="n">
        <x:v>16</x:v>
      </x:c>
      <x:c r="AJ877" s="9" t="str">
        <x:v>Held-out smallest × juggling ball — Put</x:v>
      </x:c>
      <x:c r="AK877" s="9" t="str">
        <x:v>Eval_Size_Recognition (1).xlsm</x:v>
      </x:c>
      <x:c r="AL877" s="9" t="str">
        <x:v>GR00T vision-only Results</x:v>
      </x:c>
      <x:c r="AM877" s="9" t="n">
        <x:v>107</x:v>
      </x:c>
      <x:c r="AN877" s="9" t="n">
        <x:v>107</x:v>
      </x:c>
    </x:row>
    <x:row r="878">
      <x:c r="A878" s="9" t="str">
        <x:v>Success</x:v>
      </x:c>
      <x:c r="B878" s="9" t="str">
        <x:v>Size Recognition</x:v>
      </x:c>
      <x:c r="C878" s="10" t="n">
        <x:v>106</x:v>
      </x:c>
      <x:c r="D878" s="9" t="str">
        <x:v>Put the largest object in the bowl.</x:v>
      </x:c>
      <x:c r="E878" s="9" t="str">
        <x:v>Bowl: empty. Table, robot-left→robot-right: P1 red pencil sharpener; P2 green block. Adjacent centers 16 cm apart; row shifted 4 cm toward the robot; all objects fully visible and grasp paths clear.</x:v>
      </x:c>
      <x:c r="F878" s="9" t="str">
        <x:v>MOVE green block to bowl</x:v>
      </x:c>
      <x:c r="G878" s="9"/>
      <x:c r="H878" s="9" t="str">
        <x:v>Concept/compositional transfer</x:v>
      </x:c>
      <x:c r="I878" s="9" t="str">
        <x:v>SZ-CT-LG24</x:v>
      </x:c>
      <x:c r="J878" s="9" t="str">
        <x:v>largest</x:v>
      </x:c>
      <x:c r="K878" s="9"/>
      <x:c r="L878" s="9" t="str">
        <x:v>1083</x:v>
      </x:c>
      <x:c r="M878" s="9"/>
      <x:c r="N878" s="9"/>
      <x:c r="O878" s="9" t="str">
        <x:v>Build the listed two-object scene and save a first-frame filename.</x:v>
      </x:c>
      <x:c r="P878" s="9" t="str">
        <x:v>Primary missing cell. Training episode 1083 contains the same target trajectory but masks the size word with a direct identity prompt.</x:v>
      </x:c>
      <x:c r="Q878" s="9"/>
      <x:c r="R878" s="10" t="n">
        <x:v>2</x:v>
      </x:c>
      <x:c r="S878" s="10"/>
      <x:c r="T878" s="9"/>
      <x:c r="U878" s="9"/>
      <x:c r="V878" s="9"/>
      <x:c r="W878" s="9"/>
      <x:c r="X878" s="10"/>
      <x:c r="Y878" s="10"/>
      <x:c r="Z878" s="9"/>
      <x:c r="AA878" s="9"/>
      <x:c r="AB878" s="9"/>
      <x:c r="AC878" s="9"/>
      <x:c r="AD878" s="9" t="str">
        <x:v>green block</x:v>
      </x:c>
      <x:c r="AE878" s="9"/>
      <x:c r="AF878" s="9"/>
      <x:c r="AG878" s="9"/>
      <x:c r="AH878" s="9" t="str">
        <x:v>Right</x:v>
      </x:c>
      <x:c r="AI878" s="11" t="n">
        <x:v>16</x:v>
      </x:c>
      <x:c r="AJ878" s="9" t="str">
        <x:v>Held-out largest × green block — Put</x:v>
      </x:c>
      <x:c r="AK878" s="9" t="str">
        <x:v>Eval_Size_Recognition (1).xlsm</x:v>
      </x:c>
      <x:c r="AL878" s="9" t="str">
        <x:v>GR00T vision-only Results</x:v>
      </x:c>
      <x:c r="AM878" s="9" t="n">
        <x:v>108</x:v>
      </x:c>
      <x:c r="AN878" s="9" t="n">
        <x:v>108</x:v>
      </x:c>
    </x:row>
    <x:row r="879">
      <x:c r="A879" s="9" t="str">
        <x:v>Success</x:v>
      </x:c>
      <x:c r="B879" s="9" t="str">
        <x:v>Size Recognition</x:v>
      </x:c>
      <x:c r="C879" s="10" t="n">
        <x:v>107</x:v>
      </x:c>
      <x:c r="D879" s="9" t="str">
        <x:v>Move the object that is smallest into the bowl.</x:v>
      </x:c>
      <x:c r="E879" s="9" t="str">
        <x:v>Bowl: empty. Table, robot-left→robot-right: P1 juggling ball; P2 crushed Pepsi can. Adjacent centers 8 cm apart; row centered on the workspace; all objects fully visible and grasp paths clear.</x:v>
      </x:c>
      <x:c r="F879" s="9" t="str">
        <x:v>MOVE juggling ball to bowl</x:v>
      </x:c>
      <x:c r="G879" s="9"/>
      <x:c r="H879" s="9" t="str">
        <x:v>Concept/compositional transfer</x:v>
      </x:c>
      <x:c r="I879" s="9" t="str">
        <x:v>SZ-CT-SJ24</x:v>
      </x:c>
      <x:c r="J879" s="9" t="str">
        <x:v>smallest</x:v>
      </x:c>
      <x:c r="K879" s="9"/>
      <x:c r="L879" s="9" t="str">
        <x:v>1108</x:v>
      </x:c>
      <x:c r="M879" s="9"/>
      <x:c r="N879" s="9"/>
      <x:c r="O879" s="9" t="str">
        <x:v>Build the listed two-object scene and save a first-frame filename.</x:v>
      </x:c>
      <x:c r="P879" s="9" t="str">
        <x:v>Primary missing cell. Training episode 1108 contains the same target trajectory but masks the size word with a direct identity prompt.</x:v>
      </x:c>
      <x:c r="Q879" s="9"/>
      <x:c r="R879" s="10" t="n">
        <x:v>2</x:v>
      </x:c>
      <x:c r="S879" s="10"/>
      <x:c r="T879" s="9"/>
      <x:c r="U879" s="9"/>
      <x:c r="V879" s="9"/>
      <x:c r="W879" s="9"/>
      <x:c r="X879" s="10"/>
      <x:c r="Y879" s="10"/>
      <x:c r="Z879" s="9"/>
      <x:c r="AA879" s="9"/>
      <x:c r="AB879" s="9"/>
      <x:c r="AC879" s="9"/>
      <x:c r="AD879" s="9" t="str">
        <x:v>juggling ball</x:v>
      </x:c>
      <x:c r="AE879" s="9"/>
      <x:c r="AF879" s="9"/>
      <x:c r="AG879" s="9"/>
      <x:c r="AH879" s="9" t="str">
        <x:v>Left</x:v>
      </x:c>
      <x:c r="AI879" s="11" t="n">
        <x:v>8</x:v>
      </x:c>
      <x:c r="AJ879" s="9" t="str">
        <x:v>Held-out smallest × juggling ball — Move</x:v>
      </x:c>
      <x:c r="AK879" s="9" t="str">
        <x:v>Eval_Size_Recognition (1).xlsm</x:v>
      </x:c>
      <x:c r="AL879" s="9" t="str">
        <x:v>GR00T vision-only Results</x:v>
      </x:c>
      <x:c r="AM879" s="9" t="n">
        <x:v>109</x:v>
      </x:c>
      <x:c r="AN879" s="9" t="n">
        <x:v>109</x:v>
      </x:c>
    </x:row>
    <x:row r="880">
      <x:c r="A880" s="9" t="str">
        <x:v>Success</x:v>
      </x:c>
      <x:c r="B880" s="9" t="str">
        <x:v>Size Recognition</x:v>
      </x:c>
      <x:c r="C880" s="10" t="n">
        <x:v>108</x:v>
      </x:c>
      <x:c r="D880" s="9" t="str">
        <x:v>Move the object that is largest into the bowl.</x:v>
      </x:c>
      <x:c r="E880" s="9" t="str">
        <x:v>Bowl: empty. Table, robot-left→robot-right: P1 green block; P2 red pencil sharpener. Adjacent centers 8 cm apart; row shifted 4 cm away from the robot; all objects fully visible and grasp paths clear.</x:v>
      </x:c>
      <x:c r="F880" s="9" t="str">
        <x:v>MOVE green block to bowl</x:v>
      </x:c>
      <x:c r="G880" s="9"/>
      <x:c r="H880" s="9" t="str">
        <x:v>Concept/compositional transfer</x:v>
      </x:c>
      <x:c r="I880" s="9" t="str">
        <x:v>SZ-CT-LG25</x:v>
      </x:c>
      <x:c r="J880" s="9" t="str">
        <x:v>largest</x:v>
      </x:c>
      <x:c r="K880" s="9"/>
      <x:c r="L880" s="9" t="str">
        <x:v>1084</x:v>
      </x:c>
      <x:c r="M880" s="9"/>
      <x:c r="N880" s="9"/>
      <x:c r="O880" s="9" t="str">
        <x:v>Build the listed two-object scene and save a first-frame filename.</x:v>
      </x:c>
      <x:c r="P880" s="9" t="str">
        <x:v>Primary missing cell. Training episode 1084 contains the same target trajectory but masks the size word with a direct identity prompt.</x:v>
      </x:c>
      <x:c r="Q880" s="9"/>
      <x:c r="R880" s="10" t="n">
        <x:v>2</x:v>
      </x:c>
      <x:c r="S880" s="10"/>
      <x:c r="T880" s="9"/>
      <x:c r="U880" s="9"/>
      <x:c r="V880" s="9"/>
      <x:c r="W880" s="9"/>
      <x:c r="X880" s="10"/>
      <x:c r="Y880" s="10"/>
      <x:c r="Z880" s="9"/>
      <x:c r="AA880" s="9"/>
      <x:c r="AB880" s="9"/>
      <x:c r="AC880" s="9"/>
      <x:c r="AD880" s="9" t="str">
        <x:v>green block</x:v>
      </x:c>
      <x:c r="AE880" s="9"/>
      <x:c r="AF880" s="9"/>
      <x:c r="AG880" s="9"/>
      <x:c r="AH880" s="9" t="str">
        <x:v>Left</x:v>
      </x:c>
      <x:c r="AI880" s="11" t="n">
        <x:v>8</x:v>
      </x:c>
      <x:c r="AJ880" s="9" t="str">
        <x:v>Held-out largest × green block — Move</x:v>
      </x:c>
      <x:c r="AK880" s="9" t="str">
        <x:v>Eval_Size_Recognition (1).xlsm</x:v>
      </x:c>
      <x:c r="AL880" s="9" t="str">
        <x:v>GR00T vision-only Results</x:v>
      </x:c>
      <x:c r="AM880" s="9" t="n">
        <x:v>110</x:v>
      </x:c>
      <x:c r="AN880" s="9" t="n">
        <x:v>110</x:v>
      </x:c>
    </x:row>
    <x:row r="881">
      <x:c r="A881" s="9" t="str">
        <x:v>Failure</x:v>
      </x:c>
      <x:c r="B881" s="9" t="str">
        <x:v>Size Recognition</x:v>
      </x:c>
      <x:c r="C881" s="10" t="n">
        <x:v>109</x:v>
      </x:c>
      <x:c r="D881" s="9" t="str">
        <x:v>Pick up the smallest item and place it in the bowl.</x:v>
      </x:c>
      <x:c r="E881" s="9" t="str">
        <x:v>Bowl: empty. Table, robot-left→robot-right: P1 crushed Pepsi can; P2 juggling ball. Adjacent centers 12 cm apart; row shifted 4 cm toward robot-left; all objects fully visible and grasp paths clear.</x:v>
      </x:c>
      <x:c r="F881" s="9" t="str">
        <x:v>MOVE juggling ball to bowl</x:v>
      </x:c>
      <x:c r="G881" s="9" t="str">
        <x:v>went for the pepsi can with wrong gripping strategy; drifted to the right edge of the workspace</x:v>
      </x:c>
      <x:c r="H881" s="9" t="str">
        <x:v>Concept/compositional transfer</x:v>
      </x:c>
      <x:c r="I881" s="9" t="str">
        <x:v>SZ-CT-SJ25</x:v>
      </x:c>
      <x:c r="J881" s="9" t="str">
        <x:v>smallest</x:v>
      </x:c>
      <x:c r="K881" s="9"/>
      <x:c r="L881" s="9" t="str">
        <x:v>1109</x:v>
      </x:c>
      <x:c r="M881" s="9"/>
      <x:c r="N881" s="9"/>
      <x:c r="O881" s="9" t="str">
        <x:v>Build the listed two-object scene and save a first-frame filename.</x:v>
      </x:c>
      <x:c r="P881" s="9" t="str">
        <x:v>Primary missing cell. Training episode 1109 contains the same target trajectory but masks the size word with a direct identity prompt.</x:v>
      </x:c>
      <x:c r="Q881" s="9"/>
      <x:c r="R881" s="10" t="n">
        <x:v>2</x:v>
      </x:c>
      <x:c r="S881" s="10"/>
      <x:c r="T881" s="9"/>
      <x:c r="U881" s="9"/>
      <x:c r="V881" s="9"/>
      <x:c r="W881" s="9"/>
      <x:c r="X881" s="10"/>
      <x:c r="Y881" s="10"/>
      <x:c r="Z881" s="9"/>
      <x:c r="AA881" s="9"/>
      <x:c r="AB881" s="9"/>
      <x:c r="AC881" s="9"/>
      <x:c r="AD881" s="9" t="str">
        <x:v>juggling ball</x:v>
      </x:c>
      <x:c r="AE881" s="9"/>
      <x:c r="AF881" s="9"/>
      <x:c r="AG881" s="9"/>
      <x:c r="AH881" s="9" t="str">
        <x:v>Right</x:v>
      </x:c>
      <x:c r="AI881" s="11" t="n">
        <x:v>12</x:v>
      </x:c>
      <x:c r="AJ881" s="9" t="str">
        <x:v>Held-out smallest × juggling ball — Pick up</x:v>
      </x:c>
      <x:c r="AK881" s="9" t="str">
        <x:v>Eval_Size_Recognition (1).xlsm</x:v>
      </x:c>
      <x:c r="AL881" s="9" t="str">
        <x:v>GR00T vision-only Results</x:v>
      </x:c>
      <x:c r="AM881" s="9" t="n">
        <x:v>111</x:v>
      </x:c>
      <x:c r="AN881" s="9" t="n">
        <x:v>111</x:v>
      </x:c>
    </x:row>
    <x:row r="882">
      <x:c r="A882" s="9" t="str">
        <x:v>Failure</x:v>
      </x:c>
      <x:c r="B882" s="9" t="str">
        <x:v>Size Recognition</x:v>
      </x:c>
      <x:c r="C882" s="10" t="n">
        <x:v>110</x:v>
      </x:c>
      <x:c r="D882" s="9" t="str">
        <x:v>Move the object that is largest into the bowl.</x:v>
      </x:c>
      <x:c r="E882" s="9" t="str">
        <x:v>Bowl: empty. Table, robot-left→robot-right: P1 airplane toy with propellers; P2 red pencil sharpener. Adjacent centers 8 cm apart; row centered on the workspace; all objects fully visible and grasp paths clear.</x:v>
      </x:c>
      <x:c r="F882" s="9" t="str">
        <x:v>MOVE airplane toy with propellers to bowl</x:v>
      </x:c>
      <x:c r="G882" s="9" t="str">
        <x:v>picked the red pencil sharpener</x:v>
      </x:c>
      <x:c r="H882" s="9" t="str">
        <x:v>Cross-task airplane reasoning</x:v>
      </x:c>
      <x:c r="I882" s="9" t="str">
        <x:v>SZ-XA01</x:v>
      </x:c>
      <x:c r="J882" s="9" t="str">
        <x:v>largest</x:v>
      </x:c>
      <x:c r="K882" s="9"/>
      <x:c r="L882" s="9" t="str">
        <x:v>airplane exposure 550</x:v>
      </x:c>
      <x:c r="M882" s="9"/>
      <x:c r="N882" s="9"/>
      <x:c r="O882" s="9" t="str">
        <x:v>Build the listed airplane scene and save a first-frame filename.</x:v>
      </x:c>
      <x:c r="P882" s="9" t="str">
        <x:v>The airplane is larger than the red pencil sharpener. It is known globally but never received size language in training.</x:v>
      </x:c>
      <x:c r="Q882" s="9"/>
      <x:c r="R882" s="10" t="n">
        <x:v>2</x:v>
      </x:c>
      <x:c r="S882" s="10"/>
      <x:c r="T882" s="9"/>
      <x:c r="U882" s="9"/>
      <x:c r="V882" s="9"/>
      <x:c r="W882" s="9"/>
      <x:c r="X882" s="10"/>
      <x:c r="Y882" s="10"/>
      <x:c r="Z882" s="9"/>
      <x:c r="AA882" s="9"/>
      <x:c r="AB882" s="9"/>
      <x:c r="AC882" s="9"/>
      <x:c r="AD882" s="9" t="str">
        <x:v>airplane toy with propellers</x:v>
      </x:c>
      <x:c r="AE882" s="9"/>
      <x:c r="AF882" s="9"/>
      <x:c r="AG882" s="9"/>
      <x:c r="AH882" s="9" t="str">
        <x:v>Left</x:v>
      </x:c>
      <x:c r="AI882" s="11" t="n">
        <x:v>8</x:v>
      </x:c>
      <x:c r="AJ882" s="9" t="str">
        <x:v>Airplane is largest</x:v>
      </x:c>
      <x:c r="AK882" s="9" t="str">
        <x:v>Eval_Size_Recognition (1).xlsm</x:v>
      </x:c>
      <x:c r="AL882" s="9" t="str">
        <x:v>GR00T vision-only Results</x:v>
      </x:c>
      <x:c r="AM882" s="9" t="n">
        <x:v>112</x:v>
      </x:c>
      <x:c r="AN882" s="9" t="n">
        <x:v>112</x:v>
      </x:c>
    </x:row>
    <x:row r="883">
      <x:c r="A883" s="9" t="str">
        <x:v>Success</x:v>
      </x:c>
      <x:c r="B883" s="9" t="str">
        <x:v>Size Recognition</x:v>
      </x:c>
      <x:c r="C883" s="10" t="n">
        <x:v>111</x:v>
      </x:c>
      <x:c r="D883" s="9" t="str">
        <x:v>Put the smallest object in the bowl.</x:v>
      </x:c>
      <x:c r="E883" s="9" t="str">
        <x:v>Bowl: empty. Table, robot-left→robot-right: P1 airplane toy with propellers; P2 red pencil sharpener. Adjacent centers 8 cm apart; row centered on the workspace; all objects fully visible and grasp paths clear.</x:v>
      </x:c>
      <x:c r="F883" s="9" t="str">
        <x:v>MOVE red pencil sharpener to bowl</x:v>
      </x:c>
      <x:c r="G883" s="9"/>
      <x:c r="H883" s="9" t="str">
        <x:v>Cross-task airplane counterfactual</x:v>
      </x:c>
      <x:c r="I883" s="9" t="str">
        <x:v>SZ-XA01</x:v>
      </x:c>
      <x:c r="J883" s="9" t="str">
        <x:v>smallest</x:v>
      </x:c>
      <x:c r="K883" s="9" t="n">
        <x:v>110</x:v>
      </x:c>
      <x:c r="L883" s="9" t="str">
        <x:v>1005; airplane exposure 550</x:v>
      </x:c>
      <x:c r="M883" s="9"/>
      <x:c r="N883" s="9"/>
      <x:c r="O883" s="9" t="str">
        <x:v>Reset the airplane; preserve the exact scene and reverse only the size comparison.</x:v>
      </x:c>
      <x:c r="P883" s="9" t="str">
        <x:v>Reasoning-only counterfactual grounded by trained cell smallest × red pencil sharpener; an always-pick-airplane shortcut must fail.</x:v>
      </x:c>
      <x:c r="Q883" s="9"/>
      <x:c r="R883" s="10" t="n">
        <x:v>2</x:v>
      </x:c>
      <x:c r="S883" s="10"/>
      <x:c r="T883" s="9"/>
      <x:c r="U883" s="9"/>
      <x:c r="V883" s="9"/>
      <x:c r="W883" s="9"/>
      <x:c r="X883" s="10"/>
      <x:c r="Y883" s="10"/>
      <x:c r="Z883" s="9"/>
      <x:c r="AA883" s="9"/>
      <x:c r="AB883" s="9"/>
      <x:c r="AC883" s="9"/>
      <x:c r="AD883" s="9" t="str">
        <x:v>red pencil sharpener</x:v>
      </x:c>
      <x:c r="AE883" s="9"/>
      <x:c r="AF883" s="9"/>
      <x:c r="AG883" s="9"/>
      <x:c r="AH883" s="9" t="str">
        <x:v>Right</x:v>
      </x:c>
      <x:c r="AI883" s="11" t="n">
        <x:v>8</x:v>
      </x:c>
      <x:c r="AJ883" s="9" t="str">
        <x:v>Exact-scene opposite-comparison reasoning control</x:v>
      </x:c>
      <x:c r="AK883" s="9" t="str">
        <x:v>Eval_Size_Recognition (1).xlsm</x:v>
      </x:c>
      <x:c r="AL883" s="9" t="str">
        <x:v>GR00T vision-only Results</x:v>
      </x:c>
      <x:c r="AM883" s="9" t="n">
        <x:v>113</x:v>
      </x:c>
      <x:c r="AN883" s="9" t="n">
        <x:v>113</x:v>
      </x:c>
    </x:row>
    <x:row r="884">
      <x:c r="A884" s="9" t="str">
        <x:v>Success</x:v>
      </x:c>
      <x:c r="B884" s="9" t="str">
        <x:v>Size Recognition</x:v>
      </x:c>
      <x:c r="C884" s="10" t="n">
        <x:v>112</x:v>
      </x:c>
      <x:c r="D884" s="9" t="str">
        <x:v>Pick up the smallest item and place it in the bowl.</x:v>
      </x:c>
      <x:c r="E884" s="9" t="str">
        <x:v>Bowl: empty. Table, robot-left→robot-right: P1 airplane toy with propellers; P2 green block; P3 crushed Pepsi can. Adjacent centers 12 cm apart; row shifted 4 cm toward robot-right; all objects fully visible and grasp paths clear.</x:v>
      </x:c>
      <x:c r="F884" s="9" t="str">
        <x:v>MOVE airplane toy with propellers to bowl</x:v>
      </x:c>
      <x:c r="G884" s="9"/>
      <x:c r="H884" s="9" t="str">
        <x:v>Cross-task airplane reasoning</x:v>
      </x:c>
      <x:c r="I884" s="9" t="str">
        <x:v>SZ-XA02</x:v>
      </x:c>
      <x:c r="J884" s="9" t="str">
        <x:v>smallest</x:v>
      </x:c>
      <x:c r="K884" s="9"/>
      <x:c r="L884" s="9" t="str">
        <x:v>airplane exposure 552</x:v>
      </x:c>
      <x:c r="M884" s="9"/>
      <x:c r="N884" s="9"/>
      <x:c r="O884" s="9" t="str">
        <x:v>Build the listed airplane scene and save a first-frame filename.</x:v>
      </x:c>
      <x:c r="P884" s="9" t="str">
        <x:v>The airplane is smaller than every listed table comparator. Green-block scenes also include a trained larger endpoint so the counterfactual does not test largest×green.</x:v>
      </x:c>
      <x:c r="Q884" s="9"/>
      <x:c r="R884" s="10" t="n">
        <x:v>3</x:v>
      </x:c>
      <x:c r="S884" s="10"/>
      <x:c r="T884" s="9"/>
      <x:c r="U884" s="9"/>
      <x:c r="V884" s="9"/>
      <x:c r="W884" s="9"/>
      <x:c r="X884" s="10"/>
      <x:c r="Y884" s="10"/>
      <x:c r="Z884" s="9"/>
      <x:c r="AA884" s="9"/>
      <x:c r="AB884" s="9"/>
      <x:c r="AC884" s="9"/>
      <x:c r="AD884" s="9" t="str">
        <x:v>airplane toy with propellers</x:v>
      </x:c>
      <x:c r="AE884" s="9"/>
      <x:c r="AF884" s="9"/>
      <x:c r="AG884" s="9"/>
      <x:c r="AH884" s="9" t="str">
        <x:v>Left</x:v>
      </x:c>
      <x:c r="AI884" s="11" t="n">
        <x:v>12</x:v>
      </x:c>
      <x:c r="AJ884" s="9" t="str">
        <x:v>Airplane is smallest</x:v>
      </x:c>
      <x:c r="AK884" s="9" t="str">
        <x:v>Eval_Size_Recognition (1).xlsm</x:v>
      </x:c>
      <x:c r="AL884" s="9" t="str">
        <x:v>GR00T vision-only Results</x:v>
      </x:c>
      <x:c r="AM884" s="9" t="n">
        <x:v>114</x:v>
      </x:c>
      <x:c r="AN884" s="9" t="n">
        <x:v>114</x:v>
      </x:c>
    </x:row>
    <x:row r="885">
      <x:c r="A885" s="9" t="str">
        <x:v>Failure</x:v>
      </x:c>
      <x:c r="B885" s="9" t="str">
        <x:v>Size Recognition</x:v>
      </x:c>
      <x:c r="C885" s="10" t="n">
        <x:v>113</x:v>
      </x:c>
      <x:c r="D885" s="9" t="str">
        <x:v>Put the largest object in the bowl.</x:v>
      </x:c>
      <x:c r="E885" s="9" t="str">
        <x:v>Bowl: empty. Table, robot-left→robot-right: P1 airplane toy with propellers; P2 green block; P3 crushed Pepsi can. Adjacent centers 12 cm apart; row shifted 4 cm toward robot-right; all objects fully visible and grasp paths clear.</x:v>
      </x:c>
      <x:c r="F885" s="9" t="str">
        <x:v>MOVE crushed Pepsi can to bowl</x:v>
      </x:c>
      <x:c r="G885" s="9" t="str">
        <x:v>successful reasoning, but didn't grip the soda can</x:v>
      </x:c>
      <x:c r="H885" s="9" t="str">
        <x:v>Cross-task airplane counterfactual</x:v>
      </x:c>
      <x:c r="I885" s="9" t="str">
        <x:v>SZ-XA02</x:v>
      </x:c>
      <x:c r="J885" s="9" t="str">
        <x:v>largest</x:v>
      </x:c>
      <x:c r="K885" s="9" t="n">
        <x:v>112</x:v>
      </x:c>
      <x:c r="L885" s="9" t="str">
        <x:v>1155; airplane exposure 552</x:v>
      </x:c>
      <x:c r="M885" s="9"/>
      <x:c r="N885" s="9"/>
      <x:c r="O885" s="9" t="str">
        <x:v>Reset the airplane; preserve the exact scene and reverse only the size comparison.</x:v>
      </x:c>
      <x:c r="P885" s="9" t="str">
        <x:v>Reasoning-only counterfactual grounded by trained cell largest × crushed Pepsi can; an always-pick-airplane shortcut must fail.</x:v>
      </x:c>
      <x:c r="Q885" s="9"/>
      <x:c r="R885" s="10" t="n">
        <x:v>3</x:v>
      </x:c>
      <x:c r="S885" s="10"/>
      <x:c r="T885" s="9"/>
      <x:c r="U885" s="9"/>
      <x:c r="V885" s="9"/>
      <x:c r="W885" s="9"/>
      <x:c r="X885" s="10"/>
      <x:c r="Y885" s="10"/>
      <x:c r="Z885" s="9"/>
      <x:c r="AA885" s="9"/>
      <x:c r="AB885" s="9"/>
      <x:c r="AC885" s="9"/>
      <x:c r="AD885" s="9" t="str">
        <x:v>crushed Pepsi can</x:v>
      </x:c>
      <x:c r="AE885" s="9"/>
      <x:c r="AF885" s="9"/>
      <x:c r="AG885" s="9"/>
      <x:c r="AH885" s="9" t="str">
        <x:v>Right</x:v>
      </x:c>
      <x:c r="AI885" s="11" t="n">
        <x:v>12</x:v>
      </x:c>
      <x:c r="AJ885" s="9" t="str">
        <x:v>Exact-scene opposite-comparison reasoning control</x:v>
      </x:c>
      <x:c r="AK885" s="9" t="str">
        <x:v>Eval_Size_Recognition (1).xlsm</x:v>
      </x:c>
      <x:c r="AL885" s="9" t="str">
        <x:v>GR00T vision-only Results</x:v>
      </x:c>
      <x:c r="AM885" s="9" t="n">
        <x:v>115</x:v>
      </x:c>
      <x:c r="AN885" s="9" t="n">
        <x:v>115</x:v>
      </x:c>
    </x:row>
    <x:row r="886">
      <x:c r="A886" s="9" t="str">
        <x:v>Failure</x:v>
      </x:c>
      <x:c r="B886" s="9" t="str">
        <x:v>Size Recognition</x:v>
      </x:c>
      <x:c r="C886" s="10" t="n">
        <x:v>114</x:v>
      </x:c>
      <x:c r="D886" s="9" t="str">
        <x:v>Pick up the largest item and place it in the bowl.</x:v>
      </x:c>
      <x:c r="E886" s="9" t="str">
        <x:v>Bowl: empty. Table, robot-left→robot-right: P1 red pencil sharpener; P2 airplane toy with propellers. Adjacent centers 12 cm apart; row shifted 4 cm toward robot-left; all objects fully visible and grasp paths clear.</x:v>
      </x:c>
      <x:c r="F886" s="9" t="str">
        <x:v>MOVE airplane toy with propellers to bowl</x:v>
      </x:c>
      <x:c r="G886" s="9" t="str">
        <x:v>picked the red pencil sharpener</x:v>
      </x:c>
      <x:c r="H886" s="9" t="str">
        <x:v>Cross-task airplane reasoning</x:v>
      </x:c>
      <x:c r="I886" s="9" t="str">
        <x:v>SZ-XA03</x:v>
      </x:c>
      <x:c r="J886" s="9" t="str">
        <x:v>largest</x:v>
      </x:c>
      <x:c r="K886" s="9"/>
      <x:c r="L886" s="9" t="str">
        <x:v>airplane exposure 554</x:v>
      </x:c>
      <x:c r="M886" s="9"/>
      <x:c r="N886" s="9"/>
      <x:c r="O886" s="9" t="str">
        <x:v>Build the listed airplane scene and save a first-frame filename.</x:v>
      </x:c>
      <x:c r="P886" s="9" t="str">
        <x:v>The airplane is larger than the red pencil sharpener. It is known globally but never received size language in training.</x:v>
      </x:c>
      <x:c r="Q886" s="9"/>
      <x:c r="R886" s="10" t="n">
        <x:v>2</x:v>
      </x:c>
      <x:c r="S886" s="10"/>
      <x:c r="T886" s="9"/>
      <x:c r="U886" s="9"/>
      <x:c r="V886" s="9"/>
      <x:c r="W886" s="9"/>
      <x:c r="X886" s="10"/>
      <x:c r="Y886" s="10"/>
      <x:c r="Z886" s="9"/>
      <x:c r="AA886" s="9"/>
      <x:c r="AB886" s="9"/>
      <x:c r="AC886" s="9"/>
      <x:c r="AD886" s="9" t="str">
        <x:v>airplane toy with propellers</x:v>
      </x:c>
      <x:c r="AE886" s="9"/>
      <x:c r="AF886" s="9"/>
      <x:c r="AG886" s="9"/>
      <x:c r="AH886" s="9" t="str">
        <x:v>Right</x:v>
      </x:c>
      <x:c r="AI886" s="11" t="n">
        <x:v>12</x:v>
      </x:c>
      <x:c r="AJ886" s="9" t="str">
        <x:v>Airplane is largest</x:v>
      </x:c>
      <x:c r="AK886" s="9" t="str">
        <x:v>Eval_Size_Recognition (1).xlsm</x:v>
      </x:c>
      <x:c r="AL886" s="9" t="str">
        <x:v>GR00T vision-only Results</x:v>
      </x:c>
      <x:c r="AM886" s="9" t="n">
        <x:v>116</x:v>
      </x:c>
      <x:c r="AN886" s="9" t="n">
        <x:v>116</x:v>
      </x:c>
    </x:row>
    <x:row r="887">
      <x:c r="A887" s="9" t="str">
        <x:v>Failure</x:v>
      </x:c>
      <x:c r="B887" s="9" t="str">
        <x:v>Size Recognition</x:v>
      </x:c>
      <x:c r="C887" s="10" t="n">
        <x:v>115</x:v>
      </x:c>
      <x:c r="D887" s="9" t="str">
        <x:v>Move the object that is smallest into the bowl.</x:v>
      </x:c>
      <x:c r="E887" s="9" t="str">
        <x:v>Bowl: empty. Table, robot-left→robot-right: P1 red pencil sharpener; P2 airplane toy with propellers. Adjacent centers 12 cm apart; row shifted 4 cm toward robot-left; all objects fully visible and grasp paths clear.</x:v>
      </x:c>
      <x:c r="F887" s="9" t="str">
        <x:v>MOVE red pencil sharpener to bowl</x:v>
      </x:c>
      <x:c r="G887" s="9" t="str">
        <x:v>picked the airplane toy; dropped it then tried to pick the red pencil sharpener when it was knocked out of range.</x:v>
      </x:c>
      <x:c r="H887" s="9" t="str">
        <x:v>Cross-task airplane counterfactual</x:v>
      </x:c>
      <x:c r="I887" s="9" t="str">
        <x:v>SZ-XA03</x:v>
      </x:c>
      <x:c r="J887" s="9" t="str">
        <x:v>smallest</x:v>
      </x:c>
      <x:c r="K887" s="9" t="n">
        <x:v>114</x:v>
      </x:c>
      <x:c r="L887" s="9" t="str">
        <x:v>1006; airplane exposure 554</x:v>
      </x:c>
      <x:c r="M887" s="9"/>
      <x:c r="N887" s="9"/>
      <x:c r="O887" s="9" t="str">
        <x:v>Reset the airplane; preserve the exact scene and reverse only the size comparison.</x:v>
      </x:c>
      <x:c r="P887" s="9" t="str">
        <x:v>Reasoning-only counterfactual grounded by trained cell smallest × red pencil sharpener; an always-pick-airplane shortcut must fail.</x:v>
      </x:c>
      <x:c r="Q887" s="9"/>
      <x:c r="R887" s="10" t="n">
        <x:v>2</x:v>
      </x:c>
      <x:c r="S887" s="10"/>
      <x:c r="T887" s="9"/>
      <x:c r="U887" s="9"/>
      <x:c r="V887" s="9"/>
      <x:c r="W887" s="9"/>
      <x:c r="X887" s="10"/>
      <x:c r="Y887" s="10"/>
      <x:c r="Z887" s="9"/>
      <x:c r="AA887" s="9"/>
      <x:c r="AB887" s="9"/>
      <x:c r="AC887" s="9"/>
      <x:c r="AD887" s="9" t="str">
        <x:v>red pencil sharpener</x:v>
      </x:c>
      <x:c r="AE887" s="9"/>
      <x:c r="AF887" s="9"/>
      <x:c r="AG887" s="9"/>
      <x:c r="AH887" s="9" t="str">
        <x:v>Left</x:v>
      </x:c>
      <x:c r="AI887" s="11" t="n">
        <x:v>12</x:v>
      </x:c>
      <x:c r="AJ887" s="9" t="str">
        <x:v>Exact-scene opposite-comparison reasoning control</x:v>
      </x:c>
      <x:c r="AK887" s="9" t="str">
        <x:v>Eval_Size_Recognition (1).xlsm</x:v>
      </x:c>
      <x:c r="AL887" s="9" t="str">
        <x:v>GR00T vision-only Results</x:v>
      </x:c>
      <x:c r="AM887" s="9" t="n">
        <x:v>117</x:v>
      </x:c>
      <x:c r="AN887" s="9" t="n">
        <x:v>117</x:v>
      </x:c>
    </x:row>
    <x:row r="888">
      <x:c r="A888" s="9" t="str">
        <x:v>Failure</x:v>
      </x:c>
      <x:c r="B888" s="9" t="str">
        <x:v>Size Recognition</x:v>
      </x:c>
      <x:c r="C888" s="10" t="n">
        <x:v>116</x:v>
      </x:c>
      <x:c r="D888" s="9" t="str">
        <x:v>Put the smallest object in the bowl.</x:v>
      </x:c>
      <x:c r="E888" s="9" t="str">
        <x:v>Bowl: empty. Table, robot-left→robot-right: P1 juggling ball; P2 green block; P3 airplane toy with propellers. Adjacent centers 16 cm apart; row shifted 4 cm toward the robot; all objects fully visible and grasp paths clear.</x:v>
      </x:c>
      <x:c r="F888" s="9" t="str">
        <x:v>MOVE airplane toy with propellers to bowl</x:v>
      </x:c>
      <x:c r="G888" s="9" t="str">
        <x:v>picked the green block</x:v>
      </x:c>
      <x:c r="H888" s="9" t="str">
        <x:v>Cross-task airplane reasoning</x:v>
      </x:c>
      <x:c r="I888" s="9" t="str">
        <x:v>SZ-XA04</x:v>
      </x:c>
      <x:c r="J888" s="9" t="str">
        <x:v>smallest</x:v>
      </x:c>
      <x:c r="K888" s="9"/>
      <x:c r="L888" s="9" t="str">
        <x:v>airplane exposure 556</x:v>
      </x:c>
      <x:c r="M888" s="9"/>
      <x:c r="N888" s="9"/>
      <x:c r="O888" s="9" t="str">
        <x:v>Build the listed airplane scene and save a first-frame filename.</x:v>
      </x:c>
      <x:c r="P888" s="9" t="str">
        <x:v>The airplane is smaller than every listed table comparator. Green-block scenes also include a trained larger endpoint so the counterfactual does not test largest×green.</x:v>
      </x:c>
      <x:c r="Q888" s="9"/>
      <x:c r="R888" s="10" t="n">
        <x:v>3</x:v>
      </x:c>
      <x:c r="S888" s="10"/>
      <x:c r="T888" s="9"/>
      <x:c r="U888" s="9"/>
      <x:c r="V888" s="9"/>
      <x:c r="W888" s="9"/>
      <x:c r="X888" s="10"/>
      <x:c r="Y888" s="10"/>
      <x:c r="Z888" s="9"/>
      <x:c r="AA888" s="9"/>
      <x:c r="AB888" s="9"/>
      <x:c r="AC888" s="9"/>
      <x:c r="AD888" s="9" t="str">
        <x:v>airplane toy with propellers</x:v>
      </x:c>
      <x:c r="AE888" s="9"/>
      <x:c r="AF888" s="9"/>
      <x:c r="AG888" s="9"/>
      <x:c r="AH888" s="9" t="str">
        <x:v>Right</x:v>
      </x:c>
      <x:c r="AI888" s="11" t="n">
        <x:v>16</x:v>
      </x:c>
      <x:c r="AJ888" s="9" t="str">
        <x:v>Airplane is smallest</x:v>
      </x:c>
      <x:c r="AK888" s="9" t="str">
        <x:v>Eval_Size_Recognition (1).xlsm</x:v>
      </x:c>
      <x:c r="AL888" s="9" t="str">
        <x:v>GR00T vision-only Results</x:v>
      </x:c>
      <x:c r="AM888" s="9" t="n">
        <x:v>118</x:v>
      </x:c>
      <x:c r="AN888" s="9" t="n">
        <x:v>118</x:v>
      </x:c>
    </x:row>
    <x:row r="889">
      <x:c r="A889" s="9" t="str">
        <x:v>Success</x:v>
      </x:c>
      <x:c r="B889" s="9" t="str">
        <x:v>Size Recognition</x:v>
      </x:c>
      <x:c r="C889" s="10" t="n">
        <x:v>117</x:v>
      </x:c>
      <x:c r="D889" s="9" t="str">
        <x:v>Move the object that is largest into the bowl.</x:v>
      </x:c>
      <x:c r="E889" s="9" t="str">
        <x:v>Bowl: empty. Table, robot-left→robot-right: P1 juggling ball; P2 green block; P3 airplane toy with propellers. Adjacent centers 16 cm apart; row shifted 4 cm toward the robot; all objects fully visible and grasp paths clear.</x:v>
      </x:c>
      <x:c r="F889" s="9" t="str">
        <x:v>MOVE juggling ball to bowl</x:v>
      </x:c>
      <x:c r="G889" s="9"/>
      <x:c r="H889" s="9" t="str">
        <x:v>Cross-task airplane counterfactual</x:v>
      </x:c>
      <x:c r="I889" s="9" t="str">
        <x:v>SZ-XA04</x:v>
      </x:c>
      <x:c r="J889" s="9" t="str">
        <x:v>largest</x:v>
      </x:c>
      <x:c r="K889" s="9" t="n">
        <x:v>116</x:v>
      </x:c>
      <x:c r="L889" s="9" t="str">
        <x:v>1126; airplane exposure 556</x:v>
      </x:c>
      <x:c r="M889" s="9"/>
      <x:c r="N889" s="9"/>
      <x:c r="O889" s="9" t="str">
        <x:v>Reset the airplane; preserve the exact scene and reverse only the size comparison.</x:v>
      </x:c>
      <x:c r="P889" s="9" t="str">
        <x:v>Reasoning-only counterfactual grounded by trained cell largest × juggling ball; an always-pick-airplane shortcut must fail.</x:v>
      </x:c>
      <x:c r="Q889" s="9"/>
      <x:c r="R889" s="10" t="n">
        <x:v>3</x:v>
      </x:c>
      <x:c r="S889" s="10"/>
      <x:c r="T889" s="9"/>
      <x:c r="U889" s="9"/>
      <x:c r="V889" s="9"/>
      <x:c r="W889" s="9"/>
      <x:c r="X889" s="10"/>
      <x:c r="Y889" s="10"/>
      <x:c r="Z889" s="9"/>
      <x:c r="AA889" s="9"/>
      <x:c r="AB889" s="9"/>
      <x:c r="AC889" s="9"/>
      <x:c r="AD889" s="9" t="str">
        <x:v>juggling ball</x:v>
      </x:c>
      <x:c r="AE889" s="9"/>
      <x:c r="AF889" s="9"/>
      <x:c r="AG889" s="9"/>
      <x:c r="AH889" s="9" t="str">
        <x:v>Left</x:v>
      </x:c>
      <x:c r="AI889" s="11" t="n">
        <x:v>16</x:v>
      </x:c>
      <x:c r="AJ889" s="9" t="str">
        <x:v>Exact-scene opposite-comparison reasoning control</x:v>
      </x:c>
      <x:c r="AK889" s="9" t="str">
        <x:v>Eval_Size_Recognition (1).xlsm</x:v>
      </x:c>
      <x:c r="AL889" s="9" t="str">
        <x:v>GR00T vision-only Results</x:v>
      </x:c>
      <x:c r="AM889" s="9" t="n">
        <x:v>119</x:v>
      </x:c>
      <x:c r="AN889" s="9" t="n">
        <x:v>119</x:v>
      </x:c>
    </x:row>
    <x:row r="890">
      <x:c r="A890" s="9" t="str">
        <x:v>Failure</x:v>
      </x:c>
      <x:c r="B890" s="9" t="str">
        <x:v>Size Recognition</x:v>
      </x:c>
      <x:c r="C890" s="10" t="n">
        <x:v>118</x:v>
      </x:c>
      <x:c r="D890" s="9" t="str">
        <x:v>Put the largest object in the bowl.</x:v>
      </x:c>
      <x:c r="E890" s="9" t="str">
        <x:v>Bowl: empty. Table, robot-left→robot-right: P1 airplane toy with propellers; P2 red pencil sharpener. Adjacent centers 16 cm apart; row shifted 4 cm toward robot-right; all objects fully visible and grasp paths clear.</x:v>
      </x:c>
      <x:c r="F890" s="9" t="str">
        <x:v>MOVE airplane toy with propellers to bowl</x:v>
      </x:c>
      <x:c r="G890" s="9" t="str">
        <x:v>picked the airplane toy, dropped it, then during recovery tried to get the red pencil sharpener but couldn't</x:v>
      </x:c>
      <x:c r="H890" s="9" t="str">
        <x:v>Cross-task airplane reasoning</x:v>
      </x:c>
      <x:c r="I890" s="9" t="str">
        <x:v>SZ-XA05</x:v>
      </x:c>
      <x:c r="J890" s="9" t="str">
        <x:v>largest</x:v>
      </x:c>
      <x:c r="K890" s="9"/>
      <x:c r="L890" s="9" t="str">
        <x:v>airplane exposure 558</x:v>
      </x:c>
      <x:c r="M890" s="9"/>
      <x:c r="N890" s="9"/>
      <x:c r="O890" s="9" t="str">
        <x:v>Build the listed airplane scene and save a first-frame filename.</x:v>
      </x:c>
      <x:c r="P890" s="9" t="str">
        <x:v>The airplane is larger than the red pencil sharpener. It is known globally but never received size language in training.</x:v>
      </x:c>
      <x:c r="Q890" s="9"/>
      <x:c r="R890" s="10" t="n">
        <x:v>2</x:v>
      </x:c>
      <x:c r="S890" s="10"/>
      <x:c r="T890" s="9"/>
      <x:c r="U890" s="9"/>
      <x:c r="V890" s="9"/>
      <x:c r="W890" s="9"/>
      <x:c r="X890" s="10"/>
      <x:c r="Y890" s="10"/>
      <x:c r="Z890" s="9"/>
      <x:c r="AA890" s="9"/>
      <x:c r="AB890" s="9"/>
      <x:c r="AC890" s="9"/>
      <x:c r="AD890" s="9" t="str">
        <x:v>airplane toy with propellers</x:v>
      </x:c>
      <x:c r="AE890" s="9"/>
      <x:c r="AF890" s="9"/>
      <x:c r="AG890" s="9"/>
      <x:c r="AH890" s="9" t="str">
        <x:v>Left</x:v>
      </x:c>
      <x:c r="AI890" s="11" t="n">
        <x:v>16</x:v>
      </x:c>
      <x:c r="AJ890" s="9" t="str">
        <x:v>Airplane is largest</x:v>
      </x:c>
      <x:c r="AK890" s="9" t="str">
        <x:v>Eval_Size_Recognition (1).xlsm</x:v>
      </x:c>
      <x:c r="AL890" s="9" t="str">
        <x:v>GR00T vision-only Results</x:v>
      </x:c>
      <x:c r="AM890" s="9" t="n">
        <x:v>120</x:v>
      </x:c>
      <x:c r="AN890" s="9" t="n">
        <x:v>120</x:v>
      </x:c>
    </x:row>
    <x:row r="891">
      <x:c r="A891" s="9" t="str">
        <x:v>Failure</x:v>
      </x:c>
      <x:c r="B891" s="9" t="str">
        <x:v>Size Recognition</x:v>
      </x:c>
      <x:c r="C891" s="10" t="n">
        <x:v>119</x:v>
      </x:c>
      <x:c r="D891" s="9" t="str">
        <x:v>Pick up the smallest item and place it in the bowl.</x:v>
      </x:c>
      <x:c r="E891" s="9" t="str">
        <x:v>Bowl: empty. Table, robot-left→robot-right: P1 airplane toy with propellers; P2 red pencil sharpener. Adjacent centers 16 cm apart; row shifted 4 cm toward robot-right; all objects fully visible and grasp paths clear.</x:v>
      </x:c>
      <x:c r="F891" s="9" t="str">
        <x:v>MOVE red pencil sharpener to bowl</x:v>
      </x:c>
      <x:c r="G891" s="9" t="str">
        <x:v>picked airplane toy</x:v>
      </x:c>
      <x:c r="H891" s="9" t="str">
        <x:v>Cross-task airplane counterfactual</x:v>
      </x:c>
      <x:c r="I891" s="9" t="str">
        <x:v>SZ-XA05</x:v>
      </x:c>
      <x:c r="J891" s="9" t="str">
        <x:v>smallest</x:v>
      </x:c>
      <x:c r="K891" s="9" t="n">
        <x:v>118</x:v>
      </x:c>
      <x:c r="L891" s="9" t="str">
        <x:v>1007; airplane exposure 558</x:v>
      </x:c>
      <x:c r="M891" s="9"/>
      <x:c r="N891" s="9"/>
      <x:c r="O891" s="9" t="str">
        <x:v>Reset the airplane; preserve the exact scene and reverse only the size comparison.</x:v>
      </x:c>
      <x:c r="P891" s="9" t="str">
        <x:v>Reasoning-only counterfactual grounded by trained cell smallest × red pencil sharpener; an always-pick-airplane shortcut must fail.</x:v>
      </x:c>
      <x:c r="Q891" s="9"/>
      <x:c r="R891" s="10" t="n">
        <x:v>2</x:v>
      </x:c>
      <x:c r="S891" s="10"/>
      <x:c r="T891" s="9"/>
      <x:c r="U891" s="9"/>
      <x:c r="V891" s="9"/>
      <x:c r="W891" s="9"/>
      <x:c r="X891" s="10"/>
      <x:c r="Y891" s="10"/>
      <x:c r="Z891" s="9"/>
      <x:c r="AA891" s="9"/>
      <x:c r="AB891" s="9"/>
      <x:c r="AC891" s="9"/>
      <x:c r="AD891" s="9" t="str">
        <x:v>red pencil sharpener</x:v>
      </x:c>
      <x:c r="AE891" s="9"/>
      <x:c r="AF891" s="9"/>
      <x:c r="AG891" s="9"/>
      <x:c r="AH891" s="9" t="str">
        <x:v>Right</x:v>
      </x:c>
      <x:c r="AI891" s="11" t="n">
        <x:v>16</x:v>
      </x:c>
      <x:c r="AJ891" s="9" t="str">
        <x:v>Exact-scene opposite-comparison reasoning control</x:v>
      </x:c>
      <x:c r="AK891" s="9" t="str">
        <x:v>Eval_Size_Recognition (1).xlsm</x:v>
      </x:c>
      <x:c r="AL891" s="9" t="str">
        <x:v>GR00T vision-only Results</x:v>
      </x:c>
      <x:c r="AM891" s="9" t="n">
        <x:v>121</x:v>
      </x:c>
      <x:c r="AN891" s="9" t="n">
        <x:v>121</x:v>
      </x:c>
    </x:row>
    <x:row r="892">
      <x:c r="A892" s="9" t="str">
        <x:v>Failure</x:v>
      </x:c>
      <x:c r="B892" s="9" t="str">
        <x:v>Size Recognition</x:v>
      </x:c>
      <x:c r="C892" s="10" t="n">
        <x:v>120</x:v>
      </x:c>
      <x:c r="D892" s="9" t="str">
        <x:v>Move the object that is smallest into the bowl.</x:v>
      </x:c>
      <x:c r="E892" s="9" t="str">
        <x:v>Bowl: empty. Table, robot-left→robot-right: P1 green block; P2 crushed Pepsi can; P3 airplane toy with propellers. Adjacent centers 8 cm apart; row shifted 4 cm away from the robot; all objects fully visible and grasp paths clear.</x:v>
      </x:c>
      <x:c r="F892" s="9" t="str">
        <x:v>MOVE airplane toy with propellers to bowl</x:v>
      </x:c>
      <x:c r="G892" s="9" t="str">
        <x:v>picked the green block; grips it so hard!</x:v>
      </x:c>
      <x:c r="H892" s="9" t="str">
        <x:v>Cross-task airplane reasoning</x:v>
      </x:c>
      <x:c r="I892" s="9" t="str">
        <x:v>SZ-XA06</x:v>
      </x:c>
      <x:c r="J892" s="9" t="str">
        <x:v>smallest</x:v>
      </x:c>
      <x:c r="K892" s="9"/>
      <x:c r="L892" s="9" t="str">
        <x:v>airplane exposure 560</x:v>
      </x:c>
      <x:c r="M892" s="9"/>
      <x:c r="N892" s="9"/>
      <x:c r="O892" s="9" t="str">
        <x:v>Build the listed airplane scene and save a first-frame filename.</x:v>
      </x:c>
      <x:c r="P892" s="9" t="str">
        <x:v>The airplane is smaller than every listed table comparator. Green-block scenes also include a trained larger endpoint so the counterfactual does not test largest×green.</x:v>
      </x:c>
      <x:c r="Q892" s="9"/>
      <x:c r="R892" s="10" t="n">
        <x:v>3</x:v>
      </x:c>
      <x:c r="S892" s="10"/>
      <x:c r="T892" s="9"/>
      <x:c r="U892" s="9"/>
      <x:c r="V892" s="9"/>
      <x:c r="W892" s="9"/>
      <x:c r="X892" s="10"/>
      <x:c r="Y892" s="10"/>
      <x:c r="Z892" s="9"/>
      <x:c r="AA892" s="9"/>
      <x:c r="AB892" s="9"/>
      <x:c r="AC892" s="9"/>
      <x:c r="AD892" s="9" t="str">
        <x:v>airplane toy with propellers</x:v>
      </x:c>
      <x:c r="AE892" s="9"/>
      <x:c r="AF892" s="9"/>
      <x:c r="AG892" s="9"/>
      <x:c r="AH892" s="9" t="str">
        <x:v>Right</x:v>
      </x:c>
      <x:c r="AI892" s="11" t="n">
        <x:v>8</x:v>
      </x:c>
      <x:c r="AJ892" s="9" t="str">
        <x:v>Airplane is smallest</x:v>
      </x:c>
      <x:c r="AK892" s="9" t="str">
        <x:v>Eval_Size_Recognition (1).xlsm</x:v>
      </x:c>
      <x:c r="AL892" s="9" t="str">
        <x:v>GR00T vision-only Results</x:v>
      </x:c>
      <x:c r="AM892" s="9" t="n">
        <x:v>122</x:v>
      </x:c>
      <x:c r="AN892" s="9" t="n">
        <x:v>122</x:v>
      </x:c>
    </x:row>
    <x:row r="893">
      <x:c r="A893" s="9" t="str">
        <x:v>Success</x:v>
      </x:c>
      <x:c r="B893" s="9" t="str">
        <x:v>Size Recognition</x:v>
      </x:c>
      <x:c r="C893" s="10" t="n">
        <x:v>121</x:v>
      </x:c>
      <x:c r="D893" s="9" t="str">
        <x:v>Pick up the largest item and place it in the bowl.</x:v>
      </x:c>
      <x:c r="E893" s="9" t="str">
        <x:v>Bowl: empty. Table, robot-left→robot-right: P1 green block; P2 crushed Pepsi can; P3 airplane toy with propellers. Adjacent centers 8 cm apart; row shifted 4 cm away from the robot; all objects fully visible and grasp paths clear.</x:v>
      </x:c>
      <x:c r="F893" s="9" t="str">
        <x:v>MOVE crushed Pepsi can to bowl</x:v>
      </x:c>
      <x:c r="G893" s="9"/>
      <x:c r="H893" s="9" t="str">
        <x:v>Cross-task airplane counterfactual</x:v>
      </x:c>
      <x:c r="I893" s="9" t="str">
        <x:v>SZ-XA06</x:v>
      </x:c>
      <x:c r="J893" s="9" t="str">
        <x:v>largest</x:v>
      </x:c>
      <x:c r="K893" s="9" t="n">
        <x:v>120</x:v>
      </x:c>
      <x:c r="L893" s="9" t="str">
        <x:v>1157; airplane exposure 560</x:v>
      </x:c>
      <x:c r="M893" s="9"/>
      <x:c r="N893" s="9"/>
      <x:c r="O893" s="9" t="str">
        <x:v>Reset the airplane; preserve the exact scene and reverse only the size comparison.</x:v>
      </x:c>
      <x:c r="P893" s="9" t="str">
        <x:v>Reasoning-only counterfactual grounded by trained cell largest × crushed Pepsi can; an always-pick-airplane shortcut must fail.</x:v>
      </x:c>
      <x:c r="Q893" s="9"/>
      <x:c r="R893" s="10" t="n">
        <x:v>3</x:v>
      </x:c>
      <x:c r="S893" s="10"/>
      <x:c r="T893" s="9"/>
      <x:c r="U893" s="9"/>
      <x:c r="V893" s="9"/>
      <x:c r="W893" s="9"/>
      <x:c r="X893" s="10"/>
      <x:c r="Y893" s="10"/>
      <x:c r="Z893" s="9"/>
      <x:c r="AA893" s="9"/>
      <x:c r="AB893" s="9"/>
      <x:c r="AC893" s="9"/>
      <x:c r="AD893" s="9" t="str">
        <x:v>crushed Pepsi can</x:v>
      </x:c>
      <x:c r="AE893" s="9"/>
      <x:c r="AF893" s="9"/>
      <x:c r="AG893" s="9"/>
      <x:c r="AH893" s="9" t="str">
        <x:v>Center</x:v>
      </x:c>
      <x:c r="AI893" s="11" t="n">
        <x:v>8</x:v>
      </x:c>
      <x:c r="AJ893" s="9" t="str">
        <x:v>Exact-scene opposite-comparison reasoning control</x:v>
      </x:c>
      <x:c r="AK893" s="9" t="str">
        <x:v>Eval_Size_Recognition (1).xlsm</x:v>
      </x:c>
      <x:c r="AL893" s="9" t="str">
        <x:v>GR00T vision-only Results</x:v>
      </x:c>
      <x:c r="AM893" s="9" t="n">
        <x:v>123</x:v>
      </x:c>
      <x:c r="AN893" s="9" t="n">
        <x:v>123</x:v>
      </x:c>
    </x:row>
    <x:row r="894">
      <x:c r="A894" s="9" t="str">
        <x:v>Success</x:v>
      </x:c>
      <x:c r="B894" s="9" t="str">
        <x:v>Size Recognition</x:v>
      </x:c>
      <x:c r="C894" s="10" t="n">
        <x:v>122</x:v>
      </x:c>
      <x:c r="D894" s="9" t="str">
        <x:v>Move the object that is largest into the bowl.</x:v>
      </x:c>
      <x:c r="E894" s="9" t="str">
        <x:v>Bowl: empty. Table, robot-left→robot-right: P1 red pencil sharpener; P2 airplane toy with propellers. Adjacent centers 8 cm apart; row shifted 4 cm toward the robot; all objects fully visible and grasp paths clear.</x:v>
      </x:c>
      <x:c r="F894" s="9" t="str">
        <x:v>MOVE airplane toy with propellers to bowl</x:v>
      </x:c>
      <x:c r="G894" s="9"/>
      <x:c r="H894" s="9" t="str">
        <x:v>Cross-task airplane reasoning</x:v>
      </x:c>
      <x:c r="I894" s="9" t="str">
        <x:v>SZ-XA07</x:v>
      </x:c>
      <x:c r="J894" s="9" t="str">
        <x:v>largest</x:v>
      </x:c>
      <x:c r="K894" s="9"/>
      <x:c r="L894" s="9" t="str">
        <x:v>airplane exposure 562</x:v>
      </x:c>
      <x:c r="M894" s="9"/>
      <x:c r="N894" s="9"/>
      <x:c r="O894" s="9" t="str">
        <x:v>Build the listed airplane scene and save a first-frame filename.</x:v>
      </x:c>
      <x:c r="P894" s="9" t="str">
        <x:v>The airplane is larger than the red pencil sharpener. It is known globally but never received size language in training.</x:v>
      </x:c>
      <x:c r="Q894" s="9"/>
      <x:c r="R894" s="10" t="n">
        <x:v>2</x:v>
      </x:c>
      <x:c r="S894" s="10"/>
      <x:c r="T894" s="9"/>
      <x:c r="U894" s="9"/>
      <x:c r="V894" s="9"/>
      <x:c r="W894" s="9"/>
      <x:c r="X894" s="10"/>
      <x:c r="Y894" s="10"/>
      <x:c r="Z894" s="9"/>
      <x:c r="AA894" s="9"/>
      <x:c r="AB894" s="9"/>
      <x:c r="AC894" s="9"/>
      <x:c r="AD894" s="9" t="str">
        <x:v>airplane toy with propellers</x:v>
      </x:c>
      <x:c r="AE894" s="9"/>
      <x:c r="AF894" s="9"/>
      <x:c r="AG894" s="9"/>
      <x:c r="AH894" s="9" t="str">
        <x:v>Right</x:v>
      </x:c>
      <x:c r="AI894" s="11" t="n">
        <x:v>8</x:v>
      </x:c>
      <x:c r="AJ894" s="9" t="str">
        <x:v>Airplane is largest</x:v>
      </x:c>
      <x:c r="AK894" s="9" t="str">
        <x:v>Eval_Size_Recognition (1).xlsm</x:v>
      </x:c>
      <x:c r="AL894" s="9" t="str">
        <x:v>GR00T vision-only Results</x:v>
      </x:c>
      <x:c r="AM894" s="9" t="n">
        <x:v>124</x:v>
      </x:c>
      <x:c r="AN894" s="9" t="n">
        <x:v>124</x:v>
      </x:c>
    </x:row>
    <x:row r="895">
      <x:c r="A895" s="9" t="str">
        <x:v>Failure</x:v>
      </x:c>
      <x:c r="B895" s="9" t="str">
        <x:v>Size Recognition</x:v>
      </x:c>
      <x:c r="C895" s="10" t="n">
        <x:v>123</x:v>
      </x:c>
      <x:c r="D895" s="9" t="str">
        <x:v>Put the smallest object in the bowl.</x:v>
      </x:c>
      <x:c r="E895" s="9" t="str">
        <x:v>Bowl: empty. Table, robot-left→robot-right: P1 red pencil sharpener; P2 airplane toy with propellers. Adjacent centers 8 cm apart; row shifted 4 cm toward the robot; all objects fully visible and grasp paths clear.</x:v>
      </x:c>
      <x:c r="F895" s="9" t="str">
        <x:v>MOVE red pencil sharpener to bowl</x:v>
      </x:c>
      <x:c r="G895" s="9" t="str">
        <x:v>Picked the airplane toy again</x:v>
      </x:c>
      <x:c r="H895" s="9" t="str">
        <x:v>Cross-task airplane counterfactual</x:v>
      </x:c>
      <x:c r="I895" s="9" t="str">
        <x:v>SZ-XA07</x:v>
      </x:c>
      <x:c r="J895" s="9" t="str">
        <x:v>smallest</x:v>
      </x:c>
      <x:c r="K895" s="9" t="n">
        <x:v>122</x:v>
      </x:c>
      <x:c r="L895" s="9" t="str">
        <x:v>1008; airplane exposure 562</x:v>
      </x:c>
      <x:c r="M895" s="9"/>
      <x:c r="N895" s="9"/>
      <x:c r="O895" s="9" t="str">
        <x:v>Reset the airplane; preserve the exact scene and reverse only the size comparison.</x:v>
      </x:c>
      <x:c r="P895" s="9" t="str">
        <x:v>Reasoning-only counterfactual grounded by trained cell smallest × red pencil sharpener; an always-pick-airplane shortcut must fail.</x:v>
      </x:c>
      <x:c r="Q895" s="9"/>
      <x:c r="R895" s="10" t="n">
        <x:v>2</x:v>
      </x:c>
      <x:c r="S895" s="10"/>
      <x:c r="T895" s="9"/>
      <x:c r="U895" s="9"/>
      <x:c r="V895" s="9"/>
      <x:c r="W895" s="9"/>
      <x:c r="X895" s="10"/>
      <x:c r="Y895" s="10"/>
      <x:c r="Z895" s="9"/>
      <x:c r="AA895" s="9"/>
      <x:c r="AB895" s="9"/>
      <x:c r="AC895" s="9"/>
      <x:c r="AD895" s="9" t="str">
        <x:v>red pencil sharpener</x:v>
      </x:c>
      <x:c r="AE895" s="9"/>
      <x:c r="AF895" s="9"/>
      <x:c r="AG895" s="9"/>
      <x:c r="AH895" s="9" t="str">
        <x:v>Left</x:v>
      </x:c>
      <x:c r="AI895" s="11" t="n">
        <x:v>8</x:v>
      </x:c>
      <x:c r="AJ895" s="9" t="str">
        <x:v>Exact-scene opposite-comparison reasoning control</x:v>
      </x:c>
      <x:c r="AK895" s="9" t="str">
        <x:v>Eval_Size_Recognition (1).xlsm</x:v>
      </x:c>
      <x:c r="AL895" s="9" t="str">
        <x:v>GR00T vision-only Results</x:v>
      </x:c>
      <x:c r="AM895" s="9" t="n">
        <x:v>125</x:v>
      </x:c>
      <x:c r="AN895" s="9" t="n">
        <x:v>125</x:v>
      </x:c>
    </x:row>
    <x:row r="896">
      <x:c r="A896" s="9" t="str">
        <x:v>Success</x:v>
      </x:c>
      <x:c r="B896" s="9" t="str">
        <x:v>Size Recognition</x:v>
      </x:c>
      <x:c r="C896" s="10" t="n">
        <x:v>124</x:v>
      </x:c>
      <x:c r="D896" s="9" t="str">
        <x:v>Pick up the smallest item and place it in the bowl.</x:v>
      </x:c>
      <x:c r="E896" s="9" t="str">
        <x:v>Bowl: empty. Table, robot-left→robot-right: P1 airplane toy with propellers; P2 green block; P3 juggling ball. Adjacent centers 12 cm apart; row centered on the workspace; all objects fully visible and grasp paths clear.</x:v>
      </x:c>
      <x:c r="F896" s="9" t="str">
        <x:v>MOVE airplane toy with propellers to bowl</x:v>
      </x:c>
      <x:c r="G896" s="9"/>
      <x:c r="H896" s="9" t="str">
        <x:v>Cross-task airplane reasoning</x:v>
      </x:c>
      <x:c r="I896" s="9" t="str">
        <x:v>SZ-XA08</x:v>
      </x:c>
      <x:c r="J896" s="9" t="str">
        <x:v>smallest</x:v>
      </x:c>
      <x:c r="K896" s="9"/>
      <x:c r="L896" s="9" t="str">
        <x:v>airplane exposure 564</x:v>
      </x:c>
      <x:c r="M896" s="9"/>
      <x:c r="N896" s="9"/>
      <x:c r="O896" s="9" t="str">
        <x:v>Build the listed airplane scene and save a first-frame filename.</x:v>
      </x:c>
      <x:c r="P896" s="9" t="str">
        <x:v>The airplane is smaller than every listed table comparator. Green-block scenes also include a trained larger endpoint so the counterfactual does not test largest×green.</x:v>
      </x:c>
      <x:c r="Q896" s="9"/>
      <x:c r="R896" s="10" t="n">
        <x:v>3</x:v>
      </x:c>
      <x:c r="S896" s="10"/>
      <x:c r="T896" s="9"/>
      <x:c r="U896" s="9"/>
      <x:c r="V896" s="9"/>
      <x:c r="W896" s="9"/>
      <x:c r="X896" s="10"/>
      <x:c r="Y896" s="10"/>
      <x:c r="Z896" s="9"/>
      <x:c r="AA896" s="9"/>
      <x:c r="AB896" s="9"/>
      <x:c r="AC896" s="9"/>
      <x:c r="AD896" s="9" t="str">
        <x:v>airplane toy with propellers</x:v>
      </x:c>
      <x:c r="AE896" s="9"/>
      <x:c r="AF896" s="9"/>
      <x:c r="AG896" s="9"/>
      <x:c r="AH896" s="9" t="str">
        <x:v>Left</x:v>
      </x:c>
      <x:c r="AI896" s="11" t="n">
        <x:v>12</x:v>
      </x:c>
      <x:c r="AJ896" s="9" t="str">
        <x:v>Airplane is smallest</x:v>
      </x:c>
      <x:c r="AK896" s="9" t="str">
        <x:v>Eval_Size_Recognition (1).xlsm</x:v>
      </x:c>
      <x:c r="AL896" s="9" t="str">
        <x:v>GR00T vision-only Results</x:v>
      </x:c>
      <x:c r="AM896" s="9" t="n">
        <x:v>126</x:v>
      </x:c>
      <x:c r="AN896" s="9" t="n">
        <x:v>126</x:v>
      </x:c>
    </x:row>
    <x:row r="897">
      <x:c r="A897" s="9" t="str">
        <x:v>Success</x:v>
      </x:c>
      <x:c r="B897" s="9" t="str">
        <x:v>Size Recognition</x:v>
      </x:c>
      <x:c r="C897" s="10" t="n">
        <x:v>125</x:v>
      </x:c>
      <x:c r="D897" s="9" t="str">
        <x:v>Put the largest object in the bowl.</x:v>
      </x:c>
      <x:c r="E897" s="9" t="str">
        <x:v>Bowl: empty. Table, robot-left→robot-right: P1 airplane toy with propellers; P2 green block; P3 juggling ball. Adjacent centers 12 cm apart; row centered on the workspace; all objects fully visible and grasp paths clear.</x:v>
      </x:c>
      <x:c r="F897" s="9" t="str">
        <x:v>MOVE juggling ball to bowl</x:v>
      </x:c>
      <x:c r="G897" s="9"/>
      <x:c r="H897" s="9" t="str">
        <x:v>Cross-task airplane counterfactual</x:v>
      </x:c>
      <x:c r="I897" s="9" t="str">
        <x:v>SZ-XA08</x:v>
      </x:c>
      <x:c r="J897" s="9" t="str">
        <x:v>largest</x:v>
      </x:c>
      <x:c r="K897" s="9" t="n">
        <x:v>124</x:v>
      </x:c>
      <x:c r="L897" s="9" t="str">
        <x:v>1128; airplane exposure 564</x:v>
      </x:c>
      <x:c r="M897" s="9"/>
      <x:c r="N897" s="9"/>
      <x:c r="O897" s="9" t="str">
        <x:v>Reset the airplane; preserve the exact scene and reverse only the size comparison.</x:v>
      </x:c>
      <x:c r="P897" s="9" t="str">
        <x:v>Reasoning-only counterfactual grounded by trained cell largest × juggling ball; an always-pick-airplane shortcut must fail.</x:v>
      </x:c>
      <x:c r="Q897" s="9"/>
      <x:c r="R897" s="10" t="n">
        <x:v>3</x:v>
      </x:c>
      <x:c r="S897" s="10"/>
      <x:c r="T897" s="9"/>
      <x:c r="U897" s="9"/>
      <x:c r="V897" s="9"/>
      <x:c r="W897" s="9"/>
      <x:c r="X897" s="10"/>
      <x:c r="Y897" s="10"/>
      <x:c r="Z897" s="9"/>
      <x:c r="AA897" s="9"/>
      <x:c r="AB897" s="9"/>
      <x:c r="AC897" s="9"/>
      <x:c r="AD897" s="9" t="str">
        <x:v>juggling ball</x:v>
      </x:c>
      <x:c r="AE897" s="9"/>
      <x:c r="AF897" s="9"/>
      <x:c r="AG897" s="9"/>
      <x:c r="AH897" s="9" t="str">
        <x:v>Right</x:v>
      </x:c>
      <x:c r="AI897" s="11" t="n">
        <x:v>12</x:v>
      </x:c>
      <x:c r="AJ897" s="9" t="str">
        <x:v>Exact-scene opposite-comparison reasoning control</x:v>
      </x:c>
      <x:c r="AK897" s="9" t="str">
        <x:v>Eval_Size_Recognition (1).xlsm</x:v>
      </x:c>
      <x:c r="AL897" s="9" t="str">
        <x:v>GR00T vision-only Results</x:v>
      </x:c>
      <x:c r="AM897" s="9" t="n">
        <x:v>127</x:v>
      </x:c>
      <x:c r="AN897" s="9" t="n">
        <x:v>127</x:v>
      </x:c>
    </x:row>
    <x:row r="898">
      <x:c r="A898" s="9" t="str">
        <x:v>Success</x:v>
      </x:c>
      <x:c r="B898" s="9" t="str">
        <x:v>Size Recognition</x:v>
      </x:c>
      <x:c r="C898" s="10" t="n">
        <x:v>126</x:v>
      </x:c>
      <x:c r="D898" s="9" t="str">
        <x:v>Pick up the largest item and place it in the bowl.</x:v>
      </x:c>
      <x:c r="E898" s="9" t="str">
        <x:v>Bowl: empty. Table, robot-left→robot-right: P1 airplane toy with propellers; P2 red pencil sharpener. Adjacent centers 12 cm apart; row shifted 4 cm away from the robot; all objects fully visible and grasp paths clear.</x:v>
      </x:c>
      <x:c r="F898" s="9" t="str">
        <x:v>MOVE airplane toy with propellers to bowl</x:v>
      </x:c>
      <x:c r="G898" s="9"/>
      <x:c r="H898" s="9" t="str">
        <x:v>Cross-task airplane reasoning</x:v>
      </x:c>
      <x:c r="I898" s="9" t="str">
        <x:v>SZ-XA09</x:v>
      </x:c>
      <x:c r="J898" s="9" t="str">
        <x:v>largest</x:v>
      </x:c>
      <x:c r="K898" s="9"/>
      <x:c r="L898" s="9" t="str">
        <x:v>airplane exposure 566</x:v>
      </x:c>
      <x:c r="M898" s="9"/>
      <x:c r="N898" s="9"/>
      <x:c r="O898" s="9" t="str">
        <x:v>Build the listed airplane scene and save a first-frame filename.</x:v>
      </x:c>
      <x:c r="P898" s="9" t="str">
        <x:v>The airplane is larger than the red pencil sharpener. It is known globally but never received size language in training.</x:v>
      </x:c>
      <x:c r="Q898" s="9"/>
      <x:c r="R898" s="10" t="n">
        <x:v>2</x:v>
      </x:c>
      <x:c r="S898" s="10"/>
      <x:c r="T898" s="9"/>
      <x:c r="U898" s="9"/>
      <x:c r="V898" s="9"/>
      <x:c r="W898" s="9"/>
      <x:c r="X898" s="10"/>
      <x:c r="Y898" s="10"/>
      <x:c r="Z898" s="9"/>
      <x:c r="AA898" s="9"/>
      <x:c r="AB898" s="9"/>
      <x:c r="AC898" s="9"/>
      <x:c r="AD898" s="9" t="str">
        <x:v>airplane toy with propellers</x:v>
      </x:c>
      <x:c r="AE898" s="9"/>
      <x:c r="AF898" s="9"/>
      <x:c r="AG898" s="9"/>
      <x:c r="AH898" s="9" t="str">
        <x:v>Left</x:v>
      </x:c>
      <x:c r="AI898" s="11" t="n">
        <x:v>12</x:v>
      </x:c>
      <x:c r="AJ898" s="9" t="str">
        <x:v>Airplane is largest</x:v>
      </x:c>
      <x:c r="AK898" s="9" t="str">
        <x:v>Eval_Size_Recognition (1).xlsm</x:v>
      </x:c>
      <x:c r="AL898" s="9" t="str">
        <x:v>GR00T vision-only Results</x:v>
      </x:c>
      <x:c r="AM898" s="9" t="n">
        <x:v>128</x:v>
      </x:c>
      <x:c r="AN898" s="9" t="n">
        <x:v>128</x:v>
      </x:c>
    </x:row>
    <x:row r="899">
      <x:c r="A899" s="9" t="str">
        <x:v>Success</x:v>
      </x:c>
      <x:c r="B899" s="9" t="str">
        <x:v>Size Recognition</x:v>
      </x:c>
      <x:c r="C899" s="10" t="n">
        <x:v>127</x:v>
      </x:c>
      <x:c r="D899" s="9" t="str">
        <x:v>Move the object that is smallest into the bowl.</x:v>
      </x:c>
      <x:c r="E899" s="9" t="str">
        <x:v>Bowl: empty. Table, robot-left→robot-right: P1 airplane toy with propellers; P2 red pencil sharpener. Adjacent centers 12 cm apart; row shifted 4 cm away from the robot; all objects fully visible and grasp paths clear.</x:v>
      </x:c>
      <x:c r="F899" s="9" t="str">
        <x:v>MOVE red pencil sharpener to bowl</x:v>
      </x:c>
      <x:c r="G899" s="9"/>
      <x:c r="H899" s="9" t="str">
        <x:v>Cross-task airplane counterfactual</x:v>
      </x:c>
      <x:c r="I899" s="9" t="str">
        <x:v>SZ-XA09</x:v>
      </x:c>
      <x:c r="J899" s="9" t="str">
        <x:v>smallest</x:v>
      </x:c>
      <x:c r="K899" s="9" t="n">
        <x:v>126</x:v>
      </x:c>
      <x:c r="L899" s="9" t="str">
        <x:v>1009; airplane exposure 566</x:v>
      </x:c>
      <x:c r="M899" s="9"/>
      <x:c r="N899" s="9"/>
      <x:c r="O899" s="9" t="str">
        <x:v>Reset the airplane; preserve the exact scene and reverse only the size comparison.</x:v>
      </x:c>
      <x:c r="P899" s="9" t="str">
        <x:v>Reasoning-only counterfactual grounded by trained cell smallest × red pencil sharpener; an always-pick-airplane shortcut must fail.</x:v>
      </x:c>
      <x:c r="Q899" s="9"/>
      <x:c r="R899" s="10" t="n">
        <x:v>2</x:v>
      </x:c>
      <x:c r="S899" s="10"/>
      <x:c r="T899" s="9"/>
      <x:c r="U899" s="9"/>
      <x:c r="V899" s="9"/>
      <x:c r="W899" s="9"/>
      <x:c r="X899" s="10"/>
      <x:c r="Y899" s="10"/>
      <x:c r="Z899" s="9"/>
      <x:c r="AA899" s="9"/>
      <x:c r="AB899" s="9"/>
      <x:c r="AC899" s="9"/>
      <x:c r="AD899" s="9" t="str">
        <x:v>red pencil sharpener</x:v>
      </x:c>
      <x:c r="AE899" s="9"/>
      <x:c r="AF899" s="9"/>
      <x:c r="AG899" s="9"/>
      <x:c r="AH899" s="9" t="str">
        <x:v>Right</x:v>
      </x:c>
      <x:c r="AI899" s="11" t="n">
        <x:v>12</x:v>
      </x:c>
      <x:c r="AJ899" s="9" t="str">
        <x:v>Exact-scene opposite-comparison reasoning control</x:v>
      </x:c>
      <x:c r="AK899" s="9" t="str">
        <x:v>Eval_Size_Recognition (1).xlsm</x:v>
      </x:c>
      <x:c r="AL899" s="9" t="str">
        <x:v>GR00T vision-only Results</x:v>
      </x:c>
      <x:c r="AM899" s="9" t="n">
        <x:v>129</x:v>
      </x:c>
      <x:c r="AN899" s="9" t="n">
        <x:v>129</x:v>
      </x:c>
    </x:row>
    <x:row r="900">
      <x:c r="A900" s="9" t="str">
        <x:v>Success</x:v>
      </x:c>
      <x:c r="B900" s="9" t="str">
        <x:v>Size Recognition</x:v>
      </x:c>
      <x:c r="C900" s="10" t="n">
        <x:v>128</x:v>
      </x:c>
      <x:c r="D900" s="9" t="str">
        <x:v>Put the smallest object in the bowl.</x:v>
      </x:c>
      <x:c r="E900" s="9" t="str">
        <x:v>Bowl: empty. Table, robot-left→robot-right: P1 crushed Pepsi can; P2 juggling ball; P3 airplane toy with propellers. Adjacent centers 16 cm apart; row shifted 4 cm toward robot-left; all objects fully visible and grasp paths clear.</x:v>
      </x:c>
      <x:c r="F900" s="9" t="str">
        <x:v>MOVE airplane toy with propellers to bowl</x:v>
      </x:c>
      <x:c r="G900" s="9"/>
      <x:c r="H900" s="9" t="str">
        <x:v>Cross-task airplane reasoning</x:v>
      </x:c>
      <x:c r="I900" s="9" t="str">
        <x:v>SZ-XA10</x:v>
      </x:c>
      <x:c r="J900" s="9" t="str">
        <x:v>smallest</x:v>
      </x:c>
      <x:c r="K900" s="9"/>
      <x:c r="L900" s="9" t="str">
        <x:v>airplane exposure 568</x:v>
      </x:c>
      <x:c r="M900" s="9"/>
      <x:c r="N900" s="9"/>
      <x:c r="O900" s="9" t="str">
        <x:v>Build the listed airplane scene and save a first-frame filename.</x:v>
      </x:c>
      <x:c r="P900" s="9" t="str">
        <x:v>The airplane is smaller than every listed table comparator. Green-block scenes also include a trained larger endpoint so the counterfactual does not test largest×green.</x:v>
      </x:c>
      <x:c r="Q900" s="9"/>
      <x:c r="R900" s="10" t="n">
        <x:v>3</x:v>
      </x:c>
      <x:c r="S900" s="10"/>
      <x:c r="T900" s="9"/>
      <x:c r="U900" s="9"/>
      <x:c r="V900" s="9"/>
      <x:c r="W900" s="9"/>
      <x:c r="X900" s="10"/>
      <x:c r="Y900" s="10"/>
      <x:c r="Z900" s="9"/>
      <x:c r="AA900" s="9"/>
      <x:c r="AB900" s="9"/>
      <x:c r="AC900" s="9"/>
      <x:c r="AD900" s="9" t="str">
        <x:v>airplane toy with propellers</x:v>
      </x:c>
      <x:c r="AE900" s="9"/>
      <x:c r="AF900" s="9"/>
      <x:c r="AG900" s="9"/>
      <x:c r="AH900" s="9" t="str">
        <x:v>Right</x:v>
      </x:c>
      <x:c r="AI900" s="11" t="n">
        <x:v>16</x:v>
      </x:c>
      <x:c r="AJ900" s="9" t="str">
        <x:v>Airplane is smallest</x:v>
      </x:c>
      <x:c r="AK900" s="9" t="str">
        <x:v>Eval_Size_Recognition (1).xlsm</x:v>
      </x:c>
      <x:c r="AL900" s="9" t="str">
        <x:v>GR00T vision-only Results</x:v>
      </x:c>
      <x:c r="AM900" s="9" t="n">
        <x:v>130</x:v>
      </x:c>
      <x:c r="AN900" s="9" t="n">
        <x:v>130</x:v>
      </x:c>
    </x:row>
    <x:row r="901">
      <x:c r="A901" s="9" t="str">
        <x:v>Success</x:v>
      </x:c>
      <x:c r="B901" s="9" t="str">
        <x:v>Size Recognition</x:v>
      </x:c>
      <x:c r="C901" s="10" t="n">
        <x:v>129</x:v>
      </x:c>
      <x:c r="D901" s="9" t="str">
        <x:v>Move the object that is largest into the bowl.</x:v>
      </x:c>
      <x:c r="E901" s="9" t="str">
        <x:v>Bowl: empty. Table, robot-left→robot-right: P1 crushed Pepsi can; P2 juggling ball; P3 airplane toy with propellers. Adjacent centers 16 cm apart; row shifted 4 cm toward robot-left; all objects fully visible and grasp paths clear.</x:v>
      </x:c>
      <x:c r="F901" s="9" t="str">
        <x:v>MOVE crushed Pepsi can to bowl</x:v>
      </x:c>
      <x:c r="G901" s="9"/>
      <x:c r="H901" s="9" t="str">
        <x:v>Cross-task airplane counterfactual</x:v>
      </x:c>
      <x:c r="I901" s="9" t="str">
        <x:v>SZ-XA10</x:v>
      </x:c>
      <x:c r="J901" s="9" t="str">
        <x:v>largest</x:v>
      </x:c>
      <x:c r="K901" s="9" t="n">
        <x:v>128</x:v>
      </x:c>
      <x:c r="L901" s="9" t="str">
        <x:v>1159; airplane exposure 568</x:v>
      </x:c>
      <x:c r="M901" s="9"/>
      <x:c r="N901" s="9"/>
      <x:c r="O901" s="9" t="str">
        <x:v>Reset the airplane; preserve the exact scene and reverse only the size comparison.</x:v>
      </x:c>
      <x:c r="P901" s="9" t="str">
        <x:v>Reasoning-only counterfactual grounded by trained cell largest × crushed Pepsi can; an always-pick-airplane shortcut must fail.</x:v>
      </x:c>
      <x:c r="Q901" s="9"/>
      <x:c r="R901" s="10" t="n">
        <x:v>3</x:v>
      </x:c>
      <x:c r="S901" s="10"/>
      <x:c r="T901" s="9"/>
      <x:c r="U901" s="9"/>
      <x:c r="V901" s="9"/>
      <x:c r="W901" s="9"/>
      <x:c r="X901" s="10"/>
      <x:c r="Y901" s="10"/>
      <x:c r="Z901" s="9"/>
      <x:c r="AA901" s="9"/>
      <x:c r="AB901" s="9"/>
      <x:c r="AC901" s="9"/>
      <x:c r="AD901" s="9" t="str">
        <x:v>crushed Pepsi can</x:v>
      </x:c>
      <x:c r="AE901" s="9"/>
      <x:c r="AF901" s="9"/>
      <x:c r="AG901" s="9"/>
      <x:c r="AH901" s="9" t="str">
        <x:v>Left</x:v>
      </x:c>
      <x:c r="AI901" s="11" t="n">
        <x:v>16</x:v>
      </x:c>
      <x:c r="AJ901" s="9" t="str">
        <x:v>Exact-scene opposite-comparison reasoning control</x:v>
      </x:c>
      <x:c r="AK901" s="9" t="str">
        <x:v>Eval_Size_Recognition (1).xlsm</x:v>
      </x:c>
      <x:c r="AL901" s="9" t="str">
        <x:v>GR00T vision-only Results</x:v>
      </x:c>
      <x:c r="AM901" s="9" t="n">
        <x:v>131</x:v>
      </x:c>
      <x:c r="AN901" s="9" t="n">
        <x:v>131</x:v>
      </x:c>
    </x:row>
  </x:sheetData>
  <x:conditionalFormatting sqref="A2:A901">
    <x:cfRule type="containsText" dxfId="2" priority="1" operator="containsText" text="Success"/>
    <x:cfRule type="containsText" dxfId="3" priority="2" operator="containsText" text="Failure"/>
  </x:conditionalFormatting>
  <x:dataValidations count="1">
    <x:dataValidation type="list" sqref="A2:A901">
      <x:formula1>"Success,Failure"</x:formula1>
    </x:dataValidation>
  </x:dataValidations>
  <x:pageMargins left="0.7" right="0.7" top="0.75" bottom="0.75" header="0.3" footer="0.3"/>
  <x:tableParts count="1">
    <x:tablePart xmlns:r="http://schemas.openxmlformats.org/officeDocument/2006/relationships" r:id="R96df0c66e89c49f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27" hidden="0" customWidth="1"/>
    <x:col min="3" max="3" width="9" hidden="0" customWidth="1"/>
    <x:col min="4" max="4" width="44" hidden="0" customWidth="1"/>
    <x:col min="5" max="5" width="54" hidden="0" customWidth="1"/>
    <x:col min="6" max="6" width="34" hidden="0" customWidth="1"/>
    <x:col min="7" max="7" width="34" hidden="0" customWidth="1"/>
    <x:col min="8" max="8" width="38" hidden="0" customWidth="1"/>
    <x:col min="9" max="9" width="20" hidden="0" customWidth="1"/>
    <x:col min="10" max="10" width="34" hidden="0" customWidth="1"/>
    <x:col min="11" max="11" width="16" hidden="0" customWidth="1"/>
    <x:col min="12" max="12" width="20" hidden="0" customWidth="1"/>
    <x:col min="13" max="13" width="42" hidden="0" customWidth="1"/>
    <x:col min="14" max="14" width="16" hidden="0" customWidth="1"/>
    <x:col min="15" max="15" width="38" hidden="0" customWidth="1"/>
    <x:col min="16" max="16" width="44" hidden="0" customWidth="1"/>
    <x:col min="17" max="17" width="24" hidden="0" customWidth="1"/>
    <x:col min="18" max="18" width="13" hidden="0" customWidth="1"/>
    <x:col min="19" max="19" width="15" hidden="0" customWidth="1"/>
    <x:col min="20" max="20" width="14" hidden="0" customWidth="1"/>
    <x:col min="21" max="21" width="14" hidden="0" customWidth="1"/>
    <x:col min="22" max="22" width="18" hidden="0" customWidth="1"/>
    <x:col min="23" max="23" width="20" hidden="0" customWidth="1"/>
    <x:col min="24" max="24" width="15" hidden="0" customWidth="1"/>
    <x:col min="25" max="25" width="12" hidden="0" customWidth="1"/>
    <x:col min="26" max="26" width="18" hidden="0" customWidth="1"/>
    <x:col min="27" max="27" width="14" hidden="0" customWidth="1"/>
    <x:col min="28" max="28" width="18" hidden="0" customWidth="1"/>
    <x:col min="29" max="29" width="16" hidden="0" customWidth="1"/>
    <x:col min="30" max="30" width="20" hidden="0" customWidth="1"/>
    <x:col min="31" max="31" width="20" hidden="0" customWidth="1"/>
    <x:col min="32" max="32" width="18" hidden="0" customWidth="1"/>
    <x:col min="33" max="33" width="20" hidden="0" customWidth="1"/>
    <x:col min="34" max="34" width="14" hidden="0" customWidth="1"/>
    <x:col min="35" max="35" width="15" hidden="0" customWidth="1"/>
    <x:col min="36" max="36" width="28" hidden="0" customWidth="1"/>
    <x:col min="37" max="37" width="32" hidden="0" customWidth="1"/>
    <x:col min="38" max="38" width="28" hidden="0" customWidth="1"/>
    <x:col min="39" max="39" width="16" hidden="0" customWidth="1"/>
    <x:col min="40" max="40" width="15" hidden="0" customWidth="1"/>
  </x:cols>
  <x:sheetData>
    <x:row r="1" ht="36" customHeight="1">
      <x:c r="A1" s="6" t="str">
        <x:v>Status</x:v>
      </x:c>
      <x:c r="B1" s="6" t="str">
        <x:v>Task</x:v>
      </x:c>
      <x:c r="C1" s="6" t="str">
        <x:v>Episode</x:v>
      </x:c>
      <x:c r="D1" s="6" t="str">
        <x:v>Prompt</x:v>
      </x:c>
      <x:c r="E1" s="6" t="str">
        <x:v>Scene Setup</x:v>
      </x:c>
      <x:c r="F1" s="6" t="str">
        <x:v>Expected Target / Action</x:v>
      </x:c>
      <x:c r="G1" s="6" t="str">
        <x:v>Observations</x:v>
      </x:c>
      <x:c r="H1" s="6" t="str">
        <x:v>Condition</x:v>
      </x:c>
      <x:c r="I1" s="6" t="str">
        <x:v>Scene Family</x:v>
      </x:c>
      <x:c r="J1" s="6" t="str">
        <x:v>Comparison / Subtype</x:v>
      </x:c>
      <x:c r="K1" s="6" t="str">
        <x:v>Reference Episode</x:v>
      </x:c>
      <x:c r="L1" s="6" t="str">
        <x:v>Original Training Episode(s)</x:v>
      </x:c>
      <x:c r="M1" s="6" t="str">
        <x:v>Manifest Alignment</x:v>
      </x:c>
      <x:c r="N1" s="6" t="str">
        <x:v>Collection Block</x:v>
      </x:c>
      <x:c r="O1" s="6" t="str">
        <x:v>Setup Change from Previous</x:v>
      </x:c>
      <x:c r="P1" s="6" t="str">
        <x:v>Design Note</x:v>
      </x:c>
      <x:c r="Q1" s="6" t="str">
        <x:v>Reference Media Filename</x:v>
      </x:c>
      <x:c r="R1" s="6" t="str">
        <x:v>Object Count</x:v>
      </x:c>
      <x:c r="S1" s="6" t="str">
        <x:v>Valid Candidate Count</x:v>
      </x:c>
      <x:c r="T1" s="6" t="str">
        <x:v>Bowl Start</x:v>
      </x:c>
      <x:c r="U1" s="6" t="str">
        <x:v>Queried State</x:v>
      </x:c>
      <x:c r="V1" s="6" t="str">
        <x:v>Queried Category</x:v>
      </x:c>
      <x:c r="W1" s="6" t="str">
        <x:v>Contrast Pair</x:v>
      </x:c>
      <x:c r="X1" s="6" t="str">
        <x:v>Initial Bowl Count</x:v>
      </x:c>
      <x:c r="Y1" s="6" t="str">
        <x:v>Goal Count</x:v>
      </x:c>
      <x:c r="Z1" s="6" t="str">
        <x:v>Action Direction</x:v>
      </x:c>
      <x:c r="AA1" s="6" t="str">
        <x:v>Target Position</x:v>
      </x:c>
      <x:c r="AB1" s="6" t="str">
        <x:v>Query Concept</x:v>
      </x:c>
      <x:c r="AC1" s="6" t="str">
        <x:v>Relation</x:v>
      </x:c>
      <x:c r="AD1" s="6" t="str">
        <x:v>Target Object</x:v>
      </x:c>
      <x:c r="AE1" s="6" t="str">
        <x:v>Reference Object</x:v>
      </x:c>
      <x:c r="AF1" s="6" t="str">
        <x:v>Juggling Ball Role</x:v>
      </x:c>
      <x:c r="AG1" s="6" t="str">
        <x:v>Candidate Category</x:v>
      </x:c>
      <x:c r="AH1" s="6" t="str">
        <x:v>Target Side</x:v>
      </x:c>
      <x:c r="AI1" s="6" t="str">
        <x:v>Separation (cm)</x:v>
      </x:c>
      <x:c r="AJ1" s="6" t="str">
        <x:v>Tested Cell / Role</x:v>
      </x:c>
      <x:c r="AK1" s="6" t="str">
        <x:v>Source Workbook</x:v>
      </x:c>
      <x:c r="AL1" s="6" t="str">
        <x:v>Source Result Sheet</x:v>
      </x:c>
      <x:c r="AM1" s="6" t="str">
        <x:v>Source Result Row</x:v>
      </x:c>
      <x:c r="AN1" s="6" t="str">
        <x:v>Source Plan Row</x:v>
      </x:c>
    </x:row>
    <x:row r="2">
      <x:c r="A2" s="9" t="str">
        <x:v>Failure</x:v>
      </x:c>
      <x:c r="B2" s="9" t="str">
        <x:v>State Recognition</x:v>
      </x:c>
      <x:c r="C2" s="10" t="n">
        <x:v>0</x:v>
      </x:c>
      <x:c r="D2" s="9" t="str">
        <x:v>Put the open white cup in the bowl.</x:v>
      </x:c>
      <x:c r="E2" s="9" t="str">
        <x:v>white cup A (O, RU); white cup B (C, RU); glass spice container A (O, RU); yellow-white striped cup B (O, RU)</x:v>
      </x:c>
      <x:c r="F2" s="9" t="str">
        <x:v>white cup A</x:v>
      </x:c>
      <x:c r="G2" s="9" t="str">
        <x:v>went for the closed white cup and then ended up knocking it off the table.</x:v>
      </x:c>
      <x:c r="H2" s="9" t="str">
        <x:v>In-distribution concept baseline</x:v>
      </x:c>
      <x:c r="I2" s="9" t="str">
        <x:v>SR-ID01</x:v>
      </x:c>
      <x:c r="J2" s="9" t="str">
        <x:v>Exact training-supported state-object baseline</x:v>
      </x:c>
      <x:c r="K2" s="9"/>
      <x:c r="L2" s="9" t="str">
        <x:v>2</x:v>
      </x:c>
      <x:c r="M2" s="9" t="str">
        <x:v>Exact manifest episode: trained state-object cell, prompt, same-category candidate structure, and object membership match; physical layout is manually recreated. All objects are upright, matching the context of every explicit open/closed training demonstration.</x:v>
      </x:c>
      <x:c r="N2" s="9" t="n">
        <x:v>1</x:v>
      </x:c>
      <x:c r="O2" s="9" t="str">
        <x:v>Recreate the listed manifest scene with the bowl empty.</x:v>
      </x:c>
      <x:c r="P2" s="9" t="str">
        <x:v>The queried state-object combination and same-category discrimination structure are explicitly represented in training. The orthogonal orientation axis is fixed: every object is RU.</x:v>
      </x:c>
      <x:c r="Q2" s="9"/>
      <x:c r="R2" s="10" t="n">
        <x:v>4</x:v>
      </x:c>
      <x:c r="S2" s="10" t="n">
        <x:v>1</x:v>
      </x:c>
      <x:c r="T2" s="9" t="str">
        <x:v>Empty</x:v>
      </x:c>
      <x:c r="U2" s="9" t="str">
        <x:v>O</x:v>
      </x:c>
      <x:c r="V2" s="9" t="str">
        <x:v>white cup</x:v>
      </x:c>
      <x:c r="W2" s="9"/>
      <x:c r="X2" s="10"/>
      <x:c r="Y2" s="10"/>
      <x:c r="Z2" s="9"/>
      <x:c r="AA2" s="9"/>
      <x:c r="AB2" s="9"/>
      <x:c r="AC2" s="9"/>
      <x:c r="AD2" s="9"/>
      <x:c r="AE2" s="9"/>
      <x:c r="AF2" s="9"/>
      <x:c r="AG2" s="9"/>
      <x:c r="AH2" s="9"/>
      <x:c r="AI2" s="11"/>
      <x:c r="AJ2" s="9"/>
      <x:c r="AK2" s="9" t="str">
        <x:v>Eval_State_Recognition.xlsm</x:v>
      </x:c>
      <x:c r="AL2" s="9" t="str">
        <x:v>GR00T Results</x:v>
      </x:c>
      <x:c r="AM2" s="9" t="n">
        <x:v>2</x:v>
      </x:c>
      <x:c r="AN2" s="9" t="n">
        <x:v>2</x:v>
      </x:c>
    </x:row>
    <x:row r="3">
      <x:c r="A3" s="9" t="str">
        <x:v>Failure</x:v>
      </x:c>
      <x:c r="B3" s="9" t="str">
        <x:v>State Recognition</x:v>
      </x:c>
      <x:c r="C3" s="10" t="n">
        <x:v>1</x:v>
      </x:c>
      <x:c r="D3" s="9" t="str">
        <x:v>Put the upright white cup in the bowl.</x:v>
      </x:c>
      <x:c r="E3" s="9" t="str">
        <x:v>white cup A (O, RU); white cup B (O, UD)</x:v>
      </x:c>
      <x:c r="F3" s="9" t="str">
        <x:v>white cup A</x:v>
      </x:c>
      <x:c r="G3" s="9" t="str">
        <x:v>picked upside down cup</x:v>
      </x:c>
      <x:c r="H3" s="9" t="str">
        <x:v>In-distribution concept baseline</x:v>
      </x:c>
      <x:c r="I3" s="9" t="str">
        <x:v>SR-ID02</x:v>
      </x:c>
      <x:c r="J3" s="9" t="str">
        <x:v>Exact training-supported state-object baseline</x:v>
      </x:c>
      <x:c r="K3" s="9"/>
      <x:c r="L3" s="9" t="str">
        <x:v>26</x:v>
      </x:c>
      <x:c r="M3" s="9" t="str">
        <x:v>Exact manifest episode: trained state-object cell, prompt, same-category candidate structure, and object membership match; physical layout is manually recreated.</x:v>
      </x:c>
      <x:c r="N3" s="9" t="n">
        <x:v>1</x:v>
      </x:c>
      <x:c r="O3" s="9" t="str">
        <x:v>Recreate the listed manifest scene with the bowl empty.</x:v>
      </x:c>
      <x:c r="P3" s="9" t="str">
        <x:v>The queried state-object combination and same-category discrimination structure are explicitly represented in training. The same-category candidates share the orthogonal C/O state (O).</x:v>
      </x:c>
      <x:c r="Q3" s="9"/>
      <x:c r="R3" s="10" t="n">
        <x:v>2</x:v>
      </x:c>
      <x:c r="S3" s="10" t="n">
        <x:v>1</x:v>
      </x:c>
      <x:c r="T3" s="9" t="str">
        <x:v>Empty</x:v>
      </x:c>
      <x:c r="U3" s="9" t="str">
        <x:v>RU</x:v>
      </x:c>
      <x:c r="V3" s="9" t="str">
        <x:v>white cup</x:v>
      </x:c>
      <x:c r="W3" s="9"/>
      <x:c r="X3" s="10"/>
      <x:c r="Y3" s="10"/>
      <x:c r="Z3" s="9"/>
      <x:c r="AA3" s="9"/>
      <x:c r="AB3" s="9"/>
      <x:c r="AC3" s="9"/>
      <x:c r="AD3" s="9"/>
      <x:c r="AE3" s="9"/>
      <x:c r="AF3" s="9"/>
      <x:c r="AG3" s="9"/>
      <x:c r="AH3" s="9"/>
      <x:c r="AI3" s="11"/>
      <x:c r="AJ3" s="9"/>
      <x:c r="AK3" s="9" t="str">
        <x:v>Eval_State_Recognition.xlsm</x:v>
      </x:c>
      <x:c r="AL3" s="9" t="str">
        <x:v>GR00T Results</x:v>
      </x:c>
      <x:c r="AM3" s="9" t="n">
        <x:v>3</x:v>
      </x:c>
      <x:c r="AN3" s="9" t="n">
        <x:v>3</x:v>
      </x:c>
    </x:row>
    <x:row r="4">
      <x:c r="A4" s="9" t="str">
        <x:v>Failure</x:v>
      </x:c>
      <x:c r="B4" s="9" t="str">
        <x:v>State Recognition</x:v>
      </x:c>
      <x:c r="C4" s="10" t="n">
        <x:v>2</x:v>
      </x:c>
      <x:c r="D4" s="9" t="str">
        <x:v>Move the closed yellow-white striped cup into the bowl.</x:v>
      </x:c>
      <x:c r="E4" s="9" t="str">
        <x:v>yellow-white striped cup B (C, RU); yellow-white striped cup A (O, RU); white cup A (C, RU)</x:v>
      </x:c>
      <x:c r="F4" s="9" t="str">
        <x:v>yellow-white striped cup B</x:v>
      </x:c>
      <x:c r="G4" s="9" t="str">
        <x:v>picked closed white cup; looked like it was going for the clsoed striped cup, but switched up trajectory at the end</x:v>
      </x:c>
      <x:c r="H4" s="9" t="str">
        <x:v>In-distribution concept baseline</x:v>
      </x:c>
      <x:c r="I4" s="9" t="str">
        <x:v>SR-ID03</x:v>
      </x:c>
      <x:c r="J4" s="9" t="str">
        <x:v>Exact training-supported state-object baseline</x:v>
      </x:c>
      <x:c r="K4" s="9"/>
      <x:c r="L4" s="9" t="str">
        <x:v>51</x:v>
      </x:c>
      <x:c r="M4" s="9" t="str">
        <x:v>Exact manifest episode: trained state-object cell, prompt, same-category candidate structure, and object membership match; physical layout is manually recreated. All objects are upright, matching the context of every explicit open/closed training demonstration.</x:v>
      </x:c>
      <x:c r="N4" s="9" t="n">
        <x:v>1</x:v>
      </x:c>
      <x:c r="O4" s="9" t="str">
        <x:v>Recreate the listed manifest scene with the bowl empty.</x:v>
      </x:c>
      <x:c r="P4" s="9" t="str">
        <x:v>The queried state-object combination and same-category discrimination structure are explicitly represented in training. The orthogonal orientation axis is fixed: every object is RU.</x:v>
      </x:c>
      <x:c r="Q4" s="9"/>
      <x:c r="R4" s="10" t="n">
        <x:v>3</x:v>
      </x:c>
      <x:c r="S4" s="10" t="n">
        <x:v>1</x:v>
      </x:c>
      <x:c r="T4" s="9" t="str">
        <x:v>Empty</x:v>
      </x:c>
      <x:c r="U4" s="9" t="str">
        <x:v>C</x:v>
      </x:c>
      <x:c r="V4" s="9" t="str">
        <x:v>yellow-white striped cup</x:v>
      </x:c>
      <x:c r="W4" s="9"/>
      <x:c r="X4" s="10"/>
      <x:c r="Y4" s="10"/>
      <x:c r="Z4" s="9"/>
      <x:c r="AA4" s="9"/>
      <x:c r="AB4" s="9"/>
      <x:c r="AC4" s="9"/>
      <x:c r="AD4" s="9"/>
      <x:c r="AE4" s="9"/>
      <x:c r="AF4" s="9"/>
      <x:c r="AG4" s="9"/>
      <x:c r="AH4" s="9"/>
      <x:c r="AI4" s="11"/>
      <x:c r="AJ4" s="9"/>
      <x:c r="AK4" s="9" t="str">
        <x:v>Eval_State_Recognition.xlsm</x:v>
      </x:c>
      <x:c r="AL4" s="9" t="str">
        <x:v>GR00T Results</x:v>
      </x:c>
      <x:c r="AM4" s="9" t="n">
        <x:v>4</x:v>
      </x:c>
      <x:c r="AN4" s="9" t="n">
        <x:v>4</x:v>
      </x:c>
    </x:row>
    <x:row r="5">
      <x:c r="A5" s="9" t="str">
        <x:v>Failure</x:v>
      </x:c>
      <x:c r="B5" s="9" t="str">
        <x:v>State Recognition</x:v>
      </x:c>
      <x:c r="C5" s="10" t="n">
        <x:v>3</x:v>
      </x:c>
      <x:c r="D5" s="9" t="str">
        <x:v>Move the upside-down yellow-white striped cup into the bowl.</x:v>
      </x:c>
      <x:c r="E5" s="9" t="str">
        <x:v>yellow-white striped cup B (O, UD); yellow-white striped cup A (O, RU); brown cup B (C, RU); glass spice container A (O, RU)</x:v>
      </x:c>
      <x:c r="F5" s="9" t="str">
        <x:v>yellow-white striped cup B</x:v>
      </x:c>
      <x:c r="G5" s="9" t="str">
        <x:v>picked the closed brown cup</x:v>
      </x:c>
      <x:c r="H5" s="9" t="str">
        <x:v>In-distribution concept baseline</x:v>
      </x:c>
      <x:c r="I5" s="9" t="str">
        <x:v>SR-ID04</x:v>
      </x:c>
      <x:c r="J5" s="9" t="str">
        <x:v>Exact training-supported state-object baseline</x:v>
      </x:c>
      <x:c r="K5" s="9"/>
      <x:c r="L5" s="9" t="str">
        <x:v>78</x:v>
      </x:c>
      <x:c r="M5" s="9" t="str">
        <x:v>Exact manifest episode: trained state-object cell, prompt, same-category candidate structure, and object membership match; physical layout is manually recreated.</x:v>
      </x:c>
      <x:c r="N5" s="9" t="n">
        <x:v>1</x:v>
      </x:c>
      <x:c r="O5" s="9" t="str">
        <x:v>Recreate the listed manifest scene with the bowl empty.</x:v>
      </x:c>
      <x:c r="P5" s="9" t="str">
        <x:v>The queried state-object combination and same-category discrimination structure are explicitly represented in training. The same-category candidates share the orthogonal C/O state (O).</x:v>
      </x:c>
      <x:c r="Q5" s="9"/>
      <x:c r="R5" s="10" t="n">
        <x:v>4</x:v>
      </x:c>
      <x:c r="S5" s="10" t="n">
        <x:v>1</x:v>
      </x:c>
      <x:c r="T5" s="9" t="str">
        <x:v>Empty</x:v>
      </x:c>
      <x:c r="U5" s="9" t="str">
        <x:v>UD</x:v>
      </x:c>
      <x:c r="V5" s="9" t="str">
        <x:v>yellow-white striped cup</x:v>
      </x:c>
      <x:c r="W5" s="9"/>
      <x:c r="X5" s="10"/>
      <x:c r="Y5" s="10"/>
      <x:c r="Z5" s="9"/>
      <x:c r="AA5" s="9"/>
      <x:c r="AB5" s="9"/>
      <x:c r="AC5" s="9"/>
      <x:c r="AD5" s="9"/>
      <x:c r="AE5" s="9"/>
      <x:c r="AF5" s="9"/>
      <x:c r="AG5" s="9"/>
      <x:c r="AH5" s="9"/>
      <x:c r="AI5" s="11"/>
      <x:c r="AJ5" s="9"/>
      <x:c r="AK5" s="9" t="str">
        <x:v>Eval_State_Recognition.xlsm</x:v>
      </x:c>
      <x:c r="AL5" s="9" t="str">
        <x:v>GR00T Results</x:v>
      </x:c>
      <x:c r="AM5" s="9" t="n">
        <x:v>5</x:v>
      </x:c>
      <x:c r="AN5" s="9" t="n">
        <x:v>5</x:v>
      </x:c>
    </x:row>
    <x:row r="6">
      <x:c r="A6" s="9" t="str">
        <x:v>Success</x:v>
      </x:c>
      <x:c r="B6" s="9" t="str">
        <x:v>State Recognition</x:v>
      </x:c>
      <x:c r="C6" s="10" t="n">
        <x:v>4</x:v>
      </x:c>
      <x:c r="D6" s="9" t="str">
        <x:v>Put the open brown cup in the bowl.</x:v>
      </x:c>
      <x:c r="E6" s="9" t="str">
        <x:v>brown cup B (O, RU); brown cup A (C, RU); glass spice container A (O, RU)</x:v>
      </x:c>
      <x:c r="F6" s="9" t="str">
        <x:v>brown cup B</x:v>
      </x:c>
      <x:c r="G6" s="9"/>
      <x:c r="H6" s="9" t="str">
        <x:v>In-distribution concept baseline</x:v>
      </x:c>
      <x:c r="I6" s="9" t="str">
        <x:v>SR-ID05</x:v>
      </x:c>
      <x:c r="J6" s="9" t="str">
        <x:v>Exact training-supported state-object baseline</x:v>
      </x:c>
      <x:c r="K6" s="9"/>
      <x:c r="L6" s="9" t="str">
        <x:v>104</x:v>
      </x:c>
      <x:c r="M6" s="9" t="str">
        <x:v>Exact manifest episode: trained state-object cell, prompt, same-category candidate structure, and object membership match; physical layout is manually recreated. All objects are upright, matching the context of every explicit open/closed training demonstration.</x:v>
      </x:c>
      <x:c r="N6" s="9" t="n">
        <x:v>1</x:v>
      </x:c>
      <x:c r="O6" s="9" t="str">
        <x:v>Recreate the listed manifest scene with the bowl empty.</x:v>
      </x:c>
      <x:c r="P6" s="9" t="str">
        <x:v>The queried state-object combination and same-category discrimination structure are explicitly represented in training. The orthogonal orientation axis is fixed: every object is RU.</x:v>
      </x:c>
      <x:c r="Q6" s="9"/>
      <x:c r="R6" s="10" t="n">
        <x:v>3</x:v>
      </x:c>
      <x:c r="S6" s="10" t="n">
        <x:v>1</x:v>
      </x:c>
      <x:c r="T6" s="9" t="str">
        <x:v>Empty</x:v>
      </x:c>
      <x:c r="U6" s="9" t="str">
        <x:v>O</x:v>
      </x:c>
      <x:c r="V6" s="9" t="str">
        <x:v>brown cup</x:v>
      </x:c>
      <x:c r="W6" s="9"/>
      <x:c r="X6" s="10"/>
      <x:c r="Y6" s="10"/>
      <x:c r="Z6" s="9"/>
      <x:c r="AA6" s="9"/>
      <x:c r="AB6" s="9"/>
      <x:c r="AC6" s="9"/>
      <x:c r="AD6" s="9"/>
      <x:c r="AE6" s="9"/>
      <x:c r="AF6" s="9"/>
      <x:c r="AG6" s="9"/>
      <x:c r="AH6" s="9"/>
      <x:c r="AI6" s="11"/>
      <x:c r="AJ6" s="9"/>
      <x:c r="AK6" s="9" t="str">
        <x:v>Eval_State_Recognition.xlsm</x:v>
      </x:c>
      <x:c r="AL6" s="9" t="str">
        <x:v>GR00T Results</x:v>
      </x:c>
      <x:c r="AM6" s="9" t="n">
        <x:v>6</x:v>
      </x:c>
      <x:c r="AN6" s="9" t="n">
        <x:v>6</x:v>
      </x:c>
    </x:row>
    <x:row r="7">
      <x:c r="A7" s="9" t="str">
        <x:v>Failure</x:v>
      </x:c>
      <x:c r="B7" s="9" t="str">
        <x:v>State Recognition</x:v>
      </x:c>
      <x:c r="C7" s="10" t="n">
        <x:v>5</x:v>
      </x:c>
      <x:c r="D7" s="9" t="str">
        <x:v>Put the upside-down brown cup in the bowl.</x:v>
      </x:c>
      <x:c r="E7" s="9" t="str">
        <x:v>brown cup A (O, UD); brown cup B (O, RU)</x:v>
      </x:c>
      <x:c r="F7" s="9" t="str">
        <x:v>brown cup A</x:v>
      </x:c>
      <x:c r="G7" s="9" t="str">
        <x:v>picked the upright cup</x:v>
      </x:c>
      <x:c r="H7" s="9" t="str">
        <x:v>In-distribution concept baseline</x:v>
      </x:c>
      <x:c r="I7" s="9" t="str">
        <x:v>SR-ID06</x:v>
      </x:c>
      <x:c r="J7" s="9" t="str">
        <x:v>Exact training-supported state-object baseline</x:v>
      </x:c>
      <x:c r="K7" s="9"/>
      <x:c r="L7" s="9" t="str">
        <x:v>125</x:v>
      </x:c>
      <x:c r="M7" s="9" t="str">
        <x:v>Exact manifest episode: trained state-object cell, prompt, same-category candidate structure, and object membership match; physical layout is manually recreated.</x:v>
      </x:c>
      <x:c r="N7" s="9" t="n">
        <x:v>1</x:v>
      </x:c>
      <x:c r="O7" s="9" t="str">
        <x:v>Recreate the listed manifest scene with the bowl empty.</x:v>
      </x:c>
      <x:c r="P7" s="9" t="str">
        <x:v>The queried state-object combination and same-category discrimination structure are explicitly represented in training. The same-category candidates share the orthogonal C/O state (O).</x:v>
      </x:c>
      <x:c r="Q7" s="9"/>
      <x:c r="R7" s="10" t="n">
        <x:v>2</x:v>
      </x:c>
      <x:c r="S7" s="10" t="n">
        <x:v>1</x:v>
      </x:c>
      <x:c r="T7" s="9" t="str">
        <x:v>Empty</x:v>
      </x:c>
      <x:c r="U7" s="9" t="str">
        <x:v>UD</x:v>
      </x:c>
      <x:c r="V7" s="9" t="str">
        <x:v>brown cup</x:v>
      </x:c>
      <x:c r="W7" s="9"/>
      <x:c r="X7" s="10"/>
      <x:c r="Y7" s="10"/>
      <x:c r="Z7" s="9"/>
      <x:c r="AA7" s="9"/>
      <x:c r="AB7" s="9"/>
      <x:c r="AC7" s="9"/>
      <x:c r="AD7" s="9"/>
      <x:c r="AE7" s="9"/>
      <x:c r="AF7" s="9"/>
      <x:c r="AG7" s="9"/>
      <x:c r="AH7" s="9"/>
      <x:c r="AI7" s="11"/>
      <x:c r="AJ7" s="9"/>
      <x:c r="AK7" s="9" t="str">
        <x:v>Eval_State_Recognition.xlsm</x:v>
      </x:c>
      <x:c r="AL7" s="9" t="str">
        <x:v>GR00T Results</x:v>
      </x:c>
      <x:c r="AM7" s="9" t="n">
        <x:v>7</x:v>
      </x:c>
      <x:c r="AN7" s="9" t="n">
        <x:v>7</x:v>
      </x:c>
    </x:row>
    <x:row r="8">
      <x:c r="A8" s="9" t="str">
        <x:v>Success</x:v>
      </x:c>
      <x:c r="B8" s="9" t="str">
        <x:v>State Recognition</x:v>
      </x:c>
      <x:c r="C8" s="10" t="n">
        <x:v>6</x:v>
      </x:c>
      <x:c r="D8" s="9" t="str">
        <x:v>Put the upright brown cup in the bowl.</x:v>
      </x:c>
      <x:c r="E8" s="9" t="str">
        <x:v>brown cup B (C, RU); brown cup A (C, UD)</x:v>
      </x:c>
      <x:c r="F8" s="9" t="str">
        <x:v>brown cup B</x:v>
      </x:c>
      <x:c r="G8" s="9"/>
      <x:c r="H8" s="9" t="str">
        <x:v>In-distribution concept baseline</x:v>
      </x:c>
      <x:c r="I8" s="9" t="str">
        <x:v>SR-ID07</x:v>
      </x:c>
      <x:c r="J8" s="9" t="str">
        <x:v>Exact training-supported state-object baseline</x:v>
      </x:c>
      <x:c r="K8" s="9"/>
      <x:c r="L8" s="9" t="str">
        <x:v>134</x:v>
      </x:c>
      <x:c r="M8" s="9" t="str">
        <x:v>Exact manifest episode: trained state-object cell, prompt, same-category candidate structure, and object membership match; physical layout is manually recreated.</x:v>
      </x:c>
      <x:c r="N8" s="9" t="n">
        <x:v>1</x:v>
      </x:c>
      <x:c r="O8" s="9" t="str">
        <x:v>Recreate the listed manifest scene with the bowl empty.</x:v>
      </x:c>
      <x:c r="P8" s="9" t="str">
        <x:v>The queried state-object combination and same-category discrimination structure are explicitly represented in training. The same-category candidates share the orthogonal C/O state (C).</x:v>
      </x:c>
      <x:c r="Q8" s="9"/>
      <x:c r="R8" s="10" t="n">
        <x:v>2</x:v>
      </x:c>
      <x:c r="S8" s="10" t="n">
        <x:v>1</x:v>
      </x:c>
      <x:c r="T8" s="9" t="str">
        <x:v>Empty</x:v>
      </x:c>
      <x:c r="U8" s="9" t="str">
        <x:v>RU</x:v>
      </x:c>
      <x:c r="V8" s="9" t="str">
        <x:v>brown cup</x:v>
      </x:c>
      <x:c r="W8" s="9"/>
      <x:c r="X8" s="10"/>
      <x:c r="Y8" s="10"/>
      <x:c r="Z8" s="9"/>
      <x:c r="AA8" s="9"/>
      <x:c r="AB8" s="9"/>
      <x:c r="AC8" s="9"/>
      <x:c r="AD8" s="9"/>
      <x:c r="AE8" s="9"/>
      <x:c r="AF8" s="9"/>
      <x:c r="AG8" s="9"/>
      <x:c r="AH8" s="9"/>
      <x:c r="AI8" s="11"/>
      <x:c r="AJ8" s="9"/>
      <x:c r="AK8" s="9" t="str">
        <x:v>Eval_State_Recognition.xlsm</x:v>
      </x:c>
      <x:c r="AL8" s="9" t="str">
        <x:v>GR00T Results</x:v>
      </x:c>
      <x:c r="AM8" s="9" t="n">
        <x:v>8</x:v>
      </x:c>
      <x:c r="AN8" s="9" t="n">
        <x:v>8</x:v>
      </x:c>
    </x:row>
    <x:row r="9">
      <x:c r="A9" s="9" t="str">
        <x:v>Failure</x:v>
      </x:c>
      <x:c r="B9" s="9" t="str">
        <x:v>State Recognition</x:v>
      </x:c>
      <x:c r="C9" s="10" t="n">
        <x:v>7</x:v>
      </x:c>
      <x:c r="D9" s="9" t="str">
        <x:v>Place the closed glass spice container in the bowl.</x:v>
      </x:c>
      <x:c r="E9" s="9" t="str">
        <x:v>glass spice container A (C, RU); glass spice container B (O, RU); yellow-white striped cup A (C, RU)</x:v>
      </x:c>
      <x:c r="F9" s="9" t="str">
        <x:v>glass spice container A</x:v>
      </x:c>
      <x:c r="G9" s="9" t="str">
        <x:v>picked open glass spice container</x:v>
      </x:c>
      <x:c r="H9" s="9" t="str">
        <x:v>In-distribution concept baseline</x:v>
      </x:c>
      <x:c r="I9" s="9" t="str">
        <x:v>SR-ID08</x:v>
      </x:c>
      <x:c r="J9" s="9" t="str">
        <x:v>Exact training-supported state-object baseline</x:v>
      </x:c>
      <x:c r="K9" s="9"/>
      <x:c r="L9" s="9" t="str">
        <x:v>151</x:v>
      </x:c>
      <x:c r="M9" s="9" t="str">
        <x:v>Exact manifest episode: trained state-object cell, prompt, same-category candidate structure, and object membership match; physical layout is manually recreated. All objects are upright, matching the context of every explicit open/closed training demonstration.</x:v>
      </x:c>
      <x:c r="N9" s="9" t="n">
        <x:v>1</x:v>
      </x:c>
      <x:c r="O9" s="9" t="str">
        <x:v>Recreate the listed manifest scene with the bowl empty.</x:v>
      </x:c>
      <x:c r="P9" s="9" t="str">
        <x:v>The queried state-object combination and same-category discrimination structure are explicitly represented in training. The orthogonal orientation axis is fixed: every object is RU.</x:v>
      </x:c>
      <x:c r="Q9" s="9"/>
      <x:c r="R9" s="10" t="n">
        <x:v>3</x:v>
      </x:c>
      <x:c r="S9" s="10" t="n">
        <x:v>1</x:v>
      </x:c>
      <x:c r="T9" s="9" t="str">
        <x:v>Empty</x:v>
      </x:c>
      <x:c r="U9" s="9" t="str">
        <x:v>C</x:v>
      </x:c>
      <x:c r="V9" s="9" t="str">
        <x:v>glass spice container</x:v>
      </x:c>
      <x:c r="W9" s="9"/>
      <x:c r="X9" s="10"/>
      <x:c r="Y9" s="10"/>
      <x:c r="Z9" s="9"/>
      <x:c r="AA9" s="9"/>
      <x:c r="AB9" s="9"/>
      <x:c r="AC9" s="9"/>
      <x:c r="AD9" s="9"/>
      <x:c r="AE9" s="9"/>
      <x:c r="AF9" s="9"/>
      <x:c r="AG9" s="9"/>
      <x:c r="AH9" s="9"/>
      <x:c r="AI9" s="11"/>
      <x:c r="AJ9" s="9"/>
      <x:c r="AK9" s="9" t="str">
        <x:v>Eval_State_Recognition.xlsm</x:v>
      </x:c>
      <x:c r="AL9" s="9" t="str">
        <x:v>GR00T Results</x:v>
      </x:c>
      <x:c r="AM9" s="9" t="n">
        <x:v>9</x:v>
      </x:c>
      <x:c r="AN9" s="9" t="n">
        <x:v>9</x:v>
      </x:c>
    </x:row>
    <x:row r="10">
      <x:c r="A10" s="9" t="str">
        <x:v>Failure</x:v>
      </x:c>
      <x:c r="B10" s="9" t="str">
        <x:v>State Recognition</x:v>
      </x:c>
      <x:c r="C10" s="10" t="n">
        <x:v>8</x:v>
      </x:c>
      <x:c r="D10" s="9" t="str">
        <x:v>Move the open glass spice container into the bowl.</x:v>
      </x:c>
      <x:c r="E10" s="9" t="str">
        <x:v>glass spice container B (O, RU); glass spice container A (C, RU); white cup B (O, RU)</x:v>
      </x:c>
      <x:c r="F10" s="9" t="str">
        <x:v>glass spice container B</x:v>
      </x:c>
      <x:c r="G10" s="9" t="str">
        <x:v>went for the open open, then tried grasping thin air way on the right of the worksapce.</x:v>
      </x:c>
      <x:c r="H10" s="9" t="str">
        <x:v>In-distribution concept baseline</x:v>
      </x:c>
      <x:c r="I10" s="9" t="str">
        <x:v>SR-ID09</x:v>
      </x:c>
      <x:c r="J10" s="9" t="str">
        <x:v>Exact training-supported state-object baseline</x:v>
      </x:c>
      <x:c r="K10" s="9"/>
      <x:c r="L10" s="9" t="str">
        <x:v>156</x:v>
      </x:c>
      <x:c r="M10" s="9" t="str">
        <x:v>Exact manifest episode: trained state-object cell, prompt, same-category candidate structure, and object membership match; physical layout is manually recreated. All objects are upright, matching the context of every explicit open/closed training demonstration.</x:v>
      </x:c>
      <x:c r="N10" s="9" t="n">
        <x:v>1</x:v>
      </x:c>
      <x:c r="O10" s="9" t="str">
        <x:v>Recreate the listed manifest scene with the bowl empty.</x:v>
      </x:c>
      <x:c r="P10" s="9" t="str">
        <x:v>The queried state-object combination and same-category discrimination structure are explicitly represented in training. The orthogonal orientation axis is fixed: every object is RU.</x:v>
      </x:c>
      <x:c r="Q10" s="9"/>
      <x:c r="R10" s="10" t="n">
        <x:v>3</x:v>
      </x:c>
      <x:c r="S10" s="10" t="n">
        <x:v>1</x:v>
      </x:c>
      <x:c r="T10" s="9" t="str">
        <x:v>Empty</x:v>
      </x:c>
      <x:c r="U10" s="9" t="str">
        <x:v>O</x:v>
      </x:c>
      <x:c r="V10" s="9" t="str">
        <x:v>glass spice container</x:v>
      </x:c>
      <x:c r="W10" s="9"/>
      <x:c r="X10" s="10"/>
      <x:c r="Y10" s="10"/>
      <x:c r="Z10" s="9"/>
      <x:c r="AA10" s="9"/>
      <x:c r="AB10" s="9"/>
      <x:c r="AC10" s="9"/>
      <x:c r="AD10" s="9"/>
      <x:c r="AE10" s="9"/>
      <x:c r="AF10" s="9"/>
      <x:c r="AG10" s="9"/>
      <x:c r="AH10" s="9"/>
      <x:c r="AI10" s="11"/>
      <x:c r="AJ10" s="9"/>
      <x:c r="AK10" s="9" t="str">
        <x:v>Eval_State_Recognition.xlsm</x:v>
      </x:c>
      <x:c r="AL10" s="9" t="str">
        <x:v>GR00T Results</x:v>
      </x:c>
      <x:c r="AM10" s="9" t="n">
        <x:v>10</x:v>
      </x:c>
      <x:c r="AN10" s="9" t="n">
        <x:v>10</x:v>
      </x:c>
    </x:row>
    <x:row r="11">
      <x:c r="A11" s="9" t="str">
        <x:v>Failure</x:v>
      </x:c>
      <x:c r="B11" s="9" t="str">
        <x:v>State Recognition</x:v>
      </x:c>
      <x:c r="C11" s="10" t="n">
        <x:v>9</x:v>
      </x:c>
      <x:c r="D11" s="9" t="str">
        <x:v>Put the upside-down glass spice container in the bowl.</x:v>
      </x:c>
      <x:c r="E11" s="9" t="str">
        <x:v>glass spice container B (C, UD); glass spice container A (C, RU)</x:v>
      </x:c>
      <x:c r="F11" s="9" t="str">
        <x:v>glass spice container B</x:v>
      </x:c>
      <x:c r="G11" s="9" t="str">
        <x:v>picked upright container</x:v>
      </x:c>
      <x:c r="H11" s="9" t="str">
        <x:v>In-distribution concept baseline</x:v>
      </x:c>
      <x:c r="I11" s="9" t="str">
        <x:v>SR-ID10</x:v>
      </x:c>
      <x:c r="J11" s="9" t="str">
        <x:v>Exact training-supported state-object baseline</x:v>
      </x:c>
      <x:c r="K11" s="9"/>
      <x:c r="L11" s="9" t="str">
        <x:v>176</x:v>
      </x:c>
      <x:c r="M11" s="9" t="str">
        <x:v>Exact manifest episode: trained state-object cell, prompt, same-category candidate structure, and object membership match; physical layout is manually recreated.</x:v>
      </x:c>
      <x:c r="N11" s="9" t="n">
        <x:v>1</x:v>
      </x:c>
      <x:c r="O11" s="9" t="str">
        <x:v>Recreate the listed manifest scene with the bowl empty.</x:v>
      </x:c>
      <x:c r="P11" s="9" t="str">
        <x:v>The queried state-object combination and same-category discrimination structure are explicitly represented in training. The same-category candidates share the orthogonal C/O state (C).</x:v>
      </x:c>
      <x:c r="Q11" s="9"/>
      <x:c r="R11" s="10" t="n">
        <x:v>2</x:v>
      </x:c>
      <x:c r="S11" s="10" t="n">
        <x:v>1</x:v>
      </x:c>
      <x:c r="T11" s="9" t="str">
        <x:v>Empty</x:v>
      </x:c>
      <x:c r="U11" s="9" t="str">
        <x:v>UD</x:v>
      </x:c>
      <x:c r="V11" s="9" t="str">
        <x:v>glass spice container</x:v>
      </x:c>
      <x:c r="W11" s="9"/>
      <x:c r="X11" s="10"/>
      <x:c r="Y11" s="10"/>
      <x:c r="Z11" s="9"/>
      <x:c r="AA11" s="9"/>
      <x:c r="AB11" s="9"/>
      <x:c r="AC11" s="9"/>
      <x:c r="AD11" s="9"/>
      <x:c r="AE11" s="9"/>
      <x:c r="AF11" s="9"/>
      <x:c r="AG11" s="9"/>
      <x:c r="AH11" s="9"/>
      <x:c r="AI11" s="11"/>
      <x:c r="AJ11" s="9"/>
      <x:c r="AK11" s="9" t="str">
        <x:v>Eval_State_Recognition.xlsm</x:v>
      </x:c>
      <x:c r="AL11" s="9" t="str">
        <x:v>GR00T Results</x:v>
      </x:c>
      <x:c r="AM11" s="9" t="n">
        <x:v>11</x:v>
      </x:c>
      <x:c r="AN11" s="9" t="n">
        <x:v>11</x:v>
      </x:c>
    </x:row>
    <x:row r="12">
      <x:c r="A12" s="9" t="str">
        <x:v>Failure</x:v>
      </x:c>
      <x:c r="B12" s="9" t="str">
        <x:v>State Recognition</x:v>
      </x:c>
      <x:c r="C12" s="10" t="n">
        <x:v>10</x:v>
      </x:c>
      <x:c r="D12" s="9" t="str">
        <x:v>Move the closed white cup into the bowl.</x:v>
      </x:c>
      <x:c r="E12" s="9" t="str">
        <x:v>white cup B (C, RU); white cup A (O, RU); yellow-white striped cup A (C, RU); brown cup B (C, RU)</x:v>
      </x:c>
      <x:c r="F12" s="9" t="str">
        <x:v>white cup B</x:v>
      </x:c>
      <x:c r="G12" s="9" t="str">
        <x:v>picked closed striped cup</x:v>
      </x:c>
      <x:c r="H12" s="9" t="str">
        <x:v>In-distribution concept baseline</x:v>
      </x:c>
      <x:c r="I12" s="9" t="str">
        <x:v>SR-ID11</x:v>
      </x:c>
      <x:c r="J12" s="9" t="str">
        <x:v>Exact training-supported state-object baseline</x:v>
      </x:c>
      <x:c r="K12" s="9"/>
      <x:c r="L12" s="9" t="str">
        <x:v>0</x:v>
      </x:c>
      <x:c r="M12" s="9" t="str">
        <x:v>Exact manifest episode: trained state-object cell, prompt, same-category candidate structure, and object membership match; physical layout is manually recreated. All objects are upright, matching the context of every explicit open/closed training demonstration.</x:v>
      </x:c>
      <x:c r="N12" s="9" t="n">
        <x:v>1</x:v>
      </x:c>
      <x:c r="O12" s="9" t="str">
        <x:v>Recreate the listed manifest scene with the bowl empty.</x:v>
      </x:c>
      <x:c r="P12" s="9" t="str">
        <x:v>The queried state-object combination and same-category discrimination structure are explicitly represented in training. The orthogonal orientation axis is fixed: every object is RU.</x:v>
      </x:c>
      <x:c r="Q12" s="9"/>
      <x:c r="R12" s="10" t="n">
        <x:v>4</x:v>
      </x:c>
      <x:c r="S12" s="10" t="n">
        <x:v>1</x:v>
      </x:c>
      <x:c r="T12" s="9" t="str">
        <x:v>Empty</x:v>
      </x:c>
      <x:c r="U12" s="9" t="str">
        <x:v>C</x:v>
      </x:c>
      <x:c r="V12" s="9" t="str">
        <x:v>white cup</x:v>
      </x:c>
      <x:c r="W12" s="9"/>
      <x:c r="X12" s="10"/>
      <x:c r="Y12" s="10"/>
      <x:c r="Z12" s="9"/>
      <x:c r="AA12" s="9"/>
      <x:c r="AB12" s="9"/>
      <x:c r="AC12" s="9"/>
      <x:c r="AD12" s="9"/>
      <x:c r="AE12" s="9"/>
      <x:c r="AF12" s="9"/>
      <x:c r="AG12" s="9"/>
      <x:c r="AH12" s="9"/>
      <x:c r="AI12" s="11"/>
      <x:c r="AJ12" s="9"/>
      <x:c r="AK12" s="9" t="str">
        <x:v>Eval_State_Recognition.xlsm</x:v>
      </x:c>
      <x:c r="AL12" s="9" t="str">
        <x:v>GR00T Results</x:v>
      </x:c>
      <x:c r="AM12" s="9" t="n">
        <x:v>12</x:v>
      </x:c>
      <x:c r="AN12" s="9" t="n">
        <x:v>12</x:v>
      </x:c>
    </x:row>
    <x:row r="13">
      <x:c r="A13" s="9" t="str">
        <x:v>Failure</x:v>
      </x:c>
      <x:c r="B13" s="9" t="str">
        <x:v>State Recognition</x:v>
      </x:c>
      <x:c r="C13" s="10" t="n">
        <x:v>11</x:v>
      </x:c>
      <x:c r="D13" s="9" t="str">
        <x:v>Place the closed white cup in the bowl.</x:v>
      </x:c>
      <x:c r="E13" s="9" t="str">
        <x:v>white cup A (C, RU); white cup B (O, RU); brown cup B (O, RU)</x:v>
      </x:c>
      <x:c r="F13" s="9" t="str">
        <x:v>white cup A</x:v>
      </x:c>
      <x:c r="G13" s="9" t="str">
        <x:v>picked the open brown cup</x:v>
      </x:c>
      <x:c r="H13" s="9" t="str">
        <x:v>In-distribution concept baseline</x:v>
      </x:c>
      <x:c r="I13" s="9" t="str">
        <x:v>SR-ID12</x:v>
      </x:c>
      <x:c r="J13" s="9" t="str">
        <x:v>Exact training-supported state-object baseline</x:v>
      </x:c>
      <x:c r="K13" s="9"/>
      <x:c r="L13" s="9" t="str">
        <x:v>7</x:v>
      </x:c>
      <x:c r="M13" s="9" t="str">
        <x:v>Exact manifest episode: trained state-object cell, prompt, same-category candidate structure, and object membership match; physical layout is manually recreated. All objects are upright, matching the context of every explicit open/closed training demonstration.</x:v>
      </x:c>
      <x:c r="N13" s="9" t="n">
        <x:v>1</x:v>
      </x:c>
      <x:c r="O13" s="9" t="str">
        <x:v>Recreate the listed manifest scene with the bowl empty.</x:v>
      </x:c>
      <x:c r="P13" s="9" t="str">
        <x:v>The queried state-object combination and same-category discrimination structure are explicitly represented in training. The orthogonal orientation axis is fixed: every object is RU.</x:v>
      </x:c>
      <x:c r="Q13" s="9"/>
      <x:c r="R13" s="10" t="n">
        <x:v>3</x:v>
      </x:c>
      <x:c r="S13" s="10" t="n">
        <x:v>1</x:v>
      </x:c>
      <x:c r="T13" s="9" t="str">
        <x:v>Empty</x:v>
      </x:c>
      <x:c r="U13" s="9" t="str">
        <x:v>C</x:v>
      </x:c>
      <x:c r="V13" s="9" t="str">
        <x:v>white cup</x:v>
      </x:c>
      <x:c r="W13" s="9"/>
      <x:c r="X13" s="10"/>
      <x:c r="Y13" s="10"/>
      <x:c r="Z13" s="9"/>
      <x:c r="AA13" s="9"/>
      <x:c r="AB13" s="9"/>
      <x:c r="AC13" s="9"/>
      <x:c r="AD13" s="9"/>
      <x:c r="AE13" s="9"/>
      <x:c r="AF13" s="9"/>
      <x:c r="AG13" s="9"/>
      <x:c r="AH13" s="9"/>
      <x:c r="AI13" s="11"/>
      <x:c r="AJ13" s="9"/>
      <x:c r="AK13" s="9" t="str">
        <x:v>Eval_State_Recognition.xlsm</x:v>
      </x:c>
      <x:c r="AL13" s="9" t="str">
        <x:v>GR00T Results</x:v>
      </x:c>
      <x:c r="AM13" s="9" t="n">
        <x:v>13</x:v>
      </x:c>
      <x:c r="AN13" s="9" t="n">
        <x:v>13</x:v>
      </x:c>
    </x:row>
    <x:row r="14">
      <x:c r="A14" s="9" t="str">
        <x:v>Success</x:v>
      </x:c>
      <x:c r="B14" s="9" t="str">
        <x:v>State Recognition</x:v>
      </x:c>
      <x:c r="C14" s="10" t="n">
        <x:v>12</x:v>
      </x:c>
      <x:c r="D14" s="9" t="str">
        <x:v>Put the open white cup in the bowl.</x:v>
      </x:c>
      <x:c r="E14" s="9" t="str">
        <x:v>white cup B (O, RU); white cup A (C, RU); glass spice container B (O, RU)</x:v>
      </x:c>
      <x:c r="F14" s="9" t="str">
        <x:v>white cup B</x:v>
      </x:c>
      <x:c r="G14" s="9"/>
      <x:c r="H14" s="9" t="str">
        <x:v>In-distribution concept baseline</x:v>
      </x:c>
      <x:c r="I14" s="9" t="str">
        <x:v>SR-ID13</x:v>
      </x:c>
      <x:c r="J14" s="9" t="str">
        <x:v>Exact training-supported state-object baseline</x:v>
      </x:c>
      <x:c r="K14" s="9"/>
      <x:c r="L14" s="9" t="str">
        <x:v>17</x:v>
      </x:c>
      <x:c r="M14" s="9" t="str">
        <x:v>Exact manifest episode: trained state-object cell, prompt, same-category candidate structure, and object membership match; physical layout is manually recreated. All objects are upright, matching the context of every explicit open/closed training demonstration.</x:v>
      </x:c>
      <x:c r="N14" s="9" t="n">
        <x:v>1</x:v>
      </x:c>
      <x:c r="O14" s="9" t="str">
        <x:v>Recreate the listed manifest scene with the bowl empty.</x:v>
      </x:c>
      <x:c r="P14" s="9" t="str">
        <x:v>The queried state-object combination and same-category discrimination structure are explicitly represented in training. The orthogonal orientation axis is fixed: every object is RU.</x:v>
      </x:c>
      <x:c r="Q14" s="9"/>
      <x:c r="R14" s="10" t="n">
        <x:v>3</x:v>
      </x:c>
      <x:c r="S14" s="10" t="n">
        <x:v>1</x:v>
      </x:c>
      <x:c r="T14" s="9" t="str">
        <x:v>Empty</x:v>
      </x:c>
      <x:c r="U14" s="9" t="str">
        <x:v>O</x:v>
      </x:c>
      <x:c r="V14" s="9" t="str">
        <x:v>white cup</x:v>
      </x:c>
      <x:c r="W14" s="9"/>
      <x:c r="X14" s="10"/>
      <x:c r="Y14" s="10"/>
      <x:c r="Z14" s="9"/>
      <x:c r="AA14" s="9"/>
      <x:c r="AB14" s="9"/>
      <x:c r="AC14" s="9"/>
      <x:c r="AD14" s="9"/>
      <x:c r="AE14" s="9"/>
      <x:c r="AF14" s="9"/>
      <x:c r="AG14" s="9"/>
      <x:c r="AH14" s="9"/>
      <x:c r="AI14" s="11"/>
      <x:c r="AJ14" s="9"/>
      <x:c r="AK14" s="9" t="str">
        <x:v>Eval_State_Recognition.xlsm</x:v>
      </x:c>
      <x:c r="AL14" s="9" t="str">
        <x:v>GR00T Results</x:v>
      </x:c>
      <x:c r="AM14" s="9" t="n">
        <x:v>14</x:v>
      </x:c>
      <x:c r="AN14" s="9" t="n">
        <x:v>14</x:v>
      </x:c>
    </x:row>
    <x:row r="15">
      <x:c r="A15" s="9" t="str">
        <x:v>Success</x:v>
      </x:c>
      <x:c r="B15" s="9" t="str">
        <x:v>State Recognition</x:v>
      </x:c>
      <x:c r="C15" s="10" t="n">
        <x:v>13</x:v>
      </x:c>
      <x:c r="D15" s="9" t="str">
        <x:v>Place the upside-down yellow-white striped cup in the bowl.</x:v>
      </x:c>
      <x:c r="E15" s="9" t="str">
        <x:v>yellow-white striped cup A (O, UD); yellow-white striped cup B (O, RU)</x:v>
      </x:c>
      <x:c r="F15" s="9" t="str">
        <x:v>yellow-white striped cup A</x:v>
      </x:c>
      <x:c r="G15" s="9"/>
      <x:c r="H15" s="9" t="str">
        <x:v>In-distribution concept baseline</x:v>
      </x:c>
      <x:c r="I15" s="9" t="str">
        <x:v>SR-ID14</x:v>
      </x:c>
      <x:c r="J15" s="9" t="str">
        <x:v>Exact training-supported state-object baseline</x:v>
      </x:c>
      <x:c r="K15" s="9"/>
      <x:c r="L15" s="9" t="str">
        <x:v>88</x:v>
      </x:c>
      <x:c r="M15" s="9" t="str">
        <x:v>Exact manifest episode: trained state-object cell, prompt, same-category candidate structure, and object membership match; physical layout is manually recreated.</x:v>
      </x:c>
      <x:c r="N15" s="9" t="n">
        <x:v>1</x:v>
      </x:c>
      <x:c r="O15" s="9" t="str">
        <x:v>Recreate the listed manifest scene with the bowl empty.</x:v>
      </x:c>
      <x:c r="P15" s="9" t="str">
        <x:v>The queried state-object combination and same-category discrimination structure are explicitly represented in training. The same-category candidates share the orthogonal C/O state (O).</x:v>
      </x:c>
      <x:c r="Q15" s="9"/>
      <x:c r="R15" s="10" t="n">
        <x:v>2</x:v>
      </x:c>
      <x:c r="S15" s="10" t="n">
        <x:v>1</x:v>
      </x:c>
      <x:c r="T15" s="9" t="str">
        <x:v>Empty</x:v>
      </x:c>
      <x:c r="U15" s="9" t="str">
        <x:v>UD</x:v>
      </x:c>
      <x:c r="V15" s="9" t="str">
        <x:v>yellow-white striped cup</x:v>
      </x:c>
      <x:c r="W15" s="9"/>
      <x:c r="X15" s="10"/>
      <x:c r="Y15" s="10"/>
      <x:c r="Z15" s="9"/>
      <x:c r="AA15" s="9"/>
      <x:c r="AB15" s="9"/>
      <x:c r="AC15" s="9"/>
      <x:c r="AD15" s="9"/>
      <x:c r="AE15" s="9"/>
      <x:c r="AF15" s="9"/>
      <x:c r="AG15" s="9"/>
      <x:c r="AH15" s="9"/>
      <x:c r="AI15" s="11"/>
      <x:c r="AJ15" s="9"/>
      <x:c r="AK15" s="9" t="str">
        <x:v>Eval_State_Recognition.xlsm</x:v>
      </x:c>
      <x:c r="AL15" s="9" t="str">
        <x:v>GR00T Results</x:v>
      </x:c>
      <x:c r="AM15" s="9" t="n">
        <x:v>15</x:v>
      </x:c>
      <x:c r="AN15" s="9" t="n">
        <x:v>15</x:v>
      </x:c>
    </x:row>
    <x:row r="16">
      <x:c r="A16" s="9" t="str">
        <x:v>Failure</x:v>
      </x:c>
      <x:c r="B16" s="9" t="str">
        <x:v>State Recognition</x:v>
      </x:c>
      <x:c r="C16" s="10" t="n">
        <x:v>14</x:v>
      </x:c>
      <x:c r="D16" s="9" t="str">
        <x:v>Move the upright yellow-white striped cup into the bowl.</x:v>
      </x:c>
      <x:c r="E16" s="9" t="str">
        <x:v>yellow-white striped cup A (O, RU); yellow-white striped cup B (O, UD); glass spice container A (O, RU); white cup B (C, UD)</x:v>
      </x:c>
      <x:c r="F16" s="9" t="str">
        <x:v>yellow-white striped cup A</x:v>
      </x:c>
      <x:c r="G16" s="9" t="str">
        <x:v>picked the glass spice container</x:v>
      </x:c>
      <x:c r="H16" s="9" t="str">
        <x:v>In-distribution concept baseline</x:v>
      </x:c>
      <x:c r="I16" s="9" t="str">
        <x:v>SR-ID15</x:v>
      </x:c>
      <x:c r="J16" s="9" t="str">
        <x:v>Exact training-supported state-object baseline</x:v>
      </x:c>
      <x:c r="K16" s="9"/>
      <x:c r="L16" s="9" t="str">
        <x:v>75</x:v>
      </x:c>
      <x:c r="M16" s="9" t="str">
        <x:v>Exact manifest episode: trained state-object cell, prompt, same-category candidate structure, and object membership match; physical layout is manually recreated.</x:v>
      </x:c>
      <x:c r="N16" s="9" t="n">
        <x:v>1</x:v>
      </x:c>
      <x:c r="O16" s="9" t="str">
        <x:v>Recreate the listed manifest scene with the bowl empty.</x:v>
      </x:c>
      <x:c r="P16" s="9" t="str">
        <x:v>The queried state-object combination and same-category discrimination structure are explicitly represented in training. The same-category candidates share the orthogonal C/O state (O).</x:v>
      </x:c>
      <x:c r="Q16" s="9"/>
      <x:c r="R16" s="10" t="n">
        <x:v>4</x:v>
      </x:c>
      <x:c r="S16" s="10" t="n">
        <x:v>1</x:v>
      </x:c>
      <x:c r="T16" s="9" t="str">
        <x:v>Empty</x:v>
      </x:c>
      <x:c r="U16" s="9" t="str">
        <x:v>RU</x:v>
      </x:c>
      <x:c r="V16" s="9" t="str">
        <x:v>yellow-white striped cup</x:v>
      </x:c>
      <x:c r="W16" s="9"/>
      <x:c r="X16" s="10"/>
      <x:c r="Y16" s="10"/>
      <x:c r="Z16" s="9"/>
      <x:c r="AA16" s="9"/>
      <x:c r="AB16" s="9"/>
      <x:c r="AC16" s="9"/>
      <x:c r="AD16" s="9"/>
      <x:c r="AE16" s="9"/>
      <x:c r="AF16" s="9"/>
      <x:c r="AG16" s="9"/>
      <x:c r="AH16" s="9"/>
      <x:c r="AI16" s="11"/>
      <x:c r="AJ16" s="9"/>
      <x:c r="AK16" s="9" t="str">
        <x:v>Eval_State_Recognition.xlsm</x:v>
      </x:c>
      <x:c r="AL16" s="9" t="str">
        <x:v>GR00T Results</x:v>
      </x:c>
      <x:c r="AM16" s="9" t="n">
        <x:v>16</x:v>
      </x:c>
      <x:c r="AN16" s="9" t="n">
        <x:v>16</x:v>
      </x:c>
    </x:row>
    <x:row r="17">
      <x:c r="A17" s="9" t="str">
        <x:v>Failure</x:v>
      </x:c>
      <x:c r="B17" s="9" t="str">
        <x:v>State Recognition</x:v>
      </x:c>
      <x:c r="C17" s="10" t="n">
        <x:v>15</x:v>
      </x:c>
      <x:c r="D17" s="9" t="str">
        <x:v>Put the upright yellow-white striped cup in the bowl.</x:v>
      </x:c>
      <x:c r="E17" s="9" t="str">
        <x:v>yellow-white striped cup B (C, RU); yellow-white striped cup A (C, UD)</x:v>
      </x:c>
      <x:c r="F17" s="9" t="str">
        <x:v>yellow-white striped cup B</x:v>
      </x:c>
      <x:c r="G17" s="9" t="str">
        <x:v>picked the upside down cup</x:v>
      </x:c>
      <x:c r="H17" s="9" t="str">
        <x:v>In-distribution concept baseline</x:v>
      </x:c>
      <x:c r="I17" s="9" t="str">
        <x:v>SR-ID16</x:v>
      </x:c>
      <x:c r="J17" s="9" t="str">
        <x:v>Exact training-supported state-object baseline</x:v>
      </x:c>
      <x:c r="K17" s="9"/>
      <x:c r="L17" s="9" t="str">
        <x:v>80</x:v>
      </x:c>
      <x:c r="M17" s="9" t="str">
        <x:v>Exact manifest episode: trained state-object cell, prompt, same-category candidate structure, and object membership match; physical layout is manually recreated.</x:v>
      </x:c>
      <x:c r="N17" s="9" t="n">
        <x:v>1</x:v>
      </x:c>
      <x:c r="O17" s="9" t="str">
        <x:v>Recreate the listed manifest scene with the bowl empty.</x:v>
      </x:c>
      <x:c r="P17" s="9" t="str">
        <x:v>The queried state-object combination and same-category discrimination structure are explicitly represented in training. The same-category candidates share the orthogonal C/O state (C).</x:v>
      </x:c>
      <x:c r="Q17" s="9"/>
      <x:c r="R17" s="10" t="n">
        <x:v>2</x:v>
      </x:c>
      <x:c r="S17" s="10" t="n">
        <x:v>1</x:v>
      </x:c>
      <x:c r="T17" s="9" t="str">
        <x:v>Empty</x:v>
      </x:c>
      <x:c r="U17" s="9" t="str">
        <x:v>RU</x:v>
      </x:c>
      <x:c r="V17" s="9" t="str">
        <x:v>yellow-white striped cup</x:v>
      </x:c>
      <x:c r="W17" s="9"/>
      <x:c r="X17" s="10"/>
      <x:c r="Y17" s="10"/>
      <x:c r="Z17" s="9"/>
      <x:c r="AA17" s="9"/>
      <x:c r="AB17" s="9"/>
      <x:c r="AC17" s="9"/>
      <x:c r="AD17" s="9"/>
      <x:c r="AE17" s="9"/>
      <x:c r="AF17" s="9"/>
      <x:c r="AG17" s="9"/>
      <x:c r="AH17" s="9"/>
      <x:c r="AI17" s="11"/>
      <x:c r="AJ17" s="9"/>
      <x:c r="AK17" s="9" t="str">
        <x:v>Eval_State_Recognition.xlsm</x:v>
      </x:c>
      <x:c r="AL17" s="9" t="str">
        <x:v>GR00T Results</x:v>
      </x:c>
      <x:c r="AM17" s="9" t="n">
        <x:v>17</x:v>
      </x:c>
      <x:c r="AN17" s="9" t="n">
        <x:v>17</x:v>
      </x:c>
    </x:row>
    <x:row r="18">
      <x:c r="A18" s="9" t="str">
        <x:v>Failure</x:v>
      </x:c>
      <x:c r="B18" s="9" t="str">
        <x:v>State Recognition</x:v>
      </x:c>
      <x:c r="C18" s="10" t="n">
        <x:v>16</x:v>
      </x:c>
      <x:c r="D18" s="9" t="str">
        <x:v>Move the upside-down brown cup into the bowl.</x:v>
      </x:c>
      <x:c r="E18" s="9" t="str">
        <x:v>brown cup A (C, UD); brown cup B (C, RU); yellow-white striped cup B (C, UD); glass spice container A (O, RU)</x:v>
      </x:c>
      <x:c r="F18" s="9" t="str">
        <x:v>brown cup A</x:v>
      </x:c>
      <x:c r="G18" s="9" t="str">
        <x:v>picked the upside down striped cup</x:v>
      </x:c>
      <x:c r="H18" s="9" t="str">
        <x:v>In-distribution concept baseline</x:v>
      </x:c>
      <x:c r="I18" s="9" t="str">
        <x:v>SR-ID17</x:v>
      </x:c>
      <x:c r="J18" s="9" t="str">
        <x:v>Exact training-supported state-object baseline</x:v>
      </x:c>
      <x:c r="K18" s="9"/>
      <x:c r="L18" s="9" t="str">
        <x:v>135</x:v>
      </x:c>
      <x:c r="M18" s="9" t="str">
        <x:v>Exact manifest episode: trained state-object cell, prompt, same-category candidate structure, and object membership match; physical layout is manually recreated.</x:v>
      </x:c>
      <x:c r="N18" s="9" t="n">
        <x:v>1</x:v>
      </x:c>
      <x:c r="O18" s="9" t="str">
        <x:v>Recreate the listed manifest scene with the bowl empty.</x:v>
      </x:c>
      <x:c r="P18" s="9" t="str">
        <x:v>The queried state-object combination and same-category discrimination structure are explicitly represented in training. The same-category candidates share the orthogonal C/O state (C).</x:v>
      </x:c>
      <x:c r="Q18" s="9"/>
      <x:c r="R18" s="10" t="n">
        <x:v>4</x:v>
      </x:c>
      <x:c r="S18" s="10" t="n">
        <x:v>1</x:v>
      </x:c>
      <x:c r="T18" s="9" t="str">
        <x:v>Empty</x:v>
      </x:c>
      <x:c r="U18" s="9" t="str">
        <x:v>UD</x:v>
      </x:c>
      <x:c r="V18" s="9" t="str">
        <x:v>brown cup</x:v>
      </x:c>
      <x:c r="W18" s="9"/>
      <x:c r="X18" s="10"/>
      <x:c r="Y18" s="10"/>
      <x:c r="Z18" s="9"/>
      <x:c r="AA18" s="9"/>
      <x:c r="AB18" s="9"/>
      <x:c r="AC18" s="9"/>
      <x:c r="AD18" s="9"/>
      <x:c r="AE18" s="9"/>
      <x:c r="AF18" s="9"/>
      <x:c r="AG18" s="9"/>
      <x:c r="AH18" s="9"/>
      <x:c r="AI18" s="11"/>
      <x:c r="AJ18" s="9"/>
      <x:c r="AK18" s="9" t="str">
        <x:v>Eval_State_Recognition.xlsm</x:v>
      </x:c>
      <x:c r="AL18" s="9" t="str">
        <x:v>GR00T Results</x:v>
      </x:c>
      <x:c r="AM18" s="9" t="n">
        <x:v>18</x:v>
      </x:c>
      <x:c r="AN18" s="9" t="n">
        <x:v>18</x:v>
      </x:c>
    </x:row>
    <x:row r="19">
      <x:c r="A19" s="9" t="str">
        <x:v>Failure</x:v>
      </x:c>
      <x:c r="B19" s="9" t="str">
        <x:v>State Recognition</x:v>
      </x:c>
      <x:c r="C19" s="10" t="n">
        <x:v>17</x:v>
      </x:c>
      <x:c r="D19" s="9" t="str">
        <x:v>Place the upright brown cup in the bowl.</x:v>
      </x:c>
      <x:c r="E19" s="9" t="str">
        <x:v>brown cup A (C, RU); brown cup B (C, UD); glass spice container B (C, UD)</x:v>
      </x:c>
      <x:c r="F19" s="9" t="str">
        <x:v>brown cup A</x:v>
      </x:c>
      <x:c r="G19" s="9" t="str">
        <x:v>picked the upside down brown cup</x:v>
      </x:c>
      <x:c r="H19" s="9" t="str">
        <x:v>In-distribution concept baseline</x:v>
      </x:c>
      <x:c r="I19" s="9" t="str">
        <x:v>SR-ID18</x:v>
      </x:c>
      <x:c r="J19" s="9" t="str">
        <x:v>Exact training-supported state-object baseline</x:v>
      </x:c>
      <x:c r="K19" s="9"/>
      <x:c r="L19" s="9" t="str">
        <x:v>139</x:v>
      </x:c>
      <x:c r="M19" s="9" t="str">
        <x:v>Exact manifest episode: trained state-object cell, prompt, same-category candidate structure, and object membership match; physical layout is manually recreated.</x:v>
      </x:c>
      <x:c r="N19" s="9" t="n">
        <x:v>1</x:v>
      </x:c>
      <x:c r="O19" s="9" t="str">
        <x:v>Recreate the listed manifest scene with the bowl empty.</x:v>
      </x:c>
      <x:c r="P19" s="9" t="str">
        <x:v>The queried state-object combination and same-category discrimination structure are explicitly represented in training. The same-category candidates share the orthogonal C/O state (C).</x:v>
      </x:c>
      <x:c r="Q19" s="9"/>
      <x:c r="R19" s="10" t="n">
        <x:v>3</x:v>
      </x:c>
      <x:c r="S19" s="10" t="n">
        <x:v>1</x:v>
      </x:c>
      <x:c r="T19" s="9" t="str">
        <x:v>Empty</x:v>
      </x:c>
      <x:c r="U19" s="9" t="str">
        <x:v>RU</x:v>
      </x:c>
      <x:c r="V19" s="9" t="str">
        <x:v>brown cup</x:v>
      </x:c>
      <x:c r="W19" s="9"/>
      <x:c r="X19" s="10"/>
      <x:c r="Y19" s="10"/>
      <x:c r="Z19" s="9"/>
      <x:c r="AA19" s="9"/>
      <x:c r="AB19" s="9"/>
      <x:c r="AC19" s="9"/>
      <x:c r="AD19" s="9"/>
      <x:c r="AE19" s="9"/>
      <x:c r="AF19" s="9"/>
      <x:c r="AG19" s="9"/>
      <x:c r="AH19" s="9"/>
      <x:c r="AI19" s="11"/>
      <x:c r="AJ19" s="9"/>
      <x:c r="AK19" s="9" t="str">
        <x:v>Eval_State_Recognition.xlsm</x:v>
      </x:c>
      <x:c r="AL19" s="9" t="str">
        <x:v>GR00T Results</x:v>
      </x:c>
      <x:c r="AM19" s="9" t="n">
        <x:v>19</x:v>
      </x:c>
      <x:c r="AN19" s="9" t="n">
        <x:v>19</x:v>
      </x:c>
    </x:row>
    <x:row r="20">
      <x:c r="A20" s="9" t="str">
        <x:v>Failure</x:v>
      </x:c>
      <x:c r="B20" s="9" t="str">
        <x:v>State Recognition</x:v>
      </x:c>
      <x:c r="C20" s="10" t="n">
        <x:v>18</x:v>
      </x:c>
      <x:c r="D20" s="9" t="str">
        <x:v>Put the closed glass spice container in the bowl.</x:v>
      </x:c>
      <x:c r="E20" s="9" t="str">
        <x:v>glass spice container A (C, RU); glass spice container B (O, RU); brown cup A (C, RU); white cup B (O, RU)</x:v>
      </x:c>
      <x:c r="F20" s="9" t="str">
        <x:v>glass spice container A</x:v>
      </x:c>
      <x:c r="G20" s="9" t="str">
        <x:v>grabbed the open white cup</x:v>
      </x:c>
      <x:c r="H20" s="9" t="str">
        <x:v>In-distribution concept baseline</x:v>
      </x:c>
      <x:c r="I20" s="9" t="str">
        <x:v>SR-ID19</x:v>
      </x:c>
      <x:c r="J20" s="9" t="str">
        <x:v>Exact training-supported state-object baseline</x:v>
      </x:c>
      <x:c r="K20" s="9"/>
      <x:c r="L20" s="9" t="str">
        <x:v>155</x:v>
      </x:c>
      <x:c r="M20" s="9" t="str">
        <x:v>Exact manifest episode: trained state-object cell, prompt, same-category candidate structure, and object membership match; physical layout is manually recreated. All objects are upright, matching the context of every explicit open/closed training demonstration.</x:v>
      </x:c>
      <x:c r="N20" s="9" t="n">
        <x:v>1</x:v>
      </x:c>
      <x:c r="O20" s="9" t="str">
        <x:v>Recreate the listed manifest scene with the bowl empty.</x:v>
      </x:c>
      <x:c r="P20" s="9" t="str">
        <x:v>The queried state-object combination and same-category discrimination structure are explicitly represented in training. The orthogonal orientation axis is fixed: every object is RU.</x:v>
      </x:c>
      <x:c r="Q20" s="9"/>
      <x:c r="R20" s="10" t="n">
        <x:v>4</x:v>
      </x:c>
      <x:c r="S20" s="10" t="n">
        <x:v>1</x:v>
      </x:c>
      <x:c r="T20" s="9" t="str">
        <x:v>Empty</x:v>
      </x:c>
      <x:c r="U20" s="9" t="str">
        <x:v>C</x:v>
      </x:c>
      <x:c r="V20" s="9" t="str">
        <x:v>glass spice container</x:v>
      </x:c>
      <x:c r="W20" s="9"/>
      <x:c r="X20" s="10"/>
      <x:c r="Y20" s="10"/>
      <x:c r="Z20" s="9"/>
      <x:c r="AA20" s="9"/>
      <x:c r="AB20" s="9"/>
      <x:c r="AC20" s="9"/>
      <x:c r="AD20" s="9"/>
      <x:c r="AE20" s="9"/>
      <x:c r="AF20" s="9"/>
      <x:c r="AG20" s="9"/>
      <x:c r="AH20" s="9"/>
      <x:c r="AI20" s="11"/>
      <x:c r="AJ20" s="9"/>
      <x:c r="AK20" s="9" t="str">
        <x:v>Eval_State_Recognition.xlsm</x:v>
      </x:c>
      <x:c r="AL20" s="9" t="str">
        <x:v>GR00T Results</x:v>
      </x:c>
      <x:c r="AM20" s="9" t="n">
        <x:v>20</x:v>
      </x:c>
      <x:c r="AN20" s="9" t="n">
        <x:v>20</x:v>
      </x:c>
    </x:row>
    <x:row r="21">
      <x:c r="A21" s="9" t="str">
        <x:v>Failure</x:v>
      </x:c>
      <x:c r="B21" s="9" t="str">
        <x:v>State Recognition</x:v>
      </x:c>
      <x:c r="C21" s="10" t="n">
        <x:v>19</x:v>
      </x:c>
      <x:c r="D21" s="9" t="str">
        <x:v>Move the open glass spice container into the bowl.</x:v>
      </x:c>
      <x:c r="E21" s="9" t="str">
        <x:v>glass spice container B (O, RU); glass spice container A (C, RU); white cup B (O, RU); yellow-white striped cup A (O, RU)</x:v>
      </x:c>
      <x:c r="F21" s="9" t="str">
        <x:v>glass spice container B</x:v>
      </x:c>
      <x:c r="G21" s="9" t="str">
        <x:v>picked the closed glass spice container, dropped it out of the workspace, then went for the open one, but couldn't pick it.</x:v>
      </x:c>
      <x:c r="H21" s="9" t="str">
        <x:v>In-distribution concept baseline</x:v>
      </x:c>
      <x:c r="I21" s="9" t="str">
        <x:v>SR-ID20</x:v>
      </x:c>
      <x:c r="J21" s="9" t="str">
        <x:v>Exact training-supported state-object baseline</x:v>
      </x:c>
      <x:c r="K21" s="9"/>
      <x:c r="L21" s="9" t="str">
        <x:v>162</x:v>
      </x:c>
      <x:c r="M21" s="9" t="str">
        <x:v>Exact manifest episode: trained state-object cell, prompt, same-category candidate structure, and object membership match; physical layout is manually recreated. All objects are upright, matching the context of every explicit open/closed training demonstration.</x:v>
      </x:c>
      <x:c r="N21" s="9" t="n">
        <x:v>1</x:v>
      </x:c>
      <x:c r="O21" s="9" t="str">
        <x:v>Recreate the listed manifest scene with the bowl empty.</x:v>
      </x:c>
      <x:c r="P21" s="9" t="str">
        <x:v>The queried state-object combination and same-category discrimination structure are explicitly represented in training. The orthogonal orientation axis is fixed: every object is RU.</x:v>
      </x:c>
      <x:c r="Q21" s="9"/>
      <x:c r="R21" s="10" t="n">
        <x:v>4</x:v>
      </x:c>
      <x:c r="S21" s="10" t="n">
        <x:v>1</x:v>
      </x:c>
      <x:c r="T21" s="9" t="str">
        <x:v>Empty</x:v>
      </x:c>
      <x:c r="U21" s="9" t="str">
        <x:v>O</x:v>
      </x:c>
      <x:c r="V21" s="9" t="str">
        <x:v>glass spice container</x:v>
      </x:c>
      <x:c r="W21" s="9"/>
      <x:c r="X21" s="10"/>
      <x:c r="Y21" s="10"/>
      <x:c r="Z21" s="9"/>
      <x:c r="AA21" s="9"/>
      <x:c r="AB21" s="9"/>
      <x:c r="AC21" s="9"/>
      <x:c r="AD21" s="9"/>
      <x:c r="AE21" s="9"/>
      <x:c r="AF21" s="9"/>
      <x:c r="AG21" s="9"/>
      <x:c r="AH21" s="9"/>
      <x:c r="AI21" s="11"/>
      <x:c r="AJ21" s="9"/>
      <x:c r="AK21" s="9" t="str">
        <x:v>Eval_State_Recognition.xlsm</x:v>
      </x:c>
      <x:c r="AL21" s="9" t="str">
        <x:v>GR00T Results</x:v>
      </x:c>
      <x:c r="AM21" s="9" t="n">
        <x:v>21</x:v>
      </x:c>
      <x:c r="AN21" s="9" t="n">
        <x:v>21</x:v>
      </x:c>
    </x:row>
    <x:row r="22">
      <x:c r="A22" s="9" t="str">
        <x:v>Failure</x:v>
      </x:c>
      <x:c r="B22" s="9" t="str">
        <x:v>Counting</x:v>
      </x:c>
      <x:c r="C22" s="10" t="n">
        <x:v>0</x:v>
      </x:c>
      <x:c r="D22" s="9" t="str">
        <x:v>Leave exactly one object in the bowl.</x:v>
      </x:c>
      <x:c r="E22" s="9" t="str">
        <x:v>Bowl objects: [none] | Table objects: [blue pen, yellow block, green pencil sharpener]</x:v>
      </x:c>
      <x:c r="F22" s="9" t="str">
        <x:v>ADD any one table object; finish with 1 object in the bowl</x:v>
      </x:c>
      <x:c r="G22" s="9" t="str">
        <x:v>picked blue pen and put it in the bowl, then immediately proceded to remove the pen</x:v>
      </x:c>
      <x:c r="H22" s="9" t="str">
        <x:v>In-distribution concept baseline</x:v>
      </x:c>
      <x:c r="I22" s="9" t="str">
        <x:v>ID-F01</x:v>
      </x:c>
      <x:c r="J22" s="9" t="str">
        <x:v>In-distribution: one via trained 0→1 addition</x:v>
      </x:c>
      <x:c r="K22" s="9"/>
      <x:c r="L22" s="9" t="str">
        <x:v>801</x:v>
      </x:c>
      <x:c r="M22" s="9" t="str">
        <x:v>Exact trained cell: prompt, count transition, and scene-object membership match; physical layout is not copied exactly.</x:v>
      </x:c>
      <x:c r="N22" s="9" t="n">
        <x:v>1</x:v>
      </x:c>
      <x:c r="O22" s="9" t="str">
        <x:v>Recreate the listed bowl/table membership from training episode 801.</x:v>
      </x:c>
      <x:c r="P22" s="9" t="str">
        <x:v>Exact trained count transition and scene-object membership. Any object that reaches the requested final count is acceptable.</x:v>
      </x:c>
      <x:c r="Q22" s="9"/>
      <x:c r="R22" s="10"/>
      <x:c r="S22" s="10"/>
      <x:c r="T22" s="9"/>
      <x:c r="U22" s="9"/>
      <x:c r="V22" s="9"/>
      <x:c r="W22" s="9" t="str">
        <x:v>ID-F01</x:v>
      </x:c>
      <x:c r="X22" s="10" t="n">
        <x:v>0</x:v>
      </x:c>
      <x:c r="Y22" s="10" t="n">
        <x:v>1</x:v>
      </x:c>
      <x:c r="Z22" s="9" t="str">
        <x:v>ADD</x:v>
      </x:c>
      <x:c r="AA22" s="9"/>
      <x:c r="AB22" s="9"/>
      <x:c r="AC22" s="9"/>
      <x:c r="AD22" s="9"/>
      <x:c r="AE22" s="9"/>
      <x:c r="AF22" s="9"/>
      <x:c r="AG22" s="9"/>
      <x:c r="AH22" s="9"/>
      <x:c r="AI22" s="11"/>
      <x:c r="AJ22" s="9"/>
      <x:c r="AK22" s="9" t="str">
        <x:v>Eval_Counting.xlsm</x:v>
      </x:c>
      <x:c r="AL22" s="9" t="str">
        <x:v>GR00T</x:v>
      </x:c>
      <x:c r="AM22" s="9" t="n">
        <x:v>2</x:v>
      </x:c>
      <x:c r="AN22" s="9" t="n">
        <x:v>2</x:v>
      </x:c>
    </x:row>
    <x:row r="23">
      <x:c r="A23" s="9" t="str">
        <x:v>Failure</x:v>
      </x:c>
      <x:c r="B23" s="9" t="str">
        <x:v>Counting</x:v>
      </x:c>
      <x:c r="C23" s="10" t="n">
        <x:v>1</x:v>
      </x:c>
      <x:c r="D23" s="9" t="str">
        <x:v>Adjust the bowl so that it contains two objects.</x:v>
      </x:c>
      <x:c r="E23" s="9" t="str">
        <x:v>Bowl objects: [yellow block] | Table objects: [blue pen, green pencil sharpener]</x:v>
      </x:c>
      <x:c r="F23" s="9" t="str">
        <x:v>ADD any one table object; finish with 2 objects in the bowl</x:v>
      </x:c>
      <x:c r="G23" s="9" t="str">
        <x:v>picked the green pencil sharpener, dropped it, and tried to pick it up but couldn't</x:v>
      </x:c>
      <x:c r="H23" s="9" t="str">
        <x:v>In-distribution concept baseline</x:v>
      </x:c>
      <x:c r="I23" s="9" t="str">
        <x:v>ID-F01</x:v>
      </x:c>
      <x:c r="J23" s="9" t="str">
        <x:v>In-distribution: two via trained 1→2 addition</x:v>
      </x:c>
      <x:c r="K23" s="9"/>
      <x:c r="L23" s="9" t="str">
        <x:v>809</x:v>
      </x:c>
      <x:c r="M23" s="9" t="str">
        <x:v>Exact trained cell: prompt, count transition, and scene-object membership match; physical layout is not copied exactly.</x:v>
      </x:c>
      <x:c r="N23" s="9" t="n">
        <x:v>1</x:v>
      </x:c>
      <x:c r="O23" s="9" t="str">
        <x:v>Recreate the listed bowl/table membership from training episode 809.</x:v>
      </x:c>
      <x:c r="P23" s="9" t="str">
        <x:v>Exact trained count transition and scene-object membership. Any object that reaches the requested final count is acceptable.</x:v>
      </x:c>
      <x:c r="Q23" s="9"/>
      <x:c r="R23" s="10"/>
      <x:c r="S23" s="10"/>
      <x:c r="T23" s="9"/>
      <x:c r="U23" s="9"/>
      <x:c r="V23" s="9"/>
      <x:c r="W23" s="9" t="str">
        <x:v>ID-F01</x:v>
      </x:c>
      <x:c r="X23" s="10" t="n">
        <x:v>1</x:v>
      </x:c>
      <x:c r="Y23" s="10" t="n">
        <x:v>2</x:v>
      </x:c>
      <x:c r="Z23" s="9" t="str">
        <x:v>ADD</x:v>
      </x:c>
      <x:c r="AA23" s="9"/>
      <x:c r="AB23" s="9"/>
      <x:c r="AC23" s="9"/>
      <x:c r="AD23" s="9"/>
      <x:c r="AE23" s="9"/>
      <x:c r="AF23" s="9"/>
      <x:c r="AG23" s="9"/>
      <x:c r="AH23" s="9"/>
      <x:c r="AI23" s="11"/>
      <x:c r="AJ23" s="9"/>
      <x:c r="AK23" s="9" t="str">
        <x:v>Eval_Counting.xlsm</x:v>
      </x:c>
      <x:c r="AL23" s="9" t="str">
        <x:v>GR00T</x:v>
      </x:c>
      <x:c r="AM23" s="9" t="n">
        <x:v>3</x:v>
      </x:c>
      <x:c r="AN23" s="9" t="n">
        <x:v>3</x:v>
      </x:c>
    </x:row>
    <x:row r="24">
      <x:c r="A24" s="9" t="str">
        <x:v>Success</x:v>
      </x:c>
      <x:c r="B24" s="9" t="str">
        <x:v>Counting</x:v>
      </x:c>
      <x:c r="C24" s="10" t="n">
        <x:v>2</x:v>
      </x:c>
      <x:c r="D24" s="9" t="str">
        <x:v>Leave exactly three objects in the bowl.</x:v>
      </x:c>
      <x:c r="E24" s="9" t="str">
        <x:v>Bowl objects: [blue pen, yellow block, green pencil sharpener, airplane toy without propellers] | Table objects: [none]</x:v>
      </x:c>
      <x:c r="F24" s="9" t="str">
        <x:v>REMOVE any one bowl object; finish with 3 objects in the bowl</x:v>
      </x:c>
      <x:c r="G24" s="9" t="str">
        <x:v>removed the airplane toy, but did try to pick it up again, but did end up returning home</x:v>
      </x:c>
      <x:c r="H24" s="9" t="str">
        <x:v>In-distribution concept baseline</x:v>
      </x:c>
      <x:c r="I24" s="9" t="str">
        <x:v>ID-F01</x:v>
      </x:c>
      <x:c r="J24" s="9" t="str">
        <x:v>In-distribution: three via trained 4→3 removal</x:v>
      </x:c>
      <x:c r="K24" s="9"/>
      <x:c r="L24" s="9" t="str">
        <x:v>843</x:v>
      </x:c>
      <x:c r="M24" s="9" t="str">
        <x:v>Exact trained cell: prompt, count transition, and scene-object membership match; physical layout is not copied exactly.</x:v>
      </x:c>
      <x:c r="N24" s="9" t="n">
        <x:v>1</x:v>
      </x:c>
      <x:c r="O24" s="9" t="str">
        <x:v>Recreate the listed bowl/table membership from training episode 843.</x:v>
      </x:c>
      <x:c r="P24" s="9" t="str">
        <x:v>Exact trained count transition and scene-object membership. Any object that reaches the requested final count is acceptable.</x:v>
      </x:c>
      <x:c r="Q24" s="9"/>
      <x:c r="R24" s="10"/>
      <x:c r="S24" s="10"/>
      <x:c r="T24" s="9"/>
      <x:c r="U24" s="9"/>
      <x:c r="V24" s="9"/>
      <x:c r="W24" s="9" t="str">
        <x:v>ID-F01</x:v>
      </x:c>
      <x:c r="X24" s="10" t="n">
        <x:v>4</x:v>
      </x:c>
      <x:c r="Y24" s="10" t="n">
        <x:v>3</x:v>
      </x:c>
      <x:c r="Z24" s="9" t="str">
        <x:v>REMOVE</x:v>
      </x:c>
      <x:c r="AA24" s="9"/>
      <x:c r="AB24" s="9"/>
      <x:c r="AC24" s="9"/>
      <x:c r="AD24" s="9"/>
      <x:c r="AE24" s="9"/>
      <x:c r="AF24" s="9"/>
      <x:c r="AG24" s="9"/>
      <x:c r="AH24" s="9"/>
      <x:c r="AI24" s="11"/>
      <x:c r="AJ24" s="9"/>
      <x:c r="AK24" s="9" t="str">
        <x:v>Eval_Counting.xlsm</x:v>
      </x:c>
      <x:c r="AL24" s="9" t="str">
        <x:v>GR00T</x:v>
      </x:c>
      <x:c r="AM24" s="9" t="n">
        <x:v>4</x:v>
      </x:c>
      <x:c r="AN24" s="9" t="n">
        <x:v>4</x:v>
      </x:c>
    </x:row>
    <x:row r="25">
      <x:c r="A25" s="9" t="str">
        <x:v>Failure</x:v>
      </x:c>
      <x:c r="B25" s="9" t="str">
        <x:v>Counting</x:v>
      </x:c>
      <x:c r="C25" s="10" t="n">
        <x:v>3</x:v>
      </x:c>
      <x:c r="D25" s="9" t="str">
        <x:v>Adjust the bowl so that it contains zero objects.</x:v>
      </x:c>
      <x:c r="E25" s="9" t="str">
        <x:v>Bowl objects: [blue pen] | Table objects: [green pencil sharpener, airplane toy without propellers]</x:v>
      </x:c>
      <x:c r="F25" s="9" t="str">
        <x:v>REMOVE the only bowl object; finish with 0 objects in the bowl</x:v>
      </x:c>
      <x:c r="G25" s="9" t="str">
        <x:v>picked the airplane toy and put it in the bowl</x:v>
      </x:c>
      <x:c r="H25" s="9" t="str">
        <x:v>In-distribution concept baseline</x:v>
      </x:c>
      <x:c r="I25" s="9" t="str">
        <x:v>ID-F01</x:v>
      </x:c>
      <x:c r="J25" s="9" t="str">
        <x:v>In-distribution: zero via trained 1→0 removal</x:v>
      </x:c>
      <x:c r="K25" s="9"/>
      <x:c r="L25" s="9" t="str">
        <x:v>826</x:v>
      </x:c>
      <x:c r="M25" s="9" t="str">
        <x:v>Exact trained cell: prompt, count transition, and scene-object membership match; physical layout is not copied exactly.</x:v>
      </x:c>
      <x:c r="N25" s="9" t="n">
        <x:v>1</x:v>
      </x:c>
      <x:c r="O25" s="9" t="str">
        <x:v>Recreate the listed bowl/table membership from training episode 826.</x:v>
      </x:c>
      <x:c r="P25" s="9" t="str">
        <x:v>Exact trained count transition and scene-object membership. Any object that reaches the requested final count is acceptable.</x:v>
      </x:c>
      <x:c r="Q25" s="9"/>
      <x:c r="R25" s="10"/>
      <x:c r="S25" s="10"/>
      <x:c r="T25" s="9"/>
      <x:c r="U25" s="9"/>
      <x:c r="V25" s="9"/>
      <x:c r="W25" s="9" t="str">
        <x:v>ID-F01</x:v>
      </x:c>
      <x:c r="X25" s="10" t="n">
        <x:v>1</x:v>
      </x:c>
      <x:c r="Y25" s="10" t="n">
        <x:v>0</x:v>
      </x:c>
      <x:c r="Z25" s="9" t="str">
        <x:v>REMOVE</x:v>
      </x:c>
      <x:c r="AA25" s="9"/>
      <x:c r="AB25" s="9"/>
      <x:c r="AC25" s="9"/>
      <x:c r="AD25" s="9"/>
      <x:c r="AE25" s="9"/>
      <x:c r="AF25" s="9"/>
      <x:c r="AG25" s="9"/>
      <x:c r="AH25" s="9"/>
      <x:c r="AI25" s="11"/>
      <x:c r="AJ25" s="9"/>
      <x:c r="AK25" s="9" t="str">
        <x:v>Eval_Counting.xlsm</x:v>
      </x:c>
      <x:c r="AL25" s="9" t="str">
        <x:v>GR00T</x:v>
      </x:c>
      <x:c r="AM25" s="9" t="n">
        <x:v>5</x:v>
      </x:c>
      <x:c r="AN25" s="9" t="n">
        <x:v>5</x:v>
      </x:c>
    </x:row>
    <x:row r="26">
      <x:c r="A26" s="9" t="str">
        <x:v>Success</x:v>
      </x:c>
      <x:c r="B26" s="9" t="str">
        <x:v>Counting</x:v>
      </x:c>
      <x:c r="C26" s="10" t="n">
        <x:v>4</x:v>
      </x:c>
      <x:c r="D26" s="9" t="str">
        <x:v>Leave exactly one object in the bowl.</x:v>
      </x:c>
      <x:c r="E26" s="9" t="str">
        <x:v>Bowl objects: [none] | Table objects: [yellow block, blue pen]</x:v>
      </x:c>
      <x:c r="F26" s="9" t="str">
        <x:v>ADD any one table object; finish with 1 object in the bowl</x:v>
      </x:c>
      <x:c r="G26" s="9" t="str">
        <x:v>picked the blue pen</x:v>
      </x:c>
      <x:c r="H26" s="9" t="str">
        <x:v>In-distribution concept baseline</x:v>
      </x:c>
      <x:c r="I26" s="9" t="str">
        <x:v>ID-F02</x:v>
      </x:c>
      <x:c r="J26" s="9" t="str">
        <x:v>In-distribution: one via trained 0→1 addition</x:v>
      </x:c>
      <x:c r="K26" s="9"/>
      <x:c r="L26" s="9" t="str">
        <x:v>852</x:v>
      </x:c>
      <x:c r="M26" s="9" t="str">
        <x:v>Exact trained cell: prompt, count transition, and scene-object membership match; physical layout is not copied exactly.</x:v>
      </x:c>
      <x:c r="N26" s="9" t="n">
        <x:v>1</x:v>
      </x:c>
      <x:c r="O26" s="9" t="str">
        <x:v>Recreate the listed bowl/table membership from training episode 852.</x:v>
      </x:c>
      <x:c r="P26" s="9" t="str">
        <x:v>Exact trained count transition and scene-object membership. Any object that reaches the requested final count is acceptable.</x:v>
      </x:c>
      <x:c r="Q26" s="9"/>
      <x:c r="R26" s="10"/>
      <x:c r="S26" s="10"/>
      <x:c r="T26" s="9"/>
      <x:c r="U26" s="9"/>
      <x:c r="V26" s="9"/>
      <x:c r="W26" s="9" t="str">
        <x:v>ID-F02</x:v>
      </x:c>
      <x:c r="X26" s="10" t="n">
        <x:v>0</x:v>
      </x:c>
      <x:c r="Y26" s="10" t="n">
        <x:v>1</x:v>
      </x:c>
      <x:c r="Z26" s="9" t="str">
        <x:v>ADD</x:v>
      </x:c>
      <x:c r="AA26" s="9"/>
      <x:c r="AB26" s="9"/>
      <x:c r="AC26" s="9"/>
      <x:c r="AD26" s="9"/>
      <x:c r="AE26" s="9"/>
      <x:c r="AF26" s="9"/>
      <x:c r="AG26" s="9"/>
      <x:c r="AH26" s="9"/>
      <x:c r="AI26" s="11"/>
      <x:c r="AJ26" s="9"/>
      <x:c r="AK26" s="9" t="str">
        <x:v>Eval_Counting.xlsm</x:v>
      </x:c>
      <x:c r="AL26" s="9" t="str">
        <x:v>GR00T</x:v>
      </x:c>
      <x:c r="AM26" s="9" t="n">
        <x:v>6</x:v>
      </x:c>
      <x:c r="AN26" s="9" t="n">
        <x:v>6</x:v>
      </x:c>
    </x:row>
    <x:row r="27">
      <x:c r="A27" s="9" t="str">
        <x:v>Failure</x:v>
      </x:c>
      <x:c r="B27" s="9" t="str">
        <x:v>Counting</x:v>
      </x:c>
      <x:c r="C27" s="10" t="n">
        <x:v>6</x:v>
      </x:c>
      <x:c r="D27" s="9" t="str">
        <x:v>Leave exactly three objects in the bowl.</x:v>
      </x:c>
      <x:c r="E27" s="9" t="str">
        <x:v>Bowl objects: [yellow block, green pencil sharpener, airplane toy without propellers, blue pen] | Table objects: [none]</x:v>
      </x:c>
      <x:c r="F27" s="9" t="str">
        <x:v>REMOVE any one bowl object; finish with 3 objects in the bowl</x:v>
      </x:c>
      <x:c r="G27" s="9" t="str">
        <x:v>went to bowl but failed to remove anything</x:v>
      </x:c>
      <x:c r="H27" s="9" t="str">
        <x:v>In-distribution concept baseline</x:v>
      </x:c>
      <x:c r="I27" s="9" t="str">
        <x:v>ID-F02</x:v>
      </x:c>
      <x:c r="J27" s="9" t="str">
        <x:v>In-distribution: three via trained 4→3 removal</x:v>
      </x:c>
      <x:c r="K27" s="9"/>
      <x:c r="L27" s="9" t="str">
        <x:v>893</x:v>
      </x:c>
      <x:c r="M27" s="9" t="str">
        <x:v>Exact trained cell: prompt, count transition, and scene-object membership match; physical layout is not copied exactly.</x:v>
      </x:c>
      <x:c r="N27" s="9" t="n">
        <x:v>1</x:v>
      </x:c>
      <x:c r="O27" s="9" t="str">
        <x:v>Recreate the listed bowl/table membership from training episode 893.</x:v>
      </x:c>
      <x:c r="P27" s="9" t="str">
        <x:v>Exact trained count transition and scene-object membership. Any object that reaches the requested final count is acceptable.</x:v>
      </x:c>
      <x:c r="Q27" s="9"/>
      <x:c r="R27" s="10"/>
      <x:c r="S27" s="10"/>
      <x:c r="T27" s="9"/>
      <x:c r="U27" s="9"/>
      <x:c r="V27" s="9"/>
      <x:c r="W27" s="9" t="str">
        <x:v>ID-F02</x:v>
      </x:c>
      <x:c r="X27" s="10" t="n">
        <x:v>4</x:v>
      </x:c>
      <x:c r="Y27" s="10" t="n">
        <x:v>3</x:v>
      </x:c>
      <x:c r="Z27" s="9" t="str">
        <x:v>REMOVE</x:v>
      </x:c>
      <x:c r="AA27" s="9"/>
      <x:c r="AB27" s="9"/>
      <x:c r="AC27" s="9"/>
      <x:c r="AD27" s="9"/>
      <x:c r="AE27" s="9"/>
      <x:c r="AF27" s="9"/>
      <x:c r="AG27" s="9"/>
      <x:c r="AH27" s="9"/>
      <x:c r="AI27" s="11"/>
      <x:c r="AJ27" s="9"/>
      <x:c r="AK27" s="9" t="str">
        <x:v>Eval_Counting.xlsm</x:v>
      </x:c>
      <x:c r="AL27" s="9" t="str">
        <x:v>GR00T</x:v>
      </x:c>
      <x:c r="AM27" s="9" t="n">
        <x:v>8</x:v>
      </x:c>
      <x:c r="AN27" s="9" t="n">
        <x:v>8</x:v>
      </x:c>
    </x:row>
    <x:row r="28">
      <x:c r="A28" s="9" t="str">
        <x:v>Failure</x:v>
      </x:c>
      <x:c r="B28" s="9" t="str">
        <x:v>Counting</x:v>
      </x:c>
      <x:c r="C28" s="10" t="n">
        <x:v>7</x:v>
      </x:c>
      <x:c r="D28" s="9" t="str">
        <x:v>Adjust the bowl so that it contains zero objects.</x:v>
      </x:c>
      <x:c r="E28" s="9" t="str">
        <x:v>Bowl objects: [yellow block] | Table objects: [blue pen]</x:v>
      </x:c>
      <x:c r="F28" s="9" t="str">
        <x:v>REMOVE the only bowl object; finish with 0 objects in the bowl</x:v>
      </x:c>
      <x:c r="G28" s="9" t="str">
        <x:v>put the blue pen in the bowl. Took a while before returning home</x:v>
      </x:c>
      <x:c r="H28" s="9" t="str">
        <x:v>In-distribution concept baseline</x:v>
      </x:c>
      <x:c r="I28" s="9" t="str">
        <x:v>ID-F02</x:v>
      </x:c>
      <x:c r="J28" s="9" t="str">
        <x:v>In-distribution: zero via trained 1→0 removal</x:v>
      </x:c>
      <x:c r="K28" s="9"/>
      <x:c r="L28" s="9" t="str">
        <x:v>878</x:v>
      </x:c>
      <x:c r="M28" s="9" t="str">
        <x:v>Exact trained cell: prompt, count transition, and scene-object membership match; physical layout is not copied exactly.</x:v>
      </x:c>
      <x:c r="N28" s="9" t="n">
        <x:v>1</x:v>
      </x:c>
      <x:c r="O28" s="9" t="str">
        <x:v>Recreate the listed bowl/table membership from training episode 878.</x:v>
      </x:c>
      <x:c r="P28" s="9" t="str">
        <x:v>Exact trained count transition and scene-object membership. Any object that reaches the requested final count is acceptable.</x:v>
      </x:c>
      <x:c r="Q28" s="9"/>
      <x:c r="R28" s="10"/>
      <x:c r="S28" s="10"/>
      <x:c r="T28" s="9"/>
      <x:c r="U28" s="9"/>
      <x:c r="V28" s="9"/>
      <x:c r="W28" s="9" t="str">
        <x:v>ID-F02</x:v>
      </x:c>
      <x:c r="X28" s="10" t="n">
        <x:v>1</x:v>
      </x:c>
      <x:c r="Y28" s="10" t="n">
        <x:v>0</x:v>
      </x:c>
      <x:c r="Z28" s="9" t="str">
        <x:v>REMOVE</x:v>
      </x:c>
      <x:c r="AA28" s="9"/>
      <x:c r="AB28" s="9"/>
      <x:c r="AC28" s="9"/>
      <x:c r="AD28" s="9"/>
      <x:c r="AE28" s="9"/>
      <x:c r="AF28" s="9"/>
      <x:c r="AG28" s="9"/>
      <x:c r="AH28" s="9"/>
      <x:c r="AI28" s="11"/>
      <x:c r="AJ28" s="9"/>
      <x:c r="AK28" s="9" t="str">
        <x:v>Eval_Counting.xlsm</x:v>
      </x:c>
      <x:c r="AL28" s="9" t="str">
        <x:v>GR00T</x:v>
      </x:c>
      <x:c r="AM28" s="9" t="n">
        <x:v>9</x:v>
      </x:c>
      <x:c r="AN28" s="9" t="n">
        <x:v>9</x:v>
      </x:c>
    </x:row>
    <x:row r="29">
      <x:c r="A29" s="9" t="str">
        <x:v>Success</x:v>
      </x:c>
      <x:c r="B29" s="9" t="str">
        <x:v>Counting</x:v>
      </x:c>
      <x:c r="C29" s="10" t="n">
        <x:v>8</x:v>
      </x:c>
      <x:c r="D29" s="9" t="str">
        <x:v>Leave exactly one object in the bowl.</x:v>
      </x:c>
      <x:c r="E29" s="9" t="str">
        <x:v>Bowl objects: [none] | Table objects: [green pencil sharpener, yellow block]</x:v>
      </x:c>
      <x:c r="F29" s="9" t="str">
        <x:v>ADD any one table object; finish with 1 object in the bowl</x:v>
      </x:c>
      <x:c r="G29" s="9" t="str">
        <x:v>picked the yellow block</x:v>
      </x:c>
      <x:c r="H29" s="9" t="str">
        <x:v>In-distribution concept baseline</x:v>
      </x:c>
      <x:c r="I29" s="9" t="str">
        <x:v>ID-F03</x:v>
      </x:c>
      <x:c r="J29" s="9" t="str">
        <x:v>In-distribution: one via trained 0→1 addition</x:v>
      </x:c>
      <x:c r="K29" s="9"/>
      <x:c r="L29" s="9" t="str">
        <x:v>902</x:v>
      </x:c>
      <x:c r="M29" s="9" t="str">
        <x:v>Exact trained cell: prompt, count transition, and scene-object membership match; physical layout is not copied exactly.</x:v>
      </x:c>
      <x:c r="N29" s="9" t="n">
        <x:v>1</x:v>
      </x:c>
      <x:c r="O29" s="9" t="str">
        <x:v>Recreate the listed bowl/table membership from training episode 902.</x:v>
      </x:c>
      <x:c r="P29" s="9" t="str">
        <x:v>Exact trained count transition and scene-object membership. Any object that reaches the requested final count is acceptable.</x:v>
      </x:c>
      <x:c r="Q29" s="9"/>
      <x:c r="R29" s="10"/>
      <x:c r="S29" s="10"/>
      <x:c r="T29" s="9"/>
      <x:c r="U29" s="9"/>
      <x:c r="V29" s="9"/>
      <x:c r="W29" s="9" t="str">
        <x:v>ID-F03</x:v>
      </x:c>
      <x:c r="X29" s="10" t="n">
        <x:v>0</x:v>
      </x:c>
      <x:c r="Y29" s="10" t="n">
        <x:v>1</x:v>
      </x:c>
      <x:c r="Z29" s="9" t="str">
        <x:v>ADD</x:v>
      </x:c>
      <x:c r="AA29" s="9"/>
      <x:c r="AB29" s="9"/>
      <x:c r="AC29" s="9"/>
      <x:c r="AD29" s="9"/>
      <x:c r="AE29" s="9"/>
      <x:c r="AF29" s="9"/>
      <x:c r="AG29" s="9"/>
      <x:c r="AH29" s="9"/>
      <x:c r="AI29" s="11"/>
      <x:c r="AJ29" s="9"/>
      <x:c r="AK29" s="9" t="str">
        <x:v>Eval_Counting.xlsm</x:v>
      </x:c>
      <x:c r="AL29" s="9" t="str">
        <x:v>GR00T</x:v>
      </x:c>
      <x:c r="AM29" s="9" t="n">
        <x:v>10</x:v>
      </x:c>
      <x:c r="AN29" s="9" t="n">
        <x:v>10</x:v>
      </x:c>
    </x:row>
    <x:row r="30">
      <x:c r="A30" s="9" t="str">
        <x:v>Success</x:v>
      </x:c>
      <x:c r="B30" s="9" t="str">
        <x:v>Counting</x:v>
      </x:c>
      <x:c r="C30" s="10" t="n">
        <x:v>9</x:v>
      </x:c>
      <x:c r="D30" s="9" t="str">
        <x:v>Adjust the bowl so that it contains two objects.</x:v>
      </x:c>
      <x:c r="E30" s="9" t="str">
        <x:v>Bowl objects: [blue pen] | Table objects: [green pencil sharpener, airplane toy without propellers]</x:v>
      </x:c>
      <x:c r="F30" s="9" t="str">
        <x:v>ADD any one table object; finish with 2 objects in the bowl</x:v>
      </x:c>
      <x:c r="G30" s="9" t="str">
        <x:v>picked the green pencil sharpener</x:v>
      </x:c>
      <x:c r="H30" s="9" t="str">
        <x:v>In-distribution concept baseline</x:v>
      </x:c>
      <x:c r="I30" s="9" t="str">
        <x:v>ID-F03</x:v>
      </x:c>
      <x:c r="J30" s="9" t="str">
        <x:v>In-distribution: two via trained 1→2 addition</x:v>
      </x:c>
      <x:c r="K30" s="9"/>
      <x:c r="L30" s="9" t="str">
        <x:v>909</x:v>
      </x:c>
      <x:c r="M30" s="9" t="str">
        <x:v>Exact trained cell: prompt, count transition, and scene-object membership match; physical layout is not copied exactly.</x:v>
      </x:c>
      <x:c r="N30" s="9" t="n">
        <x:v>1</x:v>
      </x:c>
      <x:c r="O30" s="9" t="str">
        <x:v>Recreate the listed bowl/table membership from training episode 909.</x:v>
      </x:c>
      <x:c r="P30" s="9" t="str">
        <x:v>Exact trained count transition and scene-object membership. Any object that reaches the requested final count is acceptable.</x:v>
      </x:c>
      <x:c r="Q30" s="9"/>
      <x:c r="R30" s="10"/>
      <x:c r="S30" s="10"/>
      <x:c r="T30" s="9"/>
      <x:c r="U30" s="9"/>
      <x:c r="V30" s="9"/>
      <x:c r="W30" s="9" t="str">
        <x:v>ID-F03</x:v>
      </x:c>
      <x:c r="X30" s="10" t="n">
        <x:v>1</x:v>
      </x:c>
      <x:c r="Y30" s="10" t="n">
        <x:v>2</x:v>
      </x:c>
      <x:c r="Z30" s="9" t="str">
        <x:v>ADD</x:v>
      </x:c>
      <x:c r="AA30" s="9"/>
      <x:c r="AB30" s="9"/>
      <x:c r="AC30" s="9"/>
      <x:c r="AD30" s="9"/>
      <x:c r="AE30" s="9"/>
      <x:c r="AF30" s="9"/>
      <x:c r="AG30" s="9"/>
      <x:c r="AH30" s="9"/>
      <x:c r="AI30" s="11"/>
      <x:c r="AJ30" s="9"/>
      <x:c r="AK30" s="9" t="str">
        <x:v>Eval_Counting.xlsm</x:v>
      </x:c>
      <x:c r="AL30" s="9" t="str">
        <x:v>GR00T</x:v>
      </x:c>
      <x:c r="AM30" s="9" t="n">
        <x:v>11</x:v>
      </x:c>
      <x:c r="AN30" s="9" t="n">
        <x:v>11</x:v>
      </x:c>
    </x:row>
    <x:row r="31">
      <x:c r="A31" s="9" t="str">
        <x:v>Failure</x:v>
      </x:c>
      <x:c r="B31" s="9" t="str">
        <x:v>Counting</x:v>
      </x:c>
      <x:c r="C31" s="10" t="n">
        <x:v>10</x:v>
      </x:c>
      <x:c r="D31" s="9" t="str">
        <x:v>Leave exactly three objects in the bowl.</x:v>
      </x:c>
      <x:c r="E31" s="9" t="str">
        <x:v>Bowl objects: [green pencil sharpener, airplane toy without propellers, blue pen, yellow block] | Table objects: [none]</x:v>
      </x:c>
      <x:c r="F31" s="9" t="str">
        <x:v>REMOVE any one bowl object; finish with 3 objects in the bowl</x:v>
      </x:c>
      <x:c r="G31" s="9" t="str">
        <x:v>went to bowl but didn't remove anything</x:v>
      </x:c>
      <x:c r="H31" s="9" t="str">
        <x:v>In-distribution concept baseline</x:v>
      </x:c>
      <x:c r="I31" s="9" t="str">
        <x:v>ID-F03</x:v>
      </x:c>
      <x:c r="J31" s="9" t="str">
        <x:v>In-distribution: three via trained 4→3 removal</x:v>
      </x:c>
      <x:c r="K31" s="9"/>
      <x:c r="L31" s="9" t="str">
        <x:v>943</x:v>
      </x:c>
      <x:c r="M31" s="9" t="str">
        <x:v>Exact trained cell: prompt, count transition, and scene-object membership match; physical layout is not copied exactly.</x:v>
      </x:c>
      <x:c r="N31" s="9" t="n">
        <x:v>1</x:v>
      </x:c>
      <x:c r="O31" s="9" t="str">
        <x:v>Recreate the listed bowl/table membership from training episode 943.</x:v>
      </x:c>
      <x:c r="P31" s="9" t="str">
        <x:v>Exact trained count transition and scene-object membership. Any object that reaches the requested final count is acceptable.</x:v>
      </x:c>
      <x:c r="Q31" s="9"/>
      <x:c r="R31" s="10"/>
      <x:c r="S31" s="10"/>
      <x:c r="T31" s="9"/>
      <x:c r="U31" s="9"/>
      <x:c r="V31" s="9"/>
      <x:c r="W31" s="9" t="str">
        <x:v>ID-F03</x:v>
      </x:c>
      <x:c r="X31" s="10" t="n">
        <x:v>4</x:v>
      </x:c>
      <x:c r="Y31" s="10" t="n">
        <x:v>3</x:v>
      </x:c>
      <x:c r="Z31" s="9" t="str">
        <x:v>REMOVE</x:v>
      </x:c>
      <x:c r="AA31" s="9"/>
      <x:c r="AB31" s="9"/>
      <x:c r="AC31" s="9"/>
      <x:c r="AD31" s="9"/>
      <x:c r="AE31" s="9"/>
      <x:c r="AF31" s="9"/>
      <x:c r="AG31" s="9"/>
      <x:c r="AH31" s="9"/>
      <x:c r="AI31" s="11"/>
      <x:c r="AJ31" s="9"/>
      <x:c r="AK31" s="9" t="str">
        <x:v>Eval_Counting.xlsm</x:v>
      </x:c>
      <x:c r="AL31" s="9" t="str">
        <x:v>GR00T</x:v>
      </x:c>
      <x:c r="AM31" s="9" t="n">
        <x:v>12</x:v>
      </x:c>
      <x:c r="AN31" s="9" t="n">
        <x:v>12</x:v>
      </x:c>
    </x:row>
    <x:row r="32">
      <x:c r="A32" s="9" t="str">
        <x:v>Failure</x:v>
      </x:c>
      <x:c r="B32" s="9" t="str">
        <x:v>Counting</x:v>
      </x:c>
      <x:c r="C32" s="10" t="n">
        <x:v>11</x:v>
      </x:c>
      <x:c r="D32" s="9" t="str">
        <x:v>Make the bowl contain exactly zero objects.</x:v>
      </x:c>
      <x:c r="E32" s="9" t="str">
        <x:v>Bowl objects: [green pencil sharpener] | Table objects: [yellow block]</x:v>
      </x:c>
      <x:c r="F32" s="9" t="str">
        <x:v>REMOVE the only bowl object; finish with 0 objects in the bowl</x:v>
      </x:c>
      <x:c r="G32" s="9" t="str">
        <x:v>went to yellow block, but then went back home</x:v>
      </x:c>
      <x:c r="H32" s="9" t="str">
        <x:v>In-distribution concept baseline</x:v>
      </x:c>
      <x:c r="I32" s="9" t="str">
        <x:v>ID-F03</x:v>
      </x:c>
      <x:c r="J32" s="9" t="str">
        <x:v>In-distribution: zero via trained 1→0 removal</x:v>
      </x:c>
      <x:c r="K32" s="9"/>
      <x:c r="L32" s="9" t="str">
        <x:v>928</x:v>
      </x:c>
      <x:c r="M32" s="9" t="str">
        <x:v>Exact trained cell: prompt, count transition, and scene-object membership match; physical layout is not copied exactly.</x:v>
      </x:c>
      <x:c r="N32" s="9" t="n">
        <x:v>1</x:v>
      </x:c>
      <x:c r="O32" s="9" t="str">
        <x:v>Recreate the listed bowl/table membership from training episode 928.</x:v>
      </x:c>
      <x:c r="P32" s="9" t="str">
        <x:v>Exact trained count transition and scene-object membership. Any object that reaches the requested final count is acceptable.</x:v>
      </x:c>
      <x:c r="Q32" s="9"/>
      <x:c r="R32" s="10"/>
      <x:c r="S32" s="10"/>
      <x:c r="T32" s="9"/>
      <x:c r="U32" s="9"/>
      <x:c r="V32" s="9"/>
      <x:c r="W32" s="9" t="str">
        <x:v>ID-F03</x:v>
      </x:c>
      <x:c r="X32" s="10" t="n">
        <x:v>1</x:v>
      </x:c>
      <x:c r="Y32" s="10" t="n">
        <x:v>0</x:v>
      </x:c>
      <x:c r="Z32" s="9" t="str">
        <x:v>REMOVE</x:v>
      </x:c>
      <x:c r="AA32" s="9"/>
      <x:c r="AB32" s="9"/>
      <x:c r="AC32" s="9"/>
      <x:c r="AD32" s="9"/>
      <x:c r="AE32" s="9"/>
      <x:c r="AF32" s="9"/>
      <x:c r="AG32" s="9"/>
      <x:c r="AH32" s="9"/>
      <x:c r="AI32" s="11"/>
      <x:c r="AJ32" s="9"/>
      <x:c r="AK32" s="9" t="str">
        <x:v>Eval_Counting.xlsm</x:v>
      </x:c>
      <x:c r="AL32" s="9" t="str">
        <x:v>GR00T</x:v>
      </x:c>
      <x:c r="AM32" s="9" t="n">
        <x:v>13</x:v>
      </x:c>
      <x:c r="AN32" s="9" t="n">
        <x:v>13</x:v>
      </x:c>
    </x:row>
    <x:row r="33">
      <x:c r="A33" s="9" t="str">
        <x:v>Success</x:v>
      </x:c>
      <x:c r="B33" s="9" t="str">
        <x:v>Counting</x:v>
      </x:c>
      <x:c r="C33" s="10" t="n">
        <x:v>12</x:v>
      </x:c>
      <x:c r="D33" s="9" t="str">
        <x:v>Leave exactly one object in the bowl.</x:v>
      </x:c>
      <x:c r="E33" s="9" t="str">
        <x:v>Bowl objects: [none] | Table objects: [airplane toy without propellers, blue pen, yellow block]</x:v>
      </x:c>
      <x:c r="F33" s="9" t="str">
        <x:v>ADD any one table object; finish with 1 object in the bowl</x:v>
      </x:c>
      <x:c r="G33" s="9" t="str">
        <x:v>picked the pencil sharpener</x:v>
      </x:c>
      <x:c r="H33" s="9" t="str">
        <x:v>In-distribution concept baseline</x:v>
      </x:c>
      <x:c r="I33" s="9" t="str">
        <x:v>ID-F04</x:v>
      </x:c>
      <x:c r="J33" s="9" t="str">
        <x:v>In-distribution: one via trained 0→1 addition</x:v>
      </x:c>
      <x:c r="K33" s="9"/>
      <x:c r="L33" s="9" t="str">
        <x:v>951</x:v>
      </x:c>
      <x:c r="M33" s="9" t="str">
        <x:v>Exact trained cell: prompt, count transition, and scene-object membership match; physical layout is not copied exactly.</x:v>
      </x:c>
      <x:c r="N33" s="9" t="n">
        <x:v>1</x:v>
      </x:c>
      <x:c r="O33" s="9" t="str">
        <x:v>Recreate the listed bowl/table membership from training episode 951.</x:v>
      </x:c>
      <x:c r="P33" s="9" t="str">
        <x:v>Exact trained count transition and scene-object membership. Any object that reaches the requested final count is acceptable.</x:v>
      </x:c>
      <x:c r="Q33" s="9"/>
      <x:c r="R33" s="10"/>
      <x:c r="S33" s="10"/>
      <x:c r="T33" s="9"/>
      <x:c r="U33" s="9"/>
      <x:c r="V33" s="9"/>
      <x:c r="W33" s="9" t="str">
        <x:v>ID-F04</x:v>
      </x:c>
      <x:c r="X33" s="10" t="n">
        <x:v>0</x:v>
      </x:c>
      <x:c r="Y33" s="10" t="n">
        <x:v>1</x:v>
      </x:c>
      <x:c r="Z33" s="9" t="str">
        <x:v>ADD</x:v>
      </x:c>
      <x:c r="AA33" s="9"/>
      <x:c r="AB33" s="9"/>
      <x:c r="AC33" s="9"/>
      <x:c r="AD33" s="9"/>
      <x:c r="AE33" s="9"/>
      <x:c r="AF33" s="9"/>
      <x:c r="AG33" s="9"/>
      <x:c r="AH33" s="9"/>
      <x:c r="AI33" s="11"/>
      <x:c r="AJ33" s="9"/>
      <x:c r="AK33" s="9" t="str">
        <x:v>Eval_Counting.xlsm</x:v>
      </x:c>
      <x:c r="AL33" s="9" t="str">
        <x:v>GR00T</x:v>
      </x:c>
      <x:c r="AM33" s="9" t="n">
        <x:v>14</x:v>
      </x:c>
      <x:c r="AN33" s="9" t="n">
        <x:v>14</x:v>
      </x:c>
    </x:row>
    <x:row r="34">
      <x:c r="A34" s="9" t="str">
        <x:v>Success</x:v>
      </x:c>
      <x:c r="B34" s="9" t="str">
        <x:v>Counting</x:v>
      </x:c>
      <x:c r="C34" s="10" t="n">
        <x:v>13</x:v>
      </x:c>
      <x:c r="D34" s="9" t="str">
        <x:v>Make the bowl contain exactly two objects.</x:v>
      </x:c>
      <x:c r="E34" s="9" t="str">
        <x:v>Bowl objects: [green pencil sharpener] | Table objects: [airplane toy without propellers, yellow block]</x:v>
      </x:c>
      <x:c r="F34" s="9" t="str">
        <x:v>ADD any one table object; finish with 2 objects in the bowl</x:v>
      </x:c>
      <x:c r="G34" s="9" t="str">
        <x:v>picked the yellow block; hesitated to leave the bowl, though</x:v>
      </x:c>
      <x:c r="H34" s="9" t="str">
        <x:v>In-distribution concept baseline</x:v>
      </x:c>
      <x:c r="I34" s="9" t="str">
        <x:v>ID-F04</x:v>
      </x:c>
      <x:c r="J34" s="9" t="str">
        <x:v>In-distribution: two via trained 1→2 addition</x:v>
      </x:c>
      <x:c r="K34" s="9"/>
      <x:c r="L34" s="9" t="str">
        <x:v>960</x:v>
      </x:c>
      <x:c r="M34" s="9" t="str">
        <x:v>Exact trained cell: prompt, count transition, and scene-object membership match; physical layout is not copied exactly.</x:v>
      </x:c>
      <x:c r="N34" s="9" t="n">
        <x:v>1</x:v>
      </x:c>
      <x:c r="O34" s="9" t="str">
        <x:v>Recreate the listed bowl/table membership from training episode 960.</x:v>
      </x:c>
      <x:c r="P34" s="9" t="str">
        <x:v>Exact trained count transition and scene-object membership. Any object that reaches the requested final count is acceptable.</x:v>
      </x:c>
      <x:c r="Q34" s="9"/>
      <x:c r="R34" s="10"/>
      <x:c r="S34" s="10"/>
      <x:c r="T34" s="9"/>
      <x:c r="U34" s="9"/>
      <x:c r="V34" s="9"/>
      <x:c r="W34" s="9" t="str">
        <x:v>ID-F04</x:v>
      </x:c>
      <x:c r="X34" s="10" t="n">
        <x:v>1</x:v>
      </x:c>
      <x:c r="Y34" s="10" t="n">
        <x:v>2</x:v>
      </x:c>
      <x:c r="Z34" s="9" t="str">
        <x:v>ADD</x:v>
      </x:c>
      <x:c r="AA34" s="9"/>
      <x:c r="AB34" s="9"/>
      <x:c r="AC34" s="9"/>
      <x:c r="AD34" s="9"/>
      <x:c r="AE34" s="9"/>
      <x:c r="AF34" s="9"/>
      <x:c r="AG34" s="9"/>
      <x:c r="AH34" s="9"/>
      <x:c r="AI34" s="11"/>
      <x:c r="AJ34" s="9"/>
      <x:c r="AK34" s="9" t="str">
        <x:v>Eval_Counting.xlsm</x:v>
      </x:c>
      <x:c r="AL34" s="9" t="str">
        <x:v>GR00T</x:v>
      </x:c>
      <x:c r="AM34" s="9" t="n">
        <x:v>15</x:v>
      </x:c>
      <x:c r="AN34" s="9" t="n">
        <x:v>15</x:v>
      </x:c>
    </x:row>
    <x:row r="35">
      <x:c r="A35" s="9" t="str">
        <x:v>Failure</x:v>
      </x:c>
      <x:c r="B35" s="9" t="str">
        <x:v>Counting</x:v>
      </x:c>
      <x:c r="C35" s="10" t="n">
        <x:v>14</x:v>
      </x:c>
      <x:c r="D35" s="9" t="str">
        <x:v>Leave exactly three objects in the bowl.</x:v>
      </x:c>
      <x:c r="E35" s="9" t="str">
        <x:v>Bowl objects: [airplane toy without propellers, blue pen, yellow block, green pencil sharpener] | Table objects: [none]</x:v>
      </x:c>
      <x:c r="F35" s="9" t="str">
        <x:v>REMOVE any one bowl object; finish with 3 objects in the bowl</x:v>
      </x:c>
      <x:c r="G35" s="9" t="str">
        <x:v>gripped the blue pen, but ran out of time before it removed it from the bowl</x:v>
      </x:c>
      <x:c r="H35" s="9" t="str">
        <x:v>In-distribution concept baseline</x:v>
      </x:c>
      <x:c r="I35" s="9" t="str">
        <x:v>ID-F04</x:v>
      </x:c>
      <x:c r="J35" s="9" t="str">
        <x:v>In-distribution: three via trained 4→3 removal</x:v>
      </x:c>
      <x:c r="K35" s="9"/>
      <x:c r="L35" s="9" t="str">
        <x:v>993</x:v>
      </x:c>
      <x:c r="M35" s="9" t="str">
        <x:v>Exact trained cell: prompt, count transition, and scene-object membership match; physical layout is not copied exactly.</x:v>
      </x:c>
      <x:c r="N35" s="9" t="n">
        <x:v>1</x:v>
      </x:c>
      <x:c r="O35" s="9" t="str">
        <x:v>Recreate the listed bowl/table membership from training episode 993.</x:v>
      </x:c>
      <x:c r="P35" s="9" t="str">
        <x:v>Exact trained count transition and scene-object membership. Any object that reaches the requested final count is acceptable.</x:v>
      </x:c>
      <x:c r="Q35" s="9"/>
      <x:c r="R35" s="10"/>
      <x:c r="S35" s="10"/>
      <x:c r="T35" s="9"/>
      <x:c r="U35" s="9"/>
      <x:c r="V35" s="9"/>
      <x:c r="W35" s="9" t="str">
        <x:v>ID-F04</x:v>
      </x:c>
      <x:c r="X35" s="10" t="n">
        <x:v>4</x:v>
      </x:c>
      <x:c r="Y35" s="10" t="n">
        <x:v>3</x:v>
      </x:c>
      <x:c r="Z35" s="9" t="str">
        <x:v>REMOVE</x:v>
      </x:c>
      <x:c r="AA35" s="9"/>
      <x:c r="AB35" s="9"/>
      <x:c r="AC35" s="9"/>
      <x:c r="AD35" s="9"/>
      <x:c r="AE35" s="9"/>
      <x:c r="AF35" s="9"/>
      <x:c r="AG35" s="9"/>
      <x:c r="AH35" s="9"/>
      <x:c r="AI35" s="11"/>
      <x:c r="AJ35" s="9"/>
      <x:c r="AK35" s="9" t="str">
        <x:v>Eval_Counting.xlsm</x:v>
      </x:c>
      <x:c r="AL35" s="9" t="str">
        <x:v>GR00T</x:v>
      </x:c>
      <x:c r="AM35" s="9" t="n">
        <x:v>16</x:v>
      </x:c>
      <x:c r="AN35" s="9" t="n">
        <x:v>16</x:v>
      </x:c>
    </x:row>
    <x:row r="36">
      <x:c r="A36" s="9" t="str">
        <x:v>Failure</x:v>
      </x:c>
      <x:c r="B36" s="9" t="str">
        <x:v>Counting</x:v>
      </x:c>
      <x:c r="C36" s="10" t="n">
        <x:v>15</x:v>
      </x:c>
      <x:c r="D36" s="9" t="str">
        <x:v>Leave no objects in the bowl.</x:v>
      </x:c>
      <x:c r="E36" s="9" t="str">
        <x:v>Bowl objects: [airplane toy without propellers] | Table objects: [green pencil sharpener]</x:v>
      </x:c>
      <x:c r="F36" s="9" t="str">
        <x:v>REMOVE the only bowl object; finish with 0 objects in the bowl</x:v>
      </x:c>
      <x:c r="G36" s="9" t="str">
        <x:v>took green pencil sharpener to the bowl, before dropping, moved, and set it down in the workspace.</x:v>
      </x:c>
      <x:c r="H36" s="9" t="str">
        <x:v>In-distribution concept baseline</x:v>
      </x:c>
      <x:c r="I36" s="9" t="str">
        <x:v>ID-F04</x:v>
      </x:c>
      <x:c r="J36" s="9" t="str">
        <x:v>In-distribution: zero via trained 1→0 removal</x:v>
      </x:c>
      <x:c r="K36" s="9"/>
      <x:c r="L36" s="9" t="str">
        <x:v>978</x:v>
      </x:c>
      <x:c r="M36" s="9" t="str">
        <x:v>Exact trained cell: prompt, count transition, and scene-object membership match; physical layout is not copied exactly.</x:v>
      </x:c>
      <x:c r="N36" s="9" t="n">
        <x:v>1</x:v>
      </x:c>
      <x:c r="O36" s="9" t="str">
        <x:v>Recreate the listed bowl/table membership from training episode 978.</x:v>
      </x:c>
      <x:c r="P36" s="9" t="str">
        <x:v>Exact trained count transition and scene-object membership. Any object that reaches the requested final count is acceptable.</x:v>
      </x:c>
      <x:c r="Q36" s="9"/>
      <x:c r="R36" s="10"/>
      <x:c r="S36" s="10"/>
      <x:c r="T36" s="9"/>
      <x:c r="U36" s="9"/>
      <x:c r="V36" s="9"/>
      <x:c r="W36" s="9" t="str">
        <x:v>ID-F04</x:v>
      </x:c>
      <x:c r="X36" s="10" t="n">
        <x:v>1</x:v>
      </x:c>
      <x:c r="Y36" s="10" t="n">
        <x:v>0</x:v>
      </x:c>
      <x:c r="Z36" s="9" t="str">
        <x:v>REMOVE</x:v>
      </x:c>
      <x:c r="AA36" s="9"/>
      <x:c r="AB36" s="9"/>
      <x:c r="AC36" s="9"/>
      <x:c r="AD36" s="9"/>
      <x:c r="AE36" s="9"/>
      <x:c r="AF36" s="9"/>
      <x:c r="AG36" s="9"/>
      <x:c r="AH36" s="9"/>
      <x:c r="AI36" s="11"/>
      <x:c r="AJ36" s="9"/>
      <x:c r="AK36" s="9" t="str">
        <x:v>Eval_Counting.xlsm</x:v>
      </x:c>
      <x:c r="AL36" s="9" t="str">
        <x:v>GR00T</x:v>
      </x:c>
      <x:c r="AM36" s="9" t="n">
        <x:v>17</x:v>
      </x:c>
      <x:c r="AN36" s="9" t="n">
        <x:v>17</x:v>
      </x:c>
    </x:row>
    <x:row r="37">
      <x:c r="A37" s="9" t="str">
        <x:v>Failure</x:v>
      </x:c>
      <x:c r="B37" s="9" t="str">
        <x:v>Counting</x:v>
      </x:c>
      <x:c r="C37" s="10" t="n">
        <x:v>16</x:v>
      </x:c>
      <x:c r="D37" s="9" t="str">
        <x:v>Leave exactly one object in the bowl.</x:v>
      </x:c>
      <x:c r="E37" s="9" t="str">
        <x:v>Bowl objects: [none] | Table objects: [yellow block]</x:v>
      </x:c>
      <x:c r="F37" s="9" t="str">
        <x:v>ADD the only table object; finish with 1 object in the bowl</x:v>
      </x:c>
      <x:c r="G37" s="9" t="str">
        <x:v>put yellow block in the bowl, then removed it </x:v>
      </x:c>
      <x:c r="H37" s="9" t="str">
        <x:v>In-distribution concept baseline</x:v>
      </x:c>
      <x:c r="I37" s="9" t="str">
        <x:v>ID-F05</x:v>
      </x:c>
      <x:c r="J37" s="9" t="str">
        <x:v>In-distribution: one via trained 0→1 addition</x:v>
      </x:c>
      <x:c r="K37" s="9"/>
      <x:c r="L37" s="9" t="str">
        <x:v>857</x:v>
      </x:c>
      <x:c r="M37" s="9" t="str">
        <x:v>Exact trained cell: prompt, count transition, and scene-object membership match; physical layout is not copied exactly.</x:v>
      </x:c>
      <x:c r="N37" s="9" t="n">
        <x:v>1</x:v>
      </x:c>
      <x:c r="O37" s="9" t="str">
        <x:v>Recreate the listed bowl/table membership from training episode 857.</x:v>
      </x:c>
      <x:c r="P37" s="9" t="str">
        <x:v>Exact trained count transition and scene-object membership. Any object that reaches the requested final count is acceptable.</x:v>
      </x:c>
      <x:c r="Q37" s="9"/>
      <x:c r="R37" s="10"/>
      <x:c r="S37" s="10"/>
      <x:c r="T37" s="9"/>
      <x:c r="U37" s="9"/>
      <x:c r="V37" s="9"/>
      <x:c r="W37" s="9" t="str">
        <x:v>ID-F05</x:v>
      </x:c>
      <x:c r="X37" s="10" t="n">
        <x:v>0</x:v>
      </x:c>
      <x:c r="Y37" s="10" t="n">
        <x:v>1</x:v>
      </x:c>
      <x:c r="Z37" s="9" t="str">
        <x:v>ADD</x:v>
      </x:c>
      <x:c r="AA37" s="9"/>
      <x:c r="AB37" s="9"/>
      <x:c r="AC37" s="9"/>
      <x:c r="AD37" s="9"/>
      <x:c r="AE37" s="9"/>
      <x:c r="AF37" s="9"/>
      <x:c r="AG37" s="9"/>
      <x:c r="AH37" s="9"/>
      <x:c r="AI37" s="11"/>
      <x:c r="AJ37" s="9"/>
      <x:c r="AK37" s="9" t="str">
        <x:v>Eval_Counting.xlsm</x:v>
      </x:c>
      <x:c r="AL37" s="9" t="str">
        <x:v>GR00T</x:v>
      </x:c>
      <x:c r="AM37" s="9" t="n">
        <x:v>18</x:v>
      </x:c>
      <x:c r="AN37" s="9" t="n">
        <x:v>18</x:v>
      </x:c>
    </x:row>
    <x:row r="38">
      <x:c r="A38" s="9" t="str">
        <x:v>Failure</x:v>
      </x:c>
      <x:c r="B38" s="9" t="str">
        <x:v>Counting</x:v>
      </x:c>
      <x:c r="C38" s="10" t="n">
        <x:v>17</x:v>
      </x:c>
      <x:c r="D38" s="9" t="str">
        <x:v>Make the bowl contain exactly two objects.</x:v>
      </x:c>
      <x:c r="E38" s="9" t="str">
        <x:v>Bowl objects: [green pencil sharpener] | Table objects: [yellow block]</x:v>
      </x:c>
      <x:c r="F38" s="9" t="str">
        <x:v>ADD the only table object; finish with 2 objects in the bowl</x:v>
      </x:c>
      <x:c r="G38" s="9" t="str">
        <x:v>went to the yellow block then returned home</x:v>
      </x:c>
      <x:c r="H38" s="9" t="str">
        <x:v>In-distribution concept baseline</x:v>
      </x:c>
      <x:c r="I38" s="9" t="str">
        <x:v>ID-F05</x:v>
      </x:c>
      <x:c r="J38" s="9" t="str">
        <x:v>In-distribution: two via trained 1→2 addition</x:v>
      </x:c>
      <x:c r="K38" s="9"/>
      <x:c r="L38" s="9" t="str">
        <x:v>865</x:v>
      </x:c>
      <x:c r="M38" s="9" t="str">
        <x:v>Exact trained cell: prompt, count transition, and scene-object membership match; physical layout is not copied exactly.</x:v>
      </x:c>
      <x:c r="N38" s="9" t="n">
        <x:v>1</x:v>
      </x:c>
      <x:c r="O38" s="9" t="str">
        <x:v>Recreate the listed bowl/table membership from training episode 865.</x:v>
      </x:c>
      <x:c r="P38" s="9" t="str">
        <x:v>Exact trained count transition and scene-object membership. Any object that reaches the requested final count is acceptable.</x:v>
      </x:c>
      <x:c r="Q38" s="9"/>
      <x:c r="R38" s="10"/>
      <x:c r="S38" s="10"/>
      <x:c r="T38" s="9"/>
      <x:c r="U38" s="9"/>
      <x:c r="V38" s="9"/>
      <x:c r="W38" s="9" t="str">
        <x:v>ID-F05</x:v>
      </x:c>
      <x:c r="X38" s="10" t="n">
        <x:v>1</x:v>
      </x:c>
      <x:c r="Y38" s="10" t="n">
        <x:v>2</x:v>
      </x:c>
      <x:c r="Z38" s="9" t="str">
        <x:v>ADD</x:v>
      </x:c>
      <x:c r="AA38" s="9"/>
      <x:c r="AB38" s="9"/>
      <x:c r="AC38" s="9"/>
      <x:c r="AD38" s="9"/>
      <x:c r="AE38" s="9"/>
      <x:c r="AF38" s="9"/>
      <x:c r="AG38" s="9"/>
      <x:c r="AH38" s="9"/>
      <x:c r="AI38" s="11"/>
      <x:c r="AJ38" s="9"/>
      <x:c r="AK38" s="9" t="str">
        <x:v>Eval_Counting.xlsm</x:v>
      </x:c>
      <x:c r="AL38" s="9" t="str">
        <x:v>GR00T</x:v>
      </x:c>
      <x:c r="AM38" s="9" t="n">
        <x:v>19</x:v>
      </x:c>
      <x:c r="AN38" s="9" t="n">
        <x:v>19</x:v>
      </x:c>
    </x:row>
    <x:row r="39">
      <x:c r="A39" s="9" t="str">
        <x:v>Success</x:v>
      </x:c>
      <x:c r="B39" s="9" t="str">
        <x:v>Counting</x:v>
      </x:c>
      <x:c r="C39" s="10" t="n">
        <x:v>18</x:v>
      </x:c>
      <x:c r="D39" s="9" t="str">
        <x:v>Leave exactly three objects in the bowl.</x:v>
      </x:c>
      <x:c r="E39" s="9" t="str">
        <x:v>Bowl objects: [airplane toy without propellers, blue pen, yellow block, green pencil sharpener] | Table objects: [none]</x:v>
      </x:c>
      <x:c r="F39" s="9" t="str">
        <x:v>REMOVE any one bowl object; finish with 3 objects in the bowl</x:v>
      </x:c>
      <x:c r="G39" s="9" t="str">
        <x:v>picked out the green pencil sharpener</x:v>
      </x:c>
      <x:c r="H39" s="9" t="str">
        <x:v>In-distribution concept baseline</x:v>
      </x:c>
      <x:c r="I39" s="9" t="str">
        <x:v>ID-F05</x:v>
      </x:c>
      <x:c r="J39" s="9" t="str">
        <x:v>In-distribution: three via trained 4→3 removal</x:v>
      </x:c>
      <x:c r="K39" s="9"/>
      <x:c r="L39" s="9" t="str">
        <x:v>994</x:v>
      </x:c>
      <x:c r="M39" s="9" t="str">
        <x:v>Exact trained cell: prompt, count transition, and scene-object membership match; physical layout is not copied exactly.</x:v>
      </x:c>
      <x:c r="N39" s="9" t="n">
        <x:v>1</x:v>
      </x:c>
      <x:c r="O39" s="9" t="str">
        <x:v>Recreate the listed bowl/table membership from training episode 994.</x:v>
      </x:c>
      <x:c r="P39" s="9" t="str">
        <x:v>Exact trained count transition and scene-object membership. Any object that reaches the requested final count is acceptable.</x:v>
      </x:c>
      <x:c r="Q39" s="9"/>
      <x:c r="R39" s="10"/>
      <x:c r="S39" s="10"/>
      <x:c r="T39" s="9"/>
      <x:c r="U39" s="9"/>
      <x:c r="V39" s="9"/>
      <x:c r="W39" s="9" t="str">
        <x:v>ID-F05</x:v>
      </x:c>
      <x:c r="X39" s="10" t="n">
        <x:v>4</x:v>
      </x:c>
      <x:c r="Y39" s="10" t="n">
        <x:v>3</x:v>
      </x:c>
      <x:c r="Z39" s="9" t="str">
        <x:v>REMOVE</x:v>
      </x:c>
      <x:c r="AA39" s="9"/>
      <x:c r="AB39" s="9"/>
      <x:c r="AC39" s="9"/>
      <x:c r="AD39" s="9"/>
      <x:c r="AE39" s="9"/>
      <x:c r="AF39" s="9"/>
      <x:c r="AG39" s="9"/>
      <x:c r="AH39" s="9"/>
      <x:c r="AI39" s="11"/>
      <x:c r="AJ39" s="9"/>
      <x:c r="AK39" s="9" t="str">
        <x:v>Eval_Counting.xlsm</x:v>
      </x:c>
      <x:c r="AL39" s="9" t="str">
        <x:v>GR00T</x:v>
      </x:c>
      <x:c r="AM39" s="9" t="n">
        <x:v>20</x:v>
      </x:c>
      <x:c r="AN39" s="9" t="n">
        <x:v>20</x:v>
      </x:c>
    </x:row>
    <x:row r="40">
      <x:c r="A40" s="9" t="str">
        <x:v>Failure</x:v>
      </x:c>
      <x:c r="B40" s="9" t="str">
        <x:v>Counting</x:v>
      </x:c>
      <x:c r="C40" s="10" t="n">
        <x:v>19</x:v>
      </x:c>
      <x:c r="D40" s="9" t="str">
        <x:v>Make the bowl contain exactly zero objects.</x:v>
      </x:c>
      <x:c r="E40" s="9" t="str">
        <x:v>Bowl objects: [yellow block] | Table objects: [none]</x:v>
      </x:c>
      <x:c r="F40" s="9" t="str">
        <x:v>REMOVE the only bowl object; finish with 0 objects in the bowl</x:v>
      </x:c>
      <x:c r="G40" s="9" t="str">
        <x:v>didn't move</x:v>
      </x:c>
      <x:c r="H40" s="9" t="str">
        <x:v>In-distribution concept baseline</x:v>
      </x:c>
      <x:c r="I40" s="9" t="str">
        <x:v>ID-F05</x:v>
      </x:c>
      <x:c r="J40" s="9" t="str">
        <x:v>In-distribution: zero via trained 1→0 removal</x:v>
      </x:c>
      <x:c r="K40" s="9"/>
      <x:c r="L40" s="9" t="str">
        <x:v>880</x:v>
      </x:c>
      <x:c r="M40" s="9" t="str">
        <x:v>Exact trained cell: prompt, count transition, and scene-object membership match; physical layout is not copied exactly.</x:v>
      </x:c>
      <x:c r="N40" s="9" t="n">
        <x:v>1</x:v>
      </x:c>
      <x:c r="O40" s="9" t="str">
        <x:v>Recreate the listed bowl/table membership from training episode 880.</x:v>
      </x:c>
      <x:c r="P40" s="9" t="str">
        <x:v>Exact trained count transition and scene-object membership. Any object that reaches the requested final count is acceptable.</x:v>
      </x:c>
      <x:c r="Q40" s="9"/>
      <x:c r="R40" s="10"/>
      <x:c r="S40" s="10"/>
      <x:c r="T40" s="9"/>
      <x:c r="U40" s="9"/>
      <x:c r="V40" s="9"/>
      <x:c r="W40" s="9" t="str">
        <x:v>ID-F05</x:v>
      </x:c>
      <x:c r="X40" s="10" t="n">
        <x:v>1</x:v>
      </x:c>
      <x:c r="Y40" s="10" t="n">
        <x:v>0</x:v>
      </x:c>
      <x:c r="Z40" s="9" t="str">
        <x:v>REMOVE</x:v>
      </x:c>
      <x:c r="AA40" s="9"/>
      <x:c r="AB40" s="9"/>
      <x:c r="AC40" s="9"/>
      <x:c r="AD40" s="9"/>
      <x:c r="AE40" s="9"/>
      <x:c r="AF40" s="9"/>
      <x:c r="AG40" s="9"/>
      <x:c r="AH40" s="9"/>
      <x:c r="AI40" s="11"/>
      <x:c r="AJ40" s="9"/>
      <x:c r="AK40" s="9" t="str">
        <x:v>Eval_Counting.xlsm</x:v>
      </x:c>
      <x:c r="AL40" s="9" t="str">
        <x:v>GR00T</x:v>
      </x:c>
      <x:c r="AM40" s="9" t="n">
        <x:v>21</x:v>
      </x:c>
      <x:c r="AN40" s="9" t="n">
        <x:v>21</x:v>
      </x:c>
    </x:row>
    <x:row r="41">
      <x:c r="A41" s="9" t="str">
        <x:v>Failure</x:v>
      </x:c>
      <x:c r="B41" s="9" t="str">
        <x:v>Ordinal Reference Ordering</x:v>
      </x:c>
      <x:c r="C41" s="10" t="n">
        <x:v>0</x:v>
      </x:c>
      <x:c r="D41" s="9" t="str">
        <x:v>Put the second object from the right in the bowl.</x:v>
      </x:c>
      <x:c r="E41" s="9" t="str">
        <x:v>L1: blue tape ball, L2: airplane toy with propellers</x:v>
      </x:c>
      <x:c r="F41" s="9" t="str">
        <x:v>blue tape ball</x:v>
      </x:c>
      <x:c r="G41" s="9" t="str">
        <x:v>picked airplane toy; almost didn't let it go</x:v>
      </x:c>
      <x:c r="H41" s="9" t="str">
        <x:v>In-distribution concept baseline</x:v>
      </x:c>
      <x:c r="I41" s="9" t="str">
        <x:v>ID-EXACT01</x:v>
      </x:c>
      <x:c r="J41" s="9" t="str">
        <x:v>Exact training recreation — source episode 658</x:v>
      </x:c>
      <x:c r="K41" s="9"/>
      <x:c r="L41" s="9"/>
      <x:c r="M41" s="9"/>
      <x:c r="N41" s="9" t="str">
        <x:v>1 — In-distribution baselines</x:v>
      </x:c>
      <x:c r="O41" s="9" t="str">
        <x:v>Independently recreate the prompt and ordered object list from training episode 658; do not reuse the preceding baseline scene.</x:v>
      </x:c>
      <x:c r="P41" s="9" t="str">
        <x:v>Exact final prompt and complete left-to-right object order from explicit training episode 658: blue tape ball | airplane toy with propellers.</x:v>
      </x:c>
      <x:c r="Q41" s="9"/>
      <x:c r="R41" s="10" t="n">
        <x:v>2</x:v>
      </x:c>
      <x:c r="S41" s="10"/>
      <x:c r="T41" s="9"/>
      <x:c r="U41" s="9"/>
      <x:c r="V41" s="9"/>
      <x:c r="W41" s="9" t="str">
        <x:v>None — independent exact training recreation</x:v>
      </x:c>
      <x:c r="X41" s="10"/>
      <x:c r="Y41" s="10"/>
      <x:c r="Z41" s="9"/>
      <x:c r="AA41" s="9" t="str">
        <x:v>L1</x:v>
      </x:c>
      <x:c r="AB41" s="9" t="str">
        <x:v>second from right</x:v>
      </x:c>
      <x:c r="AC41" s="9"/>
      <x:c r="AD41" s="9"/>
      <x:c r="AE41" s="9"/>
      <x:c r="AF41" s="9"/>
      <x:c r="AG41" s="9"/>
      <x:c r="AH41" s="9"/>
      <x:c r="AI41" s="11"/>
      <x:c r="AJ41" s="9"/>
      <x:c r="AK41" s="9" t="str">
        <x:v>Eval_Ordinal_Reference_Ordering.xlsm</x:v>
      </x:c>
      <x:c r="AL41" s="9" t="str">
        <x:v>GR00T Results</x:v>
      </x:c>
      <x:c r="AM41" s="9" t="n">
        <x:v>2</x:v>
      </x:c>
      <x:c r="AN41" s="9" t="n">
        <x:v>2</x:v>
      </x:c>
    </x:row>
    <x:row r="42">
      <x:c r="A42" s="9" t="str">
        <x:v>Failure</x:v>
      </x:c>
      <x:c r="B42" s="9" t="str">
        <x:v>Ordinal Reference Ordering</x:v>
      </x:c>
      <x:c r="C42" s="10" t="n">
        <x:v>1</x:v>
      </x:c>
      <x:c r="D42" s="9" t="str">
        <x:v>Put the second object from the left in the bowl.</x:v>
      </x:c>
      <x:c r="E42" s="9" t="str">
        <x:v>L1: blue tape ball, L2: airplane toy with propellers</x:v>
      </x:c>
      <x:c r="F42" s="9" t="str">
        <x:v>airplane toy with propellers</x:v>
      </x:c>
      <x:c r="G42" s="9" t="str">
        <x:v>tried to pick airplane toy, knocked it around a bit and then picked tape ball</x:v>
      </x:c>
      <x:c r="H42" s="9" t="str">
        <x:v>In-distribution concept baseline</x:v>
      </x:c>
      <x:c r="I42" s="9" t="str">
        <x:v>ID-EXACT02</x:v>
      </x:c>
      <x:c r="J42" s="9" t="str">
        <x:v>Exact training recreation — source episode 619</x:v>
      </x:c>
      <x:c r="K42" s="9"/>
      <x:c r="L42" s="9"/>
      <x:c r="M42" s="9"/>
      <x:c r="N42" s="9" t="str">
        <x:v>1 — In-distribution baselines</x:v>
      </x:c>
      <x:c r="O42" s="9" t="str">
        <x:v>Independently recreate the prompt and ordered object list from training episode 619; do not reuse the preceding baseline scene.</x:v>
      </x:c>
      <x:c r="P42" s="9" t="str">
        <x:v>Exact final prompt and complete left-to-right object order from explicit training episode 619: blue tape ball | airplane toy with propellers.</x:v>
      </x:c>
      <x:c r="Q42" s="9"/>
      <x:c r="R42" s="10" t="n">
        <x:v>2</x:v>
      </x:c>
      <x:c r="S42" s="10"/>
      <x:c r="T42" s="9"/>
      <x:c r="U42" s="9"/>
      <x:c r="V42" s="9"/>
      <x:c r="W42" s="9" t="str">
        <x:v>None — independent exact training recreation</x:v>
      </x:c>
      <x:c r="X42" s="10"/>
      <x:c r="Y42" s="10"/>
      <x:c r="Z42" s="9"/>
      <x:c r="AA42" s="9" t="str">
        <x:v>L2</x:v>
      </x:c>
      <x:c r="AB42" s="9" t="str">
        <x:v>second from left</x:v>
      </x:c>
      <x:c r="AC42" s="9"/>
      <x:c r="AD42" s="9"/>
      <x:c r="AE42" s="9"/>
      <x:c r="AF42" s="9"/>
      <x:c r="AG42" s="9"/>
      <x:c r="AH42" s="9"/>
      <x:c r="AI42" s="11"/>
      <x:c r="AJ42" s="9"/>
      <x:c r="AK42" s="9" t="str">
        <x:v>Eval_Ordinal_Reference_Ordering.xlsm</x:v>
      </x:c>
      <x:c r="AL42" s="9" t="str">
        <x:v>GR00T Results</x:v>
      </x:c>
      <x:c r="AM42" s="9" t="n">
        <x:v>3</x:v>
      </x:c>
      <x:c r="AN42" s="9" t="n">
        <x:v>3</x:v>
      </x:c>
    </x:row>
    <x:row r="43">
      <x:c r="A43" s="9" t="str">
        <x:v>Failure</x:v>
      </x:c>
      <x:c r="B43" s="9" t="str">
        <x:v>Ordinal Reference Ordering</x:v>
      </x:c>
      <x:c r="C43" s="10" t="n">
        <x:v>2</x:v>
      </x:c>
      <x:c r="D43" s="9" t="str">
        <x:v>Move the second item counted from the left into the bowl.</x:v>
      </x:c>
      <x:c r="E43" s="9" t="str">
        <x:v>L1: airplane toy with propellers, L2: green highlighter</x:v>
      </x:c>
      <x:c r="F43" s="9" t="str">
        <x:v>green highlighter</x:v>
      </x:c>
      <x:c r="G43" s="9" t="str">
        <x:v>picked airplane toy. </x:v>
      </x:c>
      <x:c r="H43" s="9" t="str">
        <x:v>In-distribution concept baseline</x:v>
      </x:c>
      <x:c r="I43" s="9" t="str">
        <x:v>ID-EXACT03</x:v>
      </x:c>
      <x:c r="J43" s="9" t="str">
        <x:v>Exact training recreation — source episode 719</x:v>
      </x:c>
      <x:c r="K43" s="9"/>
      <x:c r="L43" s="9"/>
      <x:c r="M43" s="9"/>
      <x:c r="N43" s="9" t="str">
        <x:v>1 — In-distribution baselines</x:v>
      </x:c>
      <x:c r="O43" s="9" t="str">
        <x:v>Independently recreate the prompt and ordered object list from training episode 719; do not reuse the preceding baseline scene.</x:v>
      </x:c>
      <x:c r="P43" s="9" t="str">
        <x:v>Exact final prompt and complete left-to-right object order from explicit training episode 719: airplane toy with propellers | green highlighter.</x:v>
      </x:c>
      <x:c r="Q43" s="9"/>
      <x:c r="R43" s="10" t="n">
        <x:v>2</x:v>
      </x:c>
      <x:c r="S43" s="10"/>
      <x:c r="T43" s="9"/>
      <x:c r="U43" s="9"/>
      <x:c r="V43" s="9"/>
      <x:c r="W43" s="9" t="str">
        <x:v>None — independent exact training recreation</x:v>
      </x:c>
      <x:c r="X43" s="10"/>
      <x:c r="Y43" s="10"/>
      <x:c r="Z43" s="9"/>
      <x:c r="AA43" s="9" t="str">
        <x:v>L2</x:v>
      </x:c>
      <x:c r="AB43" s="9" t="str">
        <x:v>second from left</x:v>
      </x:c>
      <x:c r="AC43" s="9"/>
      <x:c r="AD43" s="9"/>
      <x:c r="AE43" s="9"/>
      <x:c r="AF43" s="9"/>
      <x:c r="AG43" s="9"/>
      <x:c r="AH43" s="9"/>
      <x:c r="AI43" s="11"/>
      <x:c r="AJ43" s="9"/>
      <x:c r="AK43" s="9" t="str">
        <x:v>Eval_Ordinal_Reference_Ordering.xlsm</x:v>
      </x:c>
      <x:c r="AL43" s="9" t="str">
        <x:v>GR00T Results</x:v>
      </x:c>
      <x:c r="AM43" s="9" t="n">
        <x:v>4</x:v>
      </x:c>
      <x:c r="AN43" s="9" t="n">
        <x:v>4</x:v>
      </x:c>
    </x:row>
    <x:row r="44">
      <x:c r="A44" s="9" t="str">
        <x:v>Failure</x:v>
      </x:c>
      <x:c r="B44" s="9" t="str">
        <x:v>Ordinal Reference Ordering</x:v>
      </x:c>
      <x:c r="C44" s="10" t="n">
        <x:v>3</x:v>
      </x:c>
      <x:c r="D44" s="9" t="str">
        <x:v>Move the second item counted from the right into the bowl.</x:v>
      </x:c>
      <x:c r="E44" s="9" t="str">
        <x:v>L1: yellow pen, L2: airplane toy with propellers</x:v>
      </x:c>
      <x:c r="F44" s="9" t="str">
        <x:v>yellow pen</x:v>
      </x:c>
      <x:c r="G44" s="9" t="str">
        <x:v>tried grabbing thin air in spot to the right of the airplane toy</x:v>
      </x:c>
      <x:c r="H44" s="9" t="str">
        <x:v>In-distribution concept baseline</x:v>
      </x:c>
      <x:c r="I44" s="9" t="str">
        <x:v>ID-EXACT04</x:v>
      </x:c>
      <x:c r="J44" s="9" t="str">
        <x:v>Exact training recreation — source episode 758</x:v>
      </x:c>
      <x:c r="K44" s="9"/>
      <x:c r="L44" s="9"/>
      <x:c r="M44" s="9"/>
      <x:c r="N44" s="9" t="str">
        <x:v>1 — In-distribution baselines</x:v>
      </x:c>
      <x:c r="O44" s="9" t="str">
        <x:v>Independently recreate the prompt and ordered object list from training episode 758; do not reuse the preceding baseline scene.</x:v>
      </x:c>
      <x:c r="P44" s="9" t="str">
        <x:v>Exact final prompt and complete left-to-right object order from explicit training episode 758: yellow pen | airplane toy with propellers.</x:v>
      </x:c>
      <x:c r="Q44" s="9"/>
      <x:c r="R44" s="10" t="n">
        <x:v>2</x:v>
      </x:c>
      <x:c r="S44" s="10"/>
      <x:c r="T44" s="9"/>
      <x:c r="U44" s="9"/>
      <x:c r="V44" s="9"/>
      <x:c r="W44" s="9" t="str">
        <x:v>None — independent exact training recreation</x:v>
      </x:c>
      <x:c r="X44" s="10"/>
      <x:c r="Y44" s="10"/>
      <x:c r="Z44" s="9"/>
      <x:c r="AA44" s="9" t="str">
        <x:v>L1</x:v>
      </x:c>
      <x:c r="AB44" s="9" t="str">
        <x:v>second from right</x:v>
      </x:c>
      <x:c r="AC44" s="9"/>
      <x:c r="AD44" s="9"/>
      <x:c r="AE44" s="9"/>
      <x:c r="AF44" s="9"/>
      <x:c r="AG44" s="9"/>
      <x:c r="AH44" s="9"/>
      <x:c r="AI44" s="11"/>
      <x:c r="AJ44" s="9"/>
      <x:c r="AK44" s="9" t="str">
        <x:v>Eval_Ordinal_Reference_Ordering.xlsm</x:v>
      </x:c>
      <x:c r="AL44" s="9" t="str">
        <x:v>GR00T Results</x:v>
      </x:c>
      <x:c r="AM44" s="9" t="n">
        <x:v>5</x:v>
      </x:c>
      <x:c r="AN44" s="9" t="n">
        <x:v>5</x:v>
      </x:c>
    </x:row>
    <x:row r="45">
      <x:c r="A45" s="9" t="str">
        <x:v>Failure</x:v>
      </x:c>
      <x:c r="B45" s="9" t="str">
        <x:v>Ordinal Reference Ordering</x:v>
      </x:c>
      <x:c r="C45" s="10" t="n">
        <x:v>4</x:v>
      </x:c>
      <x:c r="D45" s="9" t="str">
        <x:v>Put the third object from the right in the bowl.</x:v>
      </x:c>
      <x:c r="E45" s="9" t="str">
        <x:v>L1: airplane toy with propellers, L2: yellow pen, L3: blue tape ball</x:v>
      </x:c>
      <x:c r="F45" s="9" t="str">
        <x:v>airplane toy with propellers</x:v>
      </x:c>
      <x:c r="G45" s="9" t="str">
        <x:v>picked blue tape ball</x:v>
      </x:c>
      <x:c r="H45" s="9" t="str">
        <x:v>In-distribution concept baseline</x:v>
      </x:c>
      <x:c r="I45" s="9" t="str">
        <x:v>ID-EXACT05</x:v>
      </x:c>
      <x:c r="J45" s="9" t="str">
        <x:v>Exact training recreation — source episode 604</x:v>
      </x:c>
      <x:c r="K45" s="9"/>
      <x:c r="L45" s="9"/>
      <x:c r="M45" s="9"/>
      <x:c r="N45" s="9" t="str">
        <x:v>1 — In-distribution baselines</x:v>
      </x:c>
      <x:c r="O45" s="9" t="str">
        <x:v>Independently recreate the prompt and ordered object list from training episode 604; do not reuse the preceding baseline scene.</x:v>
      </x:c>
      <x:c r="P45" s="9" t="str">
        <x:v>Exact final prompt and complete left-to-right object order from explicit training episode 604: airplane toy with propellers | yellow pen | blue tape ball.</x:v>
      </x:c>
      <x:c r="Q45" s="9"/>
      <x:c r="R45" s="10" t="n">
        <x:v>3</x:v>
      </x:c>
      <x:c r="S45" s="10"/>
      <x:c r="T45" s="9"/>
      <x:c r="U45" s="9"/>
      <x:c r="V45" s="9"/>
      <x:c r="W45" s="9" t="str">
        <x:v>None — independent exact training recreation</x:v>
      </x:c>
      <x:c r="X45" s="10"/>
      <x:c r="Y45" s="10"/>
      <x:c r="Z45" s="9"/>
      <x:c r="AA45" s="9" t="str">
        <x:v>L1</x:v>
      </x:c>
      <x:c r="AB45" s="9" t="str">
        <x:v>third from right</x:v>
      </x:c>
      <x:c r="AC45" s="9"/>
      <x:c r="AD45" s="9"/>
      <x:c r="AE45" s="9"/>
      <x:c r="AF45" s="9"/>
      <x:c r="AG45" s="9"/>
      <x:c r="AH45" s="9"/>
      <x:c r="AI45" s="11"/>
      <x:c r="AJ45" s="9"/>
      <x:c r="AK45" s="9" t="str">
        <x:v>Eval_Ordinal_Reference_Ordering.xlsm</x:v>
      </x:c>
      <x:c r="AL45" s="9" t="str">
        <x:v>GR00T Results</x:v>
      </x:c>
      <x:c r="AM45" s="9" t="n">
        <x:v>6</x:v>
      </x:c>
      <x:c r="AN45" s="9" t="n">
        <x:v>6</x:v>
      </x:c>
    </x:row>
    <x:row r="46">
      <x:c r="A46" s="9" t="str">
        <x:v>Failure</x:v>
      </x:c>
      <x:c r="B46" s="9" t="str">
        <x:v>Ordinal Reference Ordering</x:v>
      </x:c>
      <x:c r="C46" s="10" t="n">
        <x:v>5</x:v>
      </x:c>
      <x:c r="D46" s="9" t="str">
        <x:v>Put the object that is first from the right in the bowl.</x:v>
      </x:c>
      <x:c r="E46" s="9" t="str">
        <x:v>L1: airplane toy with propellers, L2: green highlighter, L3: blue tape ball</x:v>
      </x:c>
      <x:c r="F46" s="9" t="str">
        <x:v>blue tape ball</x:v>
      </x:c>
      <x:c r="G46" s="9" t="str">
        <x:v>picked the green highlighter</x:v>
      </x:c>
      <x:c r="H46" s="9" t="str">
        <x:v>In-distribution concept baseline</x:v>
      </x:c>
      <x:c r="I46" s="9" t="str">
        <x:v>ID-EXACT06</x:v>
      </x:c>
      <x:c r="J46" s="9" t="str">
        <x:v>Exact training recreation — source episode 679</x:v>
      </x:c>
      <x:c r="K46" s="9"/>
      <x:c r="L46" s="9"/>
      <x:c r="M46" s="9"/>
      <x:c r="N46" s="9" t="str">
        <x:v>1 — In-distribution baselines</x:v>
      </x:c>
      <x:c r="O46" s="9" t="str">
        <x:v>Independently recreate the prompt and ordered object list from training episode 679; do not reuse the preceding baseline scene.</x:v>
      </x:c>
      <x:c r="P46" s="9" t="str">
        <x:v>Exact final prompt and complete left-to-right object order from explicit training episode 679: airplane toy with propellers | green highlighter | blue tape ball.</x:v>
      </x:c>
      <x:c r="Q46" s="9"/>
      <x:c r="R46" s="10" t="n">
        <x:v>3</x:v>
      </x:c>
      <x:c r="S46" s="10"/>
      <x:c r="T46" s="9"/>
      <x:c r="U46" s="9"/>
      <x:c r="V46" s="9"/>
      <x:c r="W46" s="9" t="str">
        <x:v>None — independent exact training recreation</x:v>
      </x:c>
      <x:c r="X46" s="10"/>
      <x:c r="Y46" s="10"/>
      <x:c r="Z46" s="9"/>
      <x:c r="AA46" s="9" t="str">
        <x:v>L3</x:v>
      </x:c>
      <x:c r="AB46" s="9" t="str">
        <x:v>first from right</x:v>
      </x:c>
      <x:c r="AC46" s="9"/>
      <x:c r="AD46" s="9"/>
      <x:c r="AE46" s="9"/>
      <x:c r="AF46" s="9"/>
      <x:c r="AG46" s="9"/>
      <x:c r="AH46" s="9"/>
      <x:c r="AI46" s="11"/>
      <x:c r="AJ46" s="9"/>
      <x:c r="AK46" s="9" t="str">
        <x:v>Eval_Ordinal_Reference_Ordering.xlsm</x:v>
      </x:c>
      <x:c r="AL46" s="9" t="str">
        <x:v>GR00T Results</x:v>
      </x:c>
      <x:c r="AM46" s="9" t="n">
        <x:v>7</x:v>
      </x:c>
      <x:c r="AN46" s="9" t="n">
        <x:v>7</x:v>
      </x:c>
    </x:row>
    <x:row r="47">
      <x:c r="A47" s="9" t="str">
        <x:v>Success</x:v>
      </x:c>
      <x:c r="B47" s="9" t="str">
        <x:v>Ordinal Reference Ordering</x:v>
      </x:c>
      <x:c r="C47" s="10" t="n">
        <x:v>6</x:v>
      </x:c>
      <x:c r="D47" s="9" t="str">
        <x:v>Put the object that is third from the left in the bowl.</x:v>
      </x:c>
      <x:c r="E47" s="9" t="str">
        <x:v>L1: green highlighter, L2: blue tape ball, L3: yellow pen</x:v>
      </x:c>
      <x:c r="F47" s="9" t="str">
        <x:v>yellow pen</x:v>
      </x:c>
      <x:c r="G47" s="9"/>
      <x:c r="H47" s="9" t="str">
        <x:v>In-distribution concept baseline</x:v>
      </x:c>
      <x:c r="I47" s="9" t="str">
        <x:v>ID-EXACT07</x:v>
      </x:c>
      <x:c r="J47" s="9" t="str">
        <x:v>Exact training recreation — source episode 784</x:v>
      </x:c>
      <x:c r="K47" s="9"/>
      <x:c r="L47" s="9"/>
      <x:c r="M47" s="9"/>
      <x:c r="N47" s="9" t="str">
        <x:v>1 — In-distribution baselines</x:v>
      </x:c>
      <x:c r="O47" s="9" t="str">
        <x:v>Independently recreate the prompt and ordered object list from training episode 784; do not reuse the preceding baseline scene.</x:v>
      </x:c>
      <x:c r="P47" s="9" t="str">
        <x:v>Exact final prompt and complete left-to-right object order from explicit training episode 784: green highlighter | blue tape ball | yellow pen.</x:v>
      </x:c>
      <x:c r="Q47" s="9"/>
      <x:c r="R47" s="10" t="n">
        <x:v>3</x:v>
      </x:c>
      <x:c r="S47" s="10"/>
      <x:c r="T47" s="9"/>
      <x:c r="U47" s="9"/>
      <x:c r="V47" s="9"/>
      <x:c r="W47" s="9" t="str">
        <x:v>None — independent exact training recreation</x:v>
      </x:c>
      <x:c r="X47" s="10"/>
      <x:c r="Y47" s="10"/>
      <x:c r="Z47" s="9"/>
      <x:c r="AA47" s="9" t="str">
        <x:v>L3</x:v>
      </x:c>
      <x:c r="AB47" s="9" t="str">
        <x:v>third from left</x:v>
      </x:c>
      <x:c r="AC47" s="9"/>
      <x:c r="AD47" s="9"/>
      <x:c r="AE47" s="9"/>
      <x:c r="AF47" s="9"/>
      <x:c r="AG47" s="9"/>
      <x:c r="AH47" s="9"/>
      <x:c r="AI47" s="11"/>
      <x:c r="AJ47" s="9"/>
      <x:c r="AK47" s="9" t="str">
        <x:v>Eval_Ordinal_Reference_Ordering.xlsm</x:v>
      </x:c>
      <x:c r="AL47" s="9" t="str">
        <x:v>GR00T Results</x:v>
      </x:c>
      <x:c r="AM47" s="9" t="n">
        <x:v>8</x:v>
      </x:c>
      <x:c r="AN47" s="9" t="n">
        <x:v>8</x:v>
      </x:c>
    </x:row>
    <x:row r="48">
      <x:c r="A48" s="9" t="str">
        <x:v>Failure</x:v>
      </x:c>
      <x:c r="B48" s="9" t="str">
        <x:v>Ordinal Reference Ordering</x:v>
      </x:c>
      <x:c r="C48" s="10" t="n">
        <x:v>7</x:v>
      </x:c>
      <x:c r="D48" s="9" t="str">
        <x:v>Put the first object from the left in the bowl.</x:v>
      </x:c>
      <x:c r="E48" s="9" t="str">
        <x:v>L1: green highlighter, L2: airplane toy with propellers, L3: blue tape ball</x:v>
      </x:c>
      <x:c r="F48" s="9" t="str">
        <x:v>green highlighter</x:v>
      </x:c>
      <x:c r="G48" s="9" t="str">
        <x:v>picked airplane toy</x:v>
      </x:c>
      <x:c r="H48" s="9" t="str">
        <x:v>In-distribution concept baseline</x:v>
      </x:c>
      <x:c r="I48" s="9" t="str">
        <x:v>ID-EXACT08</x:v>
      </x:c>
      <x:c r="J48" s="9" t="str">
        <x:v>Exact training recreation — source episode 706</x:v>
      </x:c>
      <x:c r="K48" s="9"/>
      <x:c r="L48" s="9"/>
      <x:c r="M48" s="9"/>
      <x:c r="N48" s="9" t="str">
        <x:v>1 — In-distribution baselines</x:v>
      </x:c>
      <x:c r="O48" s="9" t="str">
        <x:v>Independently recreate the prompt and ordered object list from training episode 706; do not reuse the preceding baseline scene.</x:v>
      </x:c>
      <x:c r="P48" s="9" t="str">
        <x:v>Exact final prompt and complete left-to-right object order from explicit training episode 706: green highlighter | airplane toy with propellers | blue tape ball.</x:v>
      </x:c>
      <x:c r="Q48" s="9"/>
      <x:c r="R48" s="10" t="n">
        <x:v>3</x:v>
      </x:c>
      <x:c r="S48" s="10"/>
      <x:c r="T48" s="9"/>
      <x:c r="U48" s="9"/>
      <x:c r="V48" s="9"/>
      <x:c r="W48" s="9" t="str">
        <x:v>None — independent exact training recreation</x:v>
      </x:c>
      <x:c r="X48" s="10"/>
      <x:c r="Y48" s="10"/>
      <x:c r="Z48" s="9"/>
      <x:c r="AA48" s="9" t="str">
        <x:v>L1</x:v>
      </x:c>
      <x:c r="AB48" s="9" t="str">
        <x:v>first from left</x:v>
      </x:c>
      <x:c r="AC48" s="9"/>
      <x:c r="AD48" s="9"/>
      <x:c r="AE48" s="9"/>
      <x:c r="AF48" s="9"/>
      <x:c r="AG48" s="9"/>
      <x:c r="AH48" s="9"/>
      <x:c r="AI48" s="11"/>
      <x:c r="AJ48" s="9"/>
      <x:c r="AK48" s="9" t="str">
        <x:v>Eval_Ordinal_Reference_Ordering.xlsm</x:v>
      </x:c>
      <x:c r="AL48" s="9" t="str">
        <x:v>GR00T Results</x:v>
      </x:c>
      <x:c r="AM48" s="9" t="n">
        <x:v>9</x:v>
      </x:c>
      <x:c r="AN48" s="9" t="n">
        <x:v>9</x:v>
      </x:c>
    </x:row>
    <x:row r="49">
      <x:c r="A49" s="9" t="str">
        <x:v>Failure</x:v>
      </x:c>
      <x:c r="B49" s="9" t="str">
        <x:v>Ordinal Reference Ordering</x:v>
      </x:c>
      <x:c r="C49" s="10" t="n">
        <x:v>8</x:v>
      </x:c>
      <x:c r="D49" s="9" t="str">
        <x:v>Put the fourth object from the right in the bowl.</x:v>
      </x:c>
      <x:c r="E49" s="9" t="str">
        <x:v>L1: blue tape ball, L2: green highlighter, L3: airplane toy with propellers, L4: yellow pen</x:v>
      </x:c>
      <x:c r="F49" s="9" t="str">
        <x:v>blue tape ball</x:v>
      </x:c>
      <x:c r="G49" s="9" t="str">
        <x:v>picked airplane toy</x:v>
      </x:c>
      <x:c r="H49" s="9" t="str">
        <x:v>In-distribution concept baseline</x:v>
      </x:c>
      <x:c r="I49" s="9" t="str">
        <x:v>ID-EXACT09</x:v>
      </x:c>
      <x:c r="J49" s="9" t="str">
        <x:v>Exact training recreation — source episode 652</x:v>
      </x:c>
      <x:c r="K49" s="9"/>
      <x:c r="L49" s="9"/>
      <x:c r="M49" s="9"/>
      <x:c r="N49" s="9" t="str">
        <x:v>1 — In-distribution baselines</x:v>
      </x:c>
      <x:c r="O49" s="9" t="str">
        <x:v>Independently recreate the prompt and ordered object list from training episode 652; do not reuse the preceding baseline scene.</x:v>
      </x:c>
      <x:c r="P49" s="9" t="str">
        <x:v>Exact final prompt and complete left-to-right object order from explicit training episode 652: blue tape ball | green highlighter | airplane toy with propellers | yellow pen.</x:v>
      </x:c>
      <x:c r="Q49" s="9"/>
      <x:c r="R49" s="10" t="n">
        <x:v>4</x:v>
      </x:c>
      <x:c r="S49" s="10"/>
      <x:c r="T49" s="9"/>
      <x:c r="U49" s="9"/>
      <x:c r="V49" s="9"/>
      <x:c r="W49" s="9" t="str">
        <x:v>None — independent exact training recreation</x:v>
      </x:c>
      <x:c r="X49" s="10"/>
      <x:c r="Y49" s="10"/>
      <x:c r="Z49" s="9"/>
      <x:c r="AA49" s="9" t="str">
        <x:v>L1</x:v>
      </x:c>
      <x:c r="AB49" s="9" t="str">
        <x:v>fourth from right</x:v>
      </x:c>
      <x:c r="AC49" s="9"/>
      <x:c r="AD49" s="9"/>
      <x:c r="AE49" s="9"/>
      <x:c r="AF49" s="9"/>
      <x:c r="AG49" s="9"/>
      <x:c r="AH49" s="9"/>
      <x:c r="AI49" s="11"/>
      <x:c r="AJ49" s="9"/>
      <x:c r="AK49" s="9" t="str">
        <x:v>Eval_Ordinal_Reference_Ordering.xlsm</x:v>
      </x:c>
      <x:c r="AL49" s="9" t="str">
        <x:v>GR00T Results</x:v>
      </x:c>
      <x:c r="AM49" s="9" t="n">
        <x:v>10</x:v>
      </x:c>
      <x:c r="AN49" s="9" t="n">
        <x:v>10</x:v>
      </x:c>
    </x:row>
    <x:row r="50">
      <x:c r="A50" s="9" t="str">
        <x:v>Failure</x:v>
      </x:c>
      <x:c r="B50" s="9" t="str">
        <x:v>Ordinal Reference Ordering</x:v>
      </x:c>
      <x:c r="C50" s="10" t="n">
        <x:v>9</x:v>
      </x:c>
      <x:c r="D50" s="9" t="str">
        <x:v>Put the second object from the left in the bowl.</x:v>
      </x:c>
      <x:c r="E50" s="9" t="str">
        <x:v>L1: blue tape ball, L2: airplane toy with propellers, L3: yellow pen, L4: green highlighter</x:v>
      </x:c>
      <x:c r="F50" s="9" t="str">
        <x:v>airplane toy with propellers</x:v>
      </x:c>
      <x:c r="G50" s="9" t="str">
        <x:v>picked yellow pen</x:v>
      </x:c>
      <x:c r="H50" s="9" t="str">
        <x:v>In-distribution concept baseline</x:v>
      </x:c>
      <x:c r="I50" s="9" t="str">
        <x:v>ID-EXACT10</x:v>
      </x:c>
      <x:c r="J50" s="9" t="str">
        <x:v>Exact training recreation — source episode 614</x:v>
      </x:c>
      <x:c r="K50" s="9"/>
      <x:c r="L50" s="9"/>
      <x:c r="M50" s="9"/>
      <x:c r="N50" s="9" t="str">
        <x:v>1 — In-distribution baselines</x:v>
      </x:c>
      <x:c r="O50" s="9" t="str">
        <x:v>Independently recreate the prompt and ordered object list from training episode 614; do not reuse the preceding baseline scene.</x:v>
      </x:c>
      <x:c r="P50" s="9" t="str">
        <x:v>Exact final prompt and complete left-to-right object order from explicit training episode 614: blue tape ball | airplane toy with propellers | yellow pen | green highlighter.</x:v>
      </x:c>
      <x:c r="Q50" s="9"/>
      <x:c r="R50" s="10" t="n">
        <x:v>4</x:v>
      </x:c>
      <x:c r="S50" s="10"/>
      <x:c r="T50" s="9"/>
      <x:c r="U50" s="9"/>
      <x:c r="V50" s="9"/>
      <x:c r="W50" s="9" t="str">
        <x:v>None — independent exact training recreation</x:v>
      </x:c>
      <x:c r="X50" s="10"/>
      <x:c r="Y50" s="10"/>
      <x:c r="Z50" s="9"/>
      <x:c r="AA50" s="9" t="str">
        <x:v>L2</x:v>
      </x:c>
      <x:c r="AB50" s="9" t="str">
        <x:v>second from left</x:v>
      </x:c>
      <x:c r="AC50" s="9"/>
      <x:c r="AD50" s="9"/>
      <x:c r="AE50" s="9"/>
      <x:c r="AF50" s="9"/>
      <x:c r="AG50" s="9"/>
      <x:c r="AH50" s="9"/>
      <x:c r="AI50" s="11"/>
      <x:c r="AJ50" s="9"/>
      <x:c r="AK50" s="9" t="str">
        <x:v>Eval_Ordinal_Reference_Ordering.xlsm</x:v>
      </x:c>
      <x:c r="AL50" s="9" t="str">
        <x:v>GR00T Results</x:v>
      </x:c>
      <x:c r="AM50" s="9" t="n">
        <x:v>11</x:v>
      </x:c>
      <x:c r="AN50" s="9" t="n">
        <x:v>11</x:v>
      </x:c>
    </x:row>
    <x:row r="51">
      <x:c r="A51" s="9" t="str">
        <x:v>Success</x:v>
      </x:c>
      <x:c r="B51" s="9" t="str">
        <x:v>Ordinal Reference Ordering</x:v>
      </x:c>
      <x:c r="C51" s="10" t="n">
        <x:v>10</x:v>
      </x:c>
      <x:c r="D51" s="9" t="str">
        <x:v>Pick up the object that is second from the left and place it in the bowl.</x:v>
      </x:c>
      <x:c r="E51" s="9" t="str">
        <x:v>L1: blue tape ball, L2: yellow pen, L3: green highlighter, L4: airplane toy with propellers</x:v>
      </x:c>
      <x:c r="F51" s="9" t="str">
        <x:v>yellow pen</x:v>
      </x:c>
      <x:c r="G51" s="9"/>
      <x:c r="H51" s="9" t="str">
        <x:v>In-distribution concept baseline</x:v>
      </x:c>
      <x:c r="I51" s="9" t="str">
        <x:v>ID-EXACT11</x:v>
      </x:c>
      <x:c r="J51" s="9" t="str">
        <x:v>Exact training recreation — source episode 765</x:v>
      </x:c>
      <x:c r="K51" s="9"/>
      <x:c r="L51" s="9"/>
      <x:c r="M51" s="9"/>
      <x:c r="N51" s="9" t="str">
        <x:v>1 — In-distribution baselines</x:v>
      </x:c>
      <x:c r="O51" s="9" t="str">
        <x:v>Independently recreate the prompt and ordered object list from training episode 765; do not reuse the preceding baseline scene.</x:v>
      </x:c>
      <x:c r="P51" s="9" t="str">
        <x:v>Exact final prompt and complete left-to-right object order from explicit training episode 765: blue tape ball | yellow pen | green highlighter | airplane toy with propellers.</x:v>
      </x:c>
      <x:c r="Q51" s="9"/>
      <x:c r="R51" s="10" t="n">
        <x:v>4</x:v>
      </x:c>
      <x:c r="S51" s="10"/>
      <x:c r="T51" s="9"/>
      <x:c r="U51" s="9"/>
      <x:c r="V51" s="9"/>
      <x:c r="W51" s="9" t="str">
        <x:v>None — independent exact training recreation</x:v>
      </x:c>
      <x:c r="X51" s="10"/>
      <x:c r="Y51" s="10"/>
      <x:c r="Z51" s="9"/>
      <x:c r="AA51" s="9" t="str">
        <x:v>L2</x:v>
      </x:c>
      <x:c r="AB51" s="9" t="str">
        <x:v>second from left</x:v>
      </x:c>
      <x:c r="AC51" s="9"/>
      <x:c r="AD51" s="9"/>
      <x:c r="AE51" s="9"/>
      <x:c r="AF51" s="9"/>
      <x:c r="AG51" s="9"/>
      <x:c r="AH51" s="9"/>
      <x:c r="AI51" s="11"/>
      <x:c r="AJ51" s="9"/>
      <x:c r="AK51" s="9" t="str">
        <x:v>Eval_Ordinal_Reference_Ordering.xlsm</x:v>
      </x:c>
      <x:c r="AL51" s="9" t="str">
        <x:v>GR00T Results</x:v>
      </x:c>
      <x:c r="AM51" s="9" t="n">
        <x:v>12</x:v>
      </x:c>
      <x:c r="AN51" s="9" t="n">
        <x:v>12</x:v>
      </x:c>
    </x:row>
    <x:row r="52">
      <x:c r="A52" s="9" t="str">
        <x:v>Failure</x:v>
      </x:c>
      <x:c r="B52" s="9" t="str">
        <x:v>Ordinal Reference Ordering</x:v>
      </x:c>
      <x:c r="C52" s="10" t="n">
        <x:v>11</x:v>
      </x:c>
      <x:c r="D52" s="9" t="str">
        <x:v>Pick up the object that is fourth from the right and place it in the bowl.</x:v>
      </x:c>
      <x:c r="E52" s="9" t="str">
        <x:v>L1: green highlighter, L2: airplane toy with propellers, L3: yellow pen, L4: blue tape ball</x:v>
      </x:c>
      <x:c r="F52" s="9" t="str">
        <x:v>green highlighter</x:v>
      </x:c>
      <x:c r="G52" s="9" t="str">
        <x:v>picked the airplane toy</x:v>
      </x:c>
      <x:c r="H52" s="9" t="str">
        <x:v>In-distribution concept baseline</x:v>
      </x:c>
      <x:c r="I52" s="9" t="str">
        <x:v>ID-EXACT12</x:v>
      </x:c>
      <x:c r="J52" s="9" t="str">
        <x:v>Exact training recreation — source episode 701</x:v>
      </x:c>
      <x:c r="K52" s="9"/>
      <x:c r="L52" s="9"/>
      <x:c r="M52" s="9"/>
      <x:c r="N52" s="9" t="str">
        <x:v>1 — In-distribution baselines</x:v>
      </x:c>
      <x:c r="O52" s="9" t="str">
        <x:v>Independently recreate the prompt and ordered object list from training episode 701; do not reuse the preceding baseline scene.</x:v>
      </x:c>
      <x:c r="P52" s="9" t="str">
        <x:v>Exact final prompt and complete left-to-right object order from explicit training episode 701: green highlighter | airplane toy with propellers | yellow pen | blue tape ball.</x:v>
      </x:c>
      <x:c r="Q52" s="9"/>
      <x:c r="R52" s="10" t="n">
        <x:v>4</x:v>
      </x:c>
      <x:c r="S52" s="10"/>
      <x:c r="T52" s="9"/>
      <x:c r="U52" s="9"/>
      <x:c r="V52" s="9"/>
      <x:c r="W52" s="9" t="str">
        <x:v>None — independent exact training recreation</x:v>
      </x:c>
      <x:c r="X52" s="10"/>
      <x:c r="Y52" s="10"/>
      <x:c r="Z52" s="9"/>
      <x:c r="AA52" s="9" t="str">
        <x:v>L1</x:v>
      </x:c>
      <x:c r="AB52" s="9" t="str">
        <x:v>fourth from right</x:v>
      </x:c>
      <x:c r="AC52" s="9"/>
      <x:c r="AD52" s="9"/>
      <x:c r="AE52" s="9"/>
      <x:c r="AF52" s="9"/>
      <x:c r="AG52" s="9"/>
      <x:c r="AH52" s="9"/>
      <x:c r="AI52" s="11"/>
      <x:c r="AJ52" s="9"/>
      <x:c r="AK52" s="9" t="str">
        <x:v>Eval_Ordinal_Reference_Ordering.xlsm</x:v>
      </x:c>
      <x:c r="AL52" s="9" t="str">
        <x:v>GR00T Results</x:v>
      </x:c>
      <x:c r="AM52" s="9" t="n">
        <x:v>13</x:v>
      </x:c>
      <x:c r="AN52" s="9" t="n">
        <x:v>13</x:v>
      </x:c>
    </x:row>
    <x:row r="53">
      <x:c r="A53" s="9" t="str">
        <x:v>Failure</x:v>
      </x:c>
      <x:c r="B53" s="9" t="str">
        <x:v>Ordinal Reference Ordering</x:v>
      </x:c>
      <x:c r="C53" s="10" t="n">
        <x:v>12</x:v>
      </x:c>
      <x:c r="D53" s="9" t="str">
        <x:v>Move the first item counted from the left into the bowl.</x:v>
      </x:c>
      <x:c r="E53" s="9" t="str">
        <x:v>L1: yellow pen, L2: airplane toy with propellers, L3: blue tape ball, L4: green highlighter</x:v>
      </x:c>
      <x:c r="F53" s="9" t="str">
        <x:v>yellow pen</x:v>
      </x:c>
      <x:c r="G53" s="9" t="str">
        <x:v>picked green highlighter</x:v>
      </x:c>
      <x:c r="H53" s="9" t="str">
        <x:v>In-distribution concept baseline</x:v>
      </x:c>
      <x:c r="I53" s="9" t="str">
        <x:v>ID-EXACT13</x:v>
      </x:c>
      <x:c r="J53" s="9" t="str">
        <x:v>Exact training recreation — source episode 750</x:v>
      </x:c>
      <x:c r="K53" s="9"/>
      <x:c r="L53" s="9"/>
      <x:c r="M53" s="9"/>
      <x:c r="N53" s="9" t="str">
        <x:v>1 — In-distribution baselines</x:v>
      </x:c>
      <x:c r="O53" s="9" t="str">
        <x:v>Independently recreate the prompt and ordered object list from training episode 750; do not reuse the preceding baseline scene.</x:v>
      </x:c>
      <x:c r="P53" s="9" t="str">
        <x:v>Exact final prompt and complete left-to-right object order from explicit training episode 750: yellow pen | airplane toy with propellers | blue tape ball | green highlighter.</x:v>
      </x:c>
      <x:c r="Q53" s="9"/>
      <x:c r="R53" s="10" t="n">
        <x:v>4</x:v>
      </x:c>
      <x:c r="S53" s="10"/>
      <x:c r="T53" s="9"/>
      <x:c r="U53" s="9"/>
      <x:c r="V53" s="9"/>
      <x:c r="W53" s="9" t="str">
        <x:v>None — independent exact training recreation</x:v>
      </x:c>
      <x:c r="X53" s="10"/>
      <x:c r="Y53" s="10"/>
      <x:c r="Z53" s="9"/>
      <x:c r="AA53" s="9" t="str">
        <x:v>L1</x:v>
      </x:c>
      <x:c r="AB53" s="9" t="str">
        <x:v>first from left</x:v>
      </x:c>
      <x:c r="AC53" s="9"/>
      <x:c r="AD53" s="9"/>
      <x:c r="AE53" s="9"/>
      <x:c r="AF53" s="9"/>
      <x:c r="AG53" s="9"/>
      <x:c r="AH53" s="9"/>
      <x:c r="AI53" s="11"/>
      <x:c r="AJ53" s="9"/>
      <x:c r="AK53" s="9" t="str">
        <x:v>Eval_Ordinal_Reference_Ordering.xlsm</x:v>
      </x:c>
      <x:c r="AL53" s="9" t="str">
        <x:v>GR00T Results</x:v>
      </x:c>
      <x:c r="AM53" s="9" t="n">
        <x:v>14</x:v>
      </x:c>
      <x:c r="AN53" s="9" t="n">
        <x:v>14</x:v>
      </x:c>
    </x:row>
    <x:row r="54">
      <x:c r="A54" s="9" t="str">
        <x:v>Success</x:v>
      </x:c>
      <x:c r="B54" s="9" t="str">
        <x:v>Ordinal Reference Ordering</x:v>
      </x:c>
      <x:c r="C54" s="10" t="n">
        <x:v>13</x:v>
      </x:c>
      <x:c r="D54" s="9" t="str">
        <x:v>Move the third item counted from the right into the bowl.</x:v>
      </x:c>
      <x:c r="E54" s="9" t="str">
        <x:v>L1: blue tape ball, L2: green highlighter, L3: yellow pen, L4: airplane toy with propellers</x:v>
      </x:c>
      <x:c r="F54" s="9" t="str">
        <x:v>green highlighter</x:v>
      </x:c>
      <x:c r="G54" s="9"/>
      <x:c r="H54" s="9" t="str">
        <x:v>In-distribution concept baseline</x:v>
      </x:c>
      <x:c r="I54" s="9" t="str">
        <x:v>ID-EXACT14</x:v>
      </x:c>
      <x:c r="J54" s="9" t="str">
        <x:v>Exact training recreation — source episode 716</x:v>
      </x:c>
      <x:c r="K54" s="9"/>
      <x:c r="L54" s="9"/>
      <x:c r="M54" s="9"/>
      <x:c r="N54" s="9" t="str">
        <x:v>1 — In-distribution baselines</x:v>
      </x:c>
      <x:c r="O54" s="9" t="str">
        <x:v>Independently recreate the prompt and ordered object list from training episode 716; do not reuse the preceding baseline scene.</x:v>
      </x:c>
      <x:c r="P54" s="9" t="str">
        <x:v>Exact final prompt and complete left-to-right object order from explicit training episode 716: blue tape ball | green highlighter | yellow pen | airplane toy with propellers.</x:v>
      </x:c>
      <x:c r="Q54" s="9"/>
      <x:c r="R54" s="10" t="n">
        <x:v>4</x:v>
      </x:c>
      <x:c r="S54" s="10"/>
      <x:c r="T54" s="9"/>
      <x:c r="U54" s="9"/>
      <x:c r="V54" s="9"/>
      <x:c r="W54" s="9" t="str">
        <x:v>None — independent exact training recreation</x:v>
      </x:c>
      <x:c r="X54" s="10"/>
      <x:c r="Y54" s="10"/>
      <x:c r="Z54" s="9"/>
      <x:c r="AA54" s="9" t="str">
        <x:v>L2</x:v>
      </x:c>
      <x:c r="AB54" s="9" t="str">
        <x:v>third from right</x:v>
      </x:c>
      <x:c r="AC54" s="9"/>
      <x:c r="AD54" s="9"/>
      <x:c r="AE54" s="9"/>
      <x:c r="AF54" s="9"/>
      <x:c r="AG54" s="9"/>
      <x:c r="AH54" s="9"/>
      <x:c r="AI54" s="11"/>
      <x:c r="AJ54" s="9"/>
      <x:c r="AK54" s="9" t="str">
        <x:v>Eval_Ordinal_Reference_Ordering.xlsm</x:v>
      </x:c>
      <x:c r="AL54" s="9" t="str">
        <x:v>GR00T Results</x:v>
      </x:c>
      <x:c r="AM54" s="9" t="n">
        <x:v>15</x:v>
      </x:c>
      <x:c r="AN54" s="9" t="n">
        <x:v>15</x:v>
      </x:c>
    </x:row>
    <x:row r="55">
      <x:c r="A55" s="9" t="str">
        <x:v>Failure</x:v>
      </x:c>
      <x:c r="B55" s="9" t="str">
        <x:v>Ordinal Reference Ordering</x:v>
      </x:c>
      <x:c r="C55" s="10" t="n">
        <x:v>14</x:v>
      </x:c>
      <x:c r="D55" s="9" t="str">
        <x:v>Move the fourth from the left object into the bowl.</x:v>
      </x:c>
      <x:c r="E55" s="9" t="str">
        <x:v>L1: airplane toy with propellers, L2: blue tape ball, L3: yellow pen, L4: green highlighter</x:v>
      </x:c>
      <x:c r="F55" s="9" t="str">
        <x:v>green highlighter</x:v>
      </x:c>
      <x:c r="G55" s="9" t="str">
        <x:v>picked yellow pen</x:v>
      </x:c>
      <x:c r="H55" s="9" t="str">
        <x:v>In-distribution concept baseline</x:v>
      </x:c>
      <x:c r="I55" s="9" t="str">
        <x:v>ID-EXACT15</x:v>
      </x:c>
      <x:c r="J55" s="9" t="str">
        <x:v>Exact training recreation — source episode 738</x:v>
      </x:c>
      <x:c r="K55" s="9"/>
      <x:c r="L55" s="9"/>
      <x:c r="M55" s="9"/>
      <x:c r="N55" s="9" t="str">
        <x:v>1 — In-distribution baselines</x:v>
      </x:c>
      <x:c r="O55" s="9" t="str">
        <x:v>Independently recreate the prompt and ordered object list from training episode 738; do not reuse the preceding baseline scene.</x:v>
      </x:c>
      <x:c r="P55" s="9" t="str">
        <x:v>Exact final prompt and complete left-to-right object order from explicit training episode 738: airplane toy with propellers | blue tape ball | yellow pen | green highlighter.</x:v>
      </x:c>
      <x:c r="Q55" s="9"/>
      <x:c r="R55" s="10" t="n">
        <x:v>4</x:v>
      </x:c>
      <x:c r="S55" s="10"/>
      <x:c r="T55" s="9"/>
      <x:c r="U55" s="9"/>
      <x:c r="V55" s="9"/>
      <x:c r="W55" s="9" t="str">
        <x:v>None — independent exact training recreation</x:v>
      </x:c>
      <x:c r="X55" s="10"/>
      <x:c r="Y55" s="10"/>
      <x:c r="Z55" s="9"/>
      <x:c r="AA55" s="9" t="str">
        <x:v>L4</x:v>
      </x:c>
      <x:c r="AB55" s="9" t="str">
        <x:v>fourth from left</x:v>
      </x:c>
      <x:c r="AC55" s="9"/>
      <x:c r="AD55" s="9"/>
      <x:c r="AE55" s="9"/>
      <x:c r="AF55" s="9"/>
      <x:c r="AG55" s="9"/>
      <x:c r="AH55" s="9"/>
      <x:c r="AI55" s="11"/>
      <x:c r="AJ55" s="9"/>
      <x:c r="AK55" s="9" t="str">
        <x:v>Eval_Ordinal_Reference_Ordering.xlsm</x:v>
      </x:c>
      <x:c r="AL55" s="9" t="str">
        <x:v>GR00T Results</x:v>
      </x:c>
      <x:c r="AM55" s="9" t="n">
        <x:v>16</x:v>
      </x:c>
      <x:c r="AN55" s="9" t="n">
        <x:v>16</x:v>
      </x:c>
    </x:row>
    <x:row r="56">
      <x:c r="A56" s="9" t="str">
        <x:v>Failure</x:v>
      </x:c>
      <x:c r="B56" s="9" t="str">
        <x:v>Ordinal Reference Ordering</x:v>
      </x:c>
      <x:c r="C56" s="10" t="n">
        <x:v>15</x:v>
      </x:c>
      <x:c r="D56" s="9" t="str">
        <x:v>Move the second from the right object into the bowl.</x:v>
      </x:c>
      <x:c r="E56" s="9" t="str">
        <x:v>L1: green highlighter, L2: blue tape ball, L3: airplane toy with propellers, L4: yellow pen</x:v>
      </x:c>
      <x:c r="F56" s="9" t="str">
        <x:v>airplane toy with propellers</x:v>
      </x:c>
      <x:c r="G56" s="9" t="str">
        <x:v>picked tape ball</x:v>
      </x:c>
      <x:c r="H56" s="9" t="str">
        <x:v>In-distribution concept baseline</x:v>
      </x:c>
      <x:c r="I56" s="9" t="str">
        <x:v>ID-EXACT16</x:v>
      </x:c>
      <x:c r="J56" s="9" t="str">
        <x:v>Exact training recreation — source episode 627</x:v>
      </x:c>
      <x:c r="K56" s="9"/>
      <x:c r="L56" s="9"/>
      <x:c r="M56" s="9"/>
      <x:c r="N56" s="9" t="str">
        <x:v>1 — In-distribution baselines</x:v>
      </x:c>
      <x:c r="O56" s="9" t="str">
        <x:v>Independently recreate the prompt and ordered object list from training episode 627; do not reuse the preceding baseline scene.</x:v>
      </x:c>
      <x:c r="P56" s="9" t="str">
        <x:v>Exact final prompt and complete left-to-right object order from explicit training episode 627: green highlighter | blue tape ball | airplane toy with propellers | yellow pen.</x:v>
      </x:c>
      <x:c r="Q56" s="9"/>
      <x:c r="R56" s="10" t="n">
        <x:v>4</x:v>
      </x:c>
      <x:c r="S56" s="10"/>
      <x:c r="T56" s="9"/>
      <x:c r="U56" s="9"/>
      <x:c r="V56" s="9"/>
      <x:c r="W56" s="9" t="str">
        <x:v>None — independent exact training recreation</x:v>
      </x:c>
      <x:c r="X56" s="10"/>
      <x:c r="Y56" s="10"/>
      <x:c r="Z56" s="9"/>
      <x:c r="AA56" s="9" t="str">
        <x:v>L3</x:v>
      </x:c>
      <x:c r="AB56" s="9" t="str">
        <x:v>second from right</x:v>
      </x:c>
      <x:c r="AC56" s="9"/>
      <x:c r="AD56" s="9"/>
      <x:c r="AE56" s="9"/>
      <x:c r="AF56" s="9"/>
      <x:c r="AG56" s="9"/>
      <x:c r="AH56" s="9"/>
      <x:c r="AI56" s="11"/>
      <x:c r="AJ56" s="9"/>
      <x:c r="AK56" s="9" t="str">
        <x:v>Eval_Ordinal_Reference_Ordering.xlsm</x:v>
      </x:c>
      <x:c r="AL56" s="9" t="str">
        <x:v>GR00T Results</x:v>
      </x:c>
      <x:c r="AM56" s="9" t="n">
        <x:v>17</x:v>
      </x:c>
      <x:c r="AN56" s="9" t="n">
        <x:v>17</x:v>
      </x:c>
    </x:row>
    <x:row r="57">
      <x:c r="A57" s="9" t="str">
        <x:v>Failure</x:v>
      </x:c>
      <x:c r="B57" s="9" t="str">
        <x:v>Ordinal Reference Ordering</x:v>
      </x:c>
      <x:c r="C57" s="10" t="n">
        <x:v>16</x:v>
      </x:c>
      <x:c r="D57" s="9" t="str">
        <x:v>Move the third from the left object into the bowl.</x:v>
      </x:c>
      <x:c r="E57" s="9" t="str">
        <x:v>L1: green highlighter, L2: blue tape ball, L3: yellow pen, L4: airplane toy with propellers</x:v>
      </x:c>
      <x:c r="F57" s="9" t="str">
        <x:v>yellow pen</x:v>
      </x:c>
      <x:c r="G57" s="9" t="str">
        <x:v>picked tape ball</x:v>
      </x:c>
      <x:c r="H57" s="9" t="str">
        <x:v>In-distribution concept baseline</x:v>
      </x:c>
      <x:c r="I57" s="9" t="str">
        <x:v>ID-EXACT17</x:v>
      </x:c>
      <x:c r="J57" s="9" t="str">
        <x:v>Exact training recreation — source episode 786</x:v>
      </x:c>
      <x:c r="K57" s="9"/>
      <x:c r="L57" s="9"/>
      <x:c r="M57" s="9"/>
      <x:c r="N57" s="9" t="str">
        <x:v>1 — In-distribution baselines</x:v>
      </x:c>
      <x:c r="O57" s="9" t="str">
        <x:v>Independently recreate the prompt and ordered object list from training episode 786; do not reuse the preceding baseline scene.</x:v>
      </x:c>
      <x:c r="P57" s="9" t="str">
        <x:v>Exact final prompt and complete left-to-right object order from explicit training episode 786: green highlighter | blue tape ball | yellow pen | airplane toy with propellers.</x:v>
      </x:c>
      <x:c r="Q57" s="9"/>
      <x:c r="R57" s="10" t="n">
        <x:v>4</x:v>
      </x:c>
      <x:c r="S57" s="10"/>
      <x:c r="T57" s="9"/>
      <x:c r="U57" s="9"/>
      <x:c r="V57" s="9"/>
      <x:c r="W57" s="9" t="str">
        <x:v>None — independent exact training recreation</x:v>
      </x:c>
      <x:c r="X57" s="10"/>
      <x:c r="Y57" s="10"/>
      <x:c r="Z57" s="9"/>
      <x:c r="AA57" s="9" t="str">
        <x:v>L3</x:v>
      </x:c>
      <x:c r="AB57" s="9" t="str">
        <x:v>third from left</x:v>
      </x:c>
      <x:c r="AC57" s="9"/>
      <x:c r="AD57" s="9"/>
      <x:c r="AE57" s="9"/>
      <x:c r="AF57" s="9"/>
      <x:c r="AG57" s="9"/>
      <x:c r="AH57" s="9"/>
      <x:c r="AI57" s="11"/>
      <x:c r="AJ57" s="9"/>
      <x:c r="AK57" s="9" t="str">
        <x:v>Eval_Ordinal_Reference_Ordering.xlsm</x:v>
      </x:c>
      <x:c r="AL57" s="9" t="str">
        <x:v>GR00T Results</x:v>
      </x:c>
      <x:c r="AM57" s="9" t="n">
        <x:v>18</x:v>
      </x:c>
      <x:c r="AN57" s="9" t="n">
        <x:v>18</x:v>
      </x:c>
    </x:row>
    <x:row r="58">
      <x:c r="A58" s="9" t="str">
        <x:v>Failure</x:v>
      </x:c>
      <x:c r="B58" s="9" t="str">
        <x:v>Ordinal Reference Ordering</x:v>
      </x:c>
      <x:c r="C58" s="10" t="n">
        <x:v>17</x:v>
      </x:c>
      <x:c r="D58" s="9" t="str">
        <x:v>Move the first from the right object into the bowl.</x:v>
      </x:c>
      <x:c r="E58" s="9" t="str">
        <x:v>L1: airplane toy with propellers, L2: green highlighter, L3: yellow pen, L4: blue tape ball</x:v>
      </x:c>
      <x:c r="F58" s="9" t="str">
        <x:v>blue tape ball</x:v>
      </x:c>
      <x:c r="G58" s="9" t="str">
        <x:v>tried to pick the yellow pen, but couldn't</x:v>
      </x:c>
      <x:c r="H58" s="9" t="str">
        <x:v>In-distribution concept baseline</x:v>
      </x:c>
      <x:c r="I58" s="9" t="str">
        <x:v>ID-EXACT18</x:v>
      </x:c>
      <x:c r="J58" s="9" t="str">
        <x:v>Exact training recreation — source episode 687</x:v>
      </x:c>
      <x:c r="K58" s="9"/>
      <x:c r="L58" s="9"/>
      <x:c r="M58" s="9"/>
      <x:c r="N58" s="9" t="str">
        <x:v>1 — In-distribution baselines</x:v>
      </x:c>
      <x:c r="O58" s="9" t="str">
        <x:v>Independently recreate the prompt and ordered object list from training episode 687; do not reuse the preceding baseline scene.</x:v>
      </x:c>
      <x:c r="P58" s="9" t="str">
        <x:v>Exact final prompt and complete left-to-right object order from explicit training episode 687: airplane toy with propellers | green highlighter | yellow pen | blue tape ball.</x:v>
      </x:c>
      <x:c r="Q58" s="9"/>
      <x:c r="R58" s="10" t="n">
        <x:v>4</x:v>
      </x:c>
      <x:c r="S58" s="10"/>
      <x:c r="T58" s="9"/>
      <x:c r="U58" s="9"/>
      <x:c r="V58" s="9"/>
      <x:c r="W58" s="9" t="str">
        <x:v>None — independent exact training recreation</x:v>
      </x:c>
      <x:c r="X58" s="10"/>
      <x:c r="Y58" s="10"/>
      <x:c r="Z58" s="9"/>
      <x:c r="AA58" s="9" t="str">
        <x:v>L4</x:v>
      </x:c>
      <x:c r="AB58" s="9" t="str">
        <x:v>first from right</x:v>
      </x:c>
      <x:c r="AC58" s="9"/>
      <x:c r="AD58" s="9"/>
      <x:c r="AE58" s="9"/>
      <x:c r="AF58" s="9"/>
      <x:c r="AG58" s="9"/>
      <x:c r="AH58" s="9"/>
      <x:c r="AI58" s="11"/>
      <x:c r="AJ58" s="9"/>
      <x:c r="AK58" s="9" t="str">
        <x:v>Eval_Ordinal_Reference_Ordering.xlsm</x:v>
      </x:c>
      <x:c r="AL58" s="9" t="str">
        <x:v>GR00T Results</x:v>
      </x:c>
      <x:c r="AM58" s="9" t="n">
        <x:v>19</x:v>
      </x:c>
      <x:c r="AN58" s="9" t="n">
        <x:v>19</x:v>
      </x:c>
    </x:row>
    <x:row r="59">
      <x:c r="A59" s="9" t="str">
        <x:v>Failure</x:v>
      </x:c>
      <x:c r="B59" s="9" t="str">
        <x:v>Ordinal Reference Ordering</x:v>
      </x:c>
      <x:c r="C59" s="10" t="n">
        <x:v>18</x:v>
      </x:c>
      <x:c r="D59" s="9" t="str">
        <x:v>Pick up the object that is first from the right and place it in the bowl.</x:v>
      </x:c>
      <x:c r="E59" s="9" t="str">
        <x:v>L1: green highlighter, L2: airplane toy with propellers, L3: yellow pen, L4: blue tape ball</x:v>
      </x:c>
      <x:c r="F59" s="9" t="str">
        <x:v>blue tape ball</x:v>
      </x:c>
      <x:c r="G59" s="9" t="str">
        <x:v>picked airplane toy</x:v>
      </x:c>
      <x:c r="H59" s="9" t="str">
        <x:v>In-distribution concept baseline</x:v>
      </x:c>
      <x:c r="I59" s="9" t="str">
        <x:v>ID-EXACT19</x:v>
      </x:c>
      <x:c r="J59" s="9" t="str">
        <x:v>Exact training recreation — source episode 689</x:v>
      </x:c>
      <x:c r="K59" s="9"/>
      <x:c r="L59" s="9"/>
      <x:c r="M59" s="9"/>
      <x:c r="N59" s="9" t="str">
        <x:v>1 — In-distribution baselines</x:v>
      </x:c>
      <x:c r="O59" s="9" t="str">
        <x:v>Independently recreate the prompt and ordered object list from training episode 689; do not reuse the preceding baseline scene.</x:v>
      </x:c>
      <x:c r="P59" s="9" t="str">
        <x:v>Exact final prompt and complete left-to-right object order from explicit training episode 689: green highlighter | airplane toy with propellers | yellow pen | blue tape ball.</x:v>
      </x:c>
      <x:c r="Q59" s="9"/>
      <x:c r="R59" s="10" t="n">
        <x:v>4</x:v>
      </x:c>
      <x:c r="S59" s="10"/>
      <x:c r="T59" s="9"/>
      <x:c r="U59" s="9"/>
      <x:c r="V59" s="9"/>
      <x:c r="W59" s="9" t="str">
        <x:v>None — independent exact training recreation</x:v>
      </x:c>
      <x:c r="X59" s="10"/>
      <x:c r="Y59" s="10"/>
      <x:c r="Z59" s="9"/>
      <x:c r="AA59" s="9" t="str">
        <x:v>L4</x:v>
      </x:c>
      <x:c r="AB59" s="9" t="str">
        <x:v>first from right</x:v>
      </x:c>
      <x:c r="AC59" s="9"/>
      <x:c r="AD59" s="9"/>
      <x:c r="AE59" s="9"/>
      <x:c r="AF59" s="9"/>
      <x:c r="AG59" s="9"/>
      <x:c r="AH59" s="9"/>
      <x:c r="AI59" s="11"/>
      <x:c r="AJ59" s="9"/>
      <x:c r="AK59" s="9" t="str">
        <x:v>Eval_Ordinal_Reference_Ordering.xlsm</x:v>
      </x:c>
      <x:c r="AL59" s="9" t="str">
        <x:v>GR00T Results</x:v>
      </x:c>
      <x:c r="AM59" s="9" t="n">
        <x:v>20</x:v>
      </x:c>
      <x:c r="AN59" s="9" t="n">
        <x:v>20</x:v>
      </x:c>
    </x:row>
    <x:row r="60">
      <x:c r="A60" s="9" t="str">
        <x:v>Failure</x:v>
      </x:c>
      <x:c r="B60" s="9" t="str">
        <x:v>Ordinal Reference Ordering</x:v>
      </x:c>
      <x:c r="C60" s="10" t="n">
        <x:v>19</x:v>
      </x:c>
      <x:c r="D60" s="9" t="str">
        <x:v>Pick up the object that is third from the left and place it in the bowl.</x:v>
      </x:c>
      <x:c r="E60" s="9" t="str">
        <x:v>L1: blue tape ball, L2: yellow pen, L3: airplane toy with propellers, L4: green highlighter</x:v>
      </x:c>
      <x:c r="F60" s="9" t="str">
        <x:v>airplane toy with propellers</x:v>
      </x:c>
      <x:c r="G60" s="9" t="str">
        <x:v>picked green highlighter</x:v>
      </x:c>
      <x:c r="H60" s="9" t="str">
        <x:v>In-distribution concept baseline</x:v>
      </x:c>
      <x:c r="I60" s="9" t="str">
        <x:v>ID-EXACT20</x:v>
      </x:c>
      <x:c r="J60" s="9" t="str">
        <x:v>Exact training recreation — source episode 626</x:v>
      </x:c>
      <x:c r="K60" s="9"/>
      <x:c r="L60" s="9"/>
      <x:c r="M60" s="9"/>
      <x:c r="N60" s="9" t="str">
        <x:v>1 — In-distribution baselines</x:v>
      </x:c>
      <x:c r="O60" s="9" t="str">
        <x:v>Independently recreate the prompt and ordered object list from training episode 626; do not reuse the preceding baseline scene.</x:v>
      </x:c>
      <x:c r="P60" s="9" t="str">
        <x:v>Exact final prompt and complete left-to-right object order from explicit training episode 626: blue tape ball | yellow pen | airplane toy with propellers | green highlighter.</x:v>
      </x:c>
      <x:c r="Q60" s="9"/>
      <x:c r="R60" s="10" t="n">
        <x:v>4</x:v>
      </x:c>
      <x:c r="S60" s="10"/>
      <x:c r="T60" s="9"/>
      <x:c r="U60" s="9"/>
      <x:c r="V60" s="9"/>
      <x:c r="W60" s="9" t="str">
        <x:v>None — independent exact training recreation</x:v>
      </x:c>
      <x:c r="X60" s="10"/>
      <x:c r="Y60" s="10"/>
      <x:c r="Z60" s="9"/>
      <x:c r="AA60" s="9" t="str">
        <x:v>L3</x:v>
      </x:c>
      <x:c r="AB60" s="9" t="str">
        <x:v>third from left</x:v>
      </x:c>
      <x:c r="AC60" s="9"/>
      <x:c r="AD60" s="9"/>
      <x:c r="AE60" s="9"/>
      <x:c r="AF60" s="9"/>
      <x:c r="AG60" s="9"/>
      <x:c r="AH60" s="9"/>
      <x:c r="AI60" s="11"/>
      <x:c r="AJ60" s="9"/>
      <x:c r="AK60" s="9" t="str">
        <x:v>Eval_Ordinal_Reference_Ordering.xlsm</x:v>
      </x:c>
      <x:c r="AL60" s="9" t="str">
        <x:v>GR00T Results</x:v>
      </x:c>
      <x:c r="AM60" s="9" t="n">
        <x:v>21</x:v>
      </x:c>
      <x:c r="AN60" s="9" t="n">
        <x:v>21</x:v>
      </x:c>
    </x:row>
    <x:row r="61">
      <x:c r="A61" s="9" t="str">
        <x:v>Failure</x:v>
      </x:c>
      <x:c r="B61" s="9" t="str">
        <x:v>Relational Placement</x:v>
      </x:c>
      <x:c r="C61" s="10" t="n">
        <x:v>0</x:v>
      </x:c>
      <x:c r="D61" s="9" t="str">
        <x:v>Move the green pen to the front of the pink marker.</x:v>
      </x:c>
      <x:c r="E61" s="9" t="str">
        <x:v>green pen, pink marker, red block</x:v>
      </x:c>
      <x:c r="F61" s="9" t="str">
        <x:v>green pen → 2–8 cm edge gap in front of pink marker; centroid direction within ±45°.</x:v>
      </x:c>
      <x:c r="G61" s="9" t="str">
        <x:v>moved towards the red block, then went back to home position</x:v>
      </x:c>
      <x:c r="H61" s="9" t="str">
        <x:v>In-distribution concept baseline</x:v>
      </x:c>
      <x:c r="I61" s="9" t="str">
        <x:v>RP-ID-CF01</x:v>
      </x:c>
      <x:c r="J61" s="9" t="str">
        <x:v>Four-way trained-cell counterfactual: front/behind polarity × target/reference role</x:v>
      </x:c>
      <x:c r="K61" s="9"/>
      <x:c r="L61" s="9" t="str">
        <x:v>204</x:v>
      </x:c>
      <x:c r="M61" s="9"/>
      <x:c r="N61" s="9"/>
      <x:c r="O61" s="9" t="str">
        <x:v>Build the listed neutral scene and save the first frame.</x:v>
      </x:c>
      <x:c r="P61" s="9" t="str">
        <x:v>Exact explicitly trained ordered relation-object cell from training episode 204. The four adjacent prompts share one initially unsatisfied scene.</x:v>
      </x:c>
      <x:c r="Q61" s="9"/>
      <x:c r="R61" s="10" t="n">
        <x:v>3</x:v>
      </x:c>
      <x:c r="S61" s="10"/>
      <x:c r="T61" s="9"/>
      <x:c r="U61" s="9"/>
      <x:c r="V61" s="9"/>
      <x:c r="W61" s="9"/>
      <x:c r="X61" s="10"/>
      <x:c r="Y61" s="10"/>
      <x:c r="Z61" s="9"/>
      <x:c r="AA61" s="9"/>
      <x:c r="AB61" s="9"/>
      <x:c r="AC61" s="9" t="str">
        <x:v>front</x:v>
      </x:c>
      <x:c r="AD61" s="9" t="str">
        <x:v>green pen</x:v>
      </x:c>
      <x:c r="AE61" s="9" t="str">
        <x:v>pink marker</x:v>
      </x:c>
      <x:c r="AF61" s="9" t="str">
        <x:v>None</x:v>
      </x:c>
      <x:c r="AG61" s="9"/>
      <x:c r="AH61" s="9"/>
      <x:c r="AI61" s="11"/>
      <x:c r="AJ61" s="9"/>
      <x:c r="AK61" s="9" t="str">
        <x:v>Eval_Relational_Placement (1).xlsm</x:v>
      </x:c>
      <x:c r="AL61" s="9" t="str">
        <x:v>GR00T</x:v>
      </x:c>
      <x:c r="AM61" s="9" t="n">
        <x:v>2</x:v>
      </x:c>
      <x:c r="AN61" s="9" t="n">
        <x:v>2</x:v>
      </x:c>
    </x:row>
    <x:row r="62">
      <x:c r="A62" s="9" t="str">
        <x:v>Failure</x:v>
      </x:c>
      <x:c r="B62" s="9" t="str">
        <x:v>Relational Placement</x:v>
      </x:c>
      <x:c r="C62" s="10" t="n">
        <x:v>1</x:v>
      </x:c>
      <x:c r="D62" s="9" t="str">
        <x:v>Move the green pen to the back of the pink marker.</x:v>
      </x:c>
      <x:c r="E62" s="9" t="str">
        <x:v>green pen, pink marker, red block</x:v>
      </x:c>
      <x:c r="F62" s="9" t="str">
        <x:v>green pen → 2–8 cm edge gap behind pink marker; centroid direction within ±45°.</x:v>
      </x:c>
      <x:c r="G62" s="9" t="str">
        <x:v>moved the red block to the back of the pink marker, then picked it up again and put to the right of the blue block. Then put it in the bowl.</x:v>
      </x:c>
      <x:c r="H62" s="9" t="str">
        <x:v>In-distribution concept baseline</x:v>
      </x:c>
      <x:c r="I62" s="9" t="str">
        <x:v>RP-ID-CF01</x:v>
      </x:c>
      <x:c r="J62" s="9" t="str">
        <x:v>Four-way trained-cell counterfactual: front/behind polarity × target/reference role</x:v>
      </x:c>
      <x:c r="K62" s="9" t="n">
        <x:v>0</x:v>
      </x:c>
      <x:c r="L62" s="9" t="str">
        <x:v>217</x:v>
      </x:c>
      <x:c r="M62" s="9"/>
      <x:c r="N62" s="9"/>
      <x:c r="O62" s="9" t="str">
        <x:v>Reset the moved object to its marked pose; preserve the exact scene and change only the instruction.</x:v>
      </x:c>
      <x:c r="P62" s="9" t="str">
        <x:v>Exact explicitly trained ordered relation-object cell from training episode 217. The four adjacent prompts share one initially unsatisfied scene.</x:v>
      </x:c>
      <x:c r="Q62" s="9"/>
      <x:c r="R62" s="10" t="n">
        <x:v>3</x:v>
      </x:c>
      <x:c r="S62" s="10"/>
      <x:c r="T62" s="9"/>
      <x:c r="U62" s="9"/>
      <x:c r="V62" s="9"/>
      <x:c r="W62" s="9"/>
      <x:c r="X62" s="10"/>
      <x:c r="Y62" s="10"/>
      <x:c r="Z62" s="9"/>
      <x:c r="AA62" s="9"/>
      <x:c r="AB62" s="9"/>
      <x:c r="AC62" s="9" t="str">
        <x:v>behind</x:v>
      </x:c>
      <x:c r="AD62" s="9" t="str">
        <x:v>green pen</x:v>
      </x:c>
      <x:c r="AE62" s="9" t="str">
        <x:v>pink marker</x:v>
      </x:c>
      <x:c r="AF62" s="9" t="str">
        <x:v>None</x:v>
      </x:c>
      <x:c r="AG62" s="9"/>
      <x:c r="AH62" s="9"/>
      <x:c r="AI62" s="11"/>
      <x:c r="AJ62" s="9"/>
      <x:c r="AK62" s="9" t="str">
        <x:v>Eval_Relational_Placement (1).xlsm</x:v>
      </x:c>
      <x:c r="AL62" s="9" t="str">
        <x:v>GR00T</x:v>
      </x:c>
      <x:c r="AM62" s="9" t="n">
        <x:v>3</x:v>
      </x:c>
      <x:c r="AN62" s="9" t="n">
        <x:v>3</x:v>
      </x:c>
    </x:row>
    <x:row r="63">
      <x:c r="A63" s="9" t="str">
        <x:v>Failure</x:v>
      </x:c>
      <x:c r="B63" s="9" t="str">
        <x:v>Relational Placement</x:v>
      </x:c>
      <x:c r="C63" s="10" t="n">
        <x:v>2</x:v>
      </x:c>
      <x:c r="D63" s="9" t="str">
        <x:v>Move the pink marker to the front of the green pen.</x:v>
      </x:c>
      <x:c r="E63" s="9" t="str">
        <x:v>green pen, pink marker, red block</x:v>
      </x:c>
      <x:c r="F63" s="9" t="str">
        <x:v>pink marker → 2–8 cm edge gap in front of green pen; centroid direction within ±45°.</x:v>
      </x:c>
      <x:c r="G63" s="9" t="str">
        <x:v>moved red block to the front of the pink marker</x:v>
      </x:c>
      <x:c r="H63" s="9" t="str">
        <x:v>In-distribution concept baseline</x:v>
      </x:c>
      <x:c r="I63" s="9" t="str">
        <x:v>RP-ID-CF01</x:v>
      </x:c>
      <x:c r="J63" s="9" t="str">
        <x:v>Four-way trained-cell counterfactual: front/behind polarity × target/reference role</x:v>
      </x:c>
      <x:c r="K63" s="9" t="n">
        <x:v>0</x:v>
      </x:c>
      <x:c r="L63" s="9" t="str">
        <x:v>305</x:v>
      </x:c>
      <x:c r="M63" s="9"/>
      <x:c r="N63" s="9"/>
      <x:c r="O63" s="9" t="str">
        <x:v>Reset the moved object to its marked pose; preserve the exact scene and change only the instruction.</x:v>
      </x:c>
      <x:c r="P63" s="9" t="str">
        <x:v>Exact explicitly trained ordered relation-object cell from training episode 305. The four adjacent prompts share one initially unsatisfied scene.</x:v>
      </x:c>
      <x:c r="Q63" s="9"/>
      <x:c r="R63" s="10" t="n">
        <x:v>3</x:v>
      </x:c>
      <x:c r="S63" s="10"/>
      <x:c r="T63" s="9"/>
      <x:c r="U63" s="9"/>
      <x:c r="V63" s="9"/>
      <x:c r="W63" s="9"/>
      <x:c r="X63" s="10"/>
      <x:c r="Y63" s="10"/>
      <x:c r="Z63" s="9"/>
      <x:c r="AA63" s="9"/>
      <x:c r="AB63" s="9"/>
      <x:c r="AC63" s="9" t="str">
        <x:v>front</x:v>
      </x:c>
      <x:c r="AD63" s="9" t="str">
        <x:v>pink marker</x:v>
      </x:c>
      <x:c r="AE63" s="9" t="str">
        <x:v>green pen</x:v>
      </x:c>
      <x:c r="AF63" s="9" t="str">
        <x:v>None</x:v>
      </x:c>
      <x:c r="AG63" s="9"/>
      <x:c r="AH63" s="9"/>
      <x:c r="AI63" s="11"/>
      <x:c r="AJ63" s="9"/>
      <x:c r="AK63" s="9" t="str">
        <x:v>Eval_Relational_Placement (1).xlsm</x:v>
      </x:c>
      <x:c r="AL63" s="9" t="str">
        <x:v>GR00T</x:v>
      </x:c>
      <x:c r="AM63" s="9" t="n">
        <x:v>4</x:v>
      </x:c>
      <x:c r="AN63" s="9" t="n">
        <x:v>4</x:v>
      </x:c>
    </x:row>
    <x:row r="64">
      <x:c r="A64" s="9" t="str">
        <x:v>Failure</x:v>
      </x:c>
      <x:c r="B64" s="9" t="str">
        <x:v>Relational Placement</x:v>
      </x:c>
      <x:c r="C64" s="10" t="n">
        <x:v>3</x:v>
      </x:c>
      <x:c r="D64" s="9" t="str">
        <x:v>Move the pink marker to the back of the green pen.</x:v>
      </x:c>
      <x:c r="E64" s="9" t="str">
        <x:v>green pen, pink marker, red block</x:v>
      </x:c>
      <x:c r="F64" s="9" t="str">
        <x:v>pink marker → 2–8 cm edge gap behind green pen; centroid direction within ±45°.</x:v>
      </x:c>
      <x:c r="G64" s="9" t="str">
        <x:v>slowly turned to pink marker but didn't move</x:v>
      </x:c>
      <x:c r="H64" s="9" t="str">
        <x:v>In-distribution concept baseline</x:v>
      </x:c>
      <x:c r="I64" s="9" t="str">
        <x:v>RP-ID-CF01</x:v>
      </x:c>
      <x:c r="J64" s="9" t="str">
        <x:v>Four-way trained-cell counterfactual: front/behind polarity × target/reference role</x:v>
      </x:c>
      <x:c r="K64" s="9" t="n">
        <x:v>0</x:v>
      </x:c>
      <x:c r="L64" s="9" t="str">
        <x:v>317</x:v>
      </x:c>
      <x:c r="M64" s="9"/>
      <x:c r="N64" s="9"/>
      <x:c r="O64" s="9" t="str">
        <x:v>Reset the moved object to its marked pose; preserve the exact scene and change only the instruction.</x:v>
      </x:c>
      <x:c r="P64" s="9" t="str">
        <x:v>Exact explicitly trained ordered relation-object cell from training episode 317. The four adjacent prompts share one initially unsatisfied scene.</x:v>
      </x:c>
      <x:c r="Q64" s="9"/>
      <x:c r="R64" s="10" t="n">
        <x:v>3</x:v>
      </x:c>
      <x:c r="S64" s="10"/>
      <x:c r="T64" s="9"/>
      <x:c r="U64" s="9"/>
      <x:c r="V64" s="9"/>
      <x:c r="W64" s="9"/>
      <x:c r="X64" s="10"/>
      <x:c r="Y64" s="10"/>
      <x:c r="Z64" s="9"/>
      <x:c r="AA64" s="9"/>
      <x:c r="AB64" s="9"/>
      <x:c r="AC64" s="9" t="str">
        <x:v>behind</x:v>
      </x:c>
      <x:c r="AD64" s="9" t="str">
        <x:v>pink marker</x:v>
      </x:c>
      <x:c r="AE64" s="9" t="str">
        <x:v>green pen</x:v>
      </x:c>
      <x:c r="AF64" s="9" t="str">
        <x:v>None</x:v>
      </x:c>
      <x:c r="AG64" s="9"/>
      <x:c r="AH64" s="9"/>
      <x:c r="AI64" s="11"/>
      <x:c r="AJ64" s="9"/>
      <x:c r="AK64" s="9" t="str">
        <x:v>Eval_Relational_Placement (1).xlsm</x:v>
      </x:c>
      <x:c r="AL64" s="9" t="str">
        <x:v>GR00T</x:v>
      </x:c>
      <x:c r="AM64" s="9" t="n">
        <x:v>5</x:v>
      </x:c>
      <x:c r="AN64" s="9" t="n">
        <x:v>5</x:v>
      </x:c>
    </x:row>
    <x:row r="65">
      <x:c r="A65" s="9" t="str">
        <x:v>Failure</x:v>
      </x:c>
      <x:c r="B65" s="9" t="str">
        <x:v>Relational Placement</x:v>
      </x:c>
      <x:c r="C65" s="10" t="n">
        <x:v>4</x:v>
      </x:c>
      <x:c r="D65" s="9" t="str">
        <x:v>Move the green pen to the front of the blue block.</x:v>
      </x:c>
      <x:c r="E65" s="9" t="str">
        <x:v>green pen, blue block, pink marker, red block</x:v>
      </x:c>
      <x:c r="F65" s="9" t="str">
        <x:v>green pen → 2–8 cm edge gap in front of blue block; centroid direction within ±45°.</x:v>
      </x:c>
      <x:c r="G65" s="9" t="str">
        <x:v>moved the pink marker to the front of the green pen, but didn't release the pink marker</x:v>
      </x:c>
      <x:c r="H65" s="9" t="str">
        <x:v>In-distribution concept baseline</x:v>
      </x:c>
      <x:c r="I65" s="9" t="str">
        <x:v>RP-ID-CF02</x:v>
      </x:c>
      <x:c r="J65" s="9" t="str">
        <x:v>Four-way trained-cell counterfactual: front/behind polarity × target/reference role</x:v>
      </x:c>
      <x:c r="K65" s="9"/>
      <x:c r="L65" s="9" t="str">
        <x:v>208</x:v>
      </x:c>
      <x:c r="M65" s="9"/>
      <x:c r="N65" s="9"/>
      <x:c r="O65" s="9" t="str">
        <x:v>Build the listed neutral scene and save the first frame.</x:v>
      </x:c>
      <x:c r="P65" s="9" t="str">
        <x:v>Exact explicitly trained ordered relation-object cell from training episode 208. The four adjacent prompts share one initially unsatisfied scene.</x:v>
      </x:c>
      <x:c r="Q65" s="9"/>
      <x:c r="R65" s="10" t="n">
        <x:v>4</x:v>
      </x:c>
      <x:c r="S65" s="10"/>
      <x:c r="T65" s="9"/>
      <x:c r="U65" s="9"/>
      <x:c r="V65" s="9"/>
      <x:c r="W65" s="9"/>
      <x:c r="X65" s="10"/>
      <x:c r="Y65" s="10"/>
      <x:c r="Z65" s="9"/>
      <x:c r="AA65" s="9"/>
      <x:c r="AB65" s="9"/>
      <x:c r="AC65" s="9" t="str">
        <x:v>front</x:v>
      </x:c>
      <x:c r="AD65" s="9" t="str">
        <x:v>green pen</x:v>
      </x:c>
      <x:c r="AE65" s="9" t="str">
        <x:v>blue block</x:v>
      </x:c>
      <x:c r="AF65" s="9" t="str">
        <x:v>None</x:v>
      </x:c>
      <x:c r="AG65" s="9"/>
      <x:c r="AH65" s="9"/>
      <x:c r="AI65" s="11"/>
      <x:c r="AJ65" s="9"/>
      <x:c r="AK65" s="9" t="str">
        <x:v>Eval_Relational_Placement (1).xlsm</x:v>
      </x:c>
      <x:c r="AL65" s="9" t="str">
        <x:v>GR00T</x:v>
      </x:c>
      <x:c r="AM65" s="9" t="n">
        <x:v>6</x:v>
      </x:c>
      <x:c r="AN65" s="9" t="n">
        <x:v>6</x:v>
      </x:c>
    </x:row>
    <x:row r="66">
      <x:c r="A66" s="9" t="str">
        <x:v>Failure</x:v>
      </x:c>
      <x:c r="B66" s="9" t="str">
        <x:v>Relational Placement</x:v>
      </x:c>
      <x:c r="C66" s="10" t="n">
        <x:v>5</x:v>
      </x:c>
      <x:c r="D66" s="9" t="str">
        <x:v>Move the green pen to the back of the blue block.</x:v>
      </x:c>
      <x:c r="E66" s="9" t="str">
        <x:v>green pen, blue block, pink marker, red block</x:v>
      </x:c>
      <x:c r="F66" s="9" t="str">
        <x:v>green pen → 2–8 cm edge gap behind blue block; centroid direction within ±45°.</x:v>
      </x:c>
      <x:c r="G66" s="9" t="str">
        <x:v>picked pink marker, then rotated it 90 degrees</x:v>
      </x:c>
      <x:c r="H66" s="9" t="str">
        <x:v>In-distribution concept baseline</x:v>
      </x:c>
      <x:c r="I66" s="9" t="str">
        <x:v>RP-ID-CF02</x:v>
      </x:c>
      <x:c r="J66" s="9" t="str">
        <x:v>Four-way trained-cell counterfactual: front/behind polarity × target/reference role</x:v>
      </x:c>
      <x:c r="K66" s="9" t="n">
        <x:v>4</x:v>
      </x:c>
      <x:c r="L66" s="9" t="str">
        <x:v>221</x:v>
      </x:c>
      <x:c r="M66" s="9"/>
      <x:c r="N66" s="9"/>
      <x:c r="O66" s="9" t="str">
        <x:v>Reset the moved object to its marked pose; preserve the exact scene and change only the instruction.</x:v>
      </x:c>
      <x:c r="P66" s="9" t="str">
        <x:v>Exact explicitly trained ordered relation-object cell from training episode 221. The four adjacent prompts share one initially unsatisfied scene.</x:v>
      </x:c>
      <x:c r="Q66" s="9"/>
      <x:c r="R66" s="10" t="n">
        <x:v>4</x:v>
      </x:c>
      <x:c r="S66" s="10"/>
      <x:c r="T66" s="9"/>
      <x:c r="U66" s="9"/>
      <x:c r="V66" s="9"/>
      <x:c r="W66" s="9"/>
      <x:c r="X66" s="10"/>
      <x:c r="Y66" s="10"/>
      <x:c r="Z66" s="9"/>
      <x:c r="AA66" s="9"/>
      <x:c r="AB66" s="9"/>
      <x:c r="AC66" s="9" t="str">
        <x:v>behind</x:v>
      </x:c>
      <x:c r="AD66" s="9" t="str">
        <x:v>green pen</x:v>
      </x:c>
      <x:c r="AE66" s="9" t="str">
        <x:v>blue block</x:v>
      </x:c>
      <x:c r="AF66" s="9" t="str">
        <x:v>None</x:v>
      </x:c>
      <x:c r="AG66" s="9"/>
      <x:c r="AH66" s="9"/>
      <x:c r="AI66" s="11"/>
      <x:c r="AJ66" s="9"/>
      <x:c r="AK66" s="9" t="str">
        <x:v>Eval_Relational_Placement (1).xlsm</x:v>
      </x:c>
      <x:c r="AL66" s="9" t="str">
        <x:v>GR00T</x:v>
      </x:c>
      <x:c r="AM66" s="9" t="n">
        <x:v>7</x:v>
      </x:c>
      <x:c r="AN66" s="9" t="n">
        <x:v>7</x:v>
      </x:c>
    </x:row>
    <x:row r="67">
      <x:c r="A67" s="9" t="str">
        <x:v>Failure</x:v>
      </x:c>
      <x:c r="B67" s="9" t="str">
        <x:v>Relational Placement</x:v>
      </x:c>
      <x:c r="C67" s="10" t="n">
        <x:v>6</x:v>
      </x:c>
      <x:c r="D67" s="9" t="str">
        <x:v>Put the blue block on the table in front of the green pen.</x:v>
      </x:c>
      <x:c r="E67" s="9" t="str">
        <x:v>green pen, blue block, pink marker, red block</x:v>
      </x:c>
      <x:c r="F67" s="9" t="str">
        <x:v>blue block → 2–8 cm edge gap in front of green pen; centroid direction within ±45°.</x:v>
      </x:c>
      <x:c r="G67" s="9" t="str">
        <x:v>went for the blue block, failed to grasp it, then went to the side of the table, and was grasping around thin air</x:v>
      </x:c>
      <x:c r="H67" s="9" t="str">
        <x:v>In-distribution concept baseline</x:v>
      </x:c>
      <x:c r="I67" s="9" t="str">
        <x:v>RP-ID-CF02</x:v>
      </x:c>
      <x:c r="J67" s="9" t="str">
        <x:v>Four-way trained-cell counterfactual: front/behind polarity × target/reference role</x:v>
      </x:c>
      <x:c r="K67" s="9" t="n">
        <x:v>4</x:v>
      </x:c>
      <x:c r="L67" s="9" t="str">
        <x:v>350</x:v>
      </x:c>
      <x:c r="M67" s="9"/>
      <x:c r="N67" s="9"/>
      <x:c r="O67" s="9" t="str">
        <x:v>Reset the moved object to its marked pose; preserve the exact scene and change only the instruction.</x:v>
      </x:c>
      <x:c r="P67" s="9" t="str">
        <x:v>Exact explicitly trained ordered relation-object cell from training episode 350. The four adjacent prompts share one initially unsatisfied scene.</x:v>
      </x:c>
      <x:c r="Q67" s="9"/>
      <x:c r="R67" s="10" t="n">
        <x:v>4</x:v>
      </x:c>
      <x:c r="S67" s="10"/>
      <x:c r="T67" s="9"/>
      <x:c r="U67" s="9"/>
      <x:c r="V67" s="9"/>
      <x:c r="W67" s="9"/>
      <x:c r="X67" s="10"/>
      <x:c r="Y67" s="10"/>
      <x:c r="Z67" s="9"/>
      <x:c r="AA67" s="9"/>
      <x:c r="AB67" s="9"/>
      <x:c r="AC67" s="9" t="str">
        <x:v>front</x:v>
      </x:c>
      <x:c r="AD67" s="9" t="str">
        <x:v>blue block</x:v>
      </x:c>
      <x:c r="AE67" s="9" t="str">
        <x:v>green pen</x:v>
      </x:c>
      <x:c r="AF67" s="9" t="str">
        <x:v>None</x:v>
      </x:c>
      <x:c r="AG67" s="9"/>
      <x:c r="AH67" s="9"/>
      <x:c r="AI67" s="11"/>
      <x:c r="AJ67" s="9"/>
      <x:c r="AK67" s="9" t="str">
        <x:v>Eval_Relational_Placement (1).xlsm</x:v>
      </x:c>
      <x:c r="AL67" s="9" t="str">
        <x:v>GR00T</x:v>
      </x:c>
      <x:c r="AM67" s="9" t="n">
        <x:v>8</x:v>
      </x:c>
      <x:c r="AN67" s="9" t="n">
        <x:v>8</x:v>
      </x:c>
    </x:row>
    <x:row r="68">
      <x:c r="A68" s="9" t="str">
        <x:v>Failure</x:v>
      </x:c>
      <x:c r="B68" s="9" t="str">
        <x:v>Relational Placement</x:v>
      </x:c>
      <x:c r="C68" s="10" t="n">
        <x:v>7</x:v>
      </x:c>
      <x:c r="D68" s="9" t="str">
        <x:v>Put the blue block on the table behind the green pen.</x:v>
      </x:c>
      <x:c r="E68" s="9" t="str">
        <x:v>green pen, blue block, pink marker, red block</x:v>
      </x:c>
      <x:c r="F68" s="9" t="str">
        <x:v>blue block → 2–8 cm edge gap behind green pen; centroid direction within ±45°.</x:v>
      </x:c>
      <x:c r="G68" s="9" t="str">
        <x:v>placed blue block to the right of the green pen</x:v>
      </x:c>
      <x:c r="H68" s="9" t="str">
        <x:v>In-distribution concept baseline</x:v>
      </x:c>
      <x:c r="I68" s="9" t="str">
        <x:v>RP-ID-CF02</x:v>
      </x:c>
      <x:c r="J68" s="9" t="str">
        <x:v>Four-way trained-cell counterfactual: front/behind polarity × target/reference role</x:v>
      </x:c>
      <x:c r="K68" s="9" t="n">
        <x:v>4</x:v>
      </x:c>
      <x:c r="L68" s="9" t="str">
        <x:v>362</x:v>
      </x:c>
      <x:c r="M68" s="9"/>
      <x:c r="N68" s="9"/>
      <x:c r="O68" s="9" t="str">
        <x:v>Reset the moved object to its marked pose; preserve the exact scene and change only the instruction.</x:v>
      </x:c>
      <x:c r="P68" s="9" t="str">
        <x:v>Exact explicitly trained ordered relation-object cell from training episode 362. The four adjacent prompts share one initially unsatisfied scene.</x:v>
      </x:c>
      <x:c r="Q68" s="9"/>
      <x:c r="R68" s="10" t="n">
        <x:v>4</x:v>
      </x:c>
      <x:c r="S68" s="10"/>
      <x:c r="T68" s="9"/>
      <x:c r="U68" s="9"/>
      <x:c r="V68" s="9"/>
      <x:c r="W68" s="9"/>
      <x:c r="X68" s="10"/>
      <x:c r="Y68" s="10"/>
      <x:c r="Z68" s="9"/>
      <x:c r="AA68" s="9"/>
      <x:c r="AB68" s="9"/>
      <x:c r="AC68" s="9" t="str">
        <x:v>behind</x:v>
      </x:c>
      <x:c r="AD68" s="9" t="str">
        <x:v>blue block</x:v>
      </x:c>
      <x:c r="AE68" s="9" t="str">
        <x:v>green pen</x:v>
      </x:c>
      <x:c r="AF68" s="9" t="str">
        <x:v>None</x:v>
      </x:c>
      <x:c r="AG68" s="9"/>
      <x:c r="AH68" s="9"/>
      <x:c r="AI68" s="11"/>
      <x:c r="AJ68" s="9"/>
      <x:c r="AK68" s="9" t="str">
        <x:v>Eval_Relational_Placement (1).xlsm</x:v>
      </x:c>
      <x:c r="AL68" s="9" t="str">
        <x:v>GR00T</x:v>
      </x:c>
      <x:c r="AM68" s="9" t="n">
        <x:v>9</x:v>
      </x:c>
      <x:c r="AN68" s="9" t="n">
        <x:v>9</x:v>
      </x:c>
    </x:row>
    <x:row r="69">
      <x:c r="A69" s="9" t="str">
        <x:v>Failure</x:v>
      </x:c>
      <x:c r="B69" s="9" t="str">
        <x:v>Relational Placement</x:v>
      </x:c>
      <x:c r="C69" s="10" t="n">
        <x:v>8</x:v>
      </x:c>
      <x:c r="D69" s="9" t="str">
        <x:v>Place the red block to the left of the pink marker.</x:v>
      </x:c>
      <x:c r="E69" s="9" t="str">
        <x:v>red block, pink marker, blue block</x:v>
      </x:c>
      <x:c r="F69" s="9" t="str">
        <x:v>red block → 2–8 cm edge gap to the left of pink marker; centroid direction within ±45°.</x:v>
      </x:c>
      <x:c r="G69" s="9" t="str">
        <x:v>picked pink marker and placed to the left/front of the blue block. </x:v>
      </x:c>
      <x:c r="H69" s="9" t="str">
        <x:v>In-distribution concept baseline</x:v>
      </x:c>
      <x:c r="I69" s="9" t="str">
        <x:v>RP-ID-CF03</x:v>
      </x:c>
      <x:c r="J69" s="9" t="str">
        <x:v>Four-way trained-cell counterfactual: left/right polarity × target/reference role</x:v>
      </x:c>
      <x:c r="K69" s="9"/>
      <x:c r="L69" s="9" t="str">
        <x:v>275</x:v>
      </x:c>
      <x:c r="M69" s="9"/>
      <x:c r="N69" s="9"/>
      <x:c r="O69" s="9" t="str">
        <x:v>Build the listed neutral scene and save the first frame.</x:v>
      </x:c>
      <x:c r="P69" s="9" t="str">
        <x:v>Exact explicitly trained ordered relation-object cell from training episode 275. The four adjacent prompts share one initially unsatisfied scene.</x:v>
      </x:c>
      <x:c r="Q69" s="9"/>
      <x:c r="R69" s="10" t="n">
        <x:v>3</x:v>
      </x:c>
      <x:c r="S69" s="10"/>
      <x:c r="T69" s="9"/>
      <x:c r="U69" s="9"/>
      <x:c r="V69" s="9"/>
      <x:c r="W69" s="9"/>
      <x:c r="X69" s="10"/>
      <x:c r="Y69" s="10"/>
      <x:c r="Z69" s="9"/>
      <x:c r="AA69" s="9"/>
      <x:c r="AB69" s="9"/>
      <x:c r="AC69" s="9" t="str">
        <x:v>left</x:v>
      </x:c>
      <x:c r="AD69" s="9" t="str">
        <x:v>red block</x:v>
      </x:c>
      <x:c r="AE69" s="9" t="str">
        <x:v>pink marker</x:v>
      </x:c>
      <x:c r="AF69" s="9" t="str">
        <x:v>None</x:v>
      </x:c>
      <x:c r="AG69" s="9"/>
      <x:c r="AH69" s="9"/>
      <x:c r="AI69" s="11"/>
      <x:c r="AJ69" s="9"/>
      <x:c r="AK69" s="9" t="str">
        <x:v>Eval_Relational_Placement (1).xlsm</x:v>
      </x:c>
      <x:c r="AL69" s="9" t="str">
        <x:v>GR00T</x:v>
      </x:c>
      <x:c r="AM69" s="9" t="n">
        <x:v>10</x:v>
      </x:c>
      <x:c r="AN69" s="9" t="n">
        <x:v>10</x:v>
      </x:c>
    </x:row>
    <x:row r="70">
      <x:c r="A70" s="9" t="str">
        <x:v>Failure</x:v>
      </x:c>
      <x:c r="B70" s="9" t="str">
        <x:v>Relational Placement</x:v>
      </x:c>
      <x:c r="C70" s="10" t="n">
        <x:v>9</x:v>
      </x:c>
      <x:c r="D70" s="9" t="str">
        <x:v>Place the red block to the right of the pink marker.</x:v>
      </x:c>
      <x:c r="E70" s="9" t="str">
        <x:v>red block, pink marker, blue block</x:v>
      </x:c>
      <x:c r="F70" s="9" t="str">
        <x:v>red block → 2–8 cm edge gap to the right of pink marker; centroid direction within ±45°.</x:v>
      </x:c>
      <x:c r="G70" s="9" t="str">
        <x:v>placed blue block to the right of the pink marker, but didn't move back home</x:v>
      </x:c>
      <x:c r="H70" s="9" t="str">
        <x:v>In-distribution concept baseline</x:v>
      </x:c>
      <x:c r="I70" s="9" t="str">
        <x:v>RP-ID-CF03</x:v>
      </x:c>
      <x:c r="J70" s="9" t="str">
        <x:v>Four-way trained-cell counterfactual: left/right polarity × target/reference role</x:v>
      </x:c>
      <x:c r="K70" s="9" t="n">
        <x:v>8</x:v>
      </x:c>
      <x:c r="L70" s="9" t="str">
        <x:v>287</x:v>
      </x:c>
      <x:c r="M70" s="9"/>
      <x:c r="N70" s="9"/>
      <x:c r="O70" s="9" t="str">
        <x:v>Reset the moved object to its marked pose; preserve the exact scene and change only the instruction.</x:v>
      </x:c>
      <x:c r="P70" s="9" t="str">
        <x:v>Exact explicitly trained ordered relation-object cell from training episode 287. The four adjacent prompts share one initially unsatisfied scene.</x:v>
      </x:c>
      <x:c r="Q70" s="9"/>
      <x:c r="R70" s="10" t="n">
        <x:v>3</x:v>
      </x:c>
      <x:c r="S70" s="10"/>
      <x:c r="T70" s="9"/>
      <x:c r="U70" s="9"/>
      <x:c r="V70" s="9"/>
      <x:c r="W70" s="9"/>
      <x:c r="X70" s="10"/>
      <x:c r="Y70" s="10"/>
      <x:c r="Z70" s="9"/>
      <x:c r="AA70" s="9"/>
      <x:c r="AB70" s="9"/>
      <x:c r="AC70" s="9" t="str">
        <x:v>right</x:v>
      </x:c>
      <x:c r="AD70" s="9" t="str">
        <x:v>red block</x:v>
      </x:c>
      <x:c r="AE70" s="9" t="str">
        <x:v>pink marker</x:v>
      </x:c>
      <x:c r="AF70" s="9" t="str">
        <x:v>None</x:v>
      </x:c>
      <x:c r="AG70" s="9"/>
      <x:c r="AH70" s="9"/>
      <x:c r="AI70" s="11"/>
      <x:c r="AJ70" s="9"/>
      <x:c r="AK70" s="9" t="str">
        <x:v>Eval_Relational_Placement (1).xlsm</x:v>
      </x:c>
      <x:c r="AL70" s="9" t="str">
        <x:v>GR00T</x:v>
      </x:c>
      <x:c r="AM70" s="9" t="n">
        <x:v>11</x:v>
      </x:c>
      <x:c r="AN70" s="9" t="n">
        <x:v>11</x:v>
      </x:c>
    </x:row>
    <x:row r="71">
      <x:c r="A71" s="9" t="str">
        <x:v>Failure</x:v>
      </x:c>
      <x:c r="B71" s="9" t="str">
        <x:v>Relational Placement</x:v>
      </x:c>
      <x:c r="C71" s="10" t="n">
        <x:v>10</x:v>
      </x:c>
      <x:c r="D71" s="9" t="str">
        <x:v>Place the pink marker to the left of the red block.</x:v>
      </x:c>
      <x:c r="E71" s="9" t="str">
        <x:v>red block, pink marker, blue block</x:v>
      </x:c>
      <x:c r="F71" s="9" t="str">
        <x:v>pink marker → 2–8 cm edge gap to the left of red block; centroid direction within ±45°.</x:v>
      </x:c>
      <x:c r="G71" s="9" t="str">
        <x:v>picked up the blue block, and moved it further back a little bit</x:v>
      </x:c>
      <x:c r="H71" s="9" t="str">
        <x:v>In-distribution concept baseline</x:v>
      </x:c>
      <x:c r="I71" s="9" t="str">
        <x:v>RP-ID-CF03</x:v>
      </x:c>
      <x:c r="J71" s="9" t="str">
        <x:v>Four-way trained-cell counterfactual: left/right polarity × target/reference role</x:v>
      </x:c>
      <x:c r="K71" s="9" t="n">
        <x:v>8</x:v>
      </x:c>
      <x:c r="L71" s="9" t="str">
        <x:v>333</x:v>
      </x:c>
      <x:c r="M71" s="9"/>
      <x:c r="N71" s="9"/>
      <x:c r="O71" s="9" t="str">
        <x:v>Reset the moved object to its marked pose; preserve the exact scene and change only the instruction.</x:v>
      </x:c>
      <x:c r="P71" s="9" t="str">
        <x:v>Exact explicitly trained ordered relation-object cell from training episode 333. The four adjacent prompts share one initially unsatisfied scene.</x:v>
      </x:c>
      <x:c r="Q71" s="9"/>
      <x:c r="R71" s="10" t="n">
        <x:v>3</x:v>
      </x:c>
      <x:c r="S71" s="10"/>
      <x:c r="T71" s="9"/>
      <x:c r="U71" s="9"/>
      <x:c r="V71" s="9"/>
      <x:c r="W71" s="9"/>
      <x:c r="X71" s="10"/>
      <x:c r="Y71" s="10"/>
      <x:c r="Z71" s="9"/>
      <x:c r="AA71" s="9"/>
      <x:c r="AB71" s="9"/>
      <x:c r="AC71" s="9" t="str">
        <x:v>left</x:v>
      </x:c>
      <x:c r="AD71" s="9" t="str">
        <x:v>pink marker</x:v>
      </x:c>
      <x:c r="AE71" s="9" t="str">
        <x:v>red block</x:v>
      </x:c>
      <x:c r="AF71" s="9" t="str">
        <x:v>None</x:v>
      </x:c>
      <x:c r="AG71" s="9"/>
      <x:c r="AH71" s="9"/>
      <x:c r="AI71" s="11"/>
      <x:c r="AJ71" s="9"/>
      <x:c r="AK71" s="9" t="str">
        <x:v>Eval_Relational_Placement (1).xlsm</x:v>
      </x:c>
      <x:c r="AL71" s="9" t="str">
        <x:v>GR00T</x:v>
      </x:c>
      <x:c r="AM71" s="9" t="n">
        <x:v>12</x:v>
      </x:c>
      <x:c r="AN71" s="9" t="n">
        <x:v>12</x:v>
      </x:c>
    </x:row>
    <x:row r="72">
      <x:c r="A72" s="9" t="str">
        <x:v>Failure</x:v>
      </x:c>
      <x:c r="B72" s="9" t="str">
        <x:v>Relational Placement</x:v>
      </x:c>
      <x:c r="C72" s="10" t="n">
        <x:v>11</x:v>
      </x:c>
      <x:c r="D72" s="9" t="str">
        <x:v>Place the pink marker to the right of the red block.</x:v>
      </x:c>
      <x:c r="E72" s="9" t="str">
        <x:v>red block, pink marker, blue block</x:v>
      </x:c>
      <x:c r="F72" s="9" t="str">
        <x:v>pink marker → 2–8 cm edge gap to the right of red block; centroid direction within ±45°.</x:v>
      </x:c>
      <x:c r="G72" s="9" t="str">
        <x:v>got the pink marker and placed it to the right of the red block, but didn't release the block. marker was also more to the left of the blue block than to the right of the red block</x:v>
      </x:c>
      <x:c r="H72" s="9" t="str">
        <x:v>In-distribution concept baseline</x:v>
      </x:c>
      <x:c r="I72" s="9" t="str">
        <x:v>RP-ID-CF03</x:v>
      </x:c>
      <x:c r="J72" s="9" t="str">
        <x:v>Four-way trained-cell counterfactual: left/right polarity × target/reference role</x:v>
      </x:c>
      <x:c r="K72" s="9" t="n">
        <x:v>8</x:v>
      </x:c>
      <x:c r="L72" s="9" t="str">
        <x:v>346</x:v>
      </x:c>
      <x:c r="M72" s="9"/>
      <x:c r="N72" s="9"/>
      <x:c r="O72" s="9" t="str">
        <x:v>Reset the moved object to its marked pose; preserve the exact scene and change only the instruction.</x:v>
      </x:c>
      <x:c r="P72" s="9" t="str">
        <x:v>Exact explicitly trained ordered relation-object cell from training episode 346. The four adjacent prompts share one initially unsatisfied scene.</x:v>
      </x:c>
      <x:c r="Q72" s="9"/>
      <x:c r="R72" s="10" t="n">
        <x:v>3</x:v>
      </x:c>
      <x:c r="S72" s="10"/>
      <x:c r="T72" s="9"/>
      <x:c r="U72" s="9"/>
      <x:c r="V72" s="9"/>
      <x:c r="W72" s="9"/>
      <x:c r="X72" s="10"/>
      <x:c r="Y72" s="10"/>
      <x:c r="Z72" s="9"/>
      <x:c r="AA72" s="9"/>
      <x:c r="AB72" s="9"/>
      <x:c r="AC72" s="9" t="str">
        <x:v>right</x:v>
      </x:c>
      <x:c r="AD72" s="9" t="str">
        <x:v>pink marker</x:v>
      </x:c>
      <x:c r="AE72" s="9" t="str">
        <x:v>red block</x:v>
      </x:c>
      <x:c r="AF72" s="9" t="str">
        <x:v>None</x:v>
      </x:c>
      <x:c r="AG72" s="9"/>
      <x:c r="AH72" s="9"/>
      <x:c r="AI72" s="11"/>
      <x:c r="AJ72" s="9"/>
      <x:c r="AK72" s="9" t="str">
        <x:v>Eval_Relational_Placement (1).xlsm</x:v>
      </x:c>
      <x:c r="AL72" s="9" t="str">
        <x:v>GR00T</x:v>
      </x:c>
      <x:c r="AM72" s="9" t="n">
        <x:v>13</x:v>
      </x:c>
      <x:c r="AN72" s="9" t="n">
        <x:v>13</x:v>
      </x:c>
    </x:row>
    <x:row r="73">
      <x:c r="A73" s="9" t="str">
        <x:v>Failure</x:v>
      </x:c>
      <x:c r="B73" s="9" t="str">
        <x:v>Relational Placement</x:v>
      </x:c>
      <x:c r="C73" s="10" t="n">
        <x:v>12</x:v>
      </x:c>
      <x:c r="D73" s="9" t="str">
        <x:v>Place the red block to the left of the blue block.</x:v>
      </x:c>
      <x:c r="E73" s="9" t="str">
        <x:v>red block, blue block, green pen, pink marker</x:v>
      </x:c>
      <x:c r="F73" s="9" t="str">
        <x:v>red block → 2–8 cm edge gap to the left of blue block; centroid direction within ±45°.</x:v>
      </x:c>
      <x:c r="G73" s="9" t="str">
        <x:v>picked the green pen and moved to the top of the red block, but never released it.</x:v>
      </x:c>
      <x:c r="H73" s="9" t="str">
        <x:v>In-distribution concept baseline</x:v>
      </x:c>
      <x:c r="I73" s="9" t="str">
        <x:v>RP-ID-CF04</x:v>
      </x:c>
      <x:c r="J73" s="9" t="str">
        <x:v>Four-way trained-cell counterfactual: left/right polarity × target/reference role</x:v>
      </x:c>
      <x:c r="K73" s="9"/>
      <x:c r="L73" s="9" t="str">
        <x:v>279</x:v>
      </x:c>
      <x:c r="M73" s="9"/>
      <x:c r="N73" s="9"/>
      <x:c r="O73" s="9" t="str">
        <x:v>Build the listed neutral scene and save the first frame.</x:v>
      </x:c>
      <x:c r="P73" s="9" t="str">
        <x:v>Exact explicitly trained ordered relation-object cell from training episode 279. The four adjacent prompts share one initially unsatisfied scene.</x:v>
      </x:c>
      <x:c r="Q73" s="9"/>
      <x:c r="R73" s="10" t="n">
        <x:v>4</x:v>
      </x:c>
      <x:c r="S73" s="10"/>
      <x:c r="T73" s="9"/>
      <x:c r="U73" s="9"/>
      <x:c r="V73" s="9"/>
      <x:c r="W73" s="9"/>
      <x:c r="X73" s="10"/>
      <x:c r="Y73" s="10"/>
      <x:c r="Z73" s="9"/>
      <x:c r="AA73" s="9"/>
      <x:c r="AB73" s="9"/>
      <x:c r="AC73" s="9" t="str">
        <x:v>left</x:v>
      </x:c>
      <x:c r="AD73" s="9" t="str">
        <x:v>red block</x:v>
      </x:c>
      <x:c r="AE73" s="9" t="str">
        <x:v>blue block</x:v>
      </x:c>
      <x:c r="AF73" s="9" t="str">
        <x:v>None</x:v>
      </x:c>
      <x:c r="AG73" s="9"/>
      <x:c r="AH73" s="9"/>
      <x:c r="AI73" s="11"/>
      <x:c r="AJ73" s="9"/>
      <x:c r="AK73" s="9" t="str">
        <x:v>Eval_Relational_Placement (1).xlsm</x:v>
      </x:c>
      <x:c r="AL73" s="9" t="str">
        <x:v>GR00T</x:v>
      </x:c>
      <x:c r="AM73" s="9" t="n">
        <x:v>14</x:v>
      </x:c>
      <x:c r="AN73" s="9" t="n">
        <x:v>14</x:v>
      </x:c>
    </x:row>
    <x:row r="74">
      <x:c r="A74" s="9" t="str">
        <x:v>Failure</x:v>
      </x:c>
      <x:c r="B74" s="9" t="str">
        <x:v>Relational Placement</x:v>
      </x:c>
      <x:c r="C74" s="10" t="n">
        <x:v>13</x:v>
      </x:c>
      <x:c r="D74" s="9" t="str">
        <x:v>Place the red block to the right of the blue block.</x:v>
      </x:c>
      <x:c r="E74" s="9" t="str">
        <x:v>red block, blue block, green pen, pink marker</x:v>
      </x:c>
      <x:c r="F74" s="9" t="str">
        <x:v>red block → 2–8 cm edge gap to the right of blue block; centroid direction within ±45°.</x:v>
      </x:c>
      <x:c r="G74" s="9" t="str">
        <x:v>moved green pen to the back of the red block; also didn't release it</x:v>
      </x:c>
      <x:c r="H74" s="9" t="str">
        <x:v>In-distribution concept baseline</x:v>
      </x:c>
      <x:c r="I74" s="9" t="str">
        <x:v>RP-ID-CF04</x:v>
      </x:c>
      <x:c r="J74" s="9" t="str">
        <x:v>Four-way trained-cell counterfactual: left/right polarity × target/reference role</x:v>
      </x:c>
      <x:c r="K74" s="9" t="n">
        <x:v>12</x:v>
      </x:c>
      <x:c r="L74" s="9" t="str">
        <x:v>292</x:v>
      </x:c>
      <x:c r="M74" s="9"/>
      <x:c r="N74" s="9"/>
      <x:c r="O74" s="9" t="str">
        <x:v>Reset the moved object to its marked pose; preserve the exact scene and change only the instruction.</x:v>
      </x:c>
      <x:c r="P74" s="9" t="str">
        <x:v>Exact explicitly trained ordered relation-object cell from training episode 292. The four adjacent prompts share one initially unsatisfied scene.</x:v>
      </x:c>
      <x:c r="Q74" s="9"/>
      <x:c r="R74" s="10" t="n">
        <x:v>4</x:v>
      </x:c>
      <x:c r="S74" s="10"/>
      <x:c r="T74" s="9"/>
      <x:c r="U74" s="9"/>
      <x:c r="V74" s="9"/>
      <x:c r="W74" s="9"/>
      <x:c r="X74" s="10"/>
      <x:c r="Y74" s="10"/>
      <x:c r="Z74" s="9"/>
      <x:c r="AA74" s="9"/>
      <x:c r="AB74" s="9"/>
      <x:c r="AC74" s="9" t="str">
        <x:v>right</x:v>
      </x:c>
      <x:c r="AD74" s="9" t="str">
        <x:v>red block</x:v>
      </x:c>
      <x:c r="AE74" s="9" t="str">
        <x:v>blue block</x:v>
      </x:c>
      <x:c r="AF74" s="9" t="str">
        <x:v>None</x:v>
      </x:c>
      <x:c r="AG74" s="9"/>
      <x:c r="AH74" s="9"/>
      <x:c r="AI74" s="11"/>
      <x:c r="AJ74" s="9"/>
      <x:c r="AK74" s="9" t="str">
        <x:v>Eval_Relational_Placement (1).xlsm</x:v>
      </x:c>
      <x:c r="AL74" s="9" t="str">
        <x:v>GR00T</x:v>
      </x:c>
      <x:c r="AM74" s="9" t="n">
        <x:v>15</x:v>
      </x:c>
      <x:c r="AN74" s="9" t="n">
        <x:v>15</x:v>
      </x:c>
    </x:row>
    <x:row r="75">
      <x:c r="A75" s="9" t="str">
        <x:v>Failure</x:v>
      </x:c>
      <x:c r="B75" s="9" t="str">
        <x:v>Relational Placement</x:v>
      </x:c>
      <x:c r="C75" s="10" t="n">
        <x:v>14</x:v>
      </x:c>
      <x:c r="D75" s="9" t="str">
        <x:v>Place the blue block to the left of the red block.</x:v>
      </x:c>
      <x:c r="E75" s="9" t="str">
        <x:v>red block, blue block, green pen, pink marker</x:v>
      </x:c>
      <x:c r="F75" s="9" t="str">
        <x:v>blue block → 2–8 cm edge gap to the left of red block; centroid direction within ±45°.</x:v>
      </x:c>
      <x:c r="G75" s="9" t="str">
        <x:v>went to the green pen, but didn't get it. went home afterwards</x:v>
      </x:c>
      <x:c r="H75" s="9" t="str">
        <x:v>In-distribution concept baseline</x:v>
      </x:c>
      <x:c r="I75" s="9" t="str">
        <x:v>RP-ID-CF04</x:v>
      </x:c>
      <x:c r="J75" s="9" t="str">
        <x:v>Four-way trained-cell counterfactual: left/right polarity × target/reference role</x:v>
      </x:c>
      <x:c r="K75" s="9" t="n">
        <x:v>12</x:v>
      </x:c>
      <x:c r="L75" s="9" t="str">
        <x:v>379</x:v>
      </x:c>
      <x:c r="M75" s="9"/>
      <x:c r="N75" s="9"/>
      <x:c r="O75" s="9" t="str">
        <x:v>Reset the moved object to its marked pose; preserve the exact scene and change only the instruction.</x:v>
      </x:c>
      <x:c r="P75" s="9" t="str">
        <x:v>Exact explicitly trained ordered relation-object cell from training episode 379. The four adjacent prompts share one initially unsatisfied scene.</x:v>
      </x:c>
      <x:c r="Q75" s="9"/>
      <x:c r="R75" s="10" t="n">
        <x:v>4</x:v>
      </x:c>
      <x:c r="S75" s="10"/>
      <x:c r="T75" s="9"/>
      <x:c r="U75" s="9"/>
      <x:c r="V75" s="9"/>
      <x:c r="W75" s="9"/>
      <x:c r="X75" s="10"/>
      <x:c r="Y75" s="10"/>
      <x:c r="Z75" s="9"/>
      <x:c r="AA75" s="9"/>
      <x:c r="AB75" s="9"/>
      <x:c r="AC75" s="9" t="str">
        <x:v>left</x:v>
      </x:c>
      <x:c r="AD75" s="9" t="str">
        <x:v>blue block</x:v>
      </x:c>
      <x:c r="AE75" s="9" t="str">
        <x:v>red block</x:v>
      </x:c>
      <x:c r="AF75" s="9" t="str">
        <x:v>None</x:v>
      </x:c>
      <x:c r="AG75" s="9"/>
      <x:c r="AH75" s="9"/>
      <x:c r="AI75" s="11"/>
      <x:c r="AJ75" s="9"/>
      <x:c r="AK75" s="9" t="str">
        <x:v>Eval_Relational_Placement (1).xlsm</x:v>
      </x:c>
      <x:c r="AL75" s="9" t="str">
        <x:v>GR00T</x:v>
      </x:c>
      <x:c r="AM75" s="9" t="n">
        <x:v>16</x:v>
      </x:c>
      <x:c r="AN75" s="9" t="n">
        <x:v>16</x:v>
      </x:c>
    </x:row>
    <x:row r="76">
      <x:c r="A76" s="9" t="str">
        <x:v>Failure</x:v>
      </x:c>
      <x:c r="B76" s="9" t="str">
        <x:v>Relational Placement</x:v>
      </x:c>
      <x:c r="C76" s="10" t="n">
        <x:v>15</x:v>
      </x:c>
      <x:c r="D76" s="9" t="str">
        <x:v>Place the blue block to the right of the red block.</x:v>
      </x:c>
      <x:c r="E76" s="9" t="str">
        <x:v>red block, blue block, green pen, pink marker</x:v>
      </x:c>
      <x:c r="F76" s="9" t="str">
        <x:v>blue block → 2–8 cm edge gap to the right of red block; centroid direction within ±45°.</x:v>
      </x:c>
      <x:c r="G76" s="9" t="str">
        <x:v>went to the green pen, but didn't get it. went home afterwards</x:v>
      </x:c>
      <x:c r="H76" s="9" t="str">
        <x:v>In-distribution concept baseline</x:v>
      </x:c>
      <x:c r="I76" s="9" t="str">
        <x:v>RP-ID-CF04</x:v>
      </x:c>
      <x:c r="J76" s="9" t="str">
        <x:v>Four-way trained-cell counterfactual: left/right polarity × target/reference role</x:v>
      </x:c>
      <x:c r="K76" s="9" t="n">
        <x:v>12</x:v>
      </x:c>
      <x:c r="L76" s="9" t="str">
        <x:v>392</x:v>
      </x:c>
      <x:c r="M76" s="9"/>
      <x:c r="N76" s="9"/>
      <x:c r="O76" s="9" t="str">
        <x:v>Reset the moved object to its marked pose; preserve the exact scene and change only the instruction.</x:v>
      </x:c>
      <x:c r="P76" s="9" t="str">
        <x:v>Exact explicitly trained ordered relation-object cell from training episode 392. The four adjacent prompts share one initially unsatisfied scene.</x:v>
      </x:c>
      <x:c r="Q76" s="9"/>
      <x:c r="R76" s="10" t="n">
        <x:v>4</x:v>
      </x:c>
      <x:c r="S76" s="10"/>
      <x:c r="T76" s="9"/>
      <x:c r="U76" s="9"/>
      <x:c r="V76" s="9"/>
      <x:c r="W76" s="9"/>
      <x:c r="X76" s="10"/>
      <x:c r="Y76" s="10"/>
      <x:c r="Z76" s="9"/>
      <x:c r="AA76" s="9"/>
      <x:c r="AB76" s="9"/>
      <x:c r="AC76" s="9" t="str">
        <x:v>right</x:v>
      </x:c>
      <x:c r="AD76" s="9" t="str">
        <x:v>blue block</x:v>
      </x:c>
      <x:c r="AE76" s="9" t="str">
        <x:v>red block</x:v>
      </x:c>
      <x:c r="AF76" s="9" t="str">
        <x:v>None</x:v>
      </x:c>
      <x:c r="AG76" s="9"/>
      <x:c r="AH76" s="9"/>
      <x:c r="AI76" s="11"/>
      <x:c r="AJ76" s="9"/>
      <x:c r="AK76" s="9" t="str">
        <x:v>Eval_Relational_Placement (1).xlsm</x:v>
      </x:c>
      <x:c r="AL76" s="9" t="str">
        <x:v>GR00T</x:v>
      </x:c>
      <x:c r="AM76" s="9" t="n">
        <x:v>17</x:v>
      </x:c>
      <x:c r="AN76" s="9" t="n">
        <x:v>17</x:v>
      </x:c>
    </x:row>
    <x:row r="77">
      <x:c r="A77" s="9" t="str">
        <x:v>Failure</x:v>
      </x:c>
      <x:c r="B77" s="9" t="str">
        <x:v>Relational Placement</x:v>
      </x:c>
      <x:c r="C77" s="10" t="n">
        <x:v>16</x:v>
      </x:c>
      <x:c r="D77" s="9" t="str">
        <x:v>Place the green pen to the left of the pink marker.</x:v>
      </x:c>
      <x:c r="E77" s="9" t="str">
        <x:v>green pen, pink marker, red block, blue block</x:v>
      </x:c>
      <x:c r="F77" s="9" t="str">
        <x:v>green pen → 2–8 cm edge gap to the left of pink marker; centroid direction within ±45°.</x:v>
      </x:c>
      <x:c r="G77" s="9" t="str">
        <x:v>placed pink marker to the right of the blue block</x:v>
      </x:c>
      <x:c r="H77" s="9" t="str">
        <x:v>In-distribution concept baseline</x:v>
      </x:c>
      <x:c r="I77" s="9" t="str">
        <x:v>RP-ID-CF05</x:v>
      </x:c>
      <x:c r="J77" s="9" t="str">
        <x:v>Four-prompt trained-cell mixed-axis counterfactual with all four target identities</x:v>
      </x:c>
      <x:c r="K77" s="9"/>
      <x:c r="L77" s="9" t="str">
        <x:v>229</x:v>
      </x:c>
      <x:c r="M77" s="9"/>
      <x:c r="N77" s="9"/>
      <x:c r="O77" s="9" t="str">
        <x:v>Build the listed neutral scene and save the first frame.</x:v>
      </x:c>
      <x:c r="P77" s="9" t="str">
        <x:v>Exact explicitly trained ordered relation-object cell from training episode 229. The four adjacent prompts share one initially unsatisfied scene.</x:v>
      </x:c>
      <x:c r="Q77" s="9"/>
      <x:c r="R77" s="10" t="n">
        <x:v>4</x:v>
      </x:c>
      <x:c r="S77" s="10"/>
      <x:c r="T77" s="9"/>
      <x:c r="U77" s="9"/>
      <x:c r="V77" s="9"/>
      <x:c r="W77" s="9"/>
      <x:c r="X77" s="10"/>
      <x:c r="Y77" s="10"/>
      <x:c r="Z77" s="9"/>
      <x:c r="AA77" s="9"/>
      <x:c r="AB77" s="9"/>
      <x:c r="AC77" s="9" t="str">
        <x:v>left</x:v>
      </x:c>
      <x:c r="AD77" s="9" t="str">
        <x:v>green pen</x:v>
      </x:c>
      <x:c r="AE77" s="9" t="str">
        <x:v>pink marker</x:v>
      </x:c>
      <x:c r="AF77" s="9" t="str">
        <x:v>None</x:v>
      </x:c>
      <x:c r="AG77" s="9"/>
      <x:c r="AH77" s="9"/>
      <x:c r="AI77" s="11"/>
      <x:c r="AJ77" s="9"/>
      <x:c r="AK77" s="9" t="str">
        <x:v>Eval_Relational_Placement (1).xlsm</x:v>
      </x:c>
      <x:c r="AL77" s="9" t="str">
        <x:v>GR00T</x:v>
      </x:c>
      <x:c r="AM77" s="9" t="n">
        <x:v>18</x:v>
      </x:c>
      <x:c r="AN77" s="9" t="n">
        <x:v>18</x:v>
      </x:c>
    </x:row>
    <x:row r="78">
      <x:c r="A78" s="9" t="str">
        <x:v>Failure</x:v>
      </x:c>
      <x:c r="B78" s="9" t="str">
        <x:v>Relational Placement</x:v>
      </x:c>
      <x:c r="C78" s="10" t="n">
        <x:v>17</x:v>
      </x:c>
      <x:c r="D78" s="9" t="str">
        <x:v>Place the pink marker to the right of the green pen.</x:v>
      </x:c>
      <x:c r="E78" s="9" t="str">
        <x:v>green pen, pink marker, red block, blue block</x:v>
      </x:c>
      <x:c r="F78" s="9" t="str">
        <x:v>pink marker → 2–8 cm edge gap to the right of green pen; centroid direction within ±45°.</x:v>
      </x:c>
      <x:c r="G78" s="9" t="str">
        <x:v>placed pink marker right front of the blue block. kind of behind green pen since moved it a little bit</x:v>
      </x:c>
      <x:c r="H78" s="9" t="str">
        <x:v>In-distribution concept baseline</x:v>
      </x:c>
      <x:c r="I78" s="9" t="str">
        <x:v>RP-ID-CF05</x:v>
      </x:c>
      <x:c r="J78" s="9" t="str">
        <x:v>Four-prompt trained-cell mixed-axis counterfactual with all four target identities</x:v>
      </x:c>
      <x:c r="K78" s="9" t="n">
        <x:v>16</x:v>
      </x:c>
      <x:c r="L78" s="9" t="str">
        <x:v>342</x:v>
      </x:c>
      <x:c r="M78" s="9"/>
      <x:c r="N78" s="9"/>
      <x:c r="O78" s="9" t="str">
        <x:v>Reset the moved object to its marked pose; preserve the exact scene and change only the instruction.</x:v>
      </x:c>
      <x:c r="P78" s="9" t="str">
        <x:v>Exact explicitly trained ordered relation-object cell from training episode 342. The four adjacent prompts share one initially unsatisfied scene.</x:v>
      </x:c>
      <x:c r="Q78" s="9"/>
      <x:c r="R78" s="10" t="n">
        <x:v>4</x:v>
      </x:c>
      <x:c r="S78" s="10"/>
      <x:c r="T78" s="9"/>
      <x:c r="U78" s="9"/>
      <x:c r="V78" s="9"/>
      <x:c r="W78" s="9"/>
      <x:c r="X78" s="10"/>
      <x:c r="Y78" s="10"/>
      <x:c r="Z78" s="9"/>
      <x:c r="AA78" s="9"/>
      <x:c r="AB78" s="9"/>
      <x:c r="AC78" s="9" t="str">
        <x:v>right</x:v>
      </x:c>
      <x:c r="AD78" s="9" t="str">
        <x:v>pink marker</x:v>
      </x:c>
      <x:c r="AE78" s="9" t="str">
        <x:v>green pen</x:v>
      </x:c>
      <x:c r="AF78" s="9" t="str">
        <x:v>None</x:v>
      </x:c>
      <x:c r="AG78" s="9"/>
      <x:c r="AH78" s="9"/>
      <x:c r="AI78" s="11"/>
      <x:c r="AJ78" s="9"/>
      <x:c r="AK78" s="9" t="str">
        <x:v>Eval_Relational_Placement (1).xlsm</x:v>
      </x:c>
      <x:c r="AL78" s="9" t="str">
        <x:v>GR00T</x:v>
      </x:c>
      <x:c r="AM78" s="9" t="n">
        <x:v>19</x:v>
      </x:c>
      <x:c r="AN78" s="9" t="n">
        <x:v>19</x:v>
      </x:c>
    </x:row>
    <x:row r="79">
      <x:c r="A79" s="9" t="str">
        <x:v>Failure</x:v>
      </x:c>
      <x:c r="B79" s="9" t="str">
        <x:v>Relational Placement</x:v>
      </x:c>
      <x:c r="C79" s="10" t="n">
        <x:v>18</x:v>
      </x:c>
      <x:c r="D79" s="9" t="str">
        <x:v>Move the red block to the front of the blue block.</x:v>
      </x:c>
      <x:c r="E79" s="9" t="str">
        <x:v>green pen, pink marker, red block, blue block</x:v>
      </x:c>
      <x:c r="F79" s="9" t="str">
        <x:v>red block → 2–8 cm edge gap in front of blue block; centroid direction within ±45°.</x:v>
      </x:c>
      <x:c r="G79" s="9" t="str">
        <x:v>put the pink marker to the right of the green pen</x:v>
      </x:c>
      <x:c r="H79" s="9" t="str">
        <x:v>In-distribution concept baseline</x:v>
      </x:c>
      <x:c r="I79" s="9" t="str">
        <x:v>RP-ID-CF05</x:v>
      </x:c>
      <x:c r="J79" s="9" t="str">
        <x:v>Four-prompt trained-cell mixed-axis counterfactual with all four target identities</x:v>
      </x:c>
      <x:c r="K79" s="9" t="n">
        <x:v>16</x:v>
      </x:c>
      <x:c r="L79" s="9" t="str">
        <x:v>254</x:v>
      </x:c>
      <x:c r="M79" s="9"/>
      <x:c r="N79" s="9"/>
      <x:c r="O79" s="9" t="str">
        <x:v>Reset the moved object to its marked pose; preserve the exact scene and change only the instruction.</x:v>
      </x:c>
      <x:c r="P79" s="9" t="str">
        <x:v>Exact explicitly trained ordered relation-object cell from training episode 254. The four adjacent prompts share one initially unsatisfied scene.</x:v>
      </x:c>
      <x:c r="Q79" s="9"/>
      <x:c r="R79" s="10" t="n">
        <x:v>4</x:v>
      </x:c>
      <x:c r="S79" s="10"/>
      <x:c r="T79" s="9"/>
      <x:c r="U79" s="9"/>
      <x:c r="V79" s="9"/>
      <x:c r="W79" s="9"/>
      <x:c r="X79" s="10"/>
      <x:c r="Y79" s="10"/>
      <x:c r="Z79" s="9"/>
      <x:c r="AA79" s="9"/>
      <x:c r="AB79" s="9"/>
      <x:c r="AC79" s="9" t="str">
        <x:v>front</x:v>
      </x:c>
      <x:c r="AD79" s="9" t="str">
        <x:v>red block</x:v>
      </x:c>
      <x:c r="AE79" s="9" t="str">
        <x:v>blue block</x:v>
      </x:c>
      <x:c r="AF79" s="9" t="str">
        <x:v>None</x:v>
      </x:c>
      <x:c r="AG79" s="9"/>
      <x:c r="AH79" s="9"/>
      <x:c r="AI79" s="11"/>
      <x:c r="AJ79" s="9"/>
      <x:c r="AK79" s="9" t="str">
        <x:v>Eval_Relational_Placement (1).xlsm</x:v>
      </x:c>
      <x:c r="AL79" s="9" t="str">
        <x:v>GR00T</x:v>
      </x:c>
      <x:c r="AM79" s="9" t="n">
        <x:v>20</x:v>
      </x:c>
      <x:c r="AN79" s="9" t="n">
        <x:v>20</x:v>
      </x:c>
    </x:row>
    <x:row r="80">
      <x:c r="A80" s="9" t="str">
        <x:v>Failure</x:v>
      </x:c>
      <x:c r="B80" s="9" t="str">
        <x:v>Relational Placement</x:v>
      </x:c>
      <x:c r="C80" s="10" t="n">
        <x:v>19</x:v>
      </x:c>
      <x:c r="D80" s="9" t="str">
        <x:v>Place the blue block behind the red block.</x:v>
      </x:c>
      <x:c r="E80" s="9" t="str">
        <x:v>green pen, pink marker, red block, blue block</x:v>
      </x:c>
      <x:c r="F80" s="9" t="str">
        <x:v>blue block → 2–8 cm edge gap behind red block; centroid direction within ±45°.</x:v>
      </x:c>
      <x:c r="G80" s="9" t="str">
        <x:v>placed the pink marker to the front right of the blue block</x:v>
      </x:c>
      <x:c r="H80" s="9" t="str">
        <x:v>In-distribution concept baseline</x:v>
      </x:c>
      <x:c r="I80" s="9" t="str">
        <x:v>RP-ID-CF05</x:v>
      </x:c>
      <x:c r="J80" s="9" t="str">
        <x:v>Four-prompt trained-cell mixed-axis counterfactual with all four target identities</x:v>
      </x:c>
      <x:c r="K80" s="9" t="n">
        <x:v>16</x:v>
      </x:c>
      <x:c r="L80" s="9" t="str">
        <x:v>367</x:v>
      </x:c>
      <x:c r="M80" s="9"/>
      <x:c r="N80" s="9"/>
      <x:c r="O80" s="9" t="str">
        <x:v>Reset the moved object to its marked pose; preserve the exact scene and change only the instruction.</x:v>
      </x:c>
      <x:c r="P80" s="9" t="str">
        <x:v>Exact explicitly trained ordered relation-object cell from training episode 367. The four adjacent prompts share one initially unsatisfied scene.</x:v>
      </x:c>
      <x:c r="Q80" s="9"/>
      <x:c r="R80" s="10" t="n">
        <x:v>4</x:v>
      </x:c>
      <x:c r="S80" s="10"/>
      <x:c r="T80" s="9"/>
      <x:c r="U80" s="9"/>
      <x:c r="V80" s="9"/>
      <x:c r="W80" s="9"/>
      <x:c r="X80" s="10"/>
      <x:c r="Y80" s="10"/>
      <x:c r="Z80" s="9"/>
      <x:c r="AA80" s="9"/>
      <x:c r="AB80" s="9"/>
      <x:c r="AC80" s="9" t="str">
        <x:v>behind</x:v>
      </x:c>
      <x:c r="AD80" s="9" t="str">
        <x:v>blue block</x:v>
      </x:c>
      <x:c r="AE80" s="9" t="str">
        <x:v>red block</x:v>
      </x:c>
      <x:c r="AF80" s="9" t="str">
        <x:v>None</x:v>
      </x:c>
      <x:c r="AG80" s="9"/>
      <x:c r="AH80" s="9"/>
      <x:c r="AI80" s="11"/>
      <x:c r="AJ80" s="9"/>
      <x:c r="AK80" s="9" t="str">
        <x:v>Eval_Relational_Placement (1).xlsm</x:v>
      </x:c>
      <x:c r="AL80" s="9" t="str">
        <x:v>GR00T</x:v>
      </x:c>
      <x:c r="AM80" s="9" t="n">
        <x:v>21</x:v>
      </x:c>
      <x:c r="AN80" s="9" t="n">
        <x:v>21</x:v>
      </x:c>
    </x:row>
    <x:row r="81">
      <x:c r="A81" s="9" t="str">
        <x:v>Success</x:v>
      </x:c>
      <x:c r="B81" s="9" t="str">
        <x:v>Referential Disambiguation</x:v>
      </x:c>
      <x:c r="C81" s="10" t="n">
        <x:v>0</x:v>
      </x:c>
      <x:c r="D81" s="9" t="str">
        <x:v>Move the crushed soda can lying between the green pencil sharpener and the green pen into the bowl.</x:v>
      </x:c>
      <x:c r="E81" s="9" t="str">
        <x:v>crushed Coke can; crushed Pepsi can; green pencil sharpener; green pen</x:v>
      </x:c>
      <x:c r="F81" s="9" t="str">
        <x:v>crushed Coke can</x:v>
      </x:c>
      <x:c r="G81" s="9"/>
      <x:c r="H81" s="9" t="str">
        <x:v>In-distribution concept baseline</x:v>
      </x:c>
      <x:c r="I81" s="9" t="str">
        <x:v>RD-ID01</x:v>
      </x:c>
      <x:c r="J81" s="9" t="str">
        <x:v>Exact training-supported relation × candidate-category baseline</x:v>
      </x:c>
      <x:c r="K81" s="9"/>
      <x:c r="L81" s="9" t="str">
        <x:v>430</x:v>
      </x:c>
      <x:c r="M81" s="9" t="str">
        <x:v>Exact manifest cell: prompt, relation × candidate-category combination, target identity, and object membership are explicitly represented in training; physical positions are manually recreated with a clear margin.</x:v>
      </x:c>
      <x:c r="N81" s="9" t="n">
        <x:v>1</x:v>
      </x:c>
      <x:c r="O81" s="9" t="str">
        <x:v>Place the 4 listed objects. Arrange Expected Target as the unique answer to the prompt; keep the bowl empty.</x:v>
      </x:c>
      <x:c r="P81" s="9" t="str">
        <x:v>The relation, candidate category, target identity, and object membership occur together in the cited training episode.</x:v>
      </x:c>
      <x:c r="Q81" s="9"/>
      <x:c r="R81" s="10" t="n">
        <x:v>4</x:v>
      </x:c>
      <x:c r="S81" s="10" t="n">
        <x:v>1</x:v>
      </x:c>
      <x:c r="T81" s="9" t="str">
        <x:v>Empty</x:v>
      </x:c>
      <x:c r="U81" s="9"/>
      <x:c r="V81" s="9"/>
      <x:c r="W81" s="9"/>
      <x:c r="X81" s="10"/>
      <x:c r="Y81" s="10"/>
      <x:c r="Z81" s="9"/>
      <x:c r="AA81" s="9"/>
      <x:c r="AB81" s="9" t="str">
        <x:v>between</x:v>
      </x:c>
      <x:c r="AC81" s="9"/>
      <x:c r="AD81" s="9"/>
      <x:c r="AE81" s="9"/>
      <x:c r="AF81" s="9"/>
      <x:c r="AG81" s="9" t="str">
        <x:v>crushed soda can</x:v>
      </x:c>
      <x:c r="AH81" s="9"/>
      <x:c r="AI81" s="11"/>
      <x:c r="AJ81" s="9"/>
      <x:c r="AK81" s="9" t="str">
        <x:v>Eval_Referential_Disambiguation.xlsm</x:v>
      </x:c>
      <x:c r="AL81" s="9" t="str">
        <x:v>GR00T Results</x:v>
      </x:c>
      <x:c r="AM81" s="9" t="n">
        <x:v>2</x:v>
      </x:c>
      <x:c r="AN81" s="9" t="n">
        <x:v>2</x:v>
      </x:c>
    </x:row>
    <x:row r="82">
      <x:c r="A82" s="9" t="str">
        <x:v>Failure</x:v>
      </x:c>
      <x:c r="B82" s="9" t="str">
        <x:v>Referential Disambiguation</x:v>
      </x:c>
      <x:c r="C82" s="10" t="n">
        <x:v>1</x:v>
      </x:c>
      <x:c r="D82" s="9" t="str">
        <x:v>Pick up the crushed soda can positioned between the airplane toy with propellers and the green pen, then place it in the bowl.</x:v>
      </x:c>
      <x:c r="E82" s="9" t="str">
        <x:v>crushed Coke can; crushed Pepsi can; airplane toy with propellers; green pen; green pencil sharpener</x:v>
      </x:c>
      <x:c r="F82" s="9" t="str">
        <x:v>crushed Coke can</x:v>
      </x:c>
      <x:c r="G82" s="9" t="str">
        <x:v>picked coke can</x:v>
      </x:c>
      <x:c r="H82" s="9" t="str">
        <x:v>In-distribution concept baseline</x:v>
      </x:c>
      <x:c r="I82" s="9" t="str">
        <x:v>RD-ID02</x:v>
      </x:c>
      <x:c r="J82" s="9" t="str">
        <x:v>Exact training-supported relation × candidate-category baseline</x:v>
      </x:c>
      <x:c r="K82" s="9"/>
      <x:c r="L82" s="9" t="str">
        <x:v>432</x:v>
      </x:c>
      <x:c r="M82" s="9" t="str">
        <x:v>Exact manifest cell: prompt, relation × candidate-category combination, target identity, and object membership are explicitly represented in training; physical positions are manually recreated with a clear margin.</x:v>
      </x:c>
      <x:c r="N82" s="9" t="n">
        <x:v>1</x:v>
      </x:c>
      <x:c r="O82" s="9" t="str">
        <x:v>Place the 5 listed objects. Arrange Expected Target as the unique answer to the prompt; keep the bowl empty.</x:v>
      </x:c>
      <x:c r="P82" s="9" t="str">
        <x:v>The relation, candidate category, target identity, and object membership occur together in the cited training episode.</x:v>
      </x:c>
      <x:c r="Q82" s="9"/>
      <x:c r="R82" s="10" t="n">
        <x:v>5</x:v>
      </x:c>
      <x:c r="S82" s="10" t="n">
        <x:v>1</x:v>
      </x:c>
      <x:c r="T82" s="9" t="str">
        <x:v>Empty</x:v>
      </x:c>
      <x:c r="U82" s="9"/>
      <x:c r="V82" s="9"/>
      <x:c r="W82" s="9"/>
      <x:c r="X82" s="10"/>
      <x:c r="Y82" s="10"/>
      <x:c r="Z82" s="9"/>
      <x:c r="AA82" s="9"/>
      <x:c r="AB82" s="9" t="str">
        <x:v>between</x:v>
      </x:c>
      <x:c r="AC82" s="9"/>
      <x:c r="AD82" s="9"/>
      <x:c r="AE82" s="9"/>
      <x:c r="AF82" s="9"/>
      <x:c r="AG82" s="9" t="str">
        <x:v>crushed soda can</x:v>
      </x:c>
      <x:c r="AH82" s="9"/>
      <x:c r="AI82" s="11"/>
      <x:c r="AJ82" s="9"/>
      <x:c r="AK82" s="9" t="str">
        <x:v>Eval_Referential_Disambiguation.xlsm</x:v>
      </x:c>
      <x:c r="AL82" s="9" t="str">
        <x:v>GR00T Results</x:v>
      </x:c>
      <x:c r="AM82" s="9" t="n">
        <x:v>3</x:v>
      </x:c>
      <x:c r="AN82" s="9" t="n">
        <x:v>3</x:v>
      </x:c>
    </x:row>
    <x:row r="83">
      <x:c r="A83" s="9" t="str">
        <x:v>Failure</x:v>
      </x:c>
      <x:c r="B83" s="9" t="str">
        <x:v>Referential Disambiguation</x:v>
      </x:c>
      <x:c r="C83" s="10" t="n">
        <x:v>2</x:v>
      </x:c>
      <x:c r="D83" s="9" t="str">
        <x:v>Pick up the crushed soda can positioned between the airplane toy with propellers and the green pencil sharpener, then place it in the bowl.</x:v>
      </x:c>
      <x:c r="E83" s="9" t="str">
        <x:v>crushed Coke can; crushed Pepsi can; airplane toy with propellers; green pencil sharpener</x:v>
      </x:c>
      <x:c r="F83" s="9" t="str">
        <x:v>crushed Coke can</x:v>
      </x:c>
      <x:c r="G83" s="9" t="str">
        <x:v>picked pepsi can</x:v>
      </x:c>
      <x:c r="H83" s="9" t="str">
        <x:v>In-distribution concept baseline</x:v>
      </x:c>
      <x:c r="I83" s="9" t="str">
        <x:v>RD-ID03</x:v>
      </x:c>
      <x:c r="J83" s="9" t="str">
        <x:v>Exact training-supported relation × candidate-category baseline</x:v>
      </x:c>
      <x:c r="K83" s="9"/>
      <x:c r="L83" s="9" t="str">
        <x:v>431</x:v>
      </x:c>
      <x:c r="M83" s="9" t="str">
        <x:v>Exact manifest cell: prompt, relation × candidate-category combination, target identity, and object membership are explicitly represented in training; physical positions are manually recreated with a clear margin.</x:v>
      </x:c>
      <x:c r="N83" s="9" t="n">
        <x:v>1</x:v>
      </x:c>
      <x:c r="O83" s="9" t="str">
        <x:v>Place the 4 listed objects. Arrange Expected Target as the unique answer to the prompt; keep the bowl empty.</x:v>
      </x:c>
      <x:c r="P83" s="9" t="str">
        <x:v>The relation, candidate category, target identity, and object membership occur together in the cited training episode.</x:v>
      </x:c>
      <x:c r="Q83" s="9"/>
      <x:c r="R83" s="10" t="n">
        <x:v>4</x:v>
      </x:c>
      <x:c r="S83" s="10" t="n">
        <x:v>1</x:v>
      </x:c>
      <x:c r="T83" s="9" t="str">
        <x:v>Empty</x:v>
      </x:c>
      <x:c r="U83" s="9"/>
      <x:c r="V83" s="9"/>
      <x:c r="W83" s="9"/>
      <x:c r="X83" s="10"/>
      <x:c r="Y83" s="10"/>
      <x:c r="Z83" s="9"/>
      <x:c r="AA83" s="9"/>
      <x:c r="AB83" s="9" t="str">
        <x:v>between</x:v>
      </x:c>
      <x:c r="AC83" s="9"/>
      <x:c r="AD83" s="9"/>
      <x:c r="AE83" s="9"/>
      <x:c r="AF83" s="9"/>
      <x:c r="AG83" s="9" t="str">
        <x:v>crushed soda can</x:v>
      </x:c>
      <x:c r="AH83" s="9"/>
      <x:c r="AI83" s="11"/>
      <x:c r="AJ83" s="9"/>
      <x:c r="AK83" s="9" t="str">
        <x:v>Eval_Referential_Disambiguation.xlsm</x:v>
      </x:c>
      <x:c r="AL83" s="9" t="str">
        <x:v>GR00T Results</x:v>
      </x:c>
      <x:c r="AM83" s="9" t="n">
        <x:v>4</x:v>
      </x:c>
      <x:c r="AN83" s="9" t="n">
        <x:v>4</x:v>
      </x:c>
    </x:row>
    <x:row r="84">
      <x:c r="A84" s="9" t="str">
        <x:v>Failure</x:v>
      </x:c>
      <x:c r="B84" s="9" t="str">
        <x:v>Referential Disambiguation</x:v>
      </x:c>
      <x:c r="C84" s="10" t="n">
        <x:v>3</x:v>
      </x:c>
      <x:c r="D84" s="9" t="str">
        <x:v>Pick up the crushed soda can furthest from the green pen and place it in the bowl.</x:v>
      </x:c>
      <x:c r="E84" s="9" t="str">
        <x:v>crushed Coke can; crushed Pepsi can; green pen</x:v>
      </x:c>
      <x:c r="F84" s="9" t="str">
        <x:v>crushed Pepsi can</x:v>
      </x:c>
      <x:c r="G84" s="9" t="str">
        <x:v>picked coke can</x:v>
      </x:c>
      <x:c r="H84" s="9" t="str">
        <x:v>In-distribution concept baseline</x:v>
      </x:c>
      <x:c r="I84" s="9" t="str">
        <x:v>RD-ID04</x:v>
      </x:c>
      <x:c r="J84" s="9" t="str">
        <x:v>Exact training-supported relation × candidate-category baseline</x:v>
      </x:c>
      <x:c r="K84" s="9"/>
      <x:c r="L84" s="9" t="str">
        <x:v>415</x:v>
      </x:c>
      <x:c r="M84" s="9" t="str">
        <x:v>Exact manifest cell: prompt, relation × candidate-category combination, target identity, and object membership are explicitly represented in training; physical positions are manually recreated with a clear margin.</x:v>
      </x:c>
      <x:c r="N84" s="9" t="n">
        <x:v>1</x:v>
      </x:c>
      <x:c r="O84" s="9" t="str">
        <x:v>Place the 3 listed objects. Arrange Expected Target as the unique answer to the prompt; keep the bowl empty.</x:v>
      </x:c>
      <x:c r="P84" s="9" t="str">
        <x:v>The relation, candidate category, target identity, and object membership occur together in the cited training episode.</x:v>
      </x:c>
      <x:c r="Q84" s="9"/>
      <x:c r="R84" s="10" t="n">
        <x:v>3</x:v>
      </x:c>
      <x:c r="S84" s="10" t="n">
        <x:v>1</x:v>
      </x:c>
      <x:c r="T84" s="9" t="str">
        <x:v>Empty</x:v>
      </x:c>
      <x:c r="U84" s="9"/>
      <x:c r="V84" s="9"/>
      <x:c r="W84" s="9"/>
      <x:c r="X84" s="10"/>
      <x:c r="Y84" s="10"/>
      <x:c r="Z84" s="9"/>
      <x:c r="AA84" s="9"/>
      <x:c r="AB84" s="9" t="str">
        <x:v>furthest</x:v>
      </x:c>
      <x:c r="AC84" s="9"/>
      <x:c r="AD84" s="9"/>
      <x:c r="AE84" s="9"/>
      <x:c r="AF84" s="9"/>
      <x:c r="AG84" s="9" t="str">
        <x:v>crushed soda can</x:v>
      </x:c>
      <x:c r="AH84" s="9"/>
      <x:c r="AI84" s="11"/>
      <x:c r="AJ84" s="9"/>
      <x:c r="AK84" s="9" t="str">
        <x:v>Eval_Referential_Disambiguation.xlsm</x:v>
      </x:c>
      <x:c r="AL84" s="9" t="str">
        <x:v>GR00T Results</x:v>
      </x:c>
      <x:c r="AM84" s="9" t="n">
        <x:v>5</x:v>
      </x:c>
      <x:c r="AN84" s="9" t="n">
        <x:v>5</x:v>
      </x:c>
    </x:row>
    <x:row r="85">
      <x:c r="A85" s="9" t="str">
        <x:v>Success</x:v>
      </x:c>
      <x:c r="B85" s="9" t="str">
        <x:v>Referential Disambiguation</x:v>
      </x:c>
      <x:c r="C85" s="10" t="n">
        <x:v>4</x:v>
      </x:c>
      <x:c r="D85" s="9" t="str">
        <x:v>Pick up the crushed soda can furthest from the yellow pen and place it in the bowl.</x:v>
      </x:c>
      <x:c r="E85" s="9" t="str">
        <x:v>crushed Coke can; crushed Pepsi can; yellow pen; airplane toy with propellers</x:v>
      </x:c>
      <x:c r="F85" s="9" t="str">
        <x:v>crushed Coke can</x:v>
      </x:c>
      <x:c r="G85" s="9"/>
      <x:c r="H85" s="9" t="str">
        <x:v>In-distribution concept baseline</x:v>
      </x:c>
      <x:c r="I85" s="9" t="str">
        <x:v>RD-ID05</x:v>
      </x:c>
      <x:c r="J85" s="9" t="str">
        <x:v>Exact training-supported relation × candidate-category baseline</x:v>
      </x:c>
      <x:c r="K85" s="9"/>
      <x:c r="L85" s="9" t="str">
        <x:v>416</x:v>
      </x:c>
      <x:c r="M85" s="9" t="str">
        <x:v>Exact manifest cell: prompt, relation × candidate-category combination, target identity, and object membership are explicitly represented in training; physical positions are manually recreated with a clear margin.</x:v>
      </x:c>
      <x:c r="N85" s="9" t="n">
        <x:v>1</x:v>
      </x:c>
      <x:c r="O85" s="9" t="str">
        <x:v>Place the 4 listed objects. Arrange Expected Target as the unique answer to the prompt; keep the bowl empty.</x:v>
      </x:c>
      <x:c r="P85" s="9" t="str">
        <x:v>The relation, candidate category, target identity, and object membership occur together in the cited training episode.</x:v>
      </x:c>
      <x:c r="Q85" s="9"/>
      <x:c r="R85" s="10" t="n">
        <x:v>4</x:v>
      </x:c>
      <x:c r="S85" s="10" t="n">
        <x:v>1</x:v>
      </x:c>
      <x:c r="T85" s="9" t="str">
        <x:v>Empty</x:v>
      </x:c>
      <x:c r="U85" s="9"/>
      <x:c r="V85" s="9"/>
      <x:c r="W85" s="9"/>
      <x:c r="X85" s="10"/>
      <x:c r="Y85" s="10"/>
      <x:c r="Z85" s="9"/>
      <x:c r="AA85" s="9"/>
      <x:c r="AB85" s="9" t="str">
        <x:v>furthest</x:v>
      </x:c>
      <x:c r="AC85" s="9"/>
      <x:c r="AD85" s="9"/>
      <x:c r="AE85" s="9"/>
      <x:c r="AF85" s="9"/>
      <x:c r="AG85" s="9" t="str">
        <x:v>crushed soda can</x:v>
      </x:c>
      <x:c r="AH85" s="9"/>
      <x:c r="AI85" s="11"/>
      <x:c r="AJ85" s="9"/>
      <x:c r="AK85" s="9" t="str">
        <x:v>Eval_Referential_Disambiguation.xlsm</x:v>
      </x:c>
      <x:c r="AL85" s="9" t="str">
        <x:v>GR00T Results</x:v>
      </x:c>
      <x:c r="AM85" s="9" t="n">
        <x:v>6</x:v>
      </x:c>
      <x:c r="AN85" s="9" t="n">
        <x:v>6</x:v>
      </x:c>
    </x:row>
    <x:row r="86">
      <x:c r="A86" s="9" t="str">
        <x:v>Failure</x:v>
      </x:c>
      <x:c r="B86" s="9" t="str">
        <x:v>Referential Disambiguation</x:v>
      </x:c>
      <x:c r="C86" s="10" t="n">
        <x:v>5</x:v>
      </x:c>
      <x:c r="D86" s="9" t="str">
        <x:v>Pick up the pencil sharpener nearest to the crushed Coke can and place it in the bowl.</x:v>
      </x:c>
      <x:c r="E86" s="9" t="str">
        <x:v>green pencil sharpener; red pencil sharpener; crushed Coke can</x:v>
      </x:c>
      <x:c r="F86" s="9" t="str">
        <x:v>green pencil sharpener</x:v>
      </x:c>
      <x:c r="G86" s="9" t="str">
        <x:v>tried to pick the crushed coke can, but knocked it over.</x:v>
      </x:c>
      <x:c r="H86" s="9" t="str">
        <x:v>In-distribution concept baseline</x:v>
      </x:c>
      <x:c r="I86" s="9" t="str">
        <x:v>RD-ID06</x:v>
      </x:c>
      <x:c r="J86" s="9" t="str">
        <x:v>Exact training-supported relation × candidate-category baseline</x:v>
      </x:c>
      <x:c r="K86" s="9"/>
      <x:c r="L86" s="9" t="str">
        <x:v>450</x:v>
      </x:c>
      <x:c r="M86" s="9" t="str">
        <x:v>Exact manifest cell: prompt, relation × candidate-category combination, target identity, and object membership are explicitly represented in training; physical positions are manually recreated with a clear margin.</x:v>
      </x:c>
      <x:c r="N86" s="9" t="n">
        <x:v>1</x:v>
      </x:c>
      <x:c r="O86" s="9" t="str">
        <x:v>Place the 3 listed objects. Arrange Expected Target as the unique answer to the prompt; keep the bowl empty.</x:v>
      </x:c>
      <x:c r="P86" s="9" t="str">
        <x:v>The relation, candidate category, target identity, and object membership occur together in the cited training episode.</x:v>
      </x:c>
      <x:c r="Q86" s="9"/>
      <x:c r="R86" s="10" t="n">
        <x:v>3</x:v>
      </x:c>
      <x:c r="S86" s="10" t="n">
        <x:v>1</x:v>
      </x:c>
      <x:c r="T86" s="9" t="str">
        <x:v>Empty</x:v>
      </x:c>
      <x:c r="U86" s="9"/>
      <x:c r="V86" s="9"/>
      <x:c r="W86" s="9"/>
      <x:c r="X86" s="10"/>
      <x:c r="Y86" s="10"/>
      <x:c r="Z86" s="9"/>
      <x:c r="AA86" s="9"/>
      <x:c r="AB86" s="9" t="str">
        <x:v>closest</x:v>
      </x:c>
      <x:c r="AC86" s="9"/>
      <x:c r="AD86" s="9"/>
      <x:c r="AE86" s="9"/>
      <x:c r="AF86" s="9"/>
      <x:c r="AG86" s="9" t="str">
        <x:v>pencil sharpener</x:v>
      </x:c>
      <x:c r="AH86" s="9"/>
      <x:c r="AI86" s="11"/>
      <x:c r="AJ86" s="9"/>
      <x:c r="AK86" s="9" t="str">
        <x:v>Eval_Referential_Disambiguation.xlsm</x:v>
      </x:c>
      <x:c r="AL86" s="9" t="str">
        <x:v>GR00T Results</x:v>
      </x:c>
      <x:c r="AM86" s="9" t="n">
        <x:v>7</x:v>
      </x:c>
      <x:c r="AN86" s="9" t="n">
        <x:v>7</x:v>
      </x:c>
    </x:row>
    <x:row r="87">
      <x:c r="A87" s="9" t="str">
        <x:v>Failure</x:v>
      </x:c>
      <x:c r="B87" s="9" t="str">
        <x:v>Referential Disambiguation</x:v>
      </x:c>
      <x:c r="C87" s="10" t="n">
        <x:v>6</x:v>
      </x:c>
      <x:c r="D87" s="9" t="str">
        <x:v>Move the pencil sharpener that is closest to the crushed Pepsi can into the bowl.</x:v>
      </x:c>
      <x:c r="E87" s="9" t="str">
        <x:v>green pencil sharpener; red pencil sharpener; crushed Pepsi can; airplane toy with propellers</x:v>
      </x:c>
      <x:c r="F87" s="9" t="str">
        <x:v>red pencil sharpener</x:v>
      </x:c>
      <x:c r="G87" s="9" t="str">
        <x:v>went for the pepsi can, but couldn't grasp it</x:v>
      </x:c>
      <x:c r="H87" s="9" t="str">
        <x:v>In-distribution concept baseline</x:v>
      </x:c>
      <x:c r="I87" s="9" t="str">
        <x:v>RD-ID07</x:v>
      </x:c>
      <x:c r="J87" s="9" t="str">
        <x:v>Exact training-supported relation × candidate-category baseline</x:v>
      </x:c>
      <x:c r="K87" s="9"/>
      <x:c r="L87" s="9" t="str">
        <x:v>451</x:v>
      </x:c>
      <x:c r="M87" s="9" t="str">
        <x:v>Exact manifest cell: prompt, relation × candidate-category combination, target identity, and object membership are explicitly represented in training; physical positions are manually recreated with a clear margin.</x:v>
      </x:c>
      <x:c r="N87" s="9" t="n">
        <x:v>1</x:v>
      </x:c>
      <x:c r="O87" s="9" t="str">
        <x:v>Place the 4 listed objects. Arrange Expected Target as the unique answer to the prompt; keep the bowl empty.</x:v>
      </x:c>
      <x:c r="P87" s="9" t="str">
        <x:v>The relation, candidate category, target identity, and object membership occur together in the cited training episode.</x:v>
      </x:c>
      <x:c r="Q87" s="9"/>
      <x:c r="R87" s="10" t="n">
        <x:v>4</x:v>
      </x:c>
      <x:c r="S87" s="10" t="n">
        <x:v>1</x:v>
      </x:c>
      <x:c r="T87" s="9" t="str">
        <x:v>Empty</x:v>
      </x:c>
      <x:c r="U87" s="9"/>
      <x:c r="V87" s="9"/>
      <x:c r="W87" s="9"/>
      <x:c r="X87" s="10"/>
      <x:c r="Y87" s="10"/>
      <x:c r="Z87" s="9"/>
      <x:c r="AA87" s="9"/>
      <x:c r="AB87" s="9" t="str">
        <x:v>closest</x:v>
      </x:c>
      <x:c r="AC87" s="9"/>
      <x:c r="AD87" s="9"/>
      <x:c r="AE87" s="9"/>
      <x:c r="AF87" s="9"/>
      <x:c r="AG87" s="9" t="str">
        <x:v>pencil sharpener</x:v>
      </x:c>
      <x:c r="AH87" s="9"/>
      <x:c r="AI87" s="11"/>
      <x:c r="AJ87" s="9"/>
      <x:c r="AK87" s="9" t="str">
        <x:v>Eval_Referential_Disambiguation.xlsm</x:v>
      </x:c>
      <x:c r="AL87" s="9" t="str">
        <x:v>GR00T Results</x:v>
      </x:c>
      <x:c r="AM87" s="9" t="n">
        <x:v>8</x:v>
      </x:c>
      <x:c r="AN87" s="9" t="n">
        <x:v>8</x:v>
      </x:c>
    </x:row>
    <x:row r="88">
      <x:c r="A88" s="9" t="str">
        <x:v>Success</x:v>
      </x:c>
      <x:c r="B88" s="9" t="str">
        <x:v>Referential Disambiguation</x:v>
      </x:c>
      <x:c r="C88" s="10" t="n">
        <x:v>7</x:v>
      </x:c>
      <x:c r="D88" s="9" t="str">
        <x:v>Move the pencil sharpener that is closest to the green pen into the bowl.</x:v>
      </x:c>
      <x:c r="E88" s="9" t="str">
        <x:v>green pencil sharpener; red pencil sharpener; green pen</x:v>
      </x:c>
      <x:c r="F88" s="9" t="str">
        <x:v>green pencil sharpener</x:v>
      </x:c>
      <x:c r="G88" s="9"/>
      <x:c r="H88" s="9" t="str">
        <x:v>In-distribution concept baseline</x:v>
      </x:c>
      <x:c r="I88" s="9" t="str">
        <x:v>RD-ID08</x:v>
      </x:c>
      <x:c r="J88" s="9" t="str">
        <x:v>Exact training-supported relation × candidate-category baseline</x:v>
      </x:c>
      <x:c r="K88" s="9"/>
      <x:c r="L88" s="9" t="str">
        <x:v>452</x:v>
      </x:c>
      <x:c r="M88" s="9" t="str">
        <x:v>Exact manifest cell: prompt, relation × candidate-category combination, target identity, and object membership are explicitly represented in training; physical positions are manually recreated with a clear margin.</x:v>
      </x:c>
      <x:c r="N88" s="9" t="n">
        <x:v>1</x:v>
      </x:c>
      <x:c r="O88" s="9" t="str">
        <x:v>Place the 3 listed objects. Arrange Expected Target as the unique answer to the prompt; keep the bowl empty.</x:v>
      </x:c>
      <x:c r="P88" s="9" t="str">
        <x:v>The relation, candidate category, target identity, and object membership occur together in the cited training episode.</x:v>
      </x:c>
      <x:c r="Q88" s="9"/>
      <x:c r="R88" s="10" t="n">
        <x:v>3</x:v>
      </x:c>
      <x:c r="S88" s="10" t="n">
        <x:v>1</x:v>
      </x:c>
      <x:c r="T88" s="9" t="str">
        <x:v>Empty</x:v>
      </x:c>
      <x:c r="U88" s="9"/>
      <x:c r="V88" s="9"/>
      <x:c r="W88" s="9"/>
      <x:c r="X88" s="10"/>
      <x:c r="Y88" s="10"/>
      <x:c r="Z88" s="9"/>
      <x:c r="AA88" s="9"/>
      <x:c r="AB88" s="9" t="str">
        <x:v>closest</x:v>
      </x:c>
      <x:c r="AC88" s="9"/>
      <x:c r="AD88" s="9"/>
      <x:c r="AE88" s="9"/>
      <x:c r="AF88" s="9"/>
      <x:c r="AG88" s="9" t="str">
        <x:v>pencil sharpener</x:v>
      </x:c>
      <x:c r="AH88" s="9"/>
      <x:c r="AI88" s="11"/>
      <x:c r="AJ88" s="9"/>
      <x:c r="AK88" s="9" t="str">
        <x:v>Eval_Referential_Disambiguation.xlsm</x:v>
      </x:c>
      <x:c r="AL88" s="9" t="str">
        <x:v>GR00T Results</x:v>
      </x:c>
      <x:c r="AM88" s="9" t="n">
        <x:v>9</x:v>
      </x:c>
      <x:c r="AN88" s="9" t="n">
        <x:v>9</x:v>
      </x:c>
    </x:row>
    <x:row r="89">
      <x:c r="A89" s="9" t="str">
        <x:v>Failure</x:v>
      </x:c>
      <x:c r="B89" s="9" t="str">
        <x:v>Referential Disambiguation</x:v>
      </x:c>
      <x:c r="C89" s="10" t="n">
        <x:v>8</x:v>
      </x:c>
      <x:c r="D89" s="9" t="str">
        <x:v>Pick up the pencil sharpener furthest from the yellow pen and place it in the bowl.</x:v>
      </x:c>
      <x:c r="E89" s="9" t="str">
        <x:v>green pencil sharpener; red pencil sharpener; yellow pen; airplane toy without propellers</x:v>
      </x:c>
      <x:c r="F89" s="9" t="str">
        <x:v>green pencil sharpener</x:v>
      </x:c>
      <x:c r="G89" s="9" t="str">
        <x:v>picked the yellow pen</x:v>
      </x:c>
      <x:c r="H89" s="9" t="str">
        <x:v>In-distribution concept baseline</x:v>
      </x:c>
      <x:c r="I89" s="9" t="str">
        <x:v>RD-ID09</x:v>
      </x:c>
      <x:c r="J89" s="9" t="str">
        <x:v>Exact training-supported relation × candidate-category baseline</x:v>
      </x:c>
      <x:c r="K89" s="9"/>
      <x:c r="L89" s="9" t="str">
        <x:v>466</x:v>
      </x:c>
      <x:c r="M89" s="9" t="str">
        <x:v>Exact manifest cell: prompt, relation × candidate-category combination, target identity, and object membership are explicitly represented in training; physical positions are manually recreated with a clear margin.</x:v>
      </x:c>
      <x:c r="N89" s="9" t="n">
        <x:v>1</x:v>
      </x:c>
      <x:c r="O89" s="9" t="str">
        <x:v>Place the 4 listed objects. Arrange Expected Target as the unique answer to the prompt; keep the bowl empty.</x:v>
      </x:c>
      <x:c r="P89" s="9" t="str">
        <x:v>The relation, candidate category, target identity, and object membership occur together in the cited training episode.</x:v>
      </x:c>
      <x:c r="Q89" s="9"/>
      <x:c r="R89" s="10" t="n">
        <x:v>4</x:v>
      </x:c>
      <x:c r="S89" s="10" t="n">
        <x:v>1</x:v>
      </x:c>
      <x:c r="T89" s="9" t="str">
        <x:v>Empty</x:v>
      </x:c>
      <x:c r="U89" s="9"/>
      <x:c r="V89" s="9"/>
      <x:c r="W89" s="9"/>
      <x:c r="X89" s="10"/>
      <x:c r="Y89" s="10"/>
      <x:c r="Z89" s="9"/>
      <x:c r="AA89" s="9"/>
      <x:c r="AB89" s="9" t="str">
        <x:v>furthest</x:v>
      </x:c>
      <x:c r="AC89" s="9"/>
      <x:c r="AD89" s="9"/>
      <x:c r="AE89" s="9"/>
      <x:c r="AF89" s="9"/>
      <x:c r="AG89" s="9" t="str">
        <x:v>pencil sharpener</x:v>
      </x:c>
      <x:c r="AH89" s="9"/>
      <x:c r="AI89" s="11"/>
      <x:c r="AJ89" s="9"/>
      <x:c r="AK89" s="9" t="str">
        <x:v>Eval_Referential_Disambiguation.xlsm</x:v>
      </x:c>
      <x:c r="AL89" s="9" t="str">
        <x:v>GR00T Results</x:v>
      </x:c>
      <x:c r="AM89" s="9" t="n">
        <x:v>10</x:v>
      </x:c>
      <x:c r="AN89" s="9" t="n">
        <x:v>10</x:v>
      </x:c>
    </x:row>
    <x:row r="90">
      <x:c r="A90" s="9" t="str">
        <x:v>Failure</x:v>
      </x:c>
      <x:c r="B90" s="9" t="str">
        <x:v>Referential Disambiguation</x:v>
      </x:c>
      <x:c r="C90" s="10" t="n">
        <x:v>9</x:v>
      </x:c>
      <x:c r="D90" s="9" t="str">
        <x:v>Pick up the pencil sharpener furthest from the green pen and place it in the bowl.</x:v>
      </x:c>
      <x:c r="E90" s="9" t="str">
        <x:v>green pencil sharpener; red pencil sharpener; green pen</x:v>
      </x:c>
      <x:c r="F90" s="9" t="str">
        <x:v>red pencil sharpener</x:v>
      </x:c>
      <x:c r="G90" s="9" t="str">
        <x:v>successfully grasped the red pencil sharpener, but then dropped it. After, went for green pen, but couldn't grasp it.</x:v>
      </x:c>
      <x:c r="H90" s="9" t="str">
        <x:v>In-distribution concept baseline</x:v>
      </x:c>
      <x:c r="I90" s="9" t="str">
        <x:v>RD-ID10</x:v>
      </x:c>
      <x:c r="J90" s="9" t="str">
        <x:v>Exact training-supported relation × candidate-category baseline</x:v>
      </x:c>
      <x:c r="K90" s="9"/>
      <x:c r="L90" s="9" t="str">
        <x:v>465</x:v>
      </x:c>
      <x:c r="M90" s="9" t="str">
        <x:v>Exact manifest cell: prompt, relation × candidate-category combination, target identity, and object membership are explicitly represented in training; physical positions are manually recreated with a clear margin.</x:v>
      </x:c>
      <x:c r="N90" s="9" t="n">
        <x:v>1</x:v>
      </x:c>
      <x:c r="O90" s="9" t="str">
        <x:v>Place the 3 listed objects. Arrange Expected Target as the unique answer to the prompt; keep the bowl empty.</x:v>
      </x:c>
      <x:c r="P90" s="9" t="str">
        <x:v>The relation, candidate category, target identity, and object membership occur together in the cited training episode.</x:v>
      </x:c>
      <x:c r="Q90" s="9"/>
      <x:c r="R90" s="10" t="n">
        <x:v>3</x:v>
      </x:c>
      <x:c r="S90" s="10" t="n">
        <x:v>1</x:v>
      </x:c>
      <x:c r="T90" s="9" t="str">
        <x:v>Empty</x:v>
      </x:c>
      <x:c r="U90" s="9"/>
      <x:c r="V90" s="9"/>
      <x:c r="W90" s="9"/>
      <x:c r="X90" s="10"/>
      <x:c r="Y90" s="10"/>
      <x:c r="Z90" s="9"/>
      <x:c r="AA90" s="9"/>
      <x:c r="AB90" s="9" t="str">
        <x:v>furthest</x:v>
      </x:c>
      <x:c r="AC90" s="9"/>
      <x:c r="AD90" s="9"/>
      <x:c r="AE90" s="9"/>
      <x:c r="AF90" s="9"/>
      <x:c r="AG90" s="9" t="str">
        <x:v>pencil sharpener</x:v>
      </x:c>
      <x:c r="AH90" s="9"/>
      <x:c r="AI90" s="11"/>
      <x:c r="AJ90" s="9"/>
      <x:c r="AK90" s="9" t="str">
        <x:v>Eval_Referential_Disambiguation.xlsm</x:v>
      </x:c>
      <x:c r="AL90" s="9" t="str">
        <x:v>GR00T Results</x:v>
      </x:c>
      <x:c r="AM90" s="9" t="n">
        <x:v>11</x:v>
      </x:c>
      <x:c r="AN90" s="9" t="n">
        <x:v>11</x:v>
      </x:c>
    </x:row>
    <x:row r="91">
      <x:c r="A91" s="9" t="str">
        <x:v>Success</x:v>
      </x:c>
      <x:c r="B91" s="9" t="str">
        <x:v>Referential Disambiguation</x:v>
      </x:c>
      <x:c r="C91" s="10" t="n">
        <x:v>10</x:v>
      </x:c>
      <x:c r="D91" s="9" t="str">
        <x:v>Put the airplane toy closest to the green pencil sharpener in the bowl.</x:v>
      </x:c>
      <x:c r="E91" s="9" t="str">
        <x:v>airplane toy with propellers; airplane toy without propellers; green pencil sharpener; red pencil sharpener</x:v>
      </x:c>
      <x:c r="F91" s="9" t="str">
        <x:v>airplane toy with propellers</x:v>
      </x:c>
      <x:c r="G91" s="9"/>
      <x:c r="H91" s="9" t="str">
        <x:v>In-distribution concept baseline</x:v>
      </x:c>
      <x:c r="I91" s="9" t="str">
        <x:v>RD-ID11</x:v>
      </x:c>
      <x:c r="J91" s="9" t="str">
        <x:v>Exact training-supported relation × candidate-category baseline</x:v>
      </x:c>
      <x:c r="K91" s="9"/>
      <x:c r="L91" s="9" t="str">
        <x:v>564</x:v>
      </x:c>
      <x:c r="M91" s="9" t="str">
        <x:v>Exact manifest cell: prompt, relation × candidate-category combination, target identity, and object membership are explicitly represented in training; physical positions are manually recreated with a clear margin.</x:v>
      </x:c>
      <x:c r="N91" s="9" t="n">
        <x:v>1</x:v>
      </x:c>
      <x:c r="O91" s="9" t="str">
        <x:v>Place the 4 listed objects. Arrange Expected Target as the unique answer to the prompt; keep the bowl empty.</x:v>
      </x:c>
      <x:c r="P91" s="9" t="str">
        <x:v>The relation, candidate category, target identity, and object membership occur together in the cited training episode.</x:v>
      </x:c>
      <x:c r="Q91" s="9"/>
      <x:c r="R91" s="10" t="n">
        <x:v>4</x:v>
      </x:c>
      <x:c r="S91" s="10" t="n">
        <x:v>1</x:v>
      </x:c>
      <x:c r="T91" s="9" t="str">
        <x:v>Empty</x:v>
      </x:c>
      <x:c r="U91" s="9"/>
      <x:c r="V91" s="9"/>
      <x:c r="W91" s="9"/>
      <x:c r="X91" s="10"/>
      <x:c r="Y91" s="10"/>
      <x:c r="Z91" s="9"/>
      <x:c r="AA91" s="9"/>
      <x:c r="AB91" s="9" t="str">
        <x:v>closest</x:v>
      </x:c>
      <x:c r="AC91" s="9"/>
      <x:c r="AD91" s="9"/>
      <x:c r="AE91" s="9"/>
      <x:c r="AF91" s="9"/>
      <x:c r="AG91" s="9" t="str">
        <x:v>airplane toy</x:v>
      </x:c>
      <x:c r="AH91" s="9"/>
      <x:c r="AI91" s="11"/>
      <x:c r="AJ91" s="9"/>
      <x:c r="AK91" s="9" t="str">
        <x:v>Eval_Referential_Disambiguation.xlsm</x:v>
      </x:c>
      <x:c r="AL91" s="9" t="str">
        <x:v>GR00T Results</x:v>
      </x:c>
      <x:c r="AM91" s="9" t="n">
        <x:v>12</x:v>
      </x:c>
      <x:c r="AN91" s="9" t="n">
        <x:v>12</x:v>
      </x:c>
    </x:row>
    <x:row r="92">
      <x:c r="A92" s="9" t="str">
        <x:v>Failure</x:v>
      </x:c>
      <x:c r="B92" s="9" t="str">
        <x:v>Referential Disambiguation</x:v>
      </x:c>
      <x:c r="C92" s="10" t="n">
        <x:v>11</x:v>
      </x:c>
      <x:c r="D92" s="9" t="str">
        <x:v>Put the airplane toy closest to the green pen in the bowl.</x:v>
      </x:c>
      <x:c r="E92" s="9" t="str">
        <x:v>airplane toy with propellers; airplane toy without propellers; green pen</x:v>
      </x:c>
      <x:c r="F92" s="9" t="str">
        <x:v>airplane toy with propellers</x:v>
      </x:c>
      <x:c r="G92" s="9" t="str">
        <x:v>picked airplane toy furthest</x:v>
      </x:c>
      <x:c r="H92" s="9" t="str">
        <x:v>In-distribution concept baseline</x:v>
      </x:c>
      <x:c r="I92" s="9" t="str">
        <x:v>RD-ID12</x:v>
      </x:c>
      <x:c r="J92" s="9" t="str">
        <x:v>Exact training-supported relation × candidate-category baseline</x:v>
      </x:c>
      <x:c r="K92" s="9"/>
      <x:c r="L92" s="9" t="str">
        <x:v>550</x:v>
      </x:c>
      <x:c r="M92" s="9" t="str">
        <x:v>Exact manifest cell: prompt, relation × candidate-category combination, target identity, and object membership are explicitly represented in training; physical positions are manually recreated with a clear margin.</x:v>
      </x:c>
      <x:c r="N92" s="9" t="n">
        <x:v>1</x:v>
      </x:c>
      <x:c r="O92" s="9" t="str">
        <x:v>Place the 3 listed objects. Arrange Expected Target as the unique answer to the prompt; keep the bowl empty.</x:v>
      </x:c>
      <x:c r="P92" s="9" t="str">
        <x:v>The relation, candidate category, target identity, and object membership occur together in the cited training episode.</x:v>
      </x:c>
      <x:c r="Q92" s="9"/>
      <x:c r="R92" s="10" t="n">
        <x:v>3</x:v>
      </x:c>
      <x:c r="S92" s="10" t="n">
        <x:v>1</x:v>
      </x:c>
      <x:c r="T92" s="9" t="str">
        <x:v>Empty</x:v>
      </x:c>
      <x:c r="U92" s="9"/>
      <x:c r="V92" s="9"/>
      <x:c r="W92" s="9"/>
      <x:c r="X92" s="10"/>
      <x:c r="Y92" s="10"/>
      <x:c r="Z92" s="9"/>
      <x:c r="AA92" s="9"/>
      <x:c r="AB92" s="9" t="str">
        <x:v>closest</x:v>
      </x:c>
      <x:c r="AC92" s="9"/>
      <x:c r="AD92" s="9"/>
      <x:c r="AE92" s="9"/>
      <x:c r="AF92" s="9"/>
      <x:c r="AG92" s="9" t="str">
        <x:v>airplane toy</x:v>
      </x:c>
      <x:c r="AH92" s="9"/>
      <x:c r="AI92" s="11"/>
      <x:c r="AJ92" s="9"/>
      <x:c r="AK92" s="9" t="str">
        <x:v>Eval_Referential_Disambiguation.xlsm</x:v>
      </x:c>
      <x:c r="AL92" s="9" t="str">
        <x:v>GR00T Results</x:v>
      </x:c>
      <x:c r="AM92" s="9" t="n">
        <x:v>13</x:v>
      </x:c>
      <x:c r="AN92" s="9" t="n">
        <x:v>13</x:v>
      </x:c>
    </x:row>
    <x:row r="93">
      <x:c r="A93" s="9" t="str">
        <x:v>Failure</x:v>
      </x:c>
      <x:c r="B93" s="9" t="str">
        <x:v>Referential Disambiguation</x:v>
      </x:c>
      <x:c r="C93" s="10" t="n">
        <x:v>12</x:v>
      </x:c>
      <x:c r="D93" s="9" t="str">
        <x:v>Move the airplane toy lying between the crushed Coke can and the green pencil sharpener into the bowl.</x:v>
      </x:c>
      <x:c r="E93" s="9" t="str">
        <x:v>airplane toy with propellers; airplane toy without propellers; crushed Coke can; green pencil sharpener; red pencil sharpener</x:v>
      </x:c>
      <x:c r="F93" s="9" t="str">
        <x:v>airplane toy with propellers</x:v>
      </x:c>
      <x:c r="G93" s="9" t="str">
        <x:v>picked green pencil sharpener</x:v>
      </x:c>
      <x:c r="H93" s="9" t="str">
        <x:v>In-distribution concept baseline</x:v>
      </x:c>
      <x:c r="I93" s="9" t="str">
        <x:v>RD-ID13</x:v>
      </x:c>
      <x:c r="J93" s="9" t="str">
        <x:v>Exact training-supported relation × candidate-category baseline</x:v>
      </x:c>
      <x:c r="K93" s="9"/>
      <x:c r="L93" s="9" t="str">
        <x:v>587</x:v>
      </x:c>
      <x:c r="M93" s="9" t="str">
        <x:v>Exact manifest cell: prompt, relation × candidate-category combination, target identity, and object membership are explicitly represented in training; physical positions are manually recreated with a clear margin.</x:v>
      </x:c>
      <x:c r="N93" s="9" t="n">
        <x:v>1</x:v>
      </x:c>
      <x:c r="O93" s="9" t="str">
        <x:v>Place the 5 listed objects. Arrange Expected Target as the unique answer to the prompt; keep the bowl empty.</x:v>
      </x:c>
      <x:c r="P93" s="9" t="str">
        <x:v>The relation, candidate category, target identity, and object membership occur together in the cited training episode.</x:v>
      </x:c>
      <x:c r="Q93" s="9"/>
      <x:c r="R93" s="10" t="n">
        <x:v>5</x:v>
      </x:c>
      <x:c r="S93" s="10" t="n">
        <x:v>1</x:v>
      </x:c>
      <x:c r="T93" s="9" t="str">
        <x:v>Empty</x:v>
      </x:c>
      <x:c r="U93" s="9"/>
      <x:c r="V93" s="9"/>
      <x:c r="W93" s="9"/>
      <x:c r="X93" s="10"/>
      <x:c r="Y93" s="10"/>
      <x:c r="Z93" s="9"/>
      <x:c r="AA93" s="9"/>
      <x:c r="AB93" s="9" t="str">
        <x:v>between</x:v>
      </x:c>
      <x:c r="AC93" s="9"/>
      <x:c r="AD93" s="9"/>
      <x:c r="AE93" s="9"/>
      <x:c r="AF93" s="9"/>
      <x:c r="AG93" s="9" t="str">
        <x:v>airplane toy</x:v>
      </x:c>
      <x:c r="AH93" s="9"/>
      <x:c r="AI93" s="11"/>
      <x:c r="AJ93" s="9"/>
      <x:c r="AK93" s="9" t="str">
        <x:v>Eval_Referential_Disambiguation.xlsm</x:v>
      </x:c>
      <x:c r="AL93" s="9" t="str">
        <x:v>GR00T Results</x:v>
      </x:c>
      <x:c r="AM93" s="9" t="n">
        <x:v>14</x:v>
      </x:c>
      <x:c r="AN93" s="9" t="n">
        <x:v>14</x:v>
      </x:c>
    </x:row>
    <x:row r="94">
      <x:c r="A94" s="9" t="str">
        <x:v>Failure</x:v>
      </x:c>
      <x:c r="B94" s="9" t="str">
        <x:v>Referential Disambiguation</x:v>
      </x:c>
      <x:c r="C94" s="10" t="n">
        <x:v>13</x:v>
      </x:c>
      <x:c r="D94" s="9" t="str">
        <x:v>Put the airplane toy between the crushed Coke can and the green pen in the bowl.</x:v>
      </x:c>
      <x:c r="E94" s="9" t="str">
        <x:v>airplane toy with propellers; airplane toy without propellers; crushed Coke can; green pen</x:v>
      </x:c>
      <x:c r="F94" s="9" t="str">
        <x:v>airplane toy without propellers</x:v>
      </x:c>
      <x:c r="G94" s="9" t="str">
        <x:v>picked green pen </x:v>
      </x:c>
      <x:c r="H94" s="9" t="str">
        <x:v>In-distribution concept baseline</x:v>
      </x:c>
      <x:c r="I94" s="9" t="str">
        <x:v>RD-ID14</x:v>
      </x:c>
      <x:c r="J94" s="9" t="str">
        <x:v>Exact training-supported relation × candidate-category baseline</x:v>
      </x:c>
      <x:c r="K94" s="9"/>
      <x:c r="L94" s="9" t="str">
        <x:v>586</x:v>
      </x:c>
      <x:c r="M94" s="9" t="str">
        <x:v>Exact manifest cell: prompt, relation × candidate-category combination, target identity, and object membership are explicitly represented in training; physical positions are manually recreated with a clear margin.</x:v>
      </x:c>
      <x:c r="N94" s="9" t="n">
        <x:v>1</x:v>
      </x:c>
      <x:c r="O94" s="9" t="str">
        <x:v>Place the 4 listed objects. Arrange Expected Target as the unique answer to the prompt; keep the bowl empty.</x:v>
      </x:c>
      <x:c r="P94" s="9" t="str">
        <x:v>The relation, candidate category, target identity, and object membership occur together in the cited training episode.</x:v>
      </x:c>
      <x:c r="Q94" s="9"/>
      <x:c r="R94" s="10" t="n">
        <x:v>4</x:v>
      </x:c>
      <x:c r="S94" s="10" t="n">
        <x:v>1</x:v>
      </x:c>
      <x:c r="T94" s="9" t="str">
        <x:v>Empty</x:v>
      </x:c>
      <x:c r="U94" s="9"/>
      <x:c r="V94" s="9"/>
      <x:c r="W94" s="9"/>
      <x:c r="X94" s="10"/>
      <x:c r="Y94" s="10"/>
      <x:c r="Z94" s="9"/>
      <x:c r="AA94" s="9"/>
      <x:c r="AB94" s="9" t="str">
        <x:v>between</x:v>
      </x:c>
      <x:c r="AC94" s="9"/>
      <x:c r="AD94" s="9"/>
      <x:c r="AE94" s="9"/>
      <x:c r="AF94" s="9"/>
      <x:c r="AG94" s="9" t="str">
        <x:v>airplane toy</x:v>
      </x:c>
      <x:c r="AH94" s="9"/>
      <x:c r="AI94" s="11"/>
      <x:c r="AJ94" s="9"/>
      <x:c r="AK94" s="9" t="str">
        <x:v>Eval_Referential_Disambiguation.xlsm</x:v>
      </x:c>
      <x:c r="AL94" s="9" t="str">
        <x:v>GR00T Results</x:v>
      </x:c>
      <x:c r="AM94" s="9" t="n">
        <x:v>15</x:v>
      </x:c>
      <x:c r="AN94" s="9" t="n">
        <x:v>15</x:v>
      </x:c>
    </x:row>
    <x:row r="95">
      <x:c r="A95" s="9" t="str">
        <x:v>Failure</x:v>
      </x:c>
      <x:c r="B95" s="9" t="str">
        <x:v>Referential Disambiguation</x:v>
      </x:c>
      <x:c r="C95" s="10" t="n">
        <x:v>14</x:v>
      </x:c>
      <x:c r="D95" s="9" t="str">
        <x:v>Pick up the airplane toy positioned between the yellow pen and the crushed Coke can, then place it in the bowl.</x:v>
      </x:c>
      <x:c r="E95" s="9" t="str">
        <x:v>airplane toy with propellers; airplane toy without propellers; yellow pen; crushed Coke can; crushed Pepsi can</x:v>
      </x:c>
      <x:c r="F95" s="9" t="str">
        <x:v>airplane toy with propellers</x:v>
      </x:c>
      <x:c r="G95" s="9" t="str">
        <x:v>picked airplane toy between the pepsi can and yellow pen. Dropped it before placing it in the bowl, and couldn't recover</x:v>
      </x:c>
      <x:c r="H95" s="9" t="str">
        <x:v>In-distribution concept baseline</x:v>
      </x:c>
      <x:c r="I95" s="9" t="str">
        <x:v>RD-ID15</x:v>
      </x:c>
      <x:c r="J95" s="9" t="str">
        <x:v>Exact training-supported relation × candidate-category baseline</x:v>
      </x:c>
      <x:c r="K95" s="9"/>
      <x:c r="L95" s="9" t="str">
        <x:v>589</x:v>
      </x:c>
      <x:c r="M95" s="9" t="str">
        <x:v>Exact manifest cell: prompt, relation × candidate-category combination, target identity, and object membership are explicitly represented in training; physical positions are manually recreated with a clear margin.</x:v>
      </x:c>
      <x:c r="N95" s="9" t="n">
        <x:v>1</x:v>
      </x:c>
      <x:c r="O95" s="9" t="str">
        <x:v>Place the 5 listed objects. Arrange Expected Target as the unique answer to the prompt; keep the bowl empty.</x:v>
      </x:c>
      <x:c r="P95" s="9" t="str">
        <x:v>The relation, candidate category, target identity, and object membership occur together in the cited training episode.</x:v>
      </x:c>
      <x:c r="Q95" s="9"/>
      <x:c r="R95" s="10" t="n">
        <x:v>5</x:v>
      </x:c>
      <x:c r="S95" s="10" t="n">
        <x:v>1</x:v>
      </x:c>
      <x:c r="T95" s="9" t="str">
        <x:v>Empty</x:v>
      </x:c>
      <x:c r="U95" s="9"/>
      <x:c r="V95" s="9"/>
      <x:c r="W95" s="9"/>
      <x:c r="X95" s="10"/>
      <x:c r="Y95" s="10"/>
      <x:c r="Z95" s="9"/>
      <x:c r="AA95" s="9"/>
      <x:c r="AB95" s="9" t="str">
        <x:v>between</x:v>
      </x:c>
      <x:c r="AC95" s="9"/>
      <x:c r="AD95" s="9"/>
      <x:c r="AE95" s="9"/>
      <x:c r="AF95" s="9"/>
      <x:c r="AG95" s="9" t="str">
        <x:v>airplane toy</x:v>
      </x:c>
      <x:c r="AH95" s="9"/>
      <x:c r="AI95" s="11"/>
      <x:c r="AJ95" s="9"/>
      <x:c r="AK95" s="9" t="str">
        <x:v>Eval_Referential_Disambiguation.xlsm</x:v>
      </x:c>
      <x:c r="AL95" s="9" t="str">
        <x:v>GR00T Results</x:v>
      </x:c>
      <x:c r="AM95" s="9" t="n">
        <x:v>16</x:v>
      </x:c>
      <x:c r="AN95" s="9" t="n">
        <x:v>16</x:v>
      </x:c>
    </x:row>
    <x:row r="96">
      <x:c r="A96" s="9" t="str">
        <x:v>Failure</x:v>
      </x:c>
      <x:c r="B96" s="9" t="str">
        <x:v>Referential Disambiguation</x:v>
      </x:c>
      <x:c r="C96" s="10" t="n">
        <x:v>15</x:v>
      </x:c>
      <x:c r="D96" s="9" t="str">
        <x:v>Put the pen closest to the crushed Coke can in the bowl.</x:v>
      </x:c>
      <x:c r="E96" s="9" t="str">
        <x:v>green pen; yellow pen; crushed Coke can; crushed Pepsi can</x:v>
      </x:c>
      <x:c r="F96" s="9" t="str">
        <x:v>green pen</x:v>
      </x:c>
      <x:c r="G96" s="9" t="str">
        <x:v>picked pepsi can</x:v>
      </x:c>
      <x:c r="H96" s="9" t="str">
        <x:v>In-distribution concept baseline</x:v>
      </x:c>
      <x:c r="I96" s="9" t="str">
        <x:v>RD-ID16</x:v>
      </x:c>
      <x:c r="J96" s="9" t="str">
        <x:v>Exact training-supported relation × candidate-category baseline</x:v>
      </x:c>
      <x:c r="K96" s="9"/>
      <x:c r="L96" s="9" t="str">
        <x:v>514</x:v>
      </x:c>
      <x:c r="M96" s="9" t="str">
        <x:v>Exact manifest cell: prompt, relation × candidate-category combination, target identity, and object membership are explicitly represented in training; physical positions are manually recreated with a clear margin.</x:v>
      </x:c>
      <x:c r="N96" s="9" t="n">
        <x:v>1</x:v>
      </x:c>
      <x:c r="O96" s="9" t="str">
        <x:v>Place the 4 listed objects. Arrange Expected Target as the unique answer to the prompt; keep the bowl empty.</x:v>
      </x:c>
      <x:c r="P96" s="9" t="str">
        <x:v>The relation, candidate category, target identity, and object membership occur together in the cited training episode.</x:v>
      </x:c>
      <x:c r="Q96" s="9"/>
      <x:c r="R96" s="10" t="n">
        <x:v>4</x:v>
      </x:c>
      <x:c r="S96" s="10" t="n">
        <x:v>1</x:v>
      </x:c>
      <x:c r="T96" s="9" t="str">
        <x:v>Empty</x:v>
      </x:c>
      <x:c r="U96" s="9"/>
      <x:c r="V96" s="9"/>
      <x:c r="W96" s="9"/>
      <x:c r="X96" s="10"/>
      <x:c r="Y96" s="10"/>
      <x:c r="Z96" s="9"/>
      <x:c r="AA96" s="9"/>
      <x:c r="AB96" s="9" t="str">
        <x:v>closest</x:v>
      </x:c>
      <x:c r="AC96" s="9"/>
      <x:c r="AD96" s="9"/>
      <x:c r="AE96" s="9"/>
      <x:c r="AF96" s="9"/>
      <x:c r="AG96" s="9" t="str">
        <x:v>pen</x:v>
      </x:c>
      <x:c r="AH96" s="9"/>
      <x:c r="AI96" s="11"/>
      <x:c r="AJ96" s="9"/>
      <x:c r="AK96" s="9" t="str">
        <x:v>Eval_Referential_Disambiguation.xlsm</x:v>
      </x:c>
      <x:c r="AL96" s="9" t="str">
        <x:v>GR00T Results</x:v>
      </x:c>
      <x:c r="AM96" s="9" t="n">
        <x:v>17</x:v>
      </x:c>
      <x:c r="AN96" s="9" t="n">
        <x:v>17</x:v>
      </x:c>
    </x:row>
    <x:row r="97">
      <x:c r="A97" s="9" t="str">
        <x:v>Failure</x:v>
      </x:c>
      <x:c r="B97" s="9" t="str">
        <x:v>Referential Disambiguation</x:v>
      </x:c>
      <x:c r="C97" s="10" t="n">
        <x:v>16</x:v>
      </x:c>
      <x:c r="D97" s="9" t="str">
        <x:v>Put the pen closest to the red pencil sharpener in the bowl.</x:v>
      </x:c>
      <x:c r="E97" s="9" t="str">
        <x:v>green pen; yellow pen; red pencil sharpener; airplane toy without propellers</x:v>
      </x:c>
      <x:c r="F97" s="9" t="str">
        <x:v>yellow pen</x:v>
      </x:c>
      <x:c r="G97" s="9" t="str">
        <x:v>picked airplane toy  </x:v>
      </x:c>
      <x:c r="H97" s="9" t="str">
        <x:v>In-distribution concept baseline</x:v>
      </x:c>
      <x:c r="I97" s="9" t="str">
        <x:v>RD-ID17</x:v>
      </x:c>
      <x:c r="J97" s="9" t="str">
        <x:v>Exact training-supported relation × candidate-category baseline</x:v>
      </x:c>
      <x:c r="K97" s="9"/>
      <x:c r="L97" s="9" t="str">
        <x:v>501</x:v>
      </x:c>
      <x:c r="M97" s="9" t="str">
        <x:v>Exact manifest cell: prompt, relation × candidate-category combination, target identity, and object membership are explicitly represented in training; physical positions are manually recreated with a clear margin.</x:v>
      </x:c>
      <x:c r="N97" s="9" t="n">
        <x:v>1</x:v>
      </x:c>
      <x:c r="O97" s="9" t="str">
        <x:v>Place the 4 listed objects. Arrange Expected Target as the unique answer to the prompt; keep the bowl empty.</x:v>
      </x:c>
      <x:c r="P97" s="9" t="str">
        <x:v>The relation, candidate category, target identity, and object membership occur together in the cited training episode.</x:v>
      </x:c>
      <x:c r="Q97" s="9"/>
      <x:c r="R97" s="10" t="n">
        <x:v>4</x:v>
      </x:c>
      <x:c r="S97" s="10" t="n">
        <x:v>1</x:v>
      </x:c>
      <x:c r="T97" s="9" t="str">
        <x:v>Empty</x:v>
      </x:c>
      <x:c r="U97" s="9"/>
      <x:c r="V97" s="9"/>
      <x:c r="W97" s="9"/>
      <x:c r="X97" s="10"/>
      <x:c r="Y97" s="10"/>
      <x:c r="Z97" s="9"/>
      <x:c r="AA97" s="9"/>
      <x:c r="AB97" s="9" t="str">
        <x:v>closest</x:v>
      </x:c>
      <x:c r="AC97" s="9"/>
      <x:c r="AD97" s="9"/>
      <x:c r="AE97" s="9"/>
      <x:c r="AF97" s="9"/>
      <x:c r="AG97" s="9" t="str">
        <x:v>pen</x:v>
      </x:c>
      <x:c r="AH97" s="9"/>
      <x:c r="AI97" s="11"/>
      <x:c r="AJ97" s="9"/>
      <x:c r="AK97" s="9" t="str">
        <x:v>Eval_Referential_Disambiguation.xlsm</x:v>
      </x:c>
      <x:c r="AL97" s="9" t="str">
        <x:v>GR00T Results</x:v>
      </x:c>
      <x:c r="AM97" s="9" t="n">
        <x:v>18</x:v>
      </x:c>
      <x:c r="AN97" s="9" t="n">
        <x:v>18</x:v>
      </x:c>
    </x:row>
    <x:row r="98">
      <x:c r="A98" s="9" t="str">
        <x:v>Failure</x:v>
      </x:c>
      <x:c r="B98" s="9" t="str">
        <x:v>Referential Disambiguation</x:v>
      </x:c>
      <x:c r="C98" s="10" t="n">
        <x:v>17</x:v>
      </x:c>
      <x:c r="D98" s="9" t="str">
        <x:v>Pick up the pen furthest from the crushed Coke can and place it in the bowl.</x:v>
      </x:c>
      <x:c r="E98" s="9" t="str">
        <x:v>green pen; yellow pen; crushed Coke can</x:v>
      </x:c>
      <x:c r="F98" s="9" t="str">
        <x:v>yellow pen</x:v>
      </x:c>
      <x:c r="G98" s="9" t="str">
        <x:v>went to the yellow pen, but couldn't grasp it</x:v>
      </x:c>
      <x:c r="H98" s="9" t="str">
        <x:v>In-distribution concept baseline</x:v>
      </x:c>
      <x:c r="I98" s="9" t="str">
        <x:v>RD-ID18</x:v>
      </x:c>
      <x:c r="J98" s="9" t="str">
        <x:v>Exact training-supported relation × candidate-category baseline</x:v>
      </x:c>
      <x:c r="K98" s="9"/>
      <x:c r="L98" s="9" t="str">
        <x:v>515</x:v>
      </x:c>
      <x:c r="M98" s="9" t="str">
        <x:v>Exact manifest cell: prompt, relation × candidate-category combination, target identity, and object membership are explicitly represented in training; physical positions are manually recreated with a clear margin.</x:v>
      </x:c>
      <x:c r="N98" s="9" t="n">
        <x:v>1</x:v>
      </x:c>
      <x:c r="O98" s="9" t="str">
        <x:v>Place the 3 listed objects. Arrange Expected Target as the unique answer to the prompt; keep the bowl empty.</x:v>
      </x:c>
      <x:c r="P98" s="9" t="str">
        <x:v>The relation, candidate category, target identity, and object membership occur together in the cited training episode.</x:v>
      </x:c>
      <x:c r="Q98" s="9"/>
      <x:c r="R98" s="10" t="n">
        <x:v>3</x:v>
      </x:c>
      <x:c r="S98" s="10" t="n">
        <x:v>1</x:v>
      </x:c>
      <x:c r="T98" s="9" t="str">
        <x:v>Empty</x:v>
      </x:c>
      <x:c r="U98" s="9"/>
      <x:c r="V98" s="9"/>
      <x:c r="W98" s="9"/>
      <x:c r="X98" s="10"/>
      <x:c r="Y98" s="10"/>
      <x:c r="Z98" s="9"/>
      <x:c r="AA98" s="9"/>
      <x:c r="AB98" s="9" t="str">
        <x:v>furthest</x:v>
      </x:c>
      <x:c r="AC98" s="9"/>
      <x:c r="AD98" s="9"/>
      <x:c r="AE98" s="9"/>
      <x:c r="AF98" s="9"/>
      <x:c r="AG98" s="9" t="str">
        <x:v>pen</x:v>
      </x:c>
      <x:c r="AH98" s="9"/>
      <x:c r="AI98" s="11"/>
      <x:c r="AJ98" s="9"/>
      <x:c r="AK98" s="9" t="str">
        <x:v>Eval_Referential_Disambiguation.xlsm</x:v>
      </x:c>
      <x:c r="AL98" s="9" t="str">
        <x:v>GR00T Results</x:v>
      </x:c>
      <x:c r="AM98" s="9" t="n">
        <x:v>19</x:v>
      </x:c>
      <x:c r="AN98" s="9" t="n">
        <x:v>19</x:v>
      </x:c>
    </x:row>
    <x:row r="99">
      <x:c r="A99" s="9" t="str">
        <x:v>Failure</x:v>
      </x:c>
      <x:c r="B99" s="9" t="str">
        <x:v>Referential Disambiguation</x:v>
      </x:c>
      <x:c r="C99" s="10" t="n">
        <x:v>18</x:v>
      </x:c>
      <x:c r="D99" s="9" t="str">
        <x:v>Pick up the pen furthest from the crushed Pepsi can and place it in the bowl.</x:v>
      </x:c>
      <x:c r="E99" s="9" t="str">
        <x:v>green pen; yellow pen; crushed Pepsi can; green pencil sharpener</x:v>
      </x:c>
      <x:c r="F99" s="9" t="str">
        <x:v>green pen</x:v>
      </x:c>
      <x:c r="G99" s="9" t="str">
        <x:v>picked the green pencil sharpener</x:v>
      </x:c>
      <x:c r="H99" s="9" t="str">
        <x:v>In-distribution concept baseline</x:v>
      </x:c>
      <x:c r="I99" s="9" t="str">
        <x:v>RD-ID19</x:v>
      </x:c>
      <x:c r="J99" s="9" t="str">
        <x:v>Exact training-supported relation × candidate-category baseline</x:v>
      </x:c>
      <x:c r="K99" s="9"/>
      <x:c r="L99" s="9" t="str">
        <x:v>516</x:v>
      </x:c>
      <x:c r="M99" s="9" t="str">
        <x:v>Exact manifest cell: prompt, relation × candidate-category combination, target identity, and object membership are explicitly represented in training; physical positions are manually recreated with a clear margin.</x:v>
      </x:c>
      <x:c r="N99" s="9" t="n">
        <x:v>1</x:v>
      </x:c>
      <x:c r="O99" s="9" t="str">
        <x:v>Place the 4 listed objects. Arrange Expected Target as the unique answer to the prompt; keep the bowl empty.</x:v>
      </x:c>
      <x:c r="P99" s="9" t="str">
        <x:v>The relation, candidate category, target identity, and object membership occur together in the cited training episode.</x:v>
      </x:c>
      <x:c r="Q99" s="9"/>
      <x:c r="R99" s="10" t="n">
        <x:v>4</x:v>
      </x:c>
      <x:c r="S99" s="10" t="n">
        <x:v>1</x:v>
      </x:c>
      <x:c r="T99" s="9" t="str">
        <x:v>Empty</x:v>
      </x:c>
      <x:c r="U99" s="9"/>
      <x:c r="V99" s="9"/>
      <x:c r="W99" s="9"/>
      <x:c r="X99" s="10"/>
      <x:c r="Y99" s="10"/>
      <x:c r="Z99" s="9"/>
      <x:c r="AA99" s="9"/>
      <x:c r="AB99" s="9" t="str">
        <x:v>furthest</x:v>
      </x:c>
      <x:c r="AC99" s="9"/>
      <x:c r="AD99" s="9"/>
      <x:c r="AE99" s="9"/>
      <x:c r="AF99" s="9"/>
      <x:c r="AG99" s="9" t="str">
        <x:v>pen</x:v>
      </x:c>
      <x:c r="AH99" s="9"/>
      <x:c r="AI99" s="11"/>
      <x:c r="AJ99" s="9"/>
      <x:c r="AK99" s="9" t="str">
        <x:v>Eval_Referential_Disambiguation.xlsm</x:v>
      </x:c>
      <x:c r="AL99" s="9" t="str">
        <x:v>GR00T Results</x:v>
      </x:c>
      <x:c r="AM99" s="9" t="n">
        <x:v>20</x:v>
      </x:c>
      <x:c r="AN99" s="9" t="n">
        <x:v>20</x:v>
      </x:c>
    </x:row>
    <x:row r="100">
      <x:c r="A100" s="9" t="str">
        <x:v>Failure</x:v>
      </x:c>
      <x:c r="B100" s="9" t="str">
        <x:v>Referential Disambiguation</x:v>
      </x:c>
      <x:c r="C100" s="10" t="n">
        <x:v>19</x:v>
      </x:c>
      <x:c r="D100" s="9" t="str">
        <x:v>Pick up the pen furthest from the airplane toy with propellers and place it in the bowl.</x:v>
      </x:c>
      <x:c r="E100" s="9" t="str">
        <x:v>green pen; yellow pen; airplane toy with propellers</x:v>
      </x:c>
      <x:c r="F100" s="9" t="str">
        <x:v>yellow pen</x:v>
      </x:c>
      <x:c r="G100" s="9" t="str">
        <x:v>picked green pen, which was closest</x:v>
      </x:c>
      <x:c r="H100" s="9" t="str">
        <x:v>In-distribution concept baseline</x:v>
      </x:c>
      <x:c r="I100" s="9" t="str">
        <x:v>RD-ID20</x:v>
      </x:c>
      <x:c r="J100" s="9" t="str">
        <x:v>Exact training-supported relation × candidate-category baseline</x:v>
      </x:c>
      <x:c r="K100" s="9"/>
      <x:c r="L100" s="9" t="str">
        <x:v>517</x:v>
      </x:c>
      <x:c r="M100" s="9" t="str">
        <x:v>Exact manifest cell: prompt, relation × candidate-category combination, target identity, and object membership are explicitly represented in training; physical positions are manually recreated with a clear margin.</x:v>
      </x:c>
      <x:c r="N100" s="9" t="n">
        <x:v>1</x:v>
      </x:c>
      <x:c r="O100" s="9" t="str">
        <x:v>Place the 3 listed objects. Arrange Expected Target as the unique answer to the prompt; keep the bowl empty.</x:v>
      </x:c>
      <x:c r="P100" s="9" t="str">
        <x:v>The relation, candidate category, target identity, and object membership occur together in the cited training episode.</x:v>
      </x:c>
      <x:c r="Q100" s="9"/>
      <x:c r="R100" s="10" t="n">
        <x:v>3</x:v>
      </x:c>
      <x:c r="S100" s="10" t="n">
        <x:v>1</x:v>
      </x:c>
      <x:c r="T100" s="9" t="str">
        <x:v>Empty</x:v>
      </x:c>
      <x:c r="U100" s="9"/>
      <x:c r="V100" s="9"/>
      <x:c r="W100" s="9"/>
      <x:c r="X100" s="10"/>
      <x:c r="Y100" s="10"/>
      <x:c r="Z100" s="9"/>
      <x:c r="AA100" s="9"/>
      <x:c r="AB100" s="9" t="str">
        <x:v>furthest</x:v>
      </x:c>
      <x:c r="AC100" s="9"/>
      <x:c r="AD100" s="9"/>
      <x:c r="AE100" s="9"/>
      <x:c r="AF100" s="9"/>
      <x:c r="AG100" s="9" t="str">
        <x:v>pen</x:v>
      </x:c>
      <x:c r="AH100" s="9"/>
      <x:c r="AI100" s="11"/>
      <x:c r="AJ100" s="9"/>
      <x:c r="AK100" s="9" t="str">
        <x:v>Eval_Referential_Disambiguation.xlsm</x:v>
      </x:c>
      <x:c r="AL100" s="9" t="str">
        <x:v>GR00T Results</x:v>
      </x:c>
      <x:c r="AM100" s="9" t="n">
        <x:v>21</x:v>
      </x:c>
      <x:c r="AN100" s="9" t="n">
        <x:v>21</x:v>
      </x:c>
    </x:row>
    <x:row r="101">
      <x:c r="A101" s="9" t="str">
        <x:v>Success</x:v>
      </x:c>
      <x:c r="B101" s="9" t="str">
        <x:v>Size Recognition</x:v>
      </x:c>
      <x:c r="C101" s="10" t="n">
        <x:v>0</x:v>
      </x:c>
      <x:c r="D101" s="9" t="str">
        <x:v>Move the object that is smallest into the bowl.</x:v>
      </x:c>
      <x:c r="E101" s="9" t="str">
        <x:v>Bowl: empty. Table, robot-left→robot-right: P1 red pencil sharpener; P2 green block; P3 juggling ball; P4 crushed Pepsi can. Adjacent centers 8 cm apart; row centered on the workspace; all objects fully visible and grasp paths clear.</x:v>
      </x:c>
      <x:c r="F101" s="9" t="str">
        <x:v>MOVE red pencil sharpener to bowl</x:v>
      </x:c>
      <x:c r="G101" s="9"/>
      <x:c r="H101" s="9" t="str">
        <x:v>In-distribution concept baseline</x:v>
      </x:c>
      <x:c r="I101" s="9" t="str">
        <x:v>SZ-ID-SH01</x:v>
      </x:c>
      <x:c r="J101" s="9" t="str">
        <x:v>smallest</x:v>
      </x:c>
      <x:c r="K101" s="9"/>
      <x:c r="L101" s="9" t="str">
        <x:v>1005</x:v>
      </x:c>
      <x:c r="M101" s="9"/>
      <x:c r="N101" s="9"/>
      <x:c r="O101" s="9" t="str">
        <x:v>Build the listed manifest-supported scene.</x:v>
      </x:c>
      <x:c r="P101" s="9" t="str">
        <x:v>Exact prompt and object composition from training episode 1005; this establishes the familiar smallest × red pencil sharpener cell.</x:v>
      </x:c>
      <x:c r="Q101" s="9"/>
      <x:c r="R101" s="10" t="n">
        <x:v>4</x:v>
      </x:c>
      <x:c r="S101" s="10"/>
      <x:c r="T101" s="9"/>
      <x:c r="U101" s="9"/>
      <x:c r="V101" s="9"/>
      <x:c r="W101" s="9"/>
      <x:c r="X101" s="10"/>
      <x:c r="Y101" s="10"/>
      <x:c r="Z101" s="9"/>
      <x:c r="AA101" s="9"/>
      <x:c r="AB101" s="9"/>
      <x:c r="AC101" s="9"/>
      <x:c r="AD101" s="9" t="str">
        <x:v>red pencil sharpener</x:v>
      </x:c>
      <x:c r="AE101" s="9"/>
      <x:c r="AF101" s="9"/>
      <x:c r="AG101" s="9"/>
      <x:c r="AH101" s="9" t="str">
        <x:v>Left</x:v>
      </x:c>
      <x:c r="AI101" s="11" t="n">
        <x:v>8</x:v>
      </x:c>
      <x:c r="AJ101" s="9" t="str">
        <x:v>Explicitly trained smallest × red pencil sharpener</x:v>
      </x:c>
      <x:c r="AK101" s="9" t="str">
        <x:v>Eval_Size_Recognition (1).xlsm</x:v>
      </x:c>
      <x:c r="AL101" s="9" t="str">
        <x:v>GR00T Results</x:v>
      </x:c>
      <x:c r="AM101" s="9" t="n">
        <x:v>2</x:v>
      </x:c>
      <x:c r="AN101" s="9" t="n">
        <x:v>2</x:v>
      </x:c>
    </x:row>
    <x:row r="102">
      <x:c r="A102" s="9" t="str">
        <x:v>Failure</x:v>
      </x:c>
      <x:c r="B102" s="9" t="str">
        <x:v>Size Recognition</x:v>
      </x:c>
      <x:c r="C102" s="10" t="n">
        <x:v>1</x:v>
      </x:c>
      <x:c r="D102" s="9" t="str">
        <x:v>Pick up the smallest item and place it in the bowl.</x:v>
      </x:c>
      <x:c r="E102" s="9" t="str">
        <x:v>Bowl: empty. Table, robot-left→robot-right: P1 crushed Pepsi can; P2 juggling ball; P3 green block. Adjacent centers 12 cm apart; row shifted 4 cm toward robot-left; all objects fully visible and grasp paths clear.</x:v>
      </x:c>
      <x:c r="F102" s="9" t="str">
        <x:v>MOVE green block to bowl</x:v>
      </x:c>
      <x:c r="G102" s="9" t="str">
        <x:v>picked juggling ball</x:v>
      </x:c>
      <x:c r="H102" s="9" t="str">
        <x:v>In-distribution concept baseline</x:v>
      </x:c>
      <x:c r="I102" s="9" t="str">
        <x:v>SZ-ID-GB01</x:v>
      </x:c>
      <x:c r="J102" s="9" t="str">
        <x:v>smallest</x:v>
      </x:c>
      <x:c r="K102" s="9"/>
      <x:c r="L102" s="9" t="str">
        <x:v>1050</x:v>
      </x:c>
      <x:c r="M102" s="9"/>
      <x:c r="N102" s="9"/>
      <x:c r="O102" s="9" t="str">
        <x:v>Build the listed manifest-supported scene.</x:v>
      </x:c>
      <x:c r="P102" s="9" t="str">
        <x:v>Exact prompt and object composition from training episode 1050; this establishes the familiar smallest × green block cell.</x:v>
      </x:c>
      <x:c r="Q102" s="9"/>
      <x:c r="R102" s="10" t="n">
        <x:v>3</x:v>
      </x:c>
      <x:c r="S102" s="10"/>
      <x:c r="T102" s="9"/>
      <x:c r="U102" s="9"/>
      <x:c r="V102" s="9"/>
      <x:c r="W102" s="9"/>
      <x:c r="X102" s="10"/>
      <x:c r="Y102" s="10"/>
      <x:c r="Z102" s="9"/>
      <x:c r="AA102" s="9"/>
      <x:c r="AB102" s="9"/>
      <x:c r="AC102" s="9"/>
      <x:c r="AD102" s="9" t="str">
        <x:v>green block</x:v>
      </x:c>
      <x:c r="AE102" s="9"/>
      <x:c r="AF102" s="9"/>
      <x:c r="AG102" s="9"/>
      <x:c r="AH102" s="9" t="str">
        <x:v>Right</x:v>
      </x:c>
      <x:c r="AI102" s="11" t="n">
        <x:v>12</x:v>
      </x:c>
      <x:c r="AJ102" s="9" t="str">
        <x:v>Explicitly trained smallest × green block</x:v>
      </x:c>
      <x:c r="AK102" s="9" t="str">
        <x:v>Eval_Size_Recognition (1).xlsm</x:v>
      </x:c>
      <x:c r="AL102" s="9" t="str">
        <x:v>GR00T Results</x:v>
      </x:c>
      <x:c r="AM102" s="9" t="n">
        <x:v>3</x:v>
      </x:c>
      <x:c r="AN102" s="9" t="n">
        <x:v>3</x:v>
      </x:c>
    </x:row>
    <x:row r="103">
      <x:c r="A103" s="9" t="str">
        <x:v>Success</x:v>
      </x:c>
      <x:c r="B103" s="9" t="str">
        <x:v>Size Recognition</x:v>
      </x:c>
      <x:c r="C103" s="10" t="n">
        <x:v>2</x:v>
      </x:c>
      <x:c r="D103" s="9" t="str">
        <x:v>Put the largest object in the bowl.</x:v>
      </x:c>
      <x:c r="E103" s="9" t="str">
        <x:v>Bowl: empty. Table, robot-left→robot-right: P1 juggling ball; P2 red pencil sharpener; P3 green block. Adjacent centers 16 cm apart; row shifted 4 cm toward robot-right; all objects fully visible and grasp paths clear.</x:v>
      </x:c>
      <x:c r="F103" s="9" t="str">
        <x:v>MOVE juggling ball to bowl</x:v>
      </x:c>
      <x:c r="G103" s="9" t="str">
        <x:v>the model really pinches the heck out of the objects</x:v>
      </x:c>
      <x:c r="H103" s="9" t="str">
        <x:v>In-distribution concept baseline</x:v>
      </x:c>
      <x:c r="I103" s="9" t="str">
        <x:v>SZ-ID-JB01</x:v>
      </x:c>
      <x:c r="J103" s="9" t="str">
        <x:v>largest</x:v>
      </x:c>
      <x:c r="K103" s="9"/>
      <x:c r="L103" s="9" t="str">
        <x:v>1125</x:v>
      </x:c>
      <x:c r="M103" s="9"/>
      <x:c r="N103" s="9"/>
      <x:c r="O103" s="9" t="str">
        <x:v>Build the listed manifest-supported scene.</x:v>
      </x:c>
      <x:c r="P103" s="9" t="str">
        <x:v>Exact prompt and object composition from training episode 1125; this establishes the familiar largest × juggling ball cell.</x:v>
      </x:c>
      <x:c r="Q103" s="9"/>
      <x:c r="R103" s="10" t="n">
        <x:v>3</x:v>
      </x:c>
      <x:c r="S103" s="10"/>
      <x:c r="T103" s="9"/>
      <x:c r="U103" s="9"/>
      <x:c r="V103" s="9"/>
      <x:c r="W103" s="9"/>
      <x:c r="X103" s="10"/>
      <x:c r="Y103" s="10"/>
      <x:c r="Z103" s="9"/>
      <x:c r="AA103" s="9"/>
      <x:c r="AB103" s="9"/>
      <x:c r="AC103" s="9"/>
      <x:c r="AD103" s="9" t="str">
        <x:v>juggling ball</x:v>
      </x:c>
      <x:c r="AE103" s="9"/>
      <x:c r="AF103" s="9"/>
      <x:c r="AG103" s="9"/>
      <x:c r="AH103" s="9" t="str">
        <x:v>Left</x:v>
      </x:c>
      <x:c r="AI103" s="11" t="n">
        <x:v>16</x:v>
      </x:c>
      <x:c r="AJ103" s="9" t="str">
        <x:v>Explicitly trained largest × juggling ball</x:v>
      </x:c>
      <x:c r="AK103" s="9" t="str">
        <x:v>Eval_Size_Recognition (1).xlsm</x:v>
      </x:c>
      <x:c r="AL103" s="9" t="str">
        <x:v>GR00T Results</x:v>
      </x:c>
      <x:c r="AM103" s="9" t="n">
        <x:v>4</x:v>
      </x:c>
      <x:c r="AN103" s="9" t="n">
        <x:v>4</x:v>
      </x:c>
    </x:row>
    <x:row r="104">
      <x:c r="A104" s="9" t="str">
        <x:v>Failure</x:v>
      </x:c>
      <x:c r="B104" s="9" t="str">
        <x:v>Size Recognition</x:v>
      </x:c>
      <x:c r="C104" s="10" t="n">
        <x:v>3</x:v>
      </x:c>
      <x:c r="D104" s="9" t="str">
        <x:v>Pick up the largest item and place it in the bowl.</x:v>
      </x:c>
      <x:c r="E104" s="9" t="str">
        <x:v>Bowl: empty. Table, robot-left→robot-right: P1 red pencil sharpener; P2 green block; P3 juggling ball; P4 crushed Pepsi can. Adjacent centers 8 cm apart; row shifted 4 cm toward the robot; all objects fully visible and grasp paths clear.</x:v>
      </x:c>
      <x:c r="F104" s="9" t="str">
        <x:v>MOVE crushed Pepsi can to bowl</x:v>
      </x:c>
      <x:c r="G104" s="9" t="str">
        <x:v>successful reasoning. Went to the pepsi can but never grasped it</x:v>
      </x:c>
      <x:c r="H104" s="9" t="str">
        <x:v>In-distribution concept baseline</x:v>
      </x:c>
      <x:c r="I104" s="9" t="str">
        <x:v>SZ-ID-PC01</x:v>
      </x:c>
      <x:c r="J104" s="9" t="str">
        <x:v>largest</x:v>
      </x:c>
      <x:c r="K104" s="9"/>
      <x:c r="L104" s="9" t="str">
        <x:v>1155</x:v>
      </x:c>
      <x:c r="M104" s="9"/>
      <x:c r="N104" s="9"/>
      <x:c r="O104" s="9" t="str">
        <x:v>Build the listed manifest-supported scene.</x:v>
      </x:c>
      <x:c r="P104" s="9" t="str">
        <x:v>Exact prompt and object composition from training episode 1155; this establishes the familiar largest × crushed Pepsi can cell.</x:v>
      </x:c>
      <x:c r="Q104" s="9"/>
      <x:c r="R104" s="10" t="n">
        <x:v>4</x:v>
      </x:c>
      <x:c r="S104" s="10"/>
      <x:c r="T104" s="9"/>
      <x:c r="U104" s="9"/>
      <x:c r="V104" s="9"/>
      <x:c r="W104" s="9"/>
      <x:c r="X104" s="10"/>
      <x:c r="Y104" s="10"/>
      <x:c r="Z104" s="9"/>
      <x:c r="AA104" s="9"/>
      <x:c r="AB104" s="9"/>
      <x:c r="AC104" s="9"/>
      <x:c r="AD104" s="9" t="str">
        <x:v>crushed Pepsi can</x:v>
      </x:c>
      <x:c r="AE104" s="9"/>
      <x:c r="AF104" s="9"/>
      <x:c r="AG104" s="9"/>
      <x:c r="AH104" s="9" t="str">
        <x:v>Right</x:v>
      </x:c>
      <x:c r="AI104" s="11" t="n">
        <x:v>8</x:v>
      </x:c>
      <x:c r="AJ104" s="9" t="str">
        <x:v>Explicitly trained largest × crushed Pepsi can</x:v>
      </x:c>
      <x:c r="AK104" s="9" t="str">
        <x:v>Eval_Size_Recognition (1).xlsm</x:v>
      </x:c>
      <x:c r="AL104" s="9" t="str">
        <x:v>GR00T Results</x:v>
      </x:c>
      <x:c r="AM104" s="9" t="n">
        <x:v>5</x:v>
      </x:c>
      <x:c r="AN104" s="9" t="n">
        <x:v>5</x:v>
      </x:c>
    </x:row>
    <x:row r="105">
      <x:c r="A105" s="9" t="str">
        <x:v>Failure</x:v>
      </x:c>
      <x:c r="B105" s="9" t="str">
        <x:v>Size Recognition</x:v>
      </x:c>
      <x:c r="C105" s="10" t="n">
        <x:v>4</x:v>
      </x:c>
      <x:c r="D105" s="9" t="str">
        <x:v>Pick up the smallest item and place it in the bowl.</x:v>
      </x:c>
      <x:c r="E105" s="9" t="str">
        <x:v>Bowl: empty. Table, robot-left→robot-right: P1 juggling ball; P2 crushed Pepsi can; P3 green block; P4 red pencil sharpener. Adjacent centers 12 cm apart; row shifted 4 cm toward robot-left; all objects fully visible and grasp paths clear.</x:v>
      </x:c>
      <x:c r="F105" s="9" t="str">
        <x:v>MOVE red pencil sharpener to bowl</x:v>
      </x:c>
      <x:c r="G105" s="9" t="str">
        <x:v>went for the pepsi can again, but didn't grasp it</x:v>
      </x:c>
      <x:c r="H105" s="9" t="str">
        <x:v>In-distribution concept baseline</x:v>
      </x:c>
      <x:c r="I105" s="9" t="str">
        <x:v>SZ-ID-SH02</x:v>
      </x:c>
      <x:c r="J105" s="9" t="str">
        <x:v>smallest</x:v>
      </x:c>
      <x:c r="K105" s="9"/>
      <x:c r="L105" s="9" t="str">
        <x:v>1006</x:v>
      </x:c>
      <x:c r="M105" s="9"/>
      <x:c r="N105" s="9"/>
      <x:c r="O105" s="9" t="str">
        <x:v>Build the listed manifest-supported scene.</x:v>
      </x:c>
      <x:c r="P105" s="9" t="str">
        <x:v>Exact prompt and object composition from training episode 1006; this establishes the familiar smallest × red pencil sharpener cell.</x:v>
      </x:c>
      <x:c r="Q105" s="9"/>
      <x:c r="R105" s="10" t="n">
        <x:v>4</x:v>
      </x:c>
      <x:c r="S105" s="10"/>
      <x:c r="T105" s="9"/>
      <x:c r="U105" s="9"/>
      <x:c r="V105" s="9"/>
      <x:c r="W105" s="9"/>
      <x:c r="X105" s="10"/>
      <x:c r="Y105" s="10"/>
      <x:c r="Z105" s="9"/>
      <x:c r="AA105" s="9"/>
      <x:c r="AB105" s="9"/>
      <x:c r="AC105" s="9"/>
      <x:c r="AD105" s="9" t="str">
        <x:v>red pencil sharpener</x:v>
      </x:c>
      <x:c r="AE105" s="9"/>
      <x:c r="AF105" s="9"/>
      <x:c r="AG105" s="9"/>
      <x:c r="AH105" s="9" t="str">
        <x:v>Right</x:v>
      </x:c>
      <x:c r="AI105" s="11" t="n">
        <x:v>12</x:v>
      </x:c>
      <x:c r="AJ105" s="9" t="str">
        <x:v>Explicitly trained smallest × red pencil sharpener</x:v>
      </x:c>
      <x:c r="AK105" s="9" t="str">
        <x:v>Eval_Size_Recognition (1).xlsm</x:v>
      </x:c>
      <x:c r="AL105" s="9" t="str">
        <x:v>GR00T Results</x:v>
      </x:c>
      <x:c r="AM105" s="9" t="n">
        <x:v>6</x:v>
      </x:c>
      <x:c r="AN105" s="9" t="n">
        <x:v>6</x:v>
      </x:c>
    </x:row>
    <x:row r="106">
      <x:c r="A106" s="9" t="str">
        <x:v>Failure</x:v>
      </x:c>
      <x:c r="B106" s="9" t="str">
        <x:v>Size Recognition</x:v>
      </x:c>
      <x:c r="C106" s="10" t="n">
        <x:v>5</x:v>
      </x:c>
      <x:c r="D106" s="9" t="str">
        <x:v>Pick up the smallest item and place it in the bowl.</x:v>
      </x:c>
      <x:c r="E106" s="9" t="str">
        <x:v>Bowl: empty. Table, robot-left→robot-right: P1 green block; P2 juggling ball; P3 crushed Pepsi can. Adjacent centers 16 cm apart; row shifted 4 cm toward robot-right; all objects fully visible and grasp paths clear.</x:v>
      </x:c>
      <x:c r="F106" s="9" t="str">
        <x:v>MOVE green block to bowl</x:v>
      </x:c>
      <x:c r="G106" s="9" t="str">
        <x:v>went for the green block, but couldn't pick it up</x:v>
      </x:c>
      <x:c r="H106" s="9" t="str">
        <x:v>In-distribution concept baseline</x:v>
      </x:c>
      <x:c r="I106" s="9" t="str">
        <x:v>SZ-ID-GB02</x:v>
      </x:c>
      <x:c r="J106" s="9" t="str">
        <x:v>smallest</x:v>
      </x:c>
      <x:c r="K106" s="9"/>
      <x:c r="L106" s="9" t="str">
        <x:v>1051</x:v>
      </x:c>
      <x:c r="M106" s="9"/>
      <x:c r="N106" s="9"/>
      <x:c r="O106" s="9" t="str">
        <x:v>Build the listed manifest-supported scene.</x:v>
      </x:c>
      <x:c r="P106" s="9" t="str">
        <x:v>Exact prompt and object composition from training episode 1051; this establishes the familiar smallest × green block cell.</x:v>
      </x:c>
      <x:c r="Q106" s="9"/>
      <x:c r="R106" s="10" t="n">
        <x:v>3</x:v>
      </x:c>
      <x:c r="S106" s="10"/>
      <x:c r="T106" s="9"/>
      <x:c r="U106" s="9"/>
      <x:c r="V106" s="9"/>
      <x:c r="W106" s="9"/>
      <x:c r="X106" s="10"/>
      <x:c r="Y106" s="10"/>
      <x:c r="Z106" s="9"/>
      <x:c r="AA106" s="9"/>
      <x:c r="AB106" s="9"/>
      <x:c r="AC106" s="9"/>
      <x:c r="AD106" s="9" t="str">
        <x:v>green block</x:v>
      </x:c>
      <x:c r="AE106" s="9"/>
      <x:c r="AF106" s="9"/>
      <x:c r="AG106" s="9"/>
      <x:c r="AH106" s="9" t="str">
        <x:v>Left</x:v>
      </x:c>
      <x:c r="AI106" s="11" t="n">
        <x:v>16</x:v>
      </x:c>
      <x:c r="AJ106" s="9" t="str">
        <x:v>Explicitly trained smallest × green block</x:v>
      </x:c>
      <x:c r="AK106" s="9" t="str">
        <x:v>Eval_Size_Recognition (1).xlsm</x:v>
      </x:c>
      <x:c r="AL106" s="9" t="str">
        <x:v>GR00T Results</x:v>
      </x:c>
      <x:c r="AM106" s="9" t="n">
        <x:v>7</x:v>
      </x:c>
      <x:c r="AN106" s="9" t="n">
        <x:v>7</x:v>
      </x:c>
    </x:row>
    <x:row r="107">
      <x:c r="A107" s="9" t="str">
        <x:v>Failure</x:v>
      </x:c>
      <x:c r="B107" s="9" t="str">
        <x:v>Size Recognition</x:v>
      </x:c>
      <x:c r="C107" s="10" t="n">
        <x:v>6</x:v>
      </x:c>
      <x:c r="D107" s="9" t="str">
        <x:v>Pick up the largest item and place it in the bowl.</x:v>
      </x:c>
      <x:c r="E107" s="9" t="str">
        <x:v>Bowl: empty. Table, robot-left→robot-right: P1 green block; P2 red pencil sharpener; P3 juggling ball. Adjacent centers 8 cm apart; row shifted 4 cm toward the robot; all objects fully visible and grasp paths clear.</x:v>
      </x:c>
      <x:c r="F107" s="9" t="str">
        <x:v>MOVE juggling ball to bowl</x:v>
      </x:c>
      <x:c r="G107" s="9" t="str">
        <x:v>picked red pencil sharpener</x:v>
      </x:c>
      <x:c r="H107" s="9" t="str">
        <x:v>In-distribution concept baseline</x:v>
      </x:c>
      <x:c r="I107" s="9" t="str">
        <x:v>SZ-ID-JB02</x:v>
      </x:c>
      <x:c r="J107" s="9" t="str">
        <x:v>largest</x:v>
      </x:c>
      <x:c r="K107" s="9"/>
      <x:c r="L107" s="9" t="str">
        <x:v>1126</x:v>
      </x:c>
      <x:c r="M107" s="9"/>
      <x:c r="N107" s="9"/>
      <x:c r="O107" s="9" t="str">
        <x:v>Build the listed manifest-supported scene.</x:v>
      </x:c>
      <x:c r="P107" s="9" t="str">
        <x:v>Exact prompt and object composition from training episode 1126; this establishes the familiar largest × juggling ball cell.</x:v>
      </x:c>
      <x:c r="Q107" s="9"/>
      <x:c r="R107" s="10" t="n">
        <x:v>3</x:v>
      </x:c>
      <x:c r="S107" s="10"/>
      <x:c r="T107" s="9"/>
      <x:c r="U107" s="9"/>
      <x:c r="V107" s="9"/>
      <x:c r="W107" s="9"/>
      <x:c r="X107" s="10"/>
      <x:c r="Y107" s="10"/>
      <x:c r="Z107" s="9"/>
      <x:c r="AA107" s="9"/>
      <x:c r="AB107" s="9"/>
      <x:c r="AC107" s="9"/>
      <x:c r="AD107" s="9" t="str">
        <x:v>juggling ball</x:v>
      </x:c>
      <x:c r="AE107" s="9"/>
      <x:c r="AF107" s="9"/>
      <x:c r="AG107" s="9"/>
      <x:c r="AH107" s="9" t="str">
        <x:v>Right</x:v>
      </x:c>
      <x:c r="AI107" s="11" t="n">
        <x:v>8</x:v>
      </x:c>
      <x:c r="AJ107" s="9" t="str">
        <x:v>Explicitly trained largest × juggling ball</x:v>
      </x:c>
      <x:c r="AK107" s="9" t="str">
        <x:v>Eval_Size_Recognition (1).xlsm</x:v>
      </x:c>
      <x:c r="AL107" s="9" t="str">
        <x:v>GR00T Results</x:v>
      </x:c>
      <x:c r="AM107" s="9" t="n">
        <x:v>8</x:v>
      </x:c>
      <x:c r="AN107" s="9" t="n">
        <x:v>8</x:v>
      </x:c>
    </x:row>
    <x:row r="108">
      <x:c r="A108" s="9" t="str">
        <x:v>Failure</x:v>
      </x:c>
      <x:c r="B108" s="9" t="str">
        <x:v>Size Recognition</x:v>
      </x:c>
      <x:c r="C108" s="10" t="n">
        <x:v>7</x:v>
      </x:c>
      <x:c r="D108" s="9" t="str">
        <x:v>Move the object that is largest into the bowl.</x:v>
      </x:c>
      <x:c r="E108" s="9" t="str">
        <x:v>Bowl: empty. Table, robot-left→robot-right: P1 crushed Pepsi can; P2 green block; P3 juggling ball; P4 red pencil sharpener. Adjacent centers 12 cm apart; row shifted 4 cm away from the robot; all objects fully visible and grasp paths clear.</x:v>
      </x:c>
      <x:c r="F108" s="9" t="str">
        <x:v>MOVE crushed Pepsi can to bowl</x:v>
      </x:c>
      <x:c r="G108" s="9" t="str">
        <x:v>picked juggling ball, but picked it like the pepsi can</x:v>
      </x:c>
      <x:c r="H108" s="9" t="str">
        <x:v>In-distribution concept baseline</x:v>
      </x:c>
      <x:c r="I108" s="9" t="str">
        <x:v>SZ-ID-PC02</x:v>
      </x:c>
      <x:c r="J108" s="9" t="str">
        <x:v>largest</x:v>
      </x:c>
      <x:c r="K108" s="9"/>
      <x:c r="L108" s="9" t="str">
        <x:v>1156</x:v>
      </x:c>
      <x:c r="M108" s="9"/>
      <x:c r="N108" s="9"/>
      <x:c r="O108" s="9" t="str">
        <x:v>Build the listed manifest-supported scene.</x:v>
      </x:c>
      <x:c r="P108" s="9" t="str">
        <x:v>Exact prompt and object composition from training episode 1156; this establishes the familiar largest × crushed Pepsi can cell.</x:v>
      </x:c>
      <x:c r="Q108" s="9"/>
      <x:c r="R108" s="10" t="n">
        <x:v>4</x:v>
      </x:c>
      <x:c r="S108" s="10"/>
      <x:c r="T108" s="9"/>
      <x:c r="U108" s="9"/>
      <x:c r="V108" s="9"/>
      <x:c r="W108" s="9"/>
      <x:c r="X108" s="10"/>
      <x:c r="Y108" s="10"/>
      <x:c r="Z108" s="9"/>
      <x:c r="AA108" s="9"/>
      <x:c r="AB108" s="9"/>
      <x:c r="AC108" s="9"/>
      <x:c r="AD108" s="9" t="str">
        <x:v>crushed Pepsi can</x:v>
      </x:c>
      <x:c r="AE108" s="9"/>
      <x:c r="AF108" s="9"/>
      <x:c r="AG108" s="9"/>
      <x:c r="AH108" s="9" t="str">
        <x:v>Left</x:v>
      </x:c>
      <x:c r="AI108" s="11" t="n">
        <x:v>12</x:v>
      </x:c>
      <x:c r="AJ108" s="9" t="str">
        <x:v>Explicitly trained largest × crushed Pepsi can</x:v>
      </x:c>
      <x:c r="AK108" s="9" t="str">
        <x:v>Eval_Size_Recognition (1).xlsm</x:v>
      </x:c>
      <x:c r="AL108" s="9" t="str">
        <x:v>GR00T Results</x:v>
      </x:c>
      <x:c r="AM108" s="9" t="n">
        <x:v>9</x:v>
      </x:c>
      <x:c r="AN108" s="9" t="n">
        <x:v>9</x:v>
      </x:c>
    </x:row>
    <x:row r="109">
      <x:c r="A109" s="9" t="str">
        <x:v>Success</x:v>
      </x:c>
      <x:c r="B109" s="9" t="str">
        <x:v>Size Recognition</x:v>
      </x:c>
      <x:c r="C109" s="10" t="n">
        <x:v>8</x:v>
      </x:c>
      <x:c r="D109" s="9" t="str">
        <x:v>Move the object that is smallest into the bowl.</x:v>
      </x:c>
      <x:c r="E109" s="9" t="str">
        <x:v>Bowl: empty. Table, robot-left→robot-right: P1 red pencil sharpener; P2 crushed Pepsi can; P3 green block; P4 juggling ball. Adjacent centers 16 cm apart; row shifted 4 cm toward robot-right; all objects fully visible and grasp paths clear.</x:v>
      </x:c>
      <x:c r="F109" s="9" t="str">
        <x:v>MOVE red pencil sharpener to bowl</x:v>
      </x:c>
      <x:c r="G109" s="9"/>
      <x:c r="H109" s="9" t="str">
        <x:v>In-distribution concept baseline</x:v>
      </x:c>
      <x:c r="I109" s="9" t="str">
        <x:v>SZ-ID-SH03</x:v>
      </x:c>
      <x:c r="J109" s="9" t="str">
        <x:v>smallest</x:v>
      </x:c>
      <x:c r="K109" s="9"/>
      <x:c r="L109" s="9" t="str">
        <x:v>1007</x:v>
      </x:c>
      <x:c r="M109" s="9"/>
      <x:c r="N109" s="9"/>
      <x:c r="O109" s="9" t="str">
        <x:v>Build the listed manifest-supported scene.</x:v>
      </x:c>
      <x:c r="P109" s="9" t="str">
        <x:v>Exact prompt and object composition from training episode 1007; this establishes the familiar smallest × red pencil sharpener cell.</x:v>
      </x:c>
      <x:c r="Q109" s="9"/>
      <x:c r="R109" s="10" t="n">
        <x:v>4</x:v>
      </x:c>
      <x:c r="S109" s="10"/>
      <x:c r="T109" s="9"/>
      <x:c r="U109" s="9"/>
      <x:c r="V109" s="9"/>
      <x:c r="W109" s="9"/>
      <x:c r="X109" s="10"/>
      <x:c r="Y109" s="10"/>
      <x:c r="Z109" s="9"/>
      <x:c r="AA109" s="9"/>
      <x:c r="AB109" s="9"/>
      <x:c r="AC109" s="9"/>
      <x:c r="AD109" s="9" t="str">
        <x:v>red pencil sharpener</x:v>
      </x:c>
      <x:c r="AE109" s="9"/>
      <x:c r="AF109" s="9"/>
      <x:c r="AG109" s="9"/>
      <x:c r="AH109" s="9" t="str">
        <x:v>Left</x:v>
      </x:c>
      <x:c r="AI109" s="11" t="n">
        <x:v>16</x:v>
      </x:c>
      <x:c r="AJ109" s="9" t="str">
        <x:v>Explicitly trained smallest × red pencil sharpener</x:v>
      </x:c>
      <x:c r="AK109" s="9" t="str">
        <x:v>Eval_Size_Recognition (1).xlsm</x:v>
      </x:c>
      <x:c r="AL109" s="9" t="str">
        <x:v>GR00T Results</x:v>
      </x:c>
      <x:c r="AM109" s="9" t="n">
        <x:v>10</x:v>
      </x:c>
      <x:c r="AN109" s="9" t="n">
        <x:v>10</x:v>
      </x:c>
    </x:row>
    <x:row r="110">
      <x:c r="A110" s="9" t="str">
        <x:v>Success</x:v>
      </x:c>
      <x:c r="B110" s="9" t="str">
        <x:v>Size Recognition</x:v>
      </x:c>
      <x:c r="C110" s="10" t="n">
        <x:v>9</x:v>
      </x:c>
      <x:c r="D110" s="9" t="str">
        <x:v>Put the smallest object in the bowl.</x:v>
      </x:c>
      <x:c r="E110" s="9" t="str">
        <x:v>Bowl: empty. Table, robot-left→robot-right: P1 crushed Pepsi can; P2 juggling ball; P3 green block. Adjacent centers 8 cm apart; row shifted 4 cm toward the robot; all objects fully visible and grasp paths clear.</x:v>
      </x:c>
      <x:c r="F110" s="9" t="str">
        <x:v>MOVE green block to bowl</x:v>
      </x:c>
      <x:c r="G110" s="9"/>
      <x:c r="H110" s="9" t="str">
        <x:v>In-distribution concept baseline</x:v>
      </x:c>
      <x:c r="I110" s="9" t="str">
        <x:v>SZ-ID-GB03</x:v>
      </x:c>
      <x:c r="J110" s="9" t="str">
        <x:v>smallest</x:v>
      </x:c>
      <x:c r="K110" s="9"/>
      <x:c r="L110" s="9" t="str">
        <x:v>1052</x:v>
      </x:c>
      <x:c r="M110" s="9"/>
      <x:c r="N110" s="9"/>
      <x:c r="O110" s="9" t="str">
        <x:v>Build the listed manifest-supported scene.</x:v>
      </x:c>
      <x:c r="P110" s="9" t="str">
        <x:v>Exact prompt and object composition from training episode 1052; this establishes the familiar smallest × green block cell.</x:v>
      </x:c>
      <x:c r="Q110" s="9"/>
      <x:c r="R110" s="10" t="n">
        <x:v>3</x:v>
      </x:c>
      <x:c r="S110" s="10"/>
      <x:c r="T110" s="9"/>
      <x:c r="U110" s="9"/>
      <x:c r="V110" s="9"/>
      <x:c r="W110" s="9"/>
      <x:c r="X110" s="10"/>
      <x:c r="Y110" s="10"/>
      <x:c r="Z110" s="9"/>
      <x:c r="AA110" s="9"/>
      <x:c r="AB110" s="9"/>
      <x:c r="AC110" s="9"/>
      <x:c r="AD110" s="9" t="str">
        <x:v>green block</x:v>
      </x:c>
      <x:c r="AE110" s="9"/>
      <x:c r="AF110" s="9"/>
      <x:c r="AG110" s="9"/>
      <x:c r="AH110" s="9" t="str">
        <x:v>Right</x:v>
      </x:c>
      <x:c r="AI110" s="11" t="n">
        <x:v>8</x:v>
      </x:c>
      <x:c r="AJ110" s="9" t="str">
        <x:v>Explicitly trained smallest × green block</x:v>
      </x:c>
      <x:c r="AK110" s="9" t="str">
        <x:v>Eval_Size_Recognition (1).xlsm</x:v>
      </x:c>
      <x:c r="AL110" s="9" t="str">
        <x:v>GR00T Results</x:v>
      </x:c>
      <x:c r="AM110" s="9" t="n">
        <x:v>11</x:v>
      </x:c>
      <x:c r="AN110" s="9" t="n">
        <x:v>11</x:v>
      </x:c>
    </x:row>
    <x:row r="111">
      <x:c r="A111" s="9" t="str">
        <x:v>Failure</x:v>
      </x:c>
      <x:c r="B111" s="9" t="str">
        <x:v>Size Recognition</x:v>
      </x:c>
      <x:c r="C111" s="10" t="n">
        <x:v>10</x:v>
      </x:c>
      <x:c r="D111" s="9" t="str">
        <x:v>Pick up the largest item and place it in the bowl.</x:v>
      </x:c>
      <x:c r="E111" s="9" t="str">
        <x:v>Bowl: empty. Table, robot-left→robot-right: P1 juggling ball; P2 red pencil sharpener; P3 green block. Adjacent centers 12 cm apart; row shifted 4 cm away from the robot; all objects fully visible and grasp paths clear.</x:v>
      </x:c>
      <x:c r="F111" s="9" t="str">
        <x:v>MOVE juggling ball to bowl</x:v>
      </x:c>
      <x:c r="G111" s="9" t="str">
        <x:v>robot didn't move</x:v>
      </x:c>
      <x:c r="H111" s="9" t="str">
        <x:v>In-distribution concept baseline</x:v>
      </x:c>
      <x:c r="I111" s="9" t="str">
        <x:v>SZ-ID-JB03</x:v>
      </x:c>
      <x:c r="J111" s="9" t="str">
        <x:v>largest</x:v>
      </x:c>
      <x:c r="K111" s="9"/>
      <x:c r="L111" s="9" t="str">
        <x:v>1127</x:v>
      </x:c>
      <x:c r="M111" s="9"/>
      <x:c r="N111" s="9"/>
      <x:c r="O111" s="9" t="str">
        <x:v>Build the listed manifest-supported scene.</x:v>
      </x:c>
      <x:c r="P111" s="9" t="str">
        <x:v>Exact prompt and object composition from training episode 1127; this establishes the familiar largest × juggling ball cell.</x:v>
      </x:c>
      <x:c r="Q111" s="9"/>
      <x:c r="R111" s="10" t="n">
        <x:v>3</x:v>
      </x:c>
      <x:c r="S111" s="10"/>
      <x:c r="T111" s="9"/>
      <x:c r="U111" s="9"/>
      <x:c r="V111" s="9"/>
      <x:c r="W111" s="9"/>
      <x:c r="X111" s="10"/>
      <x:c r="Y111" s="10"/>
      <x:c r="Z111" s="9"/>
      <x:c r="AA111" s="9"/>
      <x:c r="AB111" s="9"/>
      <x:c r="AC111" s="9"/>
      <x:c r="AD111" s="9" t="str">
        <x:v>juggling ball</x:v>
      </x:c>
      <x:c r="AE111" s="9"/>
      <x:c r="AF111" s="9"/>
      <x:c r="AG111" s="9"/>
      <x:c r="AH111" s="9" t="str">
        <x:v>Left</x:v>
      </x:c>
      <x:c r="AI111" s="11" t="n">
        <x:v>12</x:v>
      </x:c>
      <x:c r="AJ111" s="9" t="str">
        <x:v>Explicitly trained largest × juggling ball</x:v>
      </x:c>
      <x:c r="AK111" s="9" t="str">
        <x:v>Eval_Size_Recognition (1).xlsm</x:v>
      </x:c>
      <x:c r="AL111" s="9" t="str">
        <x:v>GR00T Results</x:v>
      </x:c>
      <x:c r="AM111" s="9" t="n">
        <x:v>12</x:v>
      </x:c>
      <x:c r="AN111" s="9" t="n">
        <x:v>12</x:v>
      </x:c>
    </x:row>
    <x:row r="112">
      <x:c r="A112" s="9" t="str">
        <x:v>Success</x:v>
      </x:c>
      <x:c r="B112" s="9" t="str">
        <x:v>Size Recognition</x:v>
      </x:c>
      <x:c r="C112" s="10" t="n">
        <x:v>11</x:v>
      </x:c>
      <x:c r="D112" s="9" t="str">
        <x:v>Put the largest object in the bowl.</x:v>
      </x:c>
      <x:c r="E112" s="9" t="str">
        <x:v>Bowl: empty. Table, robot-left→robot-right: P1 juggling ball; P2 red pencil sharpener; P3 green block; P4 crushed Pepsi can. Adjacent centers 16 cm apart; row centered on the workspace; all objects fully visible and grasp paths clear.</x:v>
      </x:c>
      <x:c r="F112" s="9" t="str">
        <x:v>MOVE crushed Pepsi can to bowl</x:v>
      </x:c>
      <x:c r="G112" s="9"/>
      <x:c r="H112" s="9" t="str">
        <x:v>In-distribution concept baseline</x:v>
      </x:c>
      <x:c r="I112" s="9" t="str">
        <x:v>SZ-ID-PC03</x:v>
      </x:c>
      <x:c r="J112" s="9" t="str">
        <x:v>largest</x:v>
      </x:c>
      <x:c r="K112" s="9"/>
      <x:c r="L112" s="9" t="str">
        <x:v>1157</x:v>
      </x:c>
      <x:c r="M112" s="9"/>
      <x:c r="N112" s="9"/>
      <x:c r="O112" s="9" t="str">
        <x:v>Build the listed manifest-supported scene.</x:v>
      </x:c>
      <x:c r="P112" s="9" t="str">
        <x:v>Exact prompt and object composition from training episode 1157; this establishes the familiar largest × crushed Pepsi can cell.</x:v>
      </x:c>
      <x:c r="Q112" s="9"/>
      <x:c r="R112" s="10" t="n">
        <x:v>4</x:v>
      </x:c>
      <x:c r="S112" s="10"/>
      <x:c r="T112" s="9"/>
      <x:c r="U112" s="9"/>
      <x:c r="V112" s="9"/>
      <x:c r="W112" s="9"/>
      <x:c r="X112" s="10"/>
      <x:c r="Y112" s="10"/>
      <x:c r="Z112" s="9"/>
      <x:c r="AA112" s="9"/>
      <x:c r="AB112" s="9"/>
      <x:c r="AC112" s="9"/>
      <x:c r="AD112" s="9" t="str">
        <x:v>crushed Pepsi can</x:v>
      </x:c>
      <x:c r="AE112" s="9"/>
      <x:c r="AF112" s="9"/>
      <x:c r="AG112" s="9"/>
      <x:c r="AH112" s="9" t="str">
        <x:v>Right</x:v>
      </x:c>
      <x:c r="AI112" s="11" t="n">
        <x:v>16</x:v>
      </x:c>
      <x:c r="AJ112" s="9" t="str">
        <x:v>Explicitly trained largest × crushed Pepsi can</x:v>
      </x:c>
      <x:c r="AK112" s="9" t="str">
        <x:v>Eval_Size_Recognition (1).xlsm</x:v>
      </x:c>
      <x:c r="AL112" s="9" t="str">
        <x:v>GR00T Results</x:v>
      </x:c>
      <x:c r="AM112" s="9" t="n">
        <x:v>13</x:v>
      </x:c>
      <x:c r="AN112" s="9" t="n">
        <x:v>13</x:v>
      </x:c>
    </x:row>
    <x:row r="113">
      <x:c r="A113" s="9" t="str">
        <x:v>Success</x:v>
      </x:c>
      <x:c r="B113" s="9" t="str">
        <x:v>Size Recognition</x:v>
      </x:c>
      <x:c r="C113" s="10" t="n">
        <x:v>12</x:v>
      </x:c>
      <x:c r="D113" s="9" t="str">
        <x:v>Put the smallest object in the bowl.</x:v>
      </x:c>
      <x:c r="E113" s="9" t="str">
        <x:v>Bowl: empty. Table, robot-left→robot-right: P1 green block; P2 juggling ball; P3 crushed Pepsi can; P4 red pencil sharpener. Adjacent centers 8 cm apart; row shifted 4 cm toward the robot; all objects fully visible and grasp paths clear.</x:v>
      </x:c>
      <x:c r="F113" s="9" t="str">
        <x:v>MOVE red pencil sharpener to bowl</x:v>
      </x:c>
      <x:c r="G113" s="9"/>
      <x:c r="H113" s="9" t="str">
        <x:v>In-distribution concept baseline</x:v>
      </x:c>
      <x:c r="I113" s="9" t="str">
        <x:v>SZ-ID-SH04</x:v>
      </x:c>
      <x:c r="J113" s="9" t="str">
        <x:v>smallest</x:v>
      </x:c>
      <x:c r="K113" s="9"/>
      <x:c r="L113" s="9" t="str">
        <x:v>1008</x:v>
      </x:c>
      <x:c r="M113" s="9"/>
      <x:c r="N113" s="9"/>
      <x:c r="O113" s="9" t="str">
        <x:v>Build the listed manifest-supported scene.</x:v>
      </x:c>
      <x:c r="P113" s="9" t="str">
        <x:v>Exact prompt and object composition from training episode 1008; this establishes the familiar smallest × red pencil sharpener cell.</x:v>
      </x:c>
      <x:c r="Q113" s="9"/>
      <x:c r="R113" s="10" t="n">
        <x:v>4</x:v>
      </x:c>
      <x:c r="S113" s="10"/>
      <x:c r="T113" s="9"/>
      <x:c r="U113" s="9"/>
      <x:c r="V113" s="9"/>
      <x:c r="W113" s="9"/>
      <x:c r="X113" s="10"/>
      <x:c r="Y113" s="10"/>
      <x:c r="Z113" s="9"/>
      <x:c r="AA113" s="9"/>
      <x:c r="AB113" s="9"/>
      <x:c r="AC113" s="9"/>
      <x:c r="AD113" s="9" t="str">
        <x:v>red pencil sharpener</x:v>
      </x:c>
      <x:c r="AE113" s="9"/>
      <x:c r="AF113" s="9"/>
      <x:c r="AG113" s="9"/>
      <x:c r="AH113" s="9" t="str">
        <x:v>Right</x:v>
      </x:c>
      <x:c r="AI113" s="11" t="n">
        <x:v>8</x:v>
      </x:c>
      <x:c r="AJ113" s="9" t="str">
        <x:v>Explicitly trained smallest × red pencil sharpener</x:v>
      </x:c>
      <x:c r="AK113" s="9" t="str">
        <x:v>Eval_Size_Recognition (1).xlsm</x:v>
      </x:c>
      <x:c r="AL113" s="9" t="str">
        <x:v>GR00T Results</x:v>
      </x:c>
      <x:c r="AM113" s="9" t="n">
        <x:v>14</x:v>
      </x:c>
      <x:c r="AN113" s="9" t="n">
        <x:v>14</x:v>
      </x:c>
    </x:row>
    <x:row r="114">
      <x:c r="A114" s="9" t="str">
        <x:v>Failure</x:v>
      </x:c>
      <x:c r="B114" s="9" t="str">
        <x:v>Size Recognition</x:v>
      </x:c>
      <x:c r="C114" s="10" t="n">
        <x:v>13</x:v>
      </x:c>
      <x:c r="D114" s="9" t="str">
        <x:v>Put the smallest object in the bowl.</x:v>
      </x:c>
      <x:c r="E114" s="9" t="str">
        <x:v>Bowl: empty. Table, robot-left→robot-right: P1 green block; P2 juggling ball; P3 crushed Pepsi can. Adjacent centers 12 cm apart; row shifted 4 cm away from the robot; all objects fully visible and grasp paths clear.</x:v>
      </x:c>
      <x:c r="F114" s="9" t="str">
        <x:v>MOVE green block to bowl</x:v>
      </x:c>
      <x:c r="G114" s="9" t="str">
        <x:v>picked pepsi can</x:v>
      </x:c>
      <x:c r="H114" s="9" t="str">
        <x:v>In-distribution concept baseline</x:v>
      </x:c>
      <x:c r="I114" s="9" t="str">
        <x:v>SZ-ID-GB04</x:v>
      </x:c>
      <x:c r="J114" s="9" t="str">
        <x:v>smallest</x:v>
      </x:c>
      <x:c r="K114" s="9"/>
      <x:c r="L114" s="9" t="str">
        <x:v>1053</x:v>
      </x:c>
      <x:c r="M114" s="9"/>
      <x:c r="N114" s="9"/>
      <x:c r="O114" s="9" t="str">
        <x:v>Build the listed manifest-supported scene.</x:v>
      </x:c>
      <x:c r="P114" s="9" t="str">
        <x:v>Exact prompt and object composition from training episode 1053; this establishes the familiar smallest × green block cell.</x:v>
      </x:c>
      <x:c r="Q114" s="9"/>
      <x:c r="R114" s="10" t="n">
        <x:v>3</x:v>
      </x:c>
      <x:c r="S114" s="10"/>
      <x:c r="T114" s="9"/>
      <x:c r="U114" s="9"/>
      <x:c r="V114" s="9"/>
      <x:c r="W114" s="9"/>
      <x:c r="X114" s="10"/>
      <x:c r="Y114" s="10"/>
      <x:c r="Z114" s="9"/>
      <x:c r="AA114" s="9"/>
      <x:c r="AB114" s="9"/>
      <x:c r="AC114" s="9"/>
      <x:c r="AD114" s="9" t="str">
        <x:v>green block</x:v>
      </x:c>
      <x:c r="AE114" s="9"/>
      <x:c r="AF114" s="9"/>
      <x:c r="AG114" s="9"/>
      <x:c r="AH114" s="9" t="str">
        <x:v>Left</x:v>
      </x:c>
      <x:c r="AI114" s="11" t="n">
        <x:v>12</x:v>
      </x:c>
      <x:c r="AJ114" s="9" t="str">
        <x:v>Explicitly trained smallest × green block</x:v>
      </x:c>
      <x:c r="AK114" s="9" t="str">
        <x:v>Eval_Size_Recognition (1).xlsm</x:v>
      </x:c>
      <x:c r="AL114" s="9" t="str">
        <x:v>GR00T Results</x:v>
      </x:c>
      <x:c r="AM114" s="9" t="n">
        <x:v>15</x:v>
      </x:c>
      <x:c r="AN114" s="9" t="n">
        <x:v>15</x:v>
      </x:c>
    </x:row>
    <x:row r="115">
      <x:c r="A115" s="9" t="str">
        <x:v>Failure</x:v>
      </x:c>
      <x:c r="B115" s="9" t="str">
        <x:v>Size Recognition</x:v>
      </x:c>
      <x:c r="C115" s="10" t="n">
        <x:v>14</x:v>
      </x:c>
      <x:c r="D115" s="9" t="str">
        <x:v>Pick up the largest item and place it in the bowl.</x:v>
      </x:c>
      <x:c r="E115" s="9" t="str">
        <x:v>Bowl: empty. Table, robot-left→robot-right: P1 green block; P2 red pencil sharpener; P3 juggling ball. Adjacent centers 16 cm apart; row centered on the workspace; all objects fully visible and grasp paths clear.</x:v>
      </x:c>
      <x:c r="F115" s="9" t="str">
        <x:v>MOVE juggling ball to bowl</x:v>
      </x:c>
      <x:c r="G115" s="9" t="str">
        <x:v>didn't move</x:v>
      </x:c>
      <x:c r="H115" s="9" t="str">
        <x:v>In-distribution concept baseline</x:v>
      </x:c>
      <x:c r="I115" s="9" t="str">
        <x:v>SZ-ID-JB04</x:v>
      </x:c>
      <x:c r="J115" s="9" t="str">
        <x:v>largest</x:v>
      </x:c>
      <x:c r="K115" s="9"/>
      <x:c r="L115" s="9" t="str">
        <x:v>1128</x:v>
      </x:c>
      <x:c r="M115" s="9"/>
      <x:c r="N115" s="9"/>
      <x:c r="O115" s="9" t="str">
        <x:v>Build the listed manifest-supported scene.</x:v>
      </x:c>
      <x:c r="P115" s="9" t="str">
        <x:v>Exact prompt and object composition from training episode 1128; this establishes the familiar largest × juggling ball cell.</x:v>
      </x:c>
      <x:c r="Q115" s="9"/>
      <x:c r="R115" s="10" t="n">
        <x:v>3</x:v>
      </x:c>
      <x:c r="S115" s="10"/>
      <x:c r="T115" s="9"/>
      <x:c r="U115" s="9"/>
      <x:c r="V115" s="9"/>
      <x:c r="W115" s="9"/>
      <x:c r="X115" s="10"/>
      <x:c r="Y115" s="10"/>
      <x:c r="Z115" s="9"/>
      <x:c r="AA115" s="9"/>
      <x:c r="AB115" s="9"/>
      <x:c r="AC115" s="9"/>
      <x:c r="AD115" s="9" t="str">
        <x:v>juggling ball</x:v>
      </x:c>
      <x:c r="AE115" s="9"/>
      <x:c r="AF115" s="9"/>
      <x:c r="AG115" s="9"/>
      <x:c r="AH115" s="9" t="str">
        <x:v>Right</x:v>
      </x:c>
      <x:c r="AI115" s="11" t="n">
        <x:v>16</x:v>
      </x:c>
      <x:c r="AJ115" s="9" t="str">
        <x:v>Explicitly trained largest × juggling ball</x:v>
      </x:c>
      <x:c r="AK115" s="9" t="str">
        <x:v>Eval_Size_Recognition (1).xlsm</x:v>
      </x:c>
      <x:c r="AL115" s="9" t="str">
        <x:v>GR00T Results</x:v>
      </x:c>
      <x:c r="AM115" s="9" t="n">
        <x:v>16</x:v>
      </x:c>
      <x:c r="AN115" s="9" t="n">
        <x:v>16</x:v>
      </x:c>
    </x:row>
    <x:row r="116">
      <x:c r="A116" s="9" t="str">
        <x:v>Failure</x:v>
      </x:c>
      <x:c r="B116" s="9" t="str">
        <x:v>Size Recognition</x:v>
      </x:c>
      <x:c r="C116" s="10" t="n">
        <x:v>15</x:v>
      </x:c>
      <x:c r="D116" s="9" t="str">
        <x:v>Put the largest object in the bowl.</x:v>
      </x:c>
      <x:c r="E116" s="9" t="str">
        <x:v>Bowl: empty. Table, robot-left→robot-right: P1 crushed Pepsi can; P2 red pencil sharpener; P3 green block; P4 juggling ball. Adjacent centers 8 cm apart; row shifted 4 cm toward robot-left; all objects fully visible and grasp paths clear.</x:v>
      </x:c>
      <x:c r="F116" s="9" t="str">
        <x:v>MOVE crushed Pepsi can to bowl</x:v>
      </x:c>
      <x:c r="G116" s="9" t="str">
        <x:v>picked green block</x:v>
      </x:c>
      <x:c r="H116" s="9" t="str">
        <x:v>In-distribution concept baseline</x:v>
      </x:c>
      <x:c r="I116" s="9" t="str">
        <x:v>SZ-ID-PC04</x:v>
      </x:c>
      <x:c r="J116" s="9" t="str">
        <x:v>largest</x:v>
      </x:c>
      <x:c r="K116" s="9"/>
      <x:c r="L116" s="9" t="str">
        <x:v>1158</x:v>
      </x:c>
      <x:c r="M116" s="9"/>
      <x:c r="N116" s="9"/>
      <x:c r="O116" s="9" t="str">
        <x:v>Build the listed manifest-supported scene.</x:v>
      </x:c>
      <x:c r="P116" s="9" t="str">
        <x:v>Exact prompt and object composition from training episode 1158; this establishes the familiar largest × crushed Pepsi can cell.</x:v>
      </x:c>
      <x:c r="Q116" s="9"/>
      <x:c r="R116" s="10" t="n">
        <x:v>4</x:v>
      </x:c>
      <x:c r="S116" s="10"/>
      <x:c r="T116" s="9"/>
      <x:c r="U116" s="9"/>
      <x:c r="V116" s="9"/>
      <x:c r="W116" s="9"/>
      <x:c r="X116" s="10"/>
      <x:c r="Y116" s="10"/>
      <x:c r="Z116" s="9"/>
      <x:c r="AA116" s="9"/>
      <x:c r="AB116" s="9"/>
      <x:c r="AC116" s="9"/>
      <x:c r="AD116" s="9" t="str">
        <x:v>crushed Pepsi can</x:v>
      </x:c>
      <x:c r="AE116" s="9"/>
      <x:c r="AF116" s="9"/>
      <x:c r="AG116" s="9"/>
      <x:c r="AH116" s="9" t="str">
        <x:v>Left</x:v>
      </x:c>
      <x:c r="AI116" s="11" t="n">
        <x:v>8</x:v>
      </x:c>
      <x:c r="AJ116" s="9" t="str">
        <x:v>Explicitly trained largest × crushed Pepsi can</x:v>
      </x:c>
      <x:c r="AK116" s="9" t="str">
        <x:v>Eval_Size_Recognition (1).xlsm</x:v>
      </x:c>
      <x:c r="AL116" s="9" t="str">
        <x:v>GR00T Results</x:v>
      </x:c>
      <x:c r="AM116" s="9" t="n">
        <x:v>17</x:v>
      </x:c>
      <x:c r="AN116" s="9" t="n">
        <x:v>17</x:v>
      </x:c>
    </x:row>
    <x:row r="117">
      <x:c r="A117" s="9" t="str">
        <x:v>Success</x:v>
      </x:c>
      <x:c r="B117" s="9" t="str">
        <x:v>Size Recognition</x:v>
      </x:c>
      <x:c r="C117" s="10" t="n">
        <x:v>16</x:v>
      </x:c>
      <x:c r="D117" s="9" t="str">
        <x:v>Move the object that is smallest into the bowl.</x:v>
      </x:c>
      <x:c r="E117" s="9" t="str">
        <x:v>Bowl: empty. Table, robot-left→robot-right: P1 red pencil sharpener; P2 juggling ball; P3 crushed Pepsi can; P4 green block. Adjacent centers 12 cm apart; row shifted 4 cm away from the robot; all objects fully visible and grasp paths clear.</x:v>
      </x:c>
      <x:c r="F117" s="9" t="str">
        <x:v>MOVE red pencil sharpener to bowl</x:v>
      </x:c>
      <x:c r="G117" s="9"/>
      <x:c r="H117" s="9" t="str">
        <x:v>In-distribution concept baseline</x:v>
      </x:c>
      <x:c r="I117" s="9" t="str">
        <x:v>SZ-ID-SH05</x:v>
      </x:c>
      <x:c r="J117" s="9" t="str">
        <x:v>smallest</x:v>
      </x:c>
      <x:c r="K117" s="9"/>
      <x:c r="L117" s="9" t="str">
        <x:v>1009</x:v>
      </x:c>
      <x:c r="M117" s="9"/>
      <x:c r="N117" s="9"/>
      <x:c r="O117" s="9" t="str">
        <x:v>Build the listed manifest-supported scene.</x:v>
      </x:c>
      <x:c r="P117" s="9" t="str">
        <x:v>Exact prompt and object composition from training episode 1009; this establishes the familiar smallest × red pencil sharpener cell.</x:v>
      </x:c>
      <x:c r="Q117" s="9"/>
      <x:c r="R117" s="10" t="n">
        <x:v>4</x:v>
      </x:c>
      <x:c r="S117" s="10"/>
      <x:c r="T117" s="9"/>
      <x:c r="U117" s="9"/>
      <x:c r="V117" s="9"/>
      <x:c r="W117" s="9"/>
      <x:c r="X117" s="10"/>
      <x:c r="Y117" s="10"/>
      <x:c r="Z117" s="9"/>
      <x:c r="AA117" s="9"/>
      <x:c r="AB117" s="9"/>
      <x:c r="AC117" s="9"/>
      <x:c r="AD117" s="9" t="str">
        <x:v>red pencil sharpener</x:v>
      </x:c>
      <x:c r="AE117" s="9"/>
      <x:c r="AF117" s="9"/>
      <x:c r="AG117" s="9"/>
      <x:c r="AH117" s="9" t="str">
        <x:v>Left</x:v>
      </x:c>
      <x:c r="AI117" s="11" t="n">
        <x:v>12</x:v>
      </x:c>
      <x:c r="AJ117" s="9" t="str">
        <x:v>Explicitly trained smallest × red pencil sharpener</x:v>
      </x:c>
      <x:c r="AK117" s="9" t="str">
        <x:v>Eval_Size_Recognition (1).xlsm</x:v>
      </x:c>
      <x:c r="AL117" s="9" t="str">
        <x:v>GR00T Results</x:v>
      </x:c>
      <x:c r="AM117" s="9" t="n">
        <x:v>18</x:v>
      </x:c>
      <x:c r="AN117" s="9" t="n">
        <x:v>18</x:v>
      </x:c>
    </x:row>
    <x:row r="118">
      <x:c r="A118" s="9" t="str">
        <x:v>Failure</x:v>
      </x:c>
      <x:c r="B118" s="9" t="str">
        <x:v>Size Recognition</x:v>
      </x:c>
      <x:c r="C118" s="10" t="n">
        <x:v>17</x:v>
      </x:c>
      <x:c r="D118" s="9" t="str">
        <x:v>Put the smallest object in the bowl.</x:v>
      </x:c>
      <x:c r="E118" s="9" t="str">
        <x:v>Bowl: empty. Table, robot-left→robot-right: P1 crushed Pepsi can; P2 juggling ball; P3 green block. Adjacent centers 16 cm apart; row centered on the workspace; all objects fully visible and grasp paths clear.</x:v>
      </x:c>
      <x:c r="F118" s="9" t="str">
        <x:v>MOVE green block to bowl</x:v>
      </x:c>
      <x:c r="G118" s="9" t="str">
        <x:v>initially went for the green block, then went for the juggling ball</x:v>
      </x:c>
      <x:c r="H118" s="9" t="str">
        <x:v>In-distribution concept baseline</x:v>
      </x:c>
      <x:c r="I118" s="9" t="str">
        <x:v>SZ-ID-GB05</x:v>
      </x:c>
      <x:c r="J118" s="9" t="str">
        <x:v>smallest</x:v>
      </x:c>
      <x:c r="K118" s="9"/>
      <x:c r="L118" s="9" t="str">
        <x:v>1054</x:v>
      </x:c>
      <x:c r="M118" s="9"/>
      <x:c r="N118" s="9"/>
      <x:c r="O118" s="9" t="str">
        <x:v>Build the listed manifest-supported scene.</x:v>
      </x:c>
      <x:c r="P118" s="9" t="str">
        <x:v>Exact prompt and object composition from training episode 1054; this establishes the familiar smallest × green block cell.</x:v>
      </x:c>
      <x:c r="Q118" s="9"/>
      <x:c r="R118" s="10" t="n">
        <x:v>3</x:v>
      </x:c>
      <x:c r="S118" s="10"/>
      <x:c r="T118" s="9"/>
      <x:c r="U118" s="9"/>
      <x:c r="V118" s="9"/>
      <x:c r="W118" s="9"/>
      <x:c r="X118" s="10"/>
      <x:c r="Y118" s="10"/>
      <x:c r="Z118" s="9"/>
      <x:c r="AA118" s="9"/>
      <x:c r="AB118" s="9"/>
      <x:c r="AC118" s="9"/>
      <x:c r="AD118" s="9" t="str">
        <x:v>green block</x:v>
      </x:c>
      <x:c r="AE118" s="9"/>
      <x:c r="AF118" s="9"/>
      <x:c r="AG118" s="9"/>
      <x:c r="AH118" s="9" t="str">
        <x:v>Right</x:v>
      </x:c>
      <x:c r="AI118" s="11" t="n">
        <x:v>16</x:v>
      </x:c>
      <x:c r="AJ118" s="9" t="str">
        <x:v>Explicitly trained smallest × green block</x:v>
      </x:c>
      <x:c r="AK118" s="9" t="str">
        <x:v>Eval_Size_Recognition (1).xlsm</x:v>
      </x:c>
      <x:c r="AL118" s="9" t="str">
        <x:v>GR00T Results</x:v>
      </x:c>
      <x:c r="AM118" s="9" t="n">
        <x:v>19</x:v>
      </x:c>
      <x:c r="AN118" s="9" t="n">
        <x:v>19</x:v>
      </x:c>
    </x:row>
    <x:row r="119">
      <x:c r="A119" s="9" t="str">
        <x:v>Failure</x:v>
      </x:c>
      <x:c r="B119" s="9" t="str">
        <x:v>Size Recognition</x:v>
      </x:c>
      <x:c r="C119" s="10" t="n">
        <x:v>18</x:v>
      </x:c>
      <x:c r="D119" s="9" t="str">
        <x:v>Put the largest object in the bowl.</x:v>
      </x:c>
      <x:c r="E119" s="9" t="str">
        <x:v>Bowl: empty. Table, robot-left→robot-right: P1 juggling ball; P2 red pencil sharpener; P3 green block. Adjacent centers 8 cm apart; row shifted 4 cm toward robot-left; all objects fully visible and grasp paths clear.</x:v>
      </x:c>
      <x:c r="F119" s="9" t="str">
        <x:v>MOVE juggling ball to bowl</x:v>
      </x:c>
      <x:c r="G119" s="9" t="str">
        <x:v>picked green block</x:v>
      </x:c>
      <x:c r="H119" s="9" t="str">
        <x:v>In-distribution concept baseline</x:v>
      </x:c>
      <x:c r="I119" s="9" t="str">
        <x:v>SZ-ID-JB05</x:v>
      </x:c>
      <x:c r="J119" s="9" t="str">
        <x:v>largest</x:v>
      </x:c>
      <x:c r="K119" s="9"/>
      <x:c r="L119" s="9" t="str">
        <x:v>1129</x:v>
      </x:c>
      <x:c r="M119" s="9"/>
      <x:c r="N119" s="9"/>
      <x:c r="O119" s="9" t="str">
        <x:v>Build the listed manifest-supported scene.</x:v>
      </x:c>
      <x:c r="P119" s="9" t="str">
        <x:v>Exact prompt and object composition from training episode 1129; this establishes the familiar largest × juggling ball cell.</x:v>
      </x:c>
      <x:c r="Q119" s="9"/>
      <x:c r="R119" s="10" t="n">
        <x:v>3</x:v>
      </x:c>
      <x:c r="S119" s="10"/>
      <x:c r="T119" s="9"/>
      <x:c r="U119" s="9"/>
      <x:c r="V119" s="9"/>
      <x:c r="W119" s="9"/>
      <x:c r="X119" s="10"/>
      <x:c r="Y119" s="10"/>
      <x:c r="Z119" s="9"/>
      <x:c r="AA119" s="9"/>
      <x:c r="AB119" s="9"/>
      <x:c r="AC119" s="9"/>
      <x:c r="AD119" s="9" t="str">
        <x:v>juggling ball</x:v>
      </x:c>
      <x:c r="AE119" s="9"/>
      <x:c r="AF119" s="9"/>
      <x:c r="AG119" s="9"/>
      <x:c r="AH119" s="9" t="str">
        <x:v>Left</x:v>
      </x:c>
      <x:c r="AI119" s="11" t="n">
        <x:v>8</x:v>
      </x:c>
      <x:c r="AJ119" s="9" t="str">
        <x:v>Explicitly trained largest × juggling ball</x:v>
      </x:c>
      <x:c r="AK119" s="9" t="str">
        <x:v>Eval_Size_Recognition (1).xlsm</x:v>
      </x:c>
      <x:c r="AL119" s="9" t="str">
        <x:v>GR00T Results</x:v>
      </x:c>
      <x:c r="AM119" s="9" t="n">
        <x:v>20</x:v>
      </x:c>
      <x:c r="AN119" s="9" t="n">
        <x:v>20</x:v>
      </x:c>
    </x:row>
    <x:row r="120">
      <x:c r="A120" s="9" t="str">
        <x:v>Failure</x:v>
      </x:c>
      <x:c r="B120" s="9" t="str">
        <x:v>Size Recognition</x:v>
      </x:c>
      <x:c r="C120" s="10" t="n">
        <x:v>19</x:v>
      </x:c>
      <x:c r="D120" s="9" t="str">
        <x:v>Move the object that is largest into the bowl.</x:v>
      </x:c>
      <x:c r="E120" s="9" t="str">
        <x:v>Bowl: empty. Table, robot-left→robot-right: P1 green block; P2 juggling ball; P3 red pencil sharpener; P4 crushed Pepsi can. Adjacent centers 12 cm apart; row shifted 4 cm toward robot-right; all objects fully visible and grasp paths clear.</x:v>
      </x:c>
      <x:c r="F120" s="9" t="str">
        <x:v>MOVE crushed Pepsi can to bowl</x:v>
      </x:c>
      <x:c r="G120" s="9" t="str">
        <x:v>picked green block</x:v>
      </x:c>
      <x:c r="H120" s="9" t="str">
        <x:v>In-distribution concept baseline</x:v>
      </x:c>
      <x:c r="I120" s="9" t="str">
        <x:v>SZ-ID-PC05</x:v>
      </x:c>
      <x:c r="J120" s="9" t="str">
        <x:v>largest</x:v>
      </x:c>
      <x:c r="K120" s="9"/>
      <x:c r="L120" s="9" t="str">
        <x:v>1159</x:v>
      </x:c>
      <x:c r="M120" s="9"/>
      <x:c r="N120" s="9"/>
      <x:c r="O120" s="9" t="str">
        <x:v>Build the listed manifest-supported scene.</x:v>
      </x:c>
      <x:c r="P120" s="9" t="str">
        <x:v>Exact prompt and object composition from training episode 1159; this establishes the familiar largest × crushed Pepsi can cell.</x:v>
      </x:c>
      <x:c r="Q120" s="9"/>
      <x:c r="R120" s="10" t="n">
        <x:v>4</x:v>
      </x:c>
      <x:c r="S120" s="10"/>
      <x:c r="T120" s="9"/>
      <x:c r="U120" s="9"/>
      <x:c r="V120" s="9"/>
      <x:c r="W120" s="9"/>
      <x:c r="X120" s="10"/>
      <x:c r="Y120" s="10"/>
      <x:c r="Z120" s="9"/>
      <x:c r="AA120" s="9"/>
      <x:c r="AB120" s="9"/>
      <x:c r="AC120" s="9"/>
      <x:c r="AD120" s="9" t="str">
        <x:v>crushed Pepsi can</x:v>
      </x:c>
      <x:c r="AE120" s="9"/>
      <x:c r="AF120" s="9"/>
      <x:c r="AG120" s="9"/>
      <x:c r="AH120" s="9" t="str">
        <x:v>Right</x:v>
      </x:c>
      <x:c r="AI120" s="11" t="n">
        <x:v>12</x:v>
      </x:c>
      <x:c r="AJ120" s="9" t="str">
        <x:v>Explicitly trained largest × crushed Pepsi can</x:v>
      </x:c>
      <x:c r="AK120" s="9" t="str">
        <x:v>Eval_Size_Recognition (1).xlsm</x:v>
      </x:c>
      <x:c r="AL120" s="9" t="str">
        <x:v>GR00T Results</x:v>
      </x:c>
      <x:c r="AM120" s="9" t="n">
        <x:v>21</x:v>
      </x:c>
      <x:c r="AN120" s="9" t="n">
        <x:v>21</x:v>
      </x:c>
    </x:row>
  </x:sheetData>
  <x:conditionalFormatting sqref="A2:A120">
    <x:cfRule type="containsText" dxfId="4" priority="1" operator="containsText" text="Success"/>
    <x:cfRule type="containsText" dxfId="5" priority="2" operator="containsText" text="Failure"/>
  </x:conditionalFormatting>
  <x:dataValidations count="1">
    <x:dataValidation type="list" sqref="A2:A120">
      <x:formula1>"Success,Failure"</x:formula1>
    </x:dataValidation>
  </x:dataValidations>
  <x:pageMargins left="0.7" right="0.7" top="0.75" bottom="0.75" header="0.3" footer="0.3"/>
  <x:tableParts count="1">
    <x:tablePart xmlns:r="http://schemas.openxmlformats.org/officeDocument/2006/relationships" r:id="R8fcf254187f7456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27" hidden="0" customWidth="1"/>
    <x:col min="3" max="3" width="9" hidden="0" customWidth="1"/>
    <x:col min="4" max="4" width="44" hidden="0" customWidth="1"/>
    <x:col min="5" max="5" width="54" hidden="0" customWidth="1"/>
    <x:col min="6" max="6" width="34" hidden="0" customWidth="1"/>
    <x:col min="7" max="7" width="34" hidden="0" customWidth="1"/>
    <x:col min="8" max="8" width="38" hidden="0" customWidth="1"/>
    <x:col min="9" max="9" width="20" hidden="0" customWidth="1"/>
    <x:col min="10" max="10" width="34" hidden="0" customWidth="1"/>
    <x:col min="11" max="11" width="16" hidden="0" customWidth="1"/>
    <x:col min="12" max="12" width="20" hidden="0" customWidth="1"/>
    <x:col min="13" max="13" width="42" hidden="0" customWidth="1"/>
    <x:col min="14" max="14" width="16" hidden="0" customWidth="1"/>
    <x:col min="15" max="15" width="38" hidden="0" customWidth="1"/>
    <x:col min="16" max="16" width="44" hidden="0" customWidth="1"/>
    <x:col min="17" max="17" width="24" hidden="0" customWidth="1"/>
    <x:col min="18" max="18" width="13" hidden="0" customWidth="1"/>
    <x:col min="19" max="19" width="15" hidden="0" customWidth="1"/>
    <x:col min="20" max="20" width="14" hidden="0" customWidth="1"/>
    <x:col min="21" max="21" width="14" hidden="0" customWidth="1"/>
    <x:col min="22" max="22" width="18" hidden="0" customWidth="1"/>
    <x:col min="23" max="23" width="20" hidden="0" customWidth="1"/>
    <x:col min="24" max="24" width="15" hidden="0" customWidth="1"/>
    <x:col min="25" max="25" width="12" hidden="0" customWidth="1"/>
    <x:col min="26" max="26" width="18" hidden="0" customWidth="1"/>
    <x:col min="27" max="27" width="14" hidden="0" customWidth="1"/>
    <x:col min="28" max="28" width="18" hidden="0" customWidth="1"/>
    <x:col min="29" max="29" width="16" hidden="0" customWidth="1"/>
    <x:col min="30" max="30" width="20" hidden="0" customWidth="1"/>
    <x:col min="31" max="31" width="20" hidden="0" customWidth="1"/>
    <x:col min="32" max="32" width="18" hidden="0" customWidth="1"/>
    <x:col min="33" max="33" width="20" hidden="0" customWidth="1"/>
    <x:col min="34" max="34" width="14" hidden="0" customWidth="1"/>
    <x:col min="35" max="35" width="15" hidden="0" customWidth="1"/>
    <x:col min="36" max="36" width="28" hidden="0" customWidth="1"/>
    <x:col min="37" max="37" width="32" hidden="0" customWidth="1"/>
    <x:col min="38" max="38" width="28" hidden="0" customWidth="1"/>
    <x:col min="39" max="39" width="16" hidden="0" customWidth="1"/>
    <x:col min="40" max="40" width="15" hidden="0" customWidth="1"/>
  </x:cols>
  <x:sheetData>
    <x:row r="1" ht="36" customHeight="1">
      <x:c r="A1" s="6" t="str">
        <x:v>Status</x:v>
      </x:c>
      <x:c r="B1" s="6" t="str">
        <x:v>Task</x:v>
      </x:c>
      <x:c r="C1" s="6" t="str">
        <x:v>Episode</x:v>
      </x:c>
      <x:c r="D1" s="6" t="str">
        <x:v>Prompt</x:v>
      </x:c>
      <x:c r="E1" s="6" t="str">
        <x:v>Scene Setup</x:v>
      </x:c>
      <x:c r="F1" s="6" t="str">
        <x:v>Expected Target / Action</x:v>
      </x:c>
      <x:c r="G1" s="6" t="str">
        <x:v>Observations</x:v>
      </x:c>
      <x:c r="H1" s="6" t="str">
        <x:v>Condition</x:v>
      </x:c>
      <x:c r="I1" s="6" t="str">
        <x:v>Scene Family</x:v>
      </x:c>
      <x:c r="J1" s="6" t="str">
        <x:v>Comparison / Subtype</x:v>
      </x:c>
      <x:c r="K1" s="6" t="str">
        <x:v>Reference Episode</x:v>
      </x:c>
      <x:c r="L1" s="6" t="str">
        <x:v>Original Training Episode(s)</x:v>
      </x:c>
      <x:c r="M1" s="6" t="str">
        <x:v>Manifest Alignment</x:v>
      </x:c>
      <x:c r="N1" s="6" t="str">
        <x:v>Collection Block</x:v>
      </x:c>
      <x:c r="O1" s="6" t="str">
        <x:v>Setup Change from Previous</x:v>
      </x:c>
      <x:c r="P1" s="6" t="str">
        <x:v>Design Note</x:v>
      </x:c>
      <x:c r="Q1" s="6" t="str">
        <x:v>Reference Media Filename</x:v>
      </x:c>
      <x:c r="R1" s="6" t="str">
        <x:v>Object Count</x:v>
      </x:c>
      <x:c r="S1" s="6" t="str">
        <x:v>Valid Candidate Count</x:v>
      </x:c>
      <x:c r="T1" s="6" t="str">
        <x:v>Bowl Start</x:v>
      </x:c>
      <x:c r="U1" s="6" t="str">
        <x:v>Queried State</x:v>
      </x:c>
      <x:c r="V1" s="6" t="str">
        <x:v>Queried Category</x:v>
      </x:c>
      <x:c r="W1" s="6" t="str">
        <x:v>Contrast Pair</x:v>
      </x:c>
      <x:c r="X1" s="6" t="str">
        <x:v>Initial Bowl Count</x:v>
      </x:c>
      <x:c r="Y1" s="6" t="str">
        <x:v>Goal Count</x:v>
      </x:c>
      <x:c r="Z1" s="6" t="str">
        <x:v>Action Direction</x:v>
      </x:c>
      <x:c r="AA1" s="6" t="str">
        <x:v>Target Position</x:v>
      </x:c>
      <x:c r="AB1" s="6" t="str">
        <x:v>Query Concept</x:v>
      </x:c>
      <x:c r="AC1" s="6" t="str">
        <x:v>Relation</x:v>
      </x:c>
      <x:c r="AD1" s="6" t="str">
        <x:v>Target Object</x:v>
      </x:c>
      <x:c r="AE1" s="6" t="str">
        <x:v>Reference Object</x:v>
      </x:c>
      <x:c r="AF1" s="6" t="str">
        <x:v>Juggling Ball Role</x:v>
      </x:c>
      <x:c r="AG1" s="6" t="str">
        <x:v>Candidate Category</x:v>
      </x:c>
      <x:c r="AH1" s="6" t="str">
        <x:v>Target Side</x:v>
      </x:c>
      <x:c r="AI1" s="6" t="str">
        <x:v>Separation (cm)</x:v>
      </x:c>
      <x:c r="AJ1" s="6" t="str">
        <x:v>Tested Cell / Role</x:v>
      </x:c>
      <x:c r="AK1" s="6" t="str">
        <x:v>Source Workbook</x:v>
      </x:c>
      <x:c r="AL1" s="6" t="str">
        <x:v>Source Result Sheet</x:v>
      </x:c>
      <x:c r="AM1" s="6" t="str">
        <x:v>Source Result Row</x:v>
      </x:c>
      <x:c r="AN1" s="6" t="str">
        <x:v>Source Plan Row</x:v>
      </x:c>
    </x:row>
    <x:row r="2">
      <x:c r="A2" s="9" t="str">
        <x:v>Success</x:v>
      </x:c>
      <x:c r="B2" s="9" t="str">
        <x:v>State Recognition</x:v>
      </x:c>
      <x:c r="C2" s="10" t="n">
        <x:v>0</x:v>
      </x:c>
      <x:c r="D2" s="9" t="str">
        <x:v>Put the open white cup in the bowl.</x:v>
      </x:c>
      <x:c r="E2" s="9" t="str">
        <x:v>white cup A (O, RU); white cup B (C, RU); glass spice container A (O, RU); yellow-white striped cup B (O, RU)</x:v>
      </x:c>
      <x:c r="F2" s="9" t="str">
        <x:v>white cup A</x:v>
      </x:c>
      <x:c r="G2" s="9"/>
      <x:c r="H2" s="9" t="str">
        <x:v>In-distribution concept baseline</x:v>
      </x:c>
      <x:c r="I2" s="9" t="str">
        <x:v>SR-ID01</x:v>
      </x:c>
      <x:c r="J2" s="9" t="str">
        <x:v>Exact training-supported state-object baseline</x:v>
      </x:c>
      <x:c r="K2" s="9"/>
      <x:c r="L2" s="9" t="str">
        <x:v>2</x:v>
      </x:c>
      <x:c r="M2" s="9" t="str">
        <x:v>Exact manifest episode: trained state-object cell, prompt, same-category candidate structure, and object membership match; physical layout is manually recreated. All objects are upright, matching the context of every explicit open/closed training demonstration.</x:v>
      </x:c>
      <x:c r="N2" s="9" t="n">
        <x:v>1</x:v>
      </x:c>
      <x:c r="O2" s="9" t="str">
        <x:v>Recreate the listed manifest scene with the bowl empty.</x:v>
      </x:c>
      <x:c r="P2" s="9" t="str">
        <x:v>The queried state-object combination and same-category discrimination structure are explicitly represented in training. The orthogonal orientation axis is fixed: every object is RU.</x:v>
      </x:c>
      <x:c r="Q2" s="9"/>
      <x:c r="R2" s="10" t="n">
        <x:v>4</x:v>
      </x:c>
      <x:c r="S2" s="10" t="n">
        <x:v>1</x:v>
      </x:c>
      <x:c r="T2" s="9" t="str">
        <x:v>Empty</x:v>
      </x:c>
      <x:c r="U2" s="9" t="str">
        <x:v>O</x:v>
      </x:c>
      <x:c r="V2" s="9" t="str">
        <x:v>white cup</x:v>
      </x:c>
      <x:c r="W2" s="9"/>
      <x:c r="X2" s="10"/>
      <x:c r="Y2" s="10"/>
      <x:c r="Z2" s="9"/>
      <x:c r="AA2" s="9"/>
      <x:c r="AB2" s="9"/>
      <x:c r="AC2" s="9"/>
      <x:c r="AD2" s="9"/>
      <x:c r="AE2" s="9"/>
      <x:c r="AF2" s="9"/>
      <x:c r="AG2" s="9"/>
      <x:c r="AH2" s="9"/>
      <x:c r="AI2" s="11"/>
      <x:c r="AJ2" s="9"/>
      <x:c r="AK2" s="9" t="str">
        <x:v>Eval_State_Recognition.xlsm</x:v>
      </x:c>
      <x:c r="AL2" s="9" t="str">
        <x:v>MolmoAct2 Results</x:v>
      </x:c>
      <x:c r="AM2" s="9" t="n">
        <x:v>2</x:v>
      </x:c>
      <x:c r="AN2" s="9" t="n">
        <x:v>2</x:v>
      </x:c>
    </x:row>
    <x:row r="3">
      <x:c r="A3" s="9" t="str">
        <x:v>Success</x:v>
      </x:c>
      <x:c r="B3" s="9" t="str">
        <x:v>State Recognition</x:v>
      </x:c>
      <x:c r="C3" s="10" t="n">
        <x:v>1</x:v>
      </x:c>
      <x:c r="D3" s="9" t="str">
        <x:v>Put the upright white cup in the bowl.</x:v>
      </x:c>
      <x:c r="E3" s="9" t="str">
        <x:v>white cup A (O, RU); white cup B (O, UD)</x:v>
      </x:c>
      <x:c r="F3" s="9" t="str">
        <x:v>white cup A</x:v>
      </x:c>
      <x:c r="G3" s="9"/>
      <x:c r="H3" s="9" t="str">
        <x:v>In-distribution concept baseline</x:v>
      </x:c>
      <x:c r="I3" s="9" t="str">
        <x:v>SR-ID02</x:v>
      </x:c>
      <x:c r="J3" s="9" t="str">
        <x:v>Exact training-supported state-object baseline</x:v>
      </x:c>
      <x:c r="K3" s="9"/>
      <x:c r="L3" s="9" t="str">
        <x:v>26</x:v>
      </x:c>
      <x:c r="M3" s="9" t="str">
        <x:v>Exact manifest episode: trained state-object cell, prompt, same-category candidate structure, and object membership match; physical layout is manually recreated.</x:v>
      </x:c>
      <x:c r="N3" s="9" t="n">
        <x:v>1</x:v>
      </x:c>
      <x:c r="O3" s="9" t="str">
        <x:v>Recreate the listed manifest scene with the bowl empty.</x:v>
      </x:c>
      <x:c r="P3" s="9" t="str">
        <x:v>The queried state-object combination and same-category discrimination structure are explicitly represented in training. The same-category candidates share the orthogonal C/O state (O).</x:v>
      </x:c>
      <x:c r="Q3" s="9"/>
      <x:c r="R3" s="10" t="n">
        <x:v>2</x:v>
      </x:c>
      <x:c r="S3" s="10" t="n">
        <x:v>1</x:v>
      </x:c>
      <x:c r="T3" s="9" t="str">
        <x:v>Empty</x:v>
      </x:c>
      <x:c r="U3" s="9" t="str">
        <x:v>RU</x:v>
      </x:c>
      <x:c r="V3" s="9" t="str">
        <x:v>white cup</x:v>
      </x:c>
      <x:c r="W3" s="9"/>
      <x:c r="X3" s="10"/>
      <x:c r="Y3" s="10"/>
      <x:c r="Z3" s="9"/>
      <x:c r="AA3" s="9"/>
      <x:c r="AB3" s="9"/>
      <x:c r="AC3" s="9"/>
      <x:c r="AD3" s="9"/>
      <x:c r="AE3" s="9"/>
      <x:c r="AF3" s="9"/>
      <x:c r="AG3" s="9"/>
      <x:c r="AH3" s="9"/>
      <x:c r="AI3" s="11"/>
      <x:c r="AJ3" s="9"/>
      <x:c r="AK3" s="9" t="str">
        <x:v>Eval_State_Recognition.xlsm</x:v>
      </x:c>
      <x:c r="AL3" s="9" t="str">
        <x:v>MolmoAct2 Results</x:v>
      </x:c>
      <x:c r="AM3" s="9" t="n">
        <x:v>3</x:v>
      </x:c>
      <x:c r="AN3" s="9" t="n">
        <x:v>3</x:v>
      </x:c>
    </x:row>
    <x:row r="4">
      <x:c r="A4" s="9" t="str">
        <x:v>Success</x:v>
      </x:c>
      <x:c r="B4" s="9" t="str">
        <x:v>State Recognition</x:v>
      </x:c>
      <x:c r="C4" s="10" t="n">
        <x:v>2</x:v>
      </x:c>
      <x:c r="D4" s="9" t="str">
        <x:v>Move the closed yellow-white striped cup into the bowl.</x:v>
      </x:c>
      <x:c r="E4" s="9" t="str">
        <x:v>yellow-white striped cup B (C, RU); yellow-white striped cup A (O, RU); white cup A (C, RU)</x:v>
      </x:c>
      <x:c r="F4" s="9" t="str">
        <x:v>yellow-white striped cup B</x:v>
      </x:c>
      <x:c r="G4" s="9"/>
      <x:c r="H4" s="9" t="str">
        <x:v>In-distribution concept baseline</x:v>
      </x:c>
      <x:c r="I4" s="9" t="str">
        <x:v>SR-ID03</x:v>
      </x:c>
      <x:c r="J4" s="9" t="str">
        <x:v>Exact training-supported state-object baseline</x:v>
      </x:c>
      <x:c r="K4" s="9"/>
      <x:c r="L4" s="9" t="str">
        <x:v>51</x:v>
      </x:c>
      <x:c r="M4" s="9" t="str">
        <x:v>Exact manifest episode: trained state-object cell, prompt, same-category candidate structure, and object membership match; physical layout is manually recreated. All objects are upright, matching the context of every explicit open/closed training demonstration.</x:v>
      </x:c>
      <x:c r="N4" s="9" t="n">
        <x:v>1</x:v>
      </x:c>
      <x:c r="O4" s="9" t="str">
        <x:v>Recreate the listed manifest scene with the bowl empty.</x:v>
      </x:c>
      <x:c r="P4" s="9" t="str">
        <x:v>The queried state-object combination and same-category discrimination structure are explicitly represented in training. The orthogonal orientation axis is fixed: every object is RU.</x:v>
      </x:c>
      <x:c r="Q4" s="9"/>
      <x:c r="R4" s="10" t="n">
        <x:v>3</x:v>
      </x:c>
      <x:c r="S4" s="10" t="n">
        <x:v>1</x:v>
      </x:c>
      <x:c r="T4" s="9" t="str">
        <x:v>Empty</x:v>
      </x:c>
      <x:c r="U4" s="9" t="str">
        <x:v>C</x:v>
      </x:c>
      <x:c r="V4" s="9" t="str">
        <x:v>yellow-white striped cup</x:v>
      </x:c>
      <x:c r="W4" s="9"/>
      <x:c r="X4" s="10"/>
      <x:c r="Y4" s="10"/>
      <x:c r="Z4" s="9"/>
      <x:c r="AA4" s="9"/>
      <x:c r="AB4" s="9"/>
      <x:c r="AC4" s="9"/>
      <x:c r="AD4" s="9"/>
      <x:c r="AE4" s="9"/>
      <x:c r="AF4" s="9"/>
      <x:c r="AG4" s="9"/>
      <x:c r="AH4" s="9"/>
      <x:c r="AI4" s="11"/>
      <x:c r="AJ4" s="9"/>
      <x:c r="AK4" s="9" t="str">
        <x:v>Eval_State_Recognition.xlsm</x:v>
      </x:c>
      <x:c r="AL4" s="9" t="str">
        <x:v>MolmoAct2 Results</x:v>
      </x:c>
      <x:c r="AM4" s="9" t="n">
        <x:v>4</x:v>
      </x:c>
      <x:c r="AN4" s="9" t="n">
        <x:v>4</x:v>
      </x:c>
    </x:row>
    <x:row r="5">
      <x:c r="A5" s="9" t="str">
        <x:v>Success</x:v>
      </x:c>
      <x:c r="B5" s="9" t="str">
        <x:v>State Recognition</x:v>
      </x:c>
      <x:c r="C5" s="10" t="n">
        <x:v>3</x:v>
      </x:c>
      <x:c r="D5" s="9" t="str">
        <x:v>Move the upside-down yellow-white striped cup into the bowl.</x:v>
      </x:c>
      <x:c r="E5" s="9" t="str">
        <x:v>yellow-white striped cup B (O, UD); yellow-white striped cup A (O, RU); brown cup B (C, RU); glass spice container A (O, RU)</x:v>
      </x:c>
      <x:c r="F5" s="9" t="str">
        <x:v>yellow-white striped cup B</x:v>
      </x:c>
      <x:c r="G5" s="9"/>
      <x:c r="H5" s="9" t="str">
        <x:v>In-distribution concept baseline</x:v>
      </x:c>
      <x:c r="I5" s="9" t="str">
        <x:v>SR-ID04</x:v>
      </x:c>
      <x:c r="J5" s="9" t="str">
        <x:v>Exact training-supported state-object baseline</x:v>
      </x:c>
      <x:c r="K5" s="9"/>
      <x:c r="L5" s="9" t="str">
        <x:v>78</x:v>
      </x:c>
      <x:c r="M5" s="9" t="str">
        <x:v>Exact manifest episode: trained state-object cell, prompt, same-category candidate structure, and object membership match; physical layout is manually recreated.</x:v>
      </x:c>
      <x:c r="N5" s="9" t="n">
        <x:v>1</x:v>
      </x:c>
      <x:c r="O5" s="9" t="str">
        <x:v>Recreate the listed manifest scene with the bowl empty.</x:v>
      </x:c>
      <x:c r="P5" s="9" t="str">
        <x:v>The queried state-object combination and same-category discrimination structure are explicitly represented in training. The same-category candidates share the orthogonal C/O state (O).</x:v>
      </x:c>
      <x:c r="Q5" s="9"/>
      <x:c r="R5" s="10" t="n">
        <x:v>4</x:v>
      </x:c>
      <x:c r="S5" s="10" t="n">
        <x:v>1</x:v>
      </x:c>
      <x:c r="T5" s="9" t="str">
        <x:v>Empty</x:v>
      </x:c>
      <x:c r="U5" s="9" t="str">
        <x:v>UD</x:v>
      </x:c>
      <x:c r="V5" s="9" t="str">
        <x:v>yellow-white striped cup</x:v>
      </x:c>
      <x:c r="W5" s="9"/>
      <x:c r="X5" s="10"/>
      <x:c r="Y5" s="10"/>
      <x:c r="Z5" s="9"/>
      <x:c r="AA5" s="9"/>
      <x:c r="AB5" s="9"/>
      <x:c r="AC5" s="9"/>
      <x:c r="AD5" s="9"/>
      <x:c r="AE5" s="9"/>
      <x:c r="AF5" s="9"/>
      <x:c r="AG5" s="9"/>
      <x:c r="AH5" s="9"/>
      <x:c r="AI5" s="11"/>
      <x:c r="AJ5" s="9"/>
      <x:c r="AK5" s="9" t="str">
        <x:v>Eval_State_Recognition.xlsm</x:v>
      </x:c>
      <x:c r="AL5" s="9" t="str">
        <x:v>MolmoAct2 Results</x:v>
      </x:c>
      <x:c r="AM5" s="9" t="n">
        <x:v>5</x:v>
      </x:c>
      <x:c r="AN5" s="9" t="n">
        <x:v>5</x:v>
      </x:c>
    </x:row>
    <x:row r="6">
      <x:c r="A6" s="9" t="str">
        <x:v>Success</x:v>
      </x:c>
      <x:c r="B6" s="9" t="str">
        <x:v>State Recognition</x:v>
      </x:c>
      <x:c r="C6" s="10" t="n">
        <x:v>4</x:v>
      </x:c>
      <x:c r="D6" s="9" t="str">
        <x:v>Put the open brown cup in the bowl.</x:v>
      </x:c>
      <x:c r="E6" s="9" t="str">
        <x:v>brown cup B (O, RU); brown cup A (C, RU); glass spice container A (O, RU)</x:v>
      </x:c>
      <x:c r="F6" s="9" t="str">
        <x:v>brown cup B</x:v>
      </x:c>
      <x:c r="G6" s="9"/>
      <x:c r="H6" s="9" t="str">
        <x:v>In-distribution concept baseline</x:v>
      </x:c>
      <x:c r="I6" s="9" t="str">
        <x:v>SR-ID05</x:v>
      </x:c>
      <x:c r="J6" s="9" t="str">
        <x:v>Exact training-supported state-object baseline</x:v>
      </x:c>
      <x:c r="K6" s="9"/>
      <x:c r="L6" s="9" t="str">
        <x:v>104</x:v>
      </x:c>
      <x:c r="M6" s="9" t="str">
        <x:v>Exact manifest episode: trained state-object cell, prompt, same-category candidate structure, and object membership match; physical layout is manually recreated. All objects are upright, matching the context of every explicit open/closed training demonstration.</x:v>
      </x:c>
      <x:c r="N6" s="9" t="n">
        <x:v>1</x:v>
      </x:c>
      <x:c r="O6" s="9" t="str">
        <x:v>Recreate the listed manifest scene with the bowl empty.</x:v>
      </x:c>
      <x:c r="P6" s="9" t="str">
        <x:v>The queried state-object combination and same-category discrimination structure are explicitly represented in training. The orthogonal orientation axis is fixed: every object is RU.</x:v>
      </x:c>
      <x:c r="Q6" s="9"/>
      <x:c r="R6" s="10" t="n">
        <x:v>3</x:v>
      </x:c>
      <x:c r="S6" s="10" t="n">
        <x:v>1</x:v>
      </x:c>
      <x:c r="T6" s="9" t="str">
        <x:v>Empty</x:v>
      </x:c>
      <x:c r="U6" s="9" t="str">
        <x:v>O</x:v>
      </x:c>
      <x:c r="V6" s="9" t="str">
        <x:v>brown cup</x:v>
      </x:c>
      <x:c r="W6" s="9"/>
      <x:c r="X6" s="10"/>
      <x:c r="Y6" s="10"/>
      <x:c r="Z6" s="9"/>
      <x:c r="AA6" s="9"/>
      <x:c r="AB6" s="9"/>
      <x:c r="AC6" s="9"/>
      <x:c r="AD6" s="9"/>
      <x:c r="AE6" s="9"/>
      <x:c r="AF6" s="9"/>
      <x:c r="AG6" s="9"/>
      <x:c r="AH6" s="9"/>
      <x:c r="AI6" s="11"/>
      <x:c r="AJ6" s="9"/>
      <x:c r="AK6" s="9" t="str">
        <x:v>Eval_State_Recognition.xlsm</x:v>
      </x:c>
      <x:c r="AL6" s="9" t="str">
        <x:v>MolmoAct2 Results</x:v>
      </x:c>
      <x:c r="AM6" s="9" t="n">
        <x:v>6</x:v>
      </x:c>
      <x:c r="AN6" s="9" t="n">
        <x:v>6</x:v>
      </x:c>
    </x:row>
    <x:row r="7">
      <x:c r="A7" s="9" t="str">
        <x:v>Success</x:v>
      </x:c>
      <x:c r="B7" s="9" t="str">
        <x:v>State Recognition</x:v>
      </x:c>
      <x:c r="C7" s="10" t="n">
        <x:v>5</x:v>
      </x:c>
      <x:c r="D7" s="9" t="str">
        <x:v>Put the upside-down brown cup in the bowl.</x:v>
      </x:c>
      <x:c r="E7" s="9" t="str">
        <x:v>brown cup A (O, UD); brown cup B (O, RU)</x:v>
      </x:c>
      <x:c r="F7" s="9" t="str">
        <x:v>brown cup A</x:v>
      </x:c>
      <x:c r="G7" s="9"/>
      <x:c r="H7" s="9" t="str">
        <x:v>In-distribution concept baseline</x:v>
      </x:c>
      <x:c r="I7" s="9" t="str">
        <x:v>SR-ID06</x:v>
      </x:c>
      <x:c r="J7" s="9" t="str">
        <x:v>Exact training-supported state-object baseline</x:v>
      </x:c>
      <x:c r="K7" s="9"/>
      <x:c r="L7" s="9" t="str">
        <x:v>125</x:v>
      </x:c>
      <x:c r="M7" s="9" t="str">
        <x:v>Exact manifest episode: trained state-object cell, prompt, same-category candidate structure, and object membership match; physical layout is manually recreated.</x:v>
      </x:c>
      <x:c r="N7" s="9" t="n">
        <x:v>1</x:v>
      </x:c>
      <x:c r="O7" s="9" t="str">
        <x:v>Recreate the listed manifest scene with the bowl empty.</x:v>
      </x:c>
      <x:c r="P7" s="9" t="str">
        <x:v>The queried state-object combination and same-category discrimination structure are explicitly represented in training. The same-category candidates share the orthogonal C/O state (O).</x:v>
      </x:c>
      <x:c r="Q7" s="9"/>
      <x:c r="R7" s="10" t="n">
        <x:v>2</x:v>
      </x:c>
      <x:c r="S7" s="10" t="n">
        <x:v>1</x:v>
      </x:c>
      <x:c r="T7" s="9" t="str">
        <x:v>Empty</x:v>
      </x:c>
      <x:c r="U7" s="9" t="str">
        <x:v>UD</x:v>
      </x:c>
      <x:c r="V7" s="9" t="str">
        <x:v>brown cup</x:v>
      </x:c>
      <x:c r="W7" s="9"/>
      <x:c r="X7" s="10"/>
      <x:c r="Y7" s="10"/>
      <x:c r="Z7" s="9"/>
      <x:c r="AA7" s="9"/>
      <x:c r="AB7" s="9"/>
      <x:c r="AC7" s="9"/>
      <x:c r="AD7" s="9"/>
      <x:c r="AE7" s="9"/>
      <x:c r="AF7" s="9"/>
      <x:c r="AG7" s="9"/>
      <x:c r="AH7" s="9"/>
      <x:c r="AI7" s="11"/>
      <x:c r="AJ7" s="9"/>
      <x:c r="AK7" s="9" t="str">
        <x:v>Eval_State_Recognition.xlsm</x:v>
      </x:c>
      <x:c r="AL7" s="9" t="str">
        <x:v>MolmoAct2 Results</x:v>
      </x:c>
      <x:c r="AM7" s="9" t="n">
        <x:v>7</x:v>
      </x:c>
      <x:c r="AN7" s="9" t="n">
        <x:v>7</x:v>
      </x:c>
    </x:row>
    <x:row r="8">
      <x:c r="A8" s="9" t="str">
        <x:v>Success</x:v>
      </x:c>
      <x:c r="B8" s="9" t="str">
        <x:v>State Recognition</x:v>
      </x:c>
      <x:c r="C8" s="10" t="n">
        <x:v>6</x:v>
      </x:c>
      <x:c r="D8" s="9" t="str">
        <x:v>Put the upright brown cup in the bowl.</x:v>
      </x:c>
      <x:c r="E8" s="9" t="str">
        <x:v>brown cup B (C, RU); brown cup A (C, UD)</x:v>
      </x:c>
      <x:c r="F8" s="9" t="str">
        <x:v>brown cup B</x:v>
      </x:c>
      <x:c r="G8" s="9"/>
      <x:c r="H8" s="9" t="str">
        <x:v>In-distribution concept baseline</x:v>
      </x:c>
      <x:c r="I8" s="9" t="str">
        <x:v>SR-ID07</x:v>
      </x:c>
      <x:c r="J8" s="9" t="str">
        <x:v>Exact training-supported state-object baseline</x:v>
      </x:c>
      <x:c r="K8" s="9"/>
      <x:c r="L8" s="9" t="str">
        <x:v>134</x:v>
      </x:c>
      <x:c r="M8" s="9" t="str">
        <x:v>Exact manifest episode: trained state-object cell, prompt, same-category candidate structure, and object membership match; physical layout is manually recreated.</x:v>
      </x:c>
      <x:c r="N8" s="9" t="n">
        <x:v>1</x:v>
      </x:c>
      <x:c r="O8" s="9" t="str">
        <x:v>Recreate the listed manifest scene with the bowl empty.</x:v>
      </x:c>
      <x:c r="P8" s="9" t="str">
        <x:v>The queried state-object combination and same-category discrimination structure are explicitly represented in training. The same-category candidates share the orthogonal C/O state (C).</x:v>
      </x:c>
      <x:c r="Q8" s="9"/>
      <x:c r="R8" s="10" t="n">
        <x:v>2</x:v>
      </x:c>
      <x:c r="S8" s="10" t="n">
        <x:v>1</x:v>
      </x:c>
      <x:c r="T8" s="9" t="str">
        <x:v>Empty</x:v>
      </x:c>
      <x:c r="U8" s="9" t="str">
        <x:v>RU</x:v>
      </x:c>
      <x:c r="V8" s="9" t="str">
        <x:v>brown cup</x:v>
      </x:c>
      <x:c r="W8" s="9"/>
      <x:c r="X8" s="10"/>
      <x:c r="Y8" s="10"/>
      <x:c r="Z8" s="9"/>
      <x:c r="AA8" s="9"/>
      <x:c r="AB8" s="9"/>
      <x:c r="AC8" s="9"/>
      <x:c r="AD8" s="9"/>
      <x:c r="AE8" s="9"/>
      <x:c r="AF8" s="9"/>
      <x:c r="AG8" s="9"/>
      <x:c r="AH8" s="9"/>
      <x:c r="AI8" s="11"/>
      <x:c r="AJ8" s="9"/>
      <x:c r="AK8" s="9" t="str">
        <x:v>Eval_State_Recognition.xlsm</x:v>
      </x:c>
      <x:c r="AL8" s="9" t="str">
        <x:v>MolmoAct2 Results</x:v>
      </x:c>
      <x:c r="AM8" s="9" t="n">
        <x:v>8</x:v>
      </x:c>
      <x:c r="AN8" s="9" t="n">
        <x:v>8</x:v>
      </x:c>
    </x:row>
    <x:row r="9">
      <x:c r="A9" s="9" t="str">
        <x:v>Success</x:v>
      </x:c>
      <x:c r="B9" s="9" t="str">
        <x:v>State Recognition</x:v>
      </x:c>
      <x:c r="C9" s="10" t="n">
        <x:v>7</x:v>
      </x:c>
      <x:c r="D9" s="9" t="str">
        <x:v>Place the closed glass spice container in the bowl.</x:v>
      </x:c>
      <x:c r="E9" s="9" t="str">
        <x:v>glass spice container A (C, RU); glass spice container B (O, RU); yellow-white striped cup A (C, RU)</x:v>
      </x:c>
      <x:c r="F9" s="9" t="str">
        <x:v>glass spice container A</x:v>
      </x:c>
      <x:c r="G9" s="9"/>
      <x:c r="H9" s="9" t="str">
        <x:v>In-distribution concept baseline</x:v>
      </x:c>
      <x:c r="I9" s="9" t="str">
        <x:v>SR-ID08</x:v>
      </x:c>
      <x:c r="J9" s="9" t="str">
        <x:v>Exact training-supported state-object baseline</x:v>
      </x:c>
      <x:c r="K9" s="9"/>
      <x:c r="L9" s="9" t="str">
        <x:v>151</x:v>
      </x:c>
      <x:c r="M9" s="9" t="str">
        <x:v>Exact manifest episode: trained state-object cell, prompt, same-category candidate structure, and object membership match; physical layout is manually recreated. All objects are upright, matching the context of every explicit open/closed training demonstration.</x:v>
      </x:c>
      <x:c r="N9" s="9" t="n">
        <x:v>1</x:v>
      </x:c>
      <x:c r="O9" s="9" t="str">
        <x:v>Recreate the listed manifest scene with the bowl empty.</x:v>
      </x:c>
      <x:c r="P9" s="9" t="str">
        <x:v>The queried state-object combination and same-category discrimination structure are explicitly represented in training. The orthogonal orientation axis is fixed: every object is RU.</x:v>
      </x:c>
      <x:c r="Q9" s="9"/>
      <x:c r="R9" s="10" t="n">
        <x:v>3</x:v>
      </x:c>
      <x:c r="S9" s="10" t="n">
        <x:v>1</x:v>
      </x:c>
      <x:c r="T9" s="9" t="str">
        <x:v>Empty</x:v>
      </x:c>
      <x:c r="U9" s="9" t="str">
        <x:v>C</x:v>
      </x:c>
      <x:c r="V9" s="9" t="str">
        <x:v>glass spice container</x:v>
      </x:c>
      <x:c r="W9" s="9"/>
      <x:c r="X9" s="10"/>
      <x:c r="Y9" s="10"/>
      <x:c r="Z9" s="9"/>
      <x:c r="AA9" s="9"/>
      <x:c r="AB9" s="9"/>
      <x:c r="AC9" s="9"/>
      <x:c r="AD9" s="9"/>
      <x:c r="AE9" s="9"/>
      <x:c r="AF9" s="9"/>
      <x:c r="AG9" s="9"/>
      <x:c r="AH9" s="9"/>
      <x:c r="AI9" s="11"/>
      <x:c r="AJ9" s="9"/>
      <x:c r="AK9" s="9" t="str">
        <x:v>Eval_State_Recognition.xlsm</x:v>
      </x:c>
      <x:c r="AL9" s="9" t="str">
        <x:v>MolmoAct2 Results</x:v>
      </x:c>
      <x:c r="AM9" s="9" t="n">
        <x:v>9</x:v>
      </x:c>
      <x:c r="AN9" s="9" t="n">
        <x:v>9</x:v>
      </x:c>
    </x:row>
    <x:row r="10">
      <x:c r="A10" s="9" t="str">
        <x:v>Success</x:v>
      </x:c>
      <x:c r="B10" s="9" t="str">
        <x:v>State Recognition</x:v>
      </x:c>
      <x:c r="C10" s="10" t="n">
        <x:v>8</x:v>
      </x:c>
      <x:c r="D10" s="9" t="str">
        <x:v>Move the open glass spice container into the bowl.</x:v>
      </x:c>
      <x:c r="E10" s="9" t="str">
        <x:v>glass spice container B (O, RU); glass spice container A (C, RU); white cup B (O, RU)</x:v>
      </x:c>
      <x:c r="F10" s="9" t="str">
        <x:v>glass spice container B</x:v>
      </x:c>
      <x:c r="G10" s="9"/>
      <x:c r="H10" s="9" t="str">
        <x:v>In-distribution concept baseline</x:v>
      </x:c>
      <x:c r="I10" s="9" t="str">
        <x:v>SR-ID09</x:v>
      </x:c>
      <x:c r="J10" s="9" t="str">
        <x:v>Exact training-supported state-object baseline</x:v>
      </x:c>
      <x:c r="K10" s="9"/>
      <x:c r="L10" s="9" t="str">
        <x:v>156</x:v>
      </x:c>
      <x:c r="M10" s="9" t="str">
        <x:v>Exact manifest episode: trained state-object cell, prompt, same-category candidate structure, and object membership match; physical layout is manually recreated. All objects are upright, matching the context of every explicit open/closed training demonstration.</x:v>
      </x:c>
      <x:c r="N10" s="9" t="n">
        <x:v>1</x:v>
      </x:c>
      <x:c r="O10" s="9" t="str">
        <x:v>Recreate the listed manifest scene with the bowl empty.</x:v>
      </x:c>
      <x:c r="P10" s="9" t="str">
        <x:v>The queried state-object combination and same-category discrimination structure are explicitly represented in training. The orthogonal orientation axis is fixed: every object is RU.</x:v>
      </x:c>
      <x:c r="Q10" s="9"/>
      <x:c r="R10" s="10" t="n">
        <x:v>3</x:v>
      </x:c>
      <x:c r="S10" s="10" t="n">
        <x:v>1</x:v>
      </x:c>
      <x:c r="T10" s="9" t="str">
        <x:v>Empty</x:v>
      </x:c>
      <x:c r="U10" s="9" t="str">
        <x:v>O</x:v>
      </x:c>
      <x:c r="V10" s="9" t="str">
        <x:v>glass spice container</x:v>
      </x:c>
      <x:c r="W10" s="9"/>
      <x:c r="X10" s="10"/>
      <x:c r="Y10" s="10"/>
      <x:c r="Z10" s="9"/>
      <x:c r="AA10" s="9"/>
      <x:c r="AB10" s="9"/>
      <x:c r="AC10" s="9"/>
      <x:c r="AD10" s="9"/>
      <x:c r="AE10" s="9"/>
      <x:c r="AF10" s="9"/>
      <x:c r="AG10" s="9"/>
      <x:c r="AH10" s="9"/>
      <x:c r="AI10" s="11"/>
      <x:c r="AJ10" s="9"/>
      <x:c r="AK10" s="9" t="str">
        <x:v>Eval_State_Recognition.xlsm</x:v>
      </x:c>
      <x:c r="AL10" s="9" t="str">
        <x:v>MolmoAct2 Results</x:v>
      </x:c>
      <x:c r="AM10" s="9" t="n">
        <x:v>10</x:v>
      </x:c>
      <x:c r="AN10" s="9" t="n">
        <x:v>10</x:v>
      </x:c>
    </x:row>
    <x:row r="11">
      <x:c r="A11" s="9" t="str">
        <x:v>Success</x:v>
      </x:c>
      <x:c r="B11" s="9" t="str">
        <x:v>State Recognition</x:v>
      </x:c>
      <x:c r="C11" s="10" t="n">
        <x:v>9</x:v>
      </x:c>
      <x:c r="D11" s="9" t="str">
        <x:v>Put the upside-down glass spice container in the bowl.</x:v>
      </x:c>
      <x:c r="E11" s="9" t="str">
        <x:v>glass spice container B (C, UD); glass spice container A (C, RU)</x:v>
      </x:c>
      <x:c r="F11" s="9" t="str">
        <x:v>glass spice container B</x:v>
      </x:c>
      <x:c r="G11" s="9"/>
      <x:c r="H11" s="9" t="str">
        <x:v>In-distribution concept baseline</x:v>
      </x:c>
      <x:c r="I11" s="9" t="str">
        <x:v>SR-ID10</x:v>
      </x:c>
      <x:c r="J11" s="9" t="str">
        <x:v>Exact training-supported state-object baseline</x:v>
      </x:c>
      <x:c r="K11" s="9"/>
      <x:c r="L11" s="9" t="str">
        <x:v>176</x:v>
      </x:c>
      <x:c r="M11" s="9" t="str">
        <x:v>Exact manifest episode: trained state-object cell, prompt, same-category candidate structure, and object membership match; physical layout is manually recreated.</x:v>
      </x:c>
      <x:c r="N11" s="9" t="n">
        <x:v>1</x:v>
      </x:c>
      <x:c r="O11" s="9" t="str">
        <x:v>Recreate the listed manifest scene with the bowl empty.</x:v>
      </x:c>
      <x:c r="P11" s="9" t="str">
        <x:v>The queried state-object combination and same-category discrimination structure are explicitly represented in training. The same-category candidates share the orthogonal C/O state (C).</x:v>
      </x:c>
      <x:c r="Q11" s="9"/>
      <x:c r="R11" s="10" t="n">
        <x:v>2</x:v>
      </x:c>
      <x:c r="S11" s="10" t="n">
        <x:v>1</x:v>
      </x:c>
      <x:c r="T11" s="9" t="str">
        <x:v>Empty</x:v>
      </x:c>
      <x:c r="U11" s="9" t="str">
        <x:v>UD</x:v>
      </x:c>
      <x:c r="V11" s="9" t="str">
        <x:v>glass spice container</x:v>
      </x:c>
      <x:c r="W11" s="9"/>
      <x:c r="X11" s="10"/>
      <x:c r="Y11" s="10"/>
      <x:c r="Z11" s="9"/>
      <x:c r="AA11" s="9"/>
      <x:c r="AB11" s="9"/>
      <x:c r="AC11" s="9"/>
      <x:c r="AD11" s="9"/>
      <x:c r="AE11" s="9"/>
      <x:c r="AF11" s="9"/>
      <x:c r="AG11" s="9"/>
      <x:c r="AH11" s="9"/>
      <x:c r="AI11" s="11"/>
      <x:c r="AJ11" s="9"/>
      <x:c r="AK11" s="9" t="str">
        <x:v>Eval_State_Recognition.xlsm</x:v>
      </x:c>
      <x:c r="AL11" s="9" t="str">
        <x:v>MolmoAct2 Results</x:v>
      </x:c>
      <x:c r="AM11" s="9" t="n">
        <x:v>11</x:v>
      </x:c>
      <x:c r="AN11" s="9" t="n">
        <x:v>11</x:v>
      </x:c>
    </x:row>
    <x:row r="12">
      <x:c r="A12" s="9" t="str">
        <x:v>Success</x:v>
      </x:c>
      <x:c r="B12" s="9" t="str">
        <x:v>State Recognition</x:v>
      </x:c>
      <x:c r="C12" s="10" t="n">
        <x:v>10</x:v>
      </x:c>
      <x:c r="D12" s="9" t="str">
        <x:v>Move the closed white cup into the bowl.</x:v>
      </x:c>
      <x:c r="E12" s="9" t="str">
        <x:v>white cup B (C, RU); white cup A (O, RU); yellow-white striped cup A (C, RU); brown cup B (C, RU)</x:v>
      </x:c>
      <x:c r="F12" s="9" t="str">
        <x:v>white cup B</x:v>
      </x:c>
      <x:c r="G12" s="9"/>
      <x:c r="H12" s="9" t="str">
        <x:v>In-distribution concept baseline</x:v>
      </x:c>
      <x:c r="I12" s="9" t="str">
        <x:v>SR-ID11</x:v>
      </x:c>
      <x:c r="J12" s="9" t="str">
        <x:v>Exact training-supported state-object baseline</x:v>
      </x:c>
      <x:c r="K12" s="9"/>
      <x:c r="L12" s="9" t="str">
        <x:v>0</x:v>
      </x:c>
      <x:c r="M12" s="9" t="str">
        <x:v>Exact manifest episode: trained state-object cell, prompt, same-category candidate structure, and object membership match; physical layout is manually recreated. All objects are upright, matching the context of every explicit open/closed training demonstration.</x:v>
      </x:c>
      <x:c r="N12" s="9" t="n">
        <x:v>1</x:v>
      </x:c>
      <x:c r="O12" s="9" t="str">
        <x:v>Recreate the listed manifest scene with the bowl empty.</x:v>
      </x:c>
      <x:c r="P12" s="9" t="str">
        <x:v>The queried state-object combination and same-category discrimination structure are explicitly represented in training. The orthogonal orientation axis is fixed: every object is RU.</x:v>
      </x:c>
      <x:c r="Q12" s="9"/>
      <x:c r="R12" s="10" t="n">
        <x:v>4</x:v>
      </x:c>
      <x:c r="S12" s="10" t="n">
        <x:v>1</x:v>
      </x:c>
      <x:c r="T12" s="9" t="str">
        <x:v>Empty</x:v>
      </x:c>
      <x:c r="U12" s="9" t="str">
        <x:v>C</x:v>
      </x:c>
      <x:c r="V12" s="9" t="str">
        <x:v>white cup</x:v>
      </x:c>
      <x:c r="W12" s="9"/>
      <x:c r="X12" s="10"/>
      <x:c r="Y12" s="10"/>
      <x:c r="Z12" s="9"/>
      <x:c r="AA12" s="9"/>
      <x:c r="AB12" s="9"/>
      <x:c r="AC12" s="9"/>
      <x:c r="AD12" s="9"/>
      <x:c r="AE12" s="9"/>
      <x:c r="AF12" s="9"/>
      <x:c r="AG12" s="9"/>
      <x:c r="AH12" s="9"/>
      <x:c r="AI12" s="11"/>
      <x:c r="AJ12" s="9"/>
      <x:c r="AK12" s="9" t="str">
        <x:v>Eval_State_Recognition.xlsm</x:v>
      </x:c>
      <x:c r="AL12" s="9" t="str">
        <x:v>MolmoAct2 Results</x:v>
      </x:c>
      <x:c r="AM12" s="9" t="n">
        <x:v>12</x:v>
      </x:c>
      <x:c r="AN12" s="9" t="n">
        <x:v>12</x:v>
      </x:c>
    </x:row>
    <x:row r="13">
      <x:c r="A13" s="9" t="str">
        <x:v>Success</x:v>
      </x:c>
      <x:c r="B13" s="9" t="str">
        <x:v>State Recognition</x:v>
      </x:c>
      <x:c r="C13" s="10" t="n">
        <x:v>11</x:v>
      </x:c>
      <x:c r="D13" s="9" t="str">
        <x:v>Place the closed white cup in the bowl.</x:v>
      </x:c>
      <x:c r="E13" s="9" t="str">
        <x:v>white cup A (C, RU); white cup B (O, RU); brown cup B (O, RU)</x:v>
      </x:c>
      <x:c r="F13" s="9" t="str">
        <x:v>white cup A</x:v>
      </x:c>
      <x:c r="G13" s="9"/>
      <x:c r="H13" s="9" t="str">
        <x:v>In-distribution concept baseline</x:v>
      </x:c>
      <x:c r="I13" s="9" t="str">
        <x:v>SR-ID12</x:v>
      </x:c>
      <x:c r="J13" s="9" t="str">
        <x:v>Exact training-supported state-object baseline</x:v>
      </x:c>
      <x:c r="K13" s="9"/>
      <x:c r="L13" s="9" t="str">
        <x:v>7</x:v>
      </x:c>
      <x:c r="M13" s="9" t="str">
        <x:v>Exact manifest episode: trained state-object cell, prompt, same-category candidate structure, and object membership match; physical layout is manually recreated. All objects are upright, matching the context of every explicit open/closed training demonstration.</x:v>
      </x:c>
      <x:c r="N13" s="9" t="n">
        <x:v>1</x:v>
      </x:c>
      <x:c r="O13" s="9" t="str">
        <x:v>Recreate the listed manifest scene with the bowl empty.</x:v>
      </x:c>
      <x:c r="P13" s="9" t="str">
        <x:v>The queried state-object combination and same-category discrimination structure are explicitly represented in training. The orthogonal orientation axis is fixed: every object is RU.</x:v>
      </x:c>
      <x:c r="Q13" s="9"/>
      <x:c r="R13" s="10" t="n">
        <x:v>3</x:v>
      </x:c>
      <x:c r="S13" s="10" t="n">
        <x:v>1</x:v>
      </x:c>
      <x:c r="T13" s="9" t="str">
        <x:v>Empty</x:v>
      </x:c>
      <x:c r="U13" s="9" t="str">
        <x:v>C</x:v>
      </x:c>
      <x:c r="V13" s="9" t="str">
        <x:v>white cup</x:v>
      </x:c>
      <x:c r="W13" s="9"/>
      <x:c r="X13" s="10"/>
      <x:c r="Y13" s="10"/>
      <x:c r="Z13" s="9"/>
      <x:c r="AA13" s="9"/>
      <x:c r="AB13" s="9"/>
      <x:c r="AC13" s="9"/>
      <x:c r="AD13" s="9"/>
      <x:c r="AE13" s="9"/>
      <x:c r="AF13" s="9"/>
      <x:c r="AG13" s="9"/>
      <x:c r="AH13" s="9"/>
      <x:c r="AI13" s="11"/>
      <x:c r="AJ13" s="9"/>
      <x:c r="AK13" s="9" t="str">
        <x:v>Eval_State_Recognition.xlsm</x:v>
      </x:c>
      <x:c r="AL13" s="9" t="str">
        <x:v>MolmoAct2 Results</x:v>
      </x:c>
      <x:c r="AM13" s="9" t="n">
        <x:v>13</x:v>
      </x:c>
      <x:c r="AN13" s="9" t="n">
        <x:v>13</x:v>
      </x:c>
    </x:row>
    <x:row r="14">
      <x:c r="A14" s="9" t="str">
        <x:v>Success</x:v>
      </x:c>
      <x:c r="B14" s="9" t="str">
        <x:v>State Recognition</x:v>
      </x:c>
      <x:c r="C14" s="10" t="n">
        <x:v>12</x:v>
      </x:c>
      <x:c r="D14" s="9" t="str">
        <x:v>Put the open white cup in the bowl.</x:v>
      </x:c>
      <x:c r="E14" s="9" t="str">
        <x:v>white cup B (O, RU); white cup A (C, RU); glass spice container B (O, RU)</x:v>
      </x:c>
      <x:c r="F14" s="9" t="str">
        <x:v>white cup B</x:v>
      </x:c>
      <x:c r="G14" s="9"/>
      <x:c r="H14" s="9" t="str">
        <x:v>In-distribution concept baseline</x:v>
      </x:c>
      <x:c r="I14" s="9" t="str">
        <x:v>SR-ID13</x:v>
      </x:c>
      <x:c r="J14" s="9" t="str">
        <x:v>Exact training-supported state-object baseline</x:v>
      </x:c>
      <x:c r="K14" s="9"/>
      <x:c r="L14" s="9" t="str">
        <x:v>17</x:v>
      </x:c>
      <x:c r="M14" s="9" t="str">
        <x:v>Exact manifest episode: trained state-object cell, prompt, same-category candidate structure, and object membership match; physical layout is manually recreated. All objects are upright, matching the context of every explicit open/closed training demonstration.</x:v>
      </x:c>
      <x:c r="N14" s="9" t="n">
        <x:v>1</x:v>
      </x:c>
      <x:c r="O14" s="9" t="str">
        <x:v>Recreate the listed manifest scene with the bowl empty.</x:v>
      </x:c>
      <x:c r="P14" s="9" t="str">
        <x:v>The queried state-object combination and same-category discrimination structure are explicitly represented in training. The orthogonal orientation axis is fixed: every object is RU.</x:v>
      </x:c>
      <x:c r="Q14" s="9"/>
      <x:c r="R14" s="10" t="n">
        <x:v>3</x:v>
      </x:c>
      <x:c r="S14" s="10" t="n">
        <x:v>1</x:v>
      </x:c>
      <x:c r="T14" s="9" t="str">
        <x:v>Empty</x:v>
      </x:c>
      <x:c r="U14" s="9" t="str">
        <x:v>O</x:v>
      </x:c>
      <x:c r="V14" s="9" t="str">
        <x:v>white cup</x:v>
      </x:c>
      <x:c r="W14" s="9"/>
      <x:c r="X14" s="10"/>
      <x:c r="Y14" s="10"/>
      <x:c r="Z14" s="9"/>
      <x:c r="AA14" s="9"/>
      <x:c r="AB14" s="9"/>
      <x:c r="AC14" s="9"/>
      <x:c r="AD14" s="9"/>
      <x:c r="AE14" s="9"/>
      <x:c r="AF14" s="9"/>
      <x:c r="AG14" s="9"/>
      <x:c r="AH14" s="9"/>
      <x:c r="AI14" s="11"/>
      <x:c r="AJ14" s="9"/>
      <x:c r="AK14" s="9" t="str">
        <x:v>Eval_State_Recognition.xlsm</x:v>
      </x:c>
      <x:c r="AL14" s="9" t="str">
        <x:v>MolmoAct2 Results</x:v>
      </x:c>
      <x:c r="AM14" s="9" t="n">
        <x:v>14</x:v>
      </x:c>
      <x:c r="AN14" s="9" t="n">
        <x:v>14</x:v>
      </x:c>
    </x:row>
    <x:row r="15">
      <x:c r="A15" s="9" t="str">
        <x:v>Success</x:v>
      </x:c>
      <x:c r="B15" s="9" t="str">
        <x:v>State Recognition</x:v>
      </x:c>
      <x:c r="C15" s="10" t="n">
        <x:v>13</x:v>
      </x:c>
      <x:c r="D15" s="9" t="str">
        <x:v>Place the upside-down yellow-white striped cup in the bowl.</x:v>
      </x:c>
      <x:c r="E15" s="9" t="str">
        <x:v>yellow-white striped cup A (O, UD); yellow-white striped cup B (O, RU)</x:v>
      </x:c>
      <x:c r="F15" s="9" t="str">
        <x:v>yellow-white striped cup A</x:v>
      </x:c>
      <x:c r="G15" s="9"/>
      <x:c r="H15" s="9" t="str">
        <x:v>In-distribution concept baseline</x:v>
      </x:c>
      <x:c r="I15" s="9" t="str">
        <x:v>SR-ID14</x:v>
      </x:c>
      <x:c r="J15" s="9" t="str">
        <x:v>Exact training-supported state-object baseline</x:v>
      </x:c>
      <x:c r="K15" s="9"/>
      <x:c r="L15" s="9" t="str">
        <x:v>88</x:v>
      </x:c>
      <x:c r="M15" s="9" t="str">
        <x:v>Exact manifest episode: trained state-object cell, prompt, same-category candidate structure, and object membership match; physical layout is manually recreated.</x:v>
      </x:c>
      <x:c r="N15" s="9" t="n">
        <x:v>1</x:v>
      </x:c>
      <x:c r="O15" s="9" t="str">
        <x:v>Recreate the listed manifest scene with the bowl empty.</x:v>
      </x:c>
      <x:c r="P15" s="9" t="str">
        <x:v>The queried state-object combination and same-category discrimination structure are explicitly represented in training. The same-category candidates share the orthogonal C/O state (O).</x:v>
      </x:c>
      <x:c r="Q15" s="9"/>
      <x:c r="R15" s="10" t="n">
        <x:v>2</x:v>
      </x:c>
      <x:c r="S15" s="10" t="n">
        <x:v>1</x:v>
      </x:c>
      <x:c r="T15" s="9" t="str">
        <x:v>Empty</x:v>
      </x:c>
      <x:c r="U15" s="9" t="str">
        <x:v>UD</x:v>
      </x:c>
      <x:c r="V15" s="9" t="str">
        <x:v>yellow-white striped cup</x:v>
      </x:c>
      <x:c r="W15" s="9"/>
      <x:c r="X15" s="10"/>
      <x:c r="Y15" s="10"/>
      <x:c r="Z15" s="9"/>
      <x:c r="AA15" s="9"/>
      <x:c r="AB15" s="9"/>
      <x:c r="AC15" s="9"/>
      <x:c r="AD15" s="9"/>
      <x:c r="AE15" s="9"/>
      <x:c r="AF15" s="9"/>
      <x:c r="AG15" s="9"/>
      <x:c r="AH15" s="9"/>
      <x:c r="AI15" s="11"/>
      <x:c r="AJ15" s="9"/>
      <x:c r="AK15" s="9" t="str">
        <x:v>Eval_State_Recognition.xlsm</x:v>
      </x:c>
      <x:c r="AL15" s="9" t="str">
        <x:v>MolmoAct2 Results</x:v>
      </x:c>
      <x:c r="AM15" s="9" t="n">
        <x:v>15</x:v>
      </x:c>
      <x:c r="AN15" s="9" t="n">
        <x:v>15</x:v>
      </x:c>
    </x:row>
    <x:row r="16">
      <x:c r="A16" s="9" t="str">
        <x:v>Success</x:v>
      </x:c>
      <x:c r="B16" s="9" t="str">
        <x:v>State Recognition</x:v>
      </x:c>
      <x:c r="C16" s="10" t="n">
        <x:v>14</x:v>
      </x:c>
      <x:c r="D16" s="9" t="str">
        <x:v>Move the upright yellow-white striped cup into the bowl.</x:v>
      </x:c>
      <x:c r="E16" s="9" t="str">
        <x:v>yellow-white striped cup A (O, RU); yellow-white striped cup B (O, UD); glass spice container A (O, RU); white cup B (C, UD)</x:v>
      </x:c>
      <x:c r="F16" s="9" t="str">
        <x:v>yellow-white striped cup A</x:v>
      </x:c>
      <x:c r="G16" s="9"/>
      <x:c r="H16" s="9" t="str">
        <x:v>In-distribution concept baseline</x:v>
      </x:c>
      <x:c r="I16" s="9" t="str">
        <x:v>SR-ID15</x:v>
      </x:c>
      <x:c r="J16" s="9" t="str">
        <x:v>Exact training-supported state-object baseline</x:v>
      </x:c>
      <x:c r="K16" s="9"/>
      <x:c r="L16" s="9" t="str">
        <x:v>75</x:v>
      </x:c>
      <x:c r="M16" s="9" t="str">
        <x:v>Exact manifest episode: trained state-object cell, prompt, same-category candidate structure, and object membership match; physical layout is manually recreated.</x:v>
      </x:c>
      <x:c r="N16" s="9" t="n">
        <x:v>1</x:v>
      </x:c>
      <x:c r="O16" s="9" t="str">
        <x:v>Recreate the listed manifest scene with the bowl empty.</x:v>
      </x:c>
      <x:c r="P16" s="9" t="str">
        <x:v>The queried state-object combination and same-category discrimination structure are explicitly represented in training. The same-category candidates share the orthogonal C/O state (O).</x:v>
      </x:c>
      <x:c r="Q16" s="9"/>
      <x:c r="R16" s="10" t="n">
        <x:v>4</x:v>
      </x:c>
      <x:c r="S16" s="10" t="n">
        <x:v>1</x:v>
      </x:c>
      <x:c r="T16" s="9" t="str">
        <x:v>Empty</x:v>
      </x:c>
      <x:c r="U16" s="9" t="str">
        <x:v>RU</x:v>
      </x:c>
      <x:c r="V16" s="9" t="str">
        <x:v>yellow-white striped cup</x:v>
      </x:c>
      <x:c r="W16" s="9"/>
      <x:c r="X16" s="10"/>
      <x:c r="Y16" s="10"/>
      <x:c r="Z16" s="9"/>
      <x:c r="AA16" s="9"/>
      <x:c r="AB16" s="9"/>
      <x:c r="AC16" s="9"/>
      <x:c r="AD16" s="9"/>
      <x:c r="AE16" s="9"/>
      <x:c r="AF16" s="9"/>
      <x:c r="AG16" s="9"/>
      <x:c r="AH16" s="9"/>
      <x:c r="AI16" s="11"/>
      <x:c r="AJ16" s="9"/>
      <x:c r="AK16" s="9" t="str">
        <x:v>Eval_State_Recognition.xlsm</x:v>
      </x:c>
      <x:c r="AL16" s="9" t="str">
        <x:v>MolmoAct2 Results</x:v>
      </x:c>
      <x:c r="AM16" s="9" t="n">
        <x:v>16</x:v>
      </x:c>
      <x:c r="AN16" s="9" t="n">
        <x:v>16</x:v>
      </x:c>
    </x:row>
    <x:row r="17">
      <x:c r="A17" s="9" t="str">
        <x:v>Failure</x:v>
      </x:c>
      <x:c r="B17" s="9" t="str">
        <x:v>State Recognition</x:v>
      </x:c>
      <x:c r="C17" s="10" t="n">
        <x:v>15</x:v>
      </x:c>
      <x:c r="D17" s="9" t="str">
        <x:v>Put the upright yellow-white striped cup in the bowl.</x:v>
      </x:c>
      <x:c r="E17" s="9" t="str">
        <x:v>yellow-white striped cup B (C, RU); yellow-white striped cup A (C, UD)</x:v>
      </x:c>
      <x:c r="F17" s="9" t="str">
        <x:v>yellow-white striped cup B</x:v>
      </x:c>
      <x:c r="G17" s="9" t="str">
        <x:v>put upside down striped cup in bowl</x:v>
      </x:c>
      <x:c r="H17" s="9" t="str">
        <x:v>In-distribution concept baseline</x:v>
      </x:c>
      <x:c r="I17" s="9" t="str">
        <x:v>SR-ID16</x:v>
      </x:c>
      <x:c r="J17" s="9" t="str">
        <x:v>Exact training-supported state-object baseline</x:v>
      </x:c>
      <x:c r="K17" s="9"/>
      <x:c r="L17" s="9" t="str">
        <x:v>80</x:v>
      </x:c>
      <x:c r="M17" s="9" t="str">
        <x:v>Exact manifest episode: trained state-object cell, prompt, same-category candidate structure, and object membership match; physical layout is manually recreated.</x:v>
      </x:c>
      <x:c r="N17" s="9" t="n">
        <x:v>1</x:v>
      </x:c>
      <x:c r="O17" s="9" t="str">
        <x:v>Recreate the listed manifest scene with the bowl empty.</x:v>
      </x:c>
      <x:c r="P17" s="9" t="str">
        <x:v>The queried state-object combination and same-category discrimination structure are explicitly represented in training. The same-category candidates share the orthogonal C/O state (C).</x:v>
      </x:c>
      <x:c r="Q17" s="9"/>
      <x:c r="R17" s="10" t="n">
        <x:v>2</x:v>
      </x:c>
      <x:c r="S17" s="10" t="n">
        <x:v>1</x:v>
      </x:c>
      <x:c r="T17" s="9" t="str">
        <x:v>Empty</x:v>
      </x:c>
      <x:c r="U17" s="9" t="str">
        <x:v>RU</x:v>
      </x:c>
      <x:c r="V17" s="9" t="str">
        <x:v>yellow-white striped cup</x:v>
      </x:c>
      <x:c r="W17" s="9"/>
      <x:c r="X17" s="10"/>
      <x:c r="Y17" s="10"/>
      <x:c r="Z17" s="9"/>
      <x:c r="AA17" s="9"/>
      <x:c r="AB17" s="9"/>
      <x:c r="AC17" s="9"/>
      <x:c r="AD17" s="9"/>
      <x:c r="AE17" s="9"/>
      <x:c r="AF17" s="9"/>
      <x:c r="AG17" s="9"/>
      <x:c r="AH17" s="9"/>
      <x:c r="AI17" s="11"/>
      <x:c r="AJ17" s="9"/>
      <x:c r="AK17" s="9" t="str">
        <x:v>Eval_State_Recognition.xlsm</x:v>
      </x:c>
      <x:c r="AL17" s="9" t="str">
        <x:v>MolmoAct2 Results</x:v>
      </x:c>
      <x:c r="AM17" s="9" t="n">
        <x:v>17</x:v>
      </x:c>
      <x:c r="AN17" s="9" t="n">
        <x:v>17</x:v>
      </x:c>
    </x:row>
    <x:row r="18">
      <x:c r="A18" s="9" t="str">
        <x:v>Success</x:v>
      </x:c>
      <x:c r="B18" s="9" t="str">
        <x:v>State Recognition</x:v>
      </x:c>
      <x:c r="C18" s="10" t="n">
        <x:v>16</x:v>
      </x:c>
      <x:c r="D18" s="9" t="str">
        <x:v>Move the upside-down brown cup into the bowl.</x:v>
      </x:c>
      <x:c r="E18" s="9" t="str">
        <x:v>brown cup A (C, UD); brown cup B (C, RU); yellow-white striped cup B (C, UD); glass spice container A (O, RU)</x:v>
      </x:c>
      <x:c r="F18" s="9" t="str">
        <x:v>brown cup A</x:v>
      </x:c>
      <x:c r="G18" s="9"/>
      <x:c r="H18" s="9" t="str">
        <x:v>In-distribution concept baseline</x:v>
      </x:c>
      <x:c r="I18" s="9" t="str">
        <x:v>SR-ID17</x:v>
      </x:c>
      <x:c r="J18" s="9" t="str">
        <x:v>Exact training-supported state-object baseline</x:v>
      </x:c>
      <x:c r="K18" s="9"/>
      <x:c r="L18" s="9" t="str">
        <x:v>135</x:v>
      </x:c>
      <x:c r="M18" s="9" t="str">
        <x:v>Exact manifest episode: trained state-object cell, prompt, same-category candidate structure, and object membership match; physical layout is manually recreated.</x:v>
      </x:c>
      <x:c r="N18" s="9" t="n">
        <x:v>1</x:v>
      </x:c>
      <x:c r="O18" s="9" t="str">
        <x:v>Recreate the listed manifest scene with the bowl empty.</x:v>
      </x:c>
      <x:c r="P18" s="9" t="str">
        <x:v>The queried state-object combination and same-category discrimination structure are explicitly represented in training. The same-category candidates share the orthogonal C/O state (C).</x:v>
      </x:c>
      <x:c r="Q18" s="9"/>
      <x:c r="R18" s="10" t="n">
        <x:v>4</x:v>
      </x:c>
      <x:c r="S18" s="10" t="n">
        <x:v>1</x:v>
      </x:c>
      <x:c r="T18" s="9" t="str">
        <x:v>Empty</x:v>
      </x:c>
      <x:c r="U18" s="9" t="str">
        <x:v>UD</x:v>
      </x:c>
      <x:c r="V18" s="9" t="str">
        <x:v>brown cup</x:v>
      </x:c>
      <x:c r="W18" s="9"/>
      <x:c r="X18" s="10"/>
      <x:c r="Y18" s="10"/>
      <x:c r="Z18" s="9"/>
      <x:c r="AA18" s="9"/>
      <x:c r="AB18" s="9"/>
      <x:c r="AC18" s="9"/>
      <x:c r="AD18" s="9"/>
      <x:c r="AE18" s="9"/>
      <x:c r="AF18" s="9"/>
      <x:c r="AG18" s="9"/>
      <x:c r="AH18" s="9"/>
      <x:c r="AI18" s="11"/>
      <x:c r="AJ18" s="9"/>
      <x:c r="AK18" s="9" t="str">
        <x:v>Eval_State_Recognition.xlsm</x:v>
      </x:c>
      <x:c r="AL18" s="9" t="str">
        <x:v>MolmoAct2 Results</x:v>
      </x:c>
      <x:c r="AM18" s="9" t="n">
        <x:v>18</x:v>
      </x:c>
      <x:c r="AN18" s="9" t="n">
        <x:v>18</x:v>
      </x:c>
    </x:row>
    <x:row r="19">
      <x:c r="A19" s="9" t="str">
        <x:v>Failure</x:v>
      </x:c>
      <x:c r="B19" s="9" t="str">
        <x:v>State Recognition</x:v>
      </x:c>
      <x:c r="C19" s="10" t="n">
        <x:v>17</x:v>
      </x:c>
      <x:c r="D19" s="9" t="str">
        <x:v>Place the upright brown cup in the bowl.</x:v>
      </x:c>
      <x:c r="E19" s="9" t="str">
        <x:v>brown cup A (C, RU); brown cup B (C, UD); glass spice container B (C, UD)</x:v>
      </x:c>
      <x:c r="F19" s="9" t="str">
        <x:v>brown cup A</x:v>
      </x:c>
      <x:c r="G19" s="9" t="str">
        <x:v>moved between the two cups, started going for upside down cup, knocked it over, then in recovery, went for the upside down cup.</x:v>
      </x:c>
      <x:c r="H19" s="9" t="str">
        <x:v>In-distribution concept baseline</x:v>
      </x:c>
      <x:c r="I19" s="9" t="str">
        <x:v>SR-ID18</x:v>
      </x:c>
      <x:c r="J19" s="9" t="str">
        <x:v>Exact training-supported state-object baseline</x:v>
      </x:c>
      <x:c r="K19" s="9"/>
      <x:c r="L19" s="9" t="str">
        <x:v>139</x:v>
      </x:c>
      <x:c r="M19" s="9" t="str">
        <x:v>Exact manifest episode: trained state-object cell, prompt, same-category candidate structure, and object membership match; physical layout is manually recreated.</x:v>
      </x:c>
      <x:c r="N19" s="9" t="n">
        <x:v>1</x:v>
      </x:c>
      <x:c r="O19" s="9" t="str">
        <x:v>Recreate the listed manifest scene with the bowl empty.</x:v>
      </x:c>
      <x:c r="P19" s="9" t="str">
        <x:v>The queried state-object combination and same-category discrimination structure are explicitly represented in training. The same-category candidates share the orthogonal C/O state (C).</x:v>
      </x:c>
      <x:c r="Q19" s="9"/>
      <x:c r="R19" s="10" t="n">
        <x:v>3</x:v>
      </x:c>
      <x:c r="S19" s="10" t="n">
        <x:v>1</x:v>
      </x:c>
      <x:c r="T19" s="9" t="str">
        <x:v>Empty</x:v>
      </x:c>
      <x:c r="U19" s="9" t="str">
        <x:v>RU</x:v>
      </x:c>
      <x:c r="V19" s="9" t="str">
        <x:v>brown cup</x:v>
      </x:c>
      <x:c r="W19" s="9"/>
      <x:c r="X19" s="10"/>
      <x:c r="Y19" s="10"/>
      <x:c r="Z19" s="9"/>
      <x:c r="AA19" s="9"/>
      <x:c r="AB19" s="9"/>
      <x:c r="AC19" s="9"/>
      <x:c r="AD19" s="9"/>
      <x:c r="AE19" s="9"/>
      <x:c r="AF19" s="9"/>
      <x:c r="AG19" s="9"/>
      <x:c r="AH19" s="9"/>
      <x:c r="AI19" s="11"/>
      <x:c r="AJ19" s="9"/>
      <x:c r="AK19" s="9" t="str">
        <x:v>Eval_State_Recognition.xlsm</x:v>
      </x:c>
      <x:c r="AL19" s="9" t="str">
        <x:v>MolmoAct2 Results</x:v>
      </x:c>
      <x:c r="AM19" s="9" t="n">
        <x:v>19</x:v>
      </x:c>
      <x:c r="AN19" s="9" t="n">
        <x:v>19</x:v>
      </x:c>
    </x:row>
    <x:row r="20">
      <x:c r="A20" s="9" t="str">
        <x:v>Success</x:v>
      </x:c>
      <x:c r="B20" s="9" t="str">
        <x:v>State Recognition</x:v>
      </x:c>
      <x:c r="C20" s="10" t="n">
        <x:v>18</x:v>
      </x:c>
      <x:c r="D20" s="9" t="str">
        <x:v>Put the closed glass spice container in the bowl.</x:v>
      </x:c>
      <x:c r="E20" s="9" t="str">
        <x:v>glass spice container A (C, RU); glass spice container B (O, RU); brown cup A (C, RU); white cup B (O, RU)</x:v>
      </x:c>
      <x:c r="F20" s="9" t="str">
        <x:v>glass spice container A</x:v>
      </x:c>
      <x:c r="G20" s="9"/>
      <x:c r="H20" s="9" t="str">
        <x:v>In-distribution concept baseline</x:v>
      </x:c>
      <x:c r="I20" s="9" t="str">
        <x:v>SR-ID19</x:v>
      </x:c>
      <x:c r="J20" s="9" t="str">
        <x:v>Exact training-supported state-object baseline</x:v>
      </x:c>
      <x:c r="K20" s="9"/>
      <x:c r="L20" s="9" t="str">
        <x:v>155</x:v>
      </x:c>
      <x:c r="M20" s="9" t="str">
        <x:v>Exact manifest episode: trained state-object cell, prompt, same-category candidate structure, and object membership match; physical layout is manually recreated. All objects are upright, matching the context of every explicit open/closed training demonstration.</x:v>
      </x:c>
      <x:c r="N20" s="9" t="n">
        <x:v>1</x:v>
      </x:c>
      <x:c r="O20" s="9" t="str">
        <x:v>Recreate the listed manifest scene with the bowl empty.</x:v>
      </x:c>
      <x:c r="P20" s="9" t="str">
        <x:v>The queried state-object combination and same-category discrimination structure are explicitly represented in training. The orthogonal orientation axis is fixed: every object is RU.</x:v>
      </x:c>
      <x:c r="Q20" s="9"/>
      <x:c r="R20" s="10" t="n">
        <x:v>4</x:v>
      </x:c>
      <x:c r="S20" s="10" t="n">
        <x:v>1</x:v>
      </x:c>
      <x:c r="T20" s="9" t="str">
        <x:v>Empty</x:v>
      </x:c>
      <x:c r="U20" s="9" t="str">
        <x:v>C</x:v>
      </x:c>
      <x:c r="V20" s="9" t="str">
        <x:v>glass spice container</x:v>
      </x:c>
      <x:c r="W20" s="9"/>
      <x:c r="X20" s="10"/>
      <x:c r="Y20" s="10"/>
      <x:c r="Z20" s="9"/>
      <x:c r="AA20" s="9"/>
      <x:c r="AB20" s="9"/>
      <x:c r="AC20" s="9"/>
      <x:c r="AD20" s="9"/>
      <x:c r="AE20" s="9"/>
      <x:c r="AF20" s="9"/>
      <x:c r="AG20" s="9"/>
      <x:c r="AH20" s="9"/>
      <x:c r="AI20" s="11"/>
      <x:c r="AJ20" s="9"/>
      <x:c r="AK20" s="9" t="str">
        <x:v>Eval_State_Recognition.xlsm</x:v>
      </x:c>
      <x:c r="AL20" s="9" t="str">
        <x:v>MolmoAct2 Results</x:v>
      </x:c>
      <x:c r="AM20" s="9" t="n">
        <x:v>20</x:v>
      </x:c>
      <x:c r="AN20" s="9" t="n">
        <x:v>20</x:v>
      </x:c>
    </x:row>
    <x:row r="21">
      <x:c r="A21" s="9" t="str">
        <x:v>Success</x:v>
      </x:c>
      <x:c r="B21" s="9" t="str">
        <x:v>State Recognition</x:v>
      </x:c>
      <x:c r="C21" s="10" t="n">
        <x:v>19</x:v>
      </x:c>
      <x:c r="D21" s="9" t="str">
        <x:v>Move the open glass spice container into the bowl.</x:v>
      </x:c>
      <x:c r="E21" s="9" t="str">
        <x:v>glass spice container B (O, RU); glass spice container A (C, RU); white cup B (O, RU); yellow-white striped cup A (O, RU)</x:v>
      </x:c>
      <x:c r="F21" s="9" t="str">
        <x:v>glass spice container B</x:v>
      </x:c>
      <x:c r="G21" s="9"/>
      <x:c r="H21" s="9" t="str">
        <x:v>In-distribution concept baseline</x:v>
      </x:c>
      <x:c r="I21" s="9" t="str">
        <x:v>SR-ID20</x:v>
      </x:c>
      <x:c r="J21" s="9" t="str">
        <x:v>Exact training-supported state-object baseline</x:v>
      </x:c>
      <x:c r="K21" s="9"/>
      <x:c r="L21" s="9" t="str">
        <x:v>162</x:v>
      </x:c>
      <x:c r="M21" s="9" t="str">
        <x:v>Exact manifest episode: trained state-object cell, prompt, same-category candidate structure, and object membership match; physical layout is manually recreated. All objects are upright, matching the context of every explicit open/closed training demonstration.</x:v>
      </x:c>
      <x:c r="N21" s="9" t="n">
        <x:v>1</x:v>
      </x:c>
      <x:c r="O21" s="9" t="str">
        <x:v>Recreate the listed manifest scene with the bowl empty.</x:v>
      </x:c>
      <x:c r="P21" s="9" t="str">
        <x:v>The queried state-object combination and same-category discrimination structure are explicitly represented in training. The orthogonal orientation axis is fixed: every object is RU.</x:v>
      </x:c>
      <x:c r="Q21" s="9"/>
      <x:c r="R21" s="10" t="n">
        <x:v>4</x:v>
      </x:c>
      <x:c r="S21" s="10" t="n">
        <x:v>1</x:v>
      </x:c>
      <x:c r="T21" s="9" t="str">
        <x:v>Empty</x:v>
      </x:c>
      <x:c r="U21" s="9" t="str">
        <x:v>O</x:v>
      </x:c>
      <x:c r="V21" s="9" t="str">
        <x:v>glass spice container</x:v>
      </x:c>
      <x:c r="W21" s="9"/>
      <x:c r="X21" s="10"/>
      <x:c r="Y21" s="10"/>
      <x:c r="Z21" s="9"/>
      <x:c r="AA21" s="9"/>
      <x:c r="AB21" s="9"/>
      <x:c r="AC21" s="9"/>
      <x:c r="AD21" s="9"/>
      <x:c r="AE21" s="9"/>
      <x:c r="AF21" s="9"/>
      <x:c r="AG21" s="9"/>
      <x:c r="AH21" s="9"/>
      <x:c r="AI21" s="11"/>
      <x:c r="AJ21" s="9"/>
      <x:c r="AK21" s="9" t="str">
        <x:v>Eval_State_Recognition.xlsm</x:v>
      </x:c>
      <x:c r="AL21" s="9" t="str">
        <x:v>MolmoAct2 Results</x:v>
      </x:c>
      <x:c r="AM21" s="9" t="n">
        <x:v>21</x:v>
      </x:c>
      <x:c r="AN21" s="9" t="n">
        <x:v>21</x:v>
      </x:c>
    </x:row>
    <x:row r="22">
      <x:c r="A22" s="9" t="str">
        <x:v>Success</x:v>
      </x:c>
      <x:c r="B22" s="9" t="str">
        <x:v>State Recognition</x:v>
      </x:c>
      <x:c r="C22" s="10" t="n">
        <x:v>20</x:v>
      </x:c>
      <x:c r="D22" s="9" t="str">
        <x:v>Place the upside-down white cup in the bowl.</x:v>
      </x:c>
      <x:c r="E22" s="9" t="str">
        <x:v>white cup A (C, UD); white cup B (C, RU)</x:v>
      </x:c>
      <x:c r="F22" s="9" t="str">
        <x:v>white cup A</x:v>
      </x:c>
      <x:c r="G22" s="9"/>
      <x:c r="H22" s="9" t="str">
        <x:v>Concept/compositional transfer</x:v>
      </x:c>
      <x:c r="I22" s="9" t="str">
        <x:v>SR-CT01</x:v>
      </x:c>
      <x:c r="J22" s="9" t="str">
        <x:v>Primary held-out state-object composition</x:v>
      </x:c>
      <x:c r="K22" s="9"/>
      <x:c r="L22" s="9" t="str">
        <x:v>35</x:v>
      </x:c>
      <x:c r="M22" s="9" t="str">
        <x:v>Physical-state and manipulation-trajectory reference under a direct category prompt; the evaluated state word × object-category cell is intentionally absent from training.</x:v>
      </x:c>
      <x:c r="N22" s="9" t="n">
        <x:v>2</x:v>
      </x:c>
      <x:c r="O22" s="9" t="str">
        <x:v>Build the listed same-category discrimination scene with the bowl empty.</x:v>
      </x:c>
      <x:c r="P22" s="9" t="str">
        <x:v>Two same-category candidates share the non-queried state axis; only the held-out state word identifies the target. The same-category candidates share the orthogonal C/O state (C).</x:v>
      </x:c>
      <x:c r="Q22" s="9"/>
      <x:c r="R22" s="10" t="n">
        <x:v>2</x:v>
      </x:c>
      <x:c r="S22" s="10" t="n">
        <x:v>1</x:v>
      </x:c>
      <x:c r="T22" s="9" t="str">
        <x:v>Empty</x:v>
      </x:c>
      <x:c r="U22" s="9" t="str">
        <x:v>UD</x:v>
      </x:c>
      <x:c r="V22" s="9" t="str">
        <x:v>white cup</x:v>
      </x:c>
      <x:c r="W22" s="9"/>
      <x:c r="X22" s="10"/>
      <x:c r="Y22" s="10"/>
      <x:c r="Z22" s="9"/>
      <x:c r="AA22" s="9"/>
      <x:c r="AB22" s="9"/>
      <x:c r="AC22" s="9"/>
      <x:c r="AD22" s="9"/>
      <x:c r="AE22" s="9"/>
      <x:c r="AF22" s="9"/>
      <x:c r="AG22" s="9"/>
      <x:c r="AH22" s="9"/>
      <x:c r="AI22" s="11"/>
      <x:c r="AJ22" s="9"/>
      <x:c r="AK22" s="9" t="str">
        <x:v>Eval_State_Recognition.xlsm</x:v>
      </x:c>
      <x:c r="AL22" s="9" t="str">
        <x:v>MolmoAct2 Results</x:v>
      </x:c>
      <x:c r="AM22" s="9" t="n">
        <x:v>22</x:v>
      </x:c>
      <x:c r="AN22" s="9" t="n">
        <x:v>22</x:v>
      </x:c>
    </x:row>
    <x:row r="23">
      <x:c r="A23" s="9" t="str">
        <x:v>Success</x:v>
      </x:c>
      <x:c r="B23" s="9" t="str">
        <x:v>State Recognition</x:v>
      </x:c>
      <x:c r="C23" s="10" t="n">
        <x:v>21</x:v>
      </x:c>
      <x:c r="D23" s="9" t="str">
        <x:v>Put a white cup in the bowl.</x:v>
      </x:c>
      <x:c r="E23" s="9" t="str">
        <x:v>white cup A (C, UD); yellow-white striped cup A (C, RU)</x:v>
      </x:c>
      <x:c r="F23" s="9" t="str">
        <x:v>white cup A</x:v>
      </x:c>
      <x:c r="G23" s="9"/>
      <x:c r="H23" s="9" t="str">
        <x:v>Matched manipulation control</x:v>
      </x:c>
      <x:c r="I23" s="9" t="str">
        <x:v>SR-CT01</x:v>
      </x:c>
      <x:c r="J23" s="9" t="str">
        <x:v>One-object-substitution direct-category control</x:v>
      </x:c>
      <x:c r="K23" s="9" t="n">
        <x:v>20</x:v>
      </x:c>
      <x:c r="L23" s="9" t="n">
        <x:v>35</x:v>
      </x:c>
      <x:c r="M23" s="9" t="str">
        <x:v>Exact direct-category manipulation prompt from training episode 35. The transfer target, state, and pose are preserved; only the competing white cup is replaced by yellow-white striped cup A.</x:v>
      </x:c>
      <x:c r="N23" s="9" t="n">
        <x:v>2</x:v>
      </x:c>
      <x:c r="O23" s="9" t="str">
        <x:v>Reset white cup A to its transfer pose. Replace white cup B with yellow-white striped cup A in the same location and use the states listed in this row; preserve all other objects.</x:v>
      </x:c>
      <x:c r="P23" s="9" t="str">
        <x:v>Pure recognition/manipulation control: the prompt uniquely names the only object from the target category, while the physical target remains identical to the transfer row.</x:v>
      </x:c>
      <x:c r="Q23" s="9"/>
      <x:c r="R23" s="10" t="n">
        <x:v>2</x:v>
      </x:c>
      <x:c r="S23" s="10" t="n">
        <x:v>1</x:v>
      </x:c>
      <x:c r="T23" s="9" t="str">
        <x:v>Empty</x:v>
      </x:c>
      <x:c r="U23" s="9" t="str">
        <x:v>N/A</x:v>
      </x:c>
      <x:c r="V23" s="9" t="str">
        <x:v>white cup</x:v>
      </x:c>
      <x:c r="W23" s="9"/>
      <x:c r="X23" s="10"/>
      <x:c r="Y23" s="10"/>
      <x:c r="Z23" s="9"/>
      <x:c r="AA23" s="9"/>
      <x:c r="AB23" s="9"/>
      <x:c r="AC23" s="9"/>
      <x:c r="AD23" s="9"/>
      <x:c r="AE23" s="9"/>
      <x:c r="AF23" s="9"/>
      <x:c r="AG23" s="9"/>
      <x:c r="AH23" s="9"/>
      <x:c r="AI23" s="11"/>
      <x:c r="AJ23" s="9"/>
      <x:c r="AK23" s="9" t="str">
        <x:v>Eval_State_Recognition.xlsm</x:v>
      </x:c>
      <x:c r="AL23" s="9" t="str">
        <x:v>MolmoAct2 Results</x:v>
      </x:c>
      <x:c r="AM23" s="9" t="n">
        <x:v>23</x:v>
      </x:c>
      <x:c r="AN23" s="9" t="n">
        <x:v>23</x:v>
      </x:c>
    </x:row>
    <x:row r="24">
      <x:c r="A24" s="9" t="str">
        <x:v>Success</x:v>
      </x:c>
      <x:c r="B24" s="9" t="str">
        <x:v>State Recognition</x:v>
      </x:c>
      <x:c r="C24" s="10" t="n">
        <x:v>22</x:v>
      </x:c>
      <x:c r="D24" s="9" t="str">
        <x:v>Move the inverted white cup into the bowl.</x:v>
      </x:c>
      <x:c r="E24" s="9" t="str">
        <x:v>white cup A (C, UD); white cup B (C, RU)</x:v>
      </x:c>
      <x:c r="F24" s="9" t="str">
        <x:v>white cup A</x:v>
      </x:c>
      <x:c r="G24" s="9"/>
      <x:c r="H24" s="9" t="str">
        <x:v>Language robustness</x:v>
      </x:c>
      <x:c r="I24" s="9" t="str">
        <x:v>SR-CT01</x:v>
      </x:c>
      <x:c r="J24" s="9" t="str">
        <x:v>Primary compositional-transfer prompt paraphrase</x:v>
      </x:c>
      <x:c r="K24" s="9" t="n">
        <x:v>20</x:v>
      </x:c>
      <x:c r="L24" s="9" t="str">
        <x:v>35</x:v>
      </x:c>
      <x:c r="M24" s="9" t="str">
        <x:v>The canonical transfer scene and masked trajectory reference are unchanged; only the evaluation wording is paraphrased. This remains a language diagnostic and is not pooled into the primary 50.</x:v>
      </x:c>
      <x:c r="N24" s="9" t="n">
        <x:v>2</x:v>
      </x:c>
      <x:c r="O24" s="9" t="str">
        <x:v>Reset the moved object exactly; preserve every object and state; change only the prompt wording.</x:v>
      </x:c>
      <x:c r="P24" s="9" t="str">
        <x:v>Exact-scene paraphrase of one of the 50 canonical compositional-transfer trials. The same-category candidates share the orthogonal C/O state (C). The scene is an exact copy of the referenced canonical row.</x:v>
      </x:c>
      <x:c r="Q24" s="9"/>
      <x:c r="R24" s="10" t="n">
        <x:v>2</x:v>
      </x:c>
      <x:c r="S24" s="10" t="n">
        <x:v>1</x:v>
      </x:c>
      <x:c r="T24" s="9" t="str">
        <x:v>Empty</x:v>
      </x:c>
      <x:c r="U24" s="9" t="str">
        <x:v>UD</x:v>
      </x:c>
      <x:c r="V24" s="9" t="str">
        <x:v>white cup</x:v>
      </x:c>
      <x:c r="W24" s="9"/>
      <x:c r="X24" s="10"/>
      <x:c r="Y24" s="10"/>
      <x:c r="Z24" s="9"/>
      <x:c r="AA24" s="9"/>
      <x:c r="AB24" s="9"/>
      <x:c r="AC24" s="9"/>
      <x:c r="AD24" s="9"/>
      <x:c r="AE24" s="9"/>
      <x:c r="AF24" s="9"/>
      <x:c r="AG24" s="9"/>
      <x:c r="AH24" s="9"/>
      <x:c r="AI24" s="11"/>
      <x:c r="AJ24" s="9"/>
      <x:c r="AK24" s="9" t="str">
        <x:v>Eval_State_Recognition.xlsm</x:v>
      </x:c>
      <x:c r="AL24" s="9" t="str">
        <x:v>MolmoAct2 Results</x:v>
      </x:c>
      <x:c r="AM24" s="9" t="n">
        <x:v>24</x:v>
      </x:c>
      <x:c r="AN24" s="9" t="n">
        <x:v>24</x:v>
      </x:c>
    </x:row>
    <x:row r="25">
      <x:c r="A25" s="9" t="str">
        <x:v>Success</x:v>
      </x:c>
      <x:c r="B25" s="9" t="str">
        <x:v>State Recognition</x:v>
      </x:c>
      <x:c r="C25" s="10" t="n">
        <x:v>23</x:v>
      </x:c>
      <x:c r="D25" s="9" t="str">
        <x:v>Transfer the white cup from the table into the bowl.</x:v>
      </x:c>
      <x:c r="E25" s="9" t="str">
        <x:v>white cup A (C, UD); yellow-white striped cup A (C, RU)</x:v>
      </x:c>
      <x:c r="F25" s="9" t="str">
        <x:v>white cup A</x:v>
      </x:c>
      <x:c r="G25" s="9"/>
      <x:c r="H25" s="9" t="str">
        <x:v>Language robustness</x:v>
      </x:c>
      <x:c r="I25" s="9" t="str">
        <x:v>SR-CT01</x:v>
      </x:c>
      <x:c r="J25" s="9" t="str">
        <x:v>Direct-category matched-control paraphrase</x:v>
      </x:c>
      <x:c r="K25" s="9" t="n">
        <x:v>21</x:v>
      </x:c>
      <x:c r="L25" s="9" t="n">
        <x:v>35</x:v>
      </x:c>
      <x:c r="M25" s="9" t="str">
        <x:v>Paraphrase of the direct-category matched control grounded by training episode 35. The modified control scene and physical target are unchanged.</x:v>
      </x:c>
      <x:c r="N25" s="9" t="n">
        <x:v>2</x:v>
      </x:c>
      <x:c r="O25" s="9" t="str">
        <x:v>Reset the target to its marked pose; preserve the exact modified control scene and change only the direct instruction wording.</x:v>
      </x:c>
      <x:c r="P25" s="9" t="str">
        <x:v>Language diagnostic for the pure manipulation control; no state word or state-based selection is required. The scene is an exact copy of the referenced canonical row.</x:v>
      </x:c>
      <x:c r="Q25" s="9"/>
      <x:c r="R25" s="10" t="n">
        <x:v>2</x:v>
      </x:c>
      <x:c r="S25" s="10" t="n">
        <x:v>1</x:v>
      </x:c>
      <x:c r="T25" s="9" t="str">
        <x:v>Empty</x:v>
      </x:c>
      <x:c r="U25" s="9" t="str">
        <x:v>N/A</x:v>
      </x:c>
      <x:c r="V25" s="9" t="str">
        <x:v>white cup</x:v>
      </x:c>
      <x:c r="W25" s="9"/>
      <x:c r="X25" s="10"/>
      <x:c r="Y25" s="10"/>
      <x:c r="Z25" s="9"/>
      <x:c r="AA25" s="9"/>
      <x:c r="AB25" s="9"/>
      <x:c r="AC25" s="9"/>
      <x:c r="AD25" s="9"/>
      <x:c r="AE25" s="9"/>
      <x:c r="AF25" s="9"/>
      <x:c r="AG25" s="9"/>
      <x:c r="AH25" s="9"/>
      <x:c r="AI25" s="11"/>
      <x:c r="AJ25" s="9"/>
      <x:c r="AK25" s="9" t="str">
        <x:v>Eval_State_Recognition.xlsm</x:v>
      </x:c>
      <x:c r="AL25" s="9" t="str">
        <x:v>MolmoAct2 Results</x:v>
      </x:c>
      <x:c r="AM25" s="9" t="n">
        <x:v>25</x:v>
      </x:c>
      <x:c r="AN25" s="9" t="n">
        <x:v>25</x:v>
      </x:c>
    </x:row>
    <x:row r="26">
      <x:c r="A26" s="9" t="str">
        <x:v>Success</x:v>
      </x:c>
      <x:c r="B26" s="9" t="str">
        <x:v>State Recognition</x:v>
      </x:c>
      <x:c r="C26" s="10" t="n">
        <x:v>24</x:v>
      </x:c>
      <x:c r="D26" s="9" t="str">
        <x:v>Place the open yellow-white striped cup in the bowl.</x:v>
      </x:c>
      <x:c r="E26" s="9" t="str">
        <x:v>yellow-white striped cup B (O, RU); yellow-white striped cup A (C, RU); brown cup B (O, RU)</x:v>
      </x:c>
      <x:c r="F26" s="9" t="str">
        <x:v>yellow-white striped cup B</x:v>
      </x:c>
      <x:c r="G26" s="9"/>
      <x:c r="H26" s="9" t="str">
        <x:v>Concept/compositional transfer</x:v>
      </x:c>
      <x:c r="I26" s="9" t="str">
        <x:v>SR-CT02</x:v>
      </x:c>
      <x:c r="J26" s="9" t="str">
        <x:v>Primary held-out state-object composition</x:v>
      </x:c>
      <x:c r="K26" s="9"/>
      <x:c r="L26" s="9" t="str">
        <x:v>64</x:v>
      </x:c>
      <x:c r="M26"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26" s="9" t="n">
        <x:v>2</x:v>
      </x:c>
      <x:c r="O26" s="9" t="str">
        <x:v>Build the listed same-category discrimination scene with the bowl empty.</x:v>
      </x:c>
      <x:c r="P26" s="9" t="str">
        <x:v>Two same-category candidates share the non-queried state axis; only the held-out state word identifies the target. The orthogonal orientation axis is fixed: every object is RU.</x:v>
      </x:c>
      <x:c r="Q26" s="9"/>
      <x:c r="R26" s="10" t="n">
        <x:v>3</x:v>
      </x:c>
      <x:c r="S26" s="10" t="n">
        <x:v>1</x:v>
      </x:c>
      <x:c r="T26" s="9" t="str">
        <x:v>Empty</x:v>
      </x:c>
      <x:c r="U26" s="9" t="str">
        <x:v>O</x:v>
      </x:c>
      <x:c r="V26" s="9" t="str">
        <x:v>yellow-white striped cup</x:v>
      </x:c>
      <x:c r="W26" s="9"/>
      <x:c r="X26" s="10"/>
      <x:c r="Y26" s="10"/>
      <x:c r="Z26" s="9"/>
      <x:c r="AA26" s="9"/>
      <x:c r="AB26" s="9"/>
      <x:c r="AC26" s="9"/>
      <x:c r="AD26" s="9"/>
      <x:c r="AE26" s="9"/>
      <x:c r="AF26" s="9"/>
      <x:c r="AG26" s="9"/>
      <x:c r="AH26" s="9"/>
      <x:c r="AI26" s="11"/>
      <x:c r="AJ26" s="9"/>
      <x:c r="AK26" s="9" t="str">
        <x:v>Eval_State_Recognition.xlsm</x:v>
      </x:c>
      <x:c r="AL26" s="9" t="str">
        <x:v>MolmoAct2 Results</x:v>
      </x:c>
      <x:c r="AM26" s="9" t="n">
        <x:v>26</x:v>
      </x:c>
      <x:c r="AN26" s="9" t="n">
        <x:v>26</x:v>
      </x:c>
    </x:row>
    <x:row r="27">
      <x:c r="A27" s="9" t="str">
        <x:v>Success</x:v>
      </x:c>
      <x:c r="B27" s="9" t="str">
        <x:v>State Recognition</x:v>
      </x:c>
      <x:c r="C27" s="10" t="n">
        <x:v>25</x:v>
      </x:c>
      <x:c r="D27" s="9" t="str">
        <x:v>Place a yellow-white striped cup in the bowl.</x:v>
      </x:c>
      <x:c r="E27" s="9" t="str">
        <x:v>yellow-white striped cup B (O, RU); glass spice container B (C, RU); brown cup B (O, RU)</x:v>
      </x:c>
      <x:c r="F27" s="9" t="str">
        <x:v>yellow-white striped cup B</x:v>
      </x:c>
      <x:c r="G27" s="9"/>
      <x:c r="H27" s="9" t="str">
        <x:v>Matched manipulation control</x:v>
      </x:c>
      <x:c r="I27" s="9" t="str">
        <x:v>SR-CT02</x:v>
      </x:c>
      <x:c r="J27" s="9" t="str">
        <x:v>One-object-substitution direct-category control</x:v>
      </x:c>
      <x:c r="K27" s="9" t="n">
        <x:v>24</x:v>
      </x:c>
      <x:c r="L27" s="9" t="n">
        <x:v>64</x:v>
      </x:c>
      <x:c r="M27" s="9" t="str">
        <x:v>Exact direct-category manipulation prompt from training episode 64. The transfer target, state, and pose are preserved; only the competing yellow-white striped cup is replaced by glass spice container B. The full control scene is upright because its paired transfer instruction queries open/closed.</x:v>
      </x:c>
      <x:c r="N27" s="9" t="n">
        <x:v>2</x:v>
      </x:c>
      <x:c r="O27" s="9" t="str">
        <x:v>Reset yellow-white striped cup B to its transfer pose. Replace yellow-white striped cup A with glass spice container B in the same location and use the states listed in this row; preserve all other objects.</x:v>
      </x:c>
      <x:c r="P27" s="9" t="str">
        <x:v>Pure recognition/manipulation control: the prompt uniquely names the only object from the target category, while the physical target remains identical to the transfer row. Every object is RU.</x:v>
      </x:c>
      <x:c r="Q27" s="9"/>
      <x:c r="R27" s="10" t="n">
        <x:v>3</x:v>
      </x:c>
      <x:c r="S27" s="10" t="n">
        <x:v>1</x:v>
      </x:c>
      <x:c r="T27" s="9" t="str">
        <x:v>Empty</x:v>
      </x:c>
      <x:c r="U27" s="9" t="str">
        <x:v>N/A</x:v>
      </x:c>
      <x:c r="V27" s="9" t="str">
        <x:v>yellow-white striped cup</x:v>
      </x:c>
      <x:c r="W27" s="9"/>
      <x:c r="X27" s="10"/>
      <x:c r="Y27" s="10"/>
      <x:c r="Z27" s="9"/>
      <x:c r="AA27" s="9"/>
      <x:c r="AB27" s="9"/>
      <x:c r="AC27" s="9"/>
      <x:c r="AD27" s="9"/>
      <x:c r="AE27" s="9"/>
      <x:c r="AF27" s="9"/>
      <x:c r="AG27" s="9"/>
      <x:c r="AH27" s="9"/>
      <x:c r="AI27" s="11"/>
      <x:c r="AJ27" s="9"/>
      <x:c r="AK27" s="9" t="str">
        <x:v>Eval_State_Recognition.xlsm</x:v>
      </x:c>
      <x:c r="AL27" s="9" t="str">
        <x:v>MolmoAct2 Results</x:v>
      </x:c>
      <x:c r="AM27" s="9" t="n">
        <x:v>27</x:v>
      </x:c>
      <x:c r="AN27" s="9" t="n">
        <x:v>27</x:v>
      </x:c>
    </x:row>
    <x:row r="28">
      <x:c r="A28" s="9" t="str">
        <x:v>Success</x:v>
      </x:c>
      <x:c r="B28" s="9" t="str">
        <x:v>State Recognition</x:v>
      </x:c>
      <x:c r="C28" s="10" t="n">
        <x:v>26</x:v>
      </x:c>
      <x:c r="D28" s="9" t="str">
        <x:v>Move the yellow-white striped cup whose opening is uncovered into the bowl.</x:v>
      </x:c>
      <x:c r="E28" s="9" t="str">
        <x:v>yellow-white striped cup B (O, RU); yellow-white striped cup A (C, RU); brown cup B (O, RU)</x:v>
      </x:c>
      <x:c r="F28" s="9" t="str">
        <x:v>yellow-white striped cup B</x:v>
      </x:c>
      <x:c r="G28" s="9"/>
      <x:c r="H28" s="9" t="str">
        <x:v>Language robustness</x:v>
      </x:c>
      <x:c r="I28" s="9" t="str">
        <x:v>SR-CT02</x:v>
      </x:c>
      <x:c r="J28" s="9" t="str">
        <x:v>Primary compositional-transfer prompt paraphrase</x:v>
      </x:c>
      <x:c r="K28" s="9" t="n">
        <x:v>24</x:v>
      </x:c>
      <x:c r="L28" s="9" t="str">
        <x:v>64</x:v>
      </x:c>
      <x:c r="M28" s="9" t="str">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N28" s="9" t="n">
        <x:v>2</x:v>
      </x:c>
      <x:c r="O28" s="9" t="str">
        <x:v>Reset the moved object exactly; preserve every object and state; change only the prompt wording.</x:v>
      </x:c>
      <x:c r="P28" s="9" t="str">
        <x:v>Exact-scene paraphrase of one of the 50 canonical compositional-transfer trials. The orthogonal orientation axis is fixed: every object is RU. The scene is an exact copy of the referenced canonical row.</x:v>
      </x:c>
      <x:c r="Q28" s="9"/>
      <x:c r="R28" s="10" t="n">
        <x:v>3</x:v>
      </x:c>
      <x:c r="S28" s="10" t="n">
        <x:v>1</x:v>
      </x:c>
      <x:c r="T28" s="9" t="str">
        <x:v>Empty</x:v>
      </x:c>
      <x:c r="U28" s="9" t="str">
        <x:v>O</x:v>
      </x:c>
      <x:c r="V28" s="9" t="str">
        <x:v>yellow-white striped cup</x:v>
      </x:c>
      <x:c r="W28" s="9"/>
      <x:c r="X28" s="10"/>
      <x:c r="Y28" s="10"/>
      <x:c r="Z28" s="9"/>
      <x:c r="AA28" s="9"/>
      <x:c r="AB28" s="9"/>
      <x:c r="AC28" s="9"/>
      <x:c r="AD28" s="9"/>
      <x:c r="AE28" s="9"/>
      <x:c r="AF28" s="9"/>
      <x:c r="AG28" s="9"/>
      <x:c r="AH28" s="9"/>
      <x:c r="AI28" s="11"/>
      <x:c r="AJ28" s="9"/>
      <x:c r="AK28" s="9" t="str">
        <x:v>Eval_State_Recognition.xlsm</x:v>
      </x:c>
      <x:c r="AL28" s="9" t="str">
        <x:v>MolmoAct2 Results</x:v>
      </x:c>
      <x:c r="AM28" s="9" t="n">
        <x:v>28</x:v>
      </x:c>
      <x:c r="AN28" s="9" t="n">
        <x:v>28</x:v>
      </x:c>
    </x:row>
    <x:row r="29">
      <x:c r="A29" s="9" t="str">
        <x:v>Success</x:v>
      </x:c>
      <x:c r="B29" s="9" t="str">
        <x:v>State Recognition</x:v>
      </x:c>
      <x:c r="C29" s="10" t="n">
        <x:v>27</x:v>
      </x:c>
      <x:c r="D29" s="9" t="str">
        <x:v>Lift the yellow-white striped cup and set it inside the bowl.</x:v>
      </x:c>
      <x:c r="E29" s="9" t="str">
        <x:v>yellow-white striped cup B (O, RU); glass spice container B (C, RU); brown cup B (O, RU)</x:v>
      </x:c>
      <x:c r="F29" s="9" t="str">
        <x:v>yellow-white striped cup B</x:v>
      </x:c>
      <x:c r="G29" s="9"/>
      <x:c r="H29" s="9" t="str">
        <x:v>Language robustness</x:v>
      </x:c>
      <x:c r="I29" s="9" t="str">
        <x:v>SR-CT02</x:v>
      </x:c>
      <x:c r="J29" s="9" t="str">
        <x:v>Direct-category matched-control paraphrase</x:v>
      </x:c>
      <x:c r="K29" s="9" t="n">
        <x:v>25</x:v>
      </x:c>
      <x:c r="L29" s="9" t="n">
        <x:v>64</x:v>
      </x:c>
      <x:c r="M29" s="9" t="str">
        <x:v>Paraphrase of the direct-category matched control grounded by training episode 64. The modified control scene and physical target are unchanged.</x:v>
      </x:c>
      <x:c r="N29" s="9" t="n">
        <x:v>2</x:v>
      </x:c>
      <x:c r="O29" s="9" t="str">
        <x:v>Reset the target to its marked pose; preserve the exact modified control scene and change only the direct instruction wording.</x:v>
      </x:c>
      <x:c r="P29" s="9" t="str">
        <x:v>Language diagnostic for the pure manipulation control; no state word or state-based selection is required. The scene is an exact copy of the referenced canonical row.</x:v>
      </x:c>
      <x:c r="Q29" s="9"/>
      <x:c r="R29" s="10" t="n">
        <x:v>3</x:v>
      </x:c>
      <x:c r="S29" s="10" t="n">
        <x:v>1</x:v>
      </x:c>
      <x:c r="T29" s="9" t="str">
        <x:v>Empty</x:v>
      </x:c>
      <x:c r="U29" s="9" t="str">
        <x:v>N/A</x:v>
      </x:c>
      <x:c r="V29" s="9" t="str">
        <x:v>yellow-white striped cup</x:v>
      </x:c>
      <x:c r="W29" s="9"/>
      <x:c r="X29" s="10"/>
      <x:c r="Y29" s="10"/>
      <x:c r="Z29" s="9"/>
      <x:c r="AA29" s="9"/>
      <x:c r="AB29" s="9"/>
      <x:c r="AC29" s="9"/>
      <x:c r="AD29" s="9"/>
      <x:c r="AE29" s="9"/>
      <x:c r="AF29" s="9"/>
      <x:c r="AG29" s="9"/>
      <x:c r="AH29" s="9"/>
      <x:c r="AI29" s="11"/>
      <x:c r="AJ29" s="9"/>
      <x:c r="AK29" s="9" t="str">
        <x:v>Eval_State_Recognition.xlsm</x:v>
      </x:c>
      <x:c r="AL29" s="9" t="str">
        <x:v>MolmoAct2 Results</x:v>
      </x:c>
      <x:c r="AM29" s="9" t="n">
        <x:v>29</x:v>
      </x:c>
      <x:c r="AN29" s="9" t="n">
        <x:v>29</x:v>
      </x:c>
    </x:row>
    <x:row r="30">
      <x:c r="A30" s="9" t="str">
        <x:v>Failure</x:v>
      </x:c>
      <x:c r="B30" s="9" t="str">
        <x:v>State Recognition</x:v>
      </x:c>
      <x:c r="C30" s="10" t="n">
        <x:v>28</x:v>
      </x:c>
      <x:c r="D30" s="9" t="str">
        <x:v>Place the upright glass spice container in the bowl.</x:v>
      </x:c>
      <x:c r="E30" s="9" t="str">
        <x:v>glass spice container B (C, RU); glass spice container A (C, UD)</x:v>
      </x:c>
      <x:c r="F30" s="9" t="str">
        <x:v>glass spice container B</x:v>
      </x:c>
      <x:c r="G30" s="9" t="str">
        <x:v>picked upside down container</x:v>
      </x:c>
      <x:c r="H30" s="9" t="str">
        <x:v>Concept/compositional transfer</x:v>
      </x:c>
      <x:c r="I30" s="9" t="str">
        <x:v>SR-CT04</x:v>
      </x:c>
      <x:c r="J30" s="9" t="str">
        <x:v>Primary held-out state-object composition</x:v>
      </x:c>
      <x:c r="K30" s="9"/>
      <x:c r="L30" s="9" t="str">
        <x:v>169</x:v>
      </x:c>
      <x:c r="M30" s="9" t="str">
        <x:v>Physical-state and manipulation-trajectory reference under a direct category prompt; the evaluated state word × object-category cell is intentionally absent from training.</x:v>
      </x:c>
      <x:c r="N30" s="9" t="n">
        <x:v>2</x:v>
      </x:c>
      <x:c r="O30" s="9" t="str">
        <x:v>Build the listed same-category discrimination scene with the bowl empty.</x:v>
      </x:c>
      <x:c r="P30" s="9" t="str">
        <x:v>Two same-category candidates share the non-queried state axis; only the held-out state word identifies the target. The same-category candidates share the orthogonal C/O state (C).</x:v>
      </x:c>
      <x:c r="Q30" s="9"/>
      <x:c r="R30" s="10" t="n">
        <x:v>2</x:v>
      </x:c>
      <x:c r="S30" s="10" t="n">
        <x:v>1</x:v>
      </x:c>
      <x:c r="T30" s="9" t="str">
        <x:v>Empty</x:v>
      </x:c>
      <x:c r="U30" s="9" t="str">
        <x:v>RU</x:v>
      </x:c>
      <x:c r="V30" s="9" t="str">
        <x:v>glass spice container</x:v>
      </x:c>
      <x:c r="W30" s="9"/>
      <x:c r="X30" s="10"/>
      <x:c r="Y30" s="10"/>
      <x:c r="Z30" s="9"/>
      <x:c r="AA30" s="9"/>
      <x:c r="AB30" s="9"/>
      <x:c r="AC30" s="9"/>
      <x:c r="AD30" s="9"/>
      <x:c r="AE30" s="9"/>
      <x:c r="AF30" s="9"/>
      <x:c r="AG30" s="9"/>
      <x:c r="AH30" s="9"/>
      <x:c r="AI30" s="11"/>
      <x:c r="AJ30" s="9"/>
      <x:c r="AK30" s="9" t="str">
        <x:v>Eval_State_Recognition.xlsm</x:v>
      </x:c>
      <x:c r="AL30" s="9" t="str">
        <x:v>MolmoAct2 Results</x:v>
      </x:c>
      <x:c r="AM30" s="9" t="n">
        <x:v>30</x:v>
      </x:c>
      <x:c r="AN30" s="9" t="n">
        <x:v>30</x:v>
      </x:c>
    </x:row>
    <x:row r="31">
      <x:c r="A31" s="9" t="str">
        <x:v>Success</x:v>
      </x:c>
      <x:c r="B31" s="9" t="str">
        <x:v>State Recognition</x:v>
      </x:c>
      <x:c r="C31" s="10" t="n">
        <x:v>29</x:v>
      </x:c>
      <x:c r="D31" s="9" t="str">
        <x:v>Place a glass spice container in the bowl.</x:v>
      </x:c>
      <x:c r="E31" s="9" t="str">
        <x:v>glass spice container B (C, RU); white cup B (C, UD)</x:v>
      </x:c>
      <x:c r="F31" s="9" t="str">
        <x:v>glass spice container B</x:v>
      </x:c>
      <x:c r="G31" s="9"/>
      <x:c r="H31" s="9" t="str">
        <x:v>Matched manipulation control</x:v>
      </x:c>
      <x:c r="I31" s="9" t="str">
        <x:v>SR-CT04</x:v>
      </x:c>
      <x:c r="J31" s="9" t="str">
        <x:v>One-object-substitution direct-category control</x:v>
      </x:c>
      <x:c r="K31" s="9" t="n">
        <x:v>28</x:v>
      </x:c>
      <x:c r="L31" s="9" t="n">
        <x:v>169</x:v>
      </x:c>
      <x:c r="M31" s="9" t="str">
        <x:v>Exact direct-category manipulation prompt from training episode 169. The transfer target, state, and pose are preserved; only the competing glass spice container is replaced by white cup B.</x:v>
      </x:c>
      <x:c r="N31" s="9" t="n">
        <x:v>2</x:v>
      </x:c>
      <x:c r="O31" s="9" t="str">
        <x:v>Reset glass spice container B to its transfer pose. Replace glass spice container A with white cup B in the same location and use the states listed in this row; preserve all other objects.</x:v>
      </x:c>
      <x:c r="P31" s="9" t="str">
        <x:v>Pure recognition/manipulation control: the prompt uniquely names the only object from the target category, while the physical target remains identical to the transfer row.</x:v>
      </x:c>
      <x:c r="Q31" s="9"/>
      <x:c r="R31" s="10" t="n">
        <x:v>2</x:v>
      </x:c>
      <x:c r="S31" s="10" t="n">
        <x:v>1</x:v>
      </x:c>
      <x:c r="T31" s="9" t="str">
        <x:v>Empty</x:v>
      </x:c>
      <x:c r="U31" s="9" t="str">
        <x:v>N/A</x:v>
      </x:c>
      <x:c r="V31" s="9" t="str">
        <x:v>glass spice container</x:v>
      </x:c>
      <x:c r="W31" s="9"/>
      <x:c r="X31" s="10"/>
      <x:c r="Y31" s="10"/>
      <x:c r="Z31" s="9"/>
      <x:c r="AA31" s="9"/>
      <x:c r="AB31" s="9"/>
      <x:c r="AC31" s="9"/>
      <x:c r="AD31" s="9"/>
      <x:c r="AE31" s="9"/>
      <x:c r="AF31" s="9"/>
      <x:c r="AG31" s="9"/>
      <x:c r="AH31" s="9"/>
      <x:c r="AI31" s="11"/>
      <x:c r="AJ31" s="9"/>
      <x:c r="AK31" s="9" t="str">
        <x:v>Eval_State_Recognition.xlsm</x:v>
      </x:c>
      <x:c r="AL31" s="9" t="str">
        <x:v>MolmoAct2 Results</x:v>
      </x:c>
      <x:c r="AM31" s="9" t="n">
        <x:v>31</x:v>
      </x:c>
      <x:c r="AN31" s="9" t="n">
        <x:v>31</x:v>
      </x:c>
    </x:row>
    <x:row r="32">
      <x:c r="A32" s="9" t="str">
        <x:v>Failure</x:v>
      </x:c>
      <x:c r="B32" s="9" t="str">
        <x:v>State Recognition</x:v>
      </x:c>
      <x:c r="C32" s="10" t="n">
        <x:v>30</x:v>
      </x:c>
      <x:c r="D32" s="9" t="str">
        <x:v>Move the right-side-up glass spice container into the bowl.</x:v>
      </x:c>
      <x:c r="E32" s="9" t="str">
        <x:v>glass spice container B (C, RU); glass spice container A (C, UD)</x:v>
      </x:c>
      <x:c r="F32" s="9" t="str">
        <x:v>glass spice container B</x:v>
      </x:c>
      <x:c r="G32" s="9" t="str">
        <x:v>picked upside down container</x:v>
      </x:c>
      <x:c r="H32" s="9" t="str">
        <x:v>Language robustness</x:v>
      </x:c>
      <x:c r="I32" s="9" t="str">
        <x:v>SR-CT04</x:v>
      </x:c>
      <x:c r="J32" s="9" t="str">
        <x:v>Primary compositional-transfer prompt paraphrase</x:v>
      </x:c>
      <x:c r="K32" s="9" t="n">
        <x:v>28</x:v>
      </x:c>
      <x:c r="L32" s="9" t="str">
        <x:v>169</x:v>
      </x:c>
      <x:c r="M32" s="9" t="str">
        <x:v>The canonical transfer scene and masked trajectory reference are unchanged; only the evaluation wording is paraphrased. This remains a language diagnostic and is not pooled into the primary 50.</x:v>
      </x:c>
      <x:c r="N32" s="9" t="n">
        <x:v>2</x:v>
      </x:c>
      <x:c r="O32" s="9" t="str">
        <x:v>Reset the moved object exactly; preserve every object and state; change only the prompt wording.</x:v>
      </x:c>
      <x:c r="P32" s="9" t="str">
        <x:v>Exact-scene paraphrase of one of the 50 canonical compositional-transfer trials. The same-category candidates share the orthogonal C/O state (C). The scene is an exact copy of the referenced canonical row.</x:v>
      </x:c>
      <x:c r="Q32" s="9"/>
      <x:c r="R32" s="10" t="n">
        <x:v>2</x:v>
      </x:c>
      <x:c r="S32" s="10" t="n">
        <x:v>1</x:v>
      </x:c>
      <x:c r="T32" s="9" t="str">
        <x:v>Empty</x:v>
      </x:c>
      <x:c r="U32" s="9" t="str">
        <x:v>RU</x:v>
      </x:c>
      <x:c r="V32" s="9" t="str">
        <x:v>glass spice container</x:v>
      </x:c>
      <x:c r="W32" s="9"/>
      <x:c r="X32" s="10"/>
      <x:c r="Y32" s="10"/>
      <x:c r="Z32" s="9"/>
      <x:c r="AA32" s="9"/>
      <x:c r="AB32" s="9"/>
      <x:c r="AC32" s="9"/>
      <x:c r="AD32" s="9"/>
      <x:c r="AE32" s="9"/>
      <x:c r="AF32" s="9"/>
      <x:c r="AG32" s="9"/>
      <x:c r="AH32" s="9"/>
      <x:c r="AI32" s="11"/>
      <x:c r="AJ32" s="9"/>
      <x:c r="AK32" s="9" t="str">
        <x:v>Eval_State_Recognition.xlsm</x:v>
      </x:c>
      <x:c r="AL32" s="9" t="str">
        <x:v>MolmoAct2 Results</x:v>
      </x:c>
      <x:c r="AM32" s="9" t="n">
        <x:v>32</x:v>
      </x:c>
      <x:c r="AN32" s="9" t="n">
        <x:v>32</x:v>
      </x:c>
    </x:row>
    <x:row r="33">
      <x:c r="A33" s="9" t="str">
        <x:v>Success</x:v>
      </x:c>
      <x:c r="B33" s="9" t="str">
        <x:v>State Recognition</x:v>
      </x:c>
      <x:c r="C33" s="10" t="n">
        <x:v>31</x:v>
      </x:c>
      <x:c r="D33" s="9" t="str">
        <x:v>Move the glass spice container from the workspace into the bowl.</x:v>
      </x:c>
      <x:c r="E33" s="9" t="str">
        <x:v>glass spice container B (C, RU); white cup B (C, UD)</x:v>
      </x:c>
      <x:c r="F33" s="9" t="str">
        <x:v>glass spice container B</x:v>
      </x:c>
      <x:c r="G33" s="9"/>
      <x:c r="H33" s="9" t="str">
        <x:v>Language robustness</x:v>
      </x:c>
      <x:c r="I33" s="9" t="str">
        <x:v>SR-CT04</x:v>
      </x:c>
      <x:c r="J33" s="9" t="str">
        <x:v>Direct-category matched-control paraphrase</x:v>
      </x:c>
      <x:c r="K33" s="9" t="n">
        <x:v>29</x:v>
      </x:c>
      <x:c r="L33" s="9" t="n">
        <x:v>169</x:v>
      </x:c>
      <x:c r="M33" s="9" t="str">
        <x:v>Paraphrase of the direct-category matched control grounded by training episode 169. The modified control scene and physical target are unchanged.</x:v>
      </x:c>
      <x:c r="N33" s="9" t="n">
        <x:v>2</x:v>
      </x:c>
      <x:c r="O33" s="9" t="str">
        <x:v>Reset the target to its marked pose; preserve the exact modified control scene and change only the direct instruction wording.</x:v>
      </x:c>
      <x:c r="P33" s="9" t="str">
        <x:v>Language diagnostic for the pure manipulation control; no state word or state-based selection is required. The scene is an exact copy of the referenced canonical row.</x:v>
      </x:c>
      <x:c r="Q33" s="9"/>
      <x:c r="R33" s="10" t="n">
        <x:v>2</x:v>
      </x:c>
      <x:c r="S33" s="10" t="n">
        <x:v>1</x:v>
      </x:c>
      <x:c r="T33" s="9" t="str">
        <x:v>Empty</x:v>
      </x:c>
      <x:c r="U33" s="9" t="str">
        <x:v>N/A</x:v>
      </x:c>
      <x:c r="V33" s="9" t="str">
        <x:v>glass spice container</x:v>
      </x:c>
      <x:c r="W33" s="9"/>
      <x:c r="X33" s="10"/>
      <x:c r="Y33" s="10"/>
      <x:c r="Z33" s="9"/>
      <x:c r="AA33" s="9"/>
      <x:c r="AB33" s="9"/>
      <x:c r="AC33" s="9"/>
      <x:c r="AD33" s="9"/>
      <x:c r="AE33" s="9"/>
      <x:c r="AF33" s="9"/>
      <x:c r="AG33" s="9"/>
      <x:c r="AH33" s="9"/>
      <x:c r="AI33" s="11"/>
      <x:c r="AJ33" s="9"/>
      <x:c r="AK33" s="9" t="str">
        <x:v>Eval_State_Recognition.xlsm</x:v>
      </x:c>
      <x:c r="AL33" s="9" t="str">
        <x:v>MolmoAct2 Results</x:v>
      </x:c>
      <x:c r="AM33" s="9" t="n">
        <x:v>33</x:v>
      </x:c>
      <x:c r="AN33" s="9" t="n">
        <x:v>33</x:v>
      </x:c>
    </x:row>
    <x:row r="34">
      <x:c r="A34" s="9" t="str">
        <x:v>Success</x:v>
      </x:c>
      <x:c r="B34" s="9" t="str">
        <x:v>State Recognition</x:v>
      </x:c>
      <x:c r="C34" s="10" t="n">
        <x:v>32</x:v>
      </x:c>
      <x:c r="D34" s="9" t="str">
        <x:v>Place the upside-down white cup in the bowl.</x:v>
      </x:c>
      <x:c r="E34" s="9" t="str">
        <x:v>white cup A (O, UD); white cup B (O, RU); brown cup A (C, RU)</x:v>
      </x:c>
      <x:c r="F34" s="9" t="str">
        <x:v>white cup A</x:v>
      </x:c>
      <x:c r="G34" s="9"/>
      <x:c r="H34" s="9" t="str">
        <x:v>Concept/compositional transfer</x:v>
      </x:c>
      <x:c r="I34" s="9" t="str">
        <x:v>SR-CT05</x:v>
      </x:c>
      <x:c r="J34" s="9" t="str">
        <x:v>Primary held-out state-object composition</x:v>
      </x:c>
      <x:c r="K34" s="9"/>
      <x:c r="L34" s="9" t="str">
        <x:v>30</x:v>
      </x:c>
      <x:c r="M34" s="9" t="str">
        <x:v>Physical-state and manipulation-trajectory reference under a direct category prompt; the evaluated state word × object-category cell is intentionally absent from training.</x:v>
      </x:c>
      <x:c r="N34" s="9" t="n">
        <x:v>2</x:v>
      </x:c>
      <x:c r="O34" s="9" t="str">
        <x:v>Build the listed same-category discrimination scene with the bowl empty.</x:v>
      </x:c>
      <x:c r="P34" s="9" t="str">
        <x:v>Two same-category candidates share the non-queried state axis; only the held-out state word identifies the target. The same-category candidates share the orthogonal C/O state (O).</x:v>
      </x:c>
      <x:c r="Q34" s="9"/>
      <x:c r="R34" s="10" t="n">
        <x:v>3</x:v>
      </x:c>
      <x:c r="S34" s="10" t="n">
        <x:v>1</x:v>
      </x:c>
      <x:c r="T34" s="9" t="str">
        <x:v>Empty</x:v>
      </x:c>
      <x:c r="U34" s="9" t="str">
        <x:v>UD</x:v>
      </x:c>
      <x:c r="V34" s="9" t="str">
        <x:v>white cup</x:v>
      </x:c>
      <x:c r="W34" s="9"/>
      <x:c r="X34" s="10"/>
      <x:c r="Y34" s="10"/>
      <x:c r="Z34" s="9"/>
      <x:c r="AA34" s="9"/>
      <x:c r="AB34" s="9"/>
      <x:c r="AC34" s="9"/>
      <x:c r="AD34" s="9"/>
      <x:c r="AE34" s="9"/>
      <x:c r="AF34" s="9"/>
      <x:c r="AG34" s="9"/>
      <x:c r="AH34" s="9"/>
      <x:c r="AI34" s="11"/>
      <x:c r="AJ34" s="9"/>
      <x:c r="AK34" s="9" t="str">
        <x:v>Eval_State_Recognition.xlsm</x:v>
      </x:c>
      <x:c r="AL34" s="9" t="str">
        <x:v>MolmoAct2 Results</x:v>
      </x:c>
      <x:c r="AM34" s="9" t="n">
        <x:v>34</x:v>
      </x:c>
      <x:c r="AN34" s="9" t="n">
        <x:v>34</x:v>
      </x:c>
    </x:row>
    <x:row r="35">
      <x:c r="A35" s="9" t="str">
        <x:v>Success</x:v>
      </x:c>
      <x:c r="B35" s="9" t="str">
        <x:v>State Recognition</x:v>
      </x:c>
      <x:c r="C35" s="10" t="n">
        <x:v>33</x:v>
      </x:c>
      <x:c r="D35" s="9" t="str">
        <x:v>Move a white cup into the bowl.</x:v>
      </x:c>
      <x:c r="E35" s="9" t="str">
        <x:v>white cup A (O, UD); yellow-white striped cup A (O, RU); brown cup A (C, RU)</x:v>
      </x:c>
      <x:c r="F35" s="9" t="str">
        <x:v>white cup A</x:v>
      </x:c>
      <x:c r="G35" s="9"/>
      <x:c r="H35" s="9" t="str">
        <x:v>Matched manipulation control</x:v>
      </x:c>
      <x:c r="I35" s="9" t="str">
        <x:v>SR-CT05</x:v>
      </x:c>
      <x:c r="J35" s="9" t="str">
        <x:v>One-object-substitution direct-category control</x:v>
      </x:c>
      <x:c r="K35" s="9" t="n">
        <x:v>32</x:v>
      </x:c>
      <x:c r="L35" s="9" t="n">
        <x:v>30</x:v>
      </x:c>
      <x:c r="M35" s="9" t="str">
        <x:v>Exact direct-category manipulation prompt from training episode 30. The transfer target, state, and pose are preserved; only the competing white cup is replaced by yellow-white striped cup A.</x:v>
      </x:c>
      <x:c r="N35" s="9" t="n">
        <x:v>2</x:v>
      </x:c>
      <x:c r="O35" s="9" t="str">
        <x:v>Reset white cup A to its transfer pose. Replace white cup B with yellow-white striped cup A in the same location and use the states listed in this row; preserve all other objects.</x:v>
      </x:c>
      <x:c r="P35" s="9" t="str">
        <x:v>Pure recognition/manipulation control: the prompt uniquely names the only object from the target category, while the physical target remains identical to the transfer row.</x:v>
      </x:c>
      <x:c r="Q35" s="9"/>
      <x:c r="R35" s="10" t="n">
        <x:v>3</x:v>
      </x:c>
      <x:c r="S35" s="10" t="n">
        <x:v>1</x:v>
      </x:c>
      <x:c r="T35" s="9" t="str">
        <x:v>Empty</x:v>
      </x:c>
      <x:c r="U35" s="9" t="str">
        <x:v>N/A</x:v>
      </x:c>
      <x:c r="V35" s="9" t="str">
        <x:v>white cup</x:v>
      </x:c>
      <x:c r="W35" s="9"/>
      <x:c r="X35" s="10"/>
      <x:c r="Y35" s="10"/>
      <x:c r="Z35" s="9"/>
      <x:c r="AA35" s="9"/>
      <x:c r="AB35" s="9"/>
      <x:c r="AC35" s="9"/>
      <x:c r="AD35" s="9"/>
      <x:c r="AE35" s="9"/>
      <x:c r="AF35" s="9"/>
      <x:c r="AG35" s="9"/>
      <x:c r="AH35" s="9"/>
      <x:c r="AI35" s="11"/>
      <x:c r="AJ35" s="9"/>
      <x:c r="AK35" s="9" t="str">
        <x:v>Eval_State_Recognition.xlsm</x:v>
      </x:c>
      <x:c r="AL35" s="9" t="str">
        <x:v>MolmoAct2 Results</x:v>
      </x:c>
      <x:c r="AM35" s="9" t="n">
        <x:v>35</x:v>
      </x:c>
      <x:c r="AN35" s="9" t="n">
        <x:v>35</x:v>
      </x:c>
    </x:row>
    <x:row r="36">
      <x:c r="A36" s="9" t="str">
        <x:v>Success</x:v>
      </x:c>
      <x:c r="B36" s="9" t="str">
        <x:v>State Recognition</x:v>
      </x:c>
      <x:c r="C36" s="10" t="n">
        <x:v>34</x:v>
      </x:c>
      <x:c r="D36" s="9" t="str">
        <x:v>Move the inverted white cup into the bowl.</x:v>
      </x:c>
      <x:c r="E36" s="9" t="str">
        <x:v>white cup A (O, UD); white cup B (O, RU); brown cup A (C, RU)</x:v>
      </x:c>
      <x:c r="F36" s="9" t="str">
        <x:v>white cup A</x:v>
      </x:c>
      <x:c r="G36" s="9"/>
      <x:c r="H36" s="9" t="str">
        <x:v>Language robustness</x:v>
      </x:c>
      <x:c r="I36" s="9" t="str">
        <x:v>SR-CT05</x:v>
      </x:c>
      <x:c r="J36" s="9" t="str">
        <x:v>Primary compositional-transfer prompt paraphrase</x:v>
      </x:c>
      <x:c r="K36" s="9" t="n">
        <x:v>32</x:v>
      </x:c>
      <x:c r="L36" s="9" t="str">
        <x:v>30</x:v>
      </x:c>
      <x:c r="M36" s="9" t="str">
        <x:v>The canonical transfer scene and masked trajectory reference are unchanged; only the evaluation wording is paraphrased. This remains a language diagnostic and is not pooled into the primary 50.</x:v>
      </x:c>
      <x:c r="N36" s="9" t="n">
        <x:v>2</x:v>
      </x:c>
      <x:c r="O36" s="9" t="str">
        <x:v>Reset the moved object exactly; preserve every object and state; change only the prompt wording.</x:v>
      </x:c>
      <x:c r="P36" s="9" t="str">
        <x:v>Exact-scene paraphrase of one of the 50 canonical compositional-transfer trials. The same-category candidates share the orthogonal C/O state (O). The scene is an exact copy of the referenced canonical row.</x:v>
      </x:c>
      <x:c r="Q36" s="9"/>
      <x:c r="R36" s="10" t="n">
        <x:v>3</x:v>
      </x:c>
      <x:c r="S36" s="10" t="n">
        <x:v>1</x:v>
      </x:c>
      <x:c r="T36" s="9" t="str">
        <x:v>Empty</x:v>
      </x:c>
      <x:c r="U36" s="9" t="str">
        <x:v>UD</x:v>
      </x:c>
      <x:c r="V36" s="9" t="str">
        <x:v>white cup</x:v>
      </x:c>
      <x:c r="W36" s="9"/>
      <x:c r="X36" s="10"/>
      <x:c r="Y36" s="10"/>
      <x:c r="Z36" s="9"/>
      <x:c r="AA36" s="9"/>
      <x:c r="AB36" s="9"/>
      <x:c r="AC36" s="9"/>
      <x:c r="AD36" s="9"/>
      <x:c r="AE36" s="9"/>
      <x:c r="AF36" s="9"/>
      <x:c r="AG36" s="9"/>
      <x:c r="AH36" s="9"/>
      <x:c r="AI36" s="11"/>
      <x:c r="AJ36" s="9"/>
      <x:c r="AK36" s="9" t="str">
        <x:v>Eval_State_Recognition.xlsm</x:v>
      </x:c>
      <x:c r="AL36" s="9" t="str">
        <x:v>MolmoAct2 Results</x:v>
      </x:c>
      <x:c r="AM36" s="9" t="n">
        <x:v>36</x:v>
      </x:c>
      <x:c r="AN36" s="9" t="n">
        <x:v>36</x:v>
      </x:c>
    </x:row>
    <x:row r="37">
      <x:c r="A37" s="9" t="str">
        <x:v>Success</x:v>
      </x:c>
      <x:c r="B37" s="9" t="str">
        <x:v>State Recognition</x:v>
      </x:c>
      <x:c r="C37" s="10" t="n">
        <x:v>35</x:v>
      </x:c>
      <x:c r="D37" s="9" t="str">
        <x:v>Set the white cup inside the bowl.</x:v>
      </x:c>
      <x:c r="E37" s="9" t="str">
        <x:v>white cup A (O, UD); yellow-white striped cup A (O, RU); brown cup A (C, RU)</x:v>
      </x:c>
      <x:c r="F37" s="9" t="str">
        <x:v>white cup A</x:v>
      </x:c>
      <x:c r="G37" s="9"/>
      <x:c r="H37" s="9" t="str">
        <x:v>Language robustness</x:v>
      </x:c>
      <x:c r="I37" s="9" t="str">
        <x:v>SR-CT05</x:v>
      </x:c>
      <x:c r="J37" s="9" t="str">
        <x:v>Direct-category matched-control paraphrase</x:v>
      </x:c>
      <x:c r="K37" s="9" t="n">
        <x:v>33</x:v>
      </x:c>
      <x:c r="L37" s="9" t="n">
        <x:v>30</x:v>
      </x:c>
      <x:c r="M37" s="9" t="str">
        <x:v>Paraphrase of the direct-category matched control grounded by training episode 30. The modified control scene and physical target are unchanged.</x:v>
      </x:c>
      <x:c r="N37" s="9" t="n">
        <x:v>2</x:v>
      </x:c>
      <x:c r="O37" s="9" t="str">
        <x:v>Reset the target to its marked pose; preserve the exact modified control scene and change only the direct instruction wording.</x:v>
      </x:c>
      <x:c r="P37" s="9" t="str">
        <x:v>Language diagnostic for the pure manipulation control; no state word or state-based selection is required. The scene is an exact copy of the referenced canonical row.</x:v>
      </x:c>
      <x:c r="Q37" s="9"/>
      <x:c r="R37" s="10" t="n">
        <x:v>3</x:v>
      </x:c>
      <x:c r="S37" s="10" t="n">
        <x:v>1</x:v>
      </x:c>
      <x:c r="T37" s="9" t="str">
        <x:v>Empty</x:v>
      </x:c>
      <x:c r="U37" s="9" t="str">
        <x:v>N/A</x:v>
      </x:c>
      <x:c r="V37" s="9" t="str">
        <x:v>white cup</x:v>
      </x:c>
      <x:c r="W37" s="9"/>
      <x:c r="X37" s="10"/>
      <x:c r="Y37" s="10"/>
      <x:c r="Z37" s="9"/>
      <x:c r="AA37" s="9"/>
      <x:c r="AB37" s="9"/>
      <x:c r="AC37" s="9"/>
      <x:c r="AD37" s="9"/>
      <x:c r="AE37" s="9"/>
      <x:c r="AF37" s="9"/>
      <x:c r="AG37" s="9"/>
      <x:c r="AH37" s="9"/>
      <x:c r="AI37" s="11"/>
      <x:c r="AJ37" s="9"/>
      <x:c r="AK37" s="9" t="str">
        <x:v>Eval_State_Recognition.xlsm</x:v>
      </x:c>
      <x:c r="AL37" s="9" t="str">
        <x:v>MolmoAct2 Results</x:v>
      </x:c>
      <x:c r="AM37" s="9" t="n">
        <x:v>37</x:v>
      </x:c>
      <x:c r="AN37" s="9" t="n">
        <x:v>37</x:v>
      </x:c>
    </x:row>
    <x:row r="38">
      <x:c r="A38" s="9" t="str">
        <x:v>Success</x:v>
      </x:c>
      <x:c r="B38" s="9" t="str">
        <x:v>State Recognition</x:v>
      </x:c>
      <x:c r="C38" s="10" t="n">
        <x:v>36</x:v>
      </x:c>
      <x:c r="D38" s="9" t="str">
        <x:v>Place the closed brown cup in the bowl.</x:v>
      </x:c>
      <x:c r="E38" s="9" t="str">
        <x:v>brown cup A (C, RU); brown cup B (O, RU); glass spice container A (C, RU); white cup B (O, RU)</x:v>
      </x:c>
      <x:c r="F38" s="9" t="str">
        <x:v>brown cup A</x:v>
      </x:c>
      <x:c r="G38" s="9"/>
      <x:c r="H38" s="9" t="str">
        <x:v>Concept/compositional transfer</x:v>
      </x:c>
      <x:c r="I38" s="9" t="str">
        <x:v>SR-CT03</x:v>
      </x:c>
      <x:c r="J38" s="9" t="str">
        <x:v>Primary held-out state-object composition</x:v>
      </x:c>
      <x:c r="K38" s="9"/>
      <x:c r="L38" s="9" t="str">
        <x:v>100</x:v>
      </x:c>
      <x:c r="M38"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38" s="9" t="n">
        <x:v>2</x:v>
      </x:c>
      <x:c r="O38" s="9" t="str">
        <x:v>Build the listed same-category discrimination scene with the bowl empty.</x:v>
      </x:c>
      <x:c r="P38" s="9" t="str">
        <x:v>Two same-category candidates share the non-queried state axis; only the held-out state word identifies the target. The orthogonal orientation axis is fixed: every object is RU.</x:v>
      </x:c>
      <x:c r="Q38" s="9"/>
      <x:c r="R38" s="10" t="n">
        <x:v>4</x:v>
      </x:c>
      <x:c r="S38" s="10" t="n">
        <x:v>1</x:v>
      </x:c>
      <x:c r="T38" s="9" t="str">
        <x:v>Empty</x:v>
      </x:c>
      <x:c r="U38" s="9" t="str">
        <x:v>C</x:v>
      </x:c>
      <x:c r="V38" s="9" t="str">
        <x:v>brown cup</x:v>
      </x:c>
      <x:c r="W38" s="9"/>
      <x:c r="X38" s="10"/>
      <x:c r="Y38" s="10"/>
      <x:c r="Z38" s="9"/>
      <x:c r="AA38" s="9"/>
      <x:c r="AB38" s="9"/>
      <x:c r="AC38" s="9"/>
      <x:c r="AD38" s="9"/>
      <x:c r="AE38" s="9"/>
      <x:c r="AF38" s="9"/>
      <x:c r="AG38" s="9"/>
      <x:c r="AH38" s="9"/>
      <x:c r="AI38" s="11"/>
      <x:c r="AJ38" s="9"/>
      <x:c r="AK38" s="9" t="str">
        <x:v>Eval_State_Recognition.xlsm</x:v>
      </x:c>
      <x:c r="AL38" s="9" t="str">
        <x:v>MolmoAct2 Results</x:v>
      </x:c>
      <x:c r="AM38" s="9" t="n">
        <x:v>38</x:v>
      </x:c>
      <x:c r="AN38" s="9" t="n">
        <x:v>38</x:v>
      </x:c>
    </x:row>
    <x:row r="39">
      <x:c r="A39" s="9" t="str">
        <x:v>Success</x:v>
      </x:c>
      <x:c r="B39" s="9" t="str">
        <x:v>State Recognition</x:v>
      </x:c>
      <x:c r="C39" s="10" t="n">
        <x:v>37</x:v>
      </x:c>
      <x:c r="D39" s="9" t="str">
        <x:v>Place a brown cup in the bowl.</x:v>
      </x:c>
      <x:c r="E39" s="9" t="str">
        <x:v>brown cup A (C, RU); yellow-white striped cup A (O, RU); glass spice container A (C, RU); white cup B (O, RU)</x:v>
      </x:c>
      <x:c r="F39" s="9" t="str">
        <x:v>brown cup A</x:v>
      </x:c>
      <x:c r="G39" s="9"/>
      <x:c r="H39" s="9" t="str">
        <x:v>Matched manipulation control</x:v>
      </x:c>
      <x:c r="I39" s="9" t="str">
        <x:v>SR-CT03</x:v>
      </x:c>
      <x:c r="J39" s="9" t="str">
        <x:v>One-object-substitution direct-category control</x:v>
      </x:c>
      <x:c r="K39" s="9" t="n">
        <x:v>36</x:v>
      </x:c>
      <x:c r="L39" s="9" t="n">
        <x:v>100</x:v>
      </x:c>
      <x:c r="M39" s="9" t="str">
        <x:v>Exact direct-category manipulation prompt from training episode 100. The transfer target, state, and pose are preserved; only the competing brown cup is replaced by yellow-white striped cup A. The full control scene is upright because its paired transfer instruction queries open/closed.</x:v>
      </x:c>
      <x:c r="N39" s="9" t="n">
        <x:v>2</x:v>
      </x:c>
      <x:c r="O39" s="9" t="str">
        <x:v>Reset brown cup A to its transfer pose. Replace brown cup B with yellow-white striped cup A in the same location and use the states listed in this row; preserve all other objects.</x:v>
      </x:c>
      <x:c r="P39" s="9" t="str">
        <x:v>Pure recognition/manipulation control: the prompt uniquely names the only object from the target category, while the physical target remains identical to the transfer row. Every object is RU.</x:v>
      </x:c>
      <x:c r="Q39" s="9"/>
      <x:c r="R39" s="10" t="n">
        <x:v>4</x:v>
      </x:c>
      <x:c r="S39" s="10" t="n">
        <x:v>1</x:v>
      </x:c>
      <x:c r="T39" s="9" t="str">
        <x:v>Empty</x:v>
      </x:c>
      <x:c r="U39" s="9" t="str">
        <x:v>N/A</x:v>
      </x:c>
      <x:c r="V39" s="9" t="str">
        <x:v>brown cup</x:v>
      </x:c>
      <x:c r="W39" s="9"/>
      <x:c r="X39" s="10"/>
      <x:c r="Y39" s="10"/>
      <x:c r="Z39" s="9"/>
      <x:c r="AA39" s="9"/>
      <x:c r="AB39" s="9"/>
      <x:c r="AC39" s="9"/>
      <x:c r="AD39" s="9"/>
      <x:c r="AE39" s="9"/>
      <x:c r="AF39" s="9"/>
      <x:c r="AG39" s="9"/>
      <x:c r="AH39" s="9"/>
      <x:c r="AI39" s="11"/>
      <x:c r="AJ39" s="9"/>
      <x:c r="AK39" s="9" t="str">
        <x:v>Eval_State_Recognition.xlsm</x:v>
      </x:c>
      <x:c r="AL39" s="9" t="str">
        <x:v>MolmoAct2 Results</x:v>
      </x:c>
      <x:c r="AM39" s="9" t="n">
        <x:v>39</x:v>
      </x:c>
      <x:c r="AN39" s="9" t="n">
        <x:v>39</x:v>
      </x:c>
    </x:row>
    <x:row r="40">
      <x:c r="A40" s="9" t="str">
        <x:v>Success</x:v>
      </x:c>
      <x:c r="B40" s="9" t="str">
        <x:v>State Recognition</x:v>
      </x:c>
      <x:c r="C40" s="10" t="n">
        <x:v>38</x:v>
      </x:c>
      <x:c r="D40" s="9" t="str">
        <x:v>Move the brown cup whose opening is covered into the bowl.</x:v>
      </x:c>
      <x:c r="E40" s="9" t="str">
        <x:v>brown cup A (C, RU); brown cup B (O, RU); glass spice container A (C, RU); white cup B (O, RU)</x:v>
      </x:c>
      <x:c r="F40" s="9" t="str">
        <x:v>brown cup A</x:v>
      </x:c>
      <x:c r="G40" s="9"/>
      <x:c r="H40" s="9" t="str">
        <x:v>Language robustness</x:v>
      </x:c>
      <x:c r="I40" s="9" t="str">
        <x:v>SR-CT03</x:v>
      </x:c>
      <x:c r="J40" s="9" t="str">
        <x:v>Primary compositional-transfer prompt paraphrase</x:v>
      </x:c>
      <x:c r="K40" s="9" t="n">
        <x:v>36</x:v>
      </x:c>
      <x:c r="L40" s="9" t="str">
        <x:v>100</x:v>
      </x:c>
      <x:c r="M40" s="9" t="str">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N40" s="9" t="n">
        <x:v>2</x:v>
      </x:c>
      <x:c r="O40" s="9" t="str">
        <x:v>Reset the moved object exactly; preserve every object and state; change only the prompt wording.</x:v>
      </x:c>
      <x:c r="P40" s="9" t="str">
        <x:v>Exact-scene paraphrase of one of the 50 canonical compositional-transfer trials. The orthogonal orientation axis is fixed: every object is RU. The scene is an exact copy of the referenced canonical row.</x:v>
      </x:c>
      <x:c r="Q40" s="9"/>
      <x:c r="R40" s="10" t="n">
        <x:v>4</x:v>
      </x:c>
      <x:c r="S40" s="10" t="n">
        <x:v>1</x:v>
      </x:c>
      <x:c r="T40" s="9" t="str">
        <x:v>Empty</x:v>
      </x:c>
      <x:c r="U40" s="9" t="str">
        <x:v>C</x:v>
      </x:c>
      <x:c r="V40" s="9" t="str">
        <x:v>brown cup</x:v>
      </x:c>
      <x:c r="W40" s="9"/>
      <x:c r="X40" s="10"/>
      <x:c r="Y40" s="10"/>
      <x:c r="Z40" s="9"/>
      <x:c r="AA40" s="9"/>
      <x:c r="AB40" s="9"/>
      <x:c r="AC40" s="9"/>
      <x:c r="AD40" s="9"/>
      <x:c r="AE40" s="9"/>
      <x:c r="AF40" s="9"/>
      <x:c r="AG40" s="9"/>
      <x:c r="AH40" s="9"/>
      <x:c r="AI40" s="11"/>
      <x:c r="AJ40" s="9"/>
      <x:c r="AK40" s="9" t="str">
        <x:v>Eval_State_Recognition.xlsm</x:v>
      </x:c>
      <x:c r="AL40" s="9" t="str">
        <x:v>MolmoAct2 Results</x:v>
      </x:c>
      <x:c r="AM40" s="9" t="n">
        <x:v>40</x:v>
      </x:c>
      <x:c r="AN40" s="9" t="n">
        <x:v>40</x:v>
      </x:c>
    </x:row>
    <x:row r="41">
      <x:c r="A41" s="9" t="str">
        <x:v>Success</x:v>
      </x:c>
      <x:c r="B41" s="9" t="str">
        <x:v>State Recognition</x:v>
      </x:c>
      <x:c r="C41" s="10" t="n">
        <x:v>39</x:v>
      </x:c>
      <x:c r="D41" s="9" t="str">
        <x:v>Take the brown cup off the table and place it in the bowl.</x:v>
      </x:c>
      <x:c r="E41" s="9" t="str">
        <x:v>brown cup A (C, RU); yellow-white striped cup A (O, RU); glass spice container A (C, RU); white cup B (O, RU)</x:v>
      </x:c>
      <x:c r="F41" s="9" t="str">
        <x:v>brown cup A</x:v>
      </x:c>
      <x:c r="G41" s="9"/>
      <x:c r="H41" s="9" t="str">
        <x:v>Language robustness</x:v>
      </x:c>
      <x:c r="I41" s="9" t="str">
        <x:v>SR-CT03</x:v>
      </x:c>
      <x:c r="J41" s="9" t="str">
        <x:v>Direct-category matched-control paraphrase</x:v>
      </x:c>
      <x:c r="K41" s="9" t="n">
        <x:v>37</x:v>
      </x:c>
      <x:c r="L41" s="9" t="n">
        <x:v>100</x:v>
      </x:c>
      <x:c r="M41" s="9" t="str">
        <x:v>Paraphrase of the direct-category matched control grounded by training episode 100. The modified control scene and physical target are unchanged.</x:v>
      </x:c>
      <x:c r="N41" s="9" t="n">
        <x:v>2</x:v>
      </x:c>
      <x:c r="O41" s="9" t="str">
        <x:v>Reset the target to its marked pose; preserve the exact modified control scene and change only the direct instruction wording.</x:v>
      </x:c>
      <x:c r="P41" s="9" t="str">
        <x:v>Language diagnostic for the pure manipulation control; no state word or state-based selection is required. The scene is an exact copy of the referenced canonical row.</x:v>
      </x:c>
      <x:c r="Q41" s="9"/>
      <x:c r="R41" s="10" t="n">
        <x:v>4</x:v>
      </x:c>
      <x:c r="S41" s="10" t="n">
        <x:v>1</x:v>
      </x:c>
      <x:c r="T41" s="9" t="str">
        <x:v>Empty</x:v>
      </x:c>
      <x:c r="U41" s="9" t="str">
        <x:v>N/A</x:v>
      </x:c>
      <x:c r="V41" s="9" t="str">
        <x:v>brown cup</x:v>
      </x:c>
      <x:c r="W41" s="9"/>
      <x:c r="X41" s="10"/>
      <x:c r="Y41" s="10"/>
      <x:c r="Z41" s="9"/>
      <x:c r="AA41" s="9"/>
      <x:c r="AB41" s="9"/>
      <x:c r="AC41" s="9"/>
      <x:c r="AD41" s="9"/>
      <x:c r="AE41" s="9"/>
      <x:c r="AF41" s="9"/>
      <x:c r="AG41" s="9"/>
      <x:c r="AH41" s="9"/>
      <x:c r="AI41" s="11"/>
      <x:c r="AJ41" s="9"/>
      <x:c r="AK41" s="9" t="str">
        <x:v>Eval_State_Recognition.xlsm</x:v>
      </x:c>
      <x:c r="AL41" s="9" t="str">
        <x:v>MolmoAct2 Results</x:v>
      </x:c>
      <x:c r="AM41" s="9" t="n">
        <x:v>41</x:v>
      </x:c>
      <x:c r="AN41" s="9" t="n">
        <x:v>41</x:v>
      </x:c>
    </x:row>
    <x:row r="42">
      <x:c r="A42" s="9" t="str">
        <x:v>Failure</x:v>
      </x:c>
      <x:c r="B42" s="9" t="str">
        <x:v>State Recognition</x:v>
      </x:c>
      <x:c r="C42" s="10" t="n">
        <x:v>40</x:v>
      </x:c>
      <x:c r="D42" s="9" t="str">
        <x:v>Place the open yellow-white striped cup in the bowl.</x:v>
      </x:c>
      <x:c r="E42" s="9" t="str">
        <x:v>yellow-white striped cup B (O, RU); yellow-white striped cup A (C, RU); glass spice container B (O, RU); white cup A (C, RU)</x:v>
      </x:c>
      <x:c r="F42" s="9" t="str">
        <x:v>yellow-white striped cup B</x:v>
      </x:c>
      <x:c r="G42" s="9" t="str">
        <x:v>grabbed closed cup</x:v>
      </x:c>
      <x:c r="H42" s="9" t="str">
        <x:v>Concept/compositional transfer</x:v>
      </x:c>
      <x:c r="I42" s="9" t="str">
        <x:v>SR-CT06</x:v>
      </x:c>
      <x:c r="J42" s="9" t="str">
        <x:v>Primary held-out state-object composition</x:v>
      </x:c>
      <x:c r="K42" s="9"/>
      <x:c r="L42" s="9" t="str">
        <x:v>53</x:v>
      </x:c>
      <x:c r="M42"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42" s="9" t="n">
        <x:v>2</x:v>
      </x:c>
      <x:c r="O42" s="9" t="str">
        <x:v>Build the listed same-category discrimination scene with the bowl empty.</x:v>
      </x:c>
      <x:c r="P42" s="9" t="str">
        <x:v>Two same-category candidates share the non-queried state axis; only the held-out state word identifies the target. The orthogonal orientation axis is fixed: every object is RU.</x:v>
      </x:c>
      <x:c r="Q42" s="9"/>
      <x:c r="R42" s="10" t="n">
        <x:v>4</x:v>
      </x:c>
      <x:c r="S42" s="10" t="n">
        <x:v>1</x:v>
      </x:c>
      <x:c r="T42" s="9" t="str">
        <x:v>Empty</x:v>
      </x:c>
      <x:c r="U42" s="9" t="str">
        <x:v>O</x:v>
      </x:c>
      <x:c r="V42" s="9" t="str">
        <x:v>yellow-white striped cup</x:v>
      </x:c>
      <x:c r="W42" s="9"/>
      <x:c r="X42" s="10"/>
      <x:c r="Y42" s="10"/>
      <x:c r="Z42" s="9"/>
      <x:c r="AA42" s="9"/>
      <x:c r="AB42" s="9"/>
      <x:c r="AC42" s="9"/>
      <x:c r="AD42" s="9"/>
      <x:c r="AE42" s="9"/>
      <x:c r="AF42" s="9"/>
      <x:c r="AG42" s="9"/>
      <x:c r="AH42" s="9"/>
      <x:c r="AI42" s="11"/>
      <x:c r="AJ42" s="9"/>
      <x:c r="AK42" s="9" t="str">
        <x:v>Eval_State_Recognition.xlsm</x:v>
      </x:c>
      <x:c r="AL42" s="9" t="str">
        <x:v>MolmoAct2 Results</x:v>
      </x:c>
      <x:c r="AM42" s="9" t="n">
        <x:v>42</x:v>
      </x:c>
      <x:c r="AN42" s="9" t="n">
        <x:v>42</x:v>
      </x:c>
    </x:row>
    <x:row r="43">
      <x:c r="A43" s="9" t="str">
        <x:v>Success</x:v>
      </x:c>
      <x:c r="B43" s="9" t="str">
        <x:v>State Recognition</x:v>
      </x:c>
      <x:c r="C43" s="10" t="n">
        <x:v>41</x:v>
      </x:c>
      <x:c r="D43" s="9" t="str">
        <x:v>Put a yellow-white striped cup in the bowl.</x:v>
      </x:c>
      <x:c r="E43" s="9" t="str">
        <x:v>yellow-white striped cup B (O, RU); brown cup B (C, RU); glass spice container B (O, RU); white cup A (C, RU)</x:v>
      </x:c>
      <x:c r="F43" s="9" t="str">
        <x:v>yellow-white striped cup B</x:v>
      </x:c>
      <x:c r="G43" s="9"/>
      <x:c r="H43" s="9" t="str">
        <x:v>Matched manipulation control</x:v>
      </x:c>
      <x:c r="I43" s="9" t="str">
        <x:v>SR-CT06</x:v>
      </x:c>
      <x:c r="J43" s="9" t="str">
        <x:v>One-object-substitution direct-category control</x:v>
      </x:c>
      <x:c r="K43" s="9" t="n">
        <x:v>40</x:v>
      </x:c>
      <x:c r="L43" s="9" t="n">
        <x:v>53</x:v>
      </x:c>
      <x:c r="M43" s="9" t="str">
        <x:v>Exact direct-category manipulation prompt from training episode 53. The transfer target, state, and pose are preserved; only the competing yellow-white striped cup is replaced by brown cup B. The full control scene is upright because its paired transfer instruction queries open/closed.</x:v>
      </x:c>
      <x:c r="N43" s="9" t="n">
        <x:v>2</x:v>
      </x:c>
      <x:c r="O43" s="9" t="str">
        <x:v>Reset yellow-white striped cup B to its transfer pose. Replace yellow-white striped cup A with brown cup B in the same location and use the states listed in this row; preserve all other objects.</x:v>
      </x:c>
      <x:c r="P43" s="9" t="str">
        <x:v>Pure recognition/manipulation control: the prompt uniquely names the only object from the target category, while the physical target remains identical to the transfer row. Every object is RU.</x:v>
      </x:c>
      <x:c r="Q43" s="9"/>
      <x:c r="R43" s="10" t="n">
        <x:v>4</x:v>
      </x:c>
      <x:c r="S43" s="10" t="n">
        <x:v>1</x:v>
      </x:c>
      <x:c r="T43" s="9" t="str">
        <x:v>Empty</x:v>
      </x:c>
      <x:c r="U43" s="9" t="str">
        <x:v>N/A</x:v>
      </x:c>
      <x:c r="V43" s="9" t="str">
        <x:v>yellow-white striped cup</x:v>
      </x:c>
      <x:c r="W43" s="9"/>
      <x:c r="X43" s="10"/>
      <x:c r="Y43" s="10"/>
      <x:c r="Z43" s="9"/>
      <x:c r="AA43" s="9"/>
      <x:c r="AB43" s="9"/>
      <x:c r="AC43" s="9"/>
      <x:c r="AD43" s="9"/>
      <x:c r="AE43" s="9"/>
      <x:c r="AF43" s="9"/>
      <x:c r="AG43" s="9"/>
      <x:c r="AH43" s="9"/>
      <x:c r="AI43" s="11"/>
      <x:c r="AJ43" s="9"/>
      <x:c r="AK43" s="9" t="str">
        <x:v>Eval_State_Recognition.xlsm</x:v>
      </x:c>
      <x:c r="AL43" s="9" t="str">
        <x:v>MolmoAct2 Results</x:v>
      </x:c>
      <x:c r="AM43" s="9" t="n">
        <x:v>43</x:v>
      </x:c>
      <x:c r="AN43" s="9" t="n">
        <x:v>43</x:v>
      </x:c>
    </x:row>
    <x:row r="44">
      <x:c r="A44" s="9" t="str">
        <x:v>Failure</x:v>
      </x:c>
      <x:c r="B44" s="9" t="str">
        <x:v>State Recognition</x:v>
      </x:c>
      <x:c r="C44" s="10" t="n">
        <x:v>42</x:v>
      </x:c>
      <x:c r="D44" s="9" t="str">
        <x:v>Move the yellow-white striped cup whose opening is uncovered into the bowl.</x:v>
      </x:c>
      <x:c r="E44" s="9" t="str">
        <x:v>yellow-white striped cup B (O, RU); yellow-white striped cup A (C, RU); glass spice container B (O, RU); white cup A (C, RU)</x:v>
      </x:c>
      <x:c r="F44" s="9" t="str">
        <x:v>yellow-white striped cup B</x:v>
      </x:c>
      <x:c r="G44" s="9" t="str">
        <x:v>grabbed closed cup</x:v>
      </x:c>
      <x:c r="H44" s="9" t="str">
        <x:v>Language robustness</x:v>
      </x:c>
      <x:c r="I44" s="9" t="str">
        <x:v>SR-CT06</x:v>
      </x:c>
      <x:c r="J44" s="9" t="str">
        <x:v>Primary compositional-transfer prompt paraphrase</x:v>
      </x:c>
      <x:c r="K44" s="9" t="n">
        <x:v>40</x:v>
      </x:c>
      <x:c r="L44" s="9" t="str">
        <x:v>53</x:v>
      </x:c>
      <x:c r="M44" s="9" t="str">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N44" s="9" t="n">
        <x:v>2</x:v>
      </x:c>
      <x:c r="O44" s="9" t="str">
        <x:v>Reset the moved object exactly; preserve every object and state; change only the prompt wording.</x:v>
      </x:c>
      <x:c r="P44" s="9" t="str">
        <x:v>Exact-scene paraphrase of one of the 50 canonical compositional-transfer trials. The orthogonal orientation axis is fixed: every object is RU. The scene is an exact copy of the referenced canonical row.</x:v>
      </x:c>
      <x:c r="Q44" s="9"/>
      <x:c r="R44" s="10" t="n">
        <x:v>4</x:v>
      </x:c>
      <x:c r="S44" s="10" t="n">
        <x:v>1</x:v>
      </x:c>
      <x:c r="T44" s="9" t="str">
        <x:v>Empty</x:v>
      </x:c>
      <x:c r="U44" s="9" t="str">
        <x:v>O</x:v>
      </x:c>
      <x:c r="V44" s="9" t="str">
        <x:v>yellow-white striped cup</x:v>
      </x:c>
      <x:c r="W44" s="9"/>
      <x:c r="X44" s="10"/>
      <x:c r="Y44" s="10"/>
      <x:c r="Z44" s="9"/>
      <x:c r="AA44" s="9"/>
      <x:c r="AB44" s="9"/>
      <x:c r="AC44" s="9"/>
      <x:c r="AD44" s="9"/>
      <x:c r="AE44" s="9"/>
      <x:c r="AF44" s="9"/>
      <x:c r="AG44" s="9"/>
      <x:c r="AH44" s="9"/>
      <x:c r="AI44" s="11"/>
      <x:c r="AJ44" s="9"/>
      <x:c r="AK44" s="9" t="str">
        <x:v>Eval_State_Recognition.xlsm</x:v>
      </x:c>
      <x:c r="AL44" s="9" t="str">
        <x:v>MolmoAct2 Results</x:v>
      </x:c>
      <x:c r="AM44" s="9" t="n">
        <x:v>44</x:v>
      </x:c>
      <x:c r="AN44" s="9" t="n">
        <x:v>44</x:v>
      </x:c>
    </x:row>
    <x:row r="45">
      <x:c r="A45" s="9" t="str">
        <x:v>Success</x:v>
      </x:c>
      <x:c r="B45" s="9" t="str">
        <x:v>State Recognition</x:v>
      </x:c>
      <x:c r="C45" s="10" t="n">
        <x:v>43</x:v>
      </x:c>
      <x:c r="D45" s="9" t="str">
        <x:v>Transfer the yellow-white striped cup from the table into the bowl.</x:v>
      </x:c>
      <x:c r="E45" s="9" t="str">
        <x:v>yellow-white striped cup B (O, RU); brown cup B (C, RU); glass spice container B (O, RU); white cup A (C, RU)</x:v>
      </x:c>
      <x:c r="F45" s="9" t="str">
        <x:v>yellow-white striped cup B</x:v>
      </x:c>
      <x:c r="G45" s="9"/>
      <x:c r="H45" s="9" t="str">
        <x:v>Language robustness</x:v>
      </x:c>
      <x:c r="I45" s="9" t="str">
        <x:v>SR-CT06</x:v>
      </x:c>
      <x:c r="J45" s="9" t="str">
        <x:v>Direct-category matched-control paraphrase</x:v>
      </x:c>
      <x:c r="K45" s="9" t="n">
        <x:v>41</x:v>
      </x:c>
      <x:c r="L45" s="9" t="n">
        <x:v>53</x:v>
      </x:c>
      <x:c r="M45" s="9" t="str">
        <x:v>Paraphrase of the direct-category matched control grounded by training episode 53. The modified control scene and physical target are unchanged.</x:v>
      </x:c>
      <x:c r="N45" s="9" t="n">
        <x:v>2</x:v>
      </x:c>
      <x:c r="O45" s="9" t="str">
        <x:v>Reset the target to its marked pose; preserve the exact modified control scene and change only the direct instruction wording.</x:v>
      </x:c>
      <x:c r="P45" s="9" t="str">
        <x:v>Language diagnostic for the pure manipulation control; no state word or state-based selection is required. The scene is an exact copy of the referenced canonical row.</x:v>
      </x:c>
      <x:c r="Q45" s="9"/>
      <x:c r="R45" s="10" t="n">
        <x:v>4</x:v>
      </x:c>
      <x:c r="S45" s="10" t="n">
        <x:v>1</x:v>
      </x:c>
      <x:c r="T45" s="9" t="str">
        <x:v>Empty</x:v>
      </x:c>
      <x:c r="U45" s="9" t="str">
        <x:v>N/A</x:v>
      </x:c>
      <x:c r="V45" s="9" t="str">
        <x:v>yellow-white striped cup</x:v>
      </x:c>
      <x:c r="W45" s="9"/>
      <x:c r="X45" s="10"/>
      <x:c r="Y45" s="10"/>
      <x:c r="Z45" s="9"/>
      <x:c r="AA45" s="9"/>
      <x:c r="AB45" s="9"/>
      <x:c r="AC45" s="9"/>
      <x:c r="AD45" s="9"/>
      <x:c r="AE45" s="9"/>
      <x:c r="AF45" s="9"/>
      <x:c r="AG45" s="9"/>
      <x:c r="AH45" s="9"/>
      <x:c r="AI45" s="11"/>
      <x:c r="AJ45" s="9"/>
      <x:c r="AK45" s="9" t="str">
        <x:v>Eval_State_Recognition.xlsm</x:v>
      </x:c>
      <x:c r="AL45" s="9" t="str">
        <x:v>MolmoAct2 Results</x:v>
      </x:c>
      <x:c r="AM45" s="9" t="n">
        <x:v>45</x:v>
      </x:c>
      <x:c r="AN45" s="9" t="n">
        <x:v>45</x:v>
      </x:c>
    </x:row>
    <x:row r="46">
      <x:c r="A46" s="9" t="str">
        <x:v>Success</x:v>
      </x:c>
      <x:c r="B46" s="9" t="str">
        <x:v>State Recognition</x:v>
      </x:c>
      <x:c r="C46" s="10" t="n">
        <x:v>44</x:v>
      </x:c>
      <x:c r="D46" s="9" t="str">
        <x:v>Place the closed brown cup in the bowl.</x:v>
      </x:c>
      <x:c r="E46" s="9" t="str">
        <x:v>brown cup A (C, RU); brown cup B (O, RU)</x:v>
      </x:c>
      <x:c r="F46" s="9" t="str">
        <x:v>brown cup A</x:v>
      </x:c>
      <x:c r="G46" s="9"/>
      <x:c r="H46" s="9" t="str">
        <x:v>Concept/compositional transfer</x:v>
      </x:c>
      <x:c r="I46" s="9" t="str">
        <x:v>SR-CT07</x:v>
      </x:c>
      <x:c r="J46" s="9" t="str">
        <x:v>Primary held-out state-object composition</x:v>
      </x:c>
      <x:c r="K46" s="9"/>
      <x:c r="L46" s="9" t="str">
        <x:v>107</x:v>
      </x:c>
      <x:c r="M46"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46" s="9" t="n">
        <x:v>2</x:v>
      </x:c>
      <x:c r="O46" s="9" t="str">
        <x:v>Build the listed same-category discrimination scene with the bowl empty.</x:v>
      </x:c>
      <x:c r="P46" s="9" t="str">
        <x:v>Two same-category candidates share the non-queried state axis; only the held-out state word identifies the target. The orthogonal orientation axis is fixed: every object is RU.</x:v>
      </x:c>
      <x:c r="Q46" s="9"/>
      <x:c r="R46" s="10" t="n">
        <x:v>2</x:v>
      </x:c>
      <x:c r="S46" s="10" t="n">
        <x:v>1</x:v>
      </x:c>
      <x:c r="T46" s="9" t="str">
        <x:v>Empty</x:v>
      </x:c>
      <x:c r="U46" s="9" t="str">
        <x:v>C</x:v>
      </x:c>
      <x:c r="V46" s="9" t="str">
        <x:v>brown cup</x:v>
      </x:c>
      <x:c r="W46" s="9"/>
      <x:c r="X46" s="10"/>
      <x:c r="Y46" s="10"/>
      <x:c r="Z46" s="9"/>
      <x:c r="AA46" s="9"/>
      <x:c r="AB46" s="9"/>
      <x:c r="AC46" s="9"/>
      <x:c r="AD46" s="9"/>
      <x:c r="AE46" s="9"/>
      <x:c r="AF46" s="9"/>
      <x:c r="AG46" s="9"/>
      <x:c r="AH46" s="9"/>
      <x:c r="AI46" s="11"/>
      <x:c r="AJ46" s="9"/>
      <x:c r="AK46" s="9" t="str">
        <x:v>Eval_State_Recognition.xlsm</x:v>
      </x:c>
      <x:c r="AL46" s="9" t="str">
        <x:v>MolmoAct2 Results</x:v>
      </x:c>
      <x:c r="AM46" s="9" t="n">
        <x:v>46</x:v>
      </x:c>
      <x:c r="AN46" s="9" t="n">
        <x:v>46</x:v>
      </x:c>
    </x:row>
    <x:row r="47">
      <x:c r="A47" s="9" t="str">
        <x:v>Success</x:v>
      </x:c>
      <x:c r="B47" s="9" t="str">
        <x:v>State Recognition</x:v>
      </x:c>
      <x:c r="C47" s="10" t="n">
        <x:v>45</x:v>
      </x:c>
      <x:c r="D47" s="9" t="str">
        <x:v>Put a brown cup in the bowl.</x:v>
      </x:c>
      <x:c r="E47" s="9" t="str">
        <x:v>brown cup A (C, RU); white cup A (O, RU)</x:v>
      </x:c>
      <x:c r="F47" s="9" t="str">
        <x:v>brown cup A</x:v>
      </x:c>
      <x:c r="G47" s="9"/>
      <x:c r="H47" s="9" t="str">
        <x:v>Matched manipulation control</x:v>
      </x:c>
      <x:c r="I47" s="9" t="str">
        <x:v>SR-CT07</x:v>
      </x:c>
      <x:c r="J47" s="9" t="str">
        <x:v>One-object-substitution direct-category control</x:v>
      </x:c>
      <x:c r="K47" s="9" t="n">
        <x:v>44</x:v>
      </x:c>
      <x:c r="L47" s="9" t="n">
        <x:v>107</x:v>
      </x:c>
      <x:c r="M47" s="9" t="str">
        <x:v>Exact direct-category manipulation prompt from training episode 107. The transfer target, state, and pose are preserved; only the competing brown cup is replaced by white cup A. The full control scene is upright because its paired transfer instruction queries open/closed.</x:v>
      </x:c>
      <x:c r="N47" s="9" t="n">
        <x:v>2</x:v>
      </x:c>
      <x:c r="O47" s="9" t="str">
        <x:v>Reset brown cup A to its transfer pose. Replace brown cup B with white cup A in the same location and use the states listed in this row; preserve all other objects.</x:v>
      </x:c>
      <x:c r="P47" s="9" t="str">
        <x:v>Pure recognition/manipulation control: the prompt uniquely names the only object from the target category, while the physical target remains identical to the transfer row. Every object is RU.</x:v>
      </x:c>
      <x:c r="Q47" s="9"/>
      <x:c r="R47" s="10" t="n">
        <x:v>2</x:v>
      </x:c>
      <x:c r="S47" s="10" t="n">
        <x:v>1</x:v>
      </x:c>
      <x:c r="T47" s="9" t="str">
        <x:v>Empty</x:v>
      </x:c>
      <x:c r="U47" s="9" t="str">
        <x:v>N/A</x:v>
      </x:c>
      <x:c r="V47" s="9" t="str">
        <x:v>brown cup</x:v>
      </x:c>
      <x:c r="W47" s="9"/>
      <x:c r="X47" s="10"/>
      <x:c r="Y47" s="10"/>
      <x:c r="Z47" s="9"/>
      <x:c r="AA47" s="9"/>
      <x:c r="AB47" s="9"/>
      <x:c r="AC47" s="9"/>
      <x:c r="AD47" s="9"/>
      <x:c r="AE47" s="9"/>
      <x:c r="AF47" s="9"/>
      <x:c r="AG47" s="9"/>
      <x:c r="AH47" s="9"/>
      <x:c r="AI47" s="11"/>
      <x:c r="AJ47" s="9"/>
      <x:c r="AK47" s="9" t="str">
        <x:v>Eval_State_Recognition.xlsm</x:v>
      </x:c>
      <x:c r="AL47" s="9" t="str">
        <x:v>MolmoAct2 Results</x:v>
      </x:c>
      <x:c r="AM47" s="9" t="n">
        <x:v>47</x:v>
      </x:c>
      <x:c r="AN47" s="9" t="n">
        <x:v>47</x:v>
      </x:c>
    </x:row>
    <x:row r="48">
      <x:c r="A48" s="9" t="str">
        <x:v>Success</x:v>
      </x:c>
      <x:c r="B48" s="9" t="str">
        <x:v>State Recognition</x:v>
      </x:c>
      <x:c r="C48" s="10" t="n">
        <x:v>46</x:v>
      </x:c>
      <x:c r="D48" s="9" t="str">
        <x:v>Move the brown cup whose opening is covered into the bowl.</x:v>
      </x:c>
      <x:c r="E48" s="9" t="str">
        <x:v>brown cup A (C, RU); brown cup B (O, RU)</x:v>
      </x:c>
      <x:c r="F48" s="9" t="str">
        <x:v>brown cup A</x:v>
      </x:c>
      <x:c r="G48" s="9"/>
      <x:c r="H48" s="9" t="str">
        <x:v>Language robustness</x:v>
      </x:c>
      <x:c r="I48" s="9" t="str">
        <x:v>SR-CT07</x:v>
      </x:c>
      <x:c r="J48" s="9" t="str">
        <x:v>Primary compositional-transfer prompt paraphrase</x:v>
      </x:c>
      <x:c r="K48" s="9" t="n">
        <x:v>44</x:v>
      </x:c>
      <x:c r="L48" s="9" t="str">
        <x:v>107</x:v>
      </x:c>
      <x:c r="M48" s="9" t="str">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N48" s="9" t="n">
        <x:v>2</x:v>
      </x:c>
      <x:c r="O48" s="9" t="str">
        <x:v>Reset the moved object exactly; preserve every object and state; change only the prompt wording.</x:v>
      </x:c>
      <x:c r="P48" s="9" t="str">
        <x:v>Exact-scene paraphrase of one of the 50 canonical compositional-transfer trials. The orthogonal orientation axis is fixed: every object is RU. The scene is an exact copy of the referenced canonical row.</x:v>
      </x:c>
      <x:c r="Q48" s="9"/>
      <x:c r="R48" s="10" t="n">
        <x:v>2</x:v>
      </x:c>
      <x:c r="S48" s="10" t="n">
        <x:v>1</x:v>
      </x:c>
      <x:c r="T48" s="9" t="str">
        <x:v>Empty</x:v>
      </x:c>
      <x:c r="U48" s="9" t="str">
        <x:v>C</x:v>
      </x:c>
      <x:c r="V48" s="9" t="str">
        <x:v>brown cup</x:v>
      </x:c>
      <x:c r="W48" s="9"/>
      <x:c r="X48" s="10"/>
      <x:c r="Y48" s="10"/>
      <x:c r="Z48" s="9"/>
      <x:c r="AA48" s="9"/>
      <x:c r="AB48" s="9"/>
      <x:c r="AC48" s="9"/>
      <x:c r="AD48" s="9"/>
      <x:c r="AE48" s="9"/>
      <x:c r="AF48" s="9"/>
      <x:c r="AG48" s="9"/>
      <x:c r="AH48" s="9"/>
      <x:c r="AI48" s="11"/>
      <x:c r="AJ48" s="9"/>
      <x:c r="AK48" s="9" t="str">
        <x:v>Eval_State_Recognition.xlsm</x:v>
      </x:c>
      <x:c r="AL48" s="9" t="str">
        <x:v>MolmoAct2 Results</x:v>
      </x:c>
      <x:c r="AM48" s="9" t="n">
        <x:v>48</x:v>
      </x:c>
      <x:c r="AN48" s="9" t="n">
        <x:v>48</x:v>
      </x:c>
    </x:row>
    <x:row r="49">
      <x:c r="A49" s="9" t="str">
        <x:v>Success</x:v>
      </x:c>
      <x:c r="B49" s="9" t="str">
        <x:v>State Recognition</x:v>
      </x:c>
      <x:c r="C49" s="10" t="n">
        <x:v>47</x:v>
      </x:c>
      <x:c r="D49" s="9" t="str">
        <x:v>Lift the brown cup and set it inside the bowl.</x:v>
      </x:c>
      <x:c r="E49" s="9" t="str">
        <x:v>brown cup A (C, RU); white cup A (O, RU)</x:v>
      </x:c>
      <x:c r="F49" s="9" t="str">
        <x:v>brown cup A</x:v>
      </x:c>
      <x:c r="G49" s="9"/>
      <x:c r="H49" s="9" t="str">
        <x:v>Language robustness</x:v>
      </x:c>
      <x:c r="I49" s="9" t="str">
        <x:v>SR-CT07</x:v>
      </x:c>
      <x:c r="J49" s="9" t="str">
        <x:v>Direct-category matched-control paraphrase</x:v>
      </x:c>
      <x:c r="K49" s="9" t="n">
        <x:v>45</x:v>
      </x:c>
      <x:c r="L49" s="9" t="n">
        <x:v>107</x:v>
      </x:c>
      <x:c r="M49" s="9" t="str">
        <x:v>Paraphrase of the direct-category matched control grounded by training episode 107. The modified control scene and physical target are unchanged.</x:v>
      </x:c>
      <x:c r="N49" s="9" t="n">
        <x:v>2</x:v>
      </x:c>
      <x:c r="O49" s="9" t="str">
        <x:v>Reset the target to its marked pose; preserve the exact modified control scene and change only the direct instruction wording.</x:v>
      </x:c>
      <x:c r="P49" s="9" t="str">
        <x:v>Language diagnostic for the pure manipulation control; no state word or state-based selection is required. The scene is an exact copy of the referenced canonical row.</x:v>
      </x:c>
      <x:c r="Q49" s="9"/>
      <x:c r="R49" s="10" t="n">
        <x:v>2</x:v>
      </x:c>
      <x:c r="S49" s="10" t="n">
        <x:v>1</x:v>
      </x:c>
      <x:c r="T49" s="9" t="str">
        <x:v>Empty</x:v>
      </x:c>
      <x:c r="U49" s="9" t="str">
        <x:v>N/A</x:v>
      </x:c>
      <x:c r="V49" s="9" t="str">
        <x:v>brown cup</x:v>
      </x:c>
      <x:c r="W49" s="9"/>
      <x:c r="X49" s="10"/>
      <x:c r="Y49" s="10"/>
      <x:c r="Z49" s="9"/>
      <x:c r="AA49" s="9"/>
      <x:c r="AB49" s="9"/>
      <x:c r="AC49" s="9"/>
      <x:c r="AD49" s="9"/>
      <x:c r="AE49" s="9"/>
      <x:c r="AF49" s="9"/>
      <x:c r="AG49" s="9"/>
      <x:c r="AH49" s="9"/>
      <x:c r="AI49" s="11"/>
      <x:c r="AJ49" s="9"/>
      <x:c r="AK49" s="9" t="str">
        <x:v>Eval_State_Recognition.xlsm</x:v>
      </x:c>
      <x:c r="AL49" s="9" t="str">
        <x:v>MolmoAct2 Results</x:v>
      </x:c>
      <x:c r="AM49" s="9" t="n">
        <x:v>49</x:v>
      </x:c>
      <x:c r="AN49" s="9" t="n">
        <x:v>49</x:v>
      </x:c>
    </x:row>
    <x:row r="50">
      <x:c r="A50" s="9" t="str">
        <x:v>Success</x:v>
      </x:c>
      <x:c r="B50" s="9" t="str">
        <x:v>State Recognition</x:v>
      </x:c>
      <x:c r="C50" s="10" t="n">
        <x:v>48</x:v>
      </x:c>
      <x:c r="D50" s="9" t="str">
        <x:v>Place the upright glass spice container in the bowl.</x:v>
      </x:c>
      <x:c r="E50" s="9" t="str">
        <x:v>glass spice container B (O, RU); glass spice container A (O, UD); yellow-white striped cup B (O, UD)</x:v>
      </x:c>
      <x:c r="F50" s="9" t="str">
        <x:v>glass spice container B</x:v>
      </x:c>
      <x:c r="G50" s="9"/>
      <x:c r="H50" s="9" t="str">
        <x:v>Concept/compositional transfer</x:v>
      </x:c>
      <x:c r="I50" s="9" t="str">
        <x:v>SR-CT08</x:v>
      </x:c>
      <x:c r="J50" s="9" t="str">
        <x:v>Primary held-out state-object composition</x:v>
      </x:c>
      <x:c r="K50" s="9"/>
      <x:c r="L50" s="9" t="str">
        <x:v>153</x:v>
      </x:c>
      <x:c r="M50" s="9" t="str">
        <x:v>Physical-state and manipulation-trajectory reference under a direct category prompt; the evaluated state word × object-category cell is intentionally absent from training.</x:v>
      </x:c>
      <x:c r="N50" s="9" t="n">
        <x:v>2</x:v>
      </x:c>
      <x:c r="O50" s="9" t="str">
        <x:v>Build the listed same-category discrimination scene with the bowl empty.</x:v>
      </x:c>
      <x:c r="P50" s="9" t="str">
        <x:v>Two same-category candidates share the non-queried state axis; only the held-out state word identifies the target. The same-category candidates share the orthogonal C/O state (O).</x:v>
      </x:c>
      <x:c r="Q50" s="9"/>
      <x:c r="R50" s="10" t="n">
        <x:v>3</x:v>
      </x:c>
      <x:c r="S50" s="10" t="n">
        <x:v>1</x:v>
      </x:c>
      <x:c r="T50" s="9" t="str">
        <x:v>Empty</x:v>
      </x:c>
      <x:c r="U50" s="9" t="str">
        <x:v>RU</x:v>
      </x:c>
      <x:c r="V50" s="9" t="str">
        <x:v>glass spice container</x:v>
      </x:c>
      <x:c r="W50" s="9"/>
      <x:c r="X50" s="10"/>
      <x:c r="Y50" s="10"/>
      <x:c r="Z50" s="9"/>
      <x:c r="AA50" s="9"/>
      <x:c r="AB50" s="9"/>
      <x:c r="AC50" s="9"/>
      <x:c r="AD50" s="9"/>
      <x:c r="AE50" s="9"/>
      <x:c r="AF50" s="9"/>
      <x:c r="AG50" s="9"/>
      <x:c r="AH50" s="9"/>
      <x:c r="AI50" s="11"/>
      <x:c r="AJ50" s="9"/>
      <x:c r="AK50" s="9" t="str">
        <x:v>Eval_State_Recognition.xlsm</x:v>
      </x:c>
      <x:c r="AL50" s="9" t="str">
        <x:v>MolmoAct2 Results</x:v>
      </x:c>
      <x:c r="AM50" s="9" t="n">
        <x:v>50</x:v>
      </x:c>
      <x:c r="AN50" s="9" t="n">
        <x:v>50</x:v>
      </x:c>
    </x:row>
    <x:row r="51">
      <x:c r="A51" s="9" t="str">
        <x:v>Success</x:v>
      </x:c>
      <x:c r="B51" s="9" t="str">
        <x:v>State Recognition</x:v>
      </x:c>
      <x:c r="C51" s="10" t="n">
        <x:v>49</x:v>
      </x:c>
      <x:c r="D51" s="9" t="str">
        <x:v>Move a glass spice container into the bowl.</x:v>
      </x:c>
      <x:c r="E51" s="9" t="str">
        <x:v>glass spice container B (O, RU); brown cup B (O, UD); yellow-white striped cup B (O, UD)</x:v>
      </x:c>
      <x:c r="F51" s="9" t="str">
        <x:v>glass spice container B</x:v>
      </x:c>
      <x:c r="G51" s="9"/>
      <x:c r="H51" s="9" t="str">
        <x:v>Matched manipulation control</x:v>
      </x:c>
      <x:c r="I51" s="9" t="str">
        <x:v>SR-CT08</x:v>
      </x:c>
      <x:c r="J51" s="9" t="str">
        <x:v>One-object-substitution direct-category control</x:v>
      </x:c>
      <x:c r="K51" s="9" t="n">
        <x:v>48</x:v>
      </x:c>
      <x:c r="L51" s="9" t="n">
        <x:v>153</x:v>
      </x:c>
      <x:c r="M51" s="9" t="str">
        <x:v>Exact direct-category manipulation prompt from training episode 153. The transfer target, state, and pose are preserved; only the competing glass spice container is replaced by brown cup B.</x:v>
      </x:c>
      <x:c r="N51" s="9" t="n">
        <x:v>2</x:v>
      </x:c>
      <x:c r="O51" s="9" t="str">
        <x:v>Reset glass spice container B to its transfer pose. Replace glass spice container A with brown cup B in the same location and use the states listed in this row; preserve all other objects.</x:v>
      </x:c>
      <x:c r="P51" s="9" t="str">
        <x:v>Pure recognition/manipulation control: the prompt uniquely names the only object from the target category, while the physical target remains identical to the transfer row.</x:v>
      </x:c>
      <x:c r="Q51" s="9"/>
      <x:c r="R51" s="10" t="n">
        <x:v>3</x:v>
      </x:c>
      <x:c r="S51" s="10" t="n">
        <x:v>1</x:v>
      </x:c>
      <x:c r="T51" s="9" t="str">
        <x:v>Empty</x:v>
      </x:c>
      <x:c r="U51" s="9" t="str">
        <x:v>N/A</x:v>
      </x:c>
      <x:c r="V51" s="9" t="str">
        <x:v>glass spice container</x:v>
      </x:c>
      <x:c r="W51" s="9"/>
      <x:c r="X51" s="10"/>
      <x:c r="Y51" s="10"/>
      <x:c r="Z51" s="9"/>
      <x:c r="AA51" s="9"/>
      <x:c r="AB51" s="9"/>
      <x:c r="AC51" s="9"/>
      <x:c r="AD51" s="9"/>
      <x:c r="AE51" s="9"/>
      <x:c r="AF51" s="9"/>
      <x:c r="AG51" s="9"/>
      <x:c r="AH51" s="9"/>
      <x:c r="AI51" s="11"/>
      <x:c r="AJ51" s="9"/>
      <x:c r="AK51" s="9" t="str">
        <x:v>Eval_State_Recognition.xlsm</x:v>
      </x:c>
      <x:c r="AL51" s="9" t="str">
        <x:v>MolmoAct2 Results</x:v>
      </x:c>
      <x:c r="AM51" s="9" t="n">
        <x:v>51</x:v>
      </x:c>
      <x:c r="AN51" s="9" t="n">
        <x:v>51</x:v>
      </x:c>
    </x:row>
    <x:row r="52">
      <x:c r="A52" s="9" t="str">
        <x:v>Success</x:v>
      </x:c>
      <x:c r="B52" s="9" t="str">
        <x:v>State Recognition</x:v>
      </x:c>
      <x:c r="C52" s="10" t="n">
        <x:v>50</x:v>
      </x:c>
      <x:c r="D52" s="9" t="str">
        <x:v>Move the right-side-up glass spice container into the bowl.</x:v>
      </x:c>
      <x:c r="E52" s="9" t="str">
        <x:v>glass spice container B (O, RU); glass spice container A (O, UD); yellow-white striped cup B (O, UD)</x:v>
      </x:c>
      <x:c r="F52" s="9" t="str">
        <x:v>glass spice container B</x:v>
      </x:c>
      <x:c r="G52" s="9"/>
      <x:c r="H52" s="9" t="str">
        <x:v>Language robustness</x:v>
      </x:c>
      <x:c r="I52" s="9" t="str">
        <x:v>SR-CT08</x:v>
      </x:c>
      <x:c r="J52" s="9" t="str">
        <x:v>Primary compositional-transfer prompt paraphrase</x:v>
      </x:c>
      <x:c r="K52" s="9" t="n">
        <x:v>48</x:v>
      </x:c>
      <x:c r="L52" s="9" t="str">
        <x:v>153</x:v>
      </x:c>
      <x:c r="M52" s="9" t="str">
        <x:v>The canonical transfer scene and masked trajectory reference are unchanged; only the evaluation wording is paraphrased. This remains a language diagnostic and is not pooled into the primary 50.</x:v>
      </x:c>
      <x:c r="N52" s="9" t="n">
        <x:v>2</x:v>
      </x:c>
      <x:c r="O52" s="9" t="str">
        <x:v>Reset the moved object exactly; preserve every object and state; change only the prompt wording.</x:v>
      </x:c>
      <x:c r="P52" s="9" t="str">
        <x:v>Exact-scene paraphrase of one of the 50 canonical compositional-transfer trials. The same-category candidates share the orthogonal C/O state (O). The scene is an exact copy of the referenced canonical row.</x:v>
      </x:c>
      <x:c r="Q52" s="9"/>
      <x:c r="R52" s="10" t="n">
        <x:v>3</x:v>
      </x:c>
      <x:c r="S52" s="10" t="n">
        <x:v>1</x:v>
      </x:c>
      <x:c r="T52" s="9" t="str">
        <x:v>Empty</x:v>
      </x:c>
      <x:c r="U52" s="9" t="str">
        <x:v>RU</x:v>
      </x:c>
      <x:c r="V52" s="9" t="str">
        <x:v>glass spice container</x:v>
      </x:c>
      <x:c r="W52" s="9"/>
      <x:c r="X52" s="10"/>
      <x:c r="Y52" s="10"/>
      <x:c r="Z52" s="9"/>
      <x:c r="AA52" s="9"/>
      <x:c r="AB52" s="9"/>
      <x:c r="AC52" s="9"/>
      <x:c r="AD52" s="9"/>
      <x:c r="AE52" s="9"/>
      <x:c r="AF52" s="9"/>
      <x:c r="AG52" s="9"/>
      <x:c r="AH52" s="9"/>
      <x:c r="AI52" s="11"/>
      <x:c r="AJ52" s="9"/>
      <x:c r="AK52" s="9" t="str">
        <x:v>Eval_State_Recognition.xlsm</x:v>
      </x:c>
      <x:c r="AL52" s="9" t="str">
        <x:v>MolmoAct2 Results</x:v>
      </x:c>
      <x:c r="AM52" s="9" t="n">
        <x:v>52</x:v>
      </x:c>
      <x:c r="AN52" s="9" t="n">
        <x:v>52</x:v>
      </x:c>
    </x:row>
    <x:row r="53">
      <x:c r="A53" s="9" t="str">
        <x:v>Success</x:v>
      </x:c>
      <x:c r="B53" s="9" t="str">
        <x:v>State Recognition</x:v>
      </x:c>
      <x:c r="C53" s="10" t="n">
        <x:v>51</x:v>
      </x:c>
      <x:c r="D53" s="9" t="str">
        <x:v>Take the glass spice container off the table and place it in the bowl.</x:v>
      </x:c>
      <x:c r="E53" s="9" t="str">
        <x:v>glass spice container B (O, RU); brown cup B (O, UD); yellow-white striped cup B (O, UD)</x:v>
      </x:c>
      <x:c r="F53" s="9" t="str">
        <x:v>glass spice container B</x:v>
      </x:c>
      <x:c r="G53" s="9"/>
      <x:c r="H53" s="9" t="str">
        <x:v>Language robustness</x:v>
      </x:c>
      <x:c r="I53" s="9" t="str">
        <x:v>SR-CT08</x:v>
      </x:c>
      <x:c r="J53" s="9" t="str">
        <x:v>Direct-category matched-control paraphrase</x:v>
      </x:c>
      <x:c r="K53" s="9" t="n">
        <x:v>49</x:v>
      </x:c>
      <x:c r="L53" s="9" t="n">
        <x:v>153</x:v>
      </x:c>
      <x:c r="M53" s="9" t="str">
        <x:v>Paraphrase of the direct-category matched control grounded by training episode 153. The modified control scene and physical target are unchanged.</x:v>
      </x:c>
      <x:c r="N53" s="9" t="n">
        <x:v>2</x:v>
      </x:c>
      <x:c r="O53" s="9" t="str">
        <x:v>Reset the target to its marked pose; preserve the exact modified control scene and change only the direct instruction wording.</x:v>
      </x:c>
      <x:c r="P53" s="9" t="str">
        <x:v>Language diagnostic for the pure manipulation control; no state word or state-based selection is required. The scene is an exact copy of the referenced canonical row.</x:v>
      </x:c>
      <x:c r="Q53" s="9"/>
      <x:c r="R53" s="10" t="n">
        <x:v>3</x:v>
      </x:c>
      <x:c r="S53" s="10" t="n">
        <x:v>1</x:v>
      </x:c>
      <x:c r="T53" s="9" t="str">
        <x:v>Empty</x:v>
      </x:c>
      <x:c r="U53" s="9" t="str">
        <x:v>N/A</x:v>
      </x:c>
      <x:c r="V53" s="9" t="str">
        <x:v>glass spice container</x:v>
      </x:c>
      <x:c r="W53" s="9"/>
      <x:c r="X53" s="10"/>
      <x:c r="Y53" s="10"/>
      <x:c r="Z53" s="9"/>
      <x:c r="AA53" s="9"/>
      <x:c r="AB53" s="9"/>
      <x:c r="AC53" s="9"/>
      <x:c r="AD53" s="9"/>
      <x:c r="AE53" s="9"/>
      <x:c r="AF53" s="9"/>
      <x:c r="AG53" s="9"/>
      <x:c r="AH53" s="9"/>
      <x:c r="AI53" s="11"/>
      <x:c r="AJ53" s="9"/>
      <x:c r="AK53" s="9" t="str">
        <x:v>Eval_State_Recognition.xlsm</x:v>
      </x:c>
      <x:c r="AL53" s="9" t="str">
        <x:v>MolmoAct2 Results</x:v>
      </x:c>
      <x:c r="AM53" s="9" t="n">
        <x:v>53</x:v>
      </x:c>
      <x:c r="AN53" s="9" t="n">
        <x:v>53</x:v>
      </x:c>
    </x:row>
    <x:row r="54">
      <x:c r="A54" s="9" t="str">
        <x:v>Success</x:v>
      </x:c>
      <x:c r="B54" s="9" t="str">
        <x:v>State Recognition</x:v>
      </x:c>
      <x:c r="C54" s="10" t="n">
        <x:v>52</x:v>
      </x:c>
      <x:c r="D54" s="9" t="str">
        <x:v>Place the upside-down white cup in the bowl.</x:v>
      </x:c>
      <x:c r="E54" s="9" t="str">
        <x:v>white cup A (C, UD); white cup B (C, RU); glass spice container A (C, RU); yellow-white striped cup B (O, RU)</x:v>
      </x:c>
      <x:c r="F54" s="9" t="str">
        <x:v>white cup A</x:v>
      </x:c>
      <x:c r="G54" s="9"/>
      <x:c r="H54" s="9" t="str">
        <x:v>Concept/compositional transfer</x:v>
      </x:c>
      <x:c r="I54" s="9" t="str">
        <x:v>SR-CT09</x:v>
      </x:c>
      <x:c r="J54" s="9" t="str">
        <x:v>Primary held-out state-object composition</x:v>
      </x:c>
      <x:c r="K54" s="9"/>
      <x:c r="L54" s="9" t="str">
        <x:v>39</x:v>
      </x:c>
      <x:c r="M54" s="9" t="str">
        <x:v>Physical-state and manipulation-trajectory reference under a direct category prompt; the evaluated state word × object-category cell is intentionally absent from training.</x:v>
      </x:c>
      <x:c r="N54" s="9" t="n">
        <x:v>2</x:v>
      </x:c>
      <x:c r="O54" s="9" t="str">
        <x:v>Build the listed same-category discrimination scene with the bowl empty.</x:v>
      </x:c>
      <x:c r="P54" s="9" t="str">
        <x:v>Two same-category candidates share the non-queried state axis; only the held-out state word identifies the target. The same-category candidates share the orthogonal C/O state (C).</x:v>
      </x:c>
      <x:c r="Q54" s="9"/>
      <x:c r="R54" s="10" t="n">
        <x:v>4</x:v>
      </x:c>
      <x:c r="S54" s="10" t="n">
        <x:v>1</x:v>
      </x:c>
      <x:c r="T54" s="9" t="str">
        <x:v>Empty</x:v>
      </x:c>
      <x:c r="U54" s="9" t="str">
        <x:v>UD</x:v>
      </x:c>
      <x:c r="V54" s="9" t="str">
        <x:v>white cup</x:v>
      </x:c>
      <x:c r="W54" s="9"/>
      <x:c r="X54" s="10"/>
      <x:c r="Y54" s="10"/>
      <x:c r="Z54" s="9"/>
      <x:c r="AA54" s="9"/>
      <x:c r="AB54" s="9"/>
      <x:c r="AC54" s="9"/>
      <x:c r="AD54" s="9"/>
      <x:c r="AE54" s="9"/>
      <x:c r="AF54" s="9"/>
      <x:c r="AG54" s="9"/>
      <x:c r="AH54" s="9"/>
      <x:c r="AI54" s="11"/>
      <x:c r="AJ54" s="9"/>
      <x:c r="AK54" s="9" t="str">
        <x:v>Eval_State_Recognition.xlsm</x:v>
      </x:c>
      <x:c r="AL54" s="9" t="str">
        <x:v>MolmoAct2 Results</x:v>
      </x:c>
      <x:c r="AM54" s="9" t="n">
        <x:v>54</x:v>
      </x:c>
      <x:c r="AN54" s="9" t="n">
        <x:v>54</x:v>
      </x:c>
    </x:row>
    <x:row r="55">
      <x:c r="A55" s="9" t="str">
        <x:v>Success</x:v>
      </x:c>
      <x:c r="B55" s="9" t="str">
        <x:v>State Recognition</x:v>
      </x:c>
      <x:c r="C55" s="10" t="n">
        <x:v>53</x:v>
      </x:c>
      <x:c r="D55" s="9" t="str">
        <x:v>Move a white cup into the bowl.</x:v>
      </x:c>
      <x:c r="E55" s="9" t="str">
        <x:v>white cup A (C, UD); brown cup A (C, RU); glass spice container A (C, RU); yellow-white striped cup B (O, RU)</x:v>
      </x:c>
      <x:c r="F55" s="9" t="str">
        <x:v>white cup A</x:v>
      </x:c>
      <x:c r="G55" s="9"/>
      <x:c r="H55" s="9" t="str">
        <x:v>Matched manipulation control</x:v>
      </x:c>
      <x:c r="I55" s="9" t="str">
        <x:v>SR-CT09</x:v>
      </x:c>
      <x:c r="J55" s="9" t="str">
        <x:v>One-object-substitution direct-category control</x:v>
      </x:c>
      <x:c r="K55" s="9" t="n">
        <x:v>52</x:v>
      </x:c>
      <x:c r="L55" s="9" t="n">
        <x:v>39</x:v>
      </x:c>
      <x:c r="M55" s="9" t="str">
        <x:v>Exact direct-category manipulation prompt from training episode 39. The transfer target, state, and pose are preserved; only the competing white cup is replaced by brown cup A.</x:v>
      </x:c>
      <x:c r="N55" s="9" t="n">
        <x:v>2</x:v>
      </x:c>
      <x:c r="O55" s="9" t="str">
        <x:v>Reset white cup A to its transfer pose. Replace white cup B with brown cup A in the same location and use the states listed in this row; preserve all other objects.</x:v>
      </x:c>
      <x:c r="P55" s="9" t="str">
        <x:v>Pure recognition/manipulation control: the prompt uniquely names the only object from the target category, while the physical target remains identical to the transfer row.</x:v>
      </x:c>
      <x:c r="Q55" s="9"/>
      <x:c r="R55" s="10" t="n">
        <x:v>4</x:v>
      </x:c>
      <x:c r="S55" s="10" t="n">
        <x:v>1</x:v>
      </x:c>
      <x:c r="T55" s="9" t="str">
        <x:v>Empty</x:v>
      </x:c>
      <x:c r="U55" s="9" t="str">
        <x:v>N/A</x:v>
      </x:c>
      <x:c r="V55" s="9" t="str">
        <x:v>white cup</x:v>
      </x:c>
      <x:c r="W55" s="9"/>
      <x:c r="X55" s="10"/>
      <x:c r="Y55" s="10"/>
      <x:c r="Z55" s="9"/>
      <x:c r="AA55" s="9"/>
      <x:c r="AB55" s="9"/>
      <x:c r="AC55" s="9"/>
      <x:c r="AD55" s="9"/>
      <x:c r="AE55" s="9"/>
      <x:c r="AF55" s="9"/>
      <x:c r="AG55" s="9"/>
      <x:c r="AH55" s="9"/>
      <x:c r="AI55" s="11"/>
      <x:c r="AJ55" s="9"/>
      <x:c r="AK55" s="9" t="str">
        <x:v>Eval_State_Recognition.xlsm</x:v>
      </x:c>
      <x:c r="AL55" s="9" t="str">
        <x:v>MolmoAct2 Results</x:v>
      </x:c>
      <x:c r="AM55" s="9" t="n">
        <x:v>55</x:v>
      </x:c>
      <x:c r="AN55" s="9" t="n">
        <x:v>55</x:v>
      </x:c>
    </x:row>
    <x:row r="56">
      <x:c r="A56" s="9" t="str">
        <x:v>Success</x:v>
      </x:c>
      <x:c r="B56" s="9" t="str">
        <x:v>State Recognition</x:v>
      </x:c>
      <x:c r="C56" s="10" t="n">
        <x:v>54</x:v>
      </x:c>
      <x:c r="D56" s="9" t="str">
        <x:v>Move the inverted white cup into the bowl.</x:v>
      </x:c>
      <x:c r="E56" s="9" t="str">
        <x:v>white cup A (C, UD); white cup B (C, RU); glass spice container A (C, RU); yellow-white striped cup B (O, RU)</x:v>
      </x:c>
      <x:c r="F56" s="9" t="str">
        <x:v>white cup A</x:v>
      </x:c>
      <x:c r="G56" s="9"/>
      <x:c r="H56" s="9" t="str">
        <x:v>Language robustness</x:v>
      </x:c>
      <x:c r="I56" s="9" t="str">
        <x:v>SR-CT09</x:v>
      </x:c>
      <x:c r="J56" s="9" t="str">
        <x:v>Primary compositional-transfer prompt paraphrase</x:v>
      </x:c>
      <x:c r="K56" s="9" t="n">
        <x:v>52</x:v>
      </x:c>
      <x:c r="L56" s="9" t="str">
        <x:v>39</x:v>
      </x:c>
      <x:c r="M56" s="9" t="str">
        <x:v>The canonical transfer scene and masked trajectory reference are unchanged; only the evaluation wording is paraphrased. This remains a language diagnostic and is not pooled into the primary 50.</x:v>
      </x:c>
      <x:c r="N56" s="9" t="n">
        <x:v>2</x:v>
      </x:c>
      <x:c r="O56" s="9" t="str">
        <x:v>Reset the moved object exactly; preserve every object and state; change only the prompt wording.</x:v>
      </x:c>
      <x:c r="P56" s="9" t="str">
        <x:v>Exact-scene paraphrase of one of the 50 canonical compositional-transfer trials. The same-category candidates share the orthogonal C/O state (C). The scene is an exact copy of the referenced canonical row.</x:v>
      </x:c>
      <x:c r="Q56" s="9"/>
      <x:c r="R56" s="10" t="n">
        <x:v>4</x:v>
      </x:c>
      <x:c r="S56" s="10" t="n">
        <x:v>1</x:v>
      </x:c>
      <x:c r="T56" s="9" t="str">
        <x:v>Empty</x:v>
      </x:c>
      <x:c r="U56" s="9" t="str">
        <x:v>UD</x:v>
      </x:c>
      <x:c r="V56" s="9" t="str">
        <x:v>white cup</x:v>
      </x:c>
      <x:c r="W56" s="9"/>
      <x:c r="X56" s="10"/>
      <x:c r="Y56" s="10"/>
      <x:c r="Z56" s="9"/>
      <x:c r="AA56" s="9"/>
      <x:c r="AB56" s="9"/>
      <x:c r="AC56" s="9"/>
      <x:c r="AD56" s="9"/>
      <x:c r="AE56" s="9"/>
      <x:c r="AF56" s="9"/>
      <x:c r="AG56" s="9"/>
      <x:c r="AH56" s="9"/>
      <x:c r="AI56" s="11"/>
      <x:c r="AJ56" s="9"/>
      <x:c r="AK56" s="9" t="str">
        <x:v>Eval_State_Recognition.xlsm</x:v>
      </x:c>
      <x:c r="AL56" s="9" t="str">
        <x:v>MolmoAct2 Results</x:v>
      </x:c>
      <x:c r="AM56" s="9" t="n">
        <x:v>56</x:v>
      </x:c>
      <x:c r="AN56" s="9" t="n">
        <x:v>56</x:v>
      </x:c>
    </x:row>
    <x:row r="57">
      <x:c r="A57" s="9" t="str">
        <x:v>Success</x:v>
      </x:c>
      <x:c r="B57" s="9" t="str">
        <x:v>State Recognition</x:v>
      </x:c>
      <x:c r="C57" s="10" t="n">
        <x:v>55</x:v>
      </x:c>
      <x:c r="D57" s="9" t="str">
        <x:v>Move the white cup from the workspace into the bowl.</x:v>
      </x:c>
      <x:c r="E57" s="9" t="str">
        <x:v>white cup A (C, UD); brown cup A (C, RU); glass spice container A (C, RU); yellow-white striped cup B (O, RU)</x:v>
      </x:c>
      <x:c r="F57" s="9" t="str">
        <x:v>white cup A</x:v>
      </x:c>
      <x:c r="G57" s="9"/>
      <x:c r="H57" s="9" t="str">
        <x:v>Language robustness</x:v>
      </x:c>
      <x:c r="I57" s="9" t="str">
        <x:v>SR-CT09</x:v>
      </x:c>
      <x:c r="J57" s="9" t="str">
        <x:v>Direct-category matched-control paraphrase</x:v>
      </x:c>
      <x:c r="K57" s="9" t="n">
        <x:v>53</x:v>
      </x:c>
      <x:c r="L57" s="9" t="n">
        <x:v>39</x:v>
      </x:c>
      <x:c r="M57" s="9" t="str">
        <x:v>Paraphrase of the direct-category matched control grounded by training episode 39. The modified control scene and physical target are unchanged.</x:v>
      </x:c>
      <x:c r="N57" s="9" t="n">
        <x:v>2</x:v>
      </x:c>
      <x:c r="O57" s="9" t="str">
        <x:v>Reset the target to its marked pose; preserve the exact modified control scene and change only the direct instruction wording.</x:v>
      </x:c>
      <x:c r="P57" s="9" t="str">
        <x:v>Language diagnostic for the pure manipulation control; no state word or state-based selection is required. The scene is an exact copy of the referenced canonical row.</x:v>
      </x:c>
      <x:c r="Q57" s="9"/>
      <x:c r="R57" s="10" t="n">
        <x:v>4</x:v>
      </x:c>
      <x:c r="S57" s="10" t="n">
        <x:v>1</x:v>
      </x:c>
      <x:c r="T57" s="9" t="str">
        <x:v>Empty</x:v>
      </x:c>
      <x:c r="U57" s="9" t="str">
        <x:v>N/A</x:v>
      </x:c>
      <x:c r="V57" s="9" t="str">
        <x:v>white cup</x:v>
      </x:c>
      <x:c r="W57" s="9"/>
      <x:c r="X57" s="10"/>
      <x:c r="Y57" s="10"/>
      <x:c r="Z57" s="9"/>
      <x:c r="AA57" s="9"/>
      <x:c r="AB57" s="9"/>
      <x:c r="AC57" s="9"/>
      <x:c r="AD57" s="9"/>
      <x:c r="AE57" s="9"/>
      <x:c r="AF57" s="9"/>
      <x:c r="AG57" s="9"/>
      <x:c r="AH57" s="9"/>
      <x:c r="AI57" s="11"/>
      <x:c r="AJ57" s="9"/>
      <x:c r="AK57" s="9" t="str">
        <x:v>Eval_State_Recognition.xlsm</x:v>
      </x:c>
      <x:c r="AL57" s="9" t="str">
        <x:v>MolmoAct2 Results</x:v>
      </x:c>
      <x:c r="AM57" s="9" t="n">
        <x:v>57</x:v>
      </x:c>
      <x:c r="AN57" s="9" t="n">
        <x:v>57</x:v>
      </x:c>
    </x:row>
    <x:row r="58">
      <x:c r="A58" s="9" t="str">
        <x:v>Success</x:v>
      </x:c>
      <x:c r="B58" s="9" t="str">
        <x:v>State Recognition</x:v>
      </x:c>
      <x:c r="C58" s="10" t="n">
        <x:v>56</x:v>
      </x:c>
      <x:c r="D58" s="9" t="str">
        <x:v>Place the open yellow-white striped cup in the bowl.</x:v>
      </x:c>
      <x:c r="E58" s="9" t="str">
        <x:v>yellow-white striped cup B (O, RU); yellow-white striped cup A (C, RU)</x:v>
      </x:c>
      <x:c r="F58" s="9" t="str">
        <x:v>yellow-white striped cup B</x:v>
      </x:c>
      <x:c r="G58" s="9"/>
      <x:c r="H58" s="9" t="str">
        <x:v>Concept/compositional transfer</x:v>
      </x:c>
      <x:c r="I58" s="9" t="str">
        <x:v>SR-CT10</x:v>
      </x:c>
      <x:c r="J58" s="9" t="str">
        <x:v>Primary held-out state-object composition</x:v>
      </x:c>
      <x:c r="K58" s="9"/>
      <x:c r="L58" s="9" t="str">
        <x:v>71</x:v>
      </x:c>
      <x:c r="M58"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58" s="9" t="n">
        <x:v>2</x:v>
      </x:c>
      <x:c r="O58" s="9" t="str">
        <x:v>Build the listed same-category discrimination scene with the bowl empty.</x:v>
      </x:c>
      <x:c r="P58" s="9" t="str">
        <x:v>Two same-category candidates share the non-queried state axis; only the held-out state word identifies the target. The orthogonal orientation axis is fixed: every object is RU.</x:v>
      </x:c>
      <x:c r="Q58" s="9"/>
      <x:c r="R58" s="10" t="n">
        <x:v>2</x:v>
      </x:c>
      <x:c r="S58" s="10" t="n">
        <x:v>1</x:v>
      </x:c>
      <x:c r="T58" s="9" t="str">
        <x:v>Empty</x:v>
      </x:c>
      <x:c r="U58" s="9" t="str">
        <x:v>O</x:v>
      </x:c>
      <x:c r="V58" s="9" t="str">
        <x:v>yellow-white striped cup</x:v>
      </x:c>
      <x:c r="W58" s="9"/>
      <x:c r="X58" s="10"/>
      <x:c r="Y58" s="10"/>
      <x:c r="Z58" s="9"/>
      <x:c r="AA58" s="9"/>
      <x:c r="AB58" s="9"/>
      <x:c r="AC58" s="9"/>
      <x:c r="AD58" s="9"/>
      <x:c r="AE58" s="9"/>
      <x:c r="AF58" s="9"/>
      <x:c r="AG58" s="9"/>
      <x:c r="AH58" s="9"/>
      <x:c r="AI58" s="11"/>
      <x:c r="AJ58" s="9"/>
      <x:c r="AK58" s="9" t="str">
        <x:v>Eval_State_Recognition.xlsm</x:v>
      </x:c>
      <x:c r="AL58" s="9" t="str">
        <x:v>MolmoAct2 Results</x:v>
      </x:c>
      <x:c r="AM58" s="9" t="n">
        <x:v>58</x:v>
      </x:c>
      <x:c r="AN58" s="9" t="n">
        <x:v>58</x:v>
      </x:c>
    </x:row>
    <x:row r="59">
      <x:c r="A59" s="9" t="str">
        <x:v>Success</x:v>
      </x:c>
      <x:c r="B59" s="9" t="str">
        <x:v>State Recognition</x:v>
      </x:c>
      <x:c r="C59" s="10" t="n">
        <x:v>57</x:v>
      </x:c>
      <x:c r="D59" s="9" t="str">
        <x:v>Put a yellow-white striped cup in the bowl.</x:v>
      </x:c>
      <x:c r="E59" s="9" t="str">
        <x:v>yellow-white striped cup B (O, RU); white cup B (C, RU)</x:v>
      </x:c>
      <x:c r="F59" s="9" t="str">
        <x:v>yellow-white striped cup B</x:v>
      </x:c>
      <x:c r="G59" s="9"/>
      <x:c r="H59" s="9" t="str">
        <x:v>Matched manipulation control</x:v>
      </x:c>
      <x:c r="I59" s="9" t="str">
        <x:v>SR-CT10</x:v>
      </x:c>
      <x:c r="J59" s="9" t="str">
        <x:v>One-object-substitution direct-category control</x:v>
      </x:c>
      <x:c r="K59" s="9" t="n">
        <x:v>56</x:v>
      </x:c>
      <x:c r="L59" s="9" t="n">
        <x:v>71</x:v>
      </x:c>
      <x:c r="M59" s="9" t="str">
        <x:v>Exact direct-category manipulation prompt from training episode 71. The transfer target, state, and pose are preserved; only the competing yellow-white striped cup is replaced by white cup B. The full control scene is upright because its paired transfer instruction queries open/closed.</x:v>
      </x:c>
      <x:c r="N59" s="9" t="n">
        <x:v>2</x:v>
      </x:c>
      <x:c r="O59" s="9" t="str">
        <x:v>Reset yellow-white striped cup B to its transfer pose. Replace yellow-white striped cup A with white cup B in the same location and use the states listed in this row; preserve all other objects.</x:v>
      </x:c>
      <x:c r="P59" s="9" t="str">
        <x:v>Pure recognition/manipulation control: the prompt uniquely names the only object from the target category, while the physical target remains identical to the transfer row. Every object is RU.</x:v>
      </x:c>
      <x:c r="Q59" s="9"/>
      <x:c r="R59" s="10" t="n">
        <x:v>2</x:v>
      </x:c>
      <x:c r="S59" s="10" t="n">
        <x:v>1</x:v>
      </x:c>
      <x:c r="T59" s="9" t="str">
        <x:v>Empty</x:v>
      </x:c>
      <x:c r="U59" s="9" t="str">
        <x:v>N/A</x:v>
      </x:c>
      <x:c r="V59" s="9" t="str">
        <x:v>yellow-white striped cup</x:v>
      </x:c>
      <x:c r="W59" s="9"/>
      <x:c r="X59" s="10"/>
      <x:c r="Y59" s="10"/>
      <x:c r="Z59" s="9"/>
      <x:c r="AA59" s="9"/>
      <x:c r="AB59" s="9"/>
      <x:c r="AC59" s="9"/>
      <x:c r="AD59" s="9"/>
      <x:c r="AE59" s="9"/>
      <x:c r="AF59" s="9"/>
      <x:c r="AG59" s="9"/>
      <x:c r="AH59" s="9"/>
      <x:c r="AI59" s="11"/>
      <x:c r="AJ59" s="9"/>
      <x:c r="AK59" s="9" t="str">
        <x:v>Eval_State_Recognition.xlsm</x:v>
      </x:c>
      <x:c r="AL59" s="9" t="str">
        <x:v>MolmoAct2 Results</x:v>
      </x:c>
      <x:c r="AM59" s="9" t="n">
        <x:v>59</x:v>
      </x:c>
      <x:c r="AN59" s="9" t="n">
        <x:v>59</x:v>
      </x:c>
    </x:row>
    <x:row r="60">
      <x:c r="A60" s="9" t="str">
        <x:v>Success</x:v>
      </x:c>
      <x:c r="B60" s="9" t="str">
        <x:v>State Recognition</x:v>
      </x:c>
      <x:c r="C60" s="10" t="n">
        <x:v>58</x:v>
      </x:c>
      <x:c r="D60" s="9" t="str">
        <x:v>Move the yellow-white striped cup whose opening is uncovered into the bowl.</x:v>
      </x:c>
      <x:c r="E60" s="9" t="str">
        <x:v>yellow-white striped cup B (O, RU); yellow-white striped cup A (C, RU)</x:v>
      </x:c>
      <x:c r="F60" s="9" t="str">
        <x:v>yellow-white striped cup B</x:v>
      </x:c>
      <x:c r="G60" s="9"/>
      <x:c r="H60" s="9" t="str">
        <x:v>Language robustness</x:v>
      </x:c>
      <x:c r="I60" s="9" t="str">
        <x:v>SR-CT10</x:v>
      </x:c>
      <x:c r="J60" s="9" t="str">
        <x:v>Primary compositional-transfer prompt paraphrase</x:v>
      </x:c>
      <x:c r="K60" s="9" t="n">
        <x:v>56</x:v>
      </x:c>
      <x:c r="L60" s="9" t="str">
        <x:v>71</x:v>
      </x:c>
      <x:c r="M60" s="9" t="str">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N60" s="9" t="n">
        <x:v>2</x:v>
      </x:c>
      <x:c r="O60" s="9" t="str">
        <x:v>Reset the moved object exactly; preserve every object and state; change only the prompt wording.</x:v>
      </x:c>
      <x:c r="P60" s="9" t="str">
        <x:v>Exact-scene paraphrase of one of the 50 canonical compositional-transfer trials. The orthogonal orientation axis is fixed: every object is RU. The scene is an exact copy of the referenced canonical row.</x:v>
      </x:c>
      <x:c r="Q60" s="9"/>
      <x:c r="R60" s="10" t="n">
        <x:v>2</x:v>
      </x:c>
      <x:c r="S60" s="10" t="n">
        <x:v>1</x:v>
      </x:c>
      <x:c r="T60" s="9" t="str">
        <x:v>Empty</x:v>
      </x:c>
      <x:c r="U60" s="9" t="str">
        <x:v>O</x:v>
      </x:c>
      <x:c r="V60" s="9" t="str">
        <x:v>yellow-white striped cup</x:v>
      </x:c>
      <x:c r="W60" s="9"/>
      <x:c r="X60" s="10"/>
      <x:c r="Y60" s="10"/>
      <x:c r="Z60" s="9"/>
      <x:c r="AA60" s="9"/>
      <x:c r="AB60" s="9"/>
      <x:c r="AC60" s="9"/>
      <x:c r="AD60" s="9"/>
      <x:c r="AE60" s="9"/>
      <x:c r="AF60" s="9"/>
      <x:c r="AG60" s="9"/>
      <x:c r="AH60" s="9"/>
      <x:c r="AI60" s="11"/>
      <x:c r="AJ60" s="9"/>
      <x:c r="AK60" s="9" t="str">
        <x:v>Eval_State_Recognition.xlsm</x:v>
      </x:c>
      <x:c r="AL60" s="9" t="str">
        <x:v>MolmoAct2 Results</x:v>
      </x:c>
      <x:c r="AM60" s="9" t="n">
        <x:v>60</x:v>
      </x:c>
      <x:c r="AN60" s="9" t="n">
        <x:v>60</x:v>
      </x:c>
    </x:row>
    <x:row r="61">
      <x:c r="A61" s="9" t="str">
        <x:v>Success</x:v>
      </x:c>
      <x:c r="B61" s="9" t="str">
        <x:v>State Recognition</x:v>
      </x:c>
      <x:c r="C61" s="10" t="n">
        <x:v>59</x:v>
      </x:c>
      <x:c r="D61" s="9" t="str">
        <x:v>Set the yellow-white striped cup inside the bowl.</x:v>
      </x:c>
      <x:c r="E61" s="9" t="str">
        <x:v>yellow-white striped cup B (O, RU); white cup B (C, RU)</x:v>
      </x:c>
      <x:c r="F61" s="9" t="str">
        <x:v>yellow-white striped cup B</x:v>
      </x:c>
      <x:c r="G61" s="9"/>
      <x:c r="H61" s="9" t="str">
        <x:v>Language robustness</x:v>
      </x:c>
      <x:c r="I61" s="9" t="str">
        <x:v>SR-CT10</x:v>
      </x:c>
      <x:c r="J61" s="9" t="str">
        <x:v>Direct-category matched-control paraphrase</x:v>
      </x:c>
      <x:c r="K61" s="9" t="n">
        <x:v>57</x:v>
      </x:c>
      <x:c r="L61" s="9" t="n">
        <x:v>71</x:v>
      </x:c>
      <x:c r="M61" s="9" t="str">
        <x:v>Paraphrase of the direct-category matched control grounded by training episode 71. The modified control scene and physical target are unchanged.</x:v>
      </x:c>
      <x:c r="N61" s="9" t="n">
        <x:v>2</x:v>
      </x:c>
      <x:c r="O61" s="9" t="str">
        <x:v>Reset the target to its marked pose; preserve the exact modified control scene and change only the direct instruction wording.</x:v>
      </x:c>
      <x:c r="P61" s="9" t="str">
        <x:v>Language diagnostic for the pure manipulation control; no state word or state-based selection is required. The scene is an exact copy of the referenced canonical row.</x:v>
      </x:c>
      <x:c r="Q61" s="9"/>
      <x:c r="R61" s="10" t="n">
        <x:v>2</x:v>
      </x:c>
      <x:c r="S61" s="10" t="n">
        <x:v>1</x:v>
      </x:c>
      <x:c r="T61" s="9" t="str">
        <x:v>Empty</x:v>
      </x:c>
      <x:c r="U61" s="9" t="str">
        <x:v>N/A</x:v>
      </x:c>
      <x:c r="V61" s="9" t="str">
        <x:v>yellow-white striped cup</x:v>
      </x:c>
      <x:c r="W61" s="9"/>
      <x:c r="X61" s="10"/>
      <x:c r="Y61" s="10"/>
      <x:c r="Z61" s="9"/>
      <x:c r="AA61" s="9"/>
      <x:c r="AB61" s="9"/>
      <x:c r="AC61" s="9"/>
      <x:c r="AD61" s="9"/>
      <x:c r="AE61" s="9"/>
      <x:c r="AF61" s="9"/>
      <x:c r="AG61" s="9"/>
      <x:c r="AH61" s="9"/>
      <x:c r="AI61" s="11"/>
      <x:c r="AJ61" s="9"/>
      <x:c r="AK61" s="9" t="str">
        <x:v>Eval_State_Recognition.xlsm</x:v>
      </x:c>
      <x:c r="AL61" s="9" t="str">
        <x:v>MolmoAct2 Results</x:v>
      </x:c>
      <x:c r="AM61" s="9" t="n">
        <x:v>61</x:v>
      </x:c>
      <x:c r="AN61" s="9" t="n">
        <x:v>61</x:v>
      </x:c>
    </x:row>
    <x:row r="62">
      <x:c r="A62" s="9" t="str">
        <x:v>Success</x:v>
      </x:c>
      <x:c r="B62" s="9" t="str">
        <x:v>State Recognition</x:v>
      </x:c>
      <x:c r="C62" s="10" t="n">
        <x:v>60</x:v>
      </x:c>
      <x:c r="D62" s="9" t="str">
        <x:v>Place the closed brown cup in the bowl.</x:v>
      </x:c>
      <x:c r="E62" s="9" t="str">
        <x:v>brown cup A (C, RU); brown cup B (O, RU); yellow-white striped cup A (C, RU)</x:v>
      </x:c>
      <x:c r="F62" s="9" t="str">
        <x:v>brown cup A</x:v>
      </x:c>
      <x:c r="G62" s="9"/>
      <x:c r="H62" s="9" t="str">
        <x:v>Concept/compositional transfer</x:v>
      </x:c>
      <x:c r="I62" s="9" t="str">
        <x:v>SR-CT11</x:v>
      </x:c>
      <x:c r="J62" s="9" t="str">
        <x:v>Primary held-out state-object composition</x:v>
      </x:c>
      <x:c r="K62" s="9"/>
      <x:c r="L62" s="9" t="str">
        <x:v>102</x:v>
      </x:c>
      <x:c r="M62"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62" s="9" t="n">
        <x:v>3</x:v>
      </x:c>
      <x:c r="O62" s="9" t="str">
        <x:v>Build the listed same-category discrimination scene with the bowl empty.</x:v>
      </x:c>
      <x:c r="P62" s="9" t="str">
        <x:v>Two same-category candidates share the non-queried state axis; only the held-out state word identifies the target. The orthogonal orientation axis is fixed: every object is RU.</x:v>
      </x:c>
      <x:c r="Q62" s="9"/>
      <x:c r="R62" s="10" t="n">
        <x:v>3</x:v>
      </x:c>
      <x:c r="S62" s="10" t="n">
        <x:v>1</x:v>
      </x:c>
      <x:c r="T62" s="9" t="str">
        <x:v>Empty</x:v>
      </x:c>
      <x:c r="U62" s="9" t="str">
        <x:v>C</x:v>
      </x:c>
      <x:c r="V62" s="9" t="str">
        <x:v>brown cup</x:v>
      </x:c>
      <x:c r="W62" s="9"/>
      <x:c r="X62" s="10"/>
      <x:c r="Y62" s="10"/>
      <x:c r="Z62" s="9"/>
      <x:c r="AA62" s="9"/>
      <x:c r="AB62" s="9"/>
      <x:c r="AC62" s="9"/>
      <x:c r="AD62" s="9"/>
      <x:c r="AE62" s="9"/>
      <x:c r="AF62" s="9"/>
      <x:c r="AG62" s="9"/>
      <x:c r="AH62" s="9"/>
      <x:c r="AI62" s="11"/>
      <x:c r="AJ62" s="9"/>
      <x:c r="AK62" s="9" t="str">
        <x:v>Eval_State_Recognition.xlsm</x:v>
      </x:c>
      <x:c r="AL62" s="9" t="str">
        <x:v>MolmoAct2 Results</x:v>
      </x:c>
      <x:c r="AM62" s="9" t="n">
        <x:v>62</x:v>
      </x:c>
      <x:c r="AN62" s="9" t="n">
        <x:v>62</x:v>
      </x:c>
    </x:row>
    <x:row r="63">
      <x:c r="A63" s="9" t="str">
        <x:v>Success</x:v>
      </x:c>
      <x:c r="B63" s="9" t="str">
        <x:v>State Recognition</x:v>
      </x:c>
      <x:c r="C63" s="10" t="n">
        <x:v>61</x:v>
      </x:c>
      <x:c r="D63" s="9" t="str">
        <x:v>Move a brown cup into the bowl.</x:v>
      </x:c>
      <x:c r="E63" s="9" t="str">
        <x:v>brown cup A (C, RU); white cup A (O, RU); yellow-white striped cup A (C, RU)</x:v>
      </x:c>
      <x:c r="F63" s="9" t="str">
        <x:v>brown cup A</x:v>
      </x:c>
      <x:c r="G63" s="9"/>
      <x:c r="H63" s="9" t="str">
        <x:v>Matched manipulation control</x:v>
      </x:c>
      <x:c r="I63" s="9" t="str">
        <x:v>SR-CT11</x:v>
      </x:c>
      <x:c r="J63" s="9" t="str">
        <x:v>One-object-substitution direct-category control</x:v>
      </x:c>
      <x:c r="K63" s="9" t="n">
        <x:v>60</x:v>
      </x:c>
      <x:c r="L63" s="9" t="n">
        <x:v>102</x:v>
      </x:c>
      <x:c r="M63" s="9" t="str">
        <x:v>Exact direct-category manipulation prompt from training episode 102. The transfer target, state, and pose are preserved; only the competing brown cup is replaced by white cup A. The full control scene is upright because its paired transfer instruction queries open/closed.</x:v>
      </x:c>
      <x:c r="N63" s="9" t="n">
        <x:v>3</x:v>
      </x:c>
      <x:c r="O63" s="9" t="str">
        <x:v>Reset brown cup A to its transfer pose. Replace brown cup B with white cup A in the same location and use the states listed in this row; preserve all other objects.</x:v>
      </x:c>
      <x:c r="P63" s="9" t="str">
        <x:v>Pure recognition/manipulation control: the prompt uniquely names the only object from the target category, while the physical target remains identical to the transfer row. Every object is RU.</x:v>
      </x:c>
      <x:c r="Q63" s="9"/>
      <x:c r="R63" s="10" t="n">
        <x:v>3</x:v>
      </x:c>
      <x:c r="S63" s="10" t="n">
        <x:v>1</x:v>
      </x:c>
      <x:c r="T63" s="9" t="str">
        <x:v>Empty</x:v>
      </x:c>
      <x:c r="U63" s="9" t="str">
        <x:v>N/A</x:v>
      </x:c>
      <x:c r="V63" s="9" t="str">
        <x:v>brown cup</x:v>
      </x:c>
      <x:c r="W63" s="9"/>
      <x:c r="X63" s="10"/>
      <x:c r="Y63" s="10"/>
      <x:c r="Z63" s="9"/>
      <x:c r="AA63" s="9"/>
      <x:c r="AB63" s="9"/>
      <x:c r="AC63" s="9"/>
      <x:c r="AD63" s="9"/>
      <x:c r="AE63" s="9"/>
      <x:c r="AF63" s="9"/>
      <x:c r="AG63" s="9"/>
      <x:c r="AH63" s="9"/>
      <x:c r="AI63" s="11"/>
      <x:c r="AJ63" s="9"/>
      <x:c r="AK63" s="9" t="str">
        <x:v>Eval_State_Recognition.xlsm</x:v>
      </x:c>
      <x:c r="AL63" s="9" t="str">
        <x:v>MolmoAct2 Results</x:v>
      </x:c>
      <x:c r="AM63" s="9" t="n">
        <x:v>63</x:v>
      </x:c>
      <x:c r="AN63" s="9" t="n">
        <x:v>63</x:v>
      </x:c>
    </x:row>
    <x:row r="64">
      <x:c r="A64" s="9" t="str">
        <x:v>Failure</x:v>
      </x:c>
      <x:c r="B64" s="9" t="str">
        <x:v>State Recognition</x:v>
      </x:c>
      <x:c r="C64" s="10" t="n">
        <x:v>62</x:v>
      </x:c>
      <x:c r="D64" s="9" t="str">
        <x:v>Place the upright glass spice container in the bowl.</x:v>
      </x:c>
      <x:c r="E64" s="9" t="str">
        <x:v>glass spice container B (C, RU); glass spice container A (C, UD); brown cup B (O, UD); white cup A (C, RU)</x:v>
      </x:c>
      <x:c r="F64" s="9" t="str">
        <x:v>glass spice container B</x:v>
      </x:c>
      <x:c r="G64" s="9" t="str">
        <x:v>picked the upside down container</x:v>
      </x:c>
      <x:c r="H64" s="9" t="str">
        <x:v>Concept/compositional transfer</x:v>
      </x:c>
      <x:c r="I64" s="9" t="str">
        <x:v>SR-CT12</x:v>
      </x:c>
      <x:c r="J64" s="9" t="str">
        <x:v>Primary held-out state-object composition</x:v>
      </x:c>
      <x:c r="K64" s="9"/>
      <x:c r="L64" s="9" t="str">
        <x:v>172</x:v>
      </x:c>
      <x:c r="M64" s="9" t="str">
        <x:v>Physical-state and manipulation-trajectory reference under a direct category prompt; the evaluated state word × object-category cell is intentionally absent from training.</x:v>
      </x:c>
      <x:c r="N64" s="9" t="n">
        <x:v>3</x:v>
      </x:c>
      <x:c r="O64" s="9" t="str">
        <x:v>Build the listed same-category discrimination scene with the bowl empty.</x:v>
      </x:c>
      <x:c r="P64" s="9" t="str">
        <x:v>Two same-category candidates share the non-queried state axis; only the held-out state word identifies the target. The same-category candidates share the orthogonal C/O state (C).</x:v>
      </x:c>
      <x:c r="Q64" s="9"/>
      <x:c r="R64" s="10" t="n">
        <x:v>4</x:v>
      </x:c>
      <x:c r="S64" s="10" t="n">
        <x:v>1</x:v>
      </x:c>
      <x:c r="T64" s="9" t="str">
        <x:v>Empty</x:v>
      </x:c>
      <x:c r="U64" s="9" t="str">
        <x:v>RU</x:v>
      </x:c>
      <x:c r="V64" s="9" t="str">
        <x:v>glass spice container</x:v>
      </x:c>
      <x:c r="W64" s="9"/>
      <x:c r="X64" s="10"/>
      <x:c r="Y64" s="10"/>
      <x:c r="Z64" s="9"/>
      <x:c r="AA64" s="9"/>
      <x:c r="AB64" s="9"/>
      <x:c r="AC64" s="9"/>
      <x:c r="AD64" s="9"/>
      <x:c r="AE64" s="9"/>
      <x:c r="AF64" s="9"/>
      <x:c r="AG64" s="9"/>
      <x:c r="AH64" s="9"/>
      <x:c r="AI64" s="11"/>
      <x:c r="AJ64" s="9"/>
      <x:c r="AK64" s="9" t="str">
        <x:v>Eval_State_Recognition.xlsm</x:v>
      </x:c>
      <x:c r="AL64" s="9" t="str">
        <x:v>MolmoAct2 Results</x:v>
      </x:c>
      <x:c r="AM64" s="9" t="n">
        <x:v>64</x:v>
      </x:c>
      <x:c r="AN64" s="9" t="n">
        <x:v>64</x:v>
      </x:c>
    </x:row>
    <x:row r="65">
      <x:c r="A65" s="9" t="str">
        <x:v>Success</x:v>
      </x:c>
      <x:c r="B65" s="9" t="str">
        <x:v>State Recognition</x:v>
      </x:c>
      <x:c r="C65" s="10" t="n">
        <x:v>63</x:v>
      </x:c>
      <x:c r="D65" s="9" t="str">
        <x:v>Place a glass spice container in the bowl.</x:v>
      </x:c>
      <x:c r="E65" s="9" t="str">
        <x:v>glass spice container B (C, RU); yellow-white striped cup B (C, UD); brown cup B (O, UD); white cup A (C, RU)</x:v>
      </x:c>
      <x:c r="F65" s="9" t="str">
        <x:v>glass spice container B</x:v>
      </x:c>
      <x:c r="G65" s="9"/>
      <x:c r="H65" s="9" t="str">
        <x:v>Matched manipulation control</x:v>
      </x:c>
      <x:c r="I65" s="9" t="str">
        <x:v>SR-CT12</x:v>
      </x:c>
      <x:c r="J65" s="9" t="str">
        <x:v>One-object-substitution direct-category control</x:v>
      </x:c>
      <x:c r="K65" s="9" t="n">
        <x:v>62</x:v>
      </x:c>
      <x:c r="L65" s="9" t="n">
        <x:v>172</x:v>
      </x:c>
      <x:c r="M65" s="9" t="str">
        <x:v>Exact direct-category manipulation prompt from training episode 172. The transfer target, state, and pose are preserved; only the competing glass spice container is replaced by yellow-white striped cup B.</x:v>
      </x:c>
      <x:c r="N65" s="9" t="n">
        <x:v>3</x:v>
      </x:c>
      <x:c r="O65" s="9" t="str">
        <x:v>Reset glass spice container B to its transfer pose. Replace glass spice container A with yellow-white striped cup B in the same location and use the states listed in this row; preserve all other objects.</x:v>
      </x:c>
      <x:c r="P65" s="9" t="str">
        <x:v>Pure recognition/manipulation control: the prompt uniquely names the only object from the target category, while the physical target remains identical to the transfer row.</x:v>
      </x:c>
      <x:c r="Q65" s="9"/>
      <x:c r="R65" s="10" t="n">
        <x:v>4</x:v>
      </x:c>
      <x:c r="S65" s="10" t="n">
        <x:v>1</x:v>
      </x:c>
      <x:c r="T65" s="9" t="str">
        <x:v>Empty</x:v>
      </x:c>
      <x:c r="U65" s="9" t="str">
        <x:v>N/A</x:v>
      </x:c>
      <x:c r="V65" s="9" t="str">
        <x:v>glass spice container</x:v>
      </x:c>
      <x:c r="W65" s="9"/>
      <x:c r="X65" s="10"/>
      <x:c r="Y65" s="10"/>
      <x:c r="Z65" s="9"/>
      <x:c r="AA65" s="9"/>
      <x:c r="AB65" s="9"/>
      <x:c r="AC65" s="9"/>
      <x:c r="AD65" s="9"/>
      <x:c r="AE65" s="9"/>
      <x:c r="AF65" s="9"/>
      <x:c r="AG65" s="9"/>
      <x:c r="AH65" s="9"/>
      <x:c r="AI65" s="11"/>
      <x:c r="AJ65" s="9"/>
      <x:c r="AK65" s="9" t="str">
        <x:v>Eval_State_Recognition.xlsm</x:v>
      </x:c>
      <x:c r="AL65" s="9" t="str">
        <x:v>MolmoAct2 Results</x:v>
      </x:c>
      <x:c r="AM65" s="9" t="n">
        <x:v>65</x:v>
      </x:c>
      <x:c r="AN65" s="9" t="n">
        <x:v>65</x:v>
      </x:c>
    </x:row>
    <x:row r="66">
      <x:c r="A66" s="9" t="str">
        <x:v>Success</x:v>
      </x:c>
      <x:c r="B66" s="9" t="str">
        <x:v>State Recognition</x:v>
      </x:c>
      <x:c r="C66" s="10" t="n">
        <x:v>64</x:v>
      </x:c>
      <x:c r="D66" s="9" t="str">
        <x:v>Place the upside-down white cup in the bowl.</x:v>
      </x:c>
      <x:c r="E66" s="9" t="str">
        <x:v>white cup A (O, UD); white cup B (O, RU)</x:v>
      </x:c>
      <x:c r="F66" s="9" t="str">
        <x:v>white cup A</x:v>
      </x:c>
      <x:c r="G66" s="9"/>
      <x:c r="H66" s="9" t="str">
        <x:v>Concept/compositional transfer</x:v>
      </x:c>
      <x:c r="I66" s="9" t="str">
        <x:v>SR-CT13</x:v>
      </x:c>
      <x:c r="J66" s="9" t="str">
        <x:v>Primary held-out state-object composition</x:v>
      </x:c>
      <x:c r="K66" s="9"/>
      <x:c r="L66" s="9" t="str">
        <x:v>32</x:v>
      </x:c>
      <x:c r="M66" s="9" t="str">
        <x:v>Physical-state and manipulation-trajectory reference under a direct category prompt; the evaluated state word × object-category cell is intentionally absent from training.</x:v>
      </x:c>
      <x:c r="N66" s="9" t="n">
        <x:v>3</x:v>
      </x:c>
      <x:c r="O66" s="9" t="str">
        <x:v>Build the listed same-category discrimination scene with the bowl empty.</x:v>
      </x:c>
      <x:c r="P66" s="9" t="str">
        <x:v>Two same-category candidates share the non-queried state axis; only the held-out state word identifies the target. The same-category candidates share the orthogonal C/O state (O).</x:v>
      </x:c>
      <x:c r="Q66" s="9"/>
      <x:c r="R66" s="10" t="n">
        <x:v>2</x:v>
      </x:c>
      <x:c r="S66" s="10" t="n">
        <x:v>1</x:v>
      </x:c>
      <x:c r="T66" s="9" t="str">
        <x:v>Empty</x:v>
      </x:c>
      <x:c r="U66" s="9" t="str">
        <x:v>UD</x:v>
      </x:c>
      <x:c r="V66" s="9" t="str">
        <x:v>white cup</x:v>
      </x:c>
      <x:c r="W66" s="9"/>
      <x:c r="X66" s="10"/>
      <x:c r="Y66" s="10"/>
      <x:c r="Z66" s="9"/>
      <x:c r="AA66" s="9"/>
      <x:c r="AB66" s="9"/>
      <x:c r="AC66" s="9"/>
      <x:c r="AD66" s="9"/>
      <x:c r="AE66" s="9"/>
      <x:c r="AF66" s="9"/>
      <x:c r="AG66" s="9"/>
      <x:c r="AH66" s="9"/>
      <x:c r="AI66" s="11"/>
      <x:c r="AJ66" s="9"/>
      <x:c r="AK66" s="9" t="str">
        <x:v>Eval_State_Recognition.xlsm</x:v>
      </x:c>
      <x:c r="AL66" s="9" t="str">
        <x:v>MolmoAct2 Results</x:v>
      </x:c>
      <x:c r="AM66" s="9" t="n">
        <x:v>66</x:v>
      </x:c>
      <x:c r="AN66" s="9" t="n">
        <x:v>66</x:v>
      </x:c>
    </x:row>
    <x:row r="67">
      <x:c r="A67" s="9" t="str">
        <x:v>Success</x:v>
      </x:c>
      <x:c r="B67" s="9" t="str">
        <x:v>State Recognition</x:v>
      </x:c>
      <x:c r="C67" s="10" t="n">
        <x:v>65</x:v>
      </x:c>
      <x:c r="D67" s="9" t="str">
        <x:v>Put a white cup in the bowl.</x:v>
      </x:c>
      <x:c r="E67" s="9" t="str">
        <x:v>white cup A (O, UD); yellow-white striped cup A (O, RU)</x:v>
      </x:c>
      <x:c r="F67" s="9" t="str">
        <x:v>white cup A</x:v>
      </x:c>
      <x:c r="G67" s="9"/>
      <x:c r="H67" s="9" t="str">
        <x:v>Matched manipulation control</x:v>
      </x:c>
      <x:c r="I67" s="9" t="str">
        <x:v>SR-CT13</x:v>
      </x:c>
      <x:c r="J67" s="9" t="str">
        <x:v>One-object-substitution direct-category control</x:v>
      </x:c>
      <x:c r="K67" s="9" t="n">
        <x:v>64</x:v>
      </x:c>
      <x:c r="L67" s="9" t="n">
        <x:v>32</x:v>
      </x:c>
      <x:c r="M67" s="9" t="str">
        <x:v>Exact direct-category manipulation prompt from training episode 32. The transfer target, state, and pose are preserved; only the competing white cup is replaced by yellow-white striped cup A.</x:v>
      </x:c>
      <x:c r="N67" s="9" t="n">
        <x:v>3</x:v>
      </x:c>
      <x:c r="O67" s="9" t="str">
        <x:v>Reset white cup A to its transfer pose. Replace white cup B with yellow-white striped cup A in the same location and use the states listed in this row; preserve all other objects.</x:v>
      </x:c>
      <x:c r="P67" s="9" t="str">
        <x:v>Pure recognition/manipulation control: the prompt uniquely names the only object from the target category, while the physical target remains identical to the transfer row.</x:v>
      </x:c>
      <x:c r="Q67" s="9"/>
      <x:c r="R67" s="10" t="n">
        <x:v>2</x:v>
      </x:c>
      <x:c r="S67" s="10" t="n">
        <x:v>1</x:v>
      </x:c>
      <x:c r="T67" s="9" t="str">
        <x:v>Empty</x:v>
      </x:c>
      <x:c r="U67" s="9" t="str">
        <x:v>N/A</x:v>
      </x:c>
      <x:c r="V67" s="9" t="str">
        <x:v>white cup</x:v>
      </x:c>
      <x:c r="W67" s="9"/>
      <x:c r="X67" s="10"/>
      <x:c r="Y67" s="10"/>
      <x:c r="Z67" s="9"/>
      <x:c r="AA67" s="9"/>
      <x:c r="AB67" s="9"/>
      <x:c r="AC67" s="9"/>
      <x:c r="AD67" s="9"/>
      <x:c r="AE67" s="9"/>
      <x:c r="AF67" s="9"/>
      <x:c r="AG67" s="9"/>
      <x:c r="AH67" s="9"/>
      <x:c r="AI67" s="11"/>
      <x:c r="AJ67" s="9"/>
      <x:c r="AK67" s="9" t="str">
        <x:v>Eval_State_Recognition.xlsm</x:v>
      </x:c>
      <x:c r="AL67" s="9" t="str">
        <x:v>MolmoAct2 Results</x:v>
      </x:c>
      <x:c r="AM67" s="9" t="n">
        <x:v>67</x:v>
      </x:c>
      <x:c r="AN67" s="9" t="n">
        <x:v>67</x:v>
      </x:c>
    </x:row>
    <x:row r="68">
      <x:c r="A68" s="9" t="str">
        <x:v>Success</x:v>
      </x:c>
      <x:c r="B68" s="9" t="str">
        <x:v>State Recognition</x:v>
      </x:c>
      <x:c r="C68" s="10" t="n">
        <x:v>66</x:v>
      </x:c>
      <x:c r="D68" s="9" t="str">
        <x:v>Place the open yellow-white striped cup in the bowl.</x:v>
      </x:c>
      <x:c r="E68" s="9" t="str">
        <x:v>yellow-white striped cup B (O, RU); yellow-white striped cup A (C, RU); brown cup B (O, RU)</x:v>
      </x:c>
      <x:c r="F68" s="9" t="str">
        <x:v>yellow-white striped cup B</x:v>
      </x:c>
      <x:c r="G68" s="9"/>
      <x:c r="H68" s="9" t="str">
        <x:v>Concept/compositional transfer</x:v>
      </x:c>
      <x:c r="I68" s="9" t="str">
        <x:v>SR-CT14</x:v>
      </x:c>
      <x:c r="J68" s="9" t="str">
        <x:v>Primary held-out state-object composition</x:v>
      </x:c>
      <x:c r="K68" s="9"/>
      <x:c r="L68" s="9" t="str">
        <x:v>53</x:v>
      </x:c>
      <x:c r="M68"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68" s="9" t="n">
        <x:v>3</x:v>
      </x:c>
      <x:c r="O68" s="9" t="str">
        <x:v>Build the listed same-category discrimination scene with the bowl empty.</x:v>
      </x:c>
      <x:c r="P68" s="9" t="str">
        <x:v>Two same-category candidates share the non-queried state axis; only the held-out state word identifies the target. The orthogonal orientation axis is fixed: every object is RU.</x:v>
      </x:c>
      <x:c r="Q68" s="9"/>
      <x:c r="R68" s="10" t="n">
        <x:v>3</x:v>
      </x:c>
      <x:c r="S68" s="10" t="n">
        <x:v>1</x:v>
      </x:c>
      <x:c r="T68" s="9" t="str">
        <x:v>Empty</x:v>
      </x:c>
      <x:c r="U68" s="9" t="str">
        <x:v>O</x:v>
      </x:c>
      <x:c r="V68" s="9" t="str">
        <x:v>yellow-white striped cup</x:v>
      </x:c>
      <x:c r="W68" s="9"/>
      <x:c r="X68" s="10"/>
      <x:c r="Y68" s="10"/>
      <x:c r="Z68" s="9"/>
      <x:c r="AA68" s="9"/>
      <x:c r="AB68" s="9"/>
      <x:c r="AC68" s="9"/>
      <x:c r="AD68" s="9"/>
      <x:c r="AE68" s="9"/>
      <x:c r="AF68" s="9"/>
      <x:c r="AG68" s="9"/>
      <x:c r="AH68" s="9"/>
      <x:c r="AI68" s="11"/>
      <x:c r="AJ68" s="9"/>
      <x:c r="AK68" s="9" t="str">
        <x:v>Eval_State_Recognition.xlsm</x:v>
      </x:c>
      <x:c r="AL68" s="9" t="str">
        <x:v>MolmoAct2 Results</x:v>
      </x:c>
      <x:c r="AM68" s="9" t="n">
        <x:v>68</x:v>
      </x:c>
      <x:c r="AN68" s="9" t="n">
        <x:v>68</x:v>
      </x:c>
    </x:row>
    <x:row r="69">
      <x:c r="A69" s="9" t="str">
        <x:v>Success</x:v>
      </x:c>
      <x:c r="B69" s="9" t="str">
        <x:v>State Recognition</x:v>
      </x:c>
      <x:c r="C69" s="10" t="n">
        <x:v>67</x:v>
      </x:c>
      <x:c r="D69" s="9" t="str">
        <x:v>Put a yellow-white striped cup in the bowl.</x:v>
      </x:c>
      <x:c r="E69" s="9" t="str">
        <x:v>yellow-white striped cup B (O, RU); glass spice container B (C, RU); brown cup B (O, RU)</x:v>
      </x:c>
      <x:c r="F69" s="9" t="str">
        <x:v>yellow-white striped cup B</x:v>
      </x:c>
      <x:c r="G69" s="9"/>
      <x:c r="H69" s="9" t="str">
        <x:v>Matched manipulation control</x:v>
      </x:c>
      <x:c r="I69" s="9" t="str">
        <x:v>SR-CT14</x:v>
      </x:c>
      <x:c r="J69" s="9" t="str">
        <x:v>One-object-substitution direct-category control</x:v>
      </x:c>
      <x:c r="K69" s="9" t="n">
        <x:v>66</x:v>
      </x:c>
      <x:c r="L69" s="9" t="n">
        <x:v>53</x:v>
      </x:c>
      <x:c r="M69" s="9" t="str">
        <x:v>Exact direct-category manipulation prompt from training episode 53. The transfer target, state, and pose are preserved; only the competing yellow-white striped cup is replaced by glass spice container B. The full control scene is upright because its paired transfer instruction queries open/closed.</x:v>
      </x:c>
      <x:c r="N69" s="9" t="n">
        <x:v>3</x:v>
      </x:c>
      <x:c r="O69" s="9" t="str">
        <x:v>Reset yellow-white striped cup B to its transfer pose. Replace yellow-white striped cup A with glass spice container B in the same location and use the states listed in this row; preserve all other objects.</x:v>
      </x:c>
      <x:c r="P69" s="9" t="str">
        <x:v>Pure recognition/manipulation control: the prompt uniquely names the only object from the target category, while the physical target remains identical to the transfer row. Every object is RU.</x:v>
      </x:c>
      <x:c r="Q69" s="9"/>
      <x:c r="R69" s="10" t="n">
        <x:v>3</x:v>
      </x:c>
      <x:c r="S69" s="10" t="n">
        <x:v>1</x:v>
      </x:c>
      <x:c r="T69" s="9" t="str">
        <x:v>Empty</x:v>
      </x:c>
      <x:c r="U69" s="9" t="str">
        <x:v>N/A</x:v>
      </x:c>
      <x:c r="V69" s="9" t="str">
        <x:v>yellow-white striped cup</x:v>
      </x:c>
      <x:c r="W69" s="9"/>
      <x:c r="X69" s="10"/>
      <x:c r="Y69" s="10"/>
      <x:c r="Z69" s="9"/>
      <x:c r="AA69" s="9"/>
      <x:c r="AB69" s="9"/>
      <x:c r="AC69" s="9"/>
      <x:c r="AD69" s="9"/>
      <x:c r="AE69" s="9"/>
      <x:c r="AF69" s="9"/>
      <x:c r="AG69" s="9"/>
      <x:c r="AH69" s="9"/>
      <x:c r="AI69" s="11"/>
      <x:c r="AJ69" s="9"/>
      <x:c r="AK69" s="9" t="str">
        <x:v>Eval_State_Recognition.xlsm</x:v>
      </x:c>
      <x:c r="AL69" s="9" t="str">
        <x:v>MolmoAct2 Results</x:v>
      </x:c>
      <x:c r="AM69" s="9" t="n">
        <x:v>69</x:v>
      </x:c>
      <x:c r="AN69" s="9" t="n">
        <x:v>69</x:v>
      </x:c>
    </x:row>
    <x:row r="70">
      <x:c r="A70" s="9" t="str">
        <x:v>Success</x:v>
      </x:c>
      <x:c r="B70" s="9" t="str">
        <x:v>State Recognition</x:v>
      </x:c>
      <x:c r="C70" s="10" t="n">
        <x:v>68</x:v>
      </x:c>
      <x:c r="D70" s="9" t="str">
        <x:v>Place the closed brown cup in the bowl.</x:v>
      </x:c>
      <x:c r="E70" s="9" t="str">
        <x:v>brown cup A (C, RU); brown cup B (O, RU); glass spice container A (C, RU); white cup B (O, RU)</x:v>
      </x:c>
      <x:c r="F70" s="9" t="str">
        <x:v>brown cup A</x:v>
      </x:c>
      <x:c r="G70" s="9" t="str">
        <x:v>went in between the two brown cups then got the closed one.</x:v>
      </x:c>
      <x:c r="H70" s="9" t="str">
        <x:v>Concept/compositional transfer</x:v>
      </x:c>
      <x:c r="I70" s="9" t="str">
        <x:v>SR-CT15</x:v>
      </x:c>
      <x:c r="J70" s="9" t="str">
        <x:v>Primary held-out state-object composition</x:v>
      </x:c>
      <x:c r="K70" s="9"/>
      <x:c r="L70" s="9" t="str">
        <x:v>129</x:v>
      </x:c>
      <x:c r="M70"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70" s="9" t="n">
        <x:v>3</x:v>
      </x:c>
      <x:c r="O70" s="9" t="str">
        <x:v>Build the listed same-category discrimination scene with the bowl empty.</x:v>
      </x:c>
      <x:c r="P70" s="9" t="str">
        <x:v>Two same-category candidates share the non-queried state axis; only the held-out state word identifies the target. The orthogonal orientation axis is fixed: every object is RU.</x:v>
      </x:c>
      <x:c r="Q70" s="9"/>
      <x:c r="R70" s="10" t="n">
        <x:v>4</x:v>
      </x:c>
      <x:c r="S70" s="10" t="n">
        <x:v>1</x:v>
      </x:c>
      <x:c r="T70" s="9" t="str">
        <x:v>Empty</x:v>
      </x:c>
      <x:c r="U70" s="9" t="str">
        <x:v>C</x:v>
      </x:c>
      <x:c r="V70" s="9" t="str">
        <x:v>brown cup</x:v>
      </x:c>
      <x:c r="W70" s="9"/>
      <x:c r="X70" s="10"/>
      <x:c r="Y70" s="10"/>
      <x:c r="Z70" s="9"/>
      <x:c r="AA70" s="9"/>
      <x:c r="AB70" s="9"/>
      <x:c r="AC70" s="9"/>
      <x:c r="AD70" s="9"/>
      <x:c r="AE70" s="9"/>
      <x:c r="AF70" s="9"/>
      <x:c r="AG70" s="9"/>
      <x:c r="AH70" s="9"/>
      <x:c r="AI70" s="11"/>
      <x:c r="AJ70" s="9"/>
      <x:c r="AK70" s="9" t="str">
        <x:v>Eval_State_Recognition.xlsm</x:v>
      </x:c>
      <x:c r="AL70" s="9" t="str">
        <x:v>MolmoAct2 Results</x:v>
      </x:c>
      <x:c r="AM70" s="9" t="n">
        <x:v>70</x:v>
      </x:c>
      <x:c r="AN70" s="9" t="n">
        <x:v>70</x:v>
      </x:c>
    </x:row>
    <x:row r="71">
      <x:c r="A71" s="9" t="str">
        <x:v>Success</x:v>
      </x:c>
      <x:c r="B71" s="9" t="str">
        <x:v>State Recognition</x:v>
      </x:c>
      <x:c r="C71" s="10" t="n">
        <x:v>69</x:v>
      </x:c>
      <x:c r="D71" s="9" t="str">
        <x:v>Move a brown cup into the bowl.</x:v>
      </x:c>
      <x:c r="E71" s="9" t="str">
        <x:v>brown cup A (C, RU); yellow-white striped cup A (O, RU); glass spice container A (C, RU); white cup B (O, RU)</x:v>
      </x:c>
      <x:c r="F71" s="9" t="str">
        <x:v>brown cup A</x:v>
      </x:c>
      <x:c r="G71" s="9"/>
      <x:c r="H71" s="9" t="str">
        <x:v>Matched manipulation control</x:v>
      </x:c>
      <x:c r="I71" s="9" t="str">
        <x:v>SR-CT15</x:v>
      </x:c>
      <x:c r="J71" s="9" t="str">
        <x:v>One-object-substitution direct-category control</x:v>
      </x:c>
      <x:c r="K71" s="9" t="n">
        <x:v>68</x:v>
      </x:c>
      <x:c r="L71" s="9" t="n">
        <x:v>129</x:v>
      </x:c>
      <x:c r="M71" s="9" t="str">
        <x:v>Exact direct-category manipulation prompt from training episode 129. The transfer target, state, and pose are preserved; only the competing brown cup is replaced by yellow-white striped cup A. The full control scene is upright because its paired transfer instruction queries open/closed.</x:v>
      </x:c>
      <x:c r="N71" s="9" t="n">
        <x:v>3</x:v>
      </x:c>
      <x:c r="O71" s="9" t="str">
        <x:v>Reset brown cup A to its transfer pose. Replace brown cup B with yellow-white striped cup A in the same location and use the states listed in this row; preserve all other objects.</x:v>
      </x:c>
      <x:c r="P71" s="9" t="str">
        <x:v>Pure recognition/manipulation control: the prompt uniquely names the only object from the target category, while the physical target remains identical to the transfer row. Every object is RU.</x:v>
      </x:c>
      <x:c r="Q71" s="9"/>
      <x:c r="R71" s="10" t="n">
        <x:v>4</x:v>
      </x:c>
      <x:c r="S71" s="10" t="n">
        <x:v>1</x:v>
      </x:c>
      <x:c r="T71" s="9" t="str">
        <x:v>Empty</x:v>
      </x:c>
      <x:c r="U71" s="9" t="str">
        <x:v>N/A</x:v>
      </x:c>
      <x:c r="V71" s="9" t="str">
        <x:v>brown cup</x:v>
      </x:c>
      <x:c r="W71" s="9"/>
      <x:c r="X71" s="10"/>
      <x:c r="Y71" s="10"/>
      <x:c r="Z71" s="9"/>
      <x:c r="AA71" s="9"/>
      <x:c r="AB71" s="9"/>
      <x:c r="AC71" s="9"/>
      <x:c r="AD71" s="9"/>
      <x:c r="AE71" s="9"/>
      <x:c r="AF71" s="9"/>
      <x:c r="AG71" s="9"/>
      <x:c r="AH71" s="9"/>
      <x:c r="AI71" s="11"/>
      <x:c r="AJ71" s="9"/>
      <x:c r="AK71" s="9" t="str">
        <x:v>Eval_State_Recognition.xlsm</x:v>
      </x:c>
      <x:c r="AL71" s="9" t="str">
        <x:v>MolmoAct2 Results</x:v>
      </x:c>
      <x:c r="AM71" s="9" t="n">
        <x:v>71</x:v>
      </x:c>
      <x:c r="AN71" s="9" t="n">
        <x:v>71</x:v>
      </x:c>
    </x:row>
    <x:row r="72">
      <x:c r="A72" s="9" t="str">
        <x:v>Success</x:v>
      </x:c>
      <x:c r="B72" s="9" t="str">
        <x:v>State Recognition</x:v>
      </x:c>
      <x:c r="C72" s="10" t="n">
        <x:v>70</x:v>
      </x:c>
      <x:c r="D72" s="9" t="str">
        <x:v>Place the upright glass spice container in the bowl.</x:v>
      </x:c>
      <x:c r="E72" s="9" t="str">
        <x:v>glass spice container B (O, RU); glass spice container A (O, UD)</x:v>
      </x:c>
      <x:c r="F72" s="9" t="str">
        <x:v>glass spice container B</x:v>
      </x:c>
      <x:c r="G72" s="9"/>
      <x:c r="H72" s="9" t="str">
        <x:v>Concept/compositional transfer</x:v>
      </x:c>
      <x:c r="I72" s="9" t="str">
        <x:v>SR-CT16</x:v>
      </x:c>
      <x:c r="J72" s="9" t="str">
        <x:v>Primary held-out state-object composition</x:v>
      </x:c>
      <x:c r="K72" s="9"/>
      <x:c r="L72" s="9" t="str">
        <x:v>157</x:v>
      </x:c>
      <x:c r="M72" s="9" t="str">
        <x:v>Physical-state and manipulation-trajectory reference under a direct category prompt; the evaluated state word × object-category cell is intentionally absent from training.</x:v>
      </x:c>
      <x:c r="N72" s="9" t="n">
        <x:v>3</x:v>
      </x:c>
      <x:c r="O72" s="9" t="str">
        <x:v>Build the listed same-category discrimination scene with the bowl empty.</x:v>
      </x:c>
      <x:c r="P72" s="9" t="str">
        <x:v>Two same-category candidates share the non-queried state axis; only the held-out state word identifies the target. The same-category candidates share the orthogonal C/O state (O).</x:v>
      </x:c>
      <x:c r="Q72" s="9"/>
      <x:c r="R72" s="10" t="n">
        <x:v>2</x:v>
      </x:c>
      <x:c r="S72" s="10" t="n">
        <x:v>1</x:v>
      </x:c>
      <x:c r="T72" s="9" t="str">
        <x:v>Empty</x:v>
      </x:c>
      <x:c r="U72" s="9" t="str">
        <x:v>RU</x:v>
      </x:c>
      <x:c r="V72" s="9" t="str">
        <x:v>glass spice container</x:v>
      </x:c>
      <x:c r="W72" s="9"/>
      <x:c r="X72" s="10"/>
      <x:c r="Y72" s="10"/>
      <x:c r="Z72" s="9"/>
      <x:c r="AA72" s="9"/>
      <x:c r="AB72" s="9"/>
      <x:c r="AC72" s="9"/>
      <x:c r="AD72" s="9"/>
      <x:c r="AE72" s="9"/>
      <x:c r="AF72" s="9"/>
      <x:c r="AG72" s="9"/>
      <x:c r="AH72" s="9"/>
      <x:c r="AI72" s="11"/>
      <x:c r="AJ72" s="9"/>
      <x:c r="AK72" s="9" t="str">
        <x:v>Eval_State_Recognition.xlsm</x:v>
      </x:c>
      <x:c r="AL72" s="9" t="str">
        <x:v>MolmoAct2 Results</x:v>
      </x:c>
      <x:c r="AM72" s="9" t="n">
        <x:v>72</x:v>
      </x:c>
      <x:c r="AN72" s="9" t="n">
        <x:v>72</x:v>
      </x:c>
    </x:row>
    <x:row r="73">
      <x:c r="A73" s="9" t="str">
        <x:v>Success</x:v>
      </x:c>
      <x:c r="B73" s="9" t="str">
        <x:v>State Recognition</x:v>
      </x:c>
      <x:c r="C73" s="10" t="n">
        <x:v>71</x:v>
      </x:c>
      <x:c r="D73" s="9" t="str">
        <x:v>Place a glass spice container in the bowl.</x:v>
      </x:c>
      <x:c r="E73" s="9" t="str">
        <x:v>glass spice container B (O, RU); white cup B (O, UD)</x:v>
      </x:c>
      <x:c r="F73" s="9" t="str">
        <x:v>glass spice container B</x:v>
      </x:c>
      <x:c r="G73" s="9"/>
      <x:c r="H73" s="9" t="str">
        <x:v>Matched manipulation control</x:v>
      </x:c>
      <x:c r="I73" s="9" t="str">
        <x:v>SR-CT16</x:v>
      </x:c>
      <x:c r="J73" s="9" t="str">
        <x:v>One-object-substitution direct-category control</x:v>
      </x:c>
      <x:c r="K73" s="9" t="n">
        <x:v>70</x:v>
      </x:c>
      <x:c r="L73" s="9" t="n">
        <x:v>157</x:v>
      </x:c>
      <x:c r="M73" s="9" t="str">
        <x:v>Exact direct-category manipulation prompt from training episode 157. The transfer target, state, and pose are preserved; only the competing glass spice container is replaced by white cup B.</x:v>
      </x:c>
      <x:c r="N73" s="9" t="n">
        <x:v>3</x:v>
      </x:c>
      <x:c r="O73" s="9" t="str">
        <x:v>Reset glass spice container B to its transfer pose. Replace glass spice container A with white cup B in the same location and use the states listed in this row; preserve all other objects.</x:v>
      </x:c>
      <x:c r="P73" s="9" t="str">
        <x:v>Pure recognition/manipulation control: the prompt uniquely names the only object from the target category, while the physical target remains identical to the transfer row.</x:v>
      </x:c>
      <x:c r="Q73" s="9"/>
      <x:c r="R73" s="10" t="n">
        <x:v>2</x:v>
      </x:c>
      <x:c r="S73" s="10" t="n">
        <x:v>1</x:v>
      </x:c>
      <x:c r="T73" s="9" t="str">
        <x:v>Empty</x:v>
      </x:c>
      <x:c r="U73" s="9" t="str">
        <x:v>N/A</x:v>
      </x:c>
      <x:c r="V73" s="9" t="str">
        <x:v>glass spice container</x:v>
      </x:c>
      <x:c r="W73" s="9"/>
      <x:c r="X73" s="10"/>
      <x:c r="Y73" s="10"/>
      <x:c r="Z73" s="9"/>
      <x:c r="AA73" s="9"/>
      <x:c r="AB73" s="9"/>
      <x:c r="AC73" s="9"/>
      <x:c r="AD73" s="9"/>
      <x:c r="AE73" s="9"/>
      <x:c r="AF73" s="9"/>
      <x:c r="AG73" s="9"/>
      <x:c r="AH73" s="9"/>
      <x:c r="AI73" s="11"/>
      <x:c r="AJ73" s="9"/>
      <x:c r="AK73" s="9" t="str">
        <x:v>Eval_State_Recognition.xlsm</x:v>
      </x:c>
      <x:c r="AL73" s="9" t="str">
        <x:v>MolmoAct2 Results</x:v>
      </x:c>
      <x:c r="AM73" s="9" t="n">
        <x:v>73</x:v>
      </x:c>
      <x:c r="AN73" s="9" t="n">
        <x:v>73</x:v>
      </x:c>
    </x:row>
    <x:row r="74">
      <x:c r="A74" s="9" t="str">
        <x:v>Success</x:v>
      </x:c>
      <x:c r="B74" s="9" t="str">
        <x:v>State Recognition</x:v>
      </x:c>
      <x:c r="C74" s="10" t="n">
        <x:v>72</x:v>
      </x:c>
      <x:c r="D74" s="9" t="str">
        <x:v>Place the upside-down white cup in the bowl.</x:v>
      </x:c>
      <x:c r="E74" s="9" t="str">
        <x:v>white cup A (C, UD); white cup B (C, RU); brown cup A (C, RU)</x:v>
      </x:c>
      <x:c r="F74" s="9" t="str">
        <x:v>white cup A</x:v>
      </x:c>
      <x:c r="G74" s="9"/>
      <x:c r="H74" s="9" t="str">
        <x:v>Concept/compositional transfer</x:v>
      </x:c>
      <x:c r="I74" s="9" t="str">
        <x:v>SR-CT17</x:v>
      </x:c>
      <x:c r="J74" s="9" t="str">
        <x:v>Primary held-out state-object composition</x:v>
      </x:c>
      <x:c r="K74" s="9"/>
      <x:c r="L74" s="9" t="str">
        <x:v>35</x:v>
      </x:c>
      <x:c r="M74" s="9" t="str">
        <x:v>Physical-state and manipulation-trajectory reference under a direct category prompt; the evaluated state word × object-category cell is intentionally absent from training.</x:v>
      </x:c>
      <x:c r="N74" s="9" t="n">
        <x:v>3</x:v>
      </x:c>
      <x:c r="O74" s="9" t="str">
        <x:v>Build the listed same-category discrimination scene with the bowl empty.</x:v>
      </x:c>
      <x:c r="P74" s="9" t="str">
        <x:v>Two same-category candidates share the non-queried state axis; only the held-out state word identifies the target. The same-category candidates share the orthogonal C/O state (C).</x:v>
      </x:c>
      <x:c r="Q74" s="9"/>
      <x:c r="R74" s="10" t="n">
        <x:v>3</x:v>
      </x:c>
      <x:c r="S74" s="10" t="n">
        <x:v>1</x:v>
      </x:c>
      <x:c r="T74" s="9" t="str">
        <x:v>Empty</x:v>
      </x:c>
      <x:c r="U74" s="9" t="str">
        <x:v>UD</x:v>
      </x:c>
      <x:c r="V74" s="9" t="str">
        <x:v>white cup</x:v>
      </x:c>
      <x:c r="W74" s="9"/>
      <x:c r="X74" s="10"/>
      <x:c r="Y74" s="10"/>
      <x:c r="Z74" s="9"/>
      <x:c r="AA74" s="9"/>
      <x:c r="AB74" s="9"/>
      <x:c r="AC74" s="9"/>
      <x:c r="AD74" s="9"/>
      <x:c r="AE74" s="9"/>
      <x:c r="AF74" s="9"/>
      <x:c r="AG74" s="9"/>
      <x:c r="AH74" s="9"/>
      <x:c r="AI74" s="11"/>
      <x:c r="AJ74" s="9"/>
      <x:c r="AK74" s="9" t="str">
        <x:v>Eval_State_Recognition.xlsm</x:v>
      </x:c>
      <x:c r="AL74" s="9" t="str">
        <x:v>MolmoAct2 Results</x:v>
      </x:c>
      <x:c r="AM74" s="9" t="n">
        <x:v>74</x:v>
      </x:c>
      <x:c r="AN74" s="9" t="n">
        <x:v>74</x:v>
      </x:c>
    </x:row>
    <x:row r="75">
      <x:c r="A75" s="9" t="str">
        <x:v>Success</x:v>
      </x:c>
      <x:c r="B75" s="9" t="str">
        <x:v>State Recognition</x:v>
      </x:c>
      <x:c r="C75" s="10" t="n">
        <x:v>73</x:v>
      </x:c>
      <x:c r="D75" s="9" t="str">
        <x:v>Put a white cup in the bowl.</x:v>
      </x:c>
      <x:c r="E75" s="9" t="str">
        <x:v>white cup A (C, UD); yellow-white striped cup A (C, RU); brown cup A (C, RU)</x:v>
      </x:c>
      <x:c r="F75" s="9" t="str">
        <x:v>white cup A</x:v>
      </x:c>
      <x:c r="G75" s="9"/>
      <x:c r="H75" s="9" t="str">
        <x:v>Matched manipulation control</x:v>
      </x:c>
      <x:c r="I75" s="9" t="str">
        <x:v>SR-CT17</x:v>
      </x:c>
      <x:c r="J75" s="9" t="str">
        <x:v>One-object-substitution direct-category control</x:v>
      </x:c>
      <x:c r="K75" s="9" t="n">
        <x:v>72</x:v>
      </x:c>
      <x:c r="L75" s="9" t="n">
        <x:v>35</x:v>
      </x:c>
      <x:c r="M75" s="9" t="str">
        <x:v>Exact direct-category manipulation prompt from training episode 35. The transfer target, state, and pose are preserved; only the competing white cup is replaced by yellow-white striped cup A.</x:v>
      </x:c>
      <x:c r="N75" s="9" t="n">
        <x:v>3</x:v>
      </x:c>
      <x:c r="O75" s="9" t="str">
        <x:v>Reset white cup A to its transfer pose. Replace white cup B with yellow-white striped cup A in the same location and use the states listed in this row; preserve all other objects.</x:v>
      </x:c>
      <x:c r="P75" s="9" t="str">
        <x:v>Pure recognition/manipulation control: the prompt uniquely names the only object from the target category, while the physical target remains identical to the transfer row.</x:v>
      </x:c>
      <x:c r="Q75" s="9"/>
      <x:c r="R75" s="10" t="n">
        <x:v>3</x:v>
      </x:c>
      <x:c r="S75" s="10" t="n">
        <x:v>1</x:v>
      </x:c>
      <x:c r="T75" s="9" t="str">
        <x:v>Empty</x:v>
      </x:c>
      <x:c r="U75" s="9" t="str">
        <x:v>N/A</x:v>
      </x:c>
      <x:c r="V75" s="9" t="str">
        <x:v>white cup</x:v>
      </x:c>
      <x:c r="W75" s="9"/>
      <x:c r="X75" s="10"/>
      <x:c r="Y75" s="10"/>
      <x:c r="Z75" s="9"/>
      <x:c r="AA75" s="9"/>
      <x:c r="AB75" s="9"/>
      <x:c r="AC75" s="9"/>
      <x:c r="AD75" s="9"/>
      <x:c r="AE75" s="9"/>
      <x:c r="AF75" s="9"/>
      <x:c r="AG75" s="9"/>
      <x:c r="AH75" s="9"/>
      <x:c r="AI75" s="11"/>
      <x:c r="AJ75" s="9"/>
      <x:c r="AK75" s="9" t="str">
        <x:v>Eval_State_Recognition.xlsm</x:v>
      </x:c>
      <x:c r="AL75" s="9" t="str">
        <x:v>MolmoAct2 Results</x:v>
      </x:c>
      <x:c r="AM75" s="9" t="n">
        <x:v>75</x:v>
      </x:c>
      <x:c r="AN75" s="9" t="n">
        <x:v>75</x:v>
      </x:c>
    </x:row>
    <x:row r="76">
      <x:c r="A76" s="9" t="str">
        <x:v>Success</x:v>
      </x:c>
      <x:c r="B76" s="9" t="str">
        <x:v>State Recognition</x:v>
      </x:c>
      <x:c r="C76" s="10" t="n">
        <x:v>74</x:v>
      </x:c>
      <x:c r="D76" s="9" t="str">
        <x:v>Place the open yellow-white striped cup in the bowl.</x:v>
      </x:c>
      <x:c r="E76" s="9" t="str">
        <x:v>yellow-white striped cup B (O, RU); yellow-white striped cup A (C, RU); glass spice container B (O, RU); white cup A (C, RU)</x:v>
      </x:c>
      <x:c r="F76" s="9" t="str">
        <x:v>yellow-white striped cup B</x:v>
      </x:c>
      <x:c r="G76" s="9"/>
      <x:c r="H76" s="9" t="str">
        <x:v>Concept/compositional transfer</x:v>
      </x:c>
      <x:c r="I76" s="9" t="str">
        <x:v>SR-CT18</x:v>
      </x:c>
      <x:c r="J76" s="9" t="str">
        <x:v>Primary held-out state-object composition</x:v>
      </x:c>
      <x:c r="K76" s="9"/>
      <x:c r="L76" s="9" t="str">
        <x:v>72</x:v>
      </x:c>
      <x:c r="M76"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76" s="9" t="n">
        <x:v>3</x:v>
      </x:c>
      <x:c r="O76" s="9" t="str">
        <x:v>Build the listed same-category discrimination scene with the bowl empty.</x:v>
      </x:c>
      <x:c r="P76" s="9" t="str">
        <x:v>Two same-category candidates share the non-queried state axis; only the held-out state word identifies the target. The orthogonal orientation axis is fixed: every object is RU.</x:v>
      </x:c>
      <x:c r="Q76" s="9"/>
      <x:c r="R76" s="10" t="n">
        <x:v>4</x:v>
      </x:c>
      <x:c r="S76" s="10" t="n">
        <x:v>1</x:v>
      </x:c>
      <x:c r="T76" s="9" t="str">
        <x:v>Empty</x:v>
      </x:c>
      <x:c r="U76" s="9" t="str">
        <x:v>O</x:v>
      </x:c>
      <x:c r="V76" s="9" t="str">
        <x:v>yellow-white striped cup</x:v>
      </x:c>
      <x:c r="W76" s="9"/>
      <x:c r="X76" s="10"/>
      <x:c r="Y76" s="10"/>
      <x:c r="Z76" s="9"/>
      <x:c r="AA76" s="9"/>
      <x:c r="AB76" s="9"/>
      <x:c r="AC76" s="9"/>
      <x:c r="AD76" s="9"/>
      <x:c r="AE76" s="9"/>
      <x:c r="AF76" s="9"/>
      <x:c r="AG76" s="9"/>
      <x:c r="AH76" s="9"/>
      <x:c r="AI76" s="11"/>
      <x:c r="AJ76" s="9"/>
      <x:c r="AK76" s="9" t="str">
        <x:v>Eval_State_Recognition.xlsm</x:v>
      </x:c>
      <x:c r="AL76" s="9" t="str">
        <x:v>MolmoAct2 Results</x:v>
      </x:c>
      <x:c r="AM76" s="9" t="n">
        <x:v>76</x:v>
      </x:c>
      <x:c r="AN76" s="9" t="n">
        <x:v>76</x:v>
      </x:c>
    </x:row>
    <x:row r="77">
      <x:c r="A77" s="9" t="str">
        <x:v>Success</x:v>
      </x:c>
      <x:c r="B77" s="9" t="str">
        <x:v>State Recognition</x:v>
      </x:c>
      <x:c r="C77" s="10" t="n">
        <x:v>75</x:v>
      </x:c>
      <x:c r="D77" s="9" t="str">
        <x:v>Move a yellow-white striped cup into the bowl.</x:v>
      </x:c>
      <x:c r="E77" s="9" t="str">
        <x:v>yellow-white striped cup B (O, RU); brown cup B (C, RU); glass spice container B (O, RU); white cup A (C, RU)</x:v>
      </x:c>
      <x:c r="F77" s="9" t="str">
        <x:v>yellow-white striped cup B</x:v>
      </x:c>
      <x:c r="G77" s="9"/>
      <x:c r="H77" s="9" t="str">
        <x:v>Matched manipulation control</x:v>
      </x:c>
      <x:c r="I77" s="9" t="str">
        <x:v>SR-CT18</x:v>
      </x:c>
      <x:c r="J77" s="9" t="str">
        <x:v>One-object-substitution direct-category control</x:v>
      </x:c>
      <x:c r="K77" s="9" t="n">
        <x:v>74</x:v>
      </x:c>
      <x:c r="L77" s="9" t="n">
        <x:v>72</x:v>
      </x:c>
      <x:c r="M77" s="9" t="str">
        <x:v>Exact direct-category manipulation prompt from training episode 72. The transfer target, state, and pose are preserved; only the competing yellow-white striped cup is replaced by brown cup B. The full control scene is upright because its paired transfer instruction queries open/closed.</x:v>
      </x:c>
      <x:c r="N77" s="9" t="n">
        <x:v>3</x:v>
      </x:c>
      <x:c r="O77" s="9" t="str">
        <x:v>Reset yellow-white striped cup B to its transfer pose. Replace yellow-white striped cup A with brown cup B in the same location and use the states listed in this row; preserve all other objects.</x:v>
      </x:c>
      <x:c r="P77" s="9" t="str">
        <x:v>Pure recognition/manipulation control: the prompt uniquely names the only object from the target category, while the physical target remains identical to the transfer row. Every object is RU.</x:v>
      </x:c>
      <x:c r="Q77" s="9"/>
      <x:c r="R77" s="10" t="n">
        <x:v>4</x:v>
      </x:c>
      <x:c r="S77" s="10" t="n">
        <x:v>1</x:v>
      </x:c>
      <x:c r="T77" s="9" t="str">
        <x:v>Empty</x:v>
      </x:c>
      <x:c r="U77" s="9" t="str">
        <x:v>N/A</x:v>
      </x:c>
      <x:c r="V77" s="9" t="str">
        <x:v>yellow-white striped cup</x:v>
      </x:c>
      <x:c r="W77" s="9"/>
      <x:c r="X77" s="10"/>
      <x:c r="Y77" s="10"/>
      <x:c r="Z77" s="9"/>
      <x:c r="AA77" s="9"/>
      <x:c r="AB77" s="9"/>
      <x:c r="AC77" s="9"/>
      <x:c r="AD77" s="9"/>
      <x:c r="AE77" s="9"/>
      <x:c r="AF77" s="9"/>
      <x:c r="AG77" s="9"/>
      <x:c r="AH77" s="9"/>
      <x:c r="AI77" s="11"/>
      <x:c r="AJ77" s="9"/>
      <x:c r="AK77" s="9" t="str">
        <x:v>Eval_State_Recognition.xlsm</x:v>
      </x:c>
      <x:c r="AL77" s="9" t="str">
        <x:v>MolmoAct2 Results</x:v>
      </x:c>
      <x:c r="AM77" s="9" t="n">
        <x:v>77</x:v>
      </x:c>
      <x:c r="AN77" s="9" t="n">
        <x:v>77</x:v>
      </x:c>
    </x:row>
    <x:row r="78">
      <x:c r="A78" s="9" t="str">
        <x:v>Success</x:v>
      </x:c>
      <x:c r="B78" s="9" t="str">
        <x:v>State Recognition</x:v>
      </x:c>
      <x:c r="C78" s="10" t="n">
        <x:v>76</x:v>
      </x:c>
      <x:c r="D78" s="9" t="str">
        <x:v>Place the closed brown cup in the bowl.</x:v>
      </x:c>
      <x:c r="E78" s="9" t="str">
        <x:v>brown cup A (C, RU); brown cup B (O, RU)</x:v>
      </x:c>
      <x:c r="F78" s="9" t="str">
        <x:v>brown cup A</x:v>
      </x:c>
      <x:c r="G78" s="9"/>
      <x:c r="H78" s="9" t="str">
        <x:v>Concept/compositional transfer</x:v>
      </x:c>
      <x:c r="I78" s="9" t="str">
        <x:v>SR-CT19</x:v>
      </x:c>
      <x:c r="J78" s="9" t="str">
        <x:v>Primary held-out state-object composition</x:v>
      </x:c>
      <x:c r="K78" s="9"/>
      <x:c r="L78" s="9" t="str">
        <x:v>105</x:v>
      </x:c>
      <x:c r="M78"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78" s="9" t="n">
        <x:v>3</x:v>
      </x:c>
      <x:c r="O78" s="9" t="str">
        <x:v>Build the listed same-category discrimination scene with the bowl empty.</x:v>
      </x:c>
      <x:c r="P78" s="9" t="str">
        <x:v>Two same-category candidates share the non-queried state axis; only the held-out state word identifies the target. The orthogonal orientation axis is fixed: every object is RU.</x:v>
      </x:c>
      <x:c r="Q78" s="9"/>
      <x:c r="R78" s="10" t="n">
        <x:v>2</x:v>
      </x:c>
      <x:c r="S78" s="10" t="n">
        <x:v>1</x:v>
      </x:c>
      <x:c r="T78" s="9" t="str">
        <x:v>Empty</x:v>
      </x:c>
      <x:c r="U78" s="9" t="str">
        <x:v>C</x:v>
      </x:c>
      <x:c r="V78" s="9" t="str">
        <x:v>brown cup</x:v>
      </x:c>
      <x:c r="W78" s="9"/>
      <x:c r="X78" s="10"/>
      <x:c r="Y78" s="10"/>
      <x:c r="Z78" s="9"/>
      <x:c r="AA78" s="9"/>
      <x:c r="AB78" s="9"/>
      <x:c r="AC78" s="9"/>
      <x:c r="AD78" s="9"/>
      <x:c r="AE78" s="9"/>
      <x:c r="AF78" s="9"/>
      <x:c r="AG78" s="9"/>
      <x:c r="AH78" s="9"/>
      <x:c r="AI78" s="11"/>
      <x:c r="AJ78" s="9"/>
      <x:c r="AK78" s="9" t="str">
        <x:v>Eval_State_Recognition.xlsm</x:v>
      </x:c>
      <x:c r="AL78" s="9" t="str">
        <x:v>MolmoAct2 Results</x:v>
      </x:c>
      <x:c r="AM78" s="9" t="n">
        <x:v>78</x:v>
      </x:c>
      <x:c r="AN78" s="9" t="n">
        <x:v>78</x:v>
      </x:c>
    </x:row>
    <x:row r="79">
      <x:c r="A79" s="9" t="str">
        <x:v>Success</x:v>
      </x:c>
      <x:c r="B79" s="9" t="str">
        <x:v>State Recognition</x:v>
      </x:c>
      <x:c r="C79" s="10" t="n">
        <x:v>77</x:v>
      </x:c>
      <x:c r="D79" s="9" t="str">
        <x:v>Move a brown cup into the bowl.</x:v>
      </x:c>
      <x:c r="E79" s="9" t="str">
        <x:v>brown cup A (C, RU); white cup A (O, RU)</x:v>
      </x:c>
      <x:c r="F79" s="9" t="str">
        <x:v>brown cup A</x:v>
      </x:c>
      <x:c r="G79" s="9"/>
      <x:c r="H79" s="9" t="str">
        <x:v>Matched manipulation control</x:v>
      </x:c>
      <x:c r="I79" s="9" t="str">
        <x:v>SR-CT19</x:v>
      </x:c>
      <x:c r="J79" s="9" t="str">
        <x:v>One-object-substitution direct-category control</x:v>
      </x:c>
      <x:c r="K79" s="9" t="n">
        <x:v>76</x:v>
      </x:c>
      <x:c r="L79" s="9" t="n">
        <x:v>105</x:v>
      </x:c>
      <x:c r="M79" s="9" t="str">
        <x:v>Exact direct-category manipulation prompt from training episode 105. The transfer target, state, and pose are preserved; only the competing brown cup is replaced by white cup A. The full control scene is upright because its paired transfer instruction queries open/closed.</x:v>
      </x:c>
      <x:c r="N79" s="9" t="n">
        <x:v>3</x:v>
      </x:c>
      <x:c r="O79" s="9" t="str">
        <x:v>Reset brown cup A to its transfer pose. Replace brown cup B with white cup A in the same location and use the states listed in this row; preserve all other objects.</x:v>
      </x:c>
      <x:c r="P79" s="9" t="str">
        <x:v>Pure recognition/manipulation control: the prompt uniquely names the only object from the target category, while the physical target remains identical to the transfer row. Every object is RU.</x:v>
      </x:c>
      <x:c r="Q79" s="9"/>
      <x:c r="R79" s="10" t="n">
        <x:v>2</x:v>
      </x:c>
      <x:c r="S79" s="10" t="n">
        <x:v>1</x:v>
      </x:c>
      <x:c r="T79" s="9" t="str">
        <x:v>Empty</x:v>
      </x:c>
      <x:c r="U79" s="9" t="str">
        <x:v>N/A</x:v>
      </x:c>
      <x:c r="V79" s="9" t="str">
        <x:v>brown cup</x:v>
      </x:c>
      <x:c r="W79" s="9"/>
      <x:c r="X79" s="10"/>
      <x:c r="Y79" s="10"/>
      <x:c r="Z79" s="9"/>
      <x:c r="AA79" s="9"/>
      <x:c r="AB79" s="9"/>
      <x:c r="AC79" s="9"/>
      <x:c r="AD79" s="9"/>
      <x:c r="AE79" s="9"/>
      <x:c r="AF79" s="9"/>
      <x:c r="AG79" s="9"/>
      <x:c r="AH79" s="9"/>
      <x:c r="AI79" s="11"/>
      <x:c r="AJ79" s="9"/>
      <x:c r="AK79" s="9" t="str">
        <x:v>Eval_State_Recognition.xlsm</x:v>
      </x:c>
      <x:c r="AL79" s="9" t="str">
        <x:v>MolmoAct2 Results</x:v>
      </x:c>
      <x:c r="AM79" s="9" t="n">
        <x:v>79</x:v>
      </x:c>
      <x:c r="AN79" s="9" t="n">
        <x:v>79</x:v>
      </x:c>
    </x:row>
    <x:row r="80">
      <x:c r="A80" s="9" t="str">
        <x:v>Failure</x:v>
      </x:c>
      <x:c r="B80" s="9" t="str">
        <x:v>State Recognition</x:v>
      </x:c>
      <x:c r="C80" s="10" t="n">
        <x:v>78</x:v>
      </x:c>
      <x:c r="D80" s="9" t="str">
        <x:v>Place the upright glass spice container in the bowl.</x:v>
      </x:c>
      <x:c r="E80" s="9" t="str">
        <x:v>glass spice container B (C, RU); glass spice container A (C, UD); yellow-white striped cup B (O, UD)</x:v>
      </x:c>
      <x:c r="F80" s="9" t="str">
        <x:v>glass spice container B</x:v>
      </x:c>
      <x:c r="G80" s="9" t="str">
        <x:v>picked upside down container</x:v>
      </x:c>
      <x:c r="H80" s="9" t="str">
        <x:v>Concept/compositional transfer</x:v>
      </x:c>
      <x:c r="I80" s="9" t="str">
        <x:v>SR-CT20</x:v>
      </x:c>
      <x:c r="J80" s="9" t="str">
        <x:v>Primary held-out state-object composition</x:v>
      </x:c>
      <x:c r="K80" s="9"/>
      <x:c r="L80" s="9" t="str">
        <x:v>179</x:v>
      </x:c>
      <x:c r="M80" s="9" t="str">
        <x:v>Physical-state and manipulation-trajectory reference under a direct category prompt; the evaluated state word × object-category cell is intentionally absent from training.</x:v>
      </x:c>
      <x:c r="N80" s="9" t="n">
        <x:v>3</x:v>
      </x:c>
      <x:c r="O80" s="9" t="str">
        <x:v>Build the listed same-category discrimination scene with the bowl empty.</x:v>
      </x:c>
      <x:c r="P80" s="9" t="str">
        <x:v>Two same-category candidates share the non-queried state axis; only the held-out state word identifies the target. The same-category candidates share the orthogonal C/O state (C).</x:v>
      </x:c>
      <x:c r="Q80" s="9"/>
      <x:c r="R80" s="10" t="n">
        <x:v>3</x:v>
      </x:c>
      <x:c r="S80" s="10" t="n">
        <x:v>1</x:v>
      </x:c>
      <x:c r="T80" s="9" t="str">
        <x:v>Empty</x:v>
      </x:c>
      <x:c r="U80" s="9" t="str">
        <x:v>RU</x:v>
      </x:c>
      <x:c r="V80" s="9" t="str">
        <x:v>glass spice container</x:v>
      </x:c>
      <x:c r="W80" s="9"/>
      <x:c r="X80" s="10"/>
      <x:c r="Y80" s="10"/>
      <x:c r="Z80" s="9"/>
      <x:c r="AA80" s="9"/>
      <x:c r="AB80" s="9"/>
      <x:c r="AC80" s="9"/>
      <x:c r="AD80" s="9"/>
      <x:c r="AE80" s="9"/>
      <x:c r="AF80" s="9"/>
      <x:c r="AG80" s="9"/>
      <x:c r="AH80" s="9"/>
      <x:c r="AI80" s="11"/>
      <x:c r="AJ80" s="9"/>
      <x:c r="AK80" s="9" t="str">
        <x:v>Eval_State_Recognition.xlsm</x:v>
      </x:c>
      <x:c r="AL80" s="9" t="str">
        <x:v>MolmoAct2 Results</x:v>
      </x:c>
      <x:c r="AM80" s="9" t="n">
        <x:v>80</x:v>
      </x:c>
      <x:c r="AN80" s="9" t="n">
        <x:v>80</x:v>
      </x:c>
    </x:row>
    <x:row r="81">
      <x:c r="A81" s="9" t="str">
        <x:v>Success</x:v>
      </x:c>
      <x:c r="B81" s="9" t="str">
        <x:v>State Recognition</x:v>
      </x:c>
      <x:c r="C81" s="10" t="n">
        <x:v>79</x:v>
      </x:c>
      <x:c r="D81" s="9" t="str">
        <x:v>Put a glass spice container in the bowl.</x:v>
      </x:c>
      <x:c r="E81" s="9" t="str">
        <x:v>glass spice container B (C, RU); brown cup B (C, UD); yellow-white striped cup B (O, UD)</x:v>
      </x:c>
      <x:c r="F81" s="9" t="str">
        <x:v>glass spice container B</x:v>
      </x:c>
      <x:c r="G81" s="9"/>
      <x:c r="H81" s="9" t="str">
        <x:v>Matched manipulation control</x:v>
      </x:c>
      <x:c r="I81" s="9" t="str">
        <x:v>SR-CT20</x:v>
      </x:c>
      <x:c r="J81" s="9" t="str">
        <x:v>One-object-substitution direct-category control</x:v>
      </x:c>
      <x:c r="K81" s="9" t="n">
        <x:v>78</x:v>
      </x:c>
      <x:c r="L81" s="9" t="n">
        <x:v>179</x:v>
      </x:c>
      <x:c r="M81" s="9" t="str">
        <x:v>Exact direct-category manipulation prompt from training episode 179. The transfer target, state, and pose are preserved; only the competing glass spice container is replaced by brown cup B.</x:v>
      </x:c>
      <x:c r="N81" s="9" t="n">
        <x:v>3</x:v>
      </x:c>
      <x:c r="O81" s="9" t="str">
        <x:v>Reset glass spice container B to its transfer pose. Replace glass spice container A with brown cup B in the same location and use the states listed in this row; preserve all other objects.</x:v>
      </x:c>
      <x:c r="P81" s="9" t="str">
        <x:v>Pure recognition/manipulation control: the prompt uniquely names the only object from the target category, while the physical target remains identical to the transfer row.</x:v>
      </x:c>
      <x:c r="Q81" s="9"/>
      <x:c r="R81" s="10" t="n">
        <x:v>3</x:v>
      </x:c>
      <x:c r="S81" s="10" t="n">
        <x:v>1</x:v>
      </x:c>
      <x:c r="T81" s="9" t="str">
        <x:v>Empty</x:v>
      </x:c>
      <x:c r="U81" s="9" t="str">
        <x:v>N/A</x:v>
      </x:c>
      <x:c r="V81" s="9" t="str">
        <x:v>glass spice container</x:v>
      </x:c>
      <x:c r="W81" s="9"/>
      <x:c r="X81" s="10"/>
      <x:c r="Y81" s="10"/>
      <x:c r="Z81" s="9"/>
      <x:c r="AA81" s="9"/>
      <x:c r="AB81" s="9"/>
      <x:c r="AC81" s="9"/>
      <x:c r="AD81" s="9"/>
      <x:c r="AE81" s="9"/>
      <x:c r="AF81" s="9"/>
      <x:c r="AG81" s="9"/>
      <x:c r="AH81" s="9"/>
      <x:c r="AI81" s="11"/>
      <x:c r="AJ81" s="9"/>
      <x:c r="AK81" s="9" t="str">
        <x:v>Eval_State_Recognition.xlsm</x:v>
      </x:c>
      <x:c r="AL81" s="9" t="str">
        <x:v>MolmoAct2 Results</x:v>
      </x:c>
      <x:c r="AM81" s="9" t="n">
        <x:v>81</x:v>
      </x:c>
      <x:c r="AN81" s="9" t="n">
        <x:v>81</x:v>
      </x:c>
    </x:row>
    <x:row r="82">
      <x:c r="A82" s="9" t="str">
        <x:v>Success</x:v>
      </x:c>
      <x:c r="B82" s="9" t="str">
        <x:v>State Recognition</x:v>
      </x:c>
      <x:c r="C82" s="10" t="n">
        <x:v>80</x:v>
      </x:c>
      <x:c r="D82" s="9" t="str">
        <x:v>Place the upside-down white cup in the bowl.</x:v>
      </x:c>
      <x:c r="E82" s="9" t="str">
        <x:v>white cup A (O, UD); white cup B (O, RU); glass spice container A (C, RU); yellow-white striped cup B (O, RU)</x:v>
      </x:c>
      <x:c r="F82" s="9" t="str">
        <x:v>white cup A</x:v>
      </x:c>
      <x:c r="G82" s="9"/>
      <x:c r="H82" s="9" t="str">
        <x:v>Concept/compositional transfer</x:v>
      </x:c>
      <x:c r="I82" s="9" t="str">
        <x:v>SR-CT21</x:v>
      </x:c>
      <x:c r="J82" s="9" t="str">
        <x:v>Primary held-out state-object composition</x:v>
      </x:c>
      <x:c r="K82" s="9"/>
      <x:c r="L82" s="9" t="str">
        <x:v>34</x:v>
      </x:c>
      <x:c r="M82" s="9" t="str">
        <x:v>Physical-state and manipulation-trajectory reference under a direct category prompt; the evaluated state word × object-category cell is intentionally absent from training.</x:v>
      </x:c>
      <x:c r="N82" s="9" t="n">
        <x:v>4</x:v>
      </x:c>
      <x:c r="O82" s="9" t="str">
        <x:v>Build the listed same-category discrimination scene with the bowl empty.</x:v>
      </x:c>
      <x:c r="P82" s="9" t="str">
        <x:v>Two same-category candidates share the non-queried state axis; only the held-out state word identifies the target. The same-category candidates share the orthogonal C/O state (O).</x:v>
      </x:c>
      <x:c r="Q82" s="9"/>
      <x:c r="R82" s="10" t="n">
        <x:v>4</x:v>
      </x:c>
      <x:c r="S82" s="10" t="n">
        <x:v>1</x:v>
      </x:c>
      <x:c r="T82" s="9" t="str">
        <x:v>Empty</x:v>
      </x:c>
      <x:c r="U82" s="9" t="str">
        <x:v>UD</x:v>
      </x:c>
      <x:c r="V82" s="9" t="str">
        <x:v>white cup</x:v>
      </x:c>
      <x:c r="W82" s="9"/>
      <x:c r="X82" s="10"/>
      <x:c r="Y82" s="10"/>
      <x:c r="Z82" s="9"/>
      <x:c r="AA82" s="9"/>
      <x:c r="AB82" s="9"/>
      <x:c r="AC82" s="9"/>
      <x:c r="AD82" s="9"/>
      <x:c r="AE82" s="9"/>
      <x:c r="AF82" s="9"/>
      <x:c r="AG82" s="9"/>
      <x:c r="AH82" s="9"/>
      <x:c r="AI82" s="11"/>
      <x:c r="AJ82" s="9"/>
      <x:c r="AK82" s="9" t="str">
        <x:v>Eval_State_Recognition.xlsm</x:v>
      </x:c>
      <x:c r="AL82" s="9" t="str">
        <x:v>MolmoAct2 Results</x:v>
      </x:c>
      <x:c r="AM82" s="9" t="n">
        <x:v>82</x:v>
      </x:c>
      <x:c r="AN82" s="9" t="n">
        <x:v>82</x:v>
      </x:c>
    </x:row>
    <x:row r="83">
      <x:c r="A83" s="9" t="str">
        <x:v>Success</x:v>
      </x:c>
      <x:c r="B83" s="9" t="str">
        <x:v>State Recognition</x:v>
      </x:c>
      <x:c r="C83" s="10" t="n">
        <x:v>81</x:v>
      </x:c>
      <x:c r="D83" s="9" t="str">
        <x:v>Place the open yellow-white striped cup in the bowl.</x:v>
      </x:c>
      <x:c r="E83" s="9" t="str">
        <x:v>yellow-white striped cup B (O, RU); yellow-white striped cup A (C, RU)</x:v>
      </x:c>
      <x:c r="F83" s="9" t="str">
        <x:v>yellow-white striped cup B</x:v>
      </x:c>
      <x:c r="G83" s="9"/>
      <x:c r="H83" s="9" t="str">
        <x:v>Concept/compositional transfer</x:v>
      </x:c>
      <x:c r="I83" s="9" t="str">
        <x:v>SR-CT22</x:v>
      </x:c>
      <x:c r="J83" s="9" t="str">
        <x:v>Primary held-out state-object composition</x:v>
      </x:c>
      <x:c r="K83" s="9"/>
      <x:c r="L83" s="9" t="str">
        <x:v>53</x:v>
      </x:c>
      <x:c r="M83"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83" s="9" t="n">
        <x:v>4</x:v>
      </x:c>
      <x:c r="O83" s="9" t="str">
        <x:v>Build the listed same-category discrimination scene with the bowl empty.</x:v>
      </x:c>
      <x:c r="P83" s="9" t="str">
        <x:v>Two same-category candidates share the non-queried state axis; only the held-out state word identifies the target. The orthogonal orientation axis is fixed: every object is RU.</x:v>
      </x:c>
      <x:c r="Q83" s="9"/>
      <x:c r="R83" s="10" t="n">
        <x:v>2</x:v>
      </x:c>
      <x:c r="S83" s="10" t="n">
        <x:v>1</x:v>
      </x:c>
      <x:c r="T83" s="9" t="str">
        <x:v>Empty</x:v>
      </x:c>
      <x:c r="U83" s="9" t="str">
        <x:v>O</x:v>
      </x:c>
      <x:c r="V83" s="9" t="str">
        <x:v>yellow-white striped cup</x:v>
      </x:c>
      <x:c r="W83" s="9"/>
      <x:c r="X83" s="10"/>
      <x:c r="Y83" s="10"/>
      <x:c r="Z83" s="9"/>
      <x:c r="AA83" s="9"/>
      <x:c r="AB83" s="9"/>
      <x:c r="AC83" s="9"/>
      <x:c r="AD83" s="9"/>
      <x:c r="AE83" s="9"/>
      <x:c r="AF83" s="9"/>
      <x:c r="AG83" s="9"/>
      <x:c r="AH83" s="9"/>
      <x:c r="AI83" s="11"/>
      <x:c r="AJ83" s="9"/>
      <x:c r="AK83" s="9" t="str">
        <x:v>Eval_State_Recognition.xlsm</x:v>
      </x:c>
      <x:c r="AL83" s="9" t="str">
        <x:v>MolmoAct2 Results</x:v>
      </x:c>
      <x:c r="AM83" s="9" t="n">
        <x:v>83</x:v>
      </x:c>
      <x:c r="AN83" s="9" t="n">
        <x:v>83</x:v>
      </x:c>
    </x:row>
    <x:row r="84">
      <x:c r="A84" s="9" t="str">
        <x:v>Success</x:v>
      </x:c>
      <x:c r="B84" s="9" t="str">
        <x:v>State Recognition</x:v>
      </x:c>
      <x:c r="C84" s="10" t="n">
        <x:v>82</x:v>
      </x:c>
      <x:c r="D84" s="9" t="str">
        <x:v>Place the closed brown cup in the bowl.</x:v>
      </x:c>
      <x:c r="E84" s="9" t="str">
        <x:v>brown cup A (C, RU); brown cup B (O, RU); yellow-white striped cup A (C, RU)</x:v>
      </x:c>
      <x:c r="F84" s="9" t="str">
        <x:v>brown cup A</x:v>
      </x:c>
      <x:c r="G84" s="9"/>
      <x:c r="H84" s="9" t="str">
        <x:v>Concept/compositional transfer</x:v>
      </x:c>
      <x:c r="I84" s="9" t="str">
        <x:v>SR-CT23</x:v>
      </x:c>
      <x:c r="J84" s="9" t="str">
        <x:v>Primary held-out state-object composition</x:v>
      </x:c>
      <x:c r="K84" s="9"/>
      <x:c r="L84" s="9" t="str">
        <x:v>107</x:v>
      </x:c>
      <x:c r="M84"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84" s="9" t="n">
        <x:v>4</x:v>
      </x:c>
      <x:c r="O84" s="9" t="str">
        <x:v>Build the listed same-category discrimination scene with the bowl empty.</x:v>
      </x:c>
      <x:c r="P84" s="9" t="str">
        <x:v>Two same-category candidates share the non-queried state axis; only the held-out state word identifies the target. The orthogonal orientation axis is fixed: every object is RU.</x:v>
      </x:c>
      <x:c r="Q84" s="9"/>
      <x:c r="R84" s="10" t="n">
        <x:v>3</x:v>
      </x:c>
      <x:c r="S84" s="10" t="n">
        <x:v>1</x:v>
      </x:c>
      <x:c r="T84" s="9" t="str">
        <x:v>Empty</x:v>
      </x:c>
      <x:c r="U84" s="9" t="str">
        <x:v>C</x:v>
      </x:c>
      <x:c r="V84" s="9" t="str">
        <x:v>brown cup</x:v>
      </x:c>
      <x:c r="W84" s="9"/>
      <x:c r="X84" s="10"/>
      <x:c r="Y84" s="10"/>
      <x:c r="Z84" s="9"/>
      <x:c r="AA84" s="9"/>
      <x:c r="AB84" s="9"/>
      <x:c r="AC84" s="9"/>
      <x:c r="AD84" s="9"/>
      <x:c r="AE84" s="9"/>
      <x:c r="AF84" s="9"/>
      <x:c r="AG84" s="9"/>
      <x:c r="AH84" s="9"/>
      <x:c r="AI84" s="11"/>
      <x:c r="AJ84" s="9"/>
      <x:c r="AK84" s="9" t="str">
        <x:v>Eval_State_Recognition.xlsm</x:v>
      </x:c>
      <x:c r="AL84" s="9" t="str">
        <x:v>MolmoAct2 Results</x:v>
      </x:c>
      <x:c r="AM84" s="9" t="n">
        <x:v>84</x:v>
      </x:c>
      <x:c r="AN84" s="9" t="n">
        <x:v>84</x:v>
      </x:c>
    </x:row>
    <x:row r="85">
      <x:c r="A85" s="9" t="str">
        <x:v>Failure</x:v>
      </x:c>
      <x:c r="B85" s="9" t="str">
        <x:v>State Recognition</x:v>
      </x:c>
      <x:c r="C85" s="10" t="n">
        <x:v>83</x:v>
      </x:c>
      <x:c r="D85" s="9" t="str">
        <x:v>Place the upright glass spice container in the bowl.</x:v>
      </x:c>
      <x:c r="E85" s="9" t="str">
        <x:v>glass spice container B (O, RU); glass spice container A (O, UD); brown cup B (O, UD); white cup A (C, RU)</x:v>
      </x:c>
      <x:c r="F85" s="9" t="str">
        <x:v>glass spice container B</x:v>
      </x:c>
      <x:c r="G85" s="9" t="str">
        <x:v>placed the upside down container</x:v>
      </x:c>
      <x:c r="H85" s="9" t="str">
        <x:v>Concept/compositional transfer</x:v>
      </x:c>
      <x:c r="I85" s="9" t="str">
        <x:v>SR-CT24</x:v>
      </x:c>
      <x:c r="J85" s="9" t="str">
        <x:v>Primary held-out state-object composition</x:v>
      </x:c>
      <x:c r="K85" s="9"/>
      <x:c r="L85" s="9" t="str">
        <x:v>183</x:v>
      </x:c>
      <x:c r="M85" s="9" t="str">
        <x:v>Physical-state and manipulation-trajectory reference under a direct category prompt; the evaluated state word × object-category cell is intentionally absent from training.</x:v>
      </x:c>
      <x:c r="N85" s="9" t="n">
        <x:v>4</x:v>
      </x:c>
      <x:c r="O85" s="9" t="str">
        <x:v>Build the listed same-category discrimination scene with the bowl empty.</x:v>
      </x:c>
      <x:c r="P85" s="9" t="str">
        <x:v>Two same-category candidates share the non-queried state axis; only the held-out state word identifies the target. The same-category candidates share the orthogonal C/O state (O).</x:v>
      </x:c>
      <x:c r="Q85" s="9"/>
      <x:c r="R85" s="10" t="n">
        <x:v>4</x:v>
      </x:c>
      <x:c r="S85" s="10" t="n">
        <x:v>1</x:v>
      </x:c>
      <x:c r="T85" s="9" t="str">
        <x:v>Empty</x:v>
      </x:c>
      <x:c r="U85" s="9" t="str">
        <x:v>RU</x:v>
      </x:c>
      <x:c r="V85" s="9" t="str">
        <x:v>glass spice container</x:v>
      </x:c>
      <x:c r="W85" s="9"/>
      <x:c r="X85" s="10"/>
      <x:c r="Y85" s="10"/>
      <x:c r="Z85" s="9"/>
      <x:c r="AA85" s="9"/>
      <x:c r="AB85" s="9"/>
      <x:c r="AC85" s="9"/>
      <x:c r="AD85" s="9"/>
      <x:c r="AE85" s="9"/>
      <x:c r="AF85" s="9"/>
      <x:c r="AG85" s="9"/>
      <x:c r="AH85" s="9"/>
      <x:c r="AI85" s="11"/>
      <x:c r="AJ85" s="9"/>
      <x:c r="AK85" s="9" t="str">
        <x:v>Eval_State_Recognition.xlsm</x:v>
      </x:c>
      <x:c r="AL85" s="9" t="str">
        <x:v>MolmoAct2 Results</x:v>
      </x:c>
      <x:c r="AM85" s="9" t="n">
        <x:v>85</x:v>
      </x:c>
      <x:c r="AN85" s="9" t="n">
        <x:v>85</x:v>
      </x:c>
    </x:row>
    <x:row r="86">
      <x:c r="A86" s="9" t="str">
        <x:v>Success</x:v>
      </x:c>
      <x:c r="B86" s="9" t="str">
        <x:v>State Recognition</x:v>
      </x:c>
      <x:c r="C86" s="10" t="n">
        <x:v>84</x:v>
      </x:c>
      <x:c r="D86" s="9" t="str">
        <x:v>Place the upside-down white cup in the bowl.</x:v>
      </x:c>
      <x:c r="E86" s="9" t="str">
        <x:v>white cup A (C, UD); white cup B (C, RU)</x:v>
      </x:c>
      <x:c r="F86" s="9" t="str">
        <x:v>white cup A</x:v>
      </x:c>
      <x:c r="G86" s="9"/>
      <x:c r="H86" s="9" t="str">
        <x:v>Concept/compositional transfer</x:v>
      </x:c>
      <x:c r="I86" s="9" t="str">
        <x:v>SR-CT25</x:v>
      </x:c>
      <x:c r="J86" s="9" t="str">
        <x:v>Primary held-out state-object composition</x:v>
      </x:c>
      <x:c r="K86" s="9"/>
      <x:c r="L86" s="9" t="str">
        <x:v>39</x:v>
      </x:c>
      <x:c r="M86" s="9" t="str">
        <x:v>Physical-state and manipulation-trajectory reference under a direct category prompt; the evaluated state word × object-category cell is intentionally absent from training.</x:v>
      </x:c>
      <x:c r="N86" s="9" t="n">
        <x:v>4</x:v>
      </x:c>
      <x:c r="O86" s="9" t="str">
        <x:v>Build the listed same-category discrimination scene with the bowl empty.</x:v>
      </x:c>
      <x:c r="P86" s="9" t="str">
        <x:v>Two same-category candidates share the non-queried state axis; only the held-out state word identifies the target. The same-category candidates share the orthogonal C/O state (C).</x:v>
      </x:c>
      <x:c r="Q86" s="9"/>
      <x:c r="R86" s="10" t="n">
        <x:v>2</x:v>
      </x:c>
      <x:c r="S86" s="10" t="n">
        <x:v>1</x:v>
      </x:c>
      <x:c r="T86" s="9" t="str">
        <x:v>Empty</x:v>
      </x:c>
      <x:c r="U86" s="9" t="str">
        <x:v>UD</x:v>
      </x:c>
      <x:c r="V86" s="9" t="str">
        <x:v>white cup</x:v>
      </x:c>
      <x:c r="W86" s="9"/>
      <x:c r="X86" s="10"/>
      <x:c r="Y86" s="10"/>
      <x:c r="Z86" s="9"/>
      <x:c r="AA86" s="9"/>
      <x:c r="AB86" s="9"/>
      <x:c r="AC86" s="9"/>
      <x:c r="AD86" s="9"/>
      <x:c r="AE86" s="9"/>
      <x:c r="AF86" s="9"/>
      <x:c r="AG86" s="9"/>
      <x:c r="AH86" s="9"/>
      <x:c r="AI86" s="11"/>
      <x:c r="AJ86" s="9"/>
      <x:c r="AK86" s="9" t="str">
        <x:v>Eval_State_Recognition.xlsm</x:v>
      </x:c>
      <x:c r="AL86" s="9" t="str">
        <x:v>MolmoAct2 Results</x:v>
      </x:c>
      <x:c r="AM86" s="9" t="n">
        <x:v>86</x:v>
      </x:c>
      <x:c r="AN86" s="9" t="n">
        <x:v>86</x:v>
      </x:c>
    </x:row>
    <x:row r="87">
      <x:c r="A87" s="9" t="str">
        <x:v>Success</x:v>
      </x:c>
      <x:c r="B87" s="9" t="str">
        <x:v>State Recognition</x:v>
      </x:c>
      <x:c r="C87" s="10" t="n">
        <x:v>85</x:v>
      </x:c>
      <x:c r="D87" s="9" t="str">
        <x:v>Place the open yellow-white striped cup in the bowl.</x:v>
      </x:c>
      <x:c r="E87" s="9" t="str">
        <x:v>yellow-white striped cup B (O, RU); yellow-white striped cup A (C, RU); brown cup B (O, RU)</x:v>
      </x:c>
      <x:c r="F87" s="9" t="str">
        <x:v>yellow-white striped cup B</x:v>
      </x:c>
      <x:c r="G87" s="9"/>
      <x:c r="H87" s="9" t="str">
        <x:v>Concept/compositional transfer</x:v>
      </x:c>
      <x:c r="I87" s="9" t="str">
        <x:v>SR-CT26</x:v>
      </x:c>
      <x:c r="J87" s="9" t="str">
        <x:v>Primary held-out state-object composition</x:v>
      </x:c>
      <x:c r="K87" s="9"/>
      <x:c r="L87" s="9" t="str">
        <x:v>64</x:v>
      </x:c>
      <x:c r="M87"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87" s="9" t="n">
        <x:v>4</x:v>
      </x:c>
      <x:c r="O87" s="9" t="str">
        <x:v>Build the listed same-category discrimination scene with the bowl empty.</x:v>
      </x:c>
      <x:c r="P87" s="9" t="str">
        <x:v>Two same-category candidates share the non-queried state axis; only the held-out state word identifies the target. The orthogonal orientation axis is fixed: every object is RU.</x:v>
      </x:c>
      <x:c r="Q87" s="9"/>
      <x:c r="R87" s="10" t="n">
        <x:v>3</x:v>
      </x:c>
      <x:c r="S87" s="10" t="n">
        <x:v>1</x:v>
      </x:c>
      <x:c r="T87" s="9" t="str">
        <x:v>Empty</x:v>
      </x:c>
      <x:c r="U87" s="9" t="str">
        <x:v>O</x:v>
      </x:c>
      <x:c r="V87" s="9" t="str">
        <x:v>yellow-white striped cup</x:v>
      </x:c>
      <x:c r="W87" s="9"/>
      <x:c r="X87" s="10"/>
      <x:c r="Y87" s="10"/>
      <x:c r="Z87" s="9"/>
      <x:c r="AA87" s="9"/>
      <x:c r="AB87" s="9"/>
      <x:c r="AC87" s="9"/>
      <x:c r="AD87" s="9"/>
      <x:c r="AE87" s="9"/>
      <x:c r="AF87" s="9"/>
      <x:c r="AG87" s="9"/>
      <x:c r="AH87" s="9"/>
      <x:c r="AI87" s="11"/>
      <x:c r="AJ87" s="9"/>
      <x:c r="AK87" s="9" t="str">
        <x:v>Eval_State_Recognition.xlsm</x:v>
      </x:c>
      <x:c r="AL87" s="9" t="str">
        <x:v>MolmoAct2 Results</x:v>
      </x:c>
      <x:c r="AM87" s="9" t="n">
        <x:v>87</x:v>
      </x:c>
      <x:c r="AN87" s="9" t="n">
        <x:v>87</x:v>
      </x:c>
    </x:row>
    <x:row r="88">
      <x:c r="A88" s="9" t="str">
        <x:v>Failure</x:v>
      </x:c>
      <x:c r="B88" s="9" t="str">
        <x:v>State Recognition</x:v>
      </x:c>
      <x:c r="C88" s="10" t="n">
        <x:v>86</x:v>
      </x:c>
      <x:c r="D88" s="9" t="str">
        <x:v>Place the closed brown cup in the bowl.</x:v>
      </x:c>
      <x:c r="E88" s="9" t="str">
        <x:v>brown cup A (C, RU); brown cup B (O, RU); glass spice container A (C, RU); white cup B (O, RU)</x:v>
      </x:c>
      <x:c r="F88" s="9" t="str">
        <x:v>brown cup A</x:v>
      </x:c>
      <x:c r="G88" s="9" t="str">
        <x:v>tried to place the closed glass container in the bowl, knocked it over, then knocked everything else over lol.  failed reasoning and grasping</x:v>
      </x:c>
      <x:c r="H88" s="9" t="str">
        <x:v>Concept/compositional transfer</x:v>
      </x:c>
      <x:c r="I88" s="9" t="str">
        <x:v>SR-CT27</x:v>
      </x:c>
      <x:c r="J88" s="9" t="str">
        <x:v>Primary held-out state-object composition</x:v>
      </x:c>
      <x:c r="K88" s="9"/>
      <x:c r="L88" s="9" t="str">
        <x:v>143</x:v>
      </x:c>
      <x:c r="M88"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88" s="9" t="n">
        <x:v>4</x:v>
      </x:c>
      <x:c r="O88" s="9" t="str">
        <x:v>Build the listed same-category discrimination scene with the bowl empty.</x:v>
      </x:c>
      <x:c r="P88" s="9" t="str">
        <x:v>Two same-category candidates share the non-queried state axis; only the held-out state word identifies the target. The orthogonal orientation axis is fixed: every object is RU.</x:v>
      </x:c>
      <x:c r="Q88" s="9"/>
      <x:c r="R88" s="10" t="n">
        <x:v>4</x:v>
      </x:c>
      <x:c r="S88" s="10" t="n">
        <x:v>1</x:v>
      </x:c>
      <x:c r="T88" s="9" t="str">
        <x:v>Empty</x:v>
      </x:c>
      <x:c r="U88" s="9" t="str">
        <x:v>C</x:v>
      </x:c>
      <x:c r="V88" s="9" t="str">
        <x:v>brown cup</x:v>
      </x:c>
      <x:c r="W88" s="9"/>
      <x:c r="X88" s="10"/>
      <x:c r="Y88" s="10"/>
      <x:c r="Z88" s="9"/>
      <x:c r="AA88" s="9"/>
      <x:c r="AB88" s="9"/>
      <x:c r="AC88" s="9"/>
      <x:c r="AD88" s="9"/>
      <x:c r="AE88" s="9"/>
      <x:c r="AF88" s="9"/>
      <x:c r="AG88" s="9"/>
      <x:c r="AH88" s="9"/>
      <x:c r="AI88" s="11"/>
      <x:c r="AJ88" s="9"/>
      <x:c r="AK88" s="9" t="str">
        <x:v>Eval_State_Recognition.xlsm</x:v>
      </x:c>
      <x:c r="AL88" s="9" t="str">
        <x:v>MolmoAct2 Results</x:v>
      </x:c>
      <x:c r="AM88" s="9" t="n">
        <x:v>88</x:v>
      </x:c>
      <x:c r="AN88" s="9" t="n">
        <x:v>88</x:v>
      </x:c>
    </x:row>
    <x:row r="89">
      <x:c r="A89" s="9" t="str">
        <x:v>Failure</x:v>
      </x:c>
      <x:c r="B89" s="9" t="str">
        <x:v>State Recognition</x:v>
      </x:c>
      <x:c r="C89" s="10" t="n">
        <x:v>87</x:v>
      </x:c>
      <x:c r="D89" s="9" t="str">
        <x:v>Place the upright glass spice container in the bowl.</x:v>
      </x:c>
      <x:c r="E89" s="9" t="str">
        <x:v>glass spice container B (C, RU); glass spice container A (C, UD)</x:v>
      </x:c>
      <x:c r="F89" s="9" t="str">
        <x:v>glass spice container B</x:v>
      </x:c>
      <x:c r="G89" s="9" t="str">
        <x:v>picked upside down one</x:v>
      </x:c>
      <x:c r="H89" s="9" t="str">
        <x:v>Concept/compositional transfer</x:v>
      </x:c>
      <x:c r="I89" s="9" t="str">
        <x:v>SR-CT28</x:v>
      </x:c>
      <x:c r="J89" s="9" t="str">
        <x:v>Primary held-out state-object composition</x:v>
      </x:c>
      <x:c r="K89" s="9"/>
      <x:c r="L89" s="9" t="str">
        <x:v>182</x:v>
      </x:c>
      <x:c r="M89" s="9" t="str">
        <x:v>Physical-state and manipulation-trajectory reference under a direct category prompt; the evaluated state word × object-category cell is intentionally absent from training.</x:v>
      </x:c>
      <x:c r="N89" s="9" t="n">
        <x:v>4</x:v>
      </x:c>
      <x:c r="O89" s="9" t="str">
        <x:v>Build the listed same-category discrimination scene with the bowl empty.</x:v>
      </x:c>
      <x:c r="P89" s="9" t="str">
        <x:v>Two same-category candidates share the non-queried state axis; only the held-out state word identifies the target. The same-category candidates share the orthogonal C/O state (C).</x:v>
      </x:c>
      <x:c r="Q89" s="9"/>
      <x:c r="R89" s="10" t="n">
        <x:v>2</x:v>
      </x:c>
      <x:c r="S89" s="10" t="n">
        <x:v>1</x:v>
      </x:c>
      <x:c r="T89" s="9" t="str">
        <x:v>Empty</x:v>
      </x:c>
      <x:c r="U89" s="9" t="str">
        <x:v>RU</x:v>
      </x:c>
      <x:c r="V89" s="9" t="str">
        <x:v>glass spice container</x:v>
      </x:c>
      <x:c r="W89" s="9"/>
      <x:c r="X89" s="10"/>
      <x:c r="Y89" s="10"/>
      <x:c r="Z89" s="9"/>
      <x:c r="AA89" s="9"/>
      <x:c r="AB89" s="9"/>
      <x:c r="AC89" s="9"/>
      <x:c r="AD89" s="9"/>
      <x:c r="AE89" s="9"/>
      <x:c r="AF89" s="9"/>
      <x:c r="AG89" s="9"/>
      <x:c r="AH89" s="9"/>
      <x:c r="AI89" s="11"/>
      <x:c r="AJ89" s="9"/>
      <x:c r="AK89" s="9" t="str">
        <x:v>Eval_State_Recognition.xlsm</x:v>
      </x:c>
      <x:c r="AL89" s="9" t="str">
        <x:v>MolmoAct2 Results</x:v>
      </x:c>
      <x:c r="AM89" s="9" t="n">
        <x:v>89</x:v>
      </x:c>
      <x:c r="AN89" s="9" t="n">
        <x:v>89</x:v>
      </x:c>
    </x:row>
    <x:row r="90">
      <x:c r="A90" s="9" t="str">
        <x:v>Success</x:v>
      </x:c>
      <x:c r="B90" s="9" t="str">
        <x:v>State Recognition</x:v>
      </x:c>
      <x:c r="C90" s="10" t="n">
        <x:v>88</x:v>
      </x:c>
      <x:c r="D90" s="9" t="str">
        <x:v>Place the upside-down white cup in the bowl.</x:v>
      </x:c>
      <x:c r="E90" s="9" t="str">
        <x:v>white cup A (O, UD); white cup B (O, RU); brown cup A (C, RU)</x:v>
      </x:c>
      <x:c r="F90" s="9" t="str">
        <x:v>white cup A</x:v>
      </x:c>
      <x:c r="G90" s="9"/>
      <x:c r="H90" s="9" t="str">
        <x:v>Concept/compositional transfer</x:v>
      </x:c>
      <x:c r="I90" s="9" t="str">
        <x:v>SR-CT29</x:v>
      </x:c>
      <x:c r="J90" s="9" t="str">
        <x:v>Primary held-out state-object composition</x:v>
      </x:c>
      <x:c r="K90" s="9"/>
      <x:c r="L90" s="9" t="str">
        <x:v>49</x:v>
      </x:c>
      <x:c r="M90" s="9" t="str">
        <x:v>Physical-state and manipulation-trajectory reference under a direct category prompt; the evaluated state word × object-category cell is intentionally absent from training.</x:v>
      </x:c>
      <x:c r="N90" s="9" t="n">
        <x:v>4</x:v>
      </x:c>
      <x:c r="O90" s="9" t="str">
        <x:v>Build the listed same-category discrimination scene with the bowl empty.</x:v>
      </x:c>
      <x:c r="P90" s="9" t="str">
        <x:v>Two same-category candidates share the non-queried state axis; only the held-out state word identifies the target. The same-category candidates share the orthogonal C/O state (O).</x:v>
      </x:c>
      <x:c r="Q90" s="9"/>
      <x:c r="R90" s="10" t="n">
        <x:v>3</x:v>
      </x:c>
      <x:c r="S90" s="10" t="n">
        <x:v>1</x:v>
      </x:c>
      <x:c r="T90" s="9" t="str">
        <x:v>Empty</x:v>
      </x:c>
      <x:c r="U90" s="9" t="str">
        <x:v>UD</x:v>
      </x:c>
      <x:c r="V90" s="9" t="str">
        <x:v>white cup</x:v>
      </x:c>
      <x:c r="W90" s="9"/>
      <x:c r="X90" s="10"/>
      <x:c r="Y90" s="10"/>
      <x:c r="Z90" s="9"/>
      <x:c r="AA90" s="9"/>
      <x:c r="AB90" s="9"/>
      <x:c r="AC90" s="9"/>
      <x:c r="AD90" s="9"/>
      <x:c r="AE90" s="9"/>
      <x:c r="AF90" s="9"/>
      <x:c r="AG90" s="9"/>
      <x:c r="AH90" s="9"/>
      <x:c r="AI90" s="11"/>
      <x:c r="AJ90" s="9"/>
      <x:c r="AK90" s="9" t="str">
        <x:v>Eval_State_Recognition.xlsm</x:v>
      </x:c>
      <x:c r="AL90" s="9" t="str">
        <x:v>MolmoAct2 Results</x:v>
      </x:c>
      <x:c r="AM90" s="9" t="n">
        <x:v>90</x:v>
      </x:c>
      <x:c r="AN90" s="9" t="n">
        <x:v>90</x:v>
      </x:c>
    </x:row>
    <x:row r="91">
      <x:c r="A91" s="9" t="str">
        <x:v>Success</x:v>
      </x:c>
      <x:c r="B91" s="9" t="str">
        <x:v>State Recognition</x:v>
      </x:c>
      <x:c r="C91" s="10" t="n">
        <x:v>89</x:v>
      </x:c>
      <x:c r="D91" s="9" t="str">
        <x:v>Place the open yellow-white striped cup in the bowl.</x:v>
      </x:c>
      <x:c r="E91" s="9" t="str">
        <x:v>yellow-white striped cup B (O, RU); yellow-white striped cup A (C, RU); glass spice container B (O, RU); white cup A (C, RU)</x:v>
      </x:c>
      <x:c r="F91" s="9" t="str">
        <x:v>yellow-white striped cup B</x:v>
      </x:c>
      <x:c r="G91" s="9"/>
      <x:c r="H91" s="9" t="str">
        <x:v>Concept/compositional transfer</x:v>
      </x:c>
      <x:c r="I91" s="9" t="str">
        <x:v>SR-CT30</x:v>
      </x:c>
      <x:c r="J91" s="9" t="str">
        <x:v>Primary held-out state-object composition</x:v>
      </x:c>
      <x:c r="K91" s="9"/>
      <x:c r="L91" s="9" t="str">
        <x:v>53</x:v>
      </x:c>
      <x:c r="M91"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91" s="9" t="n">
        <x:v>4</x:v>
      </x:c>
      <x:c r="O91" s="9" t="str">
        <x:v>Build the listed same-category discrimination scene with the bowl empty.</x:v>
      </x:c>
      <x:c r="P91" s="9" t="str">
        <x:v>Two same-category candidates share the non-queried state axis; only the held-out state word identifies the target. The orthogonal orientation axis is fixed: every object is RU.</x:v>
      </x:c>
      <x:c r="Q91" s="9"/>
      <x:c r="R91" s="10" t="n">
        <x:v>4</x:v>
      </x:c>
      <x:c r="S91" s="10" t="n">
        <x:v>1</x:v>
      </x:c>
      <x:c r="T91" s="9" t="str">
        <x:v>Empty</x:v>
      </x:c>
      <x:c r="U91" s="9" t="str">
        <x:v>O</x:v>
      </x:c>
      <x:c r="V91" s="9" t="str">
        <x:v>yellow-white striped cup</x:v>
      </x:c>
      <x:c r="W91" s="9"/>
      <x:c r="X91" s="10"/>
      <x:c r="Y91" s="10"/>
      <x:c r="Z91" s="9"/>
      <x:c r="AA91" s="9"/>
      <x:c r="AB91" s="9"/>
      <x:c r="AC91" s="9"/>
      <x:c r="AD91" s="9"/>
      <x:c r="AE91" s="9"/>
      <x:c r="AF91" s="9"/>
      <x:c r="AG91" s="9"/>
      <x:c r="AH91" s="9"/>
      <x:c r="AI91" s="11"/>
      <x:c r="AJ91" s="9"/>
      <x:c r="AK91" s="9" t="str">
        <x:v>Eval_State_Recognition.xlsm</x:v>
      </x:c>
      <x:c r="AL91" s="9" t="str">
        <x:v>MolmoAct2 Results</x:v>
      </x:c>
      <x:c r="AM91" s="9" t="n">
        <x:v>91</x:v>
      </x:c>
      <x:c r="AN91" s="9" t="n">
        <x:v>91</x:v>
      </x:c>
    </x:row>
    <x:row r="92">
      <x:c r="A92" s="9" t="str">
        <x:v>Success</x:v>
      </x:c>
      <x:c r="B92" s="9" t="str">
        <x:v>State Recognition</x:v>
      </x:c>
      <x:c r="C92" s="10" t="n">
        <x:v>90</x:v>
      </x:c>
      <x:c r="D92" s="9" t="str">
        <x:v>Place the closed brown cup in the bowl.</x:v>
      </x:c>
      <x:c r="E92" s="9" t="str">
        <x:v>brown cup A (C, RU); brown cup B (O, RU)</x:v>
      </x:c>
      <x:c r="F92" s="9" t="str">
        <x:v>brown cup A</x:v>
      </x:c>
      <x:c r="G92" s="9"/>
      <x:c r="H92" s="9" t="str">
        <x:v>Concept/compositional transfer</x:v>
      </x:c>
      <x:c r="I92" s="9" t="str">
        <x:v>SR-CT31</x:v>
      </x:c>
      <x:c r="J92" s="9" t="str">
        <x:v>Primary held-out state-object composition</x:v>
      </x:c>
      <x:c r="K92" s="9"/>
      <x:c r="L92" s="9" t="str">
        <x:v>129</x:v>
      </x:c>
      <x:c r="M92"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92" s="9" t="n">
        <x:v>4</x:v>
      </x:c>
      <x:c r="O92" s="9" t="str">
        <x:v>Build the listed same-category discrimination scene with the bowl empty.</x:v>
      </x:c>
      <x:c r="P92" s="9" t="str">
        <x:v>Two same-category candidates share the non-queried state axis; only the held-out state word identifies the target. The orthogonal orientation axis is fixed: every object is RU.</x:v>
      </x:c>
      <x:c r="Q92" s="9"/>
      <x:c r="R92" s="10" t="n">
        <x:v>2</x:v>
      </x:c>
      <x:c r="S92" s="10" t="n">
        <x:v>1</x:v>
      </x:c>
      <x:c r="T92" s="9" t="str">
        <x:v>Empty</x:v>
      </x:c>
      <x:c r="U92" s="9" t="str">
        <x:v>C</x:v>
      </x:c>
      <x:c r="V92" s="9" t="str">
        <x:v>brown cup</x:v>
      </x:c>
      <x:c r="W92" s="9"/>
      <x:c r="X92" s="10"/>
      <x:c r="Y92" s="10"/>
      <x:c r="Z92" s="9"/>
      <x:c r="AA92" s="9"/>
      <x:c r="AB92" s="9"/>
      <x:c r="AC92" s="9"/>
      <x:c r="AD92" s="9"/>
      <x:c r="AE92" s="9"/>
      <x:c r="AF92" s="9"/>
      <x:c r="AG92" s="9"/>
      <x:c r="AH92" s="9"/>
      <x:c r="AI92" s="11"/>
      <x:c r="AJ92" s="9"/>
      <x:c r="AK92" s="9" t="str">
        <x:v>Eval_State_Recognition.xlsm</x:v>
      </x:c>
      <x:c r="AL92" s="9" t="str">
        <x:v>MolmoAct2 Results</x:v>
      </x:c>
      <x:c r="AM92" s="9" t="n">
        <x:v>92</x:v>
      </x:c>
      <x:c r="AN92" s="9" t="n">
        <x:v>92</x:v>
      </x:c>
    </x:row>
    <x:row r="93">
      <x:c r="A93" s="9" t="str">
        <x:v>Failure</x:v>
      </x:c>
      <x:c r="B93" s="9" t="str">
        <x:v>State Recognition</x:v>
      </x:c>
      <x:c r="C93" s="10" t="n">
        <x:v>91</x:v>
      </x:c>
      <x:c r="D93" s="9" t="str">
        <x:v>Place the upright glass spice container in the bowl.</x:v>
      </x:c>
      <x:c r="E93" s="9" t="str">
        <x:v>glass spice container B (O, RU); glass spice container A (O, UD); yellow-white striped cup B (O, UD)</x:v>
      </x:c>
      <x:c r="F93" s="9" t="str">
        <x:v>glass spice container B</x:v>
      </x:c>
      <x:c r="G93" s="9" t="str">
        <x:v>placed upside down jar in bowl</x:v>
      </x:c>
      <x:c r="H93" s="9" t="str">
        <x:v>Concept/compositional transfer</x:v>
      </x:c>
      <x:c r="I93" s="9" t="str">
        <x:v>SR-CT32</x:v>
      </x:c>
      <x:c r="J93" s="9" t="str">
        <x:v>Primary held-out state-object composition</x:v>
      </x:c>
      <x:c r="K93" s="9"/>
      <x:c r="L93" s="9" t="str">
        <x:v>197</x:v>
      </x:c>
      <x:c r="M93" s="9" t="str">
        <x:v>Physical-state and manipulation-trajectory reference under a direct category prompt; the evaluated state word × object-category cell is intentionally absent from training.</x:v>
      </x:c>
      <x:c r="N93" s="9" t="n">
        <x:v>4</x:v>
      </x:c>
      <x:c r="O93" s="9" t="str">
        <x:v>Build the listed same-category discrimination scene with the bowl empty.</x:v>
      </x:c>
      <x:c r="P93" s="9" t="str">
        <x:v>Two same-category candidates share the non-queried state axis; only the held-out state word identifies the target. The same-category candidates share the orthogonal C/O state (O).</x:v>
      </x:c>
      <x:c r="Q93" s="9"/>
      <x:c r="R93" s="10" t="n">
        <x:v>3</x:v>
      </x:c>
      <x:c r="S93" s="10" t="n">
        <x:v>1</x:v>
      </x:c>
      <x:c r="T93" s="9" t="str">
        <x:v>Empty</x:v>
      </x:c>
      <x:c r="U93" s="9" t="str">
        <x:v>RU</x:v>
      </x:c>
      <x:c r="V93" s="9" t="str">
        <x:v>glass spice container</x:v>
      </x:c>
      <x:c r="W93" s="9"/>
      <x:c r="X93" s="10"/>
      <x:c r="Y93" s="10"/>
      <x:c r="Z93" s="9"/>
      <x:c r="AA93" s="9"/>
      <x:c r="AB93" s="9"/>
      <x:c r="AC93" s="9"/>
      <x:c r="AD93" s="9"/>
      <x:c r="AE93" s="9"/>
      <x:c r="AF93" s="9"/>
      <x:c r="AG93" s="9"/>
      <x:c r="AH93" s="9"/>
      <x:c r="AI93" s="11"/>
      <x:c r="AJ93" s="9"/>
      <x:c r="AK93" s="9" t="str">
        <x:v>Eval_State_Recognition.xlsm</x:v>
      </x:c>
      <x:c r="AL93" s="9" t="str">
        <x:v>MolmoAct2 Results</x:v>
      </x:c>
      <x:c r="AM93" s="9" t="n">
        <x:v>93</x:v>
      </x:c>
      <x:c r="AN93" s="9" t="n">
        <x:v>93</x:v>
      </x:c>
    </x:row>
    <x:row r="94">
      <x:c r="A94" s="9" t="str">
        <x:v>Success</x:v>
      </x:c>
      <x:c r="B94" s="9" t="str">
        <x:v>State Recognition</x:v>
      </x:c>
      <x:c r="C94" s="10" t="n">
        <x:v>92</x:v>
      </x:c>
      <x:c r="D94" s="9" t="str">
        <x:v>Place the upside-down white cup in the bowl.</x:v>
      </x:c>
      <x:c r="E94" s="9" t="str">
        <x:v>white cup A (C, UD); white cup B (C, RU); glass spice container A (C, RU); yellow-white striped cup B (O, RU)</x:v>
      </x:c>
      <x:c r="F94" s="9" t="str">
        <x:v>white cup A</x:v>
      </x:c>
      <x:c r="G94" s="9"/>
      <x:c r="H94" s="9" t="str">
        <x:v>Concept/compositional transfer</x:v>
      </x:c>
      <x:c r="I94" s="9" t="str">
        <x:v>SR-CT33</x:v>
      </x:c>
      <x:c r="J94" s="9" t="str">
        <x:v>Primary held-out state-object composition</x:v>
      </x:c>
      <x:c r="K94" s="9"/>
      <x:c r="L94" s="9" t="str">
        <x:v>35</x:v>
      </x:c>
      <x:c r="M94" s="9" t="str">
        <x:v>Physical-state and manipulation-trajectory reference under a direct category prompt; the evaluated state word × object-category cell is intentionally absent from training.</x:v>
      </x:c>
      <x:c r="N94" s="9" t="n">
        <x:v>4</x:v>
      </x:c>
      <x:c r="O94" s="9" t="str">
        <x:v>Build the listed same-category discrimination scene with the bowl empty.</x:v>
      </x:c>
      <x:c r="P94" s="9" t="str">
        <x:v>Two same-category candidates share the non-queried state axis; only the held-out state word identifies the target. The same-category candidates share the orthogonal C/O state (C).</x:v>
      </x:c>
      <x:c r="Q94" s="9"/>
      <x:c r="R94" s="10" t="n">
        <x:v>4</x:v>
      </x:c>
      <x:c r="S94" s="10" t="n">
        <x:v>1</x:v>
      </x:c>
      <x:c r="T94" s="9" t="str">
        <x:v>Empty</x:v>
      </x:c>
      <x:c r="U94" s="9" t="str">
        <x:v>UD</x:v>
      </x:c>
      <x:c r="V94" s="9" t="str">
        <x:v>white cup</x:v>
      </x:c>
      <x:c r="W94" s="9"/>
      <x:c r="X94" s="10"/>
      <x:c r="Y94" s="10"/>
      <x:c r="Z94" s="9"/>
      <x:c r="AA94" s="9"/>
      <x:c r="AB94" s="9"/>
      <x:c r="AC94" s="9"/>
      <x:c r="AD94" s="9"/>
      <x:c r="AE94" s="9"/>
      <x:c r="AF94" s="9"/>
      <x:c r="AG94" s="9"/>
      <x:c r="AH94" s="9"/>
      <x:c r="AI94" s="11"/>
      <x:c r="AJ94" s="9"/>
      <x:c r="AK94" s="9" t="str">
        <x:v>Eval_State_Recognition.xlsm</x:v>
      </x:c>
      <x:c r="AL94" s="9" t="str">
        <x:v>MolmoAct2 Results</x:v>
      </x:c>
      <x:c r="AM94" s="9" t="n">
        <x:v>94</x:v>
      </x:c>
      <x:c r="AN94" s="9" t="n">
        <x:v>94</x:v>
      </x:c>
    </x:row>
    <x:row r="95">
      <x:c r="A95" s="9" t="str">
        <x:v>Success</x:v>
      </x:c>
      <x:c r="B95" s="9" t="str">
        <x:v>State Recognition</x:v>
      </x:c>
      <x:c r="C95" s="10" t="n">
        <x:v>93</x:v>
      </x:c>
      <x:c r="D95" s="9" t="str">
        <x:v>Place the open yellow-white striped cup in the bowl.</x:v>
      </x:c>
      <x:c r="E95" s="9" t="str">
        <x:v>yellow-white striped cup B (O, RU); yellow-white striped cup A (C, RU)</x:v>
      </x:c>
      <x:c r="F95" s="9" t="str">
        <x:v>yellow-white striped cup B</x:v>
      </x:c>
      <x:c r="G95" s="9"/>
      <x:c r="H95" s="9" t="str">
        <x:v>Concept/compositional transfer</x:v>
      </x:c>
      <x:c r="I95" s="9" t="str">
        <x:v>SR-CT34</x:v>
      </x:c>
      <x:c r="J95" s="9" t="str">
        <x:v>Primary held-out state-object composition</x:v>
      </x:c>
      <x:c r="K95" s="9"/>
      <x:c r="L95" s="9" t="str">
        <x:v>71</x:v>
      </x:c>
      <x:c r="M95"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95" s="9" t="n">
        <x:v>4</x:v>
      </x:c>
      <x:c r="O95" s="9" t="str">
        <x:v>Build the listed same-category discrimination scene with the bowl empty.</x:v>
      </x:c>
      <x:c r="P95" s="9" t="str">
        <x:v>Two same-category candidates share the non-queried state axis; only the held-out state word identifies the target. The orthogonal orientation axis is fixed: every object is RU.</x:v>
      </x:c>
      <x:c r="Q95" s="9"/>
      <x:c r="R95" s="10" t="n">
        <x:v>2</x:v>
      </x:c>
      <x:c r="S95" s="10" t="n">
        <x:v>1</x:v>
      </x:c>
      <x:c r="T95" s="9" t="str">
        <x:v>Empty</x:v>
      </x:c>
      <x:c r="U95" s="9" t="str">
        <x:v>O</x:v>
      </x:c>
      <x:c r="V95" s="9" t="str">
        <x:v>yellow-white striped cup</x:v>
      </x:c>
      <x:c r="W95" s="9"/>
      <x:c r="X95" s="10"/>
      <x:c r="Y95" s="10"/>
      <x:c r="Z95" s="9"/>
      <x:c r="AA95" s="9"/>
      <x:c r="AB95" s="9"/>
      <x:c r="AC95" s="9"/>
      <x:c r="AD95" s="9"/>
      <x:c r="AE95" s="9"/>
      <x:c r="AF95" s="9"/>
      <x:c r="AG95" s="9"/>
      <x:c r="AH95" s="9"/>
      <x:c r="AI95" s="11"/>
      <x:c r="AJ95" s="9"/>
      <x:c r="AK95" s="9" t="str">
        <x:v>Eval_State_Recognition.xlsm</x:v>
      </x:c>
      <x:c r="AL95" s="9" t="str">
        <x:v>MolmoAct2 Results</x:v>
      </x:c>
      <x:c r="AM95" s="9" t="n">
        <x:v>95</x:v>
      </x:c>
      <x:c r="AN95" s="9" t="n">
        <x:v>95</x:v>
      </x:c>
    </x:row>
    <x:row r="96">
      <x:c r="A96" s="9" t="str">
        <x:v>Success</x:v>
      </x:c>
      <x:c r="B96" s="9" t="str">
        <x:v>State Recognition</x:v>
      </x:c>
      <x:c r="C96" s="10" t="n">
        <x:v>94</x:v>
      </x:c>
      <x:c r="D96" s="9" t="str">
        <x:v>Place the closed brown cup in the bowl.</x:v>
      </x:c>
      <x:c r="E96" s="9" t="str">
        <x:v>brown cup A (C, RU); brown cup B (O, RU); yellow-white striped cup A (C, RU)</x:v>
      </x:c>
      <x:c r="F96" s="9" t="str">
        <x:v>brown cup A</x:v>
      </x:c>
      <x:c r="G96" s="9"/>
      <x:c r="H96" s="9" t="str">
        <x:v>Concept/compositional transfer</x:v>
      </x:c>
      <x:c r="I96" s="9" t="str">
        <x:v>SR-CT35</x:v>
      </x:c>
      <x:c r="J96" s="9" t="str">
        <x:v>Primary held-out state-object composition</x:v>
      </x:c>
      <x:c r="K96" s="9"/>
      <x:c r="L96" s="9" t="str">
        <x:v>100</x:v>
      </x:c>
      <x:c r="M96"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96" s="9" t="n">
        <x:v>4</x:v>
      </x:c>
      <x:c r="O96" s="9" t="str">
        <x:v>Build the listed same-category discrimination scene with the bowl empty.</x:v>
      </x:c>
      <x:c r="P96" s="9" t="str">
        <x:v>Two same-category candidates share the non-queried state axis; only the held-out state word identifies the target. The orthogonal orientation axis is fixed: every object is RU.</x:v>
      </x:c>
      <x:c r="Q96" s="9"/>
      <x:c r="R96" s="10" t="n">
        <x:v>3</x:v>
      </x:c>
      <x:c r="S96" s="10" t="n">
        <x:v>1</x:v>
      </x:c>
      <x:c r="T96" s="9" t="str">
        <x:v>Empty</x:v>
      </x:c>
      <x:c r="U96" s="9" t="str">
        <x:v>C</x:v>
      </x:c>
      <x:c r="V96" s="9" t="str">
        <x:v>brown cup</x:v>
      </x:c>
      <x:c r="W96" s="9"/>
      <x:c r="X96" s="10"/>
      <x:c r="Y96" s="10"/>
      <x:c r="Z96" s="9"/>
      <x:c r="AA96" s="9"/>
      <x:c r="AB96" s="9"/>
      <x:c r="AC96" s="9"/>
      <x:c r="AD96" s="9"/>
      <x:c r="AE96" s="9"/>
      <x:c r="AF96" s="9"/>
      <x:c r="AG96" s="9"/>
      <x:c r="AH96" s="9"/>
      <x:c r="AI96" s="11"/>
      <x:c r="AJ96" s="9"/>
      <x:c r="AK96" s="9" t="str">
        <x:v>Eval_State_Recognition.xlsm</x:v>
      </x:c>
      <x:c r="AL96" s="9" t="str">
        <x:v>MolmoAct2 Results</x:v>
      </x:c>
      <x:c r="AM96" s="9" t="n">
        <x:v>96</x:v>
      </x:c>
      <x:c r="AN96" s="9" t="n">
        <x:v>96</x:v>
      </x:c>
    </x:row>
    <x:row r="97">
      <x:c r="A97" s="9" t="str">
        <x:v>Success</x:v>
      </x:c>
      <x:c r="B97" s="9" t="str">
        <x:v>State Recognition</x:v>
      </x:c>
      <x:c r="C97" s="10" t="n">
        <x:v>95</x:v>
      </x:c>
      <x:c r="D97" s="9" t="str">
        <x:v>Place the upright glass spice container in the bowl.</x:v>
      </x:c>
      <x:c r="E97" s="9" t="str">
        <x:v>glass spice container B (C, RU); glass spice container A (C, UD); brown cup B (O, UD); white cup A (C, RU)</x:v>
      </x:c>
      <x:c r="F97" s="9" t="str">
        <x:v>glass spice container B</x:v>
      </x:c>
      <x:c r="G97" s="9"/>
      <x:c r="H97" s="9" t="str">
        <x:v>Concept/compositional transfer</x:v>
      </x:c>
      <x:c r="I97" s="9" t="str">
        <x:v>SR-CT36</x:v>
      </x:c>
      <x:c r="J97" s="9" t="str">
        <x:v>Primary held-out state-object composition</x:v>
      </x:c>
      <x:c r="K97" s="9"/>
      <x:c r="L97" s="9" t="str">
        <x:v>169</x:v>
      </x:c>
      <x:c r="M97" s="9" t="str">
        <x:v>Physical-state and manipulation-trajectory reference under a direct category prompt; the evaluated state word × object-category cell is intentionally absent from training.</x:v>
      </x:c>
      <x:c r="N97" s="9" t="n">
        <x:v>4</x:v>
      </x:c>
      <x:c r="O97" s="9" t="str">
        <x:v>Build the listed same-category discrimination scene with the bowl empty.</x:v>
      </x:c>
      <x:c r="P97" s="9" t="str">
        <x:v>Two same-category candidates share the non-queried state axis; only the held-out state word identifies the target. The same-category candidates share the orthogonal C/O state (C).</x:v>
      </x:c>
      <x:c r="Q97" s="9"/>
      <x:c r="R97" s="10" t="n">
        <x:v>4</x:v>
      </x:c>
      <x:c r="S97" s="10" t="n">
        <x:v>1</x:v>
      </x:c>
      <x:c r="T97" s="9" t="str">
        <x:v>Empty</x:v>
      </x:c>
      <x:c r="U97" s="9" t="str">
        <x:v>RU</x:v>
      </x:c>
      <x:c r="V97" s="9" t="str">
        <x:v>glass spice container</x:v>
      </x:c>
      <x:c r="W97" s="9"/>
      <x:c r="X97" s="10"/>
      <x:c r="Y97" s="10"/>
      <x:c r="Z97" s="9"/>
      <x:c r="AA97" s="9"/>
      <x:c r="AB97" s="9"/>
      <x:c r="AC97" s="9"/>
      <x:c r="AD97" s="9"/>
      <x:c r="AE97" s="9"/>
      <x:c r="AF97" s="9"/>
      <x:c r="AG97" s="9"/>
      <x:c r="AH97" s="9"/>
      <x:c r="AI97" s="11"/>
      <x:c r="AJ97" s="9"/>
      <x:c r="AK97" s="9" t="str">
        <x:v>Eval_State_Recognition.xlsm</x:v>
      </x:c>
      <x:c r="AL97" s="9" t="str">
        <x:v>MolmoAct2 Results</x:v>
      </x:c>
      <x:c r="AM97" s="9" t="n">
        <x:v>97</x:v>
      </x:c>
      <x:c r="AN97" s="9" t="n">
        <x:v>97</x:v>
      </x:c>
    </x:row>
    <x:row r="98">
      <x:c r="A98" s="9" t="str">
        <x:v>Success</x:v>
      </x:c>
      <x:c r="B98" s="9" t="str">
        <x:v>State Recognition</x:v>
      </x:c>
      <x:c r="C98" s="10" t="n">
        <x:v>96</x:v>
      </x:c>
      <x:c r="D98" s="9" t="str">
        <x:v>Place the upside-down white cup in the bowl.</x:v>
      </x:c>
      <x:c r="E98" s="9" t="str">
        <x:v>white cup A (O, UD); white cup B (O, RU)</x:v>
      </x:c>
      <x:c r="F98" s="9" t="str">
        <x:v>white cup A</x:v>
      </x:c>
      <x:c r="G98" s="9"/>
      <x:c r="H98" s="9" t="str">
        <x:v>Concept/compositional transfer</x:v>
      </x:c>
      <x:c r="I98" s="9" t="str">
        <x:v>SR-CT37</x:v>
      </x:c>
      <x:c r="J98" s="9" t="str">
        <x:v>Primary held-out state-object composition</x:v>
      </x:c>
      <x:c r="K98" s="9"/>
      <x:c r="L98" s="9" t="str">
        <x:v>30</x:v>
      </x:c>
      <x:c r="M98" s="9" t="str">
        <x:v>Physical-state and manipulation-trajectory reference under a direct category prompt; the evaluated state word × object-category cell is intentionally absent from training.</x:v>
      </x:c>
      <x:c r="N98" s="9" t="n">
        <x:v>4</x:v>
      </x:c>
      <x:c r="O98" s="9" t="str">
        <x:v>Build the listed same-category discrimination scene with the bowl empty.</x:v>
      </x:c>
      <x:c r="P98" s="9" t="str">
        <x:v>Two same-category candidates share the non-queried state axis; only the held-out state word identifies the target. The same-category candidates share the orthogonal C/O state (O).</x:v>
      </x:c>
      <x:c r="Q98" s="9"/>
      <x:c r="R98" s="10" t="n">
        <x:v>2</x:v>
      </x:c>
      <x:c r="S98" s="10" t="n">
        <x:v>1</x:v>
      </x:c>
      <x:c r="T98" s="9" t="str">
        <x:v>Empty</x:v>
      </x:c>
      <x:c r="U98" s="9" t="str">
        <x:v>UD</x:v>
      </x:c>
      <x:c r="V98" s="9" t="str">
        <x:v>white cup</x:v>
      </x:c>
      <x:c r="W98" s="9"/>
      <x:c r="X98" s="10"/>
      <x:c r="Y98" s="10"/>
      <x:c r="Z98" s="9"/>
      <x:c r="AA98" s="9"/>
      <x:c r="AB98" s="9"/>
      <x:c r="AC98" s="9"/>
      <x:c r="AD98" s="9"/>
      <x:c r="AE98" s="9"/>
      <x:c r="AF98" s="9"/>
      <x:c r="AG98" s="9"/>
      <x:c r="AH98" s="9"/>
      <x:c r="AI98" s="11"/>
      <x:c r="AJ98" s="9"/>
      <x:c r="AK98" s="9" t="str">
        <x:v>Eval_State_Recognition.xlsm</x:v>
      </x:c>
      <x:c r="AL98" s="9" t="str">
        <x:v>MolmoAct2 Results</x:v>
      </x:c>
      <x:c r="AM98" s="9" t="n">
        <x:v>98</x:v>
      </x:c>
      <x:c r="AN98" s="9" t="n">
        <x:v>98</x:v>
      </x:c>
    </x:row>
    <x:row r="99">
      <x:c r="A99" s="9" t="str">
        <x:v>Success</x:v>
      </x:c>
      <x:c r="B99" s="9" t="str">
        <x:v>State Recognition</x:v>
      </x:c>
      <x:c r="C99" s="10" t="n">
        <x:v>97</x:v>
      </x:c>
      <x:c r="D99" s="9" t="str">
        <x:v>Place the open yellow-white striped cup in the bowl.</x:v>
      </x:c>
      <x:c r="E99" s="9" t="str">
        <x:v>yellow-white striped cup B (O, RU); yellow-white striped cup A (C, RU); brown cup B (O, RU)</x:v>
      </x:c>
      <x:c r="F99" s="9" t="str">
        <x:v>yellow-white striped cup B</x:v>
      </x:c>
      <x:c r="G99" s="9"/>
      <x:c r="H99" s="9" t="str">
        <x:v>Concept/compositional transfer</x:v>
      </x:c>
      <x:c r="I99" s="9" t="str">
        <x:v>SR-CT38</x:v>
      </x:c>
      <x:c r="J99" s="9" t="str">
        <x:v>Primary held-out state-object composition</x:v>
      </x:c>
      <x:c r="K99" s="9"/>
      <x:c r="L99" s="9" t="str">
        <x:v>53</x:v>
      </x:c>
      <x:c r="M99"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99" s="9" t="n">
        <x:v>4</x:v>
      </x:c>
      <x:c r="O99" s="9" t="str">
        <x:v>Build the listed same-category discrimination scene with the bowl empty.</x:v>
      </x:c>
      <x:c r="P99" s="9" t="str">
        <x:v>Two same-category candidates share the non-queried state axis; only the held-out state word identifies the target. The orthogonal orientation axis is fixed: every object is RU.</x:v>
      </x:c>
      <x:c r="Q99" s="9"/>
      <x:c r="R99" s="10" t="n">
        <x:v>3</x:v>
      </x:c>
      <x:c r="S99" s="10" t="n">
        <x:v>1</x:v>
      </x:c>
      <x:c r="T99" s="9" t="str">
        <x:v>Empty</x:v>
      </x:c>
      <x:c r="U99" s="9" t="str">
        <x:v>O</x:v>
      </x:c>
      <x:c r="V99" s="9" t="str">
        <x:v>yellow-white striped cup</x:v>
      </x:c>
      <x:c r="W99" s="9"/>
      <x:c r="X99" s="10"/>
      <x:c r="Y99" s="10"/>
      <x:c r="Z99" s="9"/>
      <x:c r="AA99" s="9"/>
      <x:c r="AB99" s="9"/>
      <x:c r="AC99" s="9"/>
      <x:c r="AD99" s="9"/>
      <x:c r="AE99" s="9"/>
      <x:c r="AF99" s="9"/>
      <x:c r="AG99" s="9"/>
      <x:c r="AH99" s="9"/>
      <x:c r="AI99" s="11"/>
      <x:c r="AJ99" s="9"/>
      <x:c r="AK99" s="9" t="str">
        <x:v>Eval_State_Recognition.xlsm</x:v>
      </x:c>
      <x:c r="AL99" s="9" t="str">
        <x:v>MolmoAct2 Results</x:v>
      </x:c>
      <x:c r="AM99" s="9" t="n">
        <x:v>99</x:v>
      </x:c>
      <x:c r="AN99" s="9" t="n">
        <x:v>99</x:v>
      </x:c>
    </x:row>
    <x:row r="100">
      <x:c r="A100" s="9" t="str">
        <x:v>Success</x:v>
      </x:c>
      <x:c r="B100" s="9" t="str">
        <x:v>State Recognition</x:v>
      </x:c>
      <x:c r="C100" s="10" t="n">
        <x:v>98</x:v>
      </x:c>
      <x:c r="D100" s="9" t="str">
        <x:v>Place the closed brown cup in the bowl.</x:v>
      </x:c>
      <x:c r="E100" s="9" t="str">
        <x:v>brown cup A (C, RU); brown cup B (O, RU); glass spice container A (C, RU); white cup B (O, RU)</x:v>
      </x:c>
      <x:c r="F100" s="9" t="str">
        <x:v>brown cup A</x:v>
      </x:c>
      <x:c r="G100" s="9"/>
      <x:c r="H100" s="9" t="str">
        <x:v>Concept/compositional transfer</x:v>
      </x:c>
      <x:c r="I100" s="9" t="str">
        <x:v>SR-CT39</x:v>
      </x:c>
      <x:c r="J100" s="9" t="str">
        <x:v>Primary held-out state-object composition</x:v>
      </x:c>
      <x:c r="K100" s="9"/>
      <x:c r="L100" s="9" t="str">
        <x:v>107</x:v>
      </x:c>
      <x:c r="M100"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100" s="9" t="n">
        <x:v>4</x:v>
      </x:c>
      <x:c r="O100" s="9" t="str">
        <x:v>Build the listed same-category discrimination scene with the bowl empty.</x:v>
      </x:c>
      <x:c r="P100" s="9" t="str">
        <x:v>Two same-category candidates share the non-queried state axis; only the held-out state word identifies the target. The orthogonal orientation axis is fixed: every object is RU.</x:v>
      </x:c>
      <x:c r="Q100" s="9"/>
      <x:c r="R100" s="10" t="n">
        <x:v>4</x:v>
      </x:c>
      <x:c r="S100" s="10" t="n">
        <x:v>1</x:v>
      </x:c>
      <x:c r="T100" s="9" t="str">
        <x:v>Empty</x:v>
      </x:c>
      <x:c r="U100" s="9" t="str">
        <x:v>C</x:v>
      </x:c>
      <x:c r="V100" s="9" t="str">
        <x:v>brown cup</x:v>
      </x:c>
      <x:c r="W100" s="9"/>
      <x:c r="X100" s="10"/>
      <x:c r="Y100" s="10"/>
      <x:c r="Z100" s="9"/>
      <x:c r="AA100" s="9"/>
      <x:c r="AB100" s="9"/>
      <x:c r="AC100" s="9"/>
      <x:c r="AD100" s="9"/>
      <x:c r="AE100" s="9"/>
      <x:c r="AF100" s="9"/>
      <x:c r="AG100" s="9"/>
      <x:c r="AH100" s="9"/>
      <x:c r="AI100" s="11"/>
      <x:c r="AJ100" s="9"/>
      <x:c r="AK100" s="9" t="str">
        <x:v>Eval_State_Recognition.xlsm</x:v>
      </x:c>
      <x:c r="AL100" s="9" t="str">
        <x:v>MolmoAct2 Results</x:v>
      </x:c>
      <x:c r="AM100" s="9" t="n">
        <x:v>100</x:v>
      </x:c>
      <x:c r="AN100" s="9" t="n">
        <x:v>100</x:v>
      </x:c>
    </x:row>
    <x:row r="101">
      <x:c r="A101" s="9" t="str">
        <x:v>Failure</x:v>
      </x:c>
      <x:c r="B101" s="9" t="str">
        <x:v>State Recognition</x:v>
      </x:c>
      <x:c r="C101" s="10" t="n">
        <x:v>99</x:v>
      </x:c>
      <x:c r="D101" s="9" t="str">
        <x:v>Place the upright glass spice container in the bowl.</x:v>
      </x:c>
      <x:c r="E101" s="9" t="str">
        <x:v>glass spice container B (O, RU); glass spice container A (O, UD)</x:v>
      </x:c>
      <x:c r="F101" s="9" t="str">
        <x:v>glass spice container B</x:v>
      </x:c>
      <x:c r="G101" s="9" t="str">
        <x:v>picked upside down container, then dropped it out of range. went for the upright cup, then pushed it out of range and couldn't get it. </x:v>
      </x:c>
      <x:c r="H101" s="9" t="str">
        <x:v>Concept/compositional transfer</x:v>
      </x:c>
      <x:c r="I101" s="9" t="str">
        <x:v>SR-CT40</x:v>
      </x:c>
      <x:c r="J101" s="9" t="str">
        <x:v>Primary held-out state-object composition</x:v>
      </x:c>
      <x:c r="K101" s="9"/>
      <x:c r="L101" s="9" t="str">
        <x:v>153</x:v>
      </x:c>
      <x:c r="M101" s="9" t="str">
        <x:v>Physical-state and manipulation-trajectory reference under a direct category prompt; the evaluated state word × object-category cell is intentionally absent from training.</x:v>
      </x:c>
      <x:c r="N101" s="9" t="n">
        <x:v>4</x:v>
      </x:c>
      <x:c r="O101" s="9" t="str">
        <x:v>Build the listed same-category discrimination scene with the bowl empty.</x:v>
      </x:c>
      <x:c r="P101" s="9" t="str">
        <x:v>Two same-category candidates share the non-queried state axis; only the held-out state word identifies the target. The same-category candidates share the orthogonal C/O state (O).</x:v>
      </x:c>
      <x:c r="Q101" s="9"/>
      <x:c r="R101" s="10" t="n">
        <x:v>2</x:v>
      </x:c>
      <x:c r="S101" s="10" t="n">
        <x:v>1</x:v>
      </x:c>
      <x:c r="T101" s="9" t="str">
        <x:v>Empty</x:v>
      </x:c>
      <x:c r="U101" s="9" t="str">
        <x:v>RU</x:v>
      </x:c>
      <x:c r="V101" s="9" t="str">
        <x:v>glass spice container</x:v>
      </x:c>
      <x:c r="W101" s="9"/>
      <x:c r="X101" s="10"/>
      <x:c r="Y101" s="10"/>
      <x:c r="Z101" s="9"/>
      <x:c r="AA101" s="9"/>
      <x:c r="AB101" s="9"/>
      <x:c r="AC101" s="9"/>
      <x:c r="AD101" s="9"/>
      <x:c r="AE101" s="9"/>
      <x:c r="AF101" s="9"/>
      <x:c r="AG101" s="9"/>
      <x:c r="AH101" s="9"/>
      <x:c r="AI101" s="11"/>
      <x:c r="AJ101" s="9"/>
      <x:c r="AK101" s="9" t="str">
        <x:v>Eval_State_Recognition.xlsm</x:v>
      </x:c>
      <x:c r="AL101" s="9" t="str">
        <x:v>MolmoAct2 Results</x:v>
      </x:c>
      <x:c r="AM101" s="9" t="n">
        <x:v>101</x:v>
      </x:c>
      <x:c r="AN101" s="9" t="n">
        <x:v>101</x:v>
      </x:c>
    </x:row>
    <x:row r="102">
      <x:c r="A102" s="9" t="str">
        <x:v>Success</x:v>
      </x:c>
      <x:c r="B102" s="9" t="str">
        <x:v>State Recognition</x:v>
      </x:c>
      <x:c r="C102" s="10" t="n">
        <x:v>100</x:v>
      </x:c>
      <x:c r="D102" s="9" t="str">
        <x:v>Place the upside-down white cup in the bowl.</x:v>
      </x:c>
      <x:c r="E102" s="9" t="str">
        <x:v>white cup A (C, UD); white cup B (C, RU); brown cup A (C, RU)</x:v>
      </x:c>
      <x:c r="F102" s="9" t="str">
        <x:v>white cup A</x:v>
      </x:c>
      <x:c r="G102" s="9"/>
      <x:c r="H102" s="9" t="str">
        <x:v>Concept/compositional transfer</x:v>
      </x:c>
      <x:c r="I102" s="9" t="str">
        <x:v>SR-CT41</x:v>
      </x:c>
      <x:c r="J102" s="9" t="str">
        <x:v>Primary held-out state-object composition</x:v>
      </x:c>
      <x:c r="K102" s="9"/>
      <x:c r="L102" s="9" t="str">
        <x:v>39</x:v>
      </x:c>
      <x:c r="M102" s="9" t="str">
        <x:v>Physical-state and manipulation-trajectory reference under a direct category prompt; the evaluated state word × object-category cell is intentionally absent from training.</x:v>
      </x:c>
      <x:c r="N102" s="9" t="n">
        <x:v>4</x:v>
      </x:c>
      <x:c r="O102" s="9" t="str">
        <x:v>Build the listed same-category discrimination scene with the bowl empty.</x:v>
      </x:c>
      <x:c r="P102" s="9" t="str">
        <x:v>Two same-category candidates share the non-queried state axis; only the held-out state word identifies the target. The same-category candidates share the orthogonal C/O state (C).</x:v>
      </x:c>
      <x:c r="Q102" s="9"/>
      <x:c r="R102" s="10" t="n">
        <x:v>3</x:v>
      </x:c>
      <x:c r="S102" s="10" t="n">
        <x:v>1</x:v>
      </x:c>
      <x:c r="T102" s="9" t="str">
        <x:v>Empty</x:v>
      </x:c>
      <x:c r="U102" s="9" t="str">
        <x:v>UD</x:v>
      </x:c>
      <x:c r="V102" s="9" t="str">
        <x:v>white cup</x:v>
      </x:c>
      <x:c r="W102" s="9"/>
      <x:c r="X102" s="10"/>
      <x:c r="Y102" s="10"/>
      <x:c r="Z102" s="9"/>
      <x:c r="AA102" s="9"/>
      <x:c r="AB102" s="9"/>
      <x:c r="AC102" s="9"/>
      <x:c r="AD102" s="9"/>
      <x:c r="AE102" s="9"/>
      <x:c r="AF102" s="9"/>
      <x:c r="AG102" s="9"/>
      <x:c r="AH102" s="9"/>
      <x:c r="AI102" s="11"/>
      <x:c r="AJ102" s="9"/>
      <x:c r="AK102" s="9" t="str">
        <x:v>Eval_State_Recognition.xlsm</x:v>
      </x:c>
      <x:c r="AL102" s="9" t="str">
        <x:v>MolmoAct2 Results</x:v>
      </x:c>
      <x:c r="AM102" s="9" t="n">
        <x:v>102</x:v>
      </x:c>
      <x:c r="AN102" s="9" t="n">
        <x:v>102</x:v>
      </x:c>
    </x:row>
    <x:row r="103">
      <x:c r="A103" s="9" t="str">
        <x:v>Failure</x:v>
      </x:c>
      <x:c r="B103" s="9" t="str">
        <x:v>State Recognition</x:v>
      </x:c>
      <x:c r="C103" s="10" t="n">
        <x:v>101</x:v>
      </x:c>
      <x:c r="D103" s="9" t="str">
        <x:v>Place the open yellow-white striped cup in the bowl.</x:v>
      </x:c>
      <x:c r="E103" s="9" t="str">
        <x:v>yellow-white striped cup B (O, RU); yellow-white striped cup A (C, RU); glass spice container B (O, RU); white cup A (C, RU)</x:v>
      </x:c>
      <x:c r="F103" s="9" t="str">
        <x:v>yellow-white striped cup B</x:v>
      </x:c>
      <x:c r="G103" s="9" t="str">
        <x:v>grabbed the closed striped cup</x:v>
      </x:c>
      <x:c r="H103" s="9" t="str">
        <x:v>Concept/compositional transfer</x:v>
      </x:c>
      <x:c r="I103" s="9" t="str">
        <x:v>SR-CT42</x:v>
      </x:c>
      <x:c r="J103" s="9" t="str">
        <x:v>Primary held-out state-object composition</x:v>
      </x:c>
      <x:c r="K103" s="9"/>
      <x:c r="L103" s="9" t="str">
        <x:v>72</x:v>
      </x:c>
      <x:c r="M103"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103" s="9" t="n">
        <x:v>4</x:v>
      </x:c>
      <x:c r="O103" s="9" t="str">
        <x:v>Build the listed same-category discrimination scene with the bowl empty.</x:v>
      </x:c>
      <x:c r="P103" s="9" t="str">
        <x:v>Two same-category candidates share the non-queried state axis; only the held-out state word identifies the target. The orthogonal orientation axis is fixed: every object is RU.</x:v>
      </x:c>
      <x:c r="Q103" s="9"/>
      <x:c r="R103" s="10" t="n">
        <x:v>4</x:v>
      </x:c>
      <x:c r="S103" s="10" t="n">
        <x:v>1</x:v>
      </x:c>
      <x:c r="T103" s="9" t="str">
        <x:v>Empty</x:v>
      </x:c>
      <x:c r="U103" s="9" t="str">
        <x:v>O</x:v>
      </x:c>
      <x:c r="V103" s="9" t="str">
        <x:v>yellow-white striped cup</x:v>
      </x:c>
      <x:c r="W103" s="9"/>
      <x:c r="X103" s="10"/>
      <x:c r="Y103" s="10"/>
      <x:c r="Z103" s="9"/>
      <x:c r="AA103" s="9"/>
      <x:c r="AB103" s="9"/>
      <x:c r="AC103" s="9"/>
      <x:c r="AD103" s="9"/>
      <x:c r="AE103" s="9"/>
      <x:c r="AF103" s="9"/>
      <x:c r="AG103" s="9"/>
      <x:c r="AH103" s="9"/>
      <x:c r="AI103" s="11"/>
      <x:c r="AJ103" s="9"/>
      <x:c r="AK103" s="9" t="str">
        <x:v>Eval_State_Recognition.xlsm</x:v>
      </x:c>
      <x:c r="AL103" s="9" t="str">
        <x:v>MolmoAct2 Results</x:v>
      </x:c>
      <x:c r="AM103" s="9" t="n">
        <x:v>103</x:v>
      </x:c>
      <x:c r="AN103" s="9" t="n">
        <x:v>103</x:v>
      </x:c>
    </x:row>
    <x:row r="104">
      <x:c r="A104" s="9" t="str">
        <x:v>Success</x:v>
      </x:c>
      <x:c r="B104" s="9" t="str">
        <x:v>State Recognition</x:v>
      </x:c>
      <x:c r="C104" s="10" t="n">
        <x:v>102</x:v>
      </x:c>
      <x:c r="D104" s="9" t="str">
        <x:v>Place the closed brown cup in the bowl.</x:v>
      </x:c>
      <x:c r="E104" s="9" t="str">
        <x:v>brown cup A (C, RU); brown cup B (O, RU)</x:v>
      </x:c>
      <x:c r="F104" s="9" t="str">
        <x:v>brown cup A</x:v>
      </x:c>
      <x:c r="G104" s="9"/>
      <x:c r="H104" s="9" t="str">
        <x:v>Concept/compositional transfer</x:v>
      </x:c>
      <x:c r="I104" s="9" t="str">
        <x:v>SR-CT43</x:v>
      </x:c>
      <x:c r="J104" s="9" t="str">
        <x:v>Primary held-out state-object composition</x:v>
      </x:c>
      <x:c r="K104" s="9"/>
      <x:c r="L104" s="9" t="str">
        <x:v>102</x:v>
      </x:c>
      <x:c r="M104"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104" s="9" t="n">
        <x:v>4</x:v>
      </x:c>
      <x:c r="O104" s="9" t="str">
        <x:v>Build the listed same-category discrimination scene with the bowl empty.</x:v>
      </x:c>
      <x:c r="P104" s="9" t="str">
        <x:v>Two same-category candidates share the non-queried state axis; only the held-out state word identifies the target. The orthogonal orientation axis is fixed: every object is RU.</x:v>
      </x:c>
      <x:c r="Q104" s="9"/>
      <x:c r="R104" s="10" t="n">
        <x:v>2</x:v>
      </x:c>
      <x:c r="S104" s="10" t="n">
        <x:v>1</x:v>
      </x:c>
      <x:c r="T104" s="9" t="str">
        <x:v>Empty</x:v>
      </x:c>
      <x:c r="U104" s="9" t="str">
        <x:v>C</x:v>
      </x:c>
      <x:c r="V104" s="9" t="str">
        <x:v>brown cup</x:v>
      </x:c>
      <x:c r="W104" s="9"/>
      <x:c r="X104" s="10"/>
      <x:c r="Y104" s="10"/>
      <x:c r="Z104" s="9"/>
      <x:c r="AA104" s="9"/>
      <x:c r="AB104" s="9"/>
      <x:c r="AC104" s="9"/>
      <x:c r="AD104" s="9"/>
      <x:c r="AE104" s="9"/>
      <x:c r="AF104" s="9"/>
      <x:c r="AG104" s="9"/>
      <x:c r="AH104" s="9"/>
      <x:c r="AI104" s="11"/>
      <x:c r="AJ104" s="9"/>
      <x:c r="AK104" s="9" t="str">
        <x:v>Eval_State_Recognition.xlsm</x:v>
      </x:c>
      <x:c r="AL104" s="9" t="str">
        <x:v>MolmoAct2 Results</x:v>
      </x:c>
      <x:c r="AM104" s="9" t="n">
        <x:v>104</x:v>
      </x:c>
      <x:c r="AN104" s="9" t="n">
        <x:v>104</x:v>
      </x:c>
    </x:row>
    <x:row r="105">
      <x:c r="A105" s="9" t="str">
        <x:v>Failure</x:v>
      </x:c>
      <x:c r="B105" s="9" t="str">
        <x:v>State Recognition</x:v>
      </x:c>
      <x:c r="C105" s="10" t="n">
        <x:v>103</x:v>
      </x:c>
      <x:c r="D105" s="9" t="str">
        <x:v>Place the upright glass spice container in the bowl.</x:v>
      </x:c>
      <x:c r="E105" s="9" t="str">
        <x:v>glass spice container B (C, RU); glass spice container A (C, UD); yellow-white striped cup B (O, UD)</x:v>
      </x:c>
      <x:c r="F105" s="9" t="str">
        <x:v>glass spice container B</x:v>
      </x:c>
      <x:c r="G105" s="9" t="str">
        <x:v>picked upside down container</x:v>
      </x:c>
      <x:c r="H105" s="9" t="str">
        <x:v>Concept/compositional transfer</x:v>
      </x:c>
      <x:c r="I105" s="9" t="str">
        <x:v>SR-CT44</x:v>
      </x:c>
      <x:c r="J105" s="9" t="str">
        <x:v>Primary held-out state-object composition</x:v>
      </x:c>
      <x:c r="K105" s="9"/>
      <x:c r="L105" s="9" t="str">
        <x:v>172</x:v>
      </x:c>
      <x:c r="M105" s="9" t="str">
        <x:v>Physical-state and manipulation-trajectory reference under a direct category prompt; the evaluated state word × object-category cell is intentionally absent from training.</x:v>
      </x:c>
      <x:c r="N105" s="9" t="n">
        <x:v>4</x:v>
      </x:c>
      <x:c r="O105" s="9" t="str">
        <x:v>Build the listed same-category discrimination scene with the bowl empty.</x:v>
      </x:c>
      <x:c r="P105" s="9" t="str">
        <x:v>Two same-category candidates share the non-queried state axis; only the held-out state word identifies the target. The same-category candidates share the orthogonal C/O state (C).</x:v>
      </x:c>
      <x:c r="Q105" s="9"/>
      <x:c r="R105" s="10" t="n">
        <x:v>3</x:v>
      </x:c>
      <x:c r="S105" s="10" t="n">
        <x:v>1</x:v>
      </x:c>
      <x:c r="T105" s="9" t="str">
        <x:v>Empty</x:v>
      </x:c>
      <x:c r="U105" s="9" t="str">
        <x:v>RU</x:v>
      </x:c>
      <x:c r="V105" s="9" t="str">
        <x:v>glass spice container</x:v>
      </x:c>
      <x:c r="W105" s="9"/>
      <x:c r="X105" s="10"/>
      <x:c r="Y105" s="10"/>
      <x:c r="Z105" s="9"/>
      <x:c r="AA105" s="9"/>
      <x:c r="AB105" s="9"/>
      <x:c r="AC105" s="9"/>
      <x:c r="AD105" s="9"/>
      <x:c r="AE105" s="9"/>
      <x:c r="AF105" s="9"/>
      <x:c r="AG105" s="9"/>
      <x:c r="AH105" s="9"/>
      <x:c r="AI105" s="11"/>
      <x:c r="AJ105" s="9"/>
      <x:c r="AK105" s="9" t="str">
        <x:v>Eval_State_Recognition.xlsm</x:v>
      </x:c>
      <x:c r="AL105" s="9" t="str">
        <x:v>MolmoAct2 Results</x:v>
      </x:c>
      <x:c r="AM105" s="9" t="n">
        <x:v>105</x:v>
      </x:c>
      <x:c r="AN105" s="9" t="n">
        <x:v>105</x:v>
      </x:c>
    </x:row>
    <x:row r="106">
      <x:c r="A106" s="9" t="str">
        <x:v>Success</x:v>
      </x:c>
      <x:c r="B106" s="9" t="str">
        <x:v>State Recognition</x:v>
      </x:c>
      <x:c r="C106" s="10" t="n">
        <x:v>104</x:v>
      </x:c>
      <x:c r="D106" s="9" t="str">
        <x:v>Place the upside-down white cup in the bowl.</x:v>
      </x:c>
      <x:c r="E106" s="9" t="str">
        <x:v>white cup A (O, UD); white cup B (O, RU); glass spice container A (C, RU); yellow-white striped cup B (O, RU)</x:v>
      </x:c>
      <x:c r="F106" s="9" t="str">
        <x:v>white cup A</x:v>
      </x:c>
      <x:c r="G106" s="9"/>
      <x:c r="H106" s="9" t="str">
        <x:v>Concept/compositional transfer</x:v>
      </x:c>
      <x:c r="I106" s="9" t="str">
        <x:v>SR-CT45</x:v>
      </x:c>
      <x:c r="J106" s="9" t="str">
        <x:v>Primary held-out state-object composition</x:v>
      </x:c>
      <x:c r="K106" s="9"/>
      <x:c r="L106" s="9" t="str">
        <x:v>32</x:v>
      </x:c>
      <x:c r="M106" s="9" t="str">
        <x:v>Physical-state and manipulation-trajectory reference under a direct category prompt; the evaluated state word × object-category cell is intentionally absent from training.</x:v>
      </x:c>
      <x:c r="N106" s="9" t="n">
        <x:v>4</x:v>
      </x:c>
      <x:c r="O106" s="9" t="str">
        <x:v>Build the listed same-category discrimination scene with the bowl empty.</x:v>
      </x:c>
      <x:c r="P106" s="9" t="str">
        <x:v>Two same-category candidates share the non-queried state axis; only the held-out state word identifies the target. The same-category candidates share the orthogonal C/O state (O).</x:v>
      </x:c>
      <x:c r="Q106" s="9"/>
      <x:c r="R106" s="10" t="n">
        <x:v>4</x:v>
      </x:c>
      <x:c r="S106" s="10" t="n">
        <x:v>1</x:v>
      </x:c>
      <x:c r="T106" s="9" t="str">
        <x:v>Empty</x:v>
      </x:c>
      <x:c r="U106" s="9" t="str">
        <x:v>UD</x:v>
      </x:c>
      <x:c r="V106" s="9" t="str">
        <x:v>white cup</x:v>
      </x:c>
      <x:c r="W106" s="9"/>
      <x:c r="X106" s="10"/>
      <x:c r="Y106" s="10"/>
      <x:c r="Z106" s="9"/>
      <x:c r="AA106" s="9"/>
      <x:c r="AB106" s="9"/>
      <x:c r="AC106" s="9"/>
      <x:c r="AD106" s="9"/>
      <x:c r="AE106" s="9"/>
      <x:c r="AF106" s="9"/>
      <x:c r="AG106" s="9"/>
      <x:c r="AH106" s="9"/>
      <x:c r="AI106" s="11"/>
      <x:c r="AJ106" s="9"/>
      <x:c r="AK106" s="9" t="str">
        <x:v>Eval_State_Recognition.xlsm</x:v>
      </x:c>
      <x:c r="AL106" s="9" t="str">
        <x:v>MolmoAct2 Results</x:v>
      </x:c>
      <x:c r="AM106" s="9" t="n">
        <x:v>106</x:v>
      </x:c>
      <x:c r="AN106" s="9" t="n">
        <x:v>106</x:v>
      </x:c>
    </x:row>
    <x:row r="107">
      <x:c r="A107" s="9" t="str">
        <x:v>Success</x:v>
      </x:c>
      <x:c r="B107" s="9" t="str">
        <x:v>State Recognition</x:v>
      </x:c>
      <x:c r="C107" s="10" t="n">
        <x:v>105</x:v>
      </x:c>
      <x:c r="D107" s="9" t="str">
        <x:v>Place the open yellow-white striped cup in the bowl.</x:v>
      </x:c>
      <x:c r="E107" s="9" t="str">
        <x:v>yellow-white striped cup B (O, RU); yellow-white striped cup A (C, RU)</x:v>
      </x:c>
      <x:c r="F107" s="9" t="str">
        <x:v>yellow-white striped cup B</x:v>
      </x:c>
      <x:c r="G107" s="9"/>
      <x:c r="H107" s="9" t="str">
        <x:v>Concept/compositional transfer</x:v>
      </x:c>
      <x:c r="I107" s="9" t="str">
        <x:v>SR-CT46</x:v>
      </x:c>
      <x:c r="J107" s="9" t="str">
        <x:v>Primary held-out state-object composition</x:v>
      </x:c>
      <x:c r="K107" s="9"/>
      <x:c r="L107" s="9" t="str">
        <x:v>53</x:v>
      </x:c>
      <x:c r="M107"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107" s="9" t="n">
        <x:v>4</x:v>
      </x:c>
      <x:c r="O107" s="9" t="str">
        <x:v>Build the listed same-category discrimination scene with the bowl empty.</x:v>
      </x:c>
      <x:c r="P107" s="9" t="str">
        <x:v>Two same-category candidates share the non-queried state axis; only the held-out state word identifies the target. The orthogonal orientation axis is fixed: every object is RU.</x:v>
      </x:c>
      <x:c r="Q107" s="9"/>
      <x:c r="R107" s="10" t="n">
        <x:v>2</x:v>
      </x:c>
      <x:c r="S107" s="10" t="n">
        <x:v>1</x:v>
      </x:c>
      <x:c r="T107" s="9" t="str">
        <x:v>Empty</x:v>
      </x:c>
      <x:c r="U107" s="9" t="str">
        <x:v>O</x:v>
      </x:c>
      <x:c r="V107" s="9" t="str">
        <x:v>yellow-white striped cup</x:v>
      </x:c>
      <x:c r="W107" s="9"/>
      <x:c r="X107" s="10"/>
      <x:c r="Y107" s="10"/>
      <x:c r="Z107" s="9"/>
      <x:c r="AA107" s="9"/>
      <x:c r="AB107" s="9"/>
      <x:c r="AC107" s="9"/>
      <x:c r="AD107" s="9"/>
      <x:c r="AE107" s="9"/>
      <x:c r="AF107" s="9"/>
      <x:c r="AG107" s="9"/>
      <x:c r="AH107" s="9"/>
      <x:c r="AI107" s="11"/>
      <x:c r="AJ107" s="9"/>
      <x:c r="AK107" s="9" t="str">
        <x:v>Eval_State_Recognition.xlsm</x:v>
      </x:c>
      <x:c r="AL107" s="9" t="str">
        <x:v>MolmoAct2 Results</x:v>
      </x:c>
      <x:c r="AM107" s="9" t="n">
        <x:v>107</x:v>
      </x:c>
      <x:c r="AN107" s="9" t="n">
        <x:v>107</x:v>
      </x:c>
    </x:row>
    <x:row r="108">
      <x:c r="A108" s="9" t="str">
        <x:v>Success</x:v>
      </x:c>
      <x:c r="B108" s="9" t="str">
        <x:v>State Recognition</x:v>
      </x:c>
      <x:c r="C108" s="10" t="n">
        <x:v>106</x:v>
      </x:c>
      <x:c r="D108" s="9" t="str">
        <x:v>Place the closed brown cup in the bowl.</x:v>
      </x:c>
      <x:c r="E108" s="9" t="str">
        <x:v>brown cup A (C, RU); brown cup B (O, RU); yellow-white striped cup A (C, RU)</x:v>
      </x:c>
      <x:c r="F108" s="9" t="str">
        <x:v>brown cup A</x:v>
      </x:c>
      <x:c r="G108" s="9"/>
      <x:c r="H108" s="9" t="str">
        <x:v>Concept/compositional transfer</x:v>
      </x:c>
      <x:c r="I108" s="9" t="str">
        <x:v>SR-CT47</x:v>
      </x:c>
      <x:c r="J108" s="9" t="str">
        <x:v>Primary held-out state-object composition</x:v>
      </x:c>
      <x:c r="K108" s="9"/>
      <x:c r="L108" s="9" t="str">
        <x:v>129</x:v>
      </x:c>
      <x:c r="M108"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108" s="9" t="n">
        <x:v>4</x:v>
      </x:c>
      <x:c r="O108" s="9" t="str">
        <x:v>Build the listed same-category discrimination scene with the bowl empty.</x:v>
      </x:c>
      <x:c r="P108" s="9" t="str">
        <x:v>Two same-category candidates share the non-queried state axis; only the held-out state word identifies the target. The orthogonal orientation axis is fixed: every object is RU.</x:v>
      </x:c>
      <x:c r="Q108" s="9"/>
      <x:c r="R108" s="10" t="n">
        <x:v>3</x:v>
      </x:c>
      <x:c r="S108" s="10" t="n">
        <x:v>1</x:v>
      </x:c>
      <x:c r="T108" s="9" t="str">
        <x:v>Empty</x:v>
      </x:c>
      <x:c r="U108" s="9" t="str">
        <x:v>C</x:v>
      </x:c>
      <x:c r="V108" s="9" t="str">
        <x:v>brown cup</x:v>
      </x:c>
      <x:c r="W108" s="9"/>
      <x:c r="X108" s="10"/>
      <x:c r="Y108" s="10"/>
      <x:c r="Z108" s="9"/>
      <x:c r="AA108" s="9"/>
      <x:c r="AB108" s="9"/>
      <x:c r="AC108" s="9"/>
      <x:c r="AD108" s="9"/>
      <x:c r="AE108" s="9"/>
      <x:c r="AF108" s="9"/>
      <x:c r="AG108" s="9"/>
      <x:c r="AH108" s="9"/>
      <x:c r="AI108" s="11"/>
      <x:c r="AJ108" s="9"/>
      <x:c r="AK108" s="9" t="str">
        <x:v>Eval_State_Recognition.xlsm</x:v>
      </x:c>
      <x:c r="AL108" s="9" t="str">
        <x:v>MolmoAct2 Results</x:v>
      </x:c>
      <x:c r="AM108" s="9" t="n">
        <x:v>108</x:v>
      </x:c>
      <x:c r="AN108" s="9" t="n">
        <x:v>108</x:v>
      </x:c>
    </x:row>
    <x:row r="109">
      <x:c r="A109" s="9" t="str">
        <x:v>Success</x:v>
      </x:c>
      <x:c r="B109" s="9" t="str">
        <x:v>State Recognition</x:v>
      </x:c>
      <x:c r="C109" s="10" t="n">
        <x:v>107</x:v>
      </x:c>
      <x:c r="D109" s="9" t="str">
        <x:v>Place the upright glass spice container in the bowl.</x:v>
      </x:c>
      <x:c r="E109" s="9" t="str">
        <x:v>glass spice container B (O, RU); glass spice container A (O, UD); brown cup B (O, UD); white cup A (C, RU)</x:v>
      </x:c>
      <x:c r="F109" s="9" t="str">
        <x:v>glass spice container B</x:v>
      </x:c>
      <x:c r="G109" s="9" t="str">
        <x:v>reasoning failure. picked the upside down container, dropped it, then in recovery, got the upright one.</x:v>
      </x:c>
      <x:c r="H109" s="9" t="str">
        <x:v>Concept/compositional transfer</x:v>
      </x:c>
      <x:c r="I109" s="9" t="str">
        <x:v>SR-CT48</x:v>
      </x:c>
      <x:c r="J109" s="9" t="str">
        <x:v>Primary held-out state-object composition</x:v>
      </x:c>
      <x:c r="K109" s="9"/>
      <x:c r="L109" s="9" t="str">
        <x:v>157</x:v>
      </x:c>
      <x:c r="M109" s="9" t="str">
        <x:v>Physical-state and manipulation-trajectory reference under a direct category prompt; the evaluated state word × object-category cell is intentionally absent from training.</x:v>
      </x:c>
      <x:c r="N109" s="9" t="n">
        <x:v>4</x:v>
      </x:c>
      <x:c r="O109" s="9" t="str">
        <x:v>Build the listed same-category discrimination scene with the bowl empty.</x:v>
      </x:c>
      <x:c r="P109" s="9" t="str">
        <x:v>Two same-category candidates share the non-queried state axis; only the held-out state word identifies the target. The same-category candidates share the orthogonal C/O state (O).</x:v>
      </x:c>
      <x:c r="Q109" s="9"/>
      <x:c r="R109" s="10" t="n">
        <x:v>4</x:v>
      </x:c>
      <x:c r="S109" s="10" t="n">
        <x:v>1</x:v>
      </x:c>
      <x:c r="T109" s="9" t="str">
        <x:v>Empty</x:v>
      </x:c>
      <x:c r="U109" s="9" t="str">
        <x:v>RU</x:v>
      </x:c>
      <x:c r="V109" s="9" t="str">
        <x:v>glass spice container</x:v>
      </x:c>
      <x:c r="W109" s="9"/>
      <x:c r="X109" s="10"/>
      <x:c r="Y109" s="10"/>
      <x:c r="Z109" s="9"/>
      <x:c r="AA109" s="9"/>
      <x:c r="AB109" s="9"/>
      <x:c r="AC109" s="9"/>
      <x:c r="AD109" s="9"/>
      <x:c r="AE109" s="9"/>
      <x:c r="AF109" s="9"/>
      <x:c r="AG109" s="9"/>
      <x:c r="AH109" s="9"/>
      <x:c r="AI109" s="11"/>
      <x:c r="AJ109" s="9"/>
      <x:c r="AK109" s="9" t="str">
        <x:v>Eval_State_Recognition.xlsm</x:v>
      </x:c>
      <x:c r="AL109" s="9" t="str">
        <x:v>MolmoAct2 Results</x:v>
      </x:c>
      <x:c r="AM109" s="9" t="n">
        <x:v>109</x:v>
      </x:c>
      <x:c r="AN109" s="9" t="n">
        <x:v>109</x:v>
      </x:c>
    </x:row>
    <x:row r="110">
      <x:c r="A110" s="9" t="str">
        <x:v>Success</x:v>
      </x:c>
      <x:c r="B110" s="9" t="str">
        <x:v>State Recognition</x:v>
      </x:c>
      <x:c r="C110" s="10" t="n">
        <x:v>108</x:v>
      </x:c>
      <x:c r="D110" s="9" t="str">
        <x:v>Place the upside-down white cup in the bowl.</x:v>
      </x:c>
      <x:c r="E110" s="9" t="str">
        <x:v>white cup A (C, UD); white cup B (C, RU)</x:v>
      </x:c>
      <x:c r="F110" s="9" t="str">
        <x:v>white cup A</x:v>
      </x:c>
      <x:c r="G110" s="9"/>
      <x:c r="H110" s="9" t="str">
        <x:v>Concept/compositional transfer</x:v>
      </x:c>
      <x:c r="I110" s="9" t="str">
        <x:v>SR-CT49</x:v>
      </x:c>
      <x:c r="J110" s="9" t="str">
        <x:v>Primary held-out state-object composition</x:v>
      </x:c>
      <x:c r="K110" s="9"/>
      <x:c r="L110" s="9" t="str">
        <x:v>35</x:v>
      </x:c>
      <x:c r="M110" s="9" t="str">
        <x:v>Physical-state and manipulation-trajectory reference under a direct category prompt; the evaluated state word × object-category cell is intentionally absent from training.</x:v>
      </x:c>
      <x:c r="N110" s="9" t="n">
        <x:v>4</x:v>
      </x:c>
      <x:c r="O110" s="9" t="str">
        <x:v>Build the listed same-category discrimination scene with the bowl empty.</x:v>
      </x:c>
      <x:c r="P110" s="9" t="str">
        <x:v>Two same-category candidates share the non-queried state axis; only the held-out state word identifies the target. The same-category candidates share the orthogonal C/O state (C).</x:v>
      </x:c>
      <x:c r="Q110" s="9"/>
      <x:c r="R110" s="10" t="n">
        <x:v>2</x:v>
      </x:c>
      <x:c r="S110" s="10" t="n">
        <x:v>1</x:v>
      </x:c>
      <x:c r="T110" s="9" t="str">
        <x:v>Empty</x:v>
      </x:c>
      <x:c r="U110" s="9" t="str">
        <x:v>UD</x:v>
      </x:c>
      <x:c r="V110" s="9" t="str">
        <x:v>white cup</x:v>
      </x:c>
      <x:c r="W110" s="9"/>
      <x:c r="X110" s="10"/>
      <x:c r="Y110" s="10"/>
      <x:c r="Z110" s="9"/>
      <x:c r="AA110" s="9"/>
      <x:c r="AB110" s="9"/>
      <x:c r="AC110" s="9"/>
      <x:c r="AD110" s="9"/>
      <x:c r="AE110" s="9"/>
      <x:c r="AF110" s="9"/>
      <x:c r="AG110" s="9"/>
      <x:c r="AH110" s="9"/>
      <x:c r="AI110" s="11"/>
      <x:c r="AJ110" s="9"/>
      <x:c r="AK110" s="9" t="str">
        <x:v>Eval_State_Recognition.xlsm</x:v>
      </x:c>
      <x:c r="AL110" s="9" t="str">
        <x:v>MolmoAct2 Results</x:v>
      </x:c>
      <x:c r="AM110" s="9" t="n">
        <x:v>110</x:v>
      </x:c>
      <x:c r="AN110" s="9" t="n">
        <x:v>110</x:v>
      </x:c>
    </x:row>
    <x:row r="111">
      <x:c r="A111" s="9" t="str">
        <x:v>Failure</x:v>
      </x:c>
      <x:c r="B111" s="9" t="str">
        <x:v>State Recognition</x:v>
      </x:c>
      <x:c r="C111" s="10" t="n">
        <x:v>109</x:v>
      </x:c>
      <x:c r="D111" s="9" t="str">
        <x:v>Place the open yellow-white striped cup in the bowl.</x:v>
      </x:c>
      <x:c r="E111" s="9" t="str">
        <x:v>yellow-white striped cup B (O, RU); yellow-white striped cup A (C, RU); brown cup B (O, RU)</x:v>
      </x:c>
      <x:c r="F111" s="9" t="str">
        <x:v>yellow-white striped cup B</x:v>
      </x:c>
      <x:c r="G111" s="9" t="str">
        <x:v>picked closed striped cup</x:v>
      </x:c>
      <x:c r="H111" s="9" t="str">
        <x:v>Concept/compositional transfer</x:v>
      </x:c>
      <x:c r="I111" s="9" t="str">
        <x:v>SR-CT50</x:v>
      </x:c>
      <x:c r="J111" s="9" t="str">
        <x:v>Primary held-out state-object composition</x:v>
      </x:c>
      <x:c r="K111" s="9"/>
      <x:c r="L111" s="9" t="str">
        <x:v>64</x:v>
      </x:c>
      <x:c r="M111"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111" s="9" t="n">
        <x:v>4</x:v>
      </x:c>
      <x:c r="O111" s="9" t="str">
        <x:v>Build the listed same-category discrimination scene with the bowl empty.</x:v>
      </x:c>
      <x:c r="P111" s="9" t="str">
        <x:v>Two same-category candidates share the non-queried state axis; only the held-out state word identifies the target. The orthogonal orientation axis is fixed: every object is RU.</x:v>
      </x:c>
      <x:c r="Q111" s="9"/>
      <x:c r="R111" s="10" t="n">
        <x:v>3</x:v>
      </x:c>
      <x:c r="S111" s="10" t="n">
        <x:v>1</x:v>
      </x:c>
      <x:c r="T111" s="9" t="str">
        <x:v>Empty</x:v>
      </x:c>
      <x:c r="U111" s="9" t="str">
        <x:v>O</x:v>
      </x:c>
      <x:c r="V111" s="9" t="str">
        <x:v>yellow-white striped cup</x:v>
      </x:c>
      <x:c r="W111" s="9"/>
      <x:c r="X111" s="10"/>
      <x:c r="Y111" s="10"/>
      <x:c r="Z111" s="9"/>
      <x:c r="AA111" s="9"/>
      <x:c r="AB111" s="9"/>
      <x:c r="AC111" s="9"/>
      <x:c r="AD111" s="9"/>
      <x:c r="AE111" s="9"/>
      <x:c r="AF111" s="9"/>
      <x:c r="AG111" s="9"/>
      <x:c r="AH111" s="9"/>
      <x:c r="AI111" s="11"/>
      <x:c r="AJ111" s="9"/>
      <x:c r="AK111" s="9" t="str">
        <x:v>Eval_State_Recognition.xlsm</x:v>
      </x:c>
      <x:c r="AL111" s="9" t="str">
        <x:v>MolmoAct2 Results</x:v>
      </x:c>
      <x:c r="AM111" s="9" t="n">
        <x:v>111</x:v>
      </x:c>
      <x:c r="AN111" s="9" t="n">
        <x:v>111</x:v>
      </x:c>
    </x:row>
    <x:row r="112">
      <x:c r="A112" s="9" t="str">
        <x:v>Success</x:v>
      </x:c>
      <x:c r="B112" s="9" t="str">
        <x:v>State Recognition</x:v>
      </x:c>
      <x:c r="C112" s="10" t="n">
        <x:v>110</x:v>
      </x:c>
      <x:c r="D112" s="9" t="str">
        <x:v>Place the closed black cup in the bowl.</x:v>
      </x:c>
      <x:c r="E112" s="9" t="str">
        <x:v>black cup A (C, RU); black cup B (O, RU)</x:v>
      </x:c>
      <x:c r="F112" s="9" t="str">
        <x:v>black cup A</x:v>
      </x:c>
      <x:c r="G112" s="9"/>
      <x:c r="H112" s="9" t="str">
        <x:v>Novel-object state reasoning</x:v>
      </x:c>
      <x:c r="I112" s="9" t="str">
        <x:v>SR-BLACK-CF01</x:v>
      </x:c>
      <x:c r="J112" s="9" t="str">
        <x:v>Exact-scene counterfactual globally unseen black-cup state reasoning</x:v>
      </x:c>
      <x:c r="K112" s="9"/>
      <x:c r="L112" s="9" t="n">
        <x:v>0</x:v>
      </x:c>
      <x:c r="M112" s="9" t="str">
        <x:v>State-word concept reference from training episode 0; black cups are globally unseen. This is an exact-scene state counterfactual pair, not a direct-name manipulation control.</x:v>
      </x:c>
      <x:c r="N112" s="9" t="n">
        <x:v>5</x:v>
      </x:c>
      <x:c r="O112" s="9" t="str">
        <x:v>Build the listed scene with both black cups and an empty bowl.</x:v>
      </x:c>
      <x:c r="P112" s="9" t="str">
        <x:v>Counterfactual C/O pair: both black cups and every distractor are RU; only the queried state word changes the correct black cup.</x:v>
      </x:c>
      <x:c r="Q112" s="9"/>
      <x:c r="R112" s="10" t="n">
        <x:v>2</x:v>
      </x:c>
      <x:c r="S112" s="10" t="n">
        <x:v>1</x:v>
      </x:c>
      <x:c r="T112" s="9" t="str">
        <x:v>Empty</x:v>
      </x:c>
      <x:c r="U112" s="9" t="str">
        <x:v>C</x:v>
      </x:c>
      <x:c r="V112" s="9" t="str">
        <x:v>black cup</x:v>
      </x:c>
      <x:c r="W112" s="9"/>
      <x:c r="X112" s="10"/>
      <x:c r="Y112" s="10"/>
      <x:c r="Z112" s="9"/>
      <x:c r="AA112" s="9"/>
      <x:c r="AB112" s="9"/>
      <x:c r="AC112" s="9"/>
      <x:c r="AD112" s="9"/>
      <x:c r="AE112" s="9"/>
      <x:c r="AF112" s="9"/>
      <x:c r="AG112" s="9"/>
      <x:c r="AH112" s="9"/>
      <x:c r="AI112" s="11"/>
      <x:c r="AJ112" s="9"/>
      <x:c r="AK112" s="9" t="str">
        <x:v>Eval_State_Recognition.xlsm</x:v>
      </x:c>
      <x:c r="AL112" s="9" t="str">
        <x:v>MolmoAct2 Results</x:v>
      </x:c>
      <x:c r="AM112" s="9" t="n">
        <x:v>112</x:v>
      </x:c>
      <x:c r="AN112" s="9" t="n">
        <x:v>112</x:v>
      </x:c>
    </x:row>
    <x:row r="113">
      <x:c r="A113" s="9" t="str">
        <x:v>Failure</x:v>
      </x:c>
      <x:c r="B113" s="9" t="str">
        <x:v>State Recognition</x:v>
      </x:c>
      <x:c r="C113" s="10" t="n">
        <x:v>111</x:v>
      </x:c>
      <x:c r="D113" s="9" t="str">
        <x:v>Place the open black cup in the bowl.</x:v>
      </x:c>
      <x:c r="E113" s="9" t="str">
        <x:v>black cup A (C, RU); black cup B (O, RU)</x:v>
      </x:c>
      <x:c r="F113" s="9" t="str">
        <x:v>black cup B</x:v>
      </x:c>
      <x:c r="G113" s="9" t="str">
        <x:v>picked the closed black cup</x:v>
      </x:c>
      <x:c r="H113" s="9" t="str">
        <x:v>Novel-object state reasoning</x:v>
      </x:c>
      <x:c r="I113" s="9" t="str">
        <x:v>SR-BLACK-CF01</x:v>
      </x:c>
      <x:c r="J113" s="9" t="str">
        <x:v>Exact-scene counterfactual globally unseen black-cup state reasoning</x:v>
      </x:c>
      <x:c r="K113" s="9" t="n">
        <x:v>110</x:v>
      </x:c>
      <x:c r="L113" s="9" t="n">
        <x:v>101</x:v>
      </x:c>
      <x:c r="M113" s="9" t="str">
        <x:v>State-word concept reference from training episode 101; black cups are globally unseen. This is an exact-scene state counterfactual pair, not a direct-name manipulation control.</x:v>
      </x:c>
      <x:c r="N113" s="9" t="n">
        <x:v>5</x:v>
      </x:c>
      <x:c r="O113" s="9" t="str">
        <x:v>Reset the moved black cup to its marked pose; preserve the exact scene and change only the state word in the prompt.</x:v>
      </x:c>
      <x:c r="P113" s="9" t="str">
        <x:v>Counterfactual C/O pair: both black cups and every distractor are RU; only the queried state word changes the correct black cup.</x:v>
      </x:c>
      <x:c r="Q113" s="9"/>
      <x:c r="R113" s="10" t="n">
        <x:v>2</x:v>
      </x:c>
      <x:c r="S113" s="10" t="n">
        <x:v>1</x:v>
      </x:c>
      <x:c r="T113" s="9" t="str">
        <x:v>Empty</x:v>
      </x:c>
      <x:c r="U113" s="9" t="str">
        <x:v>O</x:v>
      </x:c>
      <x:c r="V113" s="9" t="str">
        <x:v>black cup</x:v>
      </x:c>
      <x:c r="W113" s="9"/>
      <x:c r="X113" s="10"/>
      <x:c r="Y113" s="10"/>
      <x:c r="Z113" s="9"/>
      <x:c r="AA113" s="9"/>
      <x:c r="AB113" s="9"/>
      <x:c r="AC113" s="9"/>
      <x:c r="AD113" s="9"/>
      <x:c r="AE113" s="9"/>
      <x:c r="AF113" s="9"/>
      <x:c r="AG113" s="9"/>
      <x:c r="AH113" s="9"/>
      <x:c r="AI113" s="11"/>
      <x:c r="AJ113" s="9"/>
      <x:c r="AK113" s="9" t="str">
        <x:v>Eval_State_Recognition.xlsm</x:v>
      </x:c>
      <x:c r="AL113" s="9" t="str">
        <x:v>MolmoAct2 Results</x:v>
      </x:c>
      <x:c r="AM113" s="9" t="n">
        <x:v>113</x:v>
      </x:c>
      <x:c r="AN113" s="9" t="n">
        <x:v>113</x:v>
      </x:c>
    </x:row>
    <x:row r="114">
      <x:c r="A114" s="9" t="str">
        <x:v>Success</x:v>
      </x:c>
      <x:c r="B114" s="9" t="str">
        <x:v>State Recognition</x:v>
      </x:c>
      <x:c r="C114" s="10" t="n">
        <x:v>112</x:v>
      </x:c>
      <x:c r="D114" s="9" t="str">
        <x:v>Place the upside-down black cup in the bowl.</x:v>
      </x:c>
      <x:c r="E114" s="9" t="str">
        <x:v>black cup A (C, UD); black cup B (C, RU); yellow-white striped cup B (O, UD)</x:v>
      </x:c>
      <x:c r="F114" s="9" t="str">
        <x:v>black cup A</x:v>
      </x:c>
      <x:c r="G114" s="9"/>
      <x:c r="H114" s="9" t="str">
        <x:v>Novel-object state reasoning</x:v>
      </x:c>
      <x:c r="I114" s="9" t="str">
        <x:v>SR-BLACK-CF02</x:v>
      </x:c>
      <x:c r="J114" s="9" t="str">
        <x:v>Exact-scene counterfactual globally unseen black-cup state reasoning</x:v>
      </x:c>
      <x:c r="K114" s="9"/>
      <x:c r="L114" s="9" t="n">
        <x:v>78</x:v>
      </x:c>
      <x:c r="M114" s="9" t="str">
        <x:v>State-word concept reference from training episode 78; black cups are globally unseen. This is an exact-scene state counterfactual pair, not a direct-name manipulation control.</x:v>
      </x:c>
      <x:c r="N114" s="9" t="n">
        <x:v>5</x:v>
      </x:c>
      <x:c r="O114" s="9" t="str">
        <x:v>Build the listed scene with both black cups and an empty bowl.</x:v>
      </x:c>
      <x:c r="P114" s="9" t="str">
        <x:v>Counterfactual UD/RU pair: both black cups share the orthogonal C/O state (C); only the queried state word changes the correct black cup.</x:v>
      </x:c>
      <x:c r="Q114" s="9"/>
      <x:c r="R114" s="10" t="n">
        <x:v>3</x:v>
      </x:c>
      <x:c r="S114" s="10" t="n">
        <x:v>1</x:v>
      </x:c>
      <x:c r="T114" s="9" t="str">
        <x:v>Empty</x:v>
      </x:c>
      <x:c r="U114" s="9" t="str">
        <x:v>UD</x:v>
      </x:c>
      <x:c r="V114" s="9" t="str">
        <x:v>black cup</x:v>
      </x:c>
      <x:c r="W114" s="9"/>
      <x:c r="X114" s="10"/>
      <x:c r="Y114" s="10"/>
      <x:c r="Z114" s="9"/>
      <x:c r="AA114" s="9"/>
      <x:c r="AB114" s="9"/>
      <x:c r="AC114" s="9"/>
      <x:c r="AD114" s="9"/>
      <x:c r="AE114" s="9"/>
      <x:c r="AF114" s="9"/>
      <x:c r="AG114" s="9"/>
      <x:c r="AH114" s="9"/>
      <x:c r="AI114" s="11"/>
      <x:c r="AJ114" s="9"/>
      <x:c r="AK114" s="9" t="str">
        <x:v>Eval_State_Recognition.xlsm</x:v>
      </x:c>
      <x:c r="AL114" s="9" t="str">
        <x:v>MolmoAct2 Results</x:v>
      </x:c>
      <x:c r="AM114" s="9" t="n">
        <x:v>114</x:v>
      </x:c>
      <x:c r="AN114" s="9" t="n">
        <x:v>114</x:v>
      </x:c>
    </x:row>
    <x:row r="115">
      <x:c r="A115" s="9" t="str">
        <x:v>Success</x:v>
      </x:c>
      <x:c r="B115" s="9" t="str">
        <x:v>State Recognition</x:v>
      </x:c>
      <x:c r="C115" s="10" t="n">
        <x:v>113</x:v>
      </x:c>
      <x:c r="D115" s="9" t="str">
        <x:v>Place the upright black cup in the bowl.</x:v>
      </x:c>
      <x:c r="E115" s="9" t="str">
        <x:v>black cup A (C, UD); black cup B (C, RU); yellow-white striped cup B (O, UD)</x:v>
      </x:c>
      <x:c r="F115" s="9" t="str">
        <x:v>black cup B</x:v>
      </x:c>
      <x:c r="G115" s="9"/>
      <x:c r="H115" s="9" t="str">
        <x:v>Novel-object state reasoning</x:v>
      </x:c>
      <x:c r="I115" s="9" t="str">
        <x:v>SR-BLACK-CF02</x:v>
      </x:c>
      <x:c r="J115" s="9" t="str">
        <x:v>Exact-scene counterfactual globally unseen black-cup state reasoning</x:v>
      </x:c>
      <x:c r="K115" s="9" t="n">
        <x:v>112</x:v>
      </x:c>
      <x:c r="L115" s="9" t="n">
        <x:v>26</x:v>
      </x:c>
      <x:c r="M115" s="9" t="str">
        <x:v>State-word concept reference from training episode 26; black cups are globally unseen. This is an exact-scene state counterfactual pair, not a direct-name manipulation control.</x:v>
      </x:c>
      <x:c r="N115" s="9" t="n">
        <x:v>5</x:v>
      </x:c>
      <x:c r="O115" s="9" t="str">
        <x:v>Reset the moved black cup to its marked pose; preserve the exact scene and change only the state word in the prompt.</x:v>
      </x:c>
      <x:c r="P115" s="9" t="str">
        <x:v>Counterfactual UD/RU pair: both black cups share the orthogonal C/O state (C); only the queried state word changes the correct black cup.</x:v>
      </x:c>
      <x:c r="Q115" s="9"/>
      <x:c r="R115" s="10" t="n">
        <x:v>3</x:v>
      </x:c>
      <x:c r="S115" s="10" t="n">
        <x:v>1</x:v>
      </x:c>
      <x:c r="T115" s="9" t="str">
        <x:v>Empty</x:v>
      </x:c>
      <x:c r="U115" s="9" t="str">
        <x:v>RU</x:v>
      </x:c>
      <x:c r="V115" s="9" t="str">
        <x:v>black cup</x:v>
      </x:c>
      <x:c r="W115" s="9"/>
      <x:c r="X115" s="10"/>
      <x:c r="Y115" s="10"/>
      <x:c r="Z115" s="9"/>
      <x:c r="AA115" s="9"/>
      <x:c r="AB115" s="9"/>
      <x:c r="AC115" s="9"/>
      <x:c r="AD115" s="9"/>
      <x:c r="AE115" s="9"/>
      <x:c r="AF115" s="9"/>
      <x:c r="AG115" s="9"/>
      <x:c r="AH115" s="9"/>
      <x:c r="AI115" s="11"/>
      <x:c r="AJ115" s="9"/>
      <x:c r="AK115" s="9" t="str">
        <x:v>Eval_State_Recognition.xlsm</x:v>
      </x:c>
      <x:c r="AL115" s="9" t="str">
        <x:v>MolmoAct2 Results</x:v>
      </x:c>
      <x:c r="AM115" s="9" t="n">
        <x:v>115</x:v>
      </x:c>
      <x:c r="AN115" s="9" t="n">
        <x:v>115</x:v>
      </x:c>
    </x:row>
    <x:row r="116">
      <x:c r="A116" s="9" t="str">
        <x:v>Success</x:v>
      </x:c>
      <x:c r="B116" s="9" t="str">
        <x:v>State Recognition</x:v>
      </x:c>
      <x:c r="C116" s="10" t="n">
        <x:v>114</x:v>
      </x:c>
      <x:c r="D116" s="9" t="str">
        <x:v>Place the closed black cup in the bowl.</x:v>
      </x:c>
      <x:c r="E116" s="9" t="str">
        <x:v>black cup A (O, RU); black cup B (C, RU); brown cup A (C, RU); glass spice container B (O, RU)</x:v>
      </x:c>
      <x:c r="F116" s="9" t="str">
        <x:v>black cup B</x:v>
      </x:c>
      <x:c r="G116" s="9"/>
      <x:c r="H116" s="9" t="str">
        <x:v>Novel-object state reasoning</x:v>
      </x:c>
      <x:c r="I116" s="9" t="str">
        <x:v>SR-BLACK-CF03</x:v>
      </x:c>
      <x:c r="J116" s="9" t="str">
        <x:v>Exact-scene counterfactual globally unseen black-cup state reasoning</x:v>
      </x:c>
      <x:c r="K116" s="9"/>
      <x:c r="L116" s="9" t="n">
        <x:v>0</x:v>
      </x:c>
      <x:c r="M116" s="9" t="str">
        <x:v>State-word concept reference from training episode 0; black cups are globally unseen. This is an exact-scene state counterfactual pair, not a direct-name manipulation control.</x:v>
      </x:c>
      <x:c r="N116" s="9" t="n">
        <x:v>5</x:v>
      </x:c>
      <x:c r="O116" s="9" t="str">
        <x:v>Build the listed scene with both black cups and an empty bowl.</x:v>
      </x:c>
      <x:c r="P116" s="9" t="str">
        <x:v>Counterfactual C/O pair: both black cups and every distractor are RU; only the queried state word changes the correct black cup.</x:v>
      </x:c>
      <x:c r="Q116" s="9"/>
      <x:c r="R116" s="10" t="n">
        <x:v>4</x:v>
      </x:c>
      <x:c r="S116" s="10" t="n">
        <x:v>1</x:v>
      </x:c>
      <x:c r="T116" s="9" t="str">
        <x:v>Empty</x:v>
      </x:c>
      <x:c r="U116" s="9" t="str">
        <x:v>C</x:v>
      </x:c>
      <x:c r="V116" s="9" t="str">
        <x:v>black cup</x:v>
      </x:c>
      <x:c r="W116" s="9"/>
      <x:c r="X116" s="10"/>
      <x:c r="Y116" s="10"/>
      <x:c r="Z116" s="9"/>
      <x:c r="AA116" s="9"/>
      <x:c r="AB116" s="9"/>
      <x:c r="AC116" s="9"/>
      <x:c r="AD116" s="9"/>
      <x:c r="AE116" s="9"/>
      <x:c r="AF116" s="9"/>
      <x:c r="AG116" s="9"/>
      <x:c r="AH116" s="9"/>
      <x:c r="AI116" s="11"/>
      <x:c r="AJ116" s="9"/>
      <x:c r="AK116" s="9" t="str">
        <x:v>Eval_State_Recognition.xlsm</x:v>
      </x:c>
      <x:c r="AL116" s="9" t="str">
        <x:v>MolmoAct2 Results</x:v>
      </x:c>
      <x:c r="AM116" s="9" t="n">
        <x:v>116</x:v>
      </x:c>
      <x:c r="AN116" s="9" t="n">
        <x:v>116</x:v>
      </x:c>
    </x:row>
    <x:row r="117">
      <x:c r="A117" s="9" t="str">
        <x:v>Success</x:v>
      </x:c>
      <x:c r="B117" s="9" t="str">
        <x:v>State Recognition</x:v>
      </x:c>
      <x:c r="C117" s="10" t="n">
        <x:v>115</x:v>
      </x:c>
      <x:c r="D117" s="9" t="str">
        <x:v>Place the open black cup in the bowl.</x:v>
      </x:c>
      <x:c r="E117" s="9" t="str">
        <x:v>black cup A (O, RU); black cup B (C, RU); brown cup A (C, RU); glass spice container B (O, RU)</x:v>
      </x:c>
      <x:c r="F117" s="9" t="str">
        <x:v>black cup A</x:v>
      </x:c>
      <x:c r="G117" s="9" t="str">
        <x:v>moved between to the two cups, then recovered and got the open one</x:v>
      </x:c>
      <x:c r="H117" s="9" t="str">
        <x:v>Novel-object state reasoning</x:v>
      </x:c>
      <x:c r="I117" s="9" t="str">
        <x:v>SR-BLACK-CF03</x:v>
      </x:c>
      <x:c r="J117" s="9" t="str">
        <x:v>Exact-scene counterfactual globally unseen black-cup state reasoning</x:v>
      </x:c>
      <x:c r="K117" s="9" t="n">
        <x:v>114</x:v>
      </x:c>
      <x:c r="L117" s="9" t="n">
        <x:v>101</x:v>
      </x:c>
      <x:c r="M117" s="9" t="str">
        <x:v>State-word concept reference from training episode 101; black cups are globally unseen. This is an exact-scene state counterfactual pair, not a direct-name manipulation control.</x:v>
      </x:c>
      <x:c r="N117" s="9" t="n">
        <x:v>5</x:v>
      </x:c>
      <x:c r="O117" s="9" t="str">
        <x:v>Reset the moved black cup to its marked pose; preserve the exact scene and change only the state word in the prompt.</x:v>
      </x:c>
      <x:c r="P117" s="9" t="str">
        <x:v>Counterfactual C/O pair: both black cups and every distractor are RU; only the queried state word changes the correct black cup.</x:v>
      </x:c>
      <x:c r="Q117" s="9"/>
      <x:c r="R117" s="10" t="n">
        <x:v>4</x:v>
      </x:c>
      <x:c r="S117" s="10" t="n">
        <x:v>1</x:v>
      </x:c>
      <x:c r="T117" s="9" t="str">
        <x:v>Empty</x:v>
      </x:c>
      <x:c r="U117" s="9" t="str">
        <x:v>O</x:v>
      </x:c>
      <x:c r="V117" s="9" t="str">
        <x:v>black cup</x:v>
      </x:c>
      <x:c r="W117" s="9"/>
      <x:c r="X117" s="10"/>
      <x:c r="Y117" s="10"/>
      <x:c r="Z117" s="9"/>
      <x:c r="AA117" s="9"/>
      <x:c r="AB117" s="9"/>
      <x:c r="AC117" s="9"/>
      <x:c r="AD117" s="9"/>
      <x:c r="AE117" s="9"/>
      <x:c r="AF117" s="9"/>
      <x:c r="AG117" s="9"/>
      <x:c r="AH117" s="9"/>
      <x:c r="AI117" s="11"/>
      <x:c r="AJ117" s="9"/>
      <x:c r="AK117" s="9" t="str">
        <x:v>Eval_State_Recognition.xlsm</x:v>
      </x:c>
      <x:c r="AL117" s="9" t="str">
        <x:v>MolmoAct2 Results</x:v>
      </x:c>
      <x:c r="AM117" s="9" t="n">
        <x:v>117</x:v>
      </x:c>
      <x:c r="AN117" s="9" t="n">
        <x:v>117</x:v>
      </x:c>
    </x:row>
    <x:row r="118">
      <x:c r="A118" s="9" t="str">
        <x:v>Success</x:v>
      </x:c>
      <x:c r="B118" s="9" t="str">
        <x:v>State Recognition</x:v>
      </x:c>
      <x:c r="C118" s="10" t="n">
        <x:v>116</x:v>
      </x:c>
      <x:c r="D118" s="9" t="str">
        <x:v>Place the upside-down black cup in the bowl.</x:v>
      </x:c>
      <x:c r="E118" s="9" t="str">
        <x:v>black cup A (O, RU); black cup B (O, UD)</x:v>
      </x:c>
      <x:c r="F118" s="9" t="str">
        <x:v>black cup B</x:v>
      </x:c>
      <x:c r="G118" s="9"/>
      <x:c r="H118" s="9" t="str">
        <x:v>Novel-object state reasoning</x:v>
      </x:c>
      <x:c r="I118" s="9" t="str">
        <x:v>SR-BLACK-CF04</x:v>
      </x:c>
      <x:c r="J118" s="9" t="str">
        <x:v>Exact-scene counterfactual globally unseen black-cup state reasoning</x:v>
      </x:c>
      <x:c r="K118" s="9"/>
      <x:c r="L118" s="9" t="n">
        <x:v>78</x:v>
      </x:c>
      <x:c r="M118" s="9" t="str">
        <x:v>State-word concept reference from training episode 78; black cups are globally unseen. This is an exact-scene state counterfactual pair, not a direct-name manipulation control.</x:v>
      </x:c>
      <x:c r="N118" s="9" t="n">
        <x:v>5</x:v>
      </x:c>
      <x:c r="O118" s="9" t="str">
        <x:v>Build the listed scene with both black cups and an empty bowl.</x:v>
      </x:c>
      <x:c r="P118" s="9" t="str">
        <x:v>Counterfactual UD/RU pair: both black cups share the orthogonal C/O state (O); only the queried state word changes the correct black cup.</x:v>
      </x:c>
      <x:c r="Q118" s="9"/>
      <x:c r="R118" s="10" t="n">
        <x:v>2</x:v>
      </x:c>
      <x:c r="S118" s="10" t="n">
        <x:v>1</x:v>
      </x:c>
      <x:c r="T118" s="9" t="str">
        <x:v>Empty</x:v>
      </x:c>
      <x:c r="U118" s="9" t="str">
        <x:v>UD</x:v>
      </x:c>
      <x:c r="V118" s="9" t="str">
        <x:v>black cup</x:v>
      </x:c>
      <x:c r="W118" s="9"/>
      <x:c r="X118" s="10"/>
      <x:c r="Y118" s="10"/>
      <x:c r="Z118" s="9"/>
      <x:c r="AA118" s="9"/>
      <x:c r="AB118" s="9"/>
      <x:c r="AC118" s="9"/>
      <x:c r="AD118" s="9"/>
      <x:c r="AE118" s="9"/>
      <x:c r="AF118" s="9"/>
      <x:c r="AG118" s="9"/>
      <x:c r="AH118" s="9"/>
      <x:c r="AI118" s="11"/>
      <x:c r="AJ118" s="9"/>
      <x:c r="AK118" s="9" t="str">
        <x:v>Eval_State_Recognition.xlsm</x:v>
      </x:c>
      <x:c r="AL118" s="9" t="str">
        <x:v>MolmoAct2 Results</x:v>
      </x:c>
      <x:c r="AM118" s="9" t="n">
        <x:v>118</x:v>
      </x:c>
      <x:c r="AN118" s="9" t="n">
        <x:v>118</x:v>
      </x:c>
    </x:row>
    <x:row r="119">
      <x:c r="A119" s="9" t="str">
        <x:v>Success</x:v>
      </x:c>
      <x:c r="B119" s="9" t="str">
        <x:v>State Recognition</x:v>
      </x:c>
      <x:c r="C119" s="10" t="n">
        <x:v>117</x:v>
      </x:c>
      <x:c r="D119" s="9" t="str">
        <x:v>Place the upright black cup in the bowl.</x:v>
      </x:c>
      <x:c r="E119" s="9" t="str">
        <x:v>black cup A (O, RU); black cup B (O, UD)</x:v>
      </x:c>
      <x:c r="F119" s="9" t="str">
        <x:v>black cup A</x:v>
      </x:c>
      <x:c r="G119" s="9"/>
      <x:c r="H119" s="9" t="str">
        <x:v>Novel-object state reasoning</x:v>
      </x:c>
      <x:c r="I119" s="9" t="str">
        <x:v>SR-BLACK-CF04</x:v>
      </x:c>
      <x:c r="J119" s="9" t="str">
        <x:v>Exact-scene counterfactual globally unseen black-cup state reasoning</x:v>
      </x:c>
      <x:c r="K119" s="9" t="n">
        <x:v>116</x:v>
      </x:c>
      <x:c r="L119" s="9" t="n">
        <x:v>26</x:v>
      </x:c>
      <x:c r="M119" s="9" t="str">
        <x:v>State-word concept reference from training episode 26; black cups are globally unseen. This is an exact-scene state counterfactual pair, not a direct-name manipulation control.</x:v>
      </x:c>
      <x:c r="N119" s="9" t="n">
        <x:v>5</x:v>
      </x:c>
      <x:c r="O119" s="9" t="str">
        <x:v>Reset the moved black cup to its marked pose; preserve the exact scene and change only the state word in the prompt.</x:v>
      </x:c>
      <x:c r="P119" s="9" t="str">
        <x:v>Counterfactual UD/RU pair: both black cups share the orthogonal C/O state (O); only the queried state word changes the correct black cup.</x:v>
      </x:c>
      <x:c r="Q119" s="9"/>
      <x:c r="R119" s="10" t="n">
        <x:v>2</x:v>
      </x:c>
      <x:c r="S119" s="10" t="n">
        <x:v>1</x:v>
      </x:c>
      <x:c r="T119" s="9" t="str">
        <x:v>Empty</x:v>
      </x:c>
      <x:c r="U119" s="9" t="str">
        <x:v>RU</x:v>
      </x:c>
      <x:c r="V119" s="9" t="str">
        <x:v>black cup</x:v>
      </x:c>
      <x:c r="W119" s="9"/>
      <x:c r="X119" s="10"/>
      <x:c r="Y119" s="10"/>
      <x:c r="Z119" s="9"/>
      <x:c r="AA119" s="9"/>
      <x:c r="AB119" s="9"/>
      <x:c r="AC119" s="9"/>
      <x:c r="AD119" s="9"/>
      <x:c r="AE119" s="9"/>
      <x:c r="AF119" s="9"/>
      <x:c r="AG119" s="9"/>
      <x:c r="AH119" s="9"/>
      <x:c r="AI119" s="11"/>
      <x:c r="AJ119" s="9"/>
      <x:c r="AK119" s="9" t="str">
        <x:v>Eval_State_Recognition.xlsm</x:v>
      </x:c>
      <x:c r="AL119" s="9" t="str">
        <x:v>MolmoAct2 Results</x:v>
      </x:c>
      <x:c r="AM119" s="9" t="n">
        <x:v>119</x:v>
      </x:c>
      <x:c r="AN119" s="9" t="n">
        <x:v>119</x:v>
      </x:c>
    </x:row>
    <x:row r="120">
      <x:c r="A120" s="9" t="str">
        <x:v>Success</x:v>
      </x:c>
      <x:c r="B120" s="9" t="str">
        <x:v>State Recognition</x:v>
      </x:c>
      <x:c r="C120" s="10" t="n">
        <x:v>118</x:v>
      </x:c>
      <x:c r="D120" s="9" t="str">
        <x:v>Place the closed black cup in the bowl.</x:v>
      </x:c>
      <x:c r="E120" s="9" t="str">
        <x:v>black cup A (C, RU); black cup B (O, RU); white cup A (C, RU)</x:v>
      </x:c>
      <x:c r="F120" s="9" t="str">
        <x:v>black cup A</x:v>
      </x:c>
      <x:c r="G120" s="9"/>
      <x:c r="H120" s="9" t="str">
        <x:v>Novel-object state reasoning</x:v>
      </x:c>
      <x:c r="I120" s="9" t="str">
        <x:v>SR-BLACK-CF05</x:v>
      </x:c>
      <x:c r="J120" s="9" t="str">
        <x:v>Exact-scene counterfactual globally unseen black-cup state reasoning</x:v>
      </x:c>
      <x:c r="K120" s="9"/>
      <x:c r="L120" s="9" t="n">
        <x:v>0</x:v>
      </x:c>
      <x:c r="M120" s="9" t="str">
        <x:v>State-word concept reference from training episode 0; black cups are globally unseen. This is an exact-scene state counterfactual pair, not a direct-name manipulation control.</x:v>
      </x:c>
      <x:c r="N120" s="9" t="n">
        <x:v>5</x:v>
      </x:c>
      <x:c r="O120" s="9" t="str">
        <x:v>Build the listed scene with both black cups and an empty bowl.</x:v>
      </x:c>
      <x:c r="P120" s="9" t="str">
        <x:v>Counterfactual C/O pair: both black cups and every distractor are RU; only the queried state word changes the correct black cup.</x:v>
      </x:c>
      <x:c r="Q120" s="9"/>
      <x:c r="R120" s="10" t="n">
        <x:v>3</x:v>
      </x:c>
      <x:c r="S120" s="10" t="n">
        <x:v>1</x:v>
      </x:c>
      <x:c r="T120" s="9" t="str">
        <x:v>Empty</x:v>
      </x:c>
      <x:c r="U120" s="9" t="str">
        <x:v>C</x:v>
      </x:c>
      <x:c r="V120" s="9" t="str">
        <x:v>black cup</x:v>
      </x:c>
      <x:c r="W120" s="9"/>
      <x:c r="X120" s="10"/>
      <x:c r="Y120" s="10"/>
      <x:c r="Z120" s="9"/>
      <x:c r="AA120" s="9"/>
      <x:c r="AB120" s="9"/>
      <x:c r="AC120" s="9"/>
      <x:c r="AD120" s="9"/>
      <x:c r="AE120" s="9"/>
      <x:c r="AF120" s="9"/>
      <x:c r="AG120" s="9"/>
      <x:c r="AH120" s="9"/>
      <x:c r="AI120" s="11"/>
      <x:c r="AJ120" s="9"/>
      <x:c r="AK120" s="9" t="str">
        <x:v>Eval_State_Recognition.xlsm</x:v>
      </x:c>
      <x:c r="AL120" s="9" t="str">
        <x:v>MolmoAct2 Results</x:v>
      </x:c>
      <x:c r="AM120" s="9" t="n">
        <x:v>120</x:v>
      </x:c>
      <x:c r="AN120" s="9" t="n">
        <x:v>120</x:v>
      </x:c>
    </x:row>
    <x:row r="121">
      <x:c r="A121" s="9" t="str">
        <x:v>Failure</x:v>
      </x:c>
      <x:c r="B121" s="9" t="str">
        <x:v>State Recognition</x:v>
      </x:c>
      <x:c r="C121" s="10" t="n">
        <x:v>119</x:v>
      </x:c>
      <x:c r="D121" s="9" t="str">
        <x:v>Place the open black cup in the bowl.</x:v>
      </x:c>
      <x:c r="E121" s="9" t="str">
        <x:v>black cup A (C, RU); black cup B (O, RU); white cup A (C, RU)</x:v>
      </x:c>
      <x:c r="F121" s="9" t="str">
        <x:v>black cup B</x:v>
      </x:c>
      <x:c r="G121" s="9" t="str">
        <x:v>placed closed black cup</x:v>
      </x:c>
      <x:c r="H121" s="9" t="str">
        <x:v>Novel-object state reasoning</x:v>
      </x:c>
      <x:c r="I121" s="9" t="str">
        <x:v>SR-BLACK-CF05</x:v>
      </x:c>
      <x:c r="J121" s="9" t="str">
        <x:v>Exact-scene counterfactual globally unseen black-cup state reasoning</x:v>
      </x:c>
      <x:c r="K121" s="9" t="n">
        <x:v>118</x:v>
      </x:c>
      <x:c r="L121" s="9" t="n">
        <x:v>101</x:v>
      </x:c>
      <x:c r="M121" s="9" t="str">
        <x:v>State-word concept reference from training episode 101; black cups are globally unseen. This is an exact-scene state counterfactual pair, not a direct-name manipulation control.</x:v>
      </x:c>
      <x:c r="N121" s="9" t="n">
        <x:v>5</x:v>
      </x:c>
      <x:c r="O121" s="9" t="str">
        <x:v>Reset the moved black cup to its marked pose; preserve the exact scene and change only the state word in the prompt.</x:v>
      </x:c>
      <x:c r="P121" s="9" t="str">
        <x:v>Counterfactual C/O pair: both black cups and every distractor are RU; only the queried state word changes the correct black cup.</x:v>
      </x:c>
      <x:c r="Q121" s="9"/>
      <x:c r="R121" s="10" t="n">
        <x:v>3</x:v>
      </x:c>
      <x:c r="S121" s="10" t="n">
        <x:v>1</x:v>
      </x:c>
      <x:c r="T121" s="9" t="str">
        <x:v>Empty</x:v>
      </x:c>
      <x:c r="U121" s="9" t="str">
        <x:v>O</x:v>
      </x:c>
      <x:c r="V121" s="9" t="str">
        <x:v>black cup</x:v>
      </x:c>
      <x:c r="W121" s="9"/>
      <x:c r="X121" s="10"/>
      <x:c r="Y121" s="10"/>
      <x:c r="Z121" s="9"/>
      <x:c r="AA121" s="9"/>
      <x:c r="AB121" s="9"/>
      <x:c r="AC121" s="9"/>
      <x:c r="AD121" s="9"/>
      <x:c r="AE121" s="9"/>
      <x:c r="AF121" s="9"/>
      <x:c r="AG121" s="9"/>
      <x:c r="AH121" s="9"/>
      <x:c r="AI121" s="11"/>
      <x:c r="AJ121" s="9"/>
      <x:c r="AK121" s="9" t="str">
        <x:v>Eval_State_Recognition.xlsm</x:v>
      </x:c>
      <x:c r="AL121" s="9" t="str">
        <x:v>MolmoAct2 Results</x:v>
      </x:c>
      <x:c r="AM121" s="9" t="n">
        <x:v>121</x:v>
      </x:c>
      <x:c r="AN121" s="9" t="n">
        <x:v>121</x:v>
      </x:c>
    </x:row>
    <x:row r="122">
      <x:c r="A122" s="9" t="str">
        <x:v>Failure</x:v>
      </x:c>
      <x:c r="B122" s="9" t="str">
        <x:v>State Recognition</x:v>
      </x:c>
      <x:c r="C122" s="10" t="n">
        <x:v>120</x:v>
      </x:c>
      <x:c r="D122" s="9" t="str">
        <x:v>Place the upside-down black cup in the bowl.</x:v>
      </x:c>
      <x:c r="E122" s="9" t="str">
        <x:v>black cup A (C, UD); black cup B (C, RU); yellow-white striped cup B (O, UD); brown cup A (C, RU)</x:v>
      </x:c>
      <x:c r="F122" s="9" t="str">
        <x:v>black cup A</x:v>
      </x:c>
      <x:c r="G122" s="9" t="str">
        <x:v>placed upright black cup</x:v>
      </x:c>
      <x:c r="H122" s="9" t="str">
        <x:v>Novel-object state reasoning</x:v>
      </x:c>
      <x:c r="I122" s="9" t="str">
        <x:v>SR-BLACK-CF06</x:v>
      </x:c>
      <x:c r="J122" s="9" t="str">
        <x:v>Exact-scene counterfactual globally unseen black-cup state reasoning</x:v>
      </x:c>
      <x:c r="K122" s="9"/>
      <x:c r="L122" s="9" t="n">
        <x:v>78</x:v>
      </x:c>
      <x:c r="M122" s="9" t="str">
        <x:v>State-word concept reference from training episode 78; black cups are globally unseen. This is an exact-scene state counterfactual pair, not a direct-name manipulation control.</x:v>
      </x:c>
      <x:c r="N122" s="9" t="n">
        <x:v>5</x:v>
      </x:c>
      <x:c r="O122" s="9" t="str">
        <x:v>Build the listed scene with both black cups and an empty bowl.</x:v>
      </x:c>
      <x:c r="P122" s="9" t="str">
        <x:v>Counterfactual UD/RU pair: both black cups share the orthogonal C/O state (C); only the queried state word changes the correct black cup.</x:v>
      </x:c>
      <x:c r="Q122" s="9"/>
      <x:c r="R122" s="10" t="n">
        <x:v>4</x:v>
      </x:c>
      <x:c r="S122" s="10" t="n">
        <x:v>1</x:v>
      </x:c>
      <x:c r="T122" s="9" t="str">
        <x:v>Empty</x:v>
      </x:c>
      <x:c r="U122" s="9" t="str">
        <x:v>UD</x:v>
      </x:c>
      <x:c r="V122" s="9" t="str">
        <x:v>black cup</x:v>
      </x:c>
      <x:c r="W122" s="9"/>
      <x:c r="X122" s="10"/>
      <x:c r="Y122" s="10"/>
      <x:c r="Z122" s="9"/>
      <x:c r="AA122" s="9"/>
      <x:c r="AB122" s="9"/>
      <x:c r="AC122" s="9"/>
      <x:c r="AD122" s="9"/>
      <x:c r="AE122" s="9"/>
      <x:c r="AF122" s="9"/>
      <x:c r="AG122" s="9"/>
      <x:c r="AH122" s="9"/>
      <x:c r="AI122" s="11"/>
      <x:c r="AJ122" s="9"/>
      <x:c r="AK122" s="9" t="str">
        <x:v>Eval_State_Recognition.xlsm</x:v>
      </x:c>
      <x:c r="AL122" s="9" t="str">
        <x:v>MolmoAct2 Results</x:v>
      </x:c>
      <x:c r="AM122" s="9" t="n">
        <x:v>122</x:v>
      </x:c>
      <x:c r="AN122" s="9" t="n">
        <x:v>122</x:v>
      </x:c>
    </x:row>
    <x:row r="123">
      <x:c r="A123" s="9" t="str">
        <x:v>Success</x:v>
      </x:c>
      <x:c r="B123" s="9" t="str">
        <x:v>State Recognition</x:v>
      </x:c>
      <x:c r="C123" s="10" t="n">
        <x:v>121</x:v>
      </x:c>
      <x:c r="D123" s="9" t="str">
        <x:v>Place the upright black cup in the bowl.</x:v>
      </x:c>
      <x:c r="E123" s="9" t="str">
        <x:v>black cup A (C, UD); black cup B (C, RU); yellow-white striped cup B (O, UD); brown cup A (C, RU)</x:v>
      </x:c>
      <x:c r="F123" s="9" t="str">
        <x:v>black cup B</x:v>
      </x:c>
      <x:c r="G123" s="9"/>
      <x:c r="H123" s="9" t="str">
        <x:v>Novel-object state reasoning</x:v>
      </x:c>
      <x:c r="I123" s="9" t="str">
        <x:v>SR-BLACK-CF06</x:v>
      </x:c>
      <x:c r="J123" s="9" t="str">
        <x:v>Exact-scene counterfactual globally unseen black-cup state reasoning</x:v>
      </x:c>
      <x:c r="K123" s="9" t="n">
        <x:v>120</x:v>
      </x:c>
      <x:c r="L123" s="9" t="n">
        <x:v>26</x:v>
      </x:c>
      <x:c r="M123" s="9" t="str">
        <x:v>State-word concept reference from training episode 26; black cups are globally unseen. This is an exact-scene state counterfactual pair, not a direct-name manipulation control.</x:v>
      </x:c>
      <x:c r="N123" s="9" t="n">
        <x:v>5</x:v>
      </x:c>
      <x:c r="O123" s="9" t="str">
        <x:v>Reset the moved black cup to its marked pose; preserve the exact scene and change only the state word in the prompt.</x:v>
      </x:c>
      <x:c r="P123" s="9" t="str">
        <x:v>Counterfactual UD/RU pair: both black cups share the orthogonal C/O state (C); only the queried state word changes the correct black cup.</x:v>
      </x:c>
      <x:c r="Q123" s="9"/>
      <x:c r="R123" s="10" t="n">
        <x:v>4</x:v>
      </x:c>
      <x:c r="S123" s="10" t="n">
        <x:v>1</x:v>
      </x:c>
      <x:c r="T123" s="9" t="str">
        <x:v>Empty</x:v>
      </x:c>
      <x:c r="U123" s="9" t="str">
        <x:v>RU</x:v>
      </x:c>
      <x:c r="V123" s="9" t="str">
        <x:v>black cup</x:v>
      </x:c>
      <x:c r="W123" s="9"/>
      <x:c r="X123" s="10"/>
      <x:c r="Y123" s="10"/>
      <x:c r="Z123" s="9"/>
      <x:c r="AA123" s="9"/>
      <x:c r="AB123" s="9"/>
      <x:c r="AC123" s="9"/>
      <x:c r="AD123" s="9"/>
      <x:c r="AE123" s="9"/>
      <x:c r="AF123" s="9"/>
      <x:c r="AG123" s="9"/>
      <x:c r="AH123" s="9"/>
      <x:c r="AI123" s="11"/>
      <x:c r="AJ123" s="9"/>
      <x:c r="AK123" s="9" t="str">
        <x:v>Eval_State_Recognition.xlsm</x:v>
      </x:c>
      <x:c r="AL123" s="9" t="str">
        <x:v>MolmoAct2 Results</x:v>
      </x:c>
      <x:c r="AM123" s="9" t="n">
        <x:v>123</x:v>
      </x:c>
      <x:c r="AN123" s="9" t="n">
        <x:v>123</x:v>
      </x:c>
    </x:row>
    <x:row r="124">
      <x:c r="A124" s="9" t="str">
        <x:v>Success</x:v>
      </x:c>
      <x:c r="B124" s="9" t="str">
        <x:v>State Recognition</x:v>
      </x:c>
      <x:c r="C124" s="10" t="n">
        <x:v>122</x:v>
      </x:c>
      <x:c r="D124" s="9" t="str">
        <x:v>Place the closed black cup in the bowl.</x:v>
      </x:c>
      <x:c r="E124" s="9" t="str">
        <x:v>black cup A (O, RU); black cup B (C, RU)</x:v>
      </x:c>
      <x:c r="F124" s="9" t="str">
        <x:v>black cup B</x:v>
      </x:c>
      <x:c r="G124" s="9"/>
      <x:c r="H124" s="9" t="str">
        <x:v>Novel-object state reasoning</x:v>
      </x:c>
      <x:c r="I124" s="9" t="str">
        <x:v>SR-BLACK-CF07</x:v>
      </x:c>
      <x:c r="J124" s="9" t="str">
        <x:v>Exact-scene counterfactual globally unseen black-cup state reasoning</x:v>
      </x:c>
      <x:c r="K124" s="9"/>
      <x:c r="L124" s="9" t="n">
        <x:v>0</x:v>
      </x:c>
      <x:c r="M124" s="9" t="str">
        <x:v>State-word concept reference from training episode 0; black cups are globally unseen. This is an exact-scene state counterfactual pair, not a direct-name manipulation control.</x:v>
      </x:c>
      <x:c r="N124" s="9" t="n">
        <x:v>5</x:v>
      </x:c>
      <x:c r="O124" s="9" t="str">
        <x:v>Build the listed scene with both black cups and an empty bowl.</x:v>
      </x:c>
      <x:c r="P124" s="9" t="str">
        <x:v>Counterfactual C/O pair: both black cups and every distractor are RU; only the queried state word changes the correct black cup.</x:v>
      </x:c>
      <x:c r="Q124" s="9"/>
      <x:c r="R124" s="10" t="n">
        <x:v>2</x:v>
      </x:c>
      <x:c r="S124" s="10" t="n">
        <x:v>1</x:v>
      </x:c>
      <x:c r="T124" s="9" t="str">
        <x:v>Empty</x:v>
      </x:c>
      <x:c r="U124" s="9" t="str">
        <x:v>C</x:v>
      </x:c>
      <x:c r="V124" s="9" t="str">
        <x:v>black cup</x:v>
      </x:c>
      <x:c r="W124" s="9"/>
      <x:c r="X124" s="10"/>
      <x:c r="Y124" s="10"/>
      <x:c r="Z124" s="9"/>
      <x:c r="AA124" s="9"/>
      <x:c r="AB124" s="9"/>
      <x:c r="AC124" s="9"/>
      <x:c r="AD124" s="9"/>
      <x:c r="AE124" s="9"/>
      <x:c r="AF124" s="9"/>
      <x:c r="AG124" s="9"/>
      <x:c r="AH124" s="9"/>
      <x:c r="AI124" s="11"/>
      <x:c r="AJ124" s="9"/>
      <x:c r="AK124" s="9" t="str">
        <x:v>Eval_State_Recognition.xlsm</x:v>
      </x:c>
      <x:c r="AL124" s="9" t="str">
        <x:v>MolmoAct2 Results</x:v>
      </x:c>
      <x:c r="AM124" s="9" t="n">
        <x:v>124</x:v>
      </x:c>
      <x:c r="AN124" s="9" t="n">
        <x:v>124</x:v>
      </x:c>
    </x:row>
    <x:row r="125">
      <x:c r="A125" s="9" t="str">
        <x:v>Success</x:v>
      </x:c>
      <x:c r="B125" s="9" t="str">
        <x:v>State Recognition</x:v>
      </x:c>
      <x:c r="C125" s="10" t="n">
        <x:v>123</x:v>
      </x:c>
      <x:c r="D125" s="9" t="str">
        <x:v>Place the open black cup in the bowl.</x:v>
      </x:c>
      <x:c r="E125" s="9" t="str">
        <x:v>black cup A (O, RU); black cup B (C, RU)</x:v>
      </x:c>
      <x:c r="F125" s="9" t="str">
        <x:v>black cup A</x:v>
      </x:c>
      <x:c r="G125" s="9"/>
      <x:c r="H125" s="9" t="str">
        <x:v>Novel-object state reasoning</x:v>
      </x:c>
      <x:c r="I125" s="9" t="str">
        <x:v>SR-BLACK-CF07</x:v>
      </x:c>
      <x:c r="J125" s="9" t="str">
        <x:v>Exact-scene counterfactual globally unseen black-cup state reasoning</x:v>
      </x:c>
      <x:c r="K125" s="9" t="n">
        <x:v>122</x:v>
      </x:c>
      <x:c r="L125" s="9" t="n">
        <x:v>101</x:v>
      </x:c>
      <x:c r="M125" s="9" t="str">
        <x:v>State-word concept reference from training episode 101; black cups are globally unseen. This is an exact-scene state counterfactual pair, not a direct-name manipulation control.</x:v>
      </x:c>
      <x:c r="N125" s="9" t="n">
        <x:v>5</x:v>
      </x:c>
      <x:c r="O125" s="9" t="str">
        <x:v>Reset the moved black cup to its marked pose; preserve the exact scene and change only the state word in the prompt.</x:v>
      </x:c>
      <x:c r="P125" s="9" t="str">
        <x:v>Counterfactual C/O pair: both black cups and every distractor are RU; only the queried state word changes the correct black cup.</x:v>
      </x:c>
      <x:c r="Q125" s="9"/>
      <x:c r="R125" s="10" t="n">
        <x:v>2</x:v>
      </x:c>
      <x:c r="S125" s="10" t="n">
        <x:v>1</x:v>
      </x:c>
      <x:c r="T125" s="9" t="str">
        <x:v>Empty</x:v>
      </x:c>
      <x:c r="U125" s="9" t="str">
        <x:v>O</x:v>
      </x:c>
      <x:c r="V125" s="9" t="str">
        <x:v>black cup</x:v>
      </x:c>
      <x:c r="W125" s="9"/>
      <x:c r="X125" s="10"/>
      <x:c r="Y125" s="10"/>
      <x:c r="Z125" s="9"/>
      <x:c r="AA125" s="9"/>
      <x:c r="AB125" s="9"/>
      <x:c r="AC125" s="9"/>
      <x:c r="AD125" s="9"/>
      <x:c r="AE125" s="9"/>
      <x:c r="AF125" s="9"/>
      <x:c r="AG125" s="9"/>
      <x:c r="AH125" s="9"/>
      <x:c r="AI125" s="11"/>
      <x:c r="AJ125" s="9"/>
      <x:c r="AK125" s="9" t="str">
        <x:v>Eval_State_Recognition.xlsm</x:v>
      </x:c>
      <x:c r="AL125" s="9" t="str">
        <x:v>MolmoAct2 Results</x:v>
      </x:c>
      <x:c r="AM125" s="9" t="n">
        <x:v>125</x:v>
      </x:c>
      <x:c r="AN125" s="9" t="n">
        <x:v>125</x:v>
      </x:c>
    </x:row>
    <x:row r="126">
      <x:c r="A126" s="9" t="str">
        <x:v>Success</x:v>
      </x:c>
      <x:c r="B126" s="9" t="str">
        <x:v>State Recognition</x:v>
      </x:c>
      <x:c r="C126" s="10" t="n">
        <x:v>124</x:v>
      </x:c>
      <x:c r="D126" s="9" t="str">
        <x:v>Place the upside-down black cup in the bowl.</x:v>
      </x:c>
      <x:c r="E126" s="9" t="str">
        <x:v>black cup A (O, RU); black cup B (O, UD); glass spice container B (O, UD)</x:v>
      </x:c>
      <x:c r="F126" s="9" t="str">
        <x:v>black cup B</x:v>
      </x:c>
      <x:c r="G126" s="9"/>
      <x:c r="H126" s="9" t="str">
        <x:v>Novel-object state reasoning</x:v>
      </x:c>
      <x:c r="I126" s="9" t="str">
        <x:v>SR-BLACK-CF08</x:v>
      </x:c>
      <x:c r="J126" s="9" t="str">
        <x:v>Exact-scene counterfactual globally unseen black-cup state reasoning</x:v>
      </x:c>
      <x:c r="K126" s="9"/>
      <x:c r="L126" s="9" t="n">
        <x:v>78</x:v>
      </x:c>
      <x:c r="M126" s="9" t="str">
        <x:v>State-word concept reference from training episode 78; black cups are globally unseen. This is an exact-scene state counterfactual pair, not a direct-name manipulation control.</x:v>
      </x:c>
      <x:c r="N126" s="9" t="n">
        <x:v>5</x:v>
      </x:c>
      <x:c r="O126" s="9" t="str">
        <x:v>Build the listed scene with both black cups and an empty bowl.</x:v>
      </x:c>
      <x:c r="P126" s="9" t="str">
        <x:v>Counterfactual UD/RU pair: both black cups share the orthogonal C/O state (O); only the queried state word changes the correct black cup.</x:v>
      </x:c>
      <x:c r="Q126" s="9"/>
      <x:c r="R126" s="10" t="n">
        <x:v>3</x:v>
      </x:c>
      <x:c r="S126" s="10" t="n">
        <x:v>1</x:v>
      </x:c>
      <x:c r="T126" s="9" t="str">
        <x:v>Empty</x:v>
      </x:c>
      <x:c r="U126" s="9" t="str">
        <x:v>UD</x:v>
      </x:c>
      <x:c r="V126" s="9" t="str">
        <x:v>black cup</x:v>
      </x:c>
      <x:c r="W126" s="9"/>
      <x:c r="X126" s="10"/>
      <x:c r="Y126" s="10"/>
      <x:c r="Z126" s="9"/>
      <x:c r="AA126" s="9"/>
      <x:c r="AB126" s="9"/>
      <x:c r="AC126" s="9"/>
      <x:c r="AD126" s="9"/>
      <x:c r="AE126" s="9"/>
      <x:c r="AF126" s="9"/>
      <x:c r="AG126" s="9"/>
      <x:c r="AH126" s="9"/>
      <x:c r="AI126" s="11"/>
      <x:c r="AJ126" s="9"/>
      <x:c r="AK126" s="9" t="str">
        <x:v>Eval_State_Recognition.xlsm</x:v>
      </x:c>
      <x:c r="AL126" s="9" t="str">
        <x:v>MolmoAct2 Results</x:v>
      </x:c>
      <x:c r="AM126" s="9" t="n">
        <x:v>126</x:v>
      </x:c>
      <x:c r="AN126" s="9" t="n">
        <x:v>126</x:v>
      </x:c>
    </x:row>
    <x:row r="127">
      <x:c r="A127" s="9" t="str">
        <x:v>Success</x:v>
      </x:c>
      <x:c r="B127" s="9" t="str">
        <x:v>State Recognition</x:v>
      </x:c>
      <x:c r="C127" s="10" t="n">
        <x:v>125</x:v>
      </x:c>
      <x:c r="D127" s="9" t="str">
        <x:v>Place the upright black cup in the bowl.</x:v>
      </x:c>
      <x:c r="E127" s="9" t="str">
        <x:v>black cup A (O, RU); black cup B (O, UD); glass spice container B (O, UD)</x:v>
      </x:c>
      <x:c r="F127" s="9" t="str">
        <x:v>black cup A</x:v>
      </x:c>
      <x:c r="G127" s="9"/>
      <x:c r="H127" s="9" t="str">
        <x:v>Novel-object state reasoning</x:v>
      </x:c>
      <x:c r="I127" s="9" t="str">
        <x:v>SR-BLACK-CF08</x:v>
      </x:c>
      <x:c r="J127" s="9" t="str">
        <x:v>Exact-scene counterfactual globally unseen black-cup state reasoning</x:v>
      </x:c>
      <x:c r="K127" s="9" t="n">
        <x:v>124</x:v>
      </x:c>
      <x:c r="L127" s="9" t="n">
        <x:v>26</x:v>
      </x:c>
      <x:c r="M127" s="9" t="str">
        <x:v>State-word concept reference from training episode 26; black cups are globally unseen. This is an exact-scene state counterfactual pair, not a direct-name manipulation control.</x:v>
      </x:c>
      <x:c r="N127" s="9" t="n">
        <x:v>5</x:v>
      </x:c>
      <x:c r="O127" s="9" t="str">
        <x:v>Reset the moved black cup to its marked pose; preserve the exact scene and change only the state word in the prompt.</x:v>
      </x:c>
      <x:c r="P127" s="9" t="str">
        <x:v>Counterfactual UD/RU pair: both black cups share the orthogonal C/O state (O); only the queried state word changes the correct black cup.</x:v>
      </x:c>
      <x:c r="Q127" s="9"/>
      <x:c r="R127" s="10" t="n">
        <x:v>3</x:v>
      </x:c>
      <x:c r="S127" s="10" t="n">
        <x:v>1</x:v>
      </x:c>
      <x:c r="T127" s="9" t="str">
        <x:v>Empty</x:v>
      </x:c>
      <x:c r="U127" s="9" t="str">
        <x:v>RU</x:v>
      </x:c>
      <x:c r="V127" s="9" t="str">
        <x:v>black cup</x:v>
      </x:c>
      <x:c r="W127" s="9"/>
      <x:c r="X127" s="10"/>
      <x:c r="Y127" s="10"/>
      <x:c r="Z127" s="9"/>
      <x:c r="AA127" s="9"/>
      <x:c r="AB127" s="9"/>
      <x:c r="AC127" s="9"/>
      <x:c r="AD127" s="9"/>
      <x:c r="AE127" s="9"/>
      <x:c r="AF127" s="9"/>
      <x:c r="AG127" s="9"/>
      <x:c r="AH127" s="9"/>
      <x:c r="AI127" s="11"/>
      <x:c r="AJ127" s="9"/>
      <x:c r="AK127" s="9" t="str">
        <x:v>Eval_State_Recognition.xlsm</x:v>
      </x:c>
      <x:c r="AL127" s="9" t="str">
        <x:v>MolmoAct2 Results</x:v>
      </x:c>
      <x:c r="AM127" s="9" t="n">
        <x:v>127</x:v>
      </x:c>
      <x:c r="AN127" s="9" t="n">
        <x:v>127</x:v>
      </x:c>
    </x:row>
    <x:row r="128">
      <x:c r="A128" s="9" t="str">
        <x:v>Success</x:v>
      </x:c>
      <x:c r="B128" s="9" t="str">
        <x:v>State Recognition</x:v>
      </x:c>
      <x:c r="C128" s="10" t="n">
        <x:v>126</x:v>
      </x:c>
      <x:c r="D128" s="9" t="str">
        <x:v>Place the closed black cup in the bowl.</x:v>
      </x:c>
      <x:c r="E128" s="9" t="str">
        <x:v>black cup A (C, RU); black cup B (O, RU); white cup A (C, RU); yellow-white striped cup B (O, RU)</x:v>
      </x:c>
      <x:c r="F128" s="9" t="str">
        <x:v>black cup A</x:v>
      </x:c>
      <x:c r="G128" s="9"/>
      <x:c r="H128" s="9" t="str">
        <x:v>Novel-object state reasoning</x:v>
      </x:c>
      <x:c r="I128" s="9" t="str">
        <x:v>SR-BLACK-CF09</x:v>
      </x:c>
      <x:c r="J128" s="9" t="str">
        <x:v>Exact-scene counterfactual globally unseen black-cup state reasoning</x:v>
      </x:c>
      <x:c r="K128" s="9"/>
      <x:c r="L128" s="9" t="n">
        <x:v>0</x:v>
      </x:c>
      <x:c r="M128" s="9" t="str">
        <x:v>State-word concept reference from training episode 0; black cups are globally unseen. This is an exact-scene state counterfactual pair, not a direct-name manipulation control.</x:v>
      </x:c>
      <x:c r="N128" s="9" t="n">
        <x:v>5</x:v>
      </x:c>
      <x:c r="O128" s="9" t="str">
        <x:v>Build the listed scene with both black cups and an empty bowl.</x:v>
      </x:c>
      <x:c r="P128" s="9" t="str">
        <x:v>Counterfactual C/O pair: both black cups and every distractor are RU; only the queried state word changes the correct black cup.</x:v>
      </x:c>
      <x:c r="Q128" s="9"/>
      <x:c r="R128" s="10" t="n">
        <x:v>4</x:v>
      </x:c>
      <x:c r="S128" s="10" t="n">
        <x:v>1</x:v>
      </x:c>
      <x:c r="T128" s="9" t="str">
        <x:v>Empty</x:v>
      </x:c>
      <x:c r="U128" s="9" t="str">
        <x:v>C</x:v>
      </x:c>
      <x:c r="V128" s="9" t="str">
        <x:v>black cup</x:v>
      </x:c>
      <x:c r="W128" s="9"/>
      <x:c r="X128" s="10"/>
      <x:c r="Y128" s="10"/>
      <x:c r="Z128" s="9"/>
      <x:c r="AA128" s="9"/>
      <x:c r="AB128" s="9"/>
      <x:c r="AC128" s="9"/>
      <x:c r="AD128" s="9"/>
      <x:c r="AE128" s="9"/>
      <x:c r="AF128" s="9"/>
      <x:c r="AG128" s="9"/>
      <x:c r="AH128" s="9"/>
      <x:c r="AI128" s="11"/>
      <x:c r="AJ128" s="9"/>
      <x:c r="AK128" s="9" t="str">
        <x:v>Eval_State_Recognition.xlsm</x:v>
      </x:c>
      <x:c r="AL128" s="9" t="str">
        <x:v>MolmoAct2 Results</x:v>
      </x:c>
      <x:c r="AM128" s="9" t="n">
        <x:v>128</x:v>
      </x:c>
      <x:c r="AN128" s="9" t="n">
        <x:v>128</x:v>
      </x:c>
    </x:row>
    <x:row r="129">
      <x:c r="A129" s="9" t="str">
        <x:v>Failure</x:v>
      </x:c>
      <x:c r="B129" s="9" t="str">
        <x:v>State Recognition</x:v>
      </x:c>
      <x:c r="C129" s="10" t="n">
        <x:v>127</x:v>
      </x:c>
      <x:c r="D129" s="9" t="str">
        <x:v>Place the open black cup in the bowl.</x:v>
      </x:c>
      <x:c r="E129" s="9" t="str">
        <x:v>black cup A (C, RU); black cup B (O, RU); white cup A (C, RU); yellow-white striped cup B (O, RU)</x:v>
      </x:c>
      <x:c r="F129" s="9" t="str">
        <x:v>black cup B</x:v>
      </x:c>
      <x:c r="G129" s="9" t="str">
        <x:v>placed the closed cup</x:v>
      </x:c>
      <x:c r="H129" s="9" t="str">
        <x:v>Novel-object state reasoning</x:v>
      </x:c>
      <x:c r="I129" s="9" t="str">
        <x:v>SR-BLACK-CF09</x:v>
      </x:c>
      <x:c r="J129" s="9" t="str">
        <x:v>Exact-scene counterfactual globally unseen black-cup state reasoning</x:v>
      </x:c>
      <x:c r="K129" s="9" t="n">
        <x:v>126</x:v>
      </x:c>
      <x:c r="L129" s="9" t="n">
        <x:v>101</x:v>
      </x:c>
      <x:c r="M129" s="9" t="str">
        <x:v>State-word concept reference from training episode 101; black cups are globally unseen. This is an exact-scene state counterfactual pair, not a direct-name manipulation control.</x:v>
      </x:c>
      <x:c r="N129" s="9" t="n">
        <x:v>5</x:v>
      </x:c>
      <x:c r="O129" s="9" t="str">
        <x:v>Reset the moved black cup to its marked pose; preserve the exact scene and change only the state word in the prompt.</x:v>
      </x:c>
      <x:c r="P129" s="9" t="str">
        <x:v>Counterfactual C/O pair: both black cups and every distractor are RU; only the queried state word changes the correct black cup.</x:v>
      </x:c>
      <x:c r="Q129" s="9"/>
      <x:c r="R129" s="10" t="n">
        <x:v>4</x:v>
      </x:c>
      <x:c r="S129" s="10" t="n">
        <x:v>1</x:v>
      </x:c>
      <x:c r="T129" s="9" t="str">
        <x:v>Empty</x:v>
      </x:c>
      <x:c r="U129" s="9" t="str">
        <x:v>O</x:v>
      </x:c>
      <x:c r="V129" s="9" t="str">
        <x:v>black cup</x:v>
      </x:c>
      <x:c r="W129" s="9"/>
      <x:c r="X129" s="10"/>
      <x:c r="Y129" s="10"/>
      <x:c r="Z129" s="9"/>
      <x:c r="AA129" s="9"/>
      <x:c r="AB129" s="9"/>
      <x:c r="AC129" s="9"/>
      <x:c r="AD129" s="9"/>
      <x:c r="AE129" s="9"/>
      <x:c r="AF129" s="9"/>
      <x:c r="AG129" s="9"/>
      <x:c r="AH129" s="9"/>
      <x:c r="AI129" s="11"/>
      <x:c r="AJ129" s="9"/>
      <x:c r="AK129" s="9" t="str">
        <x:v>Eval_State_Recognition.xlsm</x:v>
      </x:c>
      <x:c r="AL129" s="9" t="str">
        <x:v>MolmoAct2 Results</x:v>
      </x:c>
      <x:c r="AM129" s="9" t="n">
        <x:v>129</x:v>
      </x:c>
      <x:c r="AN129" s="9" t="n">
        <x:v>129</x:v>
      </x:c>
    </x:row>
    <x:row r="130">
      <x:c r="A130" s="9" t="str">
        <x:v>Success</x:v>
      </x:c>
      <x:c r="B130" s="9" t="str">
        <x:v>State Recognition</x:v>
      </x:c>
      <x:c r="C130" s="10" t="n">
        <x:v>128</x:v>
      </x:c>
      <x:c r="D130" s="9" t="str">
        <x:v>Place the upside-down black cup in the bowl.</x:v>
      </x:c>
      <x:c r="E130" s="9" t="str">
        <x:v>black cup A (C, UD); black cup B (C, RU); yellow-white striped cup B (O, UD)</x:v>
      </x:c>
      <x:c r="F130" s="9" t="str">
        <x:v>black cup A</x:v>
      </x:c>
      <x:c r="G130" s="9"/>
      <x:c r="H130" s="9" t="str">
        <x:v>Novel-object state reasoning</x:v>
      </x:c>
      <x:c r="I130" s="9" t="str">
        <x:v>SR-BLACK-CF10</x:v>
      </x:c>
      <x:c r="J130" s="9" t="str">
        <x:v>Exact-scene counterfactual globally unseen black-cup state reasoning</x:v>
      </x:c>
      <x:c r="K130" s="9"/>
      <x:c r="L130" s="9" t="n">
        <x:v>78</x:v>
      </x:c>
      <x:c r="M130" s="9" t="str">
        <x:v>State-word concept reference from training episode 78; black cups are globally unseen. This is an exact-scene state counterfactual pair, not a direct-name manipulation control.</x:v>
      </x:c>
      <x:c r="N130" s="9" t="n">
        <x:v>5</x:v>
      </x:c>
      <x:c r="O130" s="9" t="str">
        <x:v>Build the listed scene with both black cups and an empty bowl.</x:v>
      </x:c>
      <x:c r="P130" s="9" t="str">
        <x:v>Counterfactual UD/RU pair: both black cups share the orthogonal C/O state (C); only the queried state word changes the correct black cup.</x:v>
      </x:c>
      <x:c r="Q130" s="9"/>
      <x:c r="R130" s="10" t="n">
        <x:v>3</x:v>
      </x:c>
      <x:c r="S130" s="10" t="n">
        <x:v>1</x:v>
      </x:c>
      <x:c r="T130" s="9" t="str">
        <x:v>Empty</x:v>
      </x:c>
      <x:c r="U130" s="9" t="str">
        <x:v>UD</x:v>
      </x:c>
      <x:c r="V130" s="9" t="str">
        <x:v>black cup</x:v>
      </x:c>
      <x:c r="W130" s="9"/>
      <x:c r="X130" s="10"/>
      <x:c r="Y130" s="10"/>
      <x:c r="Z130" s="9"/>
      <x:c r="AA130" s="9"/>
      <x:c r="AB130" s="9"/>
      <x:c r="AC130" s="9"/>
      <x:c r="AD130" s="9"/>
      <x:c r="AE130" s="9"/>
      <x:c r="AF130" s="9"/>
      <x:c r="AG130" s="9"/>
      <x:c r="AH130" s="9"/>
      <x:c r="AI130" s="11"/>
      <x:c r="AJ130" s="9"/>
      <x:c r="AK130" s="9" t="str">
        <x:v>Eval_State_Recognition.xlsm</x:v>
      </x:c>
      <x:c r="AL130" s="9" t="str">
        <x:v>MolmoAct2 Results</x:v>
      </x:c>
      <x:c r="AM130" s="9" t="n">
        <x:v>130</x:v>
      </x:c>
      <x:c r="AN130" s="9" t="n">
        <x:v>130</x:v>
      </x:c>
    </x:row>
    <x:row r="131">
      <x:c r="A131" s="9" t="str">
        <x:v>Success</x:v>
      </x:c>
      <x:c r="B131" s="9" t="str">
        <x:v>State Recognition</x:v>
      </x:c>
      <x:c r="C131" s="10" t="n">
        <x:v>129</x:v>
      </x:c>
      <x:c r="D131" s="9" t="str">
        <x:v>Place the upright black cup in the bowl.</x:v>
      </x:c>
      <x:c r="E131" s="9" t="str">
        <x:v>black cup A (C, UD); black cup B (C, RU); yellow-white striped cup B (O, UD)</x:v>
      </x:c>
      <x:c r="F131" s="9" t="str">
        <x:v>black cup B</x:v>
      </x:c>
      <x:c r="G131" s="9"/>
      <x:c r="H131" s="9" t="str">
        <x:v>Novel-object state reasoning</x:v>
      </x:c>
      <x:c r="I131" s="9" t="str">
        <x:v>SR-BLACK-CF10</x:v>
      </x:c>
      <x:c r="J131" s="9" t="str">
        <x:v>Exact-scene counterfactual globally unseen black-cup state reasoning</x:v>
      </x:c>
      <x:c r="K131" s="9" t="n">
        <x:v>128</x:v>
      </x:c>
      <x:c r="L131" s="9" t="n">
        <x:v>26</x:v>
      </x:c>
      <x:c r="M131" s="9" t="str">
        <x:v>State-word concept reference from training episode 26; black cups are globally unseen. This is an exact-scene state counterfactual pair, not a direct-name manipulation control.</x:v>
      </x:c>
      <x:c r="N131" s="9" t="n">
        <x:v>5</x:v>
      </x:c>
      <x:c r="O131" s="9" t="str">
        <x:v>Reset the moved black cup to its marked pose; preserve the exact scene and change only the state word in the prompt.</x:v>
      </x:c>
      <x:c r="P131" s="9" t="str">
        <x:v>Counterfactual UD/RU pair: both black cups share the orthogonal C/O state (C); only the queried state word changes the correct black cup.</x:v>
      </x:c>
      <x:c r="Q131" s="9"/>
      <x:c r="R131" s="10" t="n">
        <x:v>3</x:v>
      </x:c>
      <x:c r="S131" s="10" t="n">
        <x:v>1</x:v>
      </x:c>
      <x:c r="T131" s="9" t="str">
        <x:v>Empty</x:v>
      </x:c>
      <x:c r="U131" s="9" t="str">
        <x:v>RU</x:v>
      </x:c>
      <x:c r="V131" s="9" t="str">
        <x:v>black cup</x:v>
      </x:c>
      <x:c r="W131" s="9"/>
      <x:c r="X131" s="10"/>
      <x:c r="Y131" s="10"/>
      <x:c r="Z131" s="9"/>
      <x:c r="AA131" s="9"/>
      <x:c r="AB131" s="9"/>
      <x:c r="AC131" s="9"/>
      <x:c r="AD131" s="9"/>
      <x:c r="AE131" s="9"/>
      <x:c r="AF131" s="9"/>
      <x:c r="AG131" s="9"/>
      <x:c r="AH131" s="9"/>
      <x:c r="AI131" s="11"/>
      <x:c r="AJ131" s="9"/>
      <x:c r="AK131" s="9" t="str">
        <x:v>Eval_State_Recognition.xlsm</x:v>
      </x:c>
      <x:c r="AL131" s="9" t="str">
        <x:v>MolmoAct2 Results</x:v>
      </x:c>
      <x:c r="AM131" s="9" t="n">
        <x:v>131</x:v>
      </x:c>
      <x:c r="AN131" s="9" t="n">
        <x:v>131</x:v>
      </x:c>
    </x:row>
    <x:row r="132">
      <x:c r="A132" s="9" t="str">
        <x:v>Failure</x:v>
      </x:c>
      <x:c r="B132" s="9" t="str">
        <x:v>State Recognition</x:v>
      </x:c>
      <x:c r="C132" s="10" t="n">
        <x:v>130</x:v>
      </x:c>
      <x:c r="D132" s="9" t="str">
        <x:v>Place the closed white cup in the bowl.</x:v>
      </x:c>
      <x:c r="E132" s="9" t="str">
        <x:v>white cup A (O, RU); white cup B (O, RU)</x:v>
      </x:c>
      <x:c r="F132" s="9" t="str">
        <x:v>NO-OP; no object has state C, so nothing should be picked up</x:v>
      </x:c>
      <x:c r="G132" s="9" t="str">
        <x:v>picked cup furthest from bowl</x:v>
      </x:c>
      <x:c r="H132" s="9" t="str">
        <x:v>No valid target / no movement</x:v>
      </x:c>
      <x:c r="I132" s="9" t="str">
        <x:v>SR-NOOP01</x:v>
      </x:c>
      <x:c r="J132" s="9" t="str">
        <x:v>No satisfying state present; bowl remains empty</x:v>
      </x:c>
      <x:c r="K132" s="9"/>
      <x:c r="L132" s="9" t="str">
        <x:v>0</x:v>
      </x:c>
      <x:c r="M132" s="9" t="str">
        <x:v>The state-object concept is explicitly trained, but training does not contain a no-satisfying-target abstention trajectory. All objects are upright, matching the context of every explicit open/closed training demonstration.</x:v>
      </x:c>
      <x:c r="N132" s="9" t="n">
        <x:v>6</x:v>
      </x:c>
      <x:c r="O132" s="9" t="str">
        <x:v>Build the listed no-match scene and confirm the bowl is empty.</x:v>
      </x:c>
      <x:c r="P132" s="9" t="str">
        <x:v>No object in the entire scene has the queried state. The prompt uses the same canonical frame as active trials, and the queried state-object cell is training-supported. The orthogonal orientation axis is fixed: every object is RU.</x:v>
      </x:c>
      <x:c r="Q132" s="9"/>
      <x:c r="R132" s="10" t="n">
        <x:v>2</x:v>
      </x:c>
      <x:c r="S132" s="10" t="n">
        <x:v>0</x:v>
      </x:c>
      <x:c r="T132" s="9" t="str">
        <x:v>Empty</x:v>
      </x:c>
      <x:c r="U132" s="9" t="str">
        <x:v>C</x:v>
      </x:c>
      <x:c r="V132" s="9" t="str">
        <x:v>white cup</x:v>
      </x:c>
      <x:c r="W132" s="9"/>
      <x:c r="X132" s="10"/>
      <x:c r="Y132" s="10"/>
      <x:c r="Z132" s="9"/>
      <x:c r="AA132" s="9"/>
      <x:c r="AB132" s="9"/>
      <x:c r="AC132" s="9"/>
      <x:c r="AD132" s="9"/>
      <x:c r="AE132" s="9"/>
      <x:c r="AF132" s="9"/>
      <x:c r="AG132" s="9"/>
      <x:c r="AH132" s="9"/>
      <x:c r="AI132" s="11"/>
      <x:c r="AJ132" s="9"/>
      <x:c r="AK132" s="9" t="str">
        <x:v>Eval_State_Recognition.xlsm</x:v>
      </x:c>
      <x:c r="AL132" s="9" t="str">
        <x:v>MolmoAct2 Results</x:v>
      </x:c>
      <x:c r="AM132" s="9" t="n">
        <x:v>132</x:v>
      </x:c>
      <x:c r="AN132" s="9" t="n">
        <x:v>132</x:v>
      </x:c>
    </x:row>
    <x:row r="133">
      <x:c r="A133" s="9" t="str">
        <x:v>Failure</x:v>
      </x:c>
      <x:c r="B133" s="9" t="str">
        <x:v>State Recognition</x:v>
      </x:c>
      <x:c r="C133" s="10" t="n">
        <x:v>131</x:v>
      </x:c>
      <x:c r="D133" s="9" t="str">
        <x:v>Place the upside-down yellow-white striped cup in the bowl.</x:v>
      </x:c>
      <x:c r="E133" s="9" t="str">
        <x:v>yellow-white striped cup A (C, RU); yellow-white striped cup B (C, RU); brown cup B (O, RU)</x:v>
      </x:c>
      <x:c r="F133" s="9" t="str">
        <x:v>NO-OP; no object has state UD, so nothing should be picked up</x:v>
      </x:c>
      <x:c r="G133" s="9" t="str">
        <x:v>picked cup furthest from bowl</x:v>
      </x:c>
      <x:c r="H133" s="9" t="str">
        <x:v>No valid target / no movement</x:v>
      </x:c>
      <x:c r="I133" s="9" t="str">
        <x:v>SR-NOOP02</x:v>
      </x:c>
      <x:c r="J133" s="9" t="str">
        <x:v>No satisfying state present; bowl remains empty</x:v>
      </x:c>
      <x:c r="K133" s="9"/>
      <x:c r="L133" s="9" t="str">
        <x:v>78</x:v>
      </x:c>
      <x:c r="M133" s="9" t="str">
        <x:v>The state-object concept is explicitly trained, but training does not contain a no-satisfying-target abstention trajectory.</x:v>
      </x:c>
      <x:c r="N133" s="9" t="n">
        <x:v>6</x:v>
      </x:c>
      <x:c r="O133" s="9" t="str">
        <x:v>Build the listed no-match scene and confirm the bowl is empty.</x:v>
      </x:c>
      <x:c r="P133" s="9" t="str">
        <x:v>No object in the entire scene has the queried state. The prompt uses the same canonical frame as active trials, and the queried state-object cell is training-supported. The same-category candidates share the orthogonal C/O state (C).</x:v>
      </x:c>
      <x:c r="Q133" s="9"/>
      <x:c r="R133" s="10" t="n">
        <x:v>3</x:v>
      </x:c>
      <x:c r="S133" s="10" t="n">
        <x:v>0</x:v>
      </x:c>
      <x:c r="T133" s="9" t="str">
        <x:v>Empty</x:v>
      </x:c>
      <x:c r="U133" s="9" t="str">
        <x:v>UD</x:v>
      </x:c>
      <x:c r="V133" s="9" t="str">
        <x:v>yellow-white striped cup</x:v>
      </x:c>
      <x:c r="W133" s="9"/>
      <x:c r="X133" s="10"/>
      <x:c r="Y133" s="10"/>
      <x:c r="Z133" s="9"/>
      <x:c r="AA133" s="9"/>
      <x:c r="AB133" s="9"/>
      <x:c r="AC133" s="9"/>
      <x:c r="AD133" s="9"/>
      <x:c r="AE133" s="9"/>
      <x:c r="AF133" s="9"/>
      <x:c r="AG133" s="9"/>
      <x:c r="AH133" s="9"/>
      <x:c r="AI133" s="11"/>
      <x:c r="AJ133" s="9"/>
      <x:c r="AK133" s="9" t="str">
        <x:v>Eval_State_Recognition.xlsm</x:v>
      </x:c>
      <x:c r="AL133" s="9" t="str">
        <x:v>MolmoAct2 Results</x:v>
      </x:c>
      <x:c r="AM133" s="9" t="n">
        <x:v>133</x:v>
      </x:c>
      <x:c r="AN133" s="9" t="n">
        <x:v>133</x:v>
      </x:c>
    </x:row>
    <x:row r="134">
      <x:c r="A134" s="9" t="str">
        <x:v>Failure</x:v>
      </x:c>
      <x:c r="B134" s="9" t="str">
        <x:v>State Recognition</x:v>
      </x:c>
      <x:c r="C134" s="10" t="n">
        <x:v>132</x:v>
      </x:c>
      <x:c r="D134" s="9" t="str">
        <x:v>Place the open brown cup in the bowl.</x:v>
      </x:c>
      <x:c r="E134" s="9" t="str">
        <x:v>brown cup A (C, RU); brown cup B (C, RU); glass spice container A (C, RU); white cup B (C, RU)</x:v>
      </x:c>
      <x:c r="F134" s="9" t="str">
        <x:v>NO-OP; no object has state O, so nothing should be picked up</x:v>
      </x:c>
      <x:c r="G134" s="9" t="str">
        <x:v>picked cup furthest from bowl</x:v>
      </x:c>
      <x:c r="H134" s="9" t="str">
        <x:v>No valid target / no movement</x:v>
      </x:c>
      <x:c r="I134" s="9" t="str">
        <x:v>SR-NOOP03</x:v>
      </x:c>
      <x:c r="J134" s="9" t="str">
        <x:v>No satisfying state present; bowl remains empty</x:v>
      </x:c>
      <x:c r="K134" s="9"/>
      <x:c r="L134" s="9" t="str">
        <x:v>101</x:v>
      </x:c>
      <x:c r="M134" s="9" t="str">
        <x:v>The state-object concept is explicitly trained, but training does not contain a no-satisfying-target abstention trajectory. All objects are upright, matching the context of every explicit open/closed training demonstration.</x:v>
      </x:c>
      <x:c r="N134" s="9" t="n">
        <x:v>6</x:v>
      </x:c>
      <x:c r="O134" s="9" t="str">
        <x:v>Build the listed no-match scene and confirm the bowl is empty.</x:v>
      </x:c>
      <x:c r="P134" s="9" t="str">
        <x:v>No object in the entire scene has the queried state. The prompt uses the same canonical frame as active trials, and the queried state-object cell is training-supported. The orthogonal orientation axis is fixed: every object is RU.</x:v>
      </x:c>
      <x:c r="Q134" s="9"/>
      <x:c r="R134" s="10" t="n">
        <x:v>4</x:v>
      </x:c>
      <x:c r="S134" s="10" t="n">
        <x:v>0</x:v>
      </x:c>
      <x:c r="T134" s="9" t="str">
        <x:v>Empty</x:v>
      </x:c>
      <x:c r="U134" s="9" t="str">
        <x:v>O</x:v>
      </x:c>
      <x:c r="V134" s="9" t="str">
        <x:v>brown cup</x:v>
      </x:c>
      <x:c r="W134" s="9"/>
      <x:c r="X134" s="10"/>
      <x:c r="Y134" s="10"/>
      <x:c r="Z134" s="9"/>
      <x:c r="AA134" s="9"/>
      <x:c r="AB134" s="9"/>
      <x:c r="AC134" s="9"/>
      <x:c r="AD134" s="9"/>
      <x:c r="AE134" s="9"/>
      <x:c r="AF134" s="9"/>
      <x:c r="AG134" s="9"/>
      <x:c r="AH134" s="9"/>
      <x:c r="AI134" s="11"/>
      <x:c r="AJ134" s="9"/>
      <x:c r="AK134" s="9" t="str">
        <x:v>Eval_State_Recognition.xlsm</x:v>
      </x:c>
      <x:c r="AL134" s="9" t="str">
        <x:v>MolmoAct2 Results</x:v>
      </x:c>
      <x:c r="AM134" s="9" t="n">
        <x:v>134</x:v>
      </x:c>
      <x:c r="AN134" s="9" t="n">
        <x:v>134</x:v>
      </x:c>
    </x:row>
    <x:row r="135">
      <x:c r="A135" s="9" t="str">
        <x:v>Failure</x:v>
      </x:c>
      <x:c r="B135" s="9" t="str">
        <x:v>State Recognition</x:v>
      </x:c>
      <x:c r="C135" s="10" t="n">
        <x:v>133</x:v>
      </x:c>
      <x:c r="D135" s="9" t="str">
        <x:v>Place the closed glass spice container in the bowl.</x:v>
      </x:c>
      <x:c r="E135" s="9" t="str">
        <x:v>glass spice container A (O, RU); glass spice container B (O, RU)</x:v>
      </x:c>
      <x:c r="F135" s="9" t="str">
        <x:v>NO-OP; no object has state C, so nothing should be picked up</x:v>
      </x:c>
      <x:c r="G135" s="9" t="str">
        <x:v>picked cup closest to the bowl</x:v>
      </x:c>
      <x:c r="H135" s="9" t="str">
        <x:v>No valid target / no movement</x:v>
      </x:c>
      <x:c r="I135" s="9" t="str">
        <x:v>SR-NOOP04</x:v>
      </x:c>
      <x:c r="J135" s="9" t="str">
        <x:v>No satisfying state present; bowl remains empty</x:v>
      </x:c>
      <x:c r="K135" s="9"/>
      <x:c r="L135" s="9" t="str">
        <x:v>151</x:v>
      </x:c>
      <x:c r="M135" s="9" t="str">
        <x:v>The state-object concept is explicitly trained, but training does not contain a no-satisfying-target abstention trajectory. All objects are upright, matching the context of every explicit open/closed training demonstration.</x:v>
      </x:c>
      <x:c r="N135" s="9" t="n">
        <x:v>6</x:v>
      </x:c>
      <x:c r="O135" s="9" t="str">
        <x:v>Build the listed no-match scene and confirm the bowl is empty.</x:v>
      </x:c>
      <x:c r="P135" s="9" t="str">
        <x:v>No object in the entire scene has the queried state. The prompt uses the same canonical frame as active trials, and the queried state-object cell is training-supported. The orthogonal orientation axis is fixed: every object is RU.</x:v>
      </x:c>
      <x:c r="Q135" s="9"/>
      <x:c r="R135" s="10" t="n">
        <x:v>2</x:v>
      </x:c>
      <x:c r="S135" s="10" t="n">
        <x:v>0</x:v>
      </x:c>
      <x:c r="T135" s="9" t="str">
        <x:v>Empty</x:v>
      </x:c>
      <x:c r="U135" s="9" t="str">
        <x:v>C</x:v>
      </x:c>
      <x:c r="V135" s="9" t="str">
        <x:v>glass spice container</x:v>
      </x:c>
      <x:c r="W135" s="9"/>
      <x:c r="X135" s="10"/>
      <x:c r="Y135" s="10"/>
      <x:c r="Z135" s="9"/>
      <x:c r="AA135" s="9"/>
      <x:c r="AB135" s="9"/>
      <x:c r="AC135" s="9"/>
      <x:c r="AD135" s="9"/>
      <x:c r="AE135" s="9"/>
      <x:c r="AF135" s="9"/>
      <x:c r="AG135" s="9"/>
      <x:c r="AH135" s="9"/>
      <x:c r="AI135" s="11"/>
      <x:c r="AJ135" s="9"/>
      <x:c r="AK135" s="9" t="str">
        <x:v>Eval_State_Recognition.xlsm</x:v>
      </x:c>
      <x:c r="AL135" s="9" t="str">
        <x:v>MolmoAct2 Results</x:v>
      </x:c>
      <x:c r="AM135" s="9" t="n">
        <x:v>135</x:v>
      </x:c>
      <x:c r="AN135" s="9" t="n">
        <x:v>135</x:v>
      </x:c>
    </x:row>
    <x:row r="136">
      <x:c r="A136" s="9" t="str">
        <x:v>Failure</x:v>
      </x:c>
      <x:c r="B136" s="9" t="str">
        <x:v>State Recognition</x:v>
      </x:c>
      <x:c r="C136" s="10" t="n">
        <x:v>134</x:v>
      </x:c>
      <x:c r="D136" s="9" t="str">
        <x:v>Place the open white cup in the bowl.</x:v>
      </x:c>
      <x:c r="E136" s="9" t="str">
        <x:v>white cup A (C, RU); white cup B (C, RU); glass spice container B (C, RU)</x:v>
      </x:c>
      <x:c r="F136" s="9" t="str">
        <x:v>NO-OP; no object has state O, so nothing should be picked up</x:v>
      </x:c>
      <x:c r="G136" s="9" t="str">
        <x:v>knocked over cup furthest from bowl and couldn't recover</x:v>
      </x:c>
      <x:c r="H136" s="9" t="str">
        <x:v>No valid target / no movement</x:v>
      </x:c>
      <x:c r="I136" s="9" t="str">
        <x:v>SR-NOOP05</x:v>
      </x:c>
      <x:c r="J136" s="9" t="str">
        <x:v>No satisfying state present; bowl remains empty</x:v>
      </x:c>
      <x:c r="K136" s="9"/>
      <x:c r="L136" s="9" t="str">
        <x:v>1</x:v>
      </x:c>
      <x:c r="M136" s="9" t="str">
        <x:v>The state-object concept is explicitly trained, but training does not contain a no-satisfying-target abstention trajectory. All objects are upright, matching the context of every explicit open/closed training demonstration.</x:v>
      </x:c>
      <x:c r="N136" s="9" t="n">
        <x:v>6</x:v>
      </x:c>
      <x:c r="O136" s="9" t="str">
        <x:v>Build the listed no-match scene and confirm the bowl is empty.</x:v>
      </x:c>
      <x:c r="P136" s="9" t="str">
        <x:v>No object in the entire scene has the queried state. The prompt uses the same canonical frame as active trials, and the queried state-object cell is training-supported. The orthogonal orientation axis is fixed: every object is RU.</x:v>
      </x:c>
      <x:c r="Q136" s="9"/>
      <x:c r="R136" s="10" t="n">
        <x:v>3</x:v>
      </x:c>
      <x:c r="S136" s="10" t="n">
        <x:v>0</x:v>
      </x:c>
      <x:c r="T136" s="9" t="str">
        <x:v>Empty</x:v>
      </x:c>
      <x:c r="U136" s="9" t="str">
        <x:v>O</x:v>
      </x:c>
      <x:c r="V136" s="9" t="str">
        <x:v>white cup</x:v>
      </x:c>
      <x:c r="W136" s="9"/>
      <x:c r="X136" s="10"/>
      <x:c r="Y136" s="10"/>
      <x:c r="Z136" s="9"/>
      <x:c r="AA136" s="9"/>
      <x:c r="AB136" s="9"/>
      <x:c r="AC136" s="9"/>
      <x:c r="AD136" s="9"/>
      <x:c r="AE136" s="9"/>
      <x:c r="AF136" s="9"/>
      <x:c r="AG136" s="9"/>
      <x:c r="AH136" s="9"/>
      <x:c r="AI136" s="11"/>
      <x:c r="AJ136" s="9"/>
      <x:c r="AK136" s="9" t="str">
        <x:v>Eval_State_Recognition.xlsm</x:v>
      </x:c>
      <x:c r="AL136" s="9" t="str">
        <x:v>MolmoAct2 Results</x:v>
      </x:c>
      <x:c r="AM136" s="9" t="n">
        <x:v>136</x:v>
      </x:c>
      <x:c r="AN136" s="9" t="n">
        <x:v>136</x:v>
      </x:c>
    </x:row>
    <x:row r="137">
      <x:c r="A137" s="9" t="str">
        <x:v>Failure</x:v>
      </x:c>
      <x:c r="B137" s="9" t="str">
        <x:v>State Recognition</x:v>
      </x:c>
      <x:c r="C137" s="10" t="n">
        <x:v>135</x:v>
      </x:c>
      <x:c r="D137" s="9" t="str">
        <x:v>Place the upright yellow-white striped cup in the bowl.</x:v>
      </x:c>
      <x:c r="E137" s="9" t="str">
        <x:v>yellow-white striped cup A (O, UD); yellow-white striped cup B (O, UD); white cup A (C, UD); brown cup B (O, UD)</x:v>
      </x:c>
      <x:c r="F137" s="9" t="str">
        <x:v>NO-OP; no object has state RU, so nothing should be picked up</x:v>
      </x:c>
      <x:c r="G137" s="9" t="str">
        <x:v>picked cup furthest from bowl</x:v>
      </x:c>
      <x:c r="H137" s="9" t="str">
        <x:v>No valid target / no movement</x:v>
      </x:c>
      <x:c r="I137" s="9" t="str">
        <x:v>SR-NOOP06</x:v>
      </x:c>
      <x:c r="J137" s="9" t="str">
        <x:v>No satisfying state present; bowl remains empty</x:v>
      </x:c>
      <x:c r="K137" s="9"/>
      <x:c r="L137" s="9" t="str">
        <x:v>75</x:v>
      </x:c>
      <x:c r="M137" s="9" t="str">
        <x:v>The state-object concept is explicitly trained, but training does not contain a no-satisfying-target abstention trajectory.</x:v>
      </x:c>
      <x:c r="N137" s="9" t="n">
        <x:v>6</x:v>
      </x:c>
      <x:c r="O137" s="9" t="str">
        <x:v>Build the listed no-match scene and confirm the bowl is empty.</x:v>
      </x:c>
      <x:c r="P137" s="9" t="str">
        <x:v>No object in the entire scene has the queried state. The prompt uses the same canonical frame as active trials, and the queried state-object cell is training-supported. The same-category candidates share the orthogonal C/O state (O).</x:v>
      </x:c>
      <x:c r="Q137" s="9"/>
      <x:c r="R137" s="10" t="n">
        <x:v>4</x:v>
      </x:c>
      <x:c r="S137" s="10" t="n">
        <x:v>0</x:v>
      </x:c>
      <x:c r="T137" s="9" t="str">
        <x:v>Empty</x:v>
      </x:c>
      <x:c r="U137" s="9" t="str">
        <x:v>RU</x:v>
      </x:c>
      <x:c r="V137" s="9" t="str">
        <x:v>yellow-white striped cup</x:v>
      </x:c>
      <x:c r="W137" s="9"/>
      <x:c r="X137" s="10"/>
      <x:c r="Y137" s="10"/>
      <x:c r="Z137" s="9"/>
      <x:c r="AA137" s="9"/>
      <x:c r="AB137" s="9"/>
      <x:c r="AC137" s="9"/>
      <x:c r="AD137" s="9"/>
      <x:c r="AE137" s="9"/>
      <x:c r="AF137" s="9"/>
      <x:c r="AG137" s="9"/>
      <x:c r="AH137" s="9"/>
      <x:c r="AI137" s="11"/>
      <x:c r="AJ137" s="9"/>
      <x:c r="AK137" s="9" t="str">
        <x:v>Eval_State_Recognition.xlsm</x:v>
      </x:c>
      <x:c r="AL137" s="9" t="str">
        <x:v>MolmoAct2 Results</x:v>
      </x:c>
      <x:c r="AM137" s="9" t="n">
        <x:v>137</x:v>
      </x:c>
      <x:c r="AN137" s="9" t="n">
        <x:v>137</x:v>
      </x:c>
    </x:row>
    <x:row r="138">
      <x:c r="A138" s="9" t="str">
        <x:v>Failure</x:v>
      </x:c>
      <x:c r="B138" s="9" t="str">
        <x:v>State Recognition</x:v>
      </x:c>
      <x:c r="C138" s="10" t="n">
        <x:v>136</x:v>
      </x:c>
      <x:c r="D138" s="9" t="str">
        <x:v>Place the upside-down brown cup in the bowl.</x:v>
      </x:c>
      <x:c r="E138" s="9" t="str">
        <x:v>brown cup A (O, RU); brown cup B (O, RU)</x:v>
      </x:c>
      <x:c r="F138" s="9" t="str">
        <x:v>NO-OP; no object has state UD, so nothing should be picked up</x:v>
      </x:c>
      <x:c r="G138" s="9" t="str">
        <x:v>picked cup furthest from bowl</x:v>
      </x:c>
      <x:c r="H138" s="9" t="str">
        <x:v>No valid target / no movement</x:v>
      </x:c>
      <x:c r="I138" s="9" t="str">
        <x:v>SR-NOOP07</x:v>
      </x:c>
      <x:c r="J138" s="9" t="str">
        <x:v>No satisfying state present; bowl remains empty</x:v>
      </x:c>
      <x:c r="K138" s="9"/>
      <x:c r="L138" s="9" t="str">
        <x:v>125</x:v>
      </x:c>
      <x:c r="M138" s="9" t="str">
        <x:v>The state-object concept is explicitly trained, but training does not contain a no-satisfying-target abstention trajectory.</x:v>
      </x:c>
      <x:c r="N138" s="9" t="n">
        <x:v>6</x:v>
      </x:c>
      <x:c r="O138" s="9" t="str">
        <x:v>Build the listed no-match scene and confirm the bowl is empty.</x:v>
      </x:c>
      <x:c r="P138" s="9" t="str">
        <x:v>No object in the entire scene has the queried state. The prompt uses the same canonical frame as active trials, and the queried state-object cell is training-supported. The same-category candidates share the orthogonal C/O state (O).</x:v>
      </x:c>
      <x:c r="Q138" s="9"/>
      <x:c r="R138" s="10" t="n">
        <x:v>2</x:v>
      </x:c>
      <x:c r="S138" s="10" t="n">
        <x:v>0</x:v>
      </x:c>
      <x:c r="T138" s="9" t="str">
        <x:v>Empty</x:v>
      </x:c>
      <x:c r="U138" s="9" t="str">
        <x:v>UD</x:v>
      </x:c>
      <x:c r="V138" s="9" t="str">
        <x:v>brown cup</x:v>
      </x:c>
      <x:c r="W138" s="9"/>
      <x:c r="X138" s="10"/>
      <x:c r="Y138" s="10"/>
      <x:c r="Z138" s="9"/>
      <x:c r="AA138" s="9"/>
      <x:c r="AB138" s="9"/>
      <x:c r="AC138" s="9"/>
      <x:c r="AD138" s="9"/>
      <x:c r="AE138" s="9"/>
      <x:c r="AF138" s="9"/>
      <x:c r="AG138" s="9"/>
      <x:c r="AH138" s="9"/>
      <x:c r="AI138" s="11"/>
      <x:c r="AJ138" s="9"/>
      <x:c r="AK138" s="9" t="str">
        <x:v>Eval_State_Recognition.xlsm</x:v>
      </x:c>
      <x:c r="AL138" s="9" t="str">
        <x:v>MolmoAct2 Results</x:v>
      </x:c>
      <x:c r="AM138" s="9" t="n">
        <x:v>138</x:v>
      </x:c>
      <x:c r="AN138" s="9" t="n">
        <x:v>138</x:v>
      </x:c>
    </x:row>
    <x:row r="139">
      <x:c r="A139" s="9" t="str">
        <x:v>Failure</x:v>
      </x:c>
      <x:c r="B139" s="9" t="str">
        <x:v>State Recognition</x:v>
      </x:c>
      <x:c r="C139" s="10" t="n">
        <x:v>137</x:v>
      </x:c>
      <x:c r="D139" s="9" t="str">
        <x:v>Place the open glass spice container in the bowl.</x:v>
      </x:c>
      <x:c r="E139" s="9" t="str">
        <x:v>glass spice container A (C, RU); glass spice container B (C, RU); brown cup A (C, RU)</x:v>
      </x:c>
      <x:c r="F139" s="9" t="str">
        <x:v>NO-OP; no object has state O, so nothing should be picked up</x:v>
      </x:c>
      <x:c r="G139" s="9" t="str">
        <x:v>picked cup closest to the bowl</x:v>
      </x:c>
      <x:c r="H139" s="9" t="str">
        <x:v>No valid target / no movement</x:v>
      </x:c>
      <x:c r="I139" s="9" t="str">
        <x:v>SR-NOOP08</x:v>
      </x:c>
      <x:c r="J139" s="9" t="str">
        <x:v>No satisfying state present; bowl remains empty</x:v>
      </x:c>
      <x:c r="K139" s="9"/>
      <x:c r="L139" s="9" t="str">
        <x:v>150</x:v>
      </x:c>
      <x:c r="M139" s="9" t="str">
        <x:v>The state-object concept is explicitly trained, but training does not contain a no-satisfying-target abstention trajectory. All objects are upright, matching the context of every explicit open/closed training demonstration.</x:v>
      </x:c>
      <x:c r="N139" s="9" t="n">
        <x:v>6</x:v>
      </x:c>
      <x:c r="O139" s="9" t="str">
        <x:v>Build the listed no-match scene and confirm the bowl is empty.</x:v>
      </x:c>
      <x:c r="P139" s="9" t="str">
        <x:v>No object in the entire scene has the queried state. The prompt uses the same canonical frame as active trials, and the queried state-object cell is training-supported. The orthogonal orientation axis is fixed: every object is RU.</x:v>
      </x:c>
      <x:c r="Q139" s="9"/>
      <x:c r="R139" s="10" t="n">
        <x:v>3</x:v>
      </x:c>
      <x:c r="S139" s="10" t="n">
        <x:v>0</x:v>
      </x:c>
      <x:c r="T139" s="9" t="str">
        <x:v>Empty</x:v>
      </x:c>
      <x:c r="U139" s="9" t="str">
        <x:v>O</x:v>
      </x:c>
      <x:c r="V139" s="9" t="str">
        <x:v>glass spice container</x:v>
      </x:c>
      <x:c r="W139" s="9"/>
      <x:c r="X139" s="10"/>
      <x:c r="Y139" s="10"/>
      <x:c r="Z139" s="9"/>
      <x:c r="AA139" s="9"/>
      <x:c r="AB139" s="9"/>
      <x:c r="AC139" s="9"/>
      <x:c r="AD139" s="9"/>
      <x:c r="AE139" s="9"/>
      <x:c r="AF139" s="9"/>
      <x:c r="AG139" s="9"/>
      <x:c r="AH139" s="9"/>
      <x:c r="AI139" s="11"/>
      <x:c r="AJ139" s="9"/>
      <x:c r="AK139" s="9" t="str">
        <x:v>Eval_State_Recognition.xlsm</x:v>
      </x:c>
      <x:c r="AL139" s="9" t="str">
        <x:v>MolmoAct2 Results</x:v>
      </x:c>
      <x:c r="AM139" s="9" t="n">
        <x:v>139</x:v>
      </x:c>
      <x:c r="AN139" s="9" t="n">
        <x:v>139</x:v>
      </x:c>
    </x:row>
    <x:row r="140">
      <x:c r="A140" s="9" t="str">
        <x:v>Failure</x:v>
      </x:c>
      <x:c r="B140" s="9" t="str">
        <x:v>State Recognition</x:v>
      </x:c>
      <x:c r="C140" s="10" t="n">
        <x:v>138</x:v>
      </x:c>
      <x:c r="D140" s="9" t="str">
        <x:v>Place the upright white cup in the bowl.</x:v>
      </x:c>
      <x:c r="E140" s="9" t="str">
        <x:v>white cup A (C, UD); white cup B (C, UD); brown cup A (C, UD); glass spice container B (O, UD)</x:v>
      </x:c>
      <x:c r="F140" s="9" t="str">
        <x:v>NO-OP; no object has state RU, so nothing should be picked up</x:v>
      </x:c>
      <x:c r="G140" s="9" t="str">
        <x:v>picked cup closest to the bowl</x:v>
      </x:c>
      <x:c r="H140" s="9" t="str">
        <x:v>No valid target / no movement</x:v>
      </x:c>
      <x:c r="I140" s="9" t="str">
        <x:v>SR-NOOP09</x:v>
      </x:c>
      <x:c r="J140" s="9" t="str">
        <x:v>No satisfying state present; bowl remains empty</x:v>
      </x:c>
      <x:c r="K140" s="9"/>
      <x:c r="L140" s="9" t="str">
        <x:v>26</x:v>
      </x:c>
      <x:c r="M140" s="9" t="str">
        <x:v>The state-object concept is explicitly trained, but training does not contain a no-satisfying-target abstention trajectory.</x:v>
      </x:c>
      <x:c r="N140" s="9" t="n">
        <x:v>6</x:v>
      </x:c>
      <x:c r="O140" s="9" t="str">
        <x:v>Build the listed no-match scene and confirm the bowl is empty.</x:v>
      </x:c>
      <x:c r="P140" s="9" t="str">
        <x:v>No object in the entire scene has the queried state. The prompt uses the same canonical frame as active trials, and the queried state-object cell is training-supported. The same-category candidates share the orthogonal C/O state (C).</x:v>
      </x:c>
      <x:c r="Q140" s="9"/>
      <x:c r="R140" s="10" t="n">
        <x:v>4</x:v>
      </x:c>
      <x:c r="S140" s="10" t="n">
        <x:v>0</x:v>
      </x:c>
      <x:c r="T140" s="9" t="str">
        <x:v>Empty</x:v>
      </x:c>
      <x:c r="U140" s="9" t="str">
        <x:v>RU</x:v>
      </x:c>
      <x:c r="V140" s="9" t="str">
        <x:v>white cup</x:v>
      </x:c>
      <x:c r="W140" s="9"/>
      <x:c r="X140" s="10"/>
      <x:c r="Y140" s="10"/>
      <x:c r="Z140" s="9"/>
      <x:c r="AA140" s="9"/>
      <x:c r="AB140" s="9"/>
      <x:c r="AC140" s="9"/>
      <x:c r="AD140" s="9"/>
      <x:c r="AE140" s="9"/>
      <x:c r="AF140" s="9"/>
      <x:c r="AG140" s="9"/>
      <x:c r="AH140" s="9"/>
      <x:c r="AI140" s="11"/>
      <x:c r="AJ140" s="9"/>
      <x:c r="AK140" s="9" t="str">
        <x:v>Eval_State_Recognition.xlsm</x:v>
      </x:c>
      <x:c r="AL140" s="9" t="str">
        <x:v>MolmoAct2 Results</x:v>
      </x:c>
      <x:c r="AM140" s="9" t="n">
        <x:v>140</x:v>
      </x:c>
      <x:c r="AN140" s="9" t="n">
        <x:v>140</x:v>
      </x:c>
    </x:row>
    <x:row r="141">
      <x:c r="A141" s="9" t="str">
        <x:v>Failure</x:v>
      </x:c>
      <x:c r="B141" s="9" t="str">
        <x:v>State Recognition</x:v>
      </x:c>
      <x:c r="C141" s="10" t="n">
        <x:v>139</x:v>
      </x:c>
      <x:c r="D141" s="9" t="str">
        <x:v>Place the closed yellow-white striped cup in the bowl.</x:v>
      </x:c>
      <x:c r="E141" s="9" t="str">
        <x:v>yellow-white striped cup A (O, RU); yellow-white striped cup B (O, RU)</x:v>
      </x:c>
      <x:c r="F141" s="9" t="str">
        <x:v>NO-OP; no object has state C, so nothing should be picked up</x:v>
      </x:c>
      <x:c r="G141" s="9" t="str">
        <x:v>picked cup furthest from bowl</x:v>
      </x:c>
      <x:c r="H141" s="9" t="str">
        <x:v>No valid target / no movement</x:v>
      </x:c>
      <x:c r="I141" s="9" t="str">
        <x:v>SR-NOOP10</x:v>
      </x:c>
      <x:c r="J141" s="9" t="str">
        <x:v>No satisfying state present; bowl remains empty</x:v>
      </x:c>
      <x:c r="K141" s="9"/>
      <x:c r="L141" s="9" t="str">
        <x:v>51</x:v>
      </x:c>
      <x:c r="M141" s="9" t="str">
        <x:v>The state-object concept is explicitly trained, but training does not contain a no-satisfying-target abstention trajectory. All objects are upright, matching the context of every explicit open/closed training demonstration.</x:v>
      </x:c>
      <x:c r="N141" s="9" t="n">
        <x:v>6</x:v>
      </x:c>
      <x:c r="O141" s="9" t="str">
        <x:v>Build the listed no-match scene and confirm the bowl is empty.</x:v>
      </x:c>
      <x:c r="P141" s="9" t="str">
        <x:v>No object in the entire scene has the queried state. The prompt uses the same canonical frame as active trials, and the queried state-object cell is training-supported. The orthogonal orientation axis is fixed: every object is RU.</x:v>
      </x:c>
      <x:c r="Q141" s="9"/>
      <x:c r="R141" s="10" t="n">
        <x:v>2</x:v>
      </x:c>
      <x:c r="S141" s="10" t="n">
        <x:v>0</x:v>
      </x:c>
      <x:c r="T141" s="9" t="str">
        <x:v>Empty</x:v>
      </x:c>
      <x:c r="U141" s="9" t="str">
        <x:v>C</x:v>
      </x:c>
      <x:c r="V141" s="9" t="str">
        <x:v>yellow-white striped cup</x:v>
      </x:c>
      <x:c r="W141" s="9"/>
      <x:c r="X141" s="10"/>
      <x:c r="Y141" s="10"/>
      <x:c r="Z141" s="9"/>
      <x:c r="AA141" s="9"/>
      <x:c r="AB141" s="9"/>
      <x:c r="AC141" s="9"/>
      <x:c r="AD141" s="9"/>
      <x:c r="AE141" s="9"/>
      <x:c r="AF141" s="9"/>
      <x:c r="AG141" s="9"/>
      <x:c r="AH141" s="9"/>
      <x:c r="AI141" s="11"/>
      <x:c r="AJ141" s="9"/>
      <x:c r="AK141" s="9" t="str">
        <x:v>Eval_State_Recognition.xlsm</x:v>
      </x:c>
      <x:c r="AL141" s="9" t="str">
        <x:v>MolmoAct2 Results</x:v>
      </x:c>
      <x:c r="AM141" s="9" t="n">
        <x:v>141</x:v>
      </x:c>
      <x:c r="AN141" s="9" t="n">
        <x:v>141</x:v>
      </x:c>
    </x:row>
    <x:row r="142">
      <x:c r="A142" s="9" t="str">
        <x:v>Failure</x:v>
      </x:c>
      <x:c r="B142" s="9" t="str">
        <x:v>State Recognition</x:v>
      </x:c>
      <x:c r="C142" s="10" t="n">
        <x:v>140</x:v>
      </x:c>
      <x:c r="D142" s="9" t="str">
        <x:v>Place the upright brown cup in the bowl.</x:v>
      </x:c>
      <x:c r="E142" s="9" t="str">
        <x:v>brown cup A (C, UD); brown cup B (C, UD); white cup A (C, UD)</x:v>
      </x:c>
      <x:c r="F142" s="9" t="str">
        <x:v>NO-OP; no object has state RU, so nothing should be picked up</x:v>
      </x:c>
      <x:c r="G142" s="9" t="str">
        <x:v>picked cup closest to the bowl</x:v>
      </x:c>
      <x:c r="H142" s="9" t="str">
        <x:v>No valid target / no movement</x:v>
      </x:c>
      <x:c r="I142" s="9" t="str">
        <x:v>SR-NOOP11</x:v>
      </x:c>
      <x:c r="J142" s="9" t="str">
        <x:v>No satisfying state present; bowl remains empty</x:v>
      </x:c>
      <x:c r="K142" s="9"/>
      <x:c r="L142" s="9" t="str">
        <x:v>128</x:v>
      </x:c>
      <x:c r="M142" s="9" t="str">
        <x:v>The state-object concept is explicitly trained, but training does not contain a no-satisfying-target abstention trajectory.</x:v>
      </x:c>
      <x:c r="N142" s="9" t="n">
        <x:v>6</x:v>
      </x:c>
      <x:c r="O142" s="9" t="str">
        <x:v>Build the listed no-match scene and confirm the bowl is empty.</x:v>
      </x:c>
      <x:c r="P142" s="9" t="str">
        <x:v>No object in the entire scene has the queried state. The prompt uses the same canonical frame as active trials, and the queried state-object cell is training-supported. The same-category candidates share the orthogonal C/O state (C).</x:v>
      </x:c>
      <x:c r="Q142" s="9"/>
      <x:c r="R142" s="10" t="n">
        <x:v>3</x:v>
      </x:c>
      <x:c r="S142" s="10" t="n">
        <x:v>0</x:v>
      </x:c>
      <x:c r="T142" s="9" t="str">
        <x:v>Empty</x:v>
      </x:c>
      <x:c r="U142" s="9" t="str">
        <x:v>RU</x:v>
      </x:c>
      <x:c r="V142" s="9" t="str">
        <x:v>brown cup</x:v>
      </x:c>
      <x:c r="W142" s="9"/>
      <x:c r="X142" s="10"/>
      <x:c r="Y142" s="10"/>
      <x:c r="Z142" s="9"/>
      <x:c r="AA142" s="9"/>
      <x:c r="AB142" s="9"/>
      <x:c r="AC142" s="9"/>
      <x:c r="AD142" s="9"/>
      <x:c r="AE142" s="9"/>
      <x:c r="AF142" s="9"/>
      <x:c r="AG142" s="9"/>
      <x:c r="AH142" s="9"/>
      <x:c r="AI142" s="11"/>
      <x:c r="AJ142" s="9"/>
      <x:c r="AK142" s="9" t="str">
        <x:v>Eval_State_Recognition.xlsm</x:v>
      </x:c>
      <x:c r="AL142" s="9" t="str">
        <x:v>MolmoAct2 Results</x:v>
      </x:c>
      <x:c r="AM142" s="9" t="n">
        <x:v>142</x:v>
      </x:c>
      <x:c r="AN142" s="9" t="n">
        <x:v>142</x:v>
      </x:c>
    </x:row>
    <x:row r="143">
      <x:c r="A143" s="9" t="str">
        <x:v>Failure</x:v>
      </x:c>
      <x:c r="B143" s="9" t="str">
        <x:v>State Recognition</x:v>
      </x:c>
      <x:c r="C143" s="10" t="n">
        <x:v>141</x:v>
      </x:c>
      <x:c r="D143" s="9" t="str">
        <x:v>Place the upside-down glass spice container in the bowl.</x:v>
      </x:c>
      <x:c r="E143" s="9" t="str">
        <x:v>glass spice container A (C, RU); glass spice container B (C, RU); yellow-white striped cup B (O, RU); brown cup A (C, RU)</x:v>
      </x:c>
      <x:c r="F143" s="9" t="str">
        <x:v>NO-OP; no object has state UD, so nothing should be picked up</x:v>
      </x:c>
      <x:c r="G143" s="9" t="str">
        <x:v>picked cup closest to the bowl; initially went for further one then changed direction</x:v>
      </x:c>
      <x:c r="H143" s="9" t="str">
        <x:v>No valid target / no movement</x:v>
      </x:c>
      <x:c r="I143" s="9" t="str">
        <x:v>SR-NOOP12</x:v>
      </x:c>
      <x:c r="J143" s="9" t="str">
        <x:v>No satisfying state present; bowl remains empty</x:v>
      </x:c>
      <x:c r="K143" s="9"/>
      <x:c r="L143" s="9" t="str">
        <x:v>176</x:v>
      </x:c>
      <x:c r="M143" s="9" t="str">
        <x:v>The state-object concept is explicitly trained, but training does not contain a no-satisfying-target abstention trajectory.</x:v>
      </x:c>
      <x:c r="N143" s="9" t="n">
        <x:v>6</x:v>
      </x:c>
      <x:c r="O143" s="9" t="str">
        <x:v>Build the listed no-match scene and confirm the bowl is empty.</x:v>
      </x:c>
      <x:c r="P143" s="9" t="str">
        <x:v>No object in the entire scene has the queried state. The prompt uses the same canonical frame as active trials, and the queried state-object cell is training-supported. The same-category candidates share the orthogonal C/O state (C).</x:v>
      </x:c>
      <x:c r="Q143" s="9"/>
      <x:c r="R143" s="10" t="n">
        <x:v>4</x:v>
      </x:c>
      <x:c r="S143" s="10" t="n">
        <x:v>0</x:v>
      </x:c>
      <x:c r="T143" s="9" t="str">
        <x:v>Empty</x:v>
      </x:c>
      <x:c r="U143" s="9" t="str">
        <x:v>UD</x:v>
      </x:c>
      <x:c r="V143" s="9" t="str">
        <x:v>glass spice container</x:v>
      </x:c>
      <x:c r="W143" s="9"/>
      <x:c r="X143" s="10"/>
      <x:c r="Y143" s="10"/>
      <x:c r="Z143" s="9"/>
      <x:c r="AA143" s="9"/>
      <x:c r="AB143" s="9"/>
      <x:c r="AC143" s="9"/>
      <x:c r="AD143" s="9"/>
      <x:c r="AE143" s="9"/>
      <x:c r="AF143" s="9"/>
      <x:c r="AG143" s="9"/>
      <x:c r="AH143" s="9"/>
      <x:c r="AI143" s="11"/>
      <x:c r="AJ143" s="9"/>
      <x:c r="AK143" s="9" t="str">
        <x:v>Eval_State_Recognition.xlsm</x:v>
      </x:c>
      <x:c r="AL143" s="9" t="str">
        <x:v>MolmoAct2 Results</x:v>
      </x:c>
      <x:c r="AM143" s="9" t="n">
        <x:v>143</x:v>
      </x:c>
      <x:c r="AN143" s="9" t="n">
        <x:v>143</x:v>
      </x:c>
    </x:row>
    <x:row r="144">
      <x:c r="A144" s="9" t="str">
        <x:v>Failure</x:v>
      </x:c>
      <x:c r="B144" s="9" t="str">
        <x:v>State Recognition</x:v>
      </x:c>
      <x:c r="C144" s="10" t="n">
        <x:v>142</x:v>
      </x:c>
      <x:c r="D144" s="9" t="str">
        <x:v>Place the closed white cup in the bowl.</x:v>
      </x:c>
      <x:c r="E144" s="9" t="str">
        <x:v>white cup A (O, RU); white cup B (O, RU)</x:v>
      </x:c>
      <x:c r="F144" s="9" t="str">
        <x:v>NO-OP; no object has state C, so nothing should be picked up</x:v>
      </x:c>
      <x:c r="G144" s="9" t="str">
        <x:v>picked cup closest to the bowl</x:v>
      </x:c>
      <x:c r="H144" s="9" t="str">
        <x:v>No valid target / no movement</x:v>
      </x:c>
      <x:c r="I144" s="9" t="str">
        <x:v>SR-NOOP13</x:v>
      </x:c>
      <x:c r="J144" s="9" t="str">
        <x:v>No satisfying state present; bowl remains empty</x:v>
      </x:c>
      <x:c r="K144" s="9"/>
      <x:c r="L144" s="9" t="str">
        <x:v>3</x:v>
      </x:c>
      <x:c r="M144" s="9" t="str">
        <x:v>The state-object concept is explicitly trained, but training does not contain a no-satisfying-target abstention trajectory. All objects are upright, matching the context of every explicit open/closed training demonstration.</x:v>
      </x:c>
      <x:c r="N144" s="9" t="n">
        <x:v>6</x:v>
      </x:c>
      <x:c r="O144" s="9" t="str">
        <x:v>Build the listed no-match scene and confirm the bowl is empty.</x:v>
      </x:c>
      <x:c r="P144" s="9" t="str">
        <x:v>No object in the entire scene has the queried state. The prompt uses the same canonical frame as active trials, and the queried state-object cell is training-supported. The orthogonal orientation axis is fixed: every object is RU.</x:v>
      </x:c>
      <x:c r="Q144" s="9"/>
      <x:c r="R144" s="10" t="n">
        <x:v>2</x:v>
      </x:c>
      <x:c r="S144" s="10" t="n">
        <x:v>0</x:v>
      </x:c>
      <x:c r="T144" s="9" t="str">
        <x:v>Empty</x:v>
      </x:c>
      <x:c r="U144" s="9" t="str">
        <x:v>C</x:v>
      </x:c>
      <x:c r="V144" s="9" t="str">
        <x:v>white cup</x:v>
      </x:c>
      <x:c r="W144" s="9"/>
      <x:c r="X144" s="10"/>
      <x:c r="Y144" s="10"/>
      <x:c r="Z144" s="9"/>
      <x:c r="AA144" s="9"/>
      <x:c r="AB144" s="9"/>
      <x:c r="AC144" s="9"/>
      <x:c r="AD144" s="9"/>
      <x:c r="AE144" s="9"/>
      <x:c r="AF144" s="9"/>
      <x:c r="AG144" s="9"/>
      <x:c r="AH144" s="9"/>
      <x:c r="AI144" s="11"/>
      <x:c r="AJ144" s="9"/>
      <x:c r="AK144" s="9" t="str">
        <x:v>Eval_State_Recognition.xlsm</x:v>
      </x:c>
      <x:c r="AL144" s="9" t="str">
        <x:v>MolmoAct2 Results</x:v>
      </x:c>
      <x:c r="AM144" s="9" t="n">
        <x:v>144</x:v>
      </x:c>
      <x:c r="AN144" s="9" t="n">
        <x:v>144</x:v>
      </x:c>
    </x:row>
    <x:row r="145">
      <x:c r="A145" s="9" t="str">
        <x:v>Failure</x:v>
      </x:c>
      <x:c r="B145" s="9" t="str">
        <x:v>State Recognition</x:v>
      </x:c>
      <x:c r="C145" s="10" t="n">
        <x:v>143</x:v>
      </x:c>
      <x:c r="D145" s="9" t="str">
        <x:v>Place the upside-down yellow-white striped cup in the bowl.</x:v>
      </x:c>
      <x:c r="E145" s="9" t="str">
        <x:v>yellow-white striped cup A (O, RU); yellow-white striped cup B (O, RU); brown cup A (C, RU)</x:v>
      </x:c>
      <x:c r="F145" s="9" t="str">
        <x:v>NO-OP; no object has state UD, so nothing should be picked up</x:v>
      </x:c>
      <x:c r="G145" s="9" t="str">
        <x:v>picked cup closest to the bowl</x:v>
      </x:c>
      <x:c r="H145" s="9" t="str">
        <x:v>No valid target / no movement</x:v>
      </x:c>
      <x:c r="I145" s="9" t="str">
        <x:v>SR-NOOP14</x:v>
      </x:c>
      <x:c r="J145" s="9" t="str">
        <x:v>No satisfying state present; bowl remains empty</x:v>
      </x:c>
      <x:c r="K145" s="9"/>
      <x:c r="L145" s="9" t="str">
        <x:v>83</x:v>
      </x:c>
      <x:c r="M145" s="9" t="str">
        <x:v>The state-object concept is explicitly trained, but training does not contain a no-satisfying-target abstention trajectory.</x:v>
      </x:c>
      <x:c r="N145" s="9" t="n">
        <x:v>6</x:v>
      </x:c>
      <x:c r="O145" s="9" t="str">
        <x:v>Build the listed no-match scene and confirm the bowl is empty.</x:v>
      </x:c>
      <x:c r="P145" s="9" t="str">
        <x:v>No object in the entire scene has the queried state. The prompt uses the same canonical frame as active trials, and the queried state-object cell is training-supported. The same-category candidates share the orthogonal C/O state (O).</x:v>
      </x:c>
      <x:c r="Q145" s="9"/>
      <x:c r="R145" s="10" t="n">
        <x:v>3</x:v>
      </x:c>
      <x:c r="S145" s="10" t="n">
        <x:v>0</x:v>
      </x:c>
      <x:c r="T145" s="9" t="str">
        <x:v>Empty</x:v>
      </x:c>
      <x:c r="U145" s="9" t="str">
        <x:v>UD</x:v>
      </x:c>
      <x:c r="V145" s="9" t="str">
        <x:v>yellow-white striped cup</x:v>
      </x:c>
      <x:c r="W145" s="9"/>
      <x:c r="X145" s="10"/>
      <x:c r="Y145" s="10"/>
      <x:c r="Z145" s="9"/>
      <x:c r="AA145" s="9"/>
      <x:c r="AB145" s="9"/>
      <x:c r="AC145" s="9"/>
      <x:c r="AD145" s="9"/>
      <x:c r="AE145" s="9"/>
      <x:c r="AF145" s="9"/>
      <x:c r="AG145" s="9"/>
      <x:c r="AH145" s="9"/>
      <x:c r="AI145" s="11"/>
      <x:c r="AJ145" s="9"/>
      <x:c r="AK145" s="9" t="str">
        <x:v>Eval_State_Recognition.xlsm</x:v>
      </x:c>
      <x:c r="AL145" s="9" t="str">
        <x:v>MolmoAct2 Results</x:v>
      </x:c>
      <x:c r="AM145" s="9" t="n">
        <x:v>145</x:v>
      </x:c>
      <x:c r="AN145" s="9" t="n">
        <x:v>145</x:v>
      </x:c>
    </x:row>
    <x:row r="146">
      <x:c r="A146" s="9" t="str">
        <x:v>Failure</x:v>
      </x:c>
      <x:c r="B146" s="9" t="str">
        <x:v>State Recognition</x:v>
      </x:c>
      <x:c r="C146" s="10" t="n">
        <x:v>144</x:v>
      </x:c>
      <x:c r="D146" s="9" t="str">
        <x:v>Place the upside-down brown cup in the bowl.</x:v>
      </x:c>
      <x:c r="E146" s="9" t="str">
        <x:v>brown cup A (O, RU); brown cup B (O, RU); glass spice container B (O, RU); white cup A (C, RU)</x:v>
      </x:c>
      <x:c r="F146" s="9" t="str">
        <x:v>NO-OP; no object has state UD, so nothing should be picked up</x:v>
      </x:c>
      <x:c r="G146" s="9" t="str">
        <x:v>picked cup closest to the bowl</x:v>
      </x:c>
      <x:c r="H146" s="9" t="str">
        <x:v>No valid target / no movement</x:v>
      </x:c>
      <x:c r="I146" s="9" t="str">
        <x:v>SR-NOOP15</x:v>
      </x:c>
      <x:c r="J146" s="9" t="str">
        <x:v>No satisfying state present; bowl remains empty</x:v>
      </x:c>
      <x:c r="K146" s="9"/>
      <x:c r="L146" s="9" t="str">
        <x:v>127</x:v>
      </x:c>
      <x:c r="M146" s="9" t="str">
        <x:v>The state-object concept is explicitly trained, but training does not contain a no-satisfying-target abstention trajectory.</x:v>
      </x:c>
      <x:c r="N146" s="9" t="n">
        <x:v>6</x:v>
      </x:c>
      <x:c r="O146" s="9" t="str">
        <x:v>Build the listed no-match scene and confirm the bowl is empty.</x:v>
      </x:c>
      <x:c r="P146" s="9" t="str">
        <x:v>No object in the entire scene has the queried state. The prompt uses the same canonical frame as active trials, and the queried state-object cell is training-supported. The same-category candidates share the orthogonal C/O state (O).</x:v>
      </x:c>
      <x:c r="Q146" s="9"/>
      <x:c r="R146" s="10" t="n">
        <x:v>4</x:v>
      </x:c>
      <x:c r="S146" s="10" t="n">
        <x:v>0</x:v>
      </x:c>
      <x:c r="T146" s="9" t="str">
        <x:v>Empty</x:v>
      </x:c>
      <x:c r="U146" s="9" t="str">
        <x:v>UD</x:v>
      </x:c>
      <x:c r="V146" s="9" t="str">
        <x:v>brown cup</x:v>
      </x:c>
      <x:c r="W146" s="9"/>
      <x:c r="X146" s="10"/>
      <x:c r="Y146" s="10"/>
      <x:c r="Z146" s="9"/>
      <x:c r="AA146" s="9"/>
      <x:c r="AB146" s="9"/>
      <x:c r="AC146" s="9"/>
      <x:c r="AD146" s="9"/>
      <x:c r="AE146" s="9"/>
      <x:c r="AF146" s="9"/>
      <x:c r="AG146" s="9"/>
      <x:c r="AH146" s="9"/>
      <x:c r="AI146" s="11"/>
      <x:c r="AJ146" s="9"/>
      <x:c r="AK146" s="9" t="str">
        <x:v>Eval_State_Recognition.xlsm</x:v>
      </x:c>
      <x:c r="AL146" s="9" t="str">
        <x:v>MolmoAct2 Results</x:v>
      </x:c>
      <x:c r="AM146" s="9" t="n">
        <x:v>146</x:v>
      </x:c>
      <x:c r="AN146" s="9" t="n">
        <x:v>146</x:v>
      </x:c>
    </x:row>
    <x:row r="147">
      <x:c r="A147" s="9" t="str">
        <x:v>Failure</x:v>
      </x:c>
      <x:c r="B147" s="9" t="str">
        <x:v>State Recognition</x:v>
      </x:c>
      <x:c r="C147" s="10" t="n">
        <x:v>145</x:v>
      </x:c>
      <x:c r="D147" s="9" t="str">
        <x:v>Place the closed glass spice container in the bowl.</x:v>
      </x:c>
      <x:c r="E147" s="9" t="str">
        <x:v>glass spice container A (O, RU); glass spice container B (O, RU)</x:v>
      </x:c>
      <x:c r="F147" s="9" t="str">
        <x:v>NO-OP; no object has state C, so nothing should be picked up</x:v>
      </x:c>
      <x:c r="G147" s="9" t="str">
        <x:v>picked container furthest from bowl</x:v>
      </x:c>
      <x:c r="H147" s="9" t="str">
        <x:v>No valid target / no movement</x:v>
      </x:c>
      <x:c r="I147" s="9" t="str">
        <x:v>SR-NOOP16</x:v>
      </x:c>
      <x:c r="J147" s="9" t="str">
        <x:v>No satisfying state present; bowl remains empty</x:v>
      </x:c>
      <x:c r="K147" s="9"/>
      <x:c r="L147" s="9" t="str">
        <x:v>152</x:v>
      </x:c>
      <x:c r="M147" s="9" t="str">
        <x:v>The state-object concept is explicitly trained, but training does not contain a no-satisfying-target abstention trajectory. All objects are upright, matching the context of every explicit open/closed training demonstration.</x:v>
      </x:c>
      <x:c r="N147" s="9" t="n">
        <x:v>6</x:v>
      </x:c>
      <x:c r="O147" s="9" t="str">
        <x:v>Build the listed no-match scene and confirm the bowl is empty.</x:v>
      </x:c>
      <x:c r="P147" s="9" t="str">
        <x:v>No object in the entire scene has the queried state. The prompt uses the same canonical frame as active trials, and the queried state-object cell is training-supported. The orthogonal orientation axis is fixed: every object is RU.</x:v>
      </x:c>
      <x:c r="Q147" s="9"/>
      <x:c r="R147" s="10" t="n">
        <x:v>2</x:v>
      </x:c>
      <x:c r="S147" s="10" t="n">
        <x:v>0</x:v>
      </x:c>
      <x:c r="T147" s="9" t="str">
        <x:v>Empty</x:v>
      </x:c>
      <x:c r="U147" s="9" t="str">
        <x:v>C</x:v>
      </x:c>
      <x:c r="V147" s="9" t="str">
        <x:v>glass spice container</x:v>
      </x:c>
      <x:c r="W147" s="9"/>
      <x:c r="X147" s="10"/>
      <x:c r="Y147" s="10"/>
      <x:c r="Z147" s="9"/>
      <x:c r="AA147" s="9"/>
      <x:c r="AB147" s="9"/>
      <x:c r="AC147" s="9"/>
      <x:c r="AD147" s="9"/>
      <x:c r="AE147" s="9"/>
      <x:c r="AF147" s="9"/>
      <x:c r="AG147" s="9"/>
      <x:c r="AH147" s="9"/>
      <x:c r="AI147" s="11"/>
      <x:c r="AJ147" s="9"/>
      <x:c r="AK147" s="9" t="str">
        <x:v>Eval_State_Recognition.xlsm</x:v>
      </x:c>
      <x:c r="AL147" s="9" t="str">
        <x:v>MolmoAct2 Results</x:v>
      </x:c>
      <x:c r="AM147" s="9" t="n">
        <x:v>147</x:v>
      </x:c>
      <x:c r="AN147" s="9" t="n">
        <x:v>147</x:v>
      </x:c>
    </x:row>
    <x:row r="148">
      <x:c r="A148" s="9" t="str">
        <x:v>Failure</x:v>
      </x:c>
      <x:c r="B148" s="9" t="str">
        <x:v>State Recognition</x:v>
      </x:c>
      <x:c r="C148" s="10" t="n">
        <x:v>146</x:v>
      </x:c>
      <x:c r="D148" s="9" t="str">
        <x:v>Place the open white cup in the bowl.</x:v>
      </x:c>
      <x:c r="E148" s="9" t="str">
        <x:v>white cup A (C, RU); white cup B (C, RU); glass spice container A (C, RU)</x:v>
      </x:c>
      <x:c r="F148" s="9" t="str">
        <x:v>NO-OP; no object has state O, so nothing should be picked up</x:v>
      </x:c>
      <x:c r="G148" s="9" t="str">
        <x:v>picked cup closest to the bowl</x:v>
      </x:c>
      <x:c r="H148" s="9" t="str">
        <x:v>No valid target / no movement</x:v>
      </x:c>
      <x:c r="I148" s="9" t="str">
        <x:v>SR-NOOP17</x:v>
      </x:c>
      <x:c r="J148" s="9" t="str">
        <x:v>No satisfying state present; bowl remains empty</x:v>
      </x:c>
      <x:c r="K148" s="9"/>
      <x:c r="L148" s="9" t="str">
        <x:v>2</x:v>
      </x:c>
      <x:c r="M148" s="9" t="str">
        <x:v>The state-object concept is explicitly trained, but training does not contain a no-satisfying-target abstention trajectory. All objects are upright, matching the context of every explicit open/closed training demonstration.</x:v>
      </x:c>
      <x:c r="N148" s="9" t="n">
        <x:v>6</x:v>
      </x:c>
      <x:c r="O148" s="9" t="str">
        <x:v>Build the listed no-match scene and confirm the bowl is empty.</x:v>
      </x:c>
      <x:c r="P148" s="9" t="str">
        <x:v>No object in the entire scene has the queried state. The prompt uses the same canonical frame as active trials, and the queried state-object cell is training-supported. The orthogonal orientation axis is fixed: every object is RU.</x:v>
      </x:c>
      <x:c r="Q148" s="9"/>
      <x:c r="R148" s="10" t="n">
        <x:v>3</x:v>
      </x:c>
      <x:c r="S148" s="10" t="n">
        <x:v>0</x:v>
      </x:c>
      <x:c r="T148" s="9" t="str">
        <x:v>Empty</x:v>
      </x:c>
      <x:c r="U148" s="9" t="str">
        <x:v>O</x:v>
      </x:c>
      <x:c r="V148" s="9" t="str">
        <x:v>white cup</x:v>
      </x:c>
      <x:c r="W148" s="9"/>
      <x:c r="X148" s="10"/>
      <x:c r="Y148" s="10"/>
      <x:c r="Z148" s="9"/>
      <x:c r="AA148" s="9"/>
      <x:c r="AB148" s="9"/>
      <x:c r="AC148" s="9"/>
      <x:c r="AD148" s="9"/>
      <x:c r="AE148" s="9"/>
      <x:c r="AF148" s="9"/>
      <x:c r="AG148" s="9"/>
      <x:c r="AH148" s="9"/>
      <x:c r="AI148" s="11"/>
      <x:c r="AJ148" s="9"/>
      <x:c r="AK148" s="9" t="str">
        <x:v>Eval_State_Recognition.xlsm</x:v>
      </x:c>
      <x:c r="AL148" s="9" t="str">
        <x:v>MolmoAct2 Results</x:v>
      </x:c>
      <x:c r="AM148" s="9" t="n">
        <x:v>148</x:v>
      </x:c>
      <x:c r="AN148" s="9" t="n">
        <x:v>148</x:v>
      </x:c>
    </x:row>
    <x:row r="149">
      <x:c r="A149" s="9" t="str">
        <x:v>Failure</x:v>
      </x:c>
      <x:c r="B149" s="9" t="str">
        <x:v>State Recognition</x:v>
      </x:c>
      <x:c r="C149" s="10" t="n">
        <x:v>147</x:v>
      </x:c>
      <x:c r="D149" s="9" t="str">
        <x:v>Place the upright yellow-white striped cup in the bowl.</x:v>
      </x:c>
      <x:c r="E149" s="9" t="str">
        <x:v>yellow-white striped cup A (C, UD); yellow-white striped cup B (C, UD); white cup B (O, UD); brown cup A (C, UD)</x:v>
      </x:c>
      <x:c r="F149" s="9" t="str">
        <x:v>NO-OP; no object has state RU, so nothing should be picked up</x:v>
      </x:c>
      <x:c r="G149" s="9" t="str">
        <x:v>picked container furthest from bowl</x:v>
      </x:c>
      <x:c r="H149" s="9" t="str">
        <x:v>No valid target / no movement</x:v>
      </x:c>
      <x:c r="I149" s="9" t="str">
        <x:v>SR-NOOP18</x:v>
      </x:c>
      <x:c r="J149" s="9" t="str">
        <x:v>No satisfying state present; bowl remains empty</x:v>
      </x:c>
      <x:c r="K149" s="9"/>
      <x:c r="L149" s="9" t="str">
        <x:v>76</x:v>
      </x:c>
      <x:c r="M149" s="9" t="str">
        <x:v>The state-object concept is explicitly trained, but training does not contain a no-satisfying-target abstention trajectory.</x:v>
      </x:c>
      <x:c r="N149" s="9" t="n">
        <x:v>6</x:v>
      </x:c>
      <x:c r="O149" s="9" t="str">
        <x:v>Build the listed no-match scene and confirm the bowl is empty.</x:v>
      </x:c>
      <x:c r="P149" s="9" t="str">
        <x:v>No object in the entire scene has the queried state. The prompt uses the same canonical frame as active trials, and the queried state-object cell is training-supported. The same-category candidates share the orthogonal C/O state (C).</x:v>
      </x:c>
      <x:c r="Q149" s="9"/>
      <x:c r="R149" s="10" t="n">
        <x:v>4</x:v>
      </x:c>
      <x:c r="S149" s="10" t="n">
        <x:v>0</x:v>
      </x:c>
      <x:c r="T149" s="9" t="str">
        <x:v>Empty</x:v>
      </x:c>
      <x:c r="U149" s="9" t="str">
        <x:v>RU</x:v>
      </x:c>
      <x:c r="V149" s="9" t="str">
        <x:v>yellow-white striped cup</x:v>
      </x:c>
      <x:c r="W149" s="9"/>
      <x:c r="X149" s="10"/>
      <x:c r="Y149" s="10"/>
      <x:c r="Z149" s="9"/>
      <x:c r="AA149" s="9"/>
      <x:c r="AB149" s="9"/>
      <x:c r="AC149" s="9"/>
      <x:c r="AD149" s="9"/>
      <x:c r="AE149" s="9"/>
      <x:c r="AF149" s="9"/>
      <x:c r="AG149" s="9"/>
      <x:c r="AH149" s="9"/>
      <x:c r="AI149" s="11"/>
      <x:c r="AJ149" s="9"/>
      <x:c r="AK149" s="9" t="str">
        <x:v>Eval_State_Recognition.xlsm</x:v>
      </x:c>
      <x:c r="AL149" s="9" t="str">
        <x:v>MolmoAct2 Results</x:v>
      </x:c>
      <x:c r="AM149" s="9" t="n">
        <x:v>149</x:v>
      </x:c>
      <x:c r="AN149" s="9" t="n">
        <x:v>149</x:v>
      </x:c>
    </x:row>
    <x:row r="150">
      <x:c r="A150" s="9" t="str">
        <x:v>Failure</x:v>
      </x:c>
      <x:c r="B150" s="9" t="str">
        <x:v>State Recognition</x:v>
      </x:c>
      <x:c r="C150" s="10" t="n">
        <x:v>148</x:v>
      </x:c>
      <x:c r="D150" s="9" t="str">
        <x:v>Place the upright brown cup in the bowl.</x:v>
      </x:c>
      <x:c r="E150" s="9" t="str">
        <x:v>brown cup A (C, UD); brown cup B (C, UD)</x:v>
      </x:c>
      <x:c r="F150" s="9" t="str">
        <x:v>NO-OP; no object has state RU, so nothing should be picked up</x:v>
      </x:c>
      <x:c r="G150" s="9" t="str">
        <x:v>picked cup closest to the bowl</x:v>
      </x:c>
      <x:c r="H150" s="9" t="str">
        <x:v>No valid target / no movement</x:v>
      </x:c>
      <x:c r="I150" s="9" t="str">
        <x:v>SR-NOOP19</x:v>
      </x:c>
      <x:c r="J150" s="9" t="str">
        <x:v>No satisfying state present; bowl remains empty</x:v>
      </x:c>
      <x:c r="K150" s="9"/>
      <x:c r="L150" s="9" t="str">
        <x:v>130</x:v>
      </x:c>
      <x:c r="M150" s="9" t="str">
        <x:v>The state-object concept is explicitly trained, but training does not contain a no-satisfying-target abstention trajectory.</x:v>
      </x:c>
      <x:c r="N150" s="9" t="n">
        <x:v>6</x:v>
      </x:c>
      <x:c r="O150" s="9" t="str">
        <x:v>Build the listed no-match scene and confirm the bowl is empty.</x:v>
      </x:c>
      <x:c r="P150" s="9" t="str">
        <x:v>No object in the entire scene has the queried state. The prompt uses the same canonical frame as active trials, and the queried state-object cell is training-supported. The same-category candidates share the orthogonal C/O state (C).</x:v>
      </x:c>
      <x:c r="Q150" s="9"/>
      <x:c r="R150" s="10" t="n">
        <x:v>2</x:v>
      </x:c>
      <x:c r="S150" s="10" t="n">
        <x:v>0</x:v>
      </x:c>
      <x:c r="T150" s="9" t="str">
        <x:v>Empty</x:v>
      </x:c>
      <x:c r="U150" s="9" t="str">
        <x:v>RU</x:v>
      </x:c>
      <x:c r="V150" s="9" t="str">
        <x:v>brown cup</x:v>
      </x:c>
      <x:c r="W150" s="9"/>
      <x:c r="X150" s="10"/>
      <x:c r="Y150" s="10"/>
      <x:c r="Z150" s="9"/>
      <x:c r="AA150" s="9"/>
      <x:c r="AB150" s="9"/>
      <x:c r="AC150" s="9"/>
      <x:c r="AD150" s="9"/>
      <x:c r="AE150" s="9"/>
      <x:c r="AF150" s="9"/>
      <x:c r="AG150" s="9"/>
      <x:c r="AH150" s="9"/>
      <x:c r="AI150" s="11"/>
      <x:c r="AJ150" s="9"/>
      <x:c r="AK150" s="9" t="str">
        <x:v>Eval_State_Recognition.xlsm</x:v>
      </x:c>
      <x:c r="AL150" s="9" t="str">
        <x:v>MolmoAct2 Results</x:v>
      </x:c>
      <x:c r="AM150" s="9" t="n">
        <x:v>150</x:v>
      </x:c>
      <x:c r="AN150" s="9" t="n">
        <x:v>150</x:v>
      </x:c>
    </x:row>
    <x:row r="151">
      <x:c r="A151" s="9" t="str">
        <x:v>Failure</x:v>
      </x:c>
      <x:c r="B151" s="9" t="str">
        <x:v>State Recognition</x:v>
      </x:c>
      <x:c r="C151" s="10" t="n">
        <x:v>149</x:v>
      </x:c>
      <x:c r="D151" s="9" t="str">
        <x:v>Place the open glass spice container in the bowl.</x:v>
      </x:c>
      <x:c r="E151" s="9" t="str">
        <x:v>glass spice container A (C, RU); glass spice container B (C, RU); brown cup B (C, RU)</x:v>
      </x:c>
      <x:c r="F151" s="9" t="str">
        <x:v>NO-OP; no object has state O, so nothing should be picked up</x:v>
      </x:c>
      <x:c r="G151" s="9" t="str">
        <x:v>picked container furthest from bowl</x:v>
      </x:c>
      <x:c r="H151" s="9" t="str">
        <x:v>No valid target / no movement</x:v>
      </x:c>
      <x:c r="I151" s="9" t="str">
        <x:v>SR-NOOP20</x:v>
      </x:c>
      <x:c r="J151" s="9" t="str">
        <x:v>No satisfying state present; bowl remains empty</x:v>
      </x:c>
      <x:c r="K151" s="9"/>
      <x:c r="L151" s="9" t="str">
        <x:v>154</x:v>
      </x:c>
      <x:c r="M151" s="9" t="str">
        <x:v>The state-object concept is explicitly trained, but training does not contain a no-satisfying-target abstention trajectory. All objects are upright, matching the context of every explicit open/closed training demonstration.</x:v>
      </x:c>
      <x:c r="N151" s="9" t="n">
        <x:v>6</x:v>
      </x:c>
      <x:c r="O151" s="9" t="str">
        <x:v>Build the listed no-match scene and confirm the bowl is empty.</x:v>
      </x:c>
      <x:c r="P151" s="9" t="str">
        <x:v>No object in the entire scene has the queried state. The prompt uses the same canonical frame as active trials, and the queried state-object cell is training-supported. The orthogonal orientation axis is fixed: every object is RU.</x:v>
      </x:c>
      <x:c r="Q151" s="9"/>
      <x:c r="R151" s="10" t="n">
        <x:v>3</x:v>
      </x:c>
      <x:c r="S151" s="10" t="n">
        <x:v>0</x:v>
      </x:c>
      <x:c r="T151" s="9" t="str">
        <x:v>Empty</x:v>
      </x:c>
      <x:c r="U151" s="9" t="str">
        <x:v>O</x:v>
      </x:c>
      <x:c r="V151" s="9" t="str">
        <x:v>glass spice container</x:v>
      </x:c>
      <x:c r="W151" s="9"/>
      <x:c r="X151" s="10"/>
      <x:c r="Y151" s="10"/>
      <x:c r="Z151" s="9"/>
      <x:c r="AA151" s="9"/>
      <x:c r="AB151" s="9"/>
      <x:c r="AC151" s="9"/>
      <x:c r="AD151" s="9"/>
      <x:c r="AE151" s="9"/>
      <x:c r="AF151" s="9"/>
      <x:c r="AG151" s="9"/>
      <x:c r="AH151" s="9"/>
      <x:c r="AI151" s="11"/>
      <x:c r="AJ151" s="9"/>
      <x:c r="AK151" s="9" t="str">
        <x:v>Eval_State_Recognition.xlsm</x:v>
      </x:c>
      <x:c r="AL151" s="9" t="str">
        <x:v>MolmoAct2 Results</x:v>
      </x:c>
      <x:c r="AM151" s="9" t="n">
        <x:v>151</x:v>
      </x:c>
      <x:c r="AN151" s="9" t="n">
        <x:v>151</x:v>
      </x:c>
    </x:row>
    <x:row r="152">
      <x:c r="A152" s="9" t="str">
        <x:v>Success</x:v>
      </x:c>
      <x:c r="B152" s="9" t="str">
        <x:v>Counting</x:v>
      </x:c>
      <x:c r="C152" s="10" t="n">
        <x:v>0</x:v>
      </x:c>
      <x:c r="D152" s="9" t="str">
        <x:v>Leave exactly one object in the bowl.</x:v>
      </x:c>
      <x:c r="E152" s="9" t="str">
        <x:v>Bowl objects: [none] | Table objects: [blue pen, yellow block, green pencil sharpener]</x:v>
      </x:c>
      <x:c r="F152" s="9" t="str">
        <x:v>ADD any one table object; finish with 1 object in the bowl</x:v>
      </x:c>
      <x:c r="G152" s="9" t="str">
        <x:v>picked pencil sharpener</x:v>
      </x:c>
      <x:c r="H152" s="9" t="str">
        <x:v>In-distribution concept baseline</x:v>
      </x:c>
      <x:c r="I152" s="9" t="str">
        <x:v>ID-F01</x:v>
      </x:c>
      <x:c r="J152" s="9" t="str">
        <x:v>In-distribution: one via trained 0→1 addition</x:v>
      </x:c>
      <x:c r="K152" s="9"/>
      <x:c r="L152" s="9" t="str">
        <x:v>801</x:v>
      </x:c>
      <x:c r="M152" s="9" t="str">
        <x:v>Exact trained cell: prompt, count transition, and scene-object membership match; physical layout is not copied exactly.</x:v>
      </x:c>
      <x:c r="N152" s="9" t="n">
        <x:v>1</x:v>
      </x:c>
      <x:c r="O152" s="9" t="str">
        <x:v>Recreate the listed bowl/table membership from training episode 801.</x:v>
      </x:c>
      <x:c r="P152" s="9" t="str">
        <x:v>Exact trained count transition and scene-object membership. Any object that reaches the requested final count is acceptable.</x:v>
      </x:c>
      <x:c r="Q152" s="9"/>
      <x:c r="R152" s="10"/>
      <x:c r="S152" s="10"/>
      <x:c r="T152" s="9"/>
      <x:c r="U152" s="9"/>
      <x:c r="V152" s="9"/>
      <x:c r="W152" s="9" t="str">
        <x:v>ID-F01</x:v>
      </x:c>
      <x:c r="X152" s="10" t="n">
        <x:v>0</x:v>
      </x:c>
      <x:c r="Y152" s="10" t="n">
        <x:v>1</x:v>
      </x:c>
      <x:c r="Z152" s="9" t="str">
        <x:v>ADD</x:v>
      </x:c>
      <x:c r="AA152" s="9"/>
      <x:c r="AB152" s="9"/>
      <x:c r="AC152" s="9"/>
      <x:c r="AD152" s="9"/>
      <x:c r="AE152" s="9"/>
      <x:c r="AF152" s="9"/>
      <x:c r="AG152" s="9"/>
      <x:c r="AH152" s="9"/>
      <x:c r="AI152" s="11"/>
      <x:c r="AJ152" s="9"/>
      <x:c r="AK152" s="9" t="str">
        <x:v>Eval_Counting.xlsm</x:v>
      </x:c>
      <x:c r="AL152" s="9" t="str">
        <x:v>MolmoAct2 Results</x:v>
      </x:c>
      <x:c r="AM152" s="9" t="n">
        <x:v>2</x:v>
      </x:c>
      <x:c r="AN152" s="9" t="n">
        <x:v>2</x:v>
      </x:c>
    </x:row>
    <x:row r="153">
      <x:c r="A153" s="9" t="str">
        <x:v>Failure</x:v>
      </x:c>
      <x:c r="B153" s="9" t="str">
        <x:v>Counting</x:v>
      </x:c>
      <x:c r="C153" s="10" t="n">
        <x:v>1</x:v>
      </x:c>
      <x:c r="D153" s="9" t="str">
        <x:v>Adjust the bowl so that it contains two objects.</x:v>
      </x:c>
      <x:c r="E153" s="9" t="str">
        <x:v>Bowl objects: [yellow block] | Table objects: [blue pen, green pencil sharpener]</x:v>
      </x:c>
      <x:c r="F153" s="9" t="str">
        <x:v>ADD any one table object; finish with 2 objects in the bowl</x:v>
      </x:c>
      <x:c r="G153" s="9" t="str">
        <x:v>did not move</x:v>
      </x:c>
      <x:c r="H153" s="9" t="str">
        <x:v>In-distribution concept baseline</x:v>
      </x:c>
      <x:c r="I153" s="9" t="str">
        <x:v>ID-F01</x:v>
      </x:c>
      <x:c r="J153" s="9" t="str">
        <x:v>In-distribution: two via trained 1→2 addition</x:v>
      </x:c>
      <x:c r="K153" s="9"/>
      <x:c r="L153" s="9" t="str">
        <x:v>809</x:v>
      </x:c>
      <x:c r="M153" s="9" t="str">
        <x:v>Exact trained cell: prompt, count transition, and scene-object membership match; physical layout is not copied exactly.</x:v>
      </x:c>
      <x:c r="N153" s="9" t="n">
        <x:v>1</x:v>
      </x:c>
      <x:c r="O153" s="9" t="str">
        <x:v>Recreate the listed bowl/table membership from training episode 809.</x:v>
      </x:c>
      <x:c r="P153" s="9" t="str">
        <x:v>Exact trained count transition and scene-object membership. Any object that reaches the requested final count is acceptable.</x:v>
      </x:c>
      <x:c r="Q153" s="9"/>
      <x:c r="R153" s="10"/>
      <x:c r="S153" s="10"/>
      <x:c r="T153" s="9"/>
      <x:c r="U153" s="9"/>
      <x:c r="V153" s="9"/>
      <x:c r="W153" s="9" t="str">
        <x:v>ID-F01</x:v>
      </x:c>
      <x:c r="X153" s="10" t="n">
        <x:v>1</x:v>
      </x:c>
      <x:c r="Y153" s="10" t="n">
        <x:v>2</x:v>
      </x:c>
      <x:c r="Z153" s="9" t="str">
        <x:v>ADD</x:v>
      </x:c>
      <x:c r="AA153" s="9"/>
      <x:c r="AB153" s="9"/>
      <x:c r="AC153" s="9"/>
      <x:c r="AD153" s="9"/>
      <x:c r="AE153" s="9"/>
      <x:c r="AF153" s="9"/>
      <x:c r="AG153" s="9"/>
      <x:c r="AH153" s="9"/>
      <x:c r="AI153" s="11"/>
      <x:c r="AJ153" s="9"/>
      <x:c r="AK153" s="9" t="str">
        <x:v>Eval_Counting.xlsm</x:v>
      </x:c>
      <x:c r="AL153" s="9" t="str">
        <x:v>MolmoAct2 Results</x:v>
      </x:c>
      <x:c r="AM153" s="9" t="n">
        <x:v>3</x:v>
      </x:c>
      <x:c r="AN153" s="9" t="n">
        <x:v>3</x:v>
      </x:c>
    </x:row>
    <x:row r="154">
      <x:c r="A154" s="9" t="str">
        <x:v>Success</x:v>
      </x:c>
      <x:c r="B154" s="9" t="str">
        <x:v>Counting</x:v>
      </x:c>
      <x:c r="C154" s="10" t="n">
        <x:v>2</x:v>
      </x:c>
      <x:c r="D154" s="9" t="str">
        <x:v>Leave exactly three objects in the bowl.</x:v>
      </x:c>
      <x:c r="E154" s="9" t="str">
        <x:v>Bowl objects: [blue pen, yellow block, green pencil sharpener, airplane toy without propellers] | Table objects: [none]</x:v>
      </x:c>
      <x:c r="F154" s="9" t="str">
        <x:v>REMOVE any one bowl object; finish with 3 objects in the bowl</x:v>
      </x:c>
      <x:c r="G154" s="9" t="str">
        <x:v>picked yellow block</x:v>
      </x:c>
      <x:c r="H154" s="9" t="str">
        <x:v>In-distribution concept baseline</x:v>
      </x:c>
      <x:c r="I154" s="9" t="str">
        <x:v>ID-F01</x:v>
      </x:c>
      <x:c r="J154" s="9" t="str">
        <x:v>In-distribution: three via trained 4→3 removal</x:v>
      </x:c>
      <x:c r="K154" s="9"/>
      <x:c r="L154" s="9" t="str">
        <x:v>843</x:v>
      </x:c>
      <x:c r="M154" s="9" t="str">
        <x:v>Exact trained cell: prompt, count transition, and scene-object membership match; physical layout is not copied exactly.</x:v>
      </x:c>
      <x:c r="N154" s="9" t="n">
        <x:v>1</x:v>
      </x:c>
      <x:c r="O154" s="9" t="str">
        <x:v>Recreate the listed bowl/table membership from training episode 843.</x:v>
      </x:c>
      <x:c r="P154" s="9" t="str">
        <x:v>Exact trained count transition and scene-object membership. Any object that reaches the requested final count is acceptable.</x:v>
      </x:c>
      <x:c r="Q154" s="9"/>
      <x:c r="R154" s="10"/>
      <x:c r="S154" s="10"/>
      <x:c r="T154" s="9"/>
      <x:c r="U154" s="9"/>
      <x:c r="V154" s="9"/>
      <x:c r="W154" s="9" t="str">
        <x:v>ID-F01</x:v>
      </x:c>
      <x:c r="X154" s="10" t="n">
        <x:v>4</x:v>
      </x:c>
      <x:c r="Y154" s="10" t="n">
        <x:v>3</x:v>
      </x:c>
      <x:c r="Z154" s="9" t="str">
        <x:v>REMOVE</x:v>
      </x:c>
      <x:c r="AA154" s="9"/>
      <x:c r="AB154" s="9"/>
      <x:c r="AC154" s="9"/>
      <x:c r="AD154" s="9"/>
      <x:c r="AE154" s="9"/>
      <x:c r="AF154" s="9"/>
      <x:c r="AG154" s="9"/>
      <x:c r="AH154" s="9"/>
      <x:c r="AI154" s="11"/>
      <x:c r="AJ154" s="9"/>
      <x:c r="AK154" s="9" t="str">
        <x:v>Eval_Counting.xlsm</x:v>
      </x:c>
      <x:c r="AL154" s="9" t="str">
        <x:v>MolmoAct2 Results</x:v>
      </x:c>
      <x:c r="AM154" s="9" t="n">
        <x:v>4</x:v>
      </x:c>
      <x:c r="AN154" s="9" t="n">
        <x:v>4</x:v>
      </x:c>
    </x:row>
    <x:row r="155">
      <x:c r="A155" s="9" t="str">
        <x:v>Failure</x:v>
      </x:c>
      <x:c r="B155" s="9" t="str">
        <x:v>Counting</x:v>
      </x:c>
      <x:c r="C155" s="10" t="n">
        <x:v>3</x:v>
      </x:c>
      <x:c r="D155" s="9" t="str">
        <x:v>Adjust the bowl so that it contains zero objects.</x:v>
      </x:c>
      <x:c r="E155" s="9" t="str">
        <x:v>Bowl objects: [blue pen] | Table objects: [green pencil sharpener, airplane toy without propellers]</x:v>
      </x:c>
      <x:c r="F155" s="9" t="str">
        <x:v>REMOVE the only bowl object; finish with 0 objects in the bowl</x:v>
      </x:c>
      <x:c r="G155" s="9" t="str">
        <x:v>picked blue pen out of bowl then put it back in the bowl</x:v>
      </x:c>
      <x:c r="H155" s="9" t="str">
        <x:v>In-distribution concept baseline</x:v>
      </x:c>
      <x:c r="I155" s="9" t="str">
        <x:v>ID-F01</x:v>
      </x:c>
      <x:c r="J155" s="9" t="str">
        <x:v>In-distribution: zero via trained 1→0 removal</x:v>
      </x:c>
      <x:c r="K155" s="9"/>
      <x:c r="L155" s="9" t="str">
        <x:v>826</x:v>
      </x:c>
      <x:c r="M155" s="9" t="str">
        <x:v>Exact trained cell: prompt, count transition, and scene-object membership match; physical layout is not copied exactly.</x:v>
      </x:c>
      <x:c r="N155" s="9" t="n">
        <x:v>1</x:v>
      </x:c>
      <x:c r="O155" s="9" t="str">
        <x:v>Recreate the listed bowl/table membership from training episode 826.</x:v>
      </x:c>
      <x:c r="P155" s="9" t="str">
        <x:v>Exact trained count transition and scene-object membership. Any object that reaches the requested final count is acceptable.</x:v>
      </x:c>
      <x:c r="Q155" s="9"/>
      <x:c r="R155" s="10"/>
      <x:c r="S155" s="10"/>
      <x:c r="T155" s="9"/>
      <x:c r="U155" s="9"/>
      <x:c r="V155" s="9"/>
      <x:c r="W155" s="9" t="str">
        <x:v>ID-F01</x:v>
      </x:c>
      <x:c r="X155" s="10" t="n">
        <x:v>1</x:v>
      </x:c>
      <x:c r="Y155" s="10" t="n">
        <x:v>0</x:v>
      </x:c>
      <x:c r="Z155" s="9" t="str">
        <x:v>REMOVE</x:v>
      </x:c>
      <x:c r="AA155" s="9"/>
      <x:c r="AB155" s="9"/>
      <x:c r="AC155" s="9"/>
      <x:c r="AD155" s="9"/>
      <x:c r="AE155" s="9"/>
      <x:c r="AF155" s="9"/>
      <x:c r="AG155" s="9"/>
      <x:c r="AH155" s="9"/>
      <x:c r="AI155" s="11"/>
      <x:c r="AJ155" s="9"/>
      <x:c r="AK155" s="9" t="str">
        <x:v>Eval_Counting.xlsm</x:v>
      </x:c>
      <x:c r="AL155" s="9" t="str">
        <x:v>MolmoAct2 Results</x:v>
      </x:c>
      <x:c r="AM155" s="9" t="n">
        <x:v>5</x:v>
      </x:c>
      <x:c r="AN155" s="9" t="n">
        <x:v>5</x:v>
      </x:c>
    </x:row>
    <x:row r="156">
      <x:c r="A156" s="9" t="str">
        <x:v>Success</x:v>
      </x:c>
      <x:c r="B156" s="9" t="str">
        <x:v>Counting</x:v>
      </x:c>
      <x:c r="C156" s="10" t="n">
        <x:v>4</x:v>
      </x:c>
      <x:c r="D156" s="9" t="str">
        <x:v>Leave exactly one object in the bowl.</x:v>
      </x:c>
      <x:c r="E156" s="9" t="str">
        <x:v>Bowl objects: [none] | Table objects: [yellow block, blue pen]</x:v>
      </x:c>
      <x:c r="F156" s="9" t="str">
        <x:v>ADD any one table object; finish with 1 object in the bowl</x:v>
      </x:c>
      <x:c r="G156" s="9" t="str">
        <x:v>picked yellow block</x:v>
      </x:c>
      <x:c r="H156" s="9" t="str">
        <x:v>In-distribution concept baseline</x:v>
      </x:c>
      <x:c r="I156" s="9" t="str">
        <x:v>ID-F02</x:v>
      </x:c>
      <x:c r="J156" s="9" t="str">
        <x:v>In-distribution: one via trained 0→1 addition</x:v>
      </x:c>
      <x:c r="K156" s="9"/>
      <x:c r="L156" s="9" t="str">
        <x:v>852</x:v>
      </x:c>
      <x:c r="M156" s="9" t="str">
        <x:v>Exact trained cell: prompt, count transition, and scene-object membership match; physical layout is not copied exactly.</x:v>
      </x:c>
      <x:c r="N156" s="9" t="n">
        <x:v>1</x:v>
      </x:c>
      <x:c r="O156" s="9" t="str">
        <x:v>Recreate the listed bowl/table membership from training episode 852.</x:v>
      </x:c>
      <x:c r="P156" s="9" t="str">
        <x:v>Exact trained count transition and scene-object membership. Any object that reaches the requested final count is acceptable.</x:v>
      </x:c>
      <x:c r="Q156" s="9"/>
      <x:c r="R156" s="10"/>
      <x:c r="S156" s="10"/>
      <x:c r="T156" s="9"/>
      <x:c r="U156" s="9"/>
      <x:c r="V156" s="9"/>
      <x:c r="W156" s="9" t="str">
        <x:v>ID-F02</x:v>
      </x:c>
      <x:c r="X156" s="10" t="n">
        <x:v>0</x:v>
      </x:c>
      <x:c r="Y156" s="10" t="n">
        <x:v>1</x:v>
      </x:c>
      <x:c r="Z156" s="9" t="str">
        <x:v>ADD</x:v>
      </x:c>
      <x:c r="AA156" s="9"/>
      <x:c r="AB156" s="9"/>
      <x:c r="AC156" s="9"/>
      <x:c r="AD156" s="9"/>
      <x:c r="AE156" s="9"/>
      <x:c r="AF156" s="9"/>
      <x:c r="AG156" s="9"/>
      <x:c r="AH156" s="9"/>
      <x:c r="AI156" s="11"/>
      <x:c r="AJ156" s="9"/>
      <x:c r="AK156" s="9" t="str">
        <x:v>Eval_Counting.xlsm</x:v>
      </x:c>
      <x:c r="AL156" s="9" t="str">
        <x:v>MolmoAct2 Results</x:v>
      </x:c>
      <x:c r="AM156" s="9" t="n">
        <x:v>6</x:v>
      </x:c>
      <x:c r="AN156" s="9" t="n">
        <x:v>6</x:v>
      </x:c>
    </x:row>
    <x:row r="157">
      <x:c r="A157" s="9" t="str">
        <x:v>Failure</x:v>
      </x:c>
      <x:c r="B157" s="9" t="str">
        <x:v>Counting</x:v>
      </x:c>
      <x:c r="C157" s="10" t="n">
        <x:v>5</x:v>
      </x:c>
      <x:c r="D157" s="9" t="str">
        <x:v>Adjust the bowl so that it contains two objects.</x:v>
      </x:c>
      <x:c r="E157" s="9" t="str">
        <x:v>Bowl objects: [green pencil sharpener] | Table objects: [yellow block, airplane toy without propellers]</x:v>
      </x:c>
      <x:c r="F157" s="9" t="str">
        <x:v>ADD any one table object; finish with 2 objects in the bowl</x:v>
      </x:c>
      <x:c r="G157" s="9" t="str">
        <x:v>didn't move</x:v>
      </x:c>
      <x:c r="H157" s="9" t="str">
        <x:v>In-distribution concept baseline</x:v>
      </x:c>
      <x:c r="I157" s="9" t="str">
        <x:v>ID-F02</x:v>
      </x:c>
      <x:c r="J157" s="9" t="str">
        <x:v>In-distribution: two via trained 1→2 addition</x:v>
      </x:c>
      <x:c r="K157" s="9"/>
      <x:c r="L157" s="9" t="str">
        <x:v>859</x:v>
      </x:c>
      <x:c r="M157" s="9" t="str">
        <x:v>Exact trained cell: prompt, count transition, and scene-object membership match; physical layout is not copied exactly.</x:v>
      </x:c>
      <x:c r="N157" s="9" t="n">
        <x:v>1</x:v>
      </x:c>
      <x:c r="O157" s="9" t="str">
        <x:v>Recreate the listed bowl/table membership from training episode 859.</x:v>
      </x:c>
      <x:c r="P157" s="9" t="str">
        <x:v>Exact trained count transition and scene-object membership. Any object that reaches the requested final count is acceptable.</x:v>
      </x:c>
      <x:c r="Q157" s="9"/>
      <x:c r="R157" s="10"/>
      <x:c r="S157" s="10"/>
      <x:c r="T157" s="9"/>
      <x:c r="U157" s="9"/>
      <x:c r="V157" s="9"/>
      <x:c r="W157" s="9" t="str">
        <x:v>ID-F02</x:v>
      </x:c>
      <x:c r="X157" s="10" t="n">
        <x:v>1</x:v>
      </x:c>
      <x:c r="Y157" s="10" t="n">
        <x:v>2</x:v>
      </x:c>
      <x:c r="Z157" s="9" t="str">
        <x:v>ADD</x:v>
      </x:c>
      <x:c r="AA157" s="9"/>
      <x:c r="AB157" s="9"/>
      <x:c r="AC157" s="9"/>
      <x:c r="AD157" s="9"/>
      <x:c r="AE157" s="9"/>
      <x:c r="AF157" s="9"/>
      <x:c r="AG157" s="9"/>
      <x:c r="AH157" s="9"/>
      <x:c r="AI157" s="11"/>
      <x:c r="AJ157" s="9"/>
      <x:c r="AK157" s="9" t="str">
        <x:v>Eval_Counting.xlsm</x:v>
      </x:c>
      <x:c r="AL157" s="9" t="str">
        <x:v>MolmoAct2 Results</x:v>
      </x:c>
      <x:c r="AM157" s="9" t="n">
        <x:v>7</x:v>
      </x:c>
      <x:c r="AN157" s="9" t="n">
        <x:v>7</x:v>
      </x:c>
    </x:row>
    <x:row r="158">
      <x:c r="A158" s="9" t="str">
        <x:v>Success</x:v>
      </x:c>
      <x:c r="B158" s="9" t="str">
        <x:v>Counting</x:v>
      </x:c>
      <x:c r="C158" s="10" t="n">
        <x:v>6</x:v>
      </x:c>
      <x:c r="D158" s="9" t="str">
        <x:v>Leave exactly three objects in the bowl.</x:v>
      </x:c>
      <x:c r="E158" s="9" t="str">
        <x:v>Bowl objects: [yellow block, green pencil sharpener, airplane toy without propellers, blue pen] | Table objects: [none]</x:v>
      </x:c>
      <x:c r="F158" s="9" t="str">
        <x:v>REMOVE any one bowl object; finish with 3 objects in the bowl</x:v>
      </x:c>
      <x:c r="G158" s="9"/>
      <x:c r="H158" s="9" t="str">
        <x:v>In-distribution concept baseline</x:v>
      </x:c>
      <x:c r="I158" s="9" t="str">
        <x:v>ID-F02</x:v>
      </x:c>
      <x:c r="J158" s="9" t="str">
        <x:v>In-distribution: three via trained 4→3 removal</x:v>
      </x:c>
      <x:c r="K158" s="9"/>
      <x:c r="L158" s="9" t="str">
        <x:v>893</x:v>
      </x:c>
      <x:c r="M158" s="9" t="str">
        <x:v>Exact trained cell: prompt, count transition, and scene-object membership match; physical layout is not copied exactly.</x:v>
      </x:c>
      <x:c r="N158" s="9" t="n">
        <x:v>1</x:v>
      </x:c>
      <x:c r="O158" s="9" t="str">
        <x:v>Recreate the listed bowl/table membership from training episode 893.</x:v>
      </x:c>
      <x:c r="P158" s="9" t="str">
        <x:v>Exact trained count transition and scene-object membership. Any object that reaches the requested final count is acceptable.</x:v>
      </x:c>
      <x:c r="Q158" s="9"/>
      <x:c r="R158" s="10"/>
      <x:c r="S158" s="10"/>
      <x:c r="T158" s="9"/>
      <x:c r="U158" s="9"/>
      <x:c r="V158" s="9"/>
      <x:c r="W158" s="9" t="str">
        <x:v>ID-F02</x:v>
      </x:c>
      <x:c r="X158" s="10" t="n">
        <x:v>4</x:v>
      </x:c>
      <x:c r="Y158" s="10" t="n">
        <x:v>3</x:v>
      </x:c>
      <x:c r="Z158" s="9" t="str">
        <x:v>REMOVE</x:v>
      </x:c>
      <x:c r="AA158" s="9"/>
      <x:c r="AB158" s="9"/>
      <x:c r="AC158" s="9"/>
      <x:c r="AD158" s="9"/>
      <x:c r="AE158" s="9"/>
      <x:c r="AF158" s="9"/>
      <x:c r="AG158" s="9"/>
      <x:c r="AH158" s="9"/>
      <x:c r="AI158" s="11"/>
      <x:c r="AJ158" s="9"/>
      <x:c r="AK158" s="9" t="str">
        <x:v>Eval_Counting.xlsm</x:v>
      </x:c>
      <x:c r="AL158" s="9" t="str">
        <x:v>MolmoAct2 Results</x:v>
      </x:c>
      <x:c r="AM158" s="9" t="n">
        <x:v>8</x:v>
      </x:c>
      <x:c r="AN158" s="9" t="n">
        <x:v>8</x:v>
      </x:c>
    </x:row>
    <x:row r="159">
      <x:c r="A159" s="9" t="str">
        <x:v>Success</x:v>
      </x:c>
      <x:c r="B159" s="9" t="str">
        <x:v>Counting</x:v>
      </x:c>
      <x:c r="C159" s="10" t="n">
        <x:v>7</x:v>
      </x:c>
      <x:c r="D159" s="9" t="str">
        <x:v>Adjust the bowl so that it contains zero objects.</x:v>
      </x:c>
      <x:c r="E159" s="9" t="str">
        <x:v>Bowl objects: [yellow block] | Table objects: [blue pen]</x:v>
      </x:c>
      <x:c r="F159" s="9" t="str">
        <x:v>REMOVE the only bowl object; finish with 0 objects in the bowl</x:v>
      </x:c>
      <x:c r="G159" s="9"/>
      <x:c r="H159" s="9" t="str">
        <x:v>In-distribution concept baseline</x:v>
      </x:c>
      <x:c r="I159" s="9" t="str">
        <x:v>ID-F02</x:v>
      </x:c>
      <x:c r="J159" s="9" t="str">
        <x:v>In-distribution: zero via trained 1→0 removal</x:v>
      </x:c>
      <x:c r="K159" s="9"/>
      <x:c r="L159" s="9" t="str">
        <x:v>878</x:v>
      </x:c>
      <x:c r="M159" s="9" t="str">
        <x:v>Exact trained cell: prompt, count transition, and scene-object membership match; physical layout is not copied exactly.</x:v>
      </x:c>
      <x:c r="N159" s="9" t="n">
        <x:v>1</x:v>
      </x:c>
      <x:c r="O159" s="9" t="str">
        <x:v>Recreate the listed bowl/table membership from training episode 878.</x:v>
      </x:c>
      <x:c r="P159" s="9" t="str">
        <x:v>Exact trained count transition and scene-object membership. Any object that reaches the requested final count is acceptable.</x:v>
      </x:c>
      <x:c r="Q159" s="9"/>
      <x:c r="R159" s="10"/>
      <x:c r="S159" s="10"/>
      <x:c r="T159" s="9"/>
      <x:c r="U159" s="9"/>
      <x:c r="V159" s="9"/>
      <x:c r="W159" s="9" t="str">
        <x:v>ID-F02</x:v>
      </x:c>
      <x:c r="X159" s="10" t="n">
        <x:v>1</x:v>
      </x:c>
      <x:c r="Y159" s="10" t="n">
        <x:v>0</x:v>
      </x:c>
      <x:c r="Z159" s="9" t="str">
        <x:v>REMOVE</x:v>
      </x:c>
      <x:c r="AA159" s="9"/>
      <x:c r="AB159" s="9"/>
      <x:c r="AC159" s="9"/>
      <x:c r="AD159" s="9"/>
      <x:c r="AE159" s="9"/>
      <x:c r="AF159" s="9"/>
      <x:c r="AG159" s="9"/>
      <x:c r="AH159" s="9"/>
      <x:c r="AI159" s="11"/>
      <x:c r="AJ159" s="9"/>
      <x:c r="AK159" s="9" t="str">
        <x:v>Eval_Counting.xlsm</x:v>
      </x:c>
      <x:c r="AL159" s="9" t="str">
        <x:v>MolmoAct2 Results</x:v>
      </x:c>
      <x:c r="AM159" s="9" t="n">
        <x:v>9</x:v>
      </x:c>
      <x:c r="AN159" s="9" t="n">
        <x:v>9</x:v>
      </x:c>
    </x:row>
    <x:row r="160">
      <x:c r="A160" s="9" t="str">
        <x:v>Success</x:v>
      </x:c>
      <x:c r="B160" s="9" t="str">
        <x:v>Counting</x:v>
      </x:c>
      <x:c r="C160" s="10" t="n">
        <x:v>8</x:v>
      </x:c>
      <x:c r="D160" s="9" t="str">
        <x:v>Leave exactly one object in the bowl.</x:v>
      </x:c>
      <x:c r="E160" s="9" t="str">
        <x:v>Bowl objects: [none] | Table objects: [green pencil sharpener, yellow block]</x:v>
      </x:c>
      <x:c r="F160" s="9" t="str">
        <x:v>ADD any one table object; finish with 1 object in the bowl</x:v>
      </x:c>
      <x:c r="G160" s="9" t="str">
        <x:v>picked pencil sharpener</x:v>
      </x:c>
      <x:c r="H160" s="9" t="str">
        <x:v>In-distribution concept baseline</x:v>
      </x:c>
      <x:c r="I160" s="9" t="str">
        <x:v>ID-F03</x:v>
      </x:c>
      <x:c r="J160" s="9" t="str">
        <x:v>In-distribution: one via trained 0→1 addition</x:v>
      </x:c>
      <x:c r="K160" s="9"/>
      <x:c r="L160" s="9" t="str">
        <x:v>902</x:v>
      </x:c>
      <x:c r="M160" s="9" t="str">
        <x:v>Exact trained cell: prompt, count transition, and scene-object membership match; physical layout is not copied exactly.</x:v>
      </x:c>
      <x:c r="N160" s="9" t="n">
        <x:v>1</x:v>
      </x:c>
      <x:c r="O160" s="9" t="str">
        <x:v>Recreate the listed bowl/table membership from training episode 902.</x:v>
      </x:c>
      <x:c r="P160" s="9" t="str">
        <x:v>Exact trained count transition and scene-object membership. Any object that reaches the requested final count is acceptable.</x:v>
      </x:c>
      <x:c r="Q160" s="9"/>
      <x:c r="R160" s="10"/>
      <x:c r="S160" s="10"/>
      <x:c r="T160" s="9"/>
      <x:c r="U160" s="9"/>
      <x:c r="V160" s="9"/>
      <x:c r="W160" s="9" t="str">
        <x:v>ID-F03</x:v>
      </x:c>
      <x:c r="X160" s="10" t="n">
        <x:v>0</x:v>
      </x:c>
      <x:c r="Y160" s="10" t="n">
        <x:v>1</x:v>
      </x:c>
      <x:c r="Z160" s="9" t="str">
        <x:v>ADD</x:v>
      </x:c>
      <x:c r="AA160" s="9"/>
      <x:c r="AB160" s="9"/>
      <x:c r="AC160" s="9"/>
      <x:c r="AD160" s="9"/>
      <x:c r="AE160" s="9"/>
      <x:c r="AF160" s="9"/>
      <x:c r="AG160" s="9"/>
      <x:c r="AH160" s="9"/>
      <x:c r="AI160" s="11"/>
      <x:c r="AJ160" s="9"/>
      <x:c r="AK160" s="9" t="str">
        <x:v>Eval_Counting.xlsm</x:v>
      </x:c>
      <x:c r="AL160" s="9" t="str">
        <x:v>MolmoAct2 Results</x:v>
      </x:c>
      <x:c r="AM160" s="9" t="n">
        <x:v>10</x:v>
      </x:c>
      <x:c r="AN160" s="9" t="n">
        <x:v>10</x:v>
      </x:c>
    </x:row>
    <x:row r="161">
      <x:c r="A161" s="9" t="str">
        <x:v>Failure</x:v>
      </x:c>
      <x:c r="B161" s="9" t="str">
        <x:v>Counting</x:v>
      </x:c>
      <x:c r="C161" s="10" t="n">
        <x:v>9</x:v>
      </x:c>
      <x:c r="D161" s="9" t="str">
        <x:v>Adjust the bowl so that it contains two objects.</x:v>
      </x:c>
      <x:c r="E161" s="9" t="str">
        <x:v>Bowl objects: [blue pen] | Table objects: [green pencil sharpener, airplane toy without propellers]</x:v>
      </x:c>
      <x:c r="F161" s="9" t="str">
        <x:v>ADD any one table object; finish with 2 objects in the bowl</x:v>
      </x:c>
      <x:c r="G161" s="9" t="str">
        <x:v>didn't move</x:v>
      </x:c>
      <x:c r="H161" s="9" t="str">
        <x:v>In-distribution concept baseline</x:v>
      </x:c>
      <x:c r="I161" s="9" t="str">
        <x:v>ID-F03</x:v>
      </x:c>
      <x:c r="J161" s="9" t="str">
        <x:v>In-distribution: two via trained 1→2 addition</x:v>
      </x:c>
      <x:c r="K161" s="9"/>
      <x:c r="L161" s="9" t="str">
        <x:v>909</x:v>
      </x:c>
      <x:c r="M161" s="9" t="str">
        <x:v>Exact trained cell: prompt, count transition, and scene-object membership match; physical layout is not copied exactly.</x:v>
      </x:c>
      <x:c r="N161" s="9" t="n">
        <x:v>1</x:v>
      </x:c>
      <x:c r="O161" s="9" t="str">
        <x:v>Recreate the listed bowl/table membership from training episode 909.</x:v>
      </x:c>
      <x:c r="P161" s="9" t="str">
        <x:v>Exact trained count transition and scene-object membership. Any object that reaches the requested final count is acceptable.</x:v>
      </x:c>
      <x:c r="Q161" s="9"/>
      <x:c r="R161" s="10"/>
      <x:c r="S161" s="10"/>
      <x:c r="T161" s="9"/>
      <x:c r="U161" s="9"/>
      <x:c r="V161" s="9"/>
      <x:c r="W161" s="9" t="str">
        <x:v>ID-F03</x:v>
      </x:c>
      <x:c r="X161" s="10" t="n">
        <x:v>1</x:v>
      </x:c>
      <x:c r="Y161" s="10" t="n">
        <x:v>2</x:v>
      </x:c>
      <x:c r="Z161" s="9" t="str">
        <x:v>ADD</x:v>
      </x:c>
      <x:c r="AA161" s="9"/>
      <x:c r="AB161" s="9"/>
      <x:c r="AC161" s="9"/>
      <x:c r="AD161" s="9"/>
      <x:c r="AE161" s="9"/>
      <x:c r="AF161" s="9"/>
      <x:c r="AG161" s="9"/>
      <x:c r="AH161" s="9"/>
      <x:c r="AI161" s="11"/>
      <x:c r="AJ161" s="9"/>
      <x:c r="AK161" s="9" t="str">
        <x:v>Eval_Counting.xlsm</x:v>
      </x:c>
      <x:c r="AL161" s="9" t="str">
        <x:v>MolmoAct2 Results</x:v>
      </x:c>
      <x:c r="AM161" s="9" t="n">
        <x:v>11</x:v>
      </x:c>
      <x:c r="AN161" s="9" t="n">
        <x:v>11</x:v>
      </x:c>
    </x:row>
    <x:row r="162">
      <x:c r="A162" s="9" t="str">
        <x:v>Failure</x:v>
      </x:c>
      <x:c r="B162" s="9" t="str">
        <x:v>Counting</x:v>
      </x:c>
      <x:c r="C162" s="10" t="n">
        <x:v>10</x:v>
      </x:c>
      <x:c r="D162" s="9" t="str">
        <x:v>Leave exactly three objects in the bowl.</x:v>
      </x:c>
      <x:c r="E162" s="9" t="str">
        <x:v>Bowl objects: [green pencil sharpener, airplane toy without propellers, blue pen, yellow block] | Table objects: [none]</x:v>
      </x:c>
      <x:c r="F162" s="9" t="str">
        <x:v>REMOVE any one bowl object; finish with 3 objects in the bowl</x:v>
      </x:c>
      <x:c r="G162" s="9" t="str">
        <x:v>didn't move</x:v>
      </x:c>
      <x:c r="H162" s="9" t="str">
        <x:v>In-distribution concept baseline</x:v>
      </x:c>
      <x:c r="I162" s="9" t="str">
        <x:v>ID-F03</x:v>
      </x:c>
      <x:c r="J162" s="9" t="str">
        <x:v>In-distribution: three via trained 4→3 removal</x:v>
      </x:c>
      <x:c r="K162" s="9"/>
      <x:c r="L162" s="9" t="str">
        <x:v>943</x:v>
      </x:c>
      <x:c r="M162" s="9" t="str">
        <x:v>Exact trained cell: prompt, count transition, and scene-object membership match; physical layout is not copied exactly.</x:v>
      </x:c>
      <x:c r="N162" s="9" t="n">
        <x:v>1</x:v>
      </x:c>
      <x:c r="O162" s="9" t="str">
        <x:v>Recreate the listed bowl/table membership from training episode 943.</x:v>
      </x:c>
      <x:c r="P162" s="9" t="str">
        <x:v>Exact trained count transition and scene-object membership. Any object that reaches the requested final count is acceptable.</x:v>
      </x:c>
      <x:c r="Q162" s="9"/>
      <x:c r="R162" s="10"/>
      <x:c r="S162" s="10"/>
      <x:c r="T162" s="9"/>
      <x:c r="U162" s="9"/>
      <x:c r="V162" s="9"/>
      <x:c r="W162" s="9" t="str">
        <x:v>ID-F03</x:v>
      </x:c>
      <x:c r="X162" s="10" t="n">
        <x:v>4</x:v>
      </x:c>
      <x:c r="Y162" s="10" t="n">
        <x:v>3</x:v>
      </x:c>
      <x:c r="Z162" s="9" t="str">
        <x:v>REMOVE</x:v>
      </x:c>
      <x:c r="AA162" s="9"/>
      <x:c r="AB162" s="9"/>
      <x:c r="AC162" s="9"/>
      <x:c r="AD162" s="9"/>
      <x:c r="AE162" s="9"/>
      <x:c r="AF162" s="9"/>
      <x:c r="AG162" s="9"/>
      <x:c r="AH162" s="9"/>
      <x:c r="AI162" s="11"/>
      <x:c r="AJ162" s="9"/>
      <x:c r="AK162" s="9" t="str">
        <x:v>Eval_Counting.xlsm</x:v>
      </x:c>
      <x:c r="AL162" s="9" t="str">
        <x:v>MolmoAct2 Results</x:v>
      </x:c>
      <x:c r="AM162" s="9" t="n">
        <x:v>12</x:v>
      </x:c>
      <x:c r="AN162" s="9" t="n">
        <x:v>12</x:v>
      </x:c>
    </x:row>
    <x:row r="163">
      <x:c r="A163" s="9" t="str">
        <x:v>Success</x:v>
      </x:c>
      <x:c r="B163" s="9" t="str">
        <x:v>Counting</x:v>
      </x:c>
      <x:c r="C163" s="10" t="n">
        <x:v>11</x:v>
      </x:c>
      <x:c r="D163" s="9" t="str">
        <x:v>Make the bowl contain exactly zero objects.</x:v>
      </x:c>
      <x:c r="E163" s="9" t="str">
        <x:v>Bowl objects: [green pencil sharpener] | Table objects: [yellow block]</x:v>
      </x:c>
      <x:c r="F163" s="9" t="str">
        <x:v>REMOVE the only bowl object; finish with 0 objects in the bowl</x:v>
      </x:c>
      <x:c r="G163" s="9"/>
      <x:c r="H163" s="9" t="str">
        <x:v>In-distribution concept baseline</x:v>
      </x:c>
      <x:c r="I163" s="9" t="str">
        <x:v>ID-F03</x:v>
      </x:c>
      <x:c r="J163" s="9" t="str">
        <x:v>In-distribution: zero via trained 1→0 removal</x:v>
      </x:c>
      <x:c r="K163" s="9"/>
      <x:c r="L163" s="9" t="str">
        <x:v>928</x:v>
      </x:c>
      <x:c r="M163" s="9" t="str">
        <x:v>Exact trained cell: prompt, count transition, and scene-object membership match; physical layout is not copied exactly.</x:v>
      </x:c>
      <x:c r="N163" s="9" t="n">
        <x:v>1</x:v>
      </x:c>
      <x:c r="O163" s="9" t="str">
        <x:v>Recreate the listed bowl/table membership from training episode 928.</x:v>
      </x:c>
      <x:c r="P163" s="9" t="str">
        <x:v>Exact trained count transition and scene-object membership. Any object that reaches the requested final count is acceptable.</x:v>
      </x:c>
      <x:c r="Q163" s="9"/>
      <x:c r="R163" s="10"/>
      <x:c r="S163" s="10"/>
      <x:c r="T163" s="9"/>
      <x:c r="U163" s="9"/>
      <x:c r="V163" s="9"/>
      <x:c r="W163" s="9" t="str">
        <x:v>ID-F03</x:v>
      </x:c>
      <x:c r="X163" s="10" t="n">
        <x:v>1</x:v>
      </x:c>
      <x:c r="Y163" s="10" t="n">
        <x:v>0</x:v>
      </x:c>
      <x:c r="Z163" s="9" t="str">
        <x:v>REMOVE</x:v>
      </x:c>
      <x:c r="AA163" s="9"/>
      <x:c r="AB163" s="9"/>
      <x:c r="AC163" s="9"/>
      <x:c r="AD163" s="9"/>
      <x:c r="AE163" s="9"/>
      <x:c r="AF163" s="9"/>
      <x:c r="AG163" s="9"/>
      <x:c r="AH163" s="9"/>
      <x:c r="AI163" s="11"/>
      <x:c r="AJ163" s="9"/>
      <x:c r="AK163" s="9" t="str">
        <x:v>Eval_Counting.xlsm</x:v>
      </x:c>
      <x:c r="AL163" s="9" t="str">
        <x:v>MolmoAct2 Results</x:v>
      </x:c>
      <x:c r="AM163" s="9" t="n">
        <x:v>13</x:v>
      </x:c>
      <x:c r="AN163" s="9" t="n">
        <x:v>13</x:v>
      </x:c>
    </x:row>
    <x:row r="164">
      <x:c r="A164" s="9" t="str">
        <x:v>Success</x:v>
      </x:c>
      <x:c r="B164" s="9" t="str">
        <x:v>Counting</x:v>
      </x:c>
      <x:c r="C164" s="10" t="n">
        <x:v>12</x:v>
      </x:c>
      <x:c r="D164" s="9" t="str">
        <x:v>Leave exactly one object in the bowl.</x:v>
      </x:c>
      <x:c r="E164" s="9" t="str">
        <x:v>Bowl objects: [none] | Table objects: [airplane toy without propellers, blue pen, yellow block]</x:v>
      </x:c>
      <x:c r="F164" s="9" t="str">
        <x:v>ADD any one table object; finish with 1 object in the bowl</x:v>
      </x:c>
      <x:c r="G164" s="9" t="str">
        <x:v>picked airplane toy</x:v>
      </x:c>
      <x:c r="H164" s="9" t="str">
        <x:v>In-distribution concept baseline</x:v>
      </x:c>
      <x:c r="I164" s="9" t="str">
        <x:v>ID-F04</x:v>
      </x:c>
      <x:c r="J164" s="9" t="str">
        <x:v>In-distribution: one via trained 0→1 addition</x:v>
      </x:c>
      <x:c r="K164" s="9"/>
      <x:c r="L164" s="9" t="str">
        <x:v>951</x:v>
      </x:c>
      <x:c r="M164" s="9" t="str">
        <x:v>Exact trained cell: prompt, count transition, and scene-object membership match; physical layout is not copied exactly.</x:v>
      </x:c>
      <x:c r="N164" s="9" t="n">
        <x:v>1</x:v>
      </x:c>
      <x:c r="O164" s="9" t="str">
        <x:v>Recreate the listed bowl/table membership from training episode 951.</x:v>
      </x:c>
      <x:c r="P164" s="9" t="str">
        <x:v>Exact trained count transition and scene-object membership. Any object that reaches the requested final count is acceptable.</x:v>
      </x:c>
      <x:c r="Q164" s="9"/>
      <x:c r="R164" s="10"/>
      <x:c r="S164" s="10"/>
      <x:c r="T164" s="9"/>
      <x:c r="U164" s="9"/>
      <x:c r="V164" s="9"/>
      <x:c r="W164" s="9" t="str">
        <x:v>ID-F04</x:v>
      </x:c>
      <x:c r="X164" s="10" t="n">
        <x:v>0</x:v>
      </x:c>
      <x:c r="Y164" s="10" t="n">
        <x:v>1</x:v>
      </x:c>
      <x:c r="Z164" s="9" t="str">
        <x:v>ADD</x:v>
      </x:c>
      <x:c r="AA164" s="9"/>
      <x:c r="AB164" s="9"/>
      <x:c r="AC164" s="9"/>
      <x:c r="AD164" s="9"/>
      <x:c r="AE164" s="9"/>
      <x:c r="AF164" s="9"/>
      <x:c r="AG164" s="9"/>
      <x:c r="AH164" s="9"/>
      <x:c r="AI164" s="11"/>
      <x:c r="AJ164" s="9"/>
      <x:c r="AK164" s="9" t="str">
        <x:v>Eval_Counting.xlsm</x:v>
      </x:c>
      <x:c r="AL164" s="9" t="str">
        <x:v>MolmoAct2 Results</x:v>
      </x:c>
      <x:c r="AM164" s="9" t="n">
        <x:v>14</x:v>
      </x:c>
      <x:c r="AN164" s="9" t="n">
        <x:v>14</x:v>
      </x:c>
    </x:row>
    <x:row r="165">
      <x:c r="A165" s="9" t="str">
        <x:v>Failure</x:v>
      </x:c>
      <x:c r="B165" s="9" t="str">
        <x:v>Counting</x:v>
      </x:c>
      <x:c r="C165" s="10" t="n">
        <x:v>13</x:v>
      </x:c>
      <x:c r="D165" s="9" t="str">
        <x:v>Make the bowl contain exactly two objects.</x:v>
      </x:c>
      <x:c r="E165" s="9" t="str">
        <x:v>Bowl objects: [green pencil sharpener] | Table objects: [airplane toy without propellers, yellow block]</x:v>
      </x:c>
      <x:c r="F165" s="9" t="str">
        <x:v>ADD any one table object; finish with 2 objects in the bowl</x:v>
      </x:c>
      <x:c r="G165" s="9" t="str">
        <x:v>didn't move</x:v>
      </x:c>
      <x:c r="H165" s="9" t="str">
        <x:v>In-distribution concept baseline</x:v>
      </x:c>
      <x:c r="I165" s="9" t="str">
        <x:v>ID-F04</x:v>
      </x:c>
      <x:c r="J165" s="9" t="str">
        <x:v>In-distribution: two via trained 1→2 addition</x:v>
      </x:c>
      <x:c r="K165" s="9"/>
      <x:c r="L165" s="9" t="str">
        <x:v>960</x:v>
      </x:c>
      <x:c r="M165" s="9" t="str">
        <x:v>Exact trained cell: prompt, count transition, and scene-object membership match; physical layout is not copied exactly.</x:v>
      </x:c>
      <x:c r="N165" s="9" t="n">
        <x:v>1</x:v>
      </x:c>
      <x:c r="O165" s="9" t="str">
        <x:v>Recreate the listed bowl/table membership from training episode 960.</x:v>
      </x:c>
      <x:c r="P165" s="9" t="str">
        <x:v>Exact trained count transition and scene-object membership. Any object that reaches the requested final count is acceptable.</x:v>
      </x:c>
      <x:c r="Q165" s="9"/>
      <x:c r="R165" s="10"/>
      <x:c r="S165" s="10"/>
      <x:c r="T165" s="9"/>
      <x:c r="U165" s="9"/>
      <x:c r="V165" s="9"/>
      <x:c r="W165" s="9" t="str">
        <x:v>ID-F04</x:v>
      </x:c>
      <x:c r="X165" s="10" t="n">
        <x:v>1</x:v>
      </x:c>
      <x:c r="Y165" s="10" t="n">
        <x:v>2</x:v>
      </x:c>
      <x:c r="Z165" s="9" t="str">
        <x:v>ADD</x:v>
      </x:c>
      <x:c r="AA165" s="9"/>
      <x:c r="AB165" s="9"/>
      <x:c r="AC165" s="9"/>
      <x:c r="AD165" s="9"/>
      <x:c r="AE165" s="9"/>
      <x:c r="AF165" s="9"/>
      <x:c r="AG165" s="9"/>
      <x:c r="AH165" s="9"/>
      <x:c r="AI165" s="11"/>
      <x:c r="AJ165" s="9"/>
      <x:c r="AK165" s="9" t="str">
        <x:v>Eval_Counting.xlsm</x:v>
      </x:c>
      <x:c r="AL165" s="9" t="str">
        <x:v>MolmoAct2 Results</x:v>
      </x:c>
      <x:c r="AM165" s="9" t="n">
        <x:v>15</x:v>
      </x:c>
      <x:c r="AN165" s="9" t="n">
        <x:v>15</x:v>
      </x:c>
    </x:row>
    <x:row r="166">
      <x:c r="A166" s="9" t="str">
        <x:v>Success</x:v>
      </x:c>
      <x:c r="B166" s="9" t="str">
        <x:v>Counting</x:v>
      </x:c>
      <x:c r="C166" s="10" t="n">
        <x:v>14</x:v>
      </x:c>
      <x:c r="D166" s="9" t="str">
        <x:v>Leave exactly three objects in the bowl.</x:v>
      </x:c>
      <x:c r="E166" s="9" t="str">
        <x:v>Bowl objects: [airplane toy without propellers, blue pen, yellow block, green pencil sharpener] | Table objects: [none]</x:v>
      </x:c>
      <x:c r="F166" s="9" t="str">
        <x:v>REMOVE any one bowl object; finish with 3 objects in the bowl</x:v>
      </x:c>
      <x:c r="G166" s="9"/>
      <x:c r="H166" s="9" t="str">
        <x:v>In-distribution concept baseline</x:v>
      </x:c>
      <x:c r="I166" s="9" t="str">
        <x:v>ID-F04</x:v>
      </x:c>
      <x:c r="J166" s="9" t="str">
        <x:v>In-distribution: three via trained 4→3 removal</x:v>
      </x:c>
      <x:c r="K166" s="9"/>
      <x:c r="L166" s="9" t="str">
        <x:v>993</x:v>
      </x:c>
      <x:c r="M166" s="9" t="str">
        <x:v>Exact trained cell: prompt, count transition, and scene-object membership match; physical layout is not copied exactly.</x:v>
      </x:c>
      <x:c r="N166" s="9" t="n">
        <x:v>1</x:v>
      </x:c>
      <x:c r="O166" s="9" t="str">
        <x:v>Recreate the listed bowl/table membership from training episode 993.</x:v>
      </x:c>
      <x:c r="P166" s="9" t="str">
        <x:v>Exact trained count transition and scene-object membership. Any object that reaches the requested final count is acceptable.</x:v>
      </x:c>
      <x:c r="Q166" s="9"/>
      <x:c r="R166" s="10"/>
      <x:c r="S166" s="10"/>
      <x:c r="T166" s="9"/>
      <x:c r="U166" s="9"/>
      <x:c r="V166" s="9"/>
      <x:c r="W166" s="9" t="str">
        <x:v>ID-F04</x:v>
      </x:c>
      <x:c r="X166" s="10" t="n">
        <x:v>4</x:v>
      </x:c>
      <x:c r="Y166" s="10" t="n">
        <x:v>3</x:v>
      </x:c>
      <x:c r="Z166" s="9" t="str">
        <x:v>REMOVE</x:v>
      </x:c>
      <x:c r="AA166" s="9"/>
      <x:c r="AB166" s="9"/>
      <x:c r="AC166" s="9"/>
      <x:c r="AD166" s="9"/>
      <x:c r="AE166" s="9"/>
      <x:c r="AF166" s="9"/>
      <x:c r="AG166" s="9"/>
      <x:c r="AH166" s="9"/>
      <x:c r="AI166" s="11"/>
      <x:c r="AJ166" s="9"/>
      <x:c r="AK166" s="9" t="str">
        <x:v>Eval_Counting.xlsm</x:v>
      </x:c>
      <x:c r="AL166" s="9" t="str">
        <x:v>MolmoAct2 Results</x:v>
      </x:c>
      <x:c r="AM166" s="9" t="n">
        <x:v>16</x:v>
      </x:c>
      <x:c r="AN166" s="9" t="n">
        <x:v>16</x:v>
      </x:c>
    </x:row>
    <x:row r="167">
      <x:c r="A167" s="9" t="str">
        <x:v>Success</x:v>
      </x:c>
      <x:c r="B167" s="9" t="str">
        <x:v>Counting</x:v>
      </x:c>
      <x:c r="C167" s="10" t="n">
        <x:v>15</x:v>
      </x:c>
      <x:c r="D167" s="9" t="str">
        <x:v>Leave no objects in the bowl.</x:v>
      </x:c>
      <x:c r="E167" s="9" t="str">
        <x:v>Bowl objects: [airplane toy without propellers] | Table objects: [green pencil sharpener]</x:v>
      </x:c>
      <x:c r="F167" s="9" t="str">
        <x:v>REMOVE the only bowl object; finish with 0 objects in the bowl</x:v>
      </x:c>
      <x:c r="G167" s="9"/>
      <x:c r="H167" s="9" t="str">
        <x:v>In-distribution concept baseline</x:v>
      </x:c>
      <x:c r="I167" s="9" t="str">
        <x:v>ID-F04</x:v>
      </x:c>
      <x:c r="J167" s="9" t="str">
        <x:v>In-distribution: zero via trained 1→0 removal</x:v>
      </x:c>
      <x:c r="K167" s="9"/>
      <x:c r="L167" s="9" t="str">
        <x:v>978</x:v>
      </x:c>
      <x:c r="M167" s="9" t="str">
        <x:v>Exact trained cell: prompt, count transition, and scene-object membership match; physical layout is not copied exactly.</x:v>
      </x:c>
      <x:c r="N167" s="9" t="n">
        <x:v>1</x:v>
      </x:c>
      <x:c r="O167" s="9" t="str">
        <x:v>Recreate the listed bowl/table membership from training episode 978.</x:v>
      </x:c>
      <x:c r="P167" s="9" t="str">
        <x:v>Exact trained count transition and scene-object membership. Any object that reaches the requested final count is acceptable.</x:v>
      </x:c>
      <x:c r="Q167" s="9"/>
      <x:c r="R167" s="10"/>
      <x:c r="S167" s="10"/>
      <x:c r="T167" s="9"/>
      <x:c r="U167" s="9"/>
      <x:c r="V167" s="9"/>
      <x:c r="W167" s="9" t="str">
        <x:v>ID-F04</x:v>
      </x:c>
      <x:c r="X167" s="10" t="n">
        <x:v>1</x:v>
      </x:c>
      <x:c r="Y167" s="10" t="n">
        <x:v>0</x:v>
      </x:c>
      <x:c r="Z167" s="9" t="str">
        <x:v>REMOVE</x:v>
      </x:c>
      <x:c r="AA167" s="9"/>
      <x:c r="AB167" s="9"/>
      <x:c r="AC167" s="9"/>
      <x:c r="AD167" s="9"/>
      <x:c r="AE167" s="9"/>
      <x:c r="AF167" s="9"/>
      <x:c r="AG167" s="9"/>
      <x:c r="AH167" s="9"/>
      <x:c r="AI167" s="11"/>
      <x:c r="AJ167" s="9"/>
      <x:c r="AK167" s="9" t="str">
        <x:v>Eval_Counting.xlsm</x:v>
      </x:c>
      <x:c r="AL167" s="9" t="str">
        <x:v>MolmoAct2 Results</x:v>
      </x:c>
      <x:c r="AM167" s="9" t="n">
        <x:v>17</x:v>
      </x:c>
      <x:c r="AN167" s="9" t="n">
        <x:v>17</x:v>
      </x:c>
    </x:row>
    <x:row r="168">
      <x:c r="A168" s="9" t="str">
        <x:v>Failure</x:v>
      </x:c>
      <x:c r="B168" s="9" t="str">
        <x:v>Counting</x:v>
      </x:c>
      <x:c r="C168" s="10" t="n">
        <x:v>16</x:v>
      </x:c>
      <x:c r="D168" s="9" t="str">
        <x:v>Leave exactly one object in the bowl.</x:v>
      </x:c>
      <x:c r="E168" s="9" t="str">
        <x:v>Bowl objects: [none] | Table objects: [yellow block]</x:v>
      </x:c>
      <x:c r="F168" s="9" t="str">
        <x:v>ADD the only table object; finish with 1 object in the bowl</x:v>
      </x:c>
      <x:c r="G168" s="9" t="str">
        <x:v>Failed to grasp the airplane toy out of the bowl. Successful reasoning.</x:v>
      </x:c>
      <x:c r="H168" s="9" t="str">
        <x:v>In-distribution concept baseline</x:v>
      </x:c>
      <x:c r="I168" s="9" t="str">
        <x:v>ID-F05</x:v>
      </x:c>
      <x:c r="J168" s="9" t="str">
        <x:v>In-distribution: one via trained 0→1 addition</x:v>
      </x:c>
      <x:c r="K168" s="9"/>
      <x:c r="L168" s="9" t="str">
        <x:v>857</x:v>
      </x:c>
      <x:c r="M168" s="9" t="str">
        <x:v>Exact trained cell: prompt, count transition, and scene-object membership match; physical layout is not copied exactly.</x:v>
      </x:c>
      <x:c r="N168" s="9" t="n">
        <x:v>1</x:v>
      </x:c>
      <x:c r="O168" s="9" t="str">
        <x:v>Recreate the listed bowl/table membership from training episode 857.</x:v>
      </x:c>
      <x:c r="P168" s="9" t="str">
        <x:v>Exact trained count transition and scene-object membership. Any object that reaches the requested final count is acceptable.</x:v>
      </x:c>
      <x:c r="Q168" s="9"/>
      <x:c r="R168" s="10"/>
      <x:c r="S168" s="10"/>
      <x:c r="T168" s="9"/>
      <x:c r="U168" s="9"/>
      <x:c r="V168" s="9"/>
      <x:c r="W168" s="9" t="str">
        <x:v>ID-F05</x:v>
      </x:c>
      <x:c r="X168" s="10" t="n">
        <x:v>0</x:v>
      </x:c>
      <x:c r="Y168" s="10" t="n">
        <x:v>1</x:v>
      </x:c>
      <x:c r="Z168" s="9" t="str">
        <x:v>ADD</x:v>
      </x:c>
      <x:c r="AA168" s="9"/>
      <x:c r="AB168" s="9"/>
      <x:c r="AC168" s="9"/>
      <x:c r="AD168" s="9"/>
      <x:c r="AE168" s="9"/>
      <x:c r="AF168" s="9"/>
      <x:c r="AG168" s="9"/>
      <x:c r="AH168" s="9"/>
      <x:c r="AI168" s="11"/>
      <x:c r="AJ168" s="9"/>
      <x:c r="AK168" s="9" t="str">
        <x:v>Eval_Counting.xlsm</x:v>
      </x:c>
      <x:c r="AL168" s="9" t="str">
        <x:v>MolmoAct2 Results</x:v>
      </x:c>
      <x:c r="AM168" s="9" t="n">
        <x:v>18</x:v>
      </x:c>
      <x:c r="AN168" s="9" t="n">
        <x:v>18</x:v>
      </x:c>
    </x:row>
    <x:row r="169">
      <x:c r="A169" s="9" t="str">
        <x:v>Failure</x:v>
      </x:c>
      <x:c r="B169" s="9" t="str">
        <x:v>Counting</x:v>
      </x:c>
      <x:c r="C169" s="10" t="n">
        <x:v>17</x:v>
      </x:c>
      <x:c r="D169" s="9" t="str">
        <x:v>Make the bowl contain exactly two objects.</x:v>
      </x:c>
      <x:c r="E169" s="9" t="str">
        <x:v>Bowl objects: [green pencil sharpener] | Table objects: [yellow block]</x:v>
      </x:c>
      <x:c r="F169" s="9" t="str">
        <x:v>ADD the only table object; finish with 2 objects in the bowl</x:v>
      </x:c>
      <x:c r="G169" s="9" t="str">
        <x:v>Moved towards bowl near the end of the episode, then the 75 seconds was up. </x:v>
      </x:c>
      <x:c r="H169" s="9" t="str">
        <x:v>In-distribution concept baseline</x:v>
      </x:c>
      <x:c r="I169" s="9" t="str">
        <x:v>ID-F05</x:v>
      </x:c>
      <x:c r="J169" s="9" t="str">
        <x:v>In-distribution: two via trained 1→2 addition</x:v>
      </x:c>
      <x:c r="K169" s="9"/>
      <x:c r="L169" s="9" t="str">
        <x:v>865</x:v>
      </x:c>
      <x:c r="M169" s="9" t="str">
        <x:v>Exact trained cell: prompt, count transition, and scene-object membership match; physical layout is not copied exactly.</x:v>
      </x:c>
      <x:c r="N169" s="9" t="n">
        <x:v>1</x:v>
      </x:c>
      <x:c r="O169" s="9" t="str">
        <x:v>Recreate the listed bowl/table membership from training episode 865.</x:v>
      </x:c>
      <x:c r="P169" s="9" t="str">
        <x:v>Exact trained count transition and scene-object membership. Any object that reaches the requested final count is acceptable.</x:v>
      </x:c>
      <x:c r="Q169" s="9"/>
      <x:c r="R169" s="10"/>
      <x:c r="S169" s="10"/>
      <x:c r="T169" s="9"/>
      <x:c r="U169" s="9"/>
      <x:c r="V169" s="9"/>
      <x:c r="W169" s="9" t="str">
        <x:v>ID-F05</x:v>
      </x:c>
      <x:c r="X169" s="10" t="n">
        <x:v>1</x:v>
      </x:c>
      <x:c r="Y169" s="10" t="n">
        <x:v>2</x:v>
      </x:c>
      <x:c r="Z169" s="9" t="str">
        <x:v>ADD</x:v>
      </x:c>
      <x:c r="AA169" s="9"/>
      <x:c r="AB169" s="9"/>
      <x:c r="AC169" s="9"/>
      <x:c r="AD169" s="9"/>
      <x:c r="AE169" s="9"/>
      <x:c r="AF169" s="9"/>
      <x:c r="AG169" s="9"/>
      <x:c r="AH169" s="9"/>
      <x:c r="AI169" s="11"/>
      <x:c r="AJ169" s="9"/>
      <x:c r="AK169" s="9" t="str">
        <x:v>Eval_Counting.xlsm</x:v>
      </x:c>
      <x:c r="AL169" s="9" t="str">
        <x:v>MolmoAct2 Results</x:v>
      </x:c>
      <x:c r="AM169" s="9" t="n">
        <x:v>19</x:v>
      </x:c>
      <x:c r="AN169" s="9" t="n">
        <x:v>19</x:v>
      </x:c>
    </x:row>
    <x:row r="170">
      <x:c r="A170" s="9" t="str">
        <x:v>Success</x:v>
      </x:c>
      <x:c r="B170" s="9" t="str">
        <x:v>Counting</x:v>
      </x:c>
      <x:c r="C170" s="10" t="n">
        <x:v>18</x:v>
      </x:c>
      <x:c r="D170" s="9" t="str">
        <x:v>Leave exactly three objects in the bowl.</x:v>
      </x:c>
      <x:c r="E170" s="9" t="str">
        <x:v>Bowl objects: [airplane toy without propellers, blue pen, yellow block, green pencil sharpener] | Table objects: [none]</x:v>
      </x:c>
      <x:c r="F170" s="9" t="str">
        <x:v>REMOVE any one bowl object; finish with 3 objects in the bowl</x:v>
      </x:c>
      <x:c r="G170" s="9"/>
      <x:c r="H170" s="9" t="str">
        <x:v>In-distribution concept baseline</x:v>
      </x:c>
      <x:c r="I170" s="9" t="str">
        <x:v>ID-F05</x:v>
      </x:c>
      <x:c r="J170" s="9" t="str">
        <x:v>In-distribution: three via trained 4→3 removal</x:v>
      </x:c>
      <x:c r="K170" s="9"/>
      <x:c r="L170" s="9" t="str">
        <x:v>994</x:v>
      </x:c>
      <x:c r="M170" s="9" t="str">
        <x:v>Exact trained cell: prompt, count transition, and scene-object membership match; physical layout is not copied exactly.</x:v>
      </x:c>
      <x:c r="N170" s="9" t="n">
        <x:v>1</x:v>
      </x:c>
      <x:c r="O170" s="9" t="str">
        <x:v>Recreate the listed bowl/table membership from training episode 994.</x:v>
      </x:c>
      <x:c r="P170" s="9" t="str">
        <x:v>Exact trained count transition and scene-object membership. Any object that reaches the requested final count is acceptable.</x:v>
      </x:c>
      <x:c r="Q170" s="9"/>
      <x:c r="R170" s="10"/>
      <x:c r="S170" s="10"/>
      <x:c r="T170" s="9"/>
      <x:c r="U170" s="9"/>
      <x:c r="V170" s="9"/>
      <x:c r="W170" s="9" t="str">
        <x:v>ID-F05</x:v>
      </x:c>
      <x:c r="X170" s="10" t="n">
        <x:v>4</x:v>
      </x:c>
      <x:c r="Y170" s="10" t="n">
        <x:v>3</x:v>
      </x:c>
      <x:c r="Z170" s="9" t="str">
        <x:v>REMOVE</x:v>
      </x:c>
      <x:c r="AA170" s="9"/>
      <x:c r="AB170" s="9"/>
      <x:c r="AC170" s="9"/>
      <x:c r="AD170" s="9"/>
      <x:c r="AE170" s="9"/>
      <x:c r="AF170" s="9"/>
      <x:c r="AG170" s="9"/>
      <x:c r="AH170" s="9"/>
      <x:c r="AI170" s="11"/>
      <x:c r="AJ170" s="9"/>
      <x:c r="AK170" s="9" t="str">
        <x:v>Eval_Counting.xlsm</x:v>
      </x:c>
      <x:c r="AL170" s="9" t="str">
        <x:v>MolmoAct2 Results</x:v>
      </x:c>
      <x:c r="AM170" s="9" t="n">
        <x:v>20</x:v>
      </x:c>
      <x:c r="AN170" s="9" t="n">
        <x:v>20</x:v>
      </x:c>
    </x:row>
    <x:row r="171">
      <x:c r="A171" s="9" t="str">
        <x:v>Success</x:v>
      </x:c>
      <x:c r="B171" s="9" t="str">
        <x:v>Counting</x:v>
      </x:c>
      <x:c r="C171" s="10" t="n">
        <x:v>19</x:v>
      </x:c>
      <x:c r="D171" s="9" t="str">
        <x:v>Make the bowl contain exactly zero objects.</x:v>
      </x:c>
      <x:c r="E171" s="9" t="str">
        <x:v>Bowl objects: [yellow block] | Table objects: [none]</x:v>
      </x:c>
      <x:c r="F171" s="9" t="str">
        <x:v>REMOVE the only bowl object; finish with 0 objects in the bowl</x:v>
      </x:c>
      <x:c r="G171" s="9"/>
      <x:c r="H171" s="9" t="str">
        <x:v>In-distribution concept baseline</x:v>
      </x:c>
      <x:c r="I171" s="9" t="str">
        <x:v>ID-F05</x:v>
      </x:c>
      <x:c r="J171" s="9" t="str">
        <x:v>In-distribution: zero via trained 1→0 removal</x:v>
      </x:c>
      <x:c r="K171" s="9"/>
      <x:c r="L171" s="9" t="str">
        <x:v>880</x:v>
      </x:c>
      <x:c r="M171" s="9" t="str">
        <x:v>Exact trained cell: prompt, count transition, and scene-object membership match; physical layout is not copied exactly.</x:v>
      </x:c>
      <x:c r="N171" s="9" t="n">
        <x:v>1</x:v>
      </x:c>
      <x:c r="O171" s="9" t="str">
        <x:v>Recreate the listed bowl/table membership from training episode 880.</x:v>
      </x:c>
      <x:c r="P171" s="9" t="str">
        <x:v>Exact trained count transition and scene-object membership. Any object that reaches the requested final count is acceptable.</x:v>
      </x:c>
      <x:c r="Q171" s="9"/>
      <x:c r="R171" s="10"/>
      <x:c r="S171" s="10"/>
      <x:c r="T171" s="9"/>
      <x:c r="U171" s="9"/>
      <x:c r="V171" s="9"/>
      <x:c r="W171" s="9" t="str">
        <x:v>ID-F05</x:v>
      </x:c>
      <x:c r="X171" s="10" t="n">
        <x:v>1</x:v>
      </x:c>
      <x:c r="Y171" s="10" t="n">
        <x:v>0</x:v>
      </x:c>
      <x:c r="Z171" s="9" t="str">
        <x:v>REMOVE</x:v>
      </x:c>
      <x:c r="AA171" s="9"/>
      <x:c r="AB171" s="9"/>
      <x:c r="AC171" s="9"/>
      <x:c r="AD171" s="9"/>
      <x:c r="AE171" s="9"/>
      <x:c r="AF171" s="9"/>
      <x:c r="AG171" s="9"/>
      <x:c r="AH171" s="9"/>
      <x:c r="AI171" s="11"/>
      <x:c r="AJ171" s="9"/>
      <x:c r="AK171" s="9" t="str">
        <x:v>Eval_Counting.xlsm</x:v>
      </x:c>
      <x:c r="AL171" s="9" t="str">
        <x:v>MolmoAct2 Results</x:v>
      </x:c>
      <x:c r="AM171" s="9" t="n">
        <x:v>21</x:v>
      </x:c>
      <x:c r="AN171" s="9" t="n">
        <x:v>21</x:v>
      </x:c>
    </x:row>
    <x:row r="172">
      <x:c r="A172" s="9" t="str">
        <x:v>Failure</x:v>
      </x:c>
      <x:c r="B172" s="9" t="str">
        <x:v>Counting</x:v>
      </x:c>
      <x:c r="C172" s="10" t="n">
        <x:v>20</x:v>
      </x:c>
      <x:c r="D172" s="9" t="str">
        <x:v>Leave exactly one object in the bowl.</x:v>
      </x:c>
      <x:c r="E172" s="9" t="str">
        <x:v>Bowl objects: [blue pen, airplane toy without propellers] | Table objects: [yellow block, green pencil sharpener]</x:v>
      </x:c>
      <x:c r="F172" s="9" t="str">
        <x:v>REMOVE any one bowl object; finish with 1 object in the bowl</x:v>
      </x:c>
      <x:c r="G172" s="9" t="str">
        <x:v>didn't move</x:v>
      </x:c>
      <x:c r="H172" s="9" t="str">
        <x:v>Concept/compositional transfer</x:v>
      </x:c>
      <x:c r="I172" s="9" t="str">
        <x:v>CT-CF09</x:v>
      </x:c>
      <x:c r="J172" s="9" t="str">
        <x:v>Primary: one via held-out 2→1 removal</x:v>
      </x:c>
      <x:c r="K172" s="9"/>
      <x:c r="L172" s="9" t="str">
        <x:v>831</x:v>
      </x:c>
      <x:c r="M172" s="9" t="str">
        <x:v>Representative direct-instruction trajectory for blue pen; the evaluated count × transition composition is intentionally absent.</x:v>
      </x:c>
      <x:c r="N172" s="9" t="n">
        <x:v>3</x:v>
      </x:c>
      <x:c r="O172" s="9" t="str">
        <x:v>Build the listed count-2 scene.</x:v>
      </x:c>
      <x:c r="P172" s="9" t="str">
        <x:v>The goal word one is trained, and this 2→1 trajectory is trained under a direct instruction, but the combination is withheld.</x:v>
      </x:c>
      <x:c r="Q172" s="9"/>
      <x:c r="R172" s="10"/>
      <x:c r="S172" s="10"/>
      <x:c r="T172" s="9"/>
      <x:c r="U172" s="9"/>
      <x:c r="V172" s="9"/>
      <x:c r="W172" s="9" t="str">
        <x:v>CT-CF09-REMOVE</x:v>
      </x:c>
      <x:c r="X172" s="10" t="n">
        <x:v>2</x:v>
      </x:c>
      <x:c r="Y172" s="10" t="n">
        <x:v>1</x:v>
      </x:c>
      <x:c r="Z172" s="9" t="str">
        <x:v>REMOVE</x:v>
      </x:c>
      <x:c r="AA172" s="9"/>
      <x:c r="AB172" s="9"/>
      <x:c r="AC172" s="9"/>
      <x:c r="AD172" s="9"/>
      <x:c r="AE172" s="9"/>
      <x:c r="AF172" s="9"/>
      <x:c r="AG172" s="9"/>
      <x:c r="AH172" s="9"/>
      <x:c r="AI172" s="11"/>
      <x:c r="AJ172" s="9"/>
      <x:c r="AK172" s="9" t="str">
        <x:v>Eval_Counting.xlsm</x:v>
      </x:c>
      <x:c r="AL172" s="9" t="str">
        <x:v>MolmoAct2 Results</x:v>
      </x:c>
      <x:c r="AM172" s="9" t="n">
        <x:v>22</x:v>
      </x:c>
      <x:c r="AN172" s="9" t="n">
        <x:v>22</x:v>
      </x:c>
    </x:row>
    <x:row r="173">
      <x:c r="A173" s="9" t="str">
        <x:v>Success</x:v>
      </x:c>
      <x:c r="B173" s="9" t="str">
        <x:v>Counting</x:v>
      </x:c>
      <x:c r="C173" s="10" t="n">
        <x:v>21</x:v>
      </x:c>
      <x:c r="D173" s="9" t="str">
        <x:v>Move the airplane toy without propellers from the bowl to the table.</x:v>
      </x:c>
      <x:c r="E173" s="9" t="str">
        <x:v>Bowl objects: [blue pen, airplane toy without propellers] | Table objects: [yellow block, green pencil sharpener]</x:v>
      </x:c>
      <x:c r="F173" s="9" t="str">
        <x:v>REMOVE airplane toy without propellers</x:v>
      </x:c>
      <x:c r="G173" s="9" t="str">
        <x:v>it did remove the toy, but it did knock out the blue pen too.</x:v>
      </x:c>
      <x:c r="H173" s="9" t="str">
        <x:v>Matched manipulation control</x:v>
      </x:c>
      <x:c r="I173" s="9" t="str">
        <x:v>CT-CF09</x:v>
      </x:c>
      <x:c r="J173" s="9" t="str">
        <x:v>Matched direct REMOVE control</x:v>
      </x:c>
      <x:c r="K173" s="9" t="n">
        <x:v>20</x:v>
      </x:c>
      <x:c r="L173" s="9" t="str">
        <x:v>985</x:v>
      </x:c>
      <x:c r="M173" s="9" t="str">
        <x:v>Exact direct-prompt trajectory for the named object and action direction; evaluation layout is reset manually.</x:v>
      </x:c>
      <x:c r="N173" s="9" t="n">
        <x:v>3</x:v>
      </x:c>
      <x:c r="O173" s="9" t="str">
        <x:v>Reset the exact count-2 scene; change only the prompt.</x:v>
      </x:c>
      <x:c r="P173" s="9" t="str">
        <x:v>The direct prompt is present in Counting training for this same-task object and action direction.</x:v>
      </x:c>
      <x:c r="Q173" s="9"/>
      <x:c r="R173" s="10"/>
      <x:c r="S173" s="10"/>
      <x:c r="T173" s="9"/>
      <x:c r="U173" s="9"/>
      <x:c r="V173" s="9"/>
      <x:c r="W173" s="9" t="str">
        <x:v>CT-CF09-REMOVE</x:v>
      </x:c>
      <x:c r="X173" s="10" t="n">
        <x:v>2</x:v>
      </x:c>
      <x:c r="Y173" s="10" t="n">
        <x:v>1</x:v>
      </x:c>
      <x:c r="Z173" s="9" t="str">
        <x:v>REMOVE</x:v>
      </x:c>
      <x:c r="AA173" s="9"/>
      <x:c r="AB173" s="9"/>
      <x:c r="AC173" s="9"/>
      <x:c r="AD173" s="9"/>
      <x:c r="AE173" s="9"/>
      <x:c r="AF173" s="9"/>
      <x:c r="AG173" s="9"/>
      <x:c r="AH173" s="9"/>
      <x:c r="AI173" s="11"/>
      <x:c r="AJ173" s="9"/>
      <x:c r="AK173" s="9" t="str">
        <x:v>Eval_Counting.xlsm</x:v>
      </x:c>
      <x:c r="AL173" s="9" t="str">
        <x:v>MolmoAct2 Results</x:v>
      </x:c>
      <x:c r="AM173" s="9" t="n">
        <x:v>23</x:v>
      </x:c>
      <x:c r="AN173" s="9" t="n">
        <x:v>23</x:v>
      </x:c>
    </x:row>
    <x:row r="174">
      <x:c r="A174" s="9" t="str">
        <x:v>Success</x:v>
      </x:c>
      <x:c r="B174" s="9" t="str">
        <x:v>Counting</x:v>
      </x:c>
      <x:c r="C174" s="10" t="n">
        <x:v>22</x:v>
      </x:c>
      <x:c r="D174" s="9" t="str">
        <x:v>Move the green pencil sharpener into the bowl.</x:v>
      </x:c>
      <x:c r="E174" s="9" t="str">
        <x:v>Bowl objects: [blue pen, airplane toy without propellers] | Table objects: [yellow block, green pencil sharpener]</x:v>
      </x:c>
      <x:c r="F174" s="9" t="str">
        <x:v>ADD green pencil sharpener</x:v>
      </x:c>
      <x:c r="G174" s="9"/>
      <x:c r="H174" s="9" t="str">
        <x:v>Matched manipulation control</x:v>
      </x:c>
      <x:c r="I174" s="9" t="str">
        <x:v>CT-CF09</x:v>
      </x:c>
      <x:c r="J174" s="9" t="str">
        <x:v>Matched direct ADD control</x:v>
      </x:c>
      <x:c r="K174" s="9"/>
      <x:c r="L174" s="9" t="str">
        <x:v>917</x:v>
      </x:c>
      <x:c r="M174" s="9" t="str">
        <x:v>Exact direct-prompt trajectory for the named object and action direction; evaluation layout is reset manually.</x:v>
      </x:c>
      <x:c r="N174" s="9" t="n">
        <x:v>3</x:v>
      </x:c>
      <x:c r="O174" s="9" t="str">
        <x:v>Reset the exact count-2 scene; change only the prompt.</x:v>
      </x:c>
      <x:c r="P174" s="9" t="str">
        <x:v>The direct prompt is present in Counting training for this same-task object and action direction.</x:v>
      </x:c>
      <x:c r="Q174" s="9"/>
      <x:c r="R174" s="10"/>
      <x:c r="S174" s="10"/>
      <x:c r="T174" s="9"/>
      <x:c r="U174" s="9"/>
      <x:c r="V174" s="9"/>
      <x:c r="W174" s="9" t="str">
        <x:v>CT-CF09-ADD</x:v>
      </x:c>
      <x:c r="X174" s="10" t="n">
        <x:v>2</x:v>
      </x:c>
      <x:c r="Y174" s="10" t="n">
        <x:v>3</x:v>
      </x:c>
      <x:c r="Z174" s="9" t="str">
        <x:v>ADD</x:v>
      </x:c>
      <x:c r="AA174" s="9"/>
      <x:c r="AB174" s="9"/>
      <x:c r="AC174" s="9"/>
      <x:c r="AD174" s="9"/>
      <x:c r="AE174" s="9"/>
      <x:c r="AF174" s="9"/>
      <x:c r="AG174" s="9"/>
      <x:c r="AH174" s="9"/>
      <x:c r="AI174" s="11"/>
      <x:c r="AJ174" s="9"/>
      <x:c r="AK174" s="9" t="str">
        <x:v>Eval_Counting.xlsm</x:v>
      </x:c>
      <x:c r="AL174" s="9" t="str">
        <x:v>MolmoAct2 Results</x:v>
      </x:c>
      <x:c r="AM174" s="9" t="n">
        <x:v>24</x:v>
      </x:c>
      <x:c r="AN174" s="9" t="n">
        <x:v>24</x:v>
      </x:c>
    </x:row>
    <x:row r="175">
      <x:c r="A175" s="9" t="str">
        <x:v>Failure</x:v>
      </x:c>
      <x:c r="B175" s="9" t="str">
        <x:v>Counting</x:v>
      </x:c>
      <x:c r="C175" s="10" t="n">
        <x:v>23</x:v>
      </x:c>
      <x:c r="D175" s="9" t="str">
        <x:v>Leave exactly three objects in the bowl.</x:v>
      </x:c>
      <x:c r="E175" s="9" t="str">
        <x:v>Bowl objects: [blue pen, airplane toy without propellers] | Table objects: [yellow block, green pencil sharpener]</x:v>
      </x:c>
      <x:c r="F175" s="9" t="str">
        <x:v>ADD any one table object; finish with 3 objects in the bowl</x:v>
      </x:c>
      <x:c r="G175" s="9" t="str">
        <x:v>picked up the green pencil sharpener, started taking it to the bowl, then put it back down on the table in a different location.</x:v>
      </x:c>
      <x:c r="H175" s="9" t="str">
        <x:v>Concept/compositional transfer</x:v>
      </x:c>
      <x:c r="I175" s="9" t="str">
        <x:v>CT-CF09</x:v>
      </x:c>
      <x:c r="J175" s="9" t="str">
        <x:v>Primary: three via held-out 2→3 addition</x:v>
      </x:c>
      <x:c r="K175" s="9" t="n">
        <x:v>22</x:v>
      </x:c>
      <x:c r="L175" s="9" t="str">
        <x:v>916</x:v>
      </x:c>
      <x:c r="M175" s="9" t="str">
        <x:v>Representative direct-instruction trajectory for green pencil sharpener; the evaluated count × transition composition is intentionally absent.</x:v>
      </x:c>
      <x:c r="N175" s="9" t="n">
        <x:v>3</x:v>
      </x:c>
      <x:c r="O175" s="9" t="str">
        <x:v>Reset the exact count-2 scene; change only the prompt.</x:v>
      </x:c>
      <x:c r="P175" s="9" t="str">
        <x:v>The goal word three is trained, and this 2→3 trajectory is trained under a direct instruction, but the combination is withheld.</x:v>
      </x:c>
      <x:c r="Q175" s="9"/>
      <x:c r="R175" s="10"/>
      <x:c r="S175" s="10"/>
      <x:c r="T175" s="9"/>
      <x:c r="U175" s="9"/>
      <x:c r="V175" s="9"/>
      <x:c r="W175" s="9" t="str">
        <x:v>CT-CF09-ADD</x:v>
      </x:c>
      <x:c r="X175" s="10" t="n">
        <x:v>2</x:v>
      </x:c>
      <x:c r="Y175" s="10" t="n">
        <x:v>3</x:v>
      </x:c>
      <x:c r="Z175" s="9" t="str">
        <x:v>ADD</x:v>
      </x:c>
      <x:c r="AA175" s="9"/>
      <x:c r="AB175" s="9"/>
      <x:c r="AC175" s="9"/>
      <x:c r="AD175" s="9"/>
      <x:c r="AE175" s="9"/>
      <x:c r="AF175" s="9"/>
      <x:c r="AG175" s="9"/>
      <x:c r="AH175" s="9"/>
      <x:c r="AI175" s="11"/>
      <x:c r="AJ175" s="9"/>
      <x:c r="AK175" s="9" t="str">
        <x:v>Eval_Counting.xlsm</x:v>
      </x:c>
      <x:c r="AL175" s="9" t="str">
        <x:v>MolmoAct2 Results</x:v>
      </x:c>
      <x:c r="AM175" s="9" t="n">
        <x:v>25</x:v>
      </x:c>
      <x:c r="AN175" s="9" t="n">
        <x:v>25</x:v>
      </x:c>
    </x:row>
    <x:row r="176">
      <x:c r="A176" s="9" t="str">
        <x:v>Failure</x:v>
      </x:c>
      <x:c r="B176" s="9" t="str">
        <x:v>Counting</x:v>
      </x:c>
      <x:c r="C176" s="10" t="n">
        <x:v>24</x:v>
      </x:c>
      <x:c r="D176" s="9" t="str">
        <x:v>Leave exactly three objects in the bowl.</x:v>
      </x:c>
      <x:c r="E176" s="9" t="str">
        <x:v>Bowl objects: [green pencil sharpener, airplane toy without propellers] | Table objects: [blue pen, yellow block]</x:v>
      </x:c>
      <x:c r="F176" s="9" t="str">
        <x:v>ADD any one table object; finish with 3 objects in the bowl</x:v>
      </x:c>
      <x:c r="G176" s="9" t="str">
        <x:v>didn't move</x:v>
      </x:c>
      <x:c r="H176" s="9" t="str">
        <x:v>Concept/compositional transfer</x:v>
      </x:c>
      <x:c r="I176" s="9" t="str">
        <x:v>CT-CF24</x:v>
      </x:c>
      <x:c r="J176" s="9" t="str">
        <x:v>Primary: three via held-out 2→3 addition</x:v>
      </x:c>
      <x:c r="K176" s="9"/>
      <x:c r="L176" s="9" t="str">
        <x:v>816</x:v>
      </x:c>
      <x:c r="M176" s="9" t="str">
        <x:v>Representative direct-instruction trajectory for blue pen; the evaluated count × transition composition is intentionally absent.</x:v>
      </x:c>
      <x:c r="N176" s="9" t="n">
        <x:v>4</x:v>
      </x:c>
      <x:c r="O176" s="9" t="str">
        <x:v>Reset the exact count-2 scene; change only the prompt.</x:v>
      </x:c>
      <x:c r="P176" s="9" t="str">
        <x:v>The goal word three is trained, and this 2→3 trajectory is trained under a direct instruction, but the combination is withheld.</x:v>
      </x:c>
      <x:c r="Q176" s="9"/>
      <x:c r="R176" s="10"/>
      <x:c r="S176" s="10"/>
      <x:c r="T176" s="9"/>
      <x:c r="U176" s="9"/>
      <x:c r="V176" s="9"/>
      <x:c r="W176" s="9" t="str">
        <x:v>CT-CF24-ADD</x:v>
      </x:c>
      <x:c r="X176" s="10" t="n">
        <x:v>2</x:v>
      </x:c>
      <x:c r="Y176" s="10" t="n">
        <x:v>3</x:v>
      </x:c>
      <x:c r="Z176" s="9" t="str">
        <x:v>ADD</x:v>
      </x:c>
      <x:c r="AA176" s="9"/>
      <x:c r="AB176" s="9"/>
      <x:c r="AC176" s="9"/>
      <x:c r="AD176" s="9"/>
      <x:c r="AE176" s="9"/>
      <x:c r="AF176" s="9"/>
      <x:c r="AG176" s="9"/>
      <x:c r="AH176" s="9"/>
      <x:c r="AI176" s="11"/>
      <x:c r="AJ176" s="9"/>
      <x:c r="AK176" s="9" t="str">
        <x:v>Eval_Counting.xlsm</x:v>
      </x:c>
      <x:c r="AL176" s="9" t="str">
        <x:v>MolmoAct2 Results</x:v>
      </x:c>
      <x:c r="AM176" s="9" t="n">
        <x:v>26</x:v>
      </x:c>
      <x:c r="AN176" s="9" t="n">
        <x:v>26</x:v>
      </x:c>
    </x:row>
    <x:row r="177">
      <x:c r="A177" s="9" t="str">
        <x:v>Failure</x:v>
      </x:c>
      <x:c r="B177" s="9" t="str">
        <x:v>Counting</x:v>
      </x:c>
      <x:c r="C177" s="10" t="n">
        <x:v>25</x:v>
      </x:c>
      <x:c r="D177" s="9" t="str">
        <x:v>Leave exactly one object in the bowl.</x:v>
      </x:c>
      <x:c r="E177" s="9" t="str">
        <x:v>Bowl objects: [green pencil sharpener, airplane toy without propellers] | Table objects: [blue pen, yellow block]</x:v>
      </x:c>
      <x:c r="F177" s="9" t="str">
        <x:v>REMOVE any one bowl object; finish with 1 object in the bowl</x:v>
      </x:c>
      <x:c r="G177" s="9" t="str">
        <x:v>didn't move</x:v>
      </x:c>
      <x:c r="H177" s="9" t="str">
        <x:v>Concept/compositional transfer</x:v>
      </x:c>
      <x:c r="I177" s="9" t="str">
        <x:v>CT-CF24</x:v>
      </x:c>
      <x:c r="J177" s="9" t="str">
        <x:v>Primary: one via held-out 2→1 removal</x:v>
      </x:c>
      <x:c r="K177" s="9" t="n">
        <x:v>24</x:v>
      </x:c>
      <x:c r="L177" s="9" t="str">
        <x:v>981</x:v>
      </x:c>
      <x:c r="M177" s="9" t="str">
        <x:v>Representative direct-instruction trajectory for airplane toy without propellers; the evaluated count × transition composition is intentionally absent.</x:v>
      </x:c>
      <x:c r="N177" s="9" t="n">
        <x:v>4</x:v>
      </x:c>
      <x:c r="O177" s="9" t="str">
        <x:v>Build the listed count-2 scene.</x:v>
      </x:c>
      <x:c r="P177" s="9" t="str">
        <x:v>The goal word one is trained, and this 2→1 trajectory is trained under a direct instruction, but the combination is withheld.</x:v>
      </x:c>
      <x:c r="Q177" s="9"/>
      <x:c r="R177" s="10"/>
      <x:c r="S177" s="10"/>
      <x:c r="T177" s="9"/>
      <x:c r="U177" s="9"/>
      <x:c r="V177" s="9"/>
      <x:c r="W177" s="9" t="str">
        <x:v>CT-CF24-REMOVE</x:v>
      </x:c>
      <x:c r="X177" s="10" t="n">
        <x:v>2</x:v>
      </x:c>
      <x:c r="Y177" s="10" t="n">
        <x:v>1</x:v>
      </x:c>
      <x:c r="Z177" s="9" t="str">
        <x:v>REMOVE</x:v>
      </x:c>
      <x:c r="AA177" s="9"/>
      <x:c r="AB177" s="9"/>
      <x:c r="AC177" s="9"/>
      <x:c r="AD177" s="9"/>
      <x:c r="AE177" s="9"/>
      <x:c r="AF177" s="9"/>
      <x:c r="AG177" s="9"/>
      <x:c r="AH177" s="9"/>
      <x:c r="AI177" s="11"/>
      <x:c r="AJ177" s="9"/>
      <x:c r="AK177" s="9" t="str">
        <x:v>Eval_Counting.xlsm</x:v>
      </x:c>
      <x:c r="AL177" s="9" t="str">
        <x:v>MolmoAct2 Results</x:v>
      </x:c>
      <x:c r="AM177" s="9" t="n">
        <x:v>27</x:v>
      </x:c>
      <x:c r="AN177" s="9" t="n">
        <x:v>27</x:v>
      </x:c>
    </x:row>
    <x:row r="178">
      <x:c r="A178" s="9" t="str">
        <x:v>Failure</x:v>
      </x:c>
      <x:c r="B178" s="9" t="str">
        <x:v>Counting</x:v>
      </x:c>
      <x:c r="C178" s="10" t="n">
        <x:v>26</x:v>
      </x:c>
      <x:c r="D178" s="9" t="str">
        <x:v>Leave exactly one object in the bowl.</x:v>
      </x:c>
      <x:c r="E178" s="9" t="str">
        <x:v>Bowl objects: [blue pen, yellow block] | Table objects: [green pencil sharpener]</x:v>
      </x:c>
      <x:c r="F178" s="9" t="str">
        <x:v>REMOVE any one bowl object; finish with 1 object in the bowl</x:v>
      </x:c>
      <x:c r="G178" s="9" t="str">
        <x:v>didn't move</x:v>
      </x:c>
      <x:c r="H178" s="9" t="str">
        <x:v>Concept/compositional transfer</x:v>
      </x:c>
      <x:c r="I178" s="9" t="str">
        <x:v>CT-CF01</x:v>
      </x:c>
      <x:c r="J178" s="9" t="str">
        <x:v>Primary: one via held-out 2→1 removal</x:v>
      </x:c>
      <x:c r="K178" s="9"/>
      <x:c r="L178" s="9" t="str">
        <x:v>831</x:v>
      </x:c>
      <x:c r="M178" s="9" t="str">
        <x:v>Representative direct-instruction trajectory for blue pen; the evaluated count × transition composition is intentionally absent.</x:v>
      </x:c>
      <x:c r="N178" s="9" t="n">
        <x:v>2</x:v>
      </x:c>
      <x:c r="O178" s="9" t="str">
        <x:v>Build the listed count-2 scene.</x:v>
      </x:c>
      <x:c r="P178" s="9" t="str">
        <x:v>The goal word one is trained, and this 2→1 trajectory is trained under a direct instruction, but the combination is withheld.</x:v>
      </x:c>
      <x:c r="Q178" s="9"/>
      <x:c r="R178" s="10"/>
      <x:c r="S178" s="10"/>
      <x:c r="T178" s="9"/>
      <x:c r="U178" s="9"/>
      <x:c r="V178" s="9"/>
      <x:c r="W178" s="9" t="str">
        <x:v>CT-CF01-REMOVE</x:v>
      </x:c>
      <x:c r="X178" s="10" t="n">
        <x:v>2</x:v>
      </x:c>
      <x:c r="Y178" s="10" t="n">
        <x:v>1</x:v>
      </x:c>
      <x:c r="Z178" s="9" t="str">
        <x:v>REMOVE</x:v>
      </x:c>
      <x:c r="AA178" s="9"/>
      <x:c r="AB178" s="9"/>
      <x:c r="AC178" s="9"/>
      <x:c r="AD178" s="9"/>
      <x:c r="AE178" s="9"/>
      <x:c r="AF178" s="9"/>
      <x:c r="AG178" s="9"/>
      <x:c r="AH178" s="9"/>
      <x:c r="AI178" s="11"/>
      <x:c r="AJ178" s="9"/>
      <x:c r="AK178" s="9" t="str">
        <x:v>Eval_Counting.xlsm</x:v>
      </x:c>
      <x:c r="AL178" s="9" t="str">
        <x:v>MolmoAct2 Results</x:v>
      </x:c>
      <x:c r="AM178" s="9" t="n">
        <x:v>28</x:v>
      </x:c>
      <x:c r="AN178" s="9" t="n">
        <x:v>28</x:v>
      </x:c>
    </x:row>
    <x:row r="179">
      <x:c r="A179" s="9" t="str">
        <x:v>Success</x:v>
      </x:c>
      <x:c r="B179" s="9" t="str">
        <x:v>Counting</x:v>
      </x:c>
      <x:c r="C179" s="10" t="n">
        <x:v>27</x:v>
      </x:c>
      <x:c r="D179" s="9" t="str">
        <x:v>Move the blue pen from the bowl to the table.</x:v>
      </x:c>
      <x:c r="E179" s="9" t="str">
        <x:v>Bowl objects: [blue pen, yellow block] | Table objects: [green pencil sharpener]</x:v>
      </x:c>
      <x:c r="F179" s="9" t="str">
        <x:v>REMOVE blue pen</x:v>
      </x:c>
      <x:c r="G179" s="9" t="str">
        <x:v>idk. It first removed the yellow block, but then it removed the pen. So technically it did get it. </x:v>
      </x:c>
      <x:c r="H179" s="9" t="str">
        <x:v>Matched manipulation control</x:v>
      </x:c>
      <x:c r="I179" s="9" t="str">
        <x:v>CT-CF01</x:v>
      </x:c>
      <x:c r="J179" s="9" t="str">
        <x:v>Matched direct REMOVE control</x:v>
      </x:c>
      <x:c r="K179" s="9" t="n">
        <x:v>26</x:v>
      </x:c>
      <x:c r="L179" s="9" t="str">
        <x:v>835</x:v>
      </x:c>
      <x:c r="M179" s="9" t="str">
        <x:v>Exact direct-prompt trajectory for the named object and action direction; evaluation layout is reset manually.</x:v>
      </x:c>
      <x:c r="N179" s="9" t="n">
        <x:v>2</x:v>
      </x:c>
      <x:c r="O179" s="9" t="str">
        <x:v>Reset the exact count-2 scene; change only the prompt.</x:v>
      </x:c>
      <x:c r="P179" s="9" t="str">
        <x:v>The direct prompt is present in Counting training for this same-task object and action direction.</x:v>
      </x:c>
      <x:c r="Q179" s="9"/>
      <x:c r="R179" s="10"/>
      <x:c r="S179" s="10"/>
      <x:c r="T179" s="9"/>
      <x:c r="U179" s="9"/>
      <x:c r="V179" s="9"/>
      <x:c r="W179" s="9" t="str">
        <x:v>CT-CF01-REMOVE</x:v>
      </x:c>
      <x:c r="X179" s="10" t="n">
        <x:v>2</x:v>
      </x:c>
      <x:c r="Y179" s="10" t="n">
        <x:v>1</x:v>
      </x:c>
      <x:c r="Z179" s="9" t="str">
        <x:v>REMOVE</x:v>
      </x:c>
      <x:c r="AA179" s="9"/>
      <x:c r="AB179" s="9"/>
      <x:c r="AC179" s="9"/>
      <x:c r="AD179" s="9"/>
      <x:c r="AE179" s="9"/>
      <x:c r="AF179" s="9"/>
      <x:c r="AG179" s="9"/>
      <x:c r="AH179" s="9"/>
      <x:c r="AI179" s="11"/>
      <x:c r="AJ179" s="9"/>
      <x:c r="AK179" s="9" t="str">
        <x:v>Eval_Counting.xlsm</x:v>
      </x:c>
      <x:c r="AL179" s="9" t="str">
        <x:v>MolmoAct2 Results</x:v>
      </x:c>
      <x:c r="AM179" s="9" t="n">
        <x:v>29</x:v>
      </x:c>
      <x:c r="AN179" s="9" t="n">
        <x:v>29</x:v>
      </x:c>
    </x:row>
    <x:row r="180">
      <x:c r="A180" s="9" t="str">
        <x:v>Failure</x:v>
      </x:c>
      <x:c r="B180" s="9" t="str">
        <x:v>Counting</x:v>
      </x:c>
      <x:c r="C180" s="10" t="n">
        <x:v>28</x:v>
      </x:c>
      <x:c r="D180" s="9" t="str">
        <x:v>Finish with one object in the bowl.</x:v>
      </x:c>
      <x:c r="E180" s="9" t="str">
        <x:v>Bowl objects: [blue pen, yellow block] | Table objects: [green pencil sharpener]</x:v>
      </x:c>
      <x:c r="F180" s="9" t="str">
        <x:v>REMOVE any one bowl object; finish with 1 object in the bowl</x:v>
      </x:c>
      <x:c r="G180" s="9" t="str">
        <x:v>went for the bowl, didn't pick anything up, then went back to home position.</x:v>
      </x:c>
      <x:c r="H180" s="9" t="str">
        <x:v>Language robustness</x:v>
      </x:c>
      <x:c r="I180" s="9" t="str">
        <x:v>CT-CF01</x:v>
      </x:c>
      <x:c r="J180" s="9" t="str">
        <x:v>Primary compositional paraphrase: one via 2→1 removal</x:v>
      </x:c>
      <x:c r="K180" s="9" t="n">
        <x:v>26</x:v>
      </x:c>
      <x:c r="L180" s="9" t="str">
        <x:v>831</x:v>
      </x:c>
      <x:c r="M180" s="9" t="str">
        <x:v>Representative direct-instruction trajectory for blue pen; the evaluated count × transition composition is intentionally absent. The evaluation wording is also paraphrased.</x:v>
      </x:c>
      <x:c r="N180" s="9" t="n">
        <x:v>2</x:v>
      </x:c>
      <x:c r="O180" s="9" t="str">
        <x:v>Build the listed count-2 scene.</x:v>
      </x:c>
      <x:c r="P180" s="9" t="str">
        <x:v>Exact-scene paraphrase of the canonical held-out composition.</x:v>
      </x:c>
      <x:c r="Q180" s="9"/>
      <x:c r="R180" s="10"/>
      <x:c r="S180" s="10"/>
      <x:c r="T180" s="9"/>
      <x:c r="U180" s="9"/>
      <x:c r="V180" s="9"/>
      <x:c r="W180" s="9" t="str">
        <x:v>CT-CF01-REMOVE</x:v>
      </x:c>
      <x:c r="X180" s="10" t="n">
        <x:v>2</x:v>
      </x:c>
      <x:c r="Y180" s="10" t="n">
        <x:v>1</x:v>
      </x:c>
      <x:c r="Z180" s="9" t="str">
        <x:v>REMOVE</x:v>
      </x:c>
      <x:c r="AA180" s="9"/>
      <x:c r="AB180" s="9"/>
      <x:c r="AC180" s="9"/>
      <x:c r="AD180" s="9"/>
      <x:c r="AE180" s="9"/>
      <x:c r="AF180" s="9"/>
      <x:c r="AG180" s="9"/>
      <x:c r="AH180" s="9"/>
      <x:c r="AI180" s="11"/>
      <x:c r="AJ180" s="9"/>
      <x:c r="AK180" s="9" t="str">
        <x:v>Eval_Counting.xlsm</x:v>
      </x:c>
      <x:c r="AL180" s="9" t="str">
        <x:v>MolmoAct2 Results</x:v>
      </x:c>
      <x:c r="AM180" s="9" t="n">
        <x:v>30</x:v>
      </x:c>
      <x:c r="AN180" s="9" t="n">
        <x:v>30</x:v>
      </x:c>
    </x:row>
    <x:row r="181">
      <x:c r="A181" s="9" t="str">
        <x:v>Failure</x:v>
      </x:c>
      <x:c r="B181" s="9" t="str">
        <x:v>Counting</x:v>
      </x:c>
      <x:c r="C181" s="10" t="n">
        <x:v>29</x:v>
      </x:c>
      <x:c r="D181" s="9" t="str">
        <x:v>Lift the blue pen out of the bowl and set it on the table.</x:v>
      </x:c>
      <x:c r="E181" s="9" t="str">
        <x:v>Bowl objects: [blue pen, yellow block] | Table objects: [green pencil sharpener]</x:v>
      </x:c>
      <x:c r="F181" s="9" t="str">
        <x:v>REMOVE blue pen</x:v>
      </x:c>
      <x:c r="G181" s="9" t="str">
        <x:v>got the yellow block out, then went back to try and get blue pen, but couldn't before timing out.</x:v>
      </x:c>
      <x:c r="H181" s="9" t="str">
        <x:v>Language robustness</x:v>
      </x:c>
      <x:c r="I181" s="9" t="str">
        <x:v>CT-CF01</x:v>
      </x:c>
      <x:c r="J181" s="9" t="str">
        <x:v>Matched-control paraphrase: REMOVE</x:v>
      </x:c>
      <x:c r="K181" s="9" t="n">
        <x:v>27</x:v>
      </x:c>
      <x:c r="L181" s="9" t="str">
        <x:v>835</x:v>
      </x:c>
      <x:c r="M181" s="9" t="str">
        <x:v>Canonical direct-control trajectory for the named object and action direction; evaluation wording is paraphrased.</x:v>
      </x:c>
      <x:c r="N181" s="9" t="n">
        <x:v>2</x:v>
      </x:c>
      <x:c r="O181" s="9" t="str">
        <x:v>Reset the exact count-2 scene; change only the prompt.</x:v>
      </x:c>
      <x:c r="P181" s="9" t="str">
        <x:v>Exact-scene paraphrase of the direct manipulation control.</x:v>
      </x:c>
      <x:c r="Q181" s="9"/>
      <x:c r="R181" s="10"/>
      <x:c r="S181" s="10"/>
      <x:c r="T181" s="9"/>
      <x:c r="U181" s="9"/>
      <x:c r="V181" s="9"/>
      <x:c r="W181" s="9" t="str">
        <x:v>CT-CF01-REMOVE</x:v>
      </x:c>
      <x:c r="X181" s="10" t="n">
        <x:v>2</x:v>
      </x:c>
      <x:c r="Y181" s="10" t="n">
        <x:v>1</x:v>
      </x:c>
      <x:c r="Z181" s="9" t="str">
        <x:v>REMOVE</x:v>
      </x:c>
      <x:c r="AA181" s="9"/>
      <x:c r="AB181" s="9"/>
      <x:c r="AC181" s="9"/>
      <x:c r="AD181" s="9"/>
      <x:c r="AE181" s="9"/>
      <x:c r="AF181" s="9"/>
      <x:c r="AG181" s="9"/>
      <x:c r="AH181" s="9"/>
      <x:c r="AI181" s="11"/>
      <x:c r="AJ181" s="9"/>
      <x:c r="AK181" s="9" t="str">
        <x:v>Eval_Counting.xlsm</x:v>
      </x:c>
      <x:c r="AL181" s="9" t="str">
        <x:v>MolmoAct2 Results</x:v>
      </x:c>
      <x:c r="AM181" s="9" t="n">
        <x:v>31</x:v>
      </x:c>
      <x:c r="AN181" s="9" t="n">
        <x:v>31</x:v>
      </x:c>
    </x:row>
    <x:row r="182">
      <x:c r="A182" s="9" t="str">
        <x:v>Success</x:v>
      </x:c>
      <x:c r="B182" s="9" t="str">
        <x:v>Counting</x:v>
      </x:c>
      <x:c r="C182" s="10" t="n">
        <x:v>30</x:v>
      </x:c>
      <x:c r="D182" s="9" t="str">
        <x:v>Move the green pencil sharpener into the bowl.</x:v>
      </x:c>
      <x:c r="E182" s="9" t="str">
        <x:v>Bowl objects: [blue pen, yellow block] | Table objects: [green pencil sharpener]</x:v>
      </x:c>
      <x:c r="F182" s="9" t="str">
        <x:v>ADD green pencil sharpener</x:v>
      </x:c>
      <x:c r="G182" s="9"/>
      <x:c r="H182" s="9" t="str">
        <x:v>Matched manipulation control</x:v>
      </x:c>
      <x:c r="I182" s="9" t="str">
        <x:v>CT-CF01</x:v>
      </x:c>
      <x:c r="J182" s="9" t="str">
        <x:v>Matched direct ADD control</x:v>
      </x:c>
      <x:c r="K182" s="9"/>
      <x:c r="L182" s="9" t="str">
        <x:v>917</x:v>
      </x:c>
      <x:c r="M182" s="9" t="str">
        <x:v>Exact direct-prompt trajectory for the named object and action direction; evaluation layout is reset manually.</x:v>
      </x:c>
      <x:c r="N182" s="9" t="n">
        <x:v>2</x:v>
      </x:c>
      <x:c r="O182" s="9" t="str">
        <x:v>Reset the exact count-2 scene; change only the prompt.</x:v>
      </x:c>
      <x:c r="P182" s="9" t="str">
        <x:v>The direct prompt is present in Counting training for this same-task object and action direction.</x:v>
      </x:c>
      <x:c r="Q182" s="9"/>
      <x:c r="R182" s="10"/>
      <x:c r="S182" s="10"/>
      <x:c r="T182" s="9"/>
      <x:c r="U182" s="9"/>
      <x:c r="V182" s="9"/>
      <x:c r="W182" s="9" t="str">
        <x:v>CT-CF01-ADD</x:v>
      </x:c>
      <x:c r="X182" s="10" t="n">
        <x:v>2</x:v>
      </x:c>
      <x:c r="Y182" s="10" t="n">
        <x:v>3</x:v>
      </x:c>
      <x:c r="Z182" s="9" t="str">
        <x:v>ADD</x:v>
      </x:c>
      <x:c r="AA182" s="9"/>
      <x:c r="AB182" s="9"/>
      <x:c r="AC182" s="9"/>
      <x:c r="AD182" s="9"/>
      <x:c r="AE182" s="9"/>
      <x:c r="AF182" s="9"/>
      <x:c r="AG182" s="9"/>
      <x:c r="AH182" s="9"/>
      <x:c r="AI182" s="11"/>
      <x:c r="AJ182" s="9"/>
      <x:c r="AK182" s="9" t="str">
        <x:v>Eval_Counting.xlsm</x:v>
      </x:c>
      <x:c r="AL182" s="9" t="str">
        <x:v>MolmoAct2 Results</x:v>
      </x:c>
      <x:c r="AM182" s="9" t="n">
        <x:v>32</x:v>
      </x:c>
      <x:c r="AN182" s="9" t="n">
        <x:v>32</x:v>
      </x:c>
    </x:row>
    <x:row r="183">
      <x:c r="A183" s="9" t="str">
        <x:v>Failure</x:v>
      </x:c>
      <x:c r="B183" s="9" t="str">
        <x:v>Counting</x:v>
      </x:c>
      <x:c r="C183" s="10" t="n">
        <x:v>31</x:v>
      </x:c>
      <x:c r="D183" s="9" t="str">
        <x:v>Leave exactly three objects in the bowl.</x:v>
      </x:c>
      <x:c r="E183" s="9" t="str">
        <x:v>Bowl objects: [blue pen, yellow block] | Table objects: [green pencil sharpener]</x:v>
      </x:c>
      <x:c r="F183" s="9" t="str">
        <x:v>ADD any one table object; finish with 3 objects in the bowl</x:v>
      </x:c>
      <x:c r="G183" s="9" t="str">
        <x:v>didn't move</x:v>
      </x:c>
      <x:c r="H183" s="9" t="str">
        <x:v>Concept/compositional transfer</x:v>
      </x:c>
      <x:c r="I183" s="9" t="str">
        <x:v>CT-CF01</x:v>
      </x:c>
      <x:c r="J183" s="9" t="str">
        <x:v>Primary: three via held-out 2→3 addition</x:v>
      </x:c>
      <x:c r="K183" s="9" t="n">
        <x:v>30</x:v>
      </x:c>
      <x:c r="L183" s="9" t="str">
        <x:v>916</x:v>
      </x:c>
      <x:c r="M183" s="9" t="str">
        <x:v>Representative direct-instruction trajectory for green pencil sharpener; the evaluated count × transition composition is intentionally absent.</x:v>
      </x:c>
      <x:c r="N183" s="9" t="n">
        <x:v>2</x:v>
      </x:c>
      <x:c r="O183" s="9" t="str">
        <x:v>Reset the exact count-2 scene; change only the prompt.</x:v>
      </x:c>
      <x:c r="P183" s="9" t="str">
        <x:v>The goal word three is trained, and this 2→3 trajectory is trained under a direct instruction, but the combination is withheld.</x:v>
      </x:c>
      <x:c r="Q183" s="9"/>
      <x:c r="R183" s="10"/>
      <x:c r="S183" s="10"/>
      <x:c r="T183" s="9"/>
      <x:c r="U183" s="9"/>
      <x:c r="V183" s="9"/>
      <x:c r="W183" s="9" t="str">
        <x:v>CT-CF01-ADD</x:v>
      </x:c>
      <x:c r="X183" s="10" t="n">
        <x:v>2</x:v>
      </x:c>
      <x:c r="Y183" s="10" t="n">
        <x:v>3</x:v>
      </x:c>
      <x:c r="Z183" s="9" t="str">
        <x:v>ADD</x:v>
      </x:c>
      <x:c r="AA183" s="9"/>
      <x:c r="AB183" s="9"/>
      <x:c r="AC183" s="9"/>
      <x:c r="AD183" s="9"/>
      <x:c r="AE183" s="9"/>
      <x:c r="AF183" s="9"/>
      <x:c r="AG183" s="9"/>
      <x:c r="AH183" s="9"/>
      <x:c r="AI183" s="11"/>
      <x:c r="AJ183" s="9"/>
      <x:c r="AK183" s="9" t="str">
        <x:v>Eval_Counting.xlsm</x:v>
      </x:c>
      <x:c r="AL183" s="9" t="str">
        <x:v>MolmoAct2 Results</x:v>
      </x:c>
      <x:c r="AM183" s="9" t="n">
        <x:v>33</x:v>
      </x:c>
      <x:c r="AN183" s="9" t="n">
        <x:v>33</x:v>
      </x:c>
    </x:row>
    <x:row r="184">
      <x:c r="A184" s="9" t="str">
        <x:v>Success</x:v>
      </x:c>
      <x:c r="B184" s="9" t="str">
        <x:v>Counting</x:v>
      </x:c>
      <x:c r="C184" s="10" t="n">
        <x:v>32</x:v>
      </x:c>
      <x:c r="D184" s="9" t="str">
        <x:v>Lift the green pencil sharpener from the table and set it inside the bowl.</x:v>
      </x:c>
      <x:c r="E184" s="9" t="str">
        <x:v>Bowl objects: [blue pen, yellow block] | Table objects: [green pencil sharpener]</x:v>
      </x:c>
      <x:c r="F184" s="9" t="str">
        <x:v>ADD green pencil sharpener</x:v>
      </x:c>
      <x:c r="G184" s="9"/>
      <x:c r="H184" s="9" t="str">
        <x:v>Language robustness</x:v>
      </x:c>
      <x:c r="I184" s="9" t="str">
        <x:v>CT-CF01</x:v>
      </x:c>
      <x:c r="J184" s="9" t="str">
        <x:v>Matched-control paraphrase: ADD</x:v>
      </x:c>
      <x:c r="K184" s="9" t="n">
        <x:v>30</x:v>
      </x:c>
      <x:c r="L184" s="9" t="str">
        <x:v>917</x:v>
      </x:c>
      <x:c r="M184" s="9" t="str">
        <x:v>Canonical direct-control trajectory for the named object and action direction; evaluation wording is paraphrased.</x:v>
      </x:c>
      <x:c r="N184" s="9" t="n">
        <x:v>2</x:v>
      </x:c>
      <x:c r="O184" s="9" t="str">
        <x:v>Reset the exact count-2 scene; change only the prompt.</x:v>
      </x:c>
      <x:c r="P184" s="9" t="str">
        <x:v>Exact-scene paraphrase of the direct manipulation control.</x:v>
      </x:c>
      <x:c r="Q184" s="9"/>
      <x:c r="R184" s="10"/>
      <x:c r="S184" s="10"/>
      <x:c r="T184" s="9"/>
      <x:c r="U184" s="9"/>
      <x:c r="V184" s="9"/>
      <x:c r="W184" s="9" t="str">
        <x:v>CT-CF01-ADD</x:v>
      </x:c>
      <x:c r="X184" s="10" t="n">
        <x:v>2</x:v>
      </x:c>
      <x:c r="Y184" s="10" t="n">
        <x:v>3</x:v>
      </x:c>
      <x:c r="Z184" s="9" t="str">
        <x:v>ADD</x:v>
      </x:c>
      <x:c r="AA184" s="9"/>
      <x:c r="AB184" s="9"/>
      <x:c r="AC184" s="9"/>
      <x:c r="AD184" s="9"/>
      <x:c r="AE184" s="9"/>
      <x:c r="AF184" s="9"/>
      <x:c r="AG184" s="9"/>
      <x:c r="AH184" s="9"/>
      <x:c r="AI184" s="11"/>
      <x:c r="AJ184" s="9"/>
      <x:c r="AK184" s="9" t="str">
        <x:v>Eval_Counting.xlsm</x:v>
      </x:c>
      <x:c r="AL184" s="9" t="str">
        <x:v>MolmoAct2 Results</x:v>
      </x:c>
      <x:c r="AM184" s="9" t="n">
        <x:v>34</x:v>
      </x:c>
      <x:c r="AN184" s="9" t="n">
        <x:v>34</x:v>
      </x:c>
    </x:row>
    <x:row r="185">
      <x:c r="A185" s="9" t="str">
        <x:v>Failure</x:v>
      </x:c>
      <x:c r="B185" s="9" t="str">
        <x:v>Counting</x:v>
      </x:c>
      <x:c r="C185" s="10" t="n">
        <x:v>33</x:v>
      </x:c>
      <x:c r="D185" s="9" t="str">
        <x:v>Finish with three objects in the bowl.</x:v>
      </x:c>
      <x:c r="E185" s="9" t="str">
        <x:v>Bowl objects: [blue pen, yellow block] | Table objects: [green pencil sharpener]</x:v>
      </x:c>
      <x:c r="F185" s="9" t="str">
        <x:v>ADD any one table object; finish with 3 objects in the bowl</x:v>
      </x:c>
      <x:c r="G185" s="9" t="str">
        <x:v>didn't move</x:v>
      </x:c>
      <x:c r="H185" s="9" t="str">
        <x:v>Language robustness</x:v>
      </x:c>
      <x:c r="I185" s="9" t="str">
        <x:v>CT-CF01</x:v>
      </x:c>
      <x:c r="J185" s="9" t="str">
        <x:v>Primary compositional paraphrase: three via 2→3 addition</x:v>
      </x:c>
      <x:c r="K185" s="9" t="n">
        <x:v>31</x:v>
      </x:c>
      <x:c r="L185" s="9" t="str">
        <x:v>916</x:v>
      </x:c>
      <x:c r="M185" s="9" t="str">
        <x:v>Representative direct-instruction trajectory for green pencil sharpener; the evaluated count × transition composition is intentionally absent. The evaluation wording is also paraphrased.</x:v>
      </x:c>
      <x:c r="N185" s="9" t="n">
        <x:v>2</x:v>
      </x:c>
      <x:c r="O185" s="9" t="str">
        <x:v>Reset the exact count-2 scene; change only the prompt.</x:v>
      </x:c>
      <x:c r="P185" s="9" t="str">
        <x:v>Exact-scene paraphrase of the canonical held-out composition.</x:v>
      </x:c>
      <x:c r="Q185" s="9"/>
      <x:c r="R185" s="10"/>
      <x:c r="S185" s="10"/>
      <x:c r="T185" s="9"/>
      <x:c r="U185" s="9"/>
      <x:c r="V185" s="9"/>
      <x:c r="W185" s="9" t="str">
        <x:v>CT-CF01-ADD</x:v>
      </x:c>
      <x:c r="X185" s="10" t="n">
        <x:v>2</x:v>
      </x:c>
      <x:c r="Y185" s="10" t="n">
        <x:v>3</x:v>
      </x:c>
      <x:c r="Z185" s="9" t="str">
        <x:v>ADD</x:v>
      </x:c>
      <x:c r="AA185" s="9"/>
      <x:c r="AB185" s="9"/>
      <x:c r="AC185" s="9"/>
      <x:c r="AD185" s="9"/>
      <x:c r="AE185" s="9"/>
      <x:c r="AF185" s="9"/>
      <x:c r="AG185" s="9"/>
      <x:c r="AH185" s="9"/>
      <x:c r="AI185" s="11"/>
      <x:c r="AJ185" s="9"/>
      <x:c r="AK185" s="9" t="str">
        <x:v>Eval_Counting.xlsm</x:v>
      </x:c>
      <x:c r="AL185" s="9" t="str">
        <x:v>MolmoAct2 Results</x:v>
      </x:c>
      <x:c r="AM185" s="9" t="n">
        <x:v>35</x:v>
      </x:c>
      <x:c r="AN185" s="9" t="n">
        <x:v>35</x:v>
      </x:c>
    </x:row>
    <x:row r="186">
      <x:c r="A186" s="9" t="str">
        <x:v>Failure</x:v>
      </x:c>
      <x:c r="B186" s="9" t="str">
        <x:v>Counting</x:v>
      </x:c>
      <x:c r="C186" s="10" t="n">
        <x:v>34</x:v>
      </x:c>
      <x:c r="D186" s="9" t="str">
        <x:v>Leave exactly three objects in the bowl.</x:v>
      </x:c>
      <x:c r="E186" s="9" t="str">
        <x:v>Bowl objects: [yellow block, green pencil sharpener] | Table objects: [blue pen, airplane toy without propellers]</x:v>
      </x:c>
      <x:c r="F186" s="9" t="str">
        <x:v>ADD any one table object; finish with 3 objects in the bowl</x:v>
      </x:c>
      <x:c r="G186" s="9" t="str">
        <x:v>didn't move</x:v>
      </x:c>
      <x:c r="H186" s="9" t="str">
        <x:v>Concept/compositional transfer</x:v>
      </x:c>
      <x:c r="I186" s="9" t="str">
        <x:v>CT-CF10</x:v>
      </x:c>
      <x:c r="J186" s="9" t="str">
        <x:v>Primary: three via held-out 2→3 addition</x:v>
      </x:c>
      <x:c r="K186" s="9"/>
      <x:c r="L186" s="9" t="str">
        <x:v>816</x:v>
      </x:c>
      <x:c r="M186" s="9" t="str">
        <x:v>Representative direct-instruction trajectory for blue pen; the evaluated count × transition composition is intentionally absent.</x:v>
      </x:c>
      <x:c r="N186" s="9" t="n">
        <x:v>3</x:v>
      </x:c>
      <x:c r="O186" s="9" t="str">
        <x:v>Reset the exact count-2 scene; change only the prompt.</x:v>
      </x:c>
      <x:c r="P186" s="9" t="str">
        <x:v>The goal word three is trained, and this 2→3 trajectory is trained under a direct instruction, but the combination is withheld.</x:v>
      </x:c>
      <x:c r="Q186" s="9"/>
      <x:c r="R186" s="10"/>
      <x:c r="S186" s="10"/>
      <x:c r="T186" s="9"/>
      <x:c r="U186" s="9"/>
      <x:c r="V186" s="9"/>
      <x:c r="W186" s="9" t="str">
        <x:v>CT-CF10-ADD</x:v>
      </x:c>
      <x:c r="X186" s="10" t="n">
        <x:v>2</x:v>
      </x:c>
      <x:c r="Y186" s="10" t="n">
        <x:v>3</x:v>
      </x:c>
      <x:c r="Z186" s="9" t="str">
        <x:v>ADD</x:v>
      </x:c>
      <x:c r="AA186" s="9"/>
      <x:c r="AB186" s="9"/>
      <x:c r="AC186" s="9"/>
      <x:c r="AD186" s="9"/>
      <x:c r="AE186" s="9"/>
      <x:c r="AF186" s="9"/>
      <x:c r="AG186" s="9"/>
      <x:c r="AH186" s="9"/>
      <x:c r="AI186" s="11"/>
      <x:c r="AJ186" s="9"/>
      <x:c r="AK186" s="9" t="str">
        <x:v>Eval_Counting.xlsm</x:v>
      </x:c>
      <x:c r="AL186" s="9" t="str">
        <x:v>MolmoAct2 Results</x:v>
      </x:c>
      <x:c r="AM186" s="9" t="n">
        <x:v>36</x:v>
      </x:c>
      <x:c r="AN186" s="9" t="n">
        <x:v>36</x:v>
      </x:c>
    </x:row>
    <x:row r="187">
      <x:c r="A187" s="9" t="str">
        <x:v>Success</x:v>
      </x:c>
      <x:c r="B187" s="9" t="str">
        <x:v>Counting</x:v>
      </x:c>
      <x:c r="C187" s="10" t="n">
        <x:v>35</x:v>
      </x:c>
      <x:c r="D187" s="9" t="str">
        <x:v>Move the airplane toy without propellers into the bowl.</x:v>
      </x:c>
      <x:c r="E187" s="9" t="str">
        <x:v>Bowl objects: [yellow block, green pencil sharpener] | Table objects: [blue pen, airplane toy without propellers]</x:v>
      </x:c>
      <x:c r="F187" s="9" t="str">
        <x:v>ADD airplane toy without propellers</x:v>
      </x:c>
      <x:c r="G187" s="9"/>
      <x:c r="H187" s="9" t="str">
        <x:v>Matched manipulation control</x:v>
      </x:c>
      <x:c r="I187" s="9" t="str">
        <x:v>CT-CF10</x:v>
      </x:c>
      <x:c r="J187" s="9" t="str">
        <x:v>Matched direct ADD control</x:v>
      </x:c>
      <x:c r="K187" s="9" t="n">
        <x:v>34</x:v>
      </x:c>
      <x:c r="L187" s="9" t="str">
        <x:v>968</x:v>
      </x:c>
      <x:c r="M187" s="9" t="str">
        <x:v>Exact direct-prompt trajectory for the named object and action direction; evaluation layout is reset manually.</x:v>
      </x:c>
      <x:c r="N187" s="9" t="n">
        <x:v>3</x:v>
      </x:c>
      <x:c r="O187" s="9" t="str">
        <x:v>Reset the exact count-2 scene; change only the prompt.</x:v>
      </x:c>
      <x:c r="P187" s="9" t="str">
        <x:v>The direct prompt is present in Counting training for this same-task object and action direction.</x:v>
      </x:c>
      <x:c r="Q187" s="9"/>
      <x:c r="R187" s="10"/>
      <x:c r="S187" s="10"/>
      <x:c r="T187" s="9"/>
      <x:c r="U187" s="9"/>
      <x:c r="V187" s="9"/>
      <x:c r="W187" s="9" t="str">
        <x:v>CT-CF10-ADD</x:v>
      </x:c>
      <x:c r="X187" s="10" t="n">
        <x:v>2</x:v>
      </x:c>
      <x:c r="Y187" s="10" t="n">
        <x:v>3</x:v>
      </x:c>
      <x:c r="Z187" s="9" t="str">
        <x:v>ADD</x:v>
      </x:c>
      <x:c r="AA187" s="9"/>
      <x:c r="AB187" s="9"/>
      <x:c r="AC187" s="9"/>
      <x:c r="AD187" s="9"/>
      <x:c r="AE187" s="9"/>
      <x:c r="AF187" s="9"/>
      <x:c r="AG187" s="9"/>
      <x:c r="AH187" s="9"/>
      <x:c r="AI187" s="11"/>
      <x:c r="AJ187" s="9"/>
      <x:c r="AK187" s="9" t="str">
        <x:v>Eval_Counting.xlsm</x:v>
      </x:c>
      <x:c r="AL187" s="9" t="str">
        <x:v>MolmoAct2 Results</x:v>
      </x:c>
      <x:c r="AM187" s="9" t="n">
        <x:v>37</x:v>
      </x:c>
      <x:c r="AN187" s="9" t="n">
        <x:v>37</x:v>
      </x:c>
    </x:row>
    <x:row r="188">
      <x:c r="A188" s="9" t="str">
        <x:v>Success</x:v>
      </x:c>
      <x:c r="B188" s="9" t="str">
        <x:v>Counting</x:v>
      </x:c>
      <x:c r="C188" s="10" t="n">
        <x:v>36</x:v>
      </x:c>
      <x:c r="D188" s="9" t="str">
        <x:v>Move the green pencil sharpener from the bowl to the table.</x:v>
      </x:c>
      <x:c r="E188" s="9" t="str">
        <x:v>Bowl objects: [yellow block, green pencil sharpener] | Table objects: [blue pen, airplane toy without propellers]</x:v>
      </x:c>
      <x:c r="F188" s="9" t="str">
        <x:v>REMOVE green pencil sharpener</x:v>
      </x:c>
      <x:c r="G188" s="9"/>
      <x:c r="H188" s="9" t="str">
        <x:v>Matched manipulation control</x:v>
      </x:c>
      <x:c r="I188" s="9" t="str">
        <x:v>CT-CF10</x:v>
      </x:c>
      <x:c r="J188" s="9" t="str">
        <x:v>Matched direct REMOVE control</x:v>
      </x:c>
      <x:c r="K188" s="9"/>
      <x:c r="L188" s="9" t="str">
        <x:v>935</x:v>
      </x:c>
      <x:c r="M188" s="9" t="str">
        <x:v>Exact direct-prompt trajectory for the named object and action direction; evaluation layout is reset manually.</x:v>
      </x:c>
      <x:c r="N188" s="9" t="n">
        <x:v>3</x:v>
      </x:c>
      <x:c r="O188" s="9" t="str">
        <x:v>Reset the exact count-2 scene; change only the prompt.</x:v>
      </x:c>
      <x:c r="P188" s="9" t="str">
        <x:v>The direct prompt is present in Counting training for this same-task object and action direction.</x:v>
      </x:c>
      <x:c r="Q188" s="9"/>
      <x:c r="R188" s="10"/>
      <x:c r="S188" s="10"/>
      <x:c r="T188" s="9"/>
      <x:c r="U188" s="9"/>
      <x:c r="V188" s="9"/>
      <x:c r="W188" s="9" t="str">
        <x:v>CT-CF10-REMOVE</x:v>
      </x:c>
      <x:c r="X188" s="10" t="n">
        <x:v>2</x:v>
      </x:c>
      <x:c r="Y188" s="10" t="n">
        <x:v>1</x:v>
      </x:c>
      <x:c r="Z188" s="9" t="str">
        <x:v>REMOVE</x:v>
      </x:c>
      <x:c r="AA188" s="9"/>
      <x:c r="AB188" s="9"/>
      <x:c r="AC188" s="9"/>
      <x:c r="AD188" s="9"/>
      <x:c r="AE188" s="9"/>
      <x:c r="AF188" s="9"/>
      <x:c r="AG188" s="9"/>
      <x:c r="AH188" s="9"/>
      <x:c r="AI188" s="11"/>
      <x:c r="AJ188" s="9"/>
      <x:c r="AK188" s="9" t="str">
        <x:v>Eval_Counting.xlsm</x:v>
      </x:c>
      <x:c r="AL188" s="9" t="str">
        <x:v>MolmoAct2 Results</x:v>
      </x:c>
      <x:c r="AM188" s="9" t="n">
        <x:v>38</x:v>
      </x:c>
      <x:c r="AN188" s="9" t="n">
        <x:v>38</x:v>
      </x:c>
    </x:row>
    <x:row r="189">
      <x:c r="A189" s="9" t="str">
        <x:v>Failure</x:v>
      </x:c>
      <x:c r="B189" s="9" t="str">
        <x:v>Counting</x:v>
      </x:c>
      <x:c r="C189" s="10" t="n">
        <x:v>37</x:v>
      </x:c>
      <x:c r="D189" s="9" t="str">
        <x:v>Leave exactly one object in the bowl.</x:v>
      </x:c>
      <x:c r="E189" s="9" t="str">
        <x:v>Bowl objects: [yellow block, green pencil sharpener] | Table objects: [blue pen, airplane toy without propellers]</x:v>
      </x:c>
      <x:c r="F189" s="9" t="str">
        <x:v>REMOVE any one bowl object; finish with 1 object in the bowl</x:v>
      </x:c>
      <x:c r="G189" s="9" t="str">
        <x:v>didn't move</x:v>
      </x:c>
      <x:c r="H189" s="9" t="str">
        <x:v>Concept/compositional transfer</x:v>
      </x:c>
      <x:c r="I189" s="9" t="str">
        <x:v>CT-CF10</x:v>
      </x:c>
      <x:c r="J189" s="9" t="str">
        <x:v>Primary: one via held-out 2→1 removal</x:v>
      </x:c>
      <x:c r="K189" s="9" t="n">
        <x:v>36</x:v>
      </x:c>
      <x:c r="L189" s="9" t="str">
        <x:v>931</x:v>
      </x:c>
      <x:c r="M189" s="9" t="str">
        <x:v>Representative direct-instruction trajectory for green pencil sharpener; the evaluated count × transition composition is intentionally absent.</x:v>
      </x:c>
      <x:c r="N189" s="9" t="n">
        <x:v>3</x:v>
      </x:c>
      <x:c r="O189" s="9" t="str">
        <x:v>Build the listed count-2 scene.</x:v>
      </x:c>
      <x:c r="P189" s="9" t="str">
        <x:v>The goal word one is trained, and this 2→1 trajectory is trained under a direct instruction, but the combination is withheld.</x:v>
      </x:c>
      <x:c r="Q189" s="9"/>
      <x:c r="R189" s="10"/>
      <x:c r="S189" s="10"/>
      <x:c r="T189" s="9"/>
      <x:c r="U189" s="9"/>
      <x:c r="V189" s="9"/>
      <x:c r="W189" s="9" t="str">
        <x:v>CT-CF10-REMOVE</x:v>
      </x:c>
      <x:c r="X189" s="10" t="n">
        <x:v>2</x:v>
      </x:c>
      <x:c r="Y189" s="10" t="n">
        <x:v>1</x:v>
      </x:c>
      <x:c r="Z189" s="9" t="str">
        <x:v>REMOVE</x:v>
      </x:c>
      <x:c r="AA189" s="9"/>
      <x:c r="AB189" s="9"/>
      <x:c r="AC189" s="9"/>
      <x:c r="AD189" s="9"/>
      <x:c r="AE189" s="9"/>
      <x:c r="AF189" s="9"/>
      <x:c r="AG189" s="9"/>
      <x:c r="AH189" s="9"/>
      <x:c r="AI189" s="11"/>
      <x:c r="AJ189" s="9"/>
      <x:c r="AK189" s="9" t="str">
        <x:v>Eval_Counting.xlsm</x:v>
      </x:c>
      <x:c r="AL189" s="9" t="str">
        <x:v>MolmoAct2 Results</x:v>
      </x:c>
      <x:c r="AM189" s="9" t="n">
        <x:v>39</x:v>
      </x:c>
      <x:c r="AN189" s="9" t="n">
        <x:v>39</x:v>
      </x:c>
    </x:row>
    <x:row r="190">
      <x:c r="A190" s="9" t="str">
        <x:v>Success</x:v>
      </x:c>
      <x:c r="B190" s="9" t="str">
        <x:v>Counting</x:v>
      </x:c>
      <x:c r="C190" s="10" t="n">
        <x:v>38</x:v>
      </x:c>
      <x:c r="D190" s="9" t="str">
        <x:v>Leave exactly three objects in the bowl.</x:v>
      </x:c>
      <x:c r="E190" s="9" t="str">
        <x:v>Bowl objects: [airplane toy without propellers, green pencil sharpener, yellow block] | Table objects: [blue pen]</x:v>
      </x:c>
      <x:c r="F190" s="9" t="str">
        <x:v>NO-OP; preserve 3 objects in the bowl and do not initiate a grasp</x:v>
      </x:c>
      <x:c r="G190" s="9"/>
      <x:c r="H190" s="9" t="str">
        <x:v>Goal already satisfied / no movement</x:v>
      </x:c>
      <x:c r="I190" s="9" t="str">
        <x:v>NOOP-04</x:v>
      </x:c>
      <x:c r="J190" s="9" t="str">
        <x:v>Goal already satisfied: 3→3</x:v>
      </x:c>
      <x:c r="K190" s="9"/>
      <x:c r="L190" s="9" t="str">
        <x:v>843</x:v>
      </x:c>
      <x:c r="M190" s="9" t="str">
        <x:v>Prompt/concept grounding only. Training does not contain a goal-already-satisfied no-movement trajectory.</x:v>
      </x:c>
      <x:c r="N190" s="9" t="n">
        <x:v>6</x:v>
      </x:c>
      <x:c r="O190" s="9" t="str">
        <x:v>Build the first no-movement scene in this family.</x:v>
      </x:c>
      <x:c r="P190" s="9" t="str">
        <x:v>Visible-object count varies across no-op families. Table objects are distractors where present; success requires leaving the satisfied scene unchanged.</x:v>
      </x:c>
      <x:c r="Q190" s="9"/>
      <x:c r="R190" s="10"/>
      <x:c r="S190" s="10"/>
      <x:c r="T190" s="9"/>
      <x:c r="U190" s="9"/>
      <x:c r="V190" s="9"/>
      <x:c r="W190" s="9" t="str">
        <x:v>NOOP-04</x:v>
      </x:c>
      <x:c r="X190" s="10" t="n">
        <x:v>3</x:v>
      </x:c>
      <x:c r="Y190" s="10" t="n">
        <x:v>3</x:v>
      </x:c>
      <x:c r="Z190" s="9" t="str">
        <x:v>NO-OP</x:v>
      </x:c>
      <x:c r="AA190" s="9"/>
      <x:c r="AB190" s="9"/>
      <x:c r="AC190" s="9"/>
      <x:c r="AD190" s="9"/>
      <x:c r="AE190" s="9"/>
      <x:c r="AF190" s="9"/>
      <x:c r="AG190" s="9"/>
      <x:c r="AH190" s="9"/>
      <x:c r="AI190" s="11"/>
      <x:c r="AJ190" s="9"/>
      <x:c r="AK190" s="9" t="str">
        <x:v>Eval_Counting.xlsm</x:v>
      </x:c>
      <x:c r="AL190" s="9" t="str">
        <x:v>MolmoAct2 Results</x:v>
      </x:c>
      <x:c r="AM190" s="9" t="n">
        <x:v>40</x:v>
      </x:c>
      <x:c r="AN190" s="9" t="n">
        <x:v>40</x:v>
      </x:c>
    </x:row>
    <x:row r="191">
      <x:c r="A191" s="9" t="str">
        <x:v>Success</x:v>
      </x:c>
      <x:c r="B191" s="9" t="str">
        <x:v>Counting</x:v>
      </x:c>
      <x:c r="C191" s="10" t="n">
        <x:v>39</x:v>
      </x:c>
      <x:c r="D191" s="9" t="str">
        <x:v>Leave exactly two objects in the bowl.</x:v>
      </x:c>
      <x:c r="E191" s="9" t="str">
        <x:v>Bowl objects: [airplane toy without propellers, green pencil sharpener] | Table objects: [yellow block]</x:v>
      </x:c>
      <x:c r="F191" s="9" t="str">
        <x:v>NO-OP; preserve 2 objects in the bowl and do not initiate a grasp</x:v>
      </x:c>
      <x:c r="G191" s="9"/>
      <x:c r="H191" s="9" t="str">
        <x:v>Goal already satisfied / no movement</x:v>
      </x:c>
      <x:c r="I191" s="9" t="str">
        <x:v>NOOP-04</x:v>
      </x:c>
      <x:c r="J191" s="9" t="str">
        <x:v>Goal already satisfied: 2→2</x:v>
      </x:c>
      <x:c r="K191" s="9"/>
      <x:c r="L191" s="9" t="str">
        <x:v>861</x:v>
      </x:c>
      <x:c r="M191" s="9" t="str">
        <x:v>Prompt/concept grounding only. Training does not contain a goal-already-satisfied no-movement trajectory.</x:v>
      </x:c>
      <x:c r="N191" s="9" t="n">
        <x:v>6</x:v>
      </x:c>
      <x:c r="O191" s="9" t="str">
        <x:v>Move only the minimum listed objects between bowl and table for the next count.</x:v>
      </x:c>
      <x:c r="P191" s="9" t="str">
        <x:v>Visible-object count varies across no-op families. Table objects are distractors where present; success requires leaving the satisfied scene unchanged.</x:v>
      </x:c>
      <x:c r="Q191" s="9"/>
      <x:c r="R191" s="10"/>
      <x:c r="S191" s="10"/>
      <x:c r="T191" s="9"/>
      <x:c r="U191" s="9"/>
      <x:c r="V191" s="9"/>
      <x:c r="W191" s="9" t="str">
        <x:v>NOOP-04</x:v>
      </x:c>
      <x:c r="X191" s="10" t="n">
        <x:v>2</x:v>
      </x:c>
      <x:c r="Y191" s="10" t="n">
        <x:v>2</x:v>
      </x:c>
      <x:c r="Z191" s="9" t="str">
        <x:v>NO-OP</x:v>
      </x:c>
      <x:c r="AA191" s="9"/>
      <x:c r="AB191" s="9"/>
      <x:c r="AC191" s="9"/>
      <x:c r="AD191" s="9"/>
      <x:c r="AE191" s="9"/>
      <x:c r="AF191" s="9"/>
      <x:c r="AG191" s="9"/>
      <x:c r="AH191" s="9"/>
      <x:c r="AI191" s="11"/>
      <x:c r="AJ191" s="9"/>
      <x:c r="AK191" s="9" t="str">
        <x:v>Eval_Counting.xlsm</x:v>
      </x:c>
      <x:c r="AL191" s="9" t="str">
        <x:v>MolmoAct2 Results</x:v>
      </x:c>
      <x:c r="AM191" s="9" t="n">
        <x:v>41</x:v>
      </x:c>
      <x:c r="AN191" s="9" t="n">
        <x:v>41</x:v>
      </x:c>
    </x:row>
    <x:row r="192">
      <x:c r="A192" s="9" t="str">
        <x:v>Success</x:v>
      </x:c>
      <x:c r="B192" s="9" t="str">
        <x:v>Counting</x:v>
      </x:c>
      <x:c r="C192" s="10" t="n">
        <x:v>40</x:v>
      </x:c>
      <x:c r="D192" s="9" t="str">
        <x:v>Leave exactly one object in the bowl.</x:v>
      </x:c>
      <x:c r="E192" s="9" t="str">
        <x:v>Bowl objects: [airplane toy without propellers] | Table objects: [green pencil sharpener]</x:v>
      </x:c>
      <x:c r="F192" s="9" t="str">
        <x:v>NO-OP; preserve 1 object in the bowl and do not initiate a grasp</x:v>
      </x:c>
      <x:c r="G192" s="9"/>
      <x:c r="H192" s="9" t="str">
        <x:v>Goal already satisfied / no movement</x:v>
      </x:c>
      <x:c r="I192" s="9" t="str">
        <x:v>NOOP-04</x:v>
      </x:c>
      <x:c r="J192" s="9" t="str">
        <x:v>Goal already satisfied: 1→1</x:v>
      </x:c>
      <x:c r="K192" s="9"/>
      <x:c r="L192" s="9" t="str">
        <x:v>800</x:v>
      </x:c>
      <x:c r="M192" s="9" t="str">
        <x:v>Prompt/concept grounding only. Training does not contain a goal-already-satisfied no-movement trajectory.</x:v>
      </x:c>
      <x:c r="N192" s="9" t="n">
        <x:v>6</x:v>
      </x:c>
      <x:c r="O192" s="9" t="str">
        <x:v>Move only the minimum listed objects between bowl and table for the next count.</x:v>
      </x:c>
      <x:c r="P192" s="9" t="str">
        <x:v>Visible-object count varies across no-op families. Table objects are distractors where present; success requires leaving the satisfied scene unchanged.</x:v>
      </x:c>
      <x:c r="Q192" s="9"/>
      <x:c r="R192" s="10"/>
      <x:c r="S192" s="10"/>
      <x:c r="T192" s="9"/>
      <x:c r="U192" s="9"/>
      <x:c r="V192" s="9"/>
      <x:c r="W192" s="9" t="str">
        <x:v>NOOP-04</x:v>
      </x:c>
      <x:c r="X192" s="10" t="n">
        <x:v>1</x:v>
      </x:c>
      <x:c r="Y192" s="10" t="n">
        <x:v>1</x:v>
      </x:c>
      <x:c r="Z192" s="9" t="str">
        <x:v>NO-OP</x:v>
      </x:c>
      <x:c r="AA192" s="9"/>
      <x:c r="AB192" s="9"/>
      <x:c r="AC192" s="9"/>
      <x:c r="AD192" s="9"/>
      <x:c r="AE192" s="9"/>
      <x:c r="AF192" s="9"/>
      <x:c r="AG192" s="9"/>
      <x:c r="AH192" s="9"/>
      <x:c r="AI192" s="11"/>
      <x:c r="AJ192" s="9"/>
      <x:c r="AK192" s="9" t="str">
        <x:v>Eval_Counting.xlsm</x:v>
      </x:c>
      <x:c r="AL192" s="9" t="str">
        <x:v>MolmoAct2 Results</x:v>
      </x:c>
      <x:c r="AM192" s="9" t="n">
        <x:v>42</x:v>
      </x:c>
      <x:c r="AN192" s="9" t="n">
        <x:v>42</x:v>
      </x:c>
    </x:row>
    <x:row r="193">
      <x:c r="A193" s="9" t="str">
        <x:v>Success</x:v>
      </x:c>
      <x:c r="B193" s="9" t="str">
        <x:v>Counting</x:v>
      </x:c>
      <x:c r="C193" s="10" t="n">
        <x:v>41</x:v>
      </x:c>
      <x:c r="D193" s="9" t="str">
        <x:v>Leave no objects in the bowl.</x:v>
      </x:c>
      <x:c r="E193" s="9" t="str">
        <x:v>Bowl objects: [none] | Table objects: [airplane toy without propellers]</x:v>
      </x:c>
      <x:c r="F193" s="9" t="str">
        <x:v>NO-OP; preserve 0 objects in the bowl and do not initiate a grasp</x:v>
      </x:c>
      <x:c r="G193" s="9"/>
      <x:c r="H193" s="9" t="str">
        <x:v>Goal already satisfied / no movement</x:v>
      </x:c>
      <x:c r="I193" s="9" t="str">
        <x:v>NOOP-04</x:v>
      </x:c>
      <x:c r="J193" s="9" t="str">
        <x:v>Goal already satisfied: 0→0</x:v>
      </x:c>
      <x:c r="K193" s="9"/>
      <x:c r="L193" s="9" t="str">
        <x:v>975</x:v>
      </x:c>
      <x:c r="M193" s="9" t="str">
        <x:v>Prompt/concept grounding only. Training does not contain a goal-already-satisfied no-movement trajectory.</x:v>
      </x:c>
      <x:c r="N193" s="9" t="n">
        <x:v>6</x:v>
      </x:c>
      <x:c r="O193" s="9" t="str">
        <x:v>Move only the minimum listed objects between bowl and table for the next count.</x:v>
      </x:c>
      <x:c r="P193" s="9" t="str">
        <x:v>Visible-object count varies across no-op families. Table objects are distractors where present; success requires leaving the satisfied scene unchanged.</x:v>
      </x:c>
      <x:c r="Q193" s="9"/>
      <x:c r="R193" s="10"/>
      <x:c r="S193" s="10"/>
      <x:c r="T193" s="9"/>
      <x:c r="U193" s="9"/>
      <x:c r="V193" s="9"/>
      <x:c r="W193" s="9" t="str">
        <x:v>NOOP-04</x:v>
      </x:c>
      <x:c r="X193" s="10" t="n">
        <x:v>0</x:v>
      </x:c>
      <x:c r="Y193" s="10" t="n">
        <x:v>0</x:v>
      </x:c>
      <x:c r="Z193" s="9" t="str">
        <x:v>NO-OP</x:v>
      </x:c>
      <x:c r="AA193" s="9"/>
      <x:c r="AB193" s="9"/>
      <x:c r="AC193" s="9"/>
      <x:c r="AD193" s="9"/>
      <x:c r="AE193" s="9"/>
      <x:c r="AF193" s="9"/>
      <x:c r="AG193" s="9"/>
      <x:c r="AH193" s="9"/>
      <x:c r="AI193" s="11"/>
      <x:c r="AJ193" s="9"/>
      <x:c r="AK193" s="9" t="str">
        <x:v>Eval_Counting.xlsm</x:v>
      </x:c>
      <x:c r="AL193" s="9" t="str">
        <x:v>MolmoAct2 Results</x:v>
      </x:c>
      <x:c r="AM193" s="9" t="n">
        <x:v>43</x:v>
      </x:c>
      <x:c r="AN193" s="9" t="n">
        <x:v>43</x:v>
      </x:c>
    </x:row>
    <x:row r="194">
      <x:c r="A194" s="9" t="str">
        <x:v>Success</x:v>
      </x:c>
      <x:c r="B194" s="9" t="str">
        <x:v>Counting</x:v>
      </x:c>
      <x:c r="C194" s="10" t="n">
        <x:v>42</x:v>
      </x:c>
      <x:c r="D194" s="9" t="str">
        <x:v>Leave no objects in the bowl.</x:v>
      </x:c>
      <x:c r="E194" s="9" t="str">
        <x:v>Bowl objects: [none] | Table objects: [blue pen]</x:v>
      </x:c>
      <x:c r="F194" s="9" t="str">
        <x:v>NO-OP; preserve 0 objects in the bowl and do not initiate a grasp</x:v>
      </x:c>
      <x:c r="G194" s="9"/>
      <x:c r="H194" s="9" t="str">
        <x:v>Goal already satisfied / no movement</x:v>
      </x:c>
      <x:c r="I194" s="9" t="str">
        <x:v>NOOP-01</x:v>
      </x:c>
      <x:c r="J194" s="9" t="str">
        <x:v>Goal already satisfied: 0→0</x:v>
      </x:c>
      <x:c r="K194" s="9"/>
      <x:c r="L194" s="9" t="str">
        <x:v>975</x:v>
      </x:c>
      <x:c r="M194" s="9" t="str">
        <x:v>Prompt/concept grounding only. Training does not contain a goal-already-satisfied no-movement trajectory.</x:v>
      </x:c>
      <x:c r="N194" s="9" t="n">
        <x:v>6</x:v>
      </x:c>
      <x:c r="O194" s="9" t="str">
        <x:v>Build the first no-movement scene in this family.</x:v>
      </x:c>
      <x:c r="P194" s="9" t="str">
        <x:v>Visible-object count varies across no-op families. Table objects are distractors where present; success requires leaving the satisfied scene unchanged.</x:v>
      </x:c>
      <x:c r="Q194" s="9"/>
      <x:c r="R194" s="10"/>
      <x:c r="S194" s="10"/>
      <x:c r="T194" s="9"/>
      <x:c r="U194" s="9"/>
      <x:c r="V194" s="9"/>
      <x:c r="W194" s="9" t="str">
        <x:v>NOOP-01</x:v>
      </x:c>
      <x:c r="X194" s="10" t="n">
        <x:v>0</x:v>
      </x:c>
      <x:c r="Y194" s="10" t="n">
        <x:v>0</x:v>
      </x:c>
      <x:c r="Z194" s="9" t="str">
        <x:v>NO-OP</x:v>
      </x:c>
      <x:c r="AA194" s="9"/>
      <x:c r="AB194" s="9"/>
      <x:c r="AC194" s="9"/>
      <x:c r="AD194" s="9"/>
      <x:c r="AE194" s="9"/>
      <x:c r="AF194" s="9"/>
      <x:c r="AG194" s="9"/>
      <x:c r="AH194" s="9"/>
      <x:c r="AI194" s="11"/>
      <x:c r="AJ194" s="9"/>
      <x:c r="AK194" s="9" t="str">
        <x:v>Eval_Counting.xlsm</x:v>
      </x:c>
      <x:c r="AL194" s="9" t="str">
        <x:v>MolmoAct2 Results</x:v>
      </x:c>
      <x:c r="AM194" s="9" t="n">
        <x:v>44</x:v>
      </x:c>
      <x:c r="AN194" s="9" t="n">
        <x:v>44</x:v>
      </x:c>
    </x:row>
    <x:row r="195">
      <x:c r="A195" s="9" t="str">
        <x:v>Success</x:v>
      </x:c>
      <x:c r="B195" s="9" t="str">
        <x:v>Counting</x:v>
      </x:c>
      <x:c r="C195" s="10" t="n">
        <x:v>43</x:v>
      </x:c>
      <x:c r="D195" s="9" t="str">
        <x:v>Leave exactly one object in the bowl.</x:v>
      </x:c>
      <x:c r="E195" s="9" t="str">
        <x:v>Bowl objects: [blue pen] | Table objects: [none]</x:v>
      </x:c>
      <x:c r="F195" s="9" t="str">
        <x:v>NO-OP; preserve 1 object in the bowl and do not initiate a grasp</x:v>
      </x:c>
      <x:c r="G195" s="9"/>
      <x:c r="H195" s="9" t="str">
        <x:v>Goal already satisfied / no movement</x:v>
      </x:c>
      <x:c r="I195" s="9" t="str">
        <x:v>NOOP-01</x:v>
      </x:c>
      <x:c r="J195" s="9" t="str">
        <x:v>Goal already satisfied: 1→1</x:v>
      </x:c>
      <x:c r="K195" s="9"/>
      <x:c r="L195" s="9" t="str">
        <x:v>800</x:v>
      </x:c>
      <x:c r="M195" s="9" t="str">
        <x:v>Prompt/concept grounding only. Training does not contain a goal-already-satisfied no-movement trajectory.</x:v>
      </x:c>
      <x:c r="N195" s="9" t="n">
        <x:v>6</x:v>
      </x:c>
      <x:c r="O195" s="9" t="str">
        <x:v>Move only the minimum listed objects between bowl and table for the next count.</x:v>
      </x:c>
      <x:c r="P195" s="9" t="str">
        <x:v>Visible-object count varies across no-op families. Table objects are distractors where present; success requires leaving the satisfied scene unchanged.</x:v>
      </x:c>
      <x:c r="Q195" s="9"/>
      <x:c r="R195" s="10"/>
      <x:c r="S195" s="10"/>
      <x:c r="T195" s="9"/>
      <x:c r="U195" s="9"/>
      <x:c r="V195" s="9"/>
      <x:c r="W195" s="9" t="str">
        <x:v>NOOP-01</x:v>
      </x:c>
      <x:c r="X195" s="10" t="n">
        <x:v>1</x:v>
      </x:c>
      <x:c r="Y195" s="10" t="n">
        <x:v>1</x:v>
      </x:c>
      <x:c r="Z195" s="9" t="str">
        <x:v>NO-OP</x:v>
      </x:c>
      <x:c r="AA195" s="9"/>
      <x:c r="AB195" s="9"/>
      <x:c r="AC195" s="9"/>
      <x:c r="AD195" s="9"/>
      <x:c r="AE195" s="9"/>
      <x:c r="AF195" s="9"/>
      <x:c r="AG195" s="9"/>
      <x:c r="AH195" s="9"/>
      <x:c r="AI195" s="11"/>
      <x:c r="AJ195" s="9"/>
      <x:c r="AK195" s="9" t="str">
        <x:v>Eval_Counting.xlsm</x:v>
      </x:c>
      <x:c r="AL195" s="9" t="str">
        <x:v>MolmoAct2 Results</x:v>
      </x:c>
      <x:c r="AM195" s="9" t="n">
        <x:v>45</x:v>
      </x:c>
      <x:c r="AN195" s="9" t="n">
        <x:v>45</x:v>
      </x:c>
    </x:row>
    <x:row r="196">
      <x:c r="A196" s="9" t="str">
        <x:v>Failure</x:v>
      </x:c>
      <x:c r="B196" s="9" t="str">
        <x:v>Counting</x:v>
      </x:c>
      <x:c r="C196" s="10" t="n">
        <x:v>44</x:v>
      </x:c>
      <x:c r="D196" s="9" t="str">
        <x:v>Leave exactly two objects in the bowl.</x:v>
      </x:c>
      <x:c r="E196" s="9" t="str">
        <x:v>Bowl objects: [blue pen, yellow block] | Table objects: [none]</x:v>
      </x:c>
      <x:c r="F196" s="9" t="str">
        <x:v>NO-OP; preserve 2 objects in the bowl and do not initiate a grasp</x:v>
      </x:c>
      <x:c r="G196" s="9" t="str">
        <x:v>took the yellow block out of the bowl, then put it back in.</x:v>
      </x:c>
      <x:c r="H196" s="9" t="str">
        <x:v>Goal already satisfied / no movement</x:v>
      </x:c>
      <x:c r="I196" s="9" t="str">
        <x:v>NOOP-01</x:v>
      </x:c>
      <x:c r="J196" s="9" t="str">
        <x:v>Goal already satisfied: 2→2</x:v>
      </x:c>
      <x:c r="K196" s="9"/>
      <x:c r="L196" s="9" t="str">
        <x:v>861</x:v>
      </x:c>
      <x:c r="M196" s="9" t="str">
        <x:v>Prompt/concept grounding only. Training does not contain a goal-already-satisfied no-movement trajectory.</x:v>
      </x:c>
      <x:c r="N196" s="9" t="n">
        <x:v>6</x:v>
      </x:c>
      <x:c r="O196" s="9" t="str">
        <x:v>Move only the minimum listed objects between bowl and table for the next count.</x:v>
      </x:c>
      <x:c r="P196" s="9" t="str">
        <x:v>Visible-object count varies across no-op families. Table objects are distractors where present; success requires leaving the satisfied scene unchanged.</x:v>
      </x:c>
      <x:c r="Q196" s="9"/>
      <x:c r="R196" s="10"/>
      <x:c r="S196" s="10"/>
      <x:c r="T196" s="9"/>
      <x:c r="U196" s="9"/>
      <x:c r="V196" s="9"/>
      <x:c r="W196" s="9" t="str">
        <x:v>NOOP-01</x:v>
      </x:c>
      <x:c r="X196" s="10" t="n">
        <x:v>2</x:v>
      </x:c>
      <x:c r="Y196" s="10" t="n">
        <x:v>2</x:v>
      </x:c>
      <x:c r="Z196" s="9" t="str">
        <x:v>NO-OP</x:v>
      </x:c>
      <x:c r="AA196" s="9"/>
      <x:c r="AB196" s="9"/>
      <x:c r="AC196" s="9"/>
      <x:c r="AD196" s="9"/>
      <x:c r="AE196" s="9"/>
      <x:c r="AF196" s="9"/>
      <x:c r="AG196" s="9"/>
      <x:c r="AH196" s="9"/>
      <x:c r="AI196" s="11"/>
      <x:c r="AJ196" s="9"/>
      <x:c r="AK196" s="9" t="str">
        <x:v>Eval_Counting.xlsm</x:v>
      </x:c>
      <x:c r="AL196" s="9" t="str">
        <x:v>MolmoAct2 Results</x:v>
      </x:c>
      <x:c r="AM196" s="9" t="n">
        <x:v>46</x:v>
      </x:c>
      <x:c r="AN196" s="9" t="n">
        <x:v>46</x:v>
      </x:c>
    </x:row>
    <x:row r="197">
      <x:c r="A197" s="9" t="str">
        <x:v>Failure</x:v>
      </x:c>
      <x:c r="B197" s="9" t="str">
        <x:v>Counting</x:v>
      </x:c>
      <x:c r="C197" s="10" t="n">
        <x:v>45</x:v>
      </x:c>
      <x:c r="D197" s="9" t="str">
        <x:v>Leave exactly three objects in the bowl.</x:v>
      </x:c>
      <x:c r="E197" s="9" t="str">
        <x:v>Bowl objects: [blue pen, yellow block, green pencil sharpener] | Table objects: [none]</x:v>
      </x:c>
      <x:c r="F197" s="9" t="str">
        <x:v>NO-OP; preserve 3 objects in the bowl and do not initiate a grasp</x:v>
      </x:c>
      <x:c r="G197" s="9" t="str">
        <x:v>took the yellow block out of the bowl.</x:v>
      </x:c>
      <x:c r="H197" s="9" t="str">
        <x:v>Goal already satisfied / no movement</x:v>
      </x:c>
      <x:c r="I197" s="9" t="str">
        <x:v>NOOP-01</x:v>
      </x:c>
      <x:c r="J197" s="9" t="str">
        <x:v>Goal already satisfied: 3→3</x:v>
      </x:c>
      <x:c r="K197" s="9"/>
      <x:c r="L197" s="9" t="str">
        <x:v>843</x:v>
      </x:c>
      <x:c r="M197" s="9" t="str">
        <x:v>Prompt/concept grounding only. Training does not contain a goal-already-satisfied no-movement trajectory.</x:v>
      </x:c>
      <x:c r="N197" s="9" t="n">
        <x:v>6</x:v>
      </x:c>
      <x:c r="O197" s="9" t="str">
        <x:v>Move only the minimum listed objects between bowl and table for the next count.</x:v>
      </x:c>
      <x:c r="P197" s="9" t="str">
        <x:v>Visible-object count varies across no-op families. Table objects are distractors where present; success requires leaving the satisfied scene unchanged.</x:v>
      </x:c>
      <x:c r="Q197" s="9"/>
      <x:c r="R197" s="10"/>
      <x:c r="S197" s="10"/>
      <x:c r="T197" s="9"/>
      <x:c r="U197" s="9"/>
      <x:c r="V197" s="9"/>
      <x:c r="W197" s="9" t="str">
        <x:v>NOOP-01</x:v>
      </x:c>
      <x:c r="X197" s="10" t="n">
        <x:v>3</x:v>
      </x:c>
      <x:c r="Y197" s="10" t="n">
        <x:v>3</x:v>
      </x:c>
      <x:c r="Z197" s="9" t="str">
        <x:v>NO-OP</x:v>
      </x:c>
      <x:c r="AA197" s="9"/>
      <x:c r="AB197" s="9"/>
      <x:c r="AC197" s="9"/>
      <x:c r="AD197" s="9"/>
      <x:c r="AE197" s="9"/>
      <x:c r="AF197" s="9"/>
      <x:c r="AG197" s="9"/>
      <x:c r="AH197" s="9"/>
      <x:c r="AI197" s="11"/>
      <x:c r="AJ197" s="9"/>
      <x:c r="AK197" s="9" t="str">
        <x:v>Eval_Counting.xlsm</x:v>
      </x:c>
      <x:c r="AL197" s="9" t="str">
        <x:v>MolmoAct2 Results</x:v>
      </x:c>
      <x:c r="AM197" s="9" t="n">
        <x:v>47</x:v>
      </x:c>
      <x:c r="AN197" s="9" t="n">
        <x:v>47</x:v>
      </x:c>
    </x:row>
    <x:row r="198">
      <x:c r="A198" s="9" t="str">
        <x:v>Failure</x:v>
      </x:c>
      <x:c r="B198" s="9" t="str">
        <x:v>Counting</x:v>
      </x:c>
      <x:c r="C198" s="10" t="n">
        <x:v>46</x:v>
      </x:c>
      <x:c r="D198" s="9" t="str">
        <x:v>Leave exactly three objects in the bowl.</x:v>
      </x:c>
      <x:c r="E198" s="9" t="str">
        <x:v>Bowl objects: [green pencil sharpener, airplane toy without propellers] | Table objects: [yellow block]</x:v>
      </x:c>
      <x:c r="F198" s="9" t="str">
        <x:v>ADD any one table object; finish with 3 objects in the bowl</x:v>
      </x:c>
      <x:c r="G198" s="9"/>
      <x:c r="H198" s="9" t="str">
        <x:v>Concept/compositional transfer</x:v>
      </x:c>
      <x:c r="I198" s="9" t="str">
        <x:v>CT-CF06</x:v>
      </x:c>
      <x:c r="J198" s="9" t="str">
        <x:v>Primary: three via held-out 2→3 addition</x:v>
      </x:c>
      <x:c r="K198" s="9"/>
      <x:c r="L198" s="9" t="str">
        <x:v>866</x:v>
      </x:c>
      <x:c r="M198" s="9" t="str">
        <x:v>Representative direct-instruction trajectory for yellow block; the evaluated count × transition composition is intentionally absent.</x:v>
      </x:c>
      <x:c r="N198" s="9" t="n">
        <x:v>3</x:v>
      </x:c>
      <x:c r="O198" s="9" t="str">
        <x:v>Reset the exact count-2 scene; change only the prompt.</x:v>
      </x:c>
      <x:c r="P198" s="9" t="str">
        <x:v>The goal word three is trained, and this 2→3 trajectory is trained under a direct instruction, but the combination is withheld.</x:v>
      </x:c>
      <x:c r="Q198" s="9"/>
      <x:c r="R198" s="10"/>
      <x:c r="S198" s="10"/>
      <x:c r="T198" s="9"/>
      <x:c r="U198" s="9"/>
      <x:c r="V198" s="9"/>
      <x:c r="W198" s="9" t="str">
        <x:v>CT-CF06-ADD</x:v>
      </x:c>
      <x:c r="X198" s="10" t="n">
        <x:v>2</x:v>
      </x:c>
      <x:c r="Y198" s="10" t="n">
        <x:v>3</x:v>
      </x:c>
      <x:c r="Z198" s="9" t="str">
        <x:v>ADD</x:v>
      </x:c>
      <x:c r="AA198" s="9"/>
      <x:c r="AB198" s="9"/>
      <x:c r="AC198" s="9"/>
      <x:c r="AD198" s="9"/>
      <x:c r="AE198" s="9"/>
      <x:c r="AF198" s="9"/>
      <x:c r="AG198" s="9"/>
      <x:c r="AH198" s="9"/>
      <x:c r="AI198" s="11"/>
      <x:c r="AJ198" s="9"/>
      <x:c r="AK198" s="9" t="str">
        <x:v>Eval_Counting.xlsm</x:v>
      </x:c>
      <x:c r="AL198" s="9" t="str">
        <x:v>MolmoAct2 Results</x:v>
      </x:c>
      <x:c r="AM198" s="9" t="n">
        <x:v>48</x:v>
      </x:c>
      <x:c r="AN198" s="9" t="n">
        <x:v>48</x:v>
      </x:c>
    </x:row>
    <x:row r="199">
      <x:c r="A199" s="9" t="str">
        <x:v>Success</x:v>
      </x:c>
      <x:c r="B199" s="9" t="str">
        <x:v>Counting</x:v>
      </x:c>
      <x:c r="C199" s="10" t="n">
        <x:v>47</x:v>
      </x:c>
      <x:c r="D199" s="9" t="str">
        <x:v>Move the yellow block into the bowl.</x:v>
      </x:c>
      <x:c r="E199" s="9" t="str">
        <x:v>Bowl objects: [green pencil sharpener, airplane toy without propellers] | Table objects: [yellow block]</x:v>
      </x:c>
      <x:c r="F199" s="9" t="str">
        <x:v>ADD yellow block</x:v>
      </x:c>
      <x:c r="G199" s="9"/>
      <x:c r="H199" s="9" t="str">
        <x:v>Matched manipulation control</x:v>
      </x:c>
      <x:c r="I199" s="9" t="str">
        <x:v>CT-CF06</x:v>
      </x:c>
      <x:c r="J199" s="9" t="str">
        <x:v>Matched direct ADD control</x:v>
      </x:c>
      <x:c r="K199" s="9" t="n">
        <x:v>46</x:v>
      </x:c>
      <x:c r="L199" s="9" t="str">
        <x:v>872</x:v>
      </x:c>
      <x:c r="M199" s="9" t="str">
        <x:v>Exact direct-prompt trajectory for the named object and action direction; evaluation layout is reset manually.</x:v>
      </x:c>
      <x:c r="N199" s="9" t="n">
        <x:v>3</x:v>
      </x:c>
      <x:c r="O199" s="9" t="str">
        <x:v>Reset the exact count-2 scene; change only the prompt.</x:v>
      </x:c>
      <x:c r="P199" s="9" t="str">
        <x:v>The direct prompt is present in Counting training for this same-task object and action direction.</x:v>
      </x:c>
      <x:c r="Q199" s="9"/>
      <x:c r="R199" s="10"/>
      <x:c r="S199" s="10"/>
      <x:c r="T199" s="9"/>
      <x:c r="U199" s="9"/>
      <x:c r="V199" s="9"/>
      <x:c r="W199" s="9" t="str">
        <x:v>CT-CF06-ADD</x:v>
      </x:c>
      <x:c r="X199" s="10" t="n">
        <x:v>2</x:v>
      </x:c>
      <x:c r="Y199" s="10" t="n">
        <x:v>3</x:v>
      </x:c>
      <x:c r="Z199" s="9" t="str">
        <x:v>ADD</x:v>
      </x:c>
      <x:c r="AA199" s="9"/>
      <x:c r="AB199" s="9"/>
      <x:c r="AC199" s="9"/>
      <x:c r="AD199" s="9"/>
      <x:c r="AE199" s="9"/>
      <x:c r="AF199" s="9"/>
      <x:c r="AG199" s="9"/>
      <x:c r="AH199" s="9"/>
      <x:c r="AI199" s="11"/>
      <x:c r="AJ199" s="9"/>
      <x:c r="AK199" s="9" t="str">
        <x:v>Eval_Counting.xlsm</x:v>
      </x:c>
      <x:c r="AL199" s="9" t="str">
        <x:v>MolmoAct2 Results</x:v>
      </x:c>
      <x:c r="AM199" s="9" t="n">
        <x:v>49</x:v>
      </x:c>
      <x:c r="AN199" s="9" t="n">
        <x:v>49</x:v>
      </x:c>
    </x:row>
    <x:row r="200">
      <x:c r="A200" s="9" t="str">
        <x:v>Success</x:v>
      </x:c>
      <x:c r="B200" s="9" t="str">
        <x:v>Counting</x:v>
      </x:c>
      <x:c r="C200" s="10" t="n">
        <x:v>48</x:v>
      </x:c>
      <x:c r="D200" s="9" t="str">
        <x:v>Move the airplane toy without propellers from the bowl to the table.</x:v>
      </x:c>
      <x:c r="E200" s="9" t="str">
        <x:v>Bowl objects: [green pencil sharpener, airplane toy without propellers] | Table objects: [yellow block]</x:v>
      </x:c>
      <x:c r="F200" s="9" t="str">
        <x:v>REMOVE airplane toy without propellers</x:v>
      </x:c>
      <x:c r="G200" s="9"/>
      <x:c r="H200" s="9" t="str">
        <x:v>Matched manipulation control</x:v>
      </x:c>
      <x:c r="I200" s="9" t="str">
        <x:v>CT-CF06</x:v>
      </x:c>
      <x:c r="J200" s="9" t="str">
        <x:v>Matched direct REMOVE control</x:v>
      </x:c>
      <x:c r="K200" s="9"/>
      <x:c r="L200" s="9" t="str">
        <x:v>985</x:v>
      </x:c>
      <x:c r="M200" s="9" t="str">
        <x:v>Exact direct-prompt trajectory for the named object and action direction; evaluation layout is reset manually.</x:v>
      </x:c>
      <x:c r="N200" s="9" t="n">
        <x:v>3</x:v>
      </x:c>
      <x:c r="O200" s="9" t="str">
        <x:v>Reset the exact count-2 scene; change only the prompt.</x:v>
      </x:c>
      <x:c r="P200" s="9" t="str">
        <x:v>The direct prompt is present in Counting training for this same-task object and action direction.</x:v>
      </x:c>
      <x:c r="Q200" s="9"/>
      <x:c r="R200" s="10"/>
      <x:c r="S200" s="10"/>
      <x:c r="T200" s="9"/>
      <x:c r="U200" s="9"/>
      <x:c r="V200" s="9"/>
      <x:c r="W200" s="9" t="str">
        <x:v>CT-CF06-REMOVE</x:v>
      </x:c>
      <x:c r="X200" s="10" t="n">
        <x:v>2</x:v>
      </x:c>
      <x:c r="Y200" s="10" t="n">
        <x:v>1</x:v>
      </x:c>
      <x:c r="Z200" s="9" t="str">
        <x:v>REMOVE</x:v>
      </x:c>
      <x:c r="AA200" s="9"/>
      <x:c r="AB200" s="9"/>
      <x:c r="AC200" s="9"/>
      <x:c r="AD200" s="9"/>
      <x:c r="AE200" s="9"/>
      <x:c r="AF200" s="9"/>
      <x:c r="AG200" s="9"/>
      <x:c r="AH200" s="9"/>
      <x:c r="AI200" s="11"/>
      <x:c r="AJ200" s="9"/>
      <x:c r="AK200" s="9" t="str">
        <x:v>Eval_Counting.xlsm</x:v>
      </x:c>
      <x:c r="AL200" s="9" t="str">
        <x:v>MolmoAct2 Results</x:v>
      </x:c>
      <x:c r="AM200" s="9" t="n">
        <x:v>50</x:v>
      </x:c>
      <x:c r="AN200" s="9" t="n">
        <x:v>50</x:v>
      </x:c>
    </x:row>
    <x:row r="201">
      <x:c r="A201" s="9" t="str">
        <x:v>Failure</x:v>
      </x:c>
      <x:c r="B201" s="9" t="str">
        <x:v>Counting</x:v>
      </x:c>
      <x:c r="C201" s="10" t="n">
        <x:v>49</x:v>
      </x:c>
      <x:c r="D201" s="9" t="str">
        <x:v>Leave exactly one object in the bowl.</x:v>
      </x:c>
      <x:c r="E201" s="9" t="str">
        <x:v>Bowl objects: [green pencil sharpener, airplane toy without propellers] | Table objects: [yellow block]</x:v>
      </x:c>
      <x:c r="F201" s="9" t="str">
        <x:v>REMOVE any one bowl object; finish with 1 object in the bowl</x:v>
      </x:c>
      <x:c r="G201" s="9"/>
      <x:c r="H201" s="9" t="str">
        <x:v>Concept/compositional transfer</x:v>
      </x:c>
      <x:c r="I201" s="9" t="str">
        <x:v>CT-CF06</x:v>
      </x:c>
      <x:c r="J201" s="9" t="str">
        <x:v>Primary: one via held-out 2→1 removal</x:v>
      </x:c>
      <x:c r="K201" s="9" t="n">
        <x:v>48</x:v>
      </x:c>
      <x:c r="L201" s="9" t="str">
        <x:v>981</x:v>
      </x:c>
      <x:c r="M201" s="9" t="str">
        <x:v>Representative direct-instruction trajectory for airplane toy without propellers; the evaluated count × transition composition is intentionally absent.</x:v>
      </x:c>
      <x:c r="N201" s="9" t="n">
        <x:v>3</x:v>
      </x:c>
      <x:c r="O201" s="9" t="str">
        <x:v>Build the listed count-2 scene.</x:v>
      </x:c>
      <x:c r="P201" s="9" t="str">
        <x:v>The goal word one is trained, and this 2→1 trajectory is trained under a direct instruction, but the combination is withheld.</x:v>
      </x:c>
      <x:c r="Q201" s="9"/>
      <x:c r="R201" s="10"/>
      <x:c r="S201" s="10"/>
      <x:c r="T201" s="9"/>
      <x:c r="U201" s="9"/>
      <x:c r="V201" s="9"/>
      <x:c r="W201" s="9" t="str">
        <x:v>CT-CF06-REMOVE</x:v>
      </x:c>
      <x:c r="X201" s="10" t="n">
        <x:v>2</x:v>
      </x:c>
      <x:c r="Y201" s="10" t="n">
        <x:v>1</x:v>
      </x:c>
      <x:c r="Z201" s="9" t="str">
        <x:v>REMOVE</x:v>
      </x:c>
      <x:c r="AA201" s="9"/>
      <x:c r="AB201" s="9"/>
      <x:c r="AC201" s="9"/>
      <x:c r="AD201" s="9"/>
      <x:c r="AE201" s="9"/>
      <x:c r="AF201" s="9"/>
      <x:c r="AG201" s="9"/>
      <x:c r="AH201" s="9"/>
      <x:c r="AI201" s="11"/>
      <x:c r="AJ201" s="9"/>
      <x:c r="AK201" s="9" t="str">
        <x:v>Eval_Counting.xlsm</x:v>
      </x:c>
      <x:c r="AL201" s="9" t="str">
        <x:v>MolmoAct2 Results</x:v>
      </x:c>
      <x:c r="AM201" s="9" t="n">
        <x:v>51</x:v>
      </x:c>
      <x:c r="AN201" s="9" t="n">
        <x:v>51</x:v>
      </x:c>
    </x:row>
    <x:row r="202">
      <x:c r="A202" s="9" t="str">
        <x:v>Failure</x:v>
      </x:c>
      <x:c r="B202" s="9" t="str">
        <x:v>Counting</x:v>
      </x:c>
      <x:c r="C202" s="10" t="n">
        <x:v>50</x:v>
      </x:c>
      <x:c r="D202" s="9" t="str">
        <x:v>Leave exactly one object in the bowl.</x:v>
      </x:c>
      <x:c r="E202" s="9" t="str">
        <x:v>Bowl objects: [blue pen, airplane toy without propellers] | Table objects: [yellow block, green pencil sharpener]</x:v>
      </x:c>
      <x:c r="F202" s="9" t="str">
        <x:v>REMOVE any one bowl object; finish with 1 object in the bowl</x:v>
      </x:c>
      <x:c r="G202" s="9"/>
      <x:c r="H202" s="9" t="str">
        <x:v>Concept/compositional transfer</x:v>
      </x:c>
      <x:c r="I202" s="9" t="str">
        <x:v>CT-CF15</x:v>
      </x:c>
      <x:c r="J202" s="9" t="str">
        <x:v>Primary: one via held-out 2→1 removal</x:v>
      </x:c>
      <x:c r="K202" s="9"/>
      <x:c r="L202" s="9" t="str">
        <x:v>831</x:v>
      </x:c>
      <x:c r="M202" s="9" t="str">
        <x:v>Representative direct-instruction trajectory for blue pen; the evaluated count × transition composition is intentionally absent.</x:v>
      </x:c>
      <x:c r="N202" s="9" t="n">
        <x:v>4</x:v>
      </x:c>
      <x:c r="O202" s="9" t="str">
        <x:v>Build the listed count-2 scene.</x:v>
      </x:c>
      <x:c r="P202" s="9" t="str">
        <x:v>The goal word one is trained, and this 2→1 trajectory is trained under a direct instruction, but the combination is withheld.</x:v>
      </x:c>
      <x:c r="Q202" s="9"/>
      <x:c r="R202" s="10"/>
      <x:c r="S202" s="10"/>
      <x:c r="T202" s="9"/>
      <x:c r="U202" s="9"/>
      <x:c r="V202" s="9"/>
      <x:c r="W202" s="9" t="str">
        <x:v>CT-CF15-REMOVE</x:v>
      </x:c>
      <x:c r="X202" s="10" t="n">
        <x:v>2</x:v>
      </x:c>
      <x:c r="Y202" s="10" t="n">
        <x:v>1</x:v>
      </x:c>
      <x:c r="Z202" s="9" t="str">
        <x:v>REMOVE</x:v>
      </x:c>
      <x:c r="AA202" s="9"/>
      <x:c r="AB202" s="9"/>
      <x:c r="AC202" s="9"/>
      <x:c r="AD202" s="9"/>
      <x:c r="AE202" s="9"/>
      <x:c r="AF202" s="9"/>
      <x:c r="AG202" s="9"/>
      <x:c r="AH202" s="9"/>
      <x:c r="AI202" s="11"/>
      <x:c r="AJ202" s="9"/>
      <x:c r="AK202" s="9" t="str">
        <x:v>Eval_Counting.xlsm</x:v>
      </x:c>
      <x:c r="AL202" s="9" t="str">
        <x:v>MolmoAct2 Results</x:v>
      </x:c>
      <x:c r="AM202" s="9" t="n">
        <x:v>52</x:v>
      </x:c>
      <x:c r="AN202" s="9" t="n">
        <x:v>52</x:v>
      </x:c>
    </x:row>
    <x:row r="203">
      <x:c r="A203" s="9" t="str">
        <x:v>Failure</x:v>
      </x:c>
      <x:c r="B203" s="9" t="str">
        <x:v>Counting</x:v>
      </x:c>
      <x:c r="C203" s="10" t="n">
        <x:v>51</x:v>
      </x:c>
      <x:c r="D203" s="9" t="str">
        <x:v>Leave exactly three objects in the bowl.</x:v>
      </x:c>
      <x:c r="E203" s="9" t="str">
        <x:v>Bowl objects: [blue pen, airplane toy without propellers] | Table objects: [yellow block, green pencil sharpener]</x:v>
      </x:c>
      <x:c r="F203" s="9" t="str">
        <x:v>ADD any one table object; finish with 3 objects in the bowl</x:v>
      </x:c>
      <x:c r="G203" s="9"/>
      <x:c r="H203" s="9" t="str">
        <x:v>Concept/compositional transfer</x:v>
      </x:c>
      <x:c r="I203" s="9" t="str">
        <x:v>CT-CF15</x:v>
      </x:c>
      <x:c r="J203" s="9" t="str">
        <x:v>Primary: three via held-out 2→3 addition</x:v>
      </x:c>
      <x:c r="K203" s="9" t="n">
        <x:v>50</x:v>
      </x:c>
      <x:c r="L203" s="9" t="str">
        <x:v>916</x:v>
      </x:c>
      <x:c r="M203" s="9" t="str">
        <x:v>Representative direct-instruction trajectory for green pencil sharpener; the evaluated count × transition composition is intentionally absent.</x:v>
      </x:c>
      <x:c r="N203" s="9" t="n">
        <x:v>4</x:v>
      </x:c>
      <x:c r="O203" s="9" t="str">
        <x:v>Reset the exact count-2 scene; change only the prompt.</x:v>
      </x:c>
      <x:c r="P203" s="9" t="str">
        <x:v>The goal word three is trained, and this 2→3 trajectory is trained under a direct instruction, but the combination is withheld.</x:v>
      </x:c>
      <x:c r="Q203" s="9"/>
      <x:c r="R203" s="10"/>
      <x:c r="S203" s="10"/>
      <x:c r="T203" s="9"/>
      <x:c r="U203" s="9"/>
      <x:c r="V203" s="9"/>
      <x:c r="W203" s="9" t="str">
        <x:v>CT-CF15-ADD</x:v>
      </x:c>
      <x:c r="X203" s="10" t="n">
        <x:v>2</x:v>
      </x:c>
      <x:c r="Y203" s="10" t="n">
        <x:v>3</x:v>
      </x:c>
      <x:c r="Z203" s="9" t="str">
        <x:v>ADD</x:v>
      </x:c>
      <x:c r="AA203" s="9"/>
      <x:c r="AB203" s="9"/>
      <x:c r="AC203" s="9"/>
      <x:c r="AD203" s="9"/>
      <x:c r="AE203" s="9"/>
      <x:c r="AF203" s="9"/>
      <x:c r="AG203" s="9"/>
      <x:c r="AH203" s="9"/>
      <x:c r="AI203" s="11"/>
      <x:c r="AJ203" s="9"/>
      <x:c r="AK203" s="9" t="str">
        <x:v>Eval_Counting.xlsm</x:v>
      </x:c>
      <x:c r="AL203" s="9" t="str">
        <x:v>MolmoAct2 Results</x:v>
      </x:c>
      <x:c r="AM203" s="9" t="n">
        <x:v>53</x:v>
      </x:c>
      <x:c r="AN203" s="9" t="n">
        <x:v>53</x:v>
      </x:c>
    </x:row>
    <x:row r="204">
      <x:c r="A204" s="9" t="str">
        <x:v>Failure</x:v>
      </x:c>
      <x:c r="B204" s="9" t="str">
        <x:v>Counting</x:v>
      </x:c>
      <x:c r="C204" s="10" t="n">
        <x:v>52</x:v>
      </x:c>
      <x:c r="D204" s="9" t="str">
        <x:v>Leave exactly one object in the bowl.</x:v>
      </x:c>
      <x:c r="E204" s="9" t="str">
        <x:v>Bowl objects: [blue pen, yellow block] | Table objects: [green pencil sharpener, airplane toy without propellers]</x:v>
      </x:c>
      <x:c r="F204" s="9" t="str">
        <x:v>REMOVE any one bowl object; finish with 1 object in the bowl</x:v>
      </x:c>
      <x:c r="G204" s="9"/>
      <x:c r="H204" s="9" t="str">
        <x:v>Concept/compositional transfer</x:v>
      </x:c>
      <x:c r="I204" s="9" t="str">
        <x:v>CT-CF13</x:v>
      </x:c>
      <x:c r="J204" s="9" t="str">
        <x:v>Primary: one via held-out 2→1 removal</x:v>
      </x:c>
      <x:c r="K204" s="9"/>
      <x:c r="L204" s="9" t="str">
        <x:v>831</x:v>
      </x:c>
      <x:c r="M204" s="9" t="str">
        <x:v>Representative direct-instruction trajectory for blue pen; the evaluated count × transition composition is intentionally absent.</x:v>
      </x:c>
      <x:c r="N204" s="9" t="n">
        <x:v>4</x:v>
      </x:c>
      <x:c r="O204" s="9" t="str">
        <x:v>Build the listed count-2 scene.</x:v>
      </x:c>
      <x:c r="P204" s="9" t="str">
        <x:v>The goal word one is trained, and this 2→1 trajectory is trained under a direct instruction, but the combination is withheld.</x:v>
      </x:c>
      <x:c r="Q204" s="9"/>
      <x:c r="R204" s="10"/>
      <x:c r="S204" s="10"/>
      <x:c r="T204" s="9"/>
      <x:c r="U204" s="9"/>
      <x:c r="V204" s="9"/>
      <x:c r="W204" s="9" t="str">
        <x:v>CT-CF13-REMOVE</x:v>
      </x:c>
      <x:c r="X204" s="10" t="n">
        <x:v>2</x:v>
      </x:c>
      <x:c r="Y204" s="10" t="n">
        <x:v>1</x:v>
      </x:c>
      <x:c r="Z204" s="9" t="str">
        <x:v>REMOVE</x:v>
      </x:c>
      <x:c r="AA204" s="9"/>
      <x:c r="AB204" s="9"/>
      <x:c r="AC204" s="9"/>
      <x:c r="AD204" s="9"/>
      <x:c r="AE204" s="9"/>
      <x:c r="AF204" s="9"/>
      <x:c r="AG204" s="9"/>
      <x:c r="AH204" s="9"/>
      <x:c r="AI204" s="11"/>
      <x:c r="AJ204" s="9"/>
      <x:c r="AK204" s="9" t="str">
        <x:v>Eval_Counting.xlsm</x:v>
      </x:c>
      <x:c r="AL204" s="9" t="str">
        <x:v>MolmoAct2 Results</x:v>
      </x:c>
      <x:c r="AM204" s="9" t="n">
        <x:v>54</x:v>
      </x:c>
      <x:c r="AN204" s="9" t="n">
        <x:v>54</x:v>
      </x:c>
    </x:row>
    <x:row r="205">
      <x:c r="A205" s="9" t="str">
        <x:v>Failure</x:v>
      </x:c>
      <x:c r="B205" s="9" t="str">
        <x:v>Counting</x:v>
      </x:c>
      <x:c r="C205" s="10" t="n">
        <x:v>53</x:v>
      </x:c>
      <x:c r="D205" s="9" t="str">
        <x:v>Leave exactly three objects in the bowl.</x:v>
      </x:c>
      <x:c r="E205" s="9" t="str">
        <x:v>Bowl objects: [blue pen, yellow block] | Table objects: [green pencil sharpener, airplane toy without propellers]</x:v>
      </x:c>
      <x:c r="F205" s="9" t="str">
        <x:v>ADD any one table object; finish with 3 objects in the bowl</x:v>
      </x:c>
      <x:c r="G205" s="9"/>
      <x:c r="H205" s="9" t="str">
        <x:v>Concept/compositional transfer</x:v>
      </x:c>
      <x:c r="I205" s="9" t="str">
        <x:v>CT-CF13</x:v>
      </x:c>
      <x:c r="J205" s="9" t="str">
        <x:v>Primary: three via held-out 2→3 addition</x:v>
      </x:c>
      <x:c r="K205" s="9" t="n">
        <x:v>52</x:v>
      </x:c>
      <x:c r="L205" s="9" t="str">
        <x:v>966</x:v>
      </x:c>
      <x:c r="M205" s="9" t="str">
        <x:v>Representative direct-instruction trajectory for airplane toy without propellers; the evaluated count × transition composition is intentionally absent.</x:v>
      </x:c>
      <x:c r="N205" s="9" t="n">
        <x:v>4</x:v>
      </x:c>
      <x:c r="O205" s="9" t="str">
        <x:v>Reset the exact count-2 scene; change only the prompt.</x:v>
      </x:c>
      <x:c r="P205" s="9" t="str">
        <x:v>The goal word three is trained, and this 2→3 trajectory is trained under a direct instruction, but the combination is withheld.</x:v>
      </x:c>
      <x:c r="Q205" s="9"/>
      <x:c r="R205" s="10"/>
      <x:c r="S205" s="10"/>
      <x:c r="T205" s="9"/>
      <x:c r="U205" s="9"/>
      <x:c r="V205" s="9"/>
      <x:c r="W205" s="9" t="str">
        <x:v>CT-CF13-ADD</x:v>
      </x:c>
      <x:c r="X205" s="10" t="n">
        <x:v>2</x:v>
      </x:c>
      <x:c r="Y205" s="10" t="n">
        <x:v>3</x:v>
      </x:c>
      <x:c r="Z205" s="9" t="str">
        <x:v>ADD</x:v>
      </x:c>
      <x:c r="AA205" s="9"/>
      <x:c r="AB205" s="9"/>
      <x:c r="AC205" s="9"/>
      <x:c r="AD205" s="9"/>
      <x:c r="AE205" s="9"/>
      <x:c r="AF205" s="9"/>
      <x:c r="AG205" s="9"/>
      <x:c r="AH205" s="9"/>
      <x:c r="AI205" s="11"/>
      <x:c r="AJ205" s="9"/>
      <x:c r="AK205" s="9" t="str">
        <x:v>Eval_Counting.xlsm</x:v>
      </x:c>
      <x:c r="AL205" s="9" t="str">
        <x:v>MolmoAct2 Results</x:v>
      </x:c>
      <x:c r="AM205" s="9" t="n">
        <x:v>55</x:v>
      </x:c>
      <x:c r="AN205" s="9" t="n">
        <x:v>55</x:v>
      </x:c>
    </x:row>
    <x:row r="206">
      <x:c r="A206" s="9" t="str">
        <x:v>Success</x:v>
      </x:c>
      <x:c r="B206" s="9" t="str">
        <x:v>Counting</x:v>
      </x:c>
      <x:c r="C206" s="10" t="n">
        <x:v>54</x:v>
      </x:c>
      <x:c r="D206" s="9" t="str">
        <x:v>Make the bowl contain exactly zero objects.</x:v>
      </x:c>
      <x:c r="E206" s="9" t="str">
        <x:v>Bowl objects: [green highlighter] | Table objects: [blue pen]</x:v>
      </x:c>
      <x:c r="F206" s="9" t="str">
        <x:v>REMOVE green highlighter; finish with 0 objects in the bowl</x:v>
      </x:c>
      <x:c r="G206" s="9"/>
      <x:c r="H206" s="9" t="str">
        <x:v>Cross-task object reasoning</x:v>
      </x:c>
      <x:c r="I206" s="9" t="str">
        <x:v>XT-GH01</x:v>
      </x:c>
      <x:c r="J206" s="9" t="str">
        <x:v>Reasoning-only cross-task target: 1→0 removal</x:v>
      </x:c>
      <x:c r="K206" s="9"/>
      <x:c r="L206" s="9" t="str">
        <x:v>825; 708</x:v>
      </x:c>
      <x:c r="M206" s="9" t="str">
        <x:v>First episode grounds the Counting prompt/transition; episode 708 grounds direct green-highlighter manipulation. No exact green-highlighter Counting cell exists.</x:v>
      </x:c>
      <x:c r="N206" s="9" t="n">
        <x:v>5</x:v>
      </x:c>
      <x:c r="O206" s="9" t="str">
        <x:v>Build counterfactual cross-task scene A.</x:v>
      </x:c>
      <x:c r="P206" s="9" t="str">
        <x:v>The prompt never names the highlighter. The highlighter is the required object; the familiar Counting transition determines the action.</x:v>
      </x:c>
      <x:c r="Q206" s="9"/>
      <x:c r="R206" s="10"/>
      <x:c r="S206" s="10"/>
      <x:c r="T206" s="9"/>
      <x:c r="U206" s="9"/>
      <x:c r="V206" s="9"/>
      <x:c r="W206" s="9" t="str">
        <x:v>XT-GH01-A</x:v>
      </x:c>
      <x:c r="X206" s="10" t="n">
        <x:v>1</x:v>
      </x:c>
      <x:c r="Y206" s="10" t="n">
        <x:v>0</x:v>
      </x:c>
      <x:c r="Z206" s="9" t="str">
        <x:v>REMOVE</x:v>
      </x:c>
      <x:c r="AA206" s="9"/>
      <x:c r="AB206" s="9"/>
      <x:c r="AC206" s="9"/>
      <x:c r="AD206" s="9"/>
      <x:c r="AE206" s="9"/>
      <x:c r="AF206" s="9"/>
      <x:c r="AG206" s="9"/>
      <x:c r="AH206" s="9"/>
      <x:c r="AI206" s="11"/>
      <x:c r="AJ206" s="9"/>
      <x:c r="AK206" s="9" t="str">
        <x:v>Eval_Counting.xlsm</x:v>
      </x:c>
      <x:c r="AL206" s="9" t="str">
        <x:v>MolmoAct2 Results</x:v>
      </x:c>
      <x:c r="AM206" s="9" t="n">
        <x:v>56</x:v>
      </x:c>
      <x:c r="AN206" s="9" t="n">
        <x:v>56</x:v>
      </x:c>
    </x:row>
    <x:row r="207">
      <x:c r="A207" s="9" t="str">
        <x:v>Failure</x:v>
      </x:c>
      <x:c r="B207" s="9" t="str">
        <x:v>Counting</x:v>
      </x:c>
      <x:c r="C207" s="10" t="n">
        <x:v>55</x:v>
      </x:c>
      <x:c r="D207" s="9" t="str">
        <x:v>Make the bowl contain exactly two objects.</x:v>
      </x:c>
      <x:c r="E207" s="9" t="str">
        <x:v>Bowl objects: [green highlighter] | Table objects: [blue pen]</x:v>
      </x:c>
      <x:c r="F207" s="9" t="str">
        <x:v>ADD blue pen; finish with 2 objects in the bowl</x:v>
      </x:c>
      <x:c r="G207" s="9" t="str">
        <x:v>didn't move</x:v>
      </x:c>
      <x:c r="H207" s="9" t="str">
        <x:v>Cross-task object reasoning</x:v>
      </x:c>
      <x:c r="I207" s="9" t="str">
        <x:v>XT-GH01</x:v>
      </x:c>
      <x:c r="J207" s="9" t="str">
        <x:v>Reasoning-only cross-task distractor: 1→2 addition</x:v>
      </x:c>
      <x:c r="K207" s="9" t="n">
        <x:v>54</x:v>
      </x:c>
      <x:c r="L207" s="9" t="str">
        <x:v>808; 708</x:v>
      </x:c>
      <x:c r="M207" s="9" t="str">
        <x:v>First episode grounds the Counting prompt/transition; episode 708 grounds direct green-highlighter manipulation. No exact green-highlighter Counting cell exists.</x:v>
      </x:c>
      <x:c r="N207" s="9" t="n">
        <x:v>5</x:v>
      </x:c>
      <x:c r="O207" s="9" t="str">
        <x:v>Reset the exact scene; change only the requested final count.</x:v>
      </x:c>
      <x:c r="P207" s="9" t="str">
        <x:v>The prompt never names the highlighter. The highlighter is a distractor; the familiar Counting transition determines the action.</x:v>
      </x:c>
      <x:c r="Q207" s="9"/>
      <x:c r="R207" s="10"/>
      <x:c r="S207" s="10"/>
      <x:c r="T207" s="9"/>
      <x:c r="U207" s="9"/>
      <x:c r="V207" s="9"/>
      <x:c r="W207" s="9" t="str">
        <x:v>XT-GH01-A</x:v>
      </x:c>
      <x:c r="X207" s="10" t="n">
        <x:v>1</x:v>
      </x:c>
      <x:c r="Y207" s="10" t="n">
        <x:v>2</x:v>
      </x:c>
      <x:c r="Z207" s="9" t="str">
        <x:v>ADD</x:v>
      </x:c>
      <x:c r="AA207" s="9"/>
      <x:c r="AB207" s="9"/>
      <x:c r="AC207" s="9"/>
      <x:c r="AD207" s="9"/>
      <x:c r="AE207" s="9"/>
      <x:c r="AF207" s="9"/>
      <x:c r="AG207" s="9"/>
      <x:c r="AH207" s="9"/>
      <x:c r="AI207" s="11"/>
      <x:c r="AJ207" s="9"/>
      <x:c r="AK207" s="9" t="str">
        <x:v>Eval_Counting.xlsm</x:v>
      </x:c>
      <x:c r="AL207" s="9" t="str">
        <x:v>MolmoAct2 Results</x:v>
      </x:c>
      <x:c r="AM207" s="9" t="n">
        <x:v>57</x:v>
      </x:c>
      <x:c r="AN207" s="9" t="n">
        <x:v>57</x:v>
      </x:c>
    </x:row>
    <x:row r="208">
      <x:c r="A208" s="9" t="str">
        <x:v>Failure</x:v>
      </x:c>
      <x:c r="B208" s="9" t="str">
        <x:v>Counting</x:v>
      </x:c>
      <x:c r="C208" s="10" t="n">
        <x:v>56</x:v>
      </x:c>
      <x:c r="D208" s="9" t="str">
        <x:v>Make the bowl contain exactly two objects.</x:v>
      </x:c>
      <x:c r="E208" s="9" t="str">
        <x:v>Bowl objects: [blue pen] | Table objects: [green highlighter]</x:v>
      </x:c>
      <x:c r="F208" s="9" t="str">
        <x:v>ADD green highlighter; finish with 2 objects in the bowl</x:v>
      </x:c>
      <x:c r="G208" s="9" t="str">
        <x:v>didn't move</x:v>
      </x:c>
      <x:c r="H208" s="9" t="str">
        <x:v>Cross-task object reasoning</x:v>
      </x:c>
      <x:c r="I208" s="9" t="str">
        <x:v>XT-GH01</x:v>
      </x:c>
      <x:c r="J208" s="9" t="str">
        <x:v>Reasoning-only cross-task target: 1→2 addition</x:v>
      </x:c>
      <x:c r="K208" s="9"/>
      <x:c r="L208" s="9" t="str">
        <x:v>808; 708</x:v>
      </x:c>
      <x:c r="M208" s="9" t="str">
        <x:v>First episode grounds the Counting prompt/transition; episode 708 grounds direct green-highlighter manipulation. No exact green-highlighter Counting cell exists.</x:v>
      </x:c>
      <x:c r="N208" s="9" t="n">
        <x:v>5</x:v>
      </x:c>
      <x:c r="O208" s="9" t="str">
        <x:v>Build counterfactual cross-task scene B.</x:v>
      </x:c>
      <x:c r="P208" s="9" t="str">
        <x:v>The prompt never names the highlighter. The highlighter is the required object; the familiar Counting transition determines the action.</x:v>
      </x:c>
      <x:c r="Q208" s="9"/>
      <x:c r="R208" s="10"/>
      <x:c r="S208" s="10"/>
      <x:c r="T208" s="9"/>
      <x:c r="U208" s="9"/>
      <x:c r="V208" s="9"/>
      <x:c r="W208" s="9" t="str">
        <x:v>XT-GH01-B</x:v>
      </x:c>
      <x:c r="X208" s="10" t="n">
        <x:v>1</x:v>
      </x:c>
      <x:c r="Y208" s="10" t="n">
        <x:v>2</x:v>
      </x:c>
      <x:c r="Z208" s="9" t="str">
        <x:v>ADD</x:v>
      </x:c>
      <x:c r="AA208" s="9"/>
      <x:c r="AB208" s="9"/>
      <x:c r="AC208" s="9"/>
      <x:c r="AD208" s="9"/>
      <x:c r="AE208" s="9"/>
      <x:c r="AF208" s="9"/>
      <x:c r="AG208" s="9"/>
      <x:c r="AH208" s="9"/>
      <x:c r="AI208" s="11"/>
      <x:c r="AJ208" s="9"/>
      <x:c r="AK208" s="9" t="str">
        <x:v>Eval_Counting.xlsm</x:v>
      </x:c>
      <x:c r="AL208" s="9" t="str">
        <x:v>MolmoAct2 Results</x:v>
      </x:c>
      <x:c r="AM208" s="9" t="n">
        <x:v>58</x:v>
      </x:c>
      <x:c r="AN208" s="9" t="n">
        <x:v>58</x:v>
      </x:c>
    </x:row>
    <x:row r="209">
      <x:c r="A209" s="9" t="str">
        <x:v>Success</x:v>
      </x:c>
      <x:c r="B209" s="9" t="str">
        <x:v>Counting</x:v>
      </x:c>
      <x:c r="C209" s="10" t="n">
        <x:v>57</x:v>
      </x:c>
      <x:c r="D209" s="9" t="str">
        <x:v>Make the bowl contain exactly zero objects.</x:v>
      </x:c>
      <x:c r="E209" s="9" t="str">
        <x:v>Bowl objects: [blue pen] | Table objects: [green highlighter]</x:v>
      </x:c>
      <x:c r="F209" s="9" t="str">
        <x:v>REMOVE blue pen; finish with 0 objects in the bowl</x:v>
      </x:c>
      <x:c r="G209" s="9"/>
      <x:c r="H209" s="9" t="str">
        <x:v>Cross-task object reasoning</x:v>
      </x:c>
      <x:c r="I209" s="9" t="str">
        <x:v>XT-GH01</x:v>
      </x:c>
      <x:c r="J209" s="9" t="str">
        <x:v>Reasoning-only cross-task distractor: 1→0 removal</x:v>
      </x:c>
      <x:c r="K209" s="9" t="n">
        <x:v>56</x:v>
      </x:c>
      <x:c r="L209" s="9" t="str">
        <x:v>825; 708</x:v>
      </x:c>
      <x:c r="M209" s="9" t="str">
        <x:v>First episode grounds the Counting prompt/transition; episode 708 grounds direct green-highlighter manipulation. No exact green-highlighter Counting cell exists.</x:v>
      </x:c>
      <x:c r="N209" s="9" t="n">
        <x:v>5</x:v>
      </x:c>
      <x:c r="O209" s="9" t="str">
        <x:v>Reset the exact scene; change only the requested final count.</x:v>
      </x:c>
      <x:c r="P209" s="9" t="str">
        <x:v>The prompt never names the highlighter. The highlighter is a distractor; the familiar Counting transition determines the action.</x:v>
      </x:c>
      <x:c r="Q209" s="9"/>
      <x:c r="R209" s="10"/>
      <x:c r="S209" s="10"/>
      <x:c r="T209" s="9"/>
      <x:c r="U209" s="9"/>
      <x:c r="V209" s="9"/>
      <x:c r="W209" s="9" t="str">
        <x:v>XT-GH01-B</x:v>
      </x:c>
      <x:c r="X209" s="10" t="n">
        <x:v>1</x:v>
      </x:c>
      <x:c r="Y209" s="10" t="n">
        <x:v>0</x:v>
      </x:c>
      <x:c r="Z209" s="9" t="str">
        <x:v>REMOVE</x:v>
      </x:c>
      <x:c r="AA209" s="9"/>
      <x:c r="AB209" s="9"/>
      <x:c r="AC209" s="9"/>
      <x:c r="AD209" s="9"/>
      <x:c r="AE209" s="9"/>
      <x:c r="AF209" s="9"/>
      <x:c r="AG209" s="9"/>
      <x:c r="AH209" s="9"/>
      <x:c r="AI209" s="11"/>
      <x:c r="AJ209" s="9"/>
      <x:c r="AK209" s="9" t="str">
        <x:v>Eval_Counting.xlsm</x:v>
      </x:c>
      <x:c r="AL209" s="9" t="str">
        <x:v>MolmoAct2 Results</x:v>
      </x:c>
      <x:c r="AM209" s="9" t="n">
        <x:v>59</x:v>
      </x:c>
      <x:c r="AN209" s="9" t="n">
        <x:v>59</x:v>
      </x:c>
    </x:row>
    <x:row r="210">
      <x:c r="A210" s="9" t="str">
        <x:v>Failure</x:v>
      </x:c>
      <x:c r="B210" s="9" t="str">
        <x:v>Counting</x:v>
      </x:c>
      <x:c r="C210" s="10" t="n">
        <x:v>58</x:v>
      </x:c>
      <x:c r="D210" s="9" t="str">
        <x:v>Make the bowl contain exactly zero objects.</x:v>
      </x:c>
      <x:c r="E210" s="9" t="str">
        <x:v>Bowl objects: [green highlighter] | Table objects: [blue pen]</x:v>
      </x:c>
      <x:c r="F210" s="9" t="str">
        <x:v>REMOVE green highlighter; finish with 0 objects in the bowl</x:v>
      </x:c>
      <x:c r="G210" s="9" t="str">
        <x:v>tried to remove the green highlighter, but couldn't grasp it. Success for reasoning failure for grasping</x:v>
      </x:c>
      <x:c r="H210" s="9" t="str">
        <x:v>Cross-task object reasoning</x:v>
      </x:c>
      <x:c r="I210" s="9" t="str">
        <x:v>XT-GH05</x:v>
      </x:c>
      <x:c r="J210" s="9" t="str">
        <x:v>Reasoning-only cross-task target: 1→0 removal</x:v>
      </x:c>
      <x:c r="K210" s="9"/>
      <x:c r="L210" s="9" t="str">
        <x:v>825; 708</x:v>
      </x:c>
      <x:c r="M210" s="9" t="str">
        <x:v>First episode grounds the Counting prompt/transition; episode 708 grounds direct green-highlighter manipulation. No exact green-highlighter Counting cell exists.</x:v>
      </x:c>
      <x:c r="N210" s="9" t="n">
        <x:v>5</x:v>
      </x:c>
      <x:c r="O210" s="9" t="str">
        <x:v>Build counterfactual cross-task scene A.</x:v>
      </x:c>
      <x:c r="P210" s="9" t="str">
        <x:v>The prompt never names the highlighter. The highlighter is the required object; the familiar Counting transition determines the action.</x:v>
      </x:c>
      <x:c r="Q210" s="9"/>
      <x:c r="R210" s="10"/>
      <x:c r="S210" s="10"/>
      <x:c r="T210" s="9"/>
      <x:c r="U210" s="9"/>
      <x:c r="V210" s="9"/>
      <x:c r="W210" s="9" t="str">
        <x:v>XT-GH05-A</x:v>
      </x:c>
      <x:c r="X210" s="10" t="n">
        <x:v>1</x:v>
      </x:c>
      <x:c r="Y210" s="10" t="n">
        <x:v>0</x:v>
      </x:c>
      <x:c r="Z210" s="9" t="str">
        <x:v>REMOVE</x:v>
      </x:c>
      <x:c r="AA210" s="9"/>
      <x:c r="AB210" s="9"/>
      <x:c r="AC210" s="9"/>
      <x:c r="AD210" s="9"/>
      <x:c r="AE210" s="9"/>
      <x:c r="AF210" s="9"/>
      <x:c r="AG210" s="9"/>
      <x:c r="AH210" s="9"/>
      <x:c r="AI210" s="11"/>
      <x:c r="AJ210" s="9"/>
      <x:c r="AK210" s="9" t="str">
        <x:v>Eval_Counting.xlsm</x:v>
      </x:c>
      <x:c r="AL210" s="9" t="str">
        <x:v>MolmoAct2 Results</x:v>
      </x:c>
      <x:c r="AM210" s="9" t="n">
        <x:v>60</x:v>
      </x:c>
      <x:c r="AN210" s="9" t="n">
        <x:v>60</x:v>
      </x:c>
    </x:row>
    <x:row r="211">
      <x:c r="A211" s="9" t="str">
        <x:v>Failure</x:v>
      </x:c>
      <x:c r="B211" s="9" t="str">
        <x:v>Counting</x:v>
      </x:c>
      <x:c r="C211" s="10" t="n">
        <x:v>59</x:v>
      </x:c>
      <x:c r="D211" s="9" t="str">
        <x:v>Make the bowl contain exactly two objects.</x:v>
      </x:c>
      <x:c r="E211" s="9" t="str">
        <x:v>Bowl objects: [green highlighter] | Table objects: [blue pen]</x:v>
      </x:c>
      <x:c r="F211" s="9" t="str">
        <x:v>ADD blue pen; finish with 2 objects in the bowl</x:v>
      </x:c>
      <x:c r="G211" s="9" t="str">
        <x:v>didn't move</x:v>
      </x:c>
      <x:c r="H211" s="9" t="str">
        <x:v>Cross-task object reasoning</x:v>
      </x:c>
      <x:c r="I211" s="9" t="str">
        <x:v>XT-GH05</x:v>
      </x:c>
      <x:c r="J211" s="9" t="str">
        <x:v>Reasoning-only cross-task distractor: 1→2 addition</x:v>
      </x:c>
      <x:c r="K211" s="9" t="n">
        <x:v>58</x:v>
      </x:c>
      <x:c r="L211" s="9" t="str">
        <x:v>808; 708</x:v>
      </x:c>
      <x:c r="M211" s="9" t="str">
        <x:v>First episode grounds the Counting prompt/transition; episode 708 grounds direct green-highlighter manipulation. No exact green-highlighter Counting cell exists.</x:v>
      </x:c>
      <x:c r="N211" s="9" t="n">
        <x:v>5</x:v>
      </x:c>
      <x:c r="O211" s="9" t="str">
        <x:v>Reset the exact scene; change only the requested final count.</x:v>
      </x:c>
      <x:c r="P211" s="9" t="str">
        <x:v>The prompt never names the highlighter. The highlighter is a distractor; the familiar Counting transition determines the action.</x:v>
      </x:c>
      <x:c r="Q211" s="9"/>
      <x:c r="R211" s="10"/>
      <x:c r="S211" s="10"/>
      <x:c r="T211" s="9"/>
      <x:c r="U211" s="9"/>
      <x:c r="V211" s="9"/>
      <x:c r="W211" s="9" t="str">
        <x:v>XT-GH05-A</x:v>
      </x:c>
      <x:c r="X211" s="10" t="n">
        <x:v>1</x:v>
      </x:c>
      <x:c r="Y211" s="10" t="n">
        <x:v>2</x:v>
      </x:c>
      <x:c r="Z211" s="9" t="str">
        <x:v>ADD</x:v>
      </x:c>
      <x:c r="AA211" s="9"/>
      <x:c r="AB211" s="9"/>
      <x:c r="AC211" s="9"/>
      <x:c r="AD211" s="9"/>
      <x:c r="AE211" s="9"/>
      <x:c r="AF211" s="9"/>
      <x:c r="AG211" s="9"/>
      <x:c r="AH211" s="9"/>
      <x:c r="AI211" s="11"/>
      <x:c r="AJ211" s="9"/>
      <x:c r="AK211" s="9" t="str">
        <x:v>Eval_Counting.xlsm</x:v>
      </x:c>
      <x:c r="AL211" s="9" t="str">
        <x:v>MolmoAct2 Results</x:v>
      </x:c>
      <x:c r="AM211" s="9" t="n">
        <x:v>61</x:v>
      </x:c>
      <x:c r="AN211" s="9" t="n">
        <x:v>61</x:v>
      </x:c>
    </x:row>
    <x:row r="212">
      <x:c r="A212" s="9" t="str">
        <x:v>Failure</x:v>
      </x:c>
      <x:c r="B212" s="9" t="str">
        <x:v>Counting</x:v>
      </x:c>
      <x:c r="C212" s="10" t="n">
        <x:v>60</x:v>
      </x:c>
      <x:c r="D212" s="9" t="str">
        <x:v>Make the bowl contain exactly two objects.</x:v>
      </x:c>
      <x:c r="E212" s="9" t="str">
        <x:v>Bowl objects: [blue pen] | Table objects: [green highlighter]</x:v>
      </x:c>
      <x:c r="F212" s="9" t="str">
        <x:v>ADD green highlighter; finish with 2 objects in the bowl</x:v>
      </x:c>
      <x:c r="G212" s="9" t="str">
        <x:v>didn't move</x:v>
      </x:c>
      <x:c r="H212" s="9" t="str">
        <x:v>Cross-task object reasoning</x:v>
      </x:c>
      <x:c r="I212" s="9" t="str">
        <x:v>XT-GH05</x:v>
      </x:c>
      <x:c r="J212" s="9" t="str">
        <x:v>Reasoning-only cross-task target: 1→2 addition</x:v>
      </x:c>
      <x:c r="K212" s="9"/>
      <x:c r="L212" s="9" t="str">
        <x:v>808; 708</x:v>
      </x:c>
      <x:c r="M212" s="9" t="str">
        <x:v>First episode grounds the Counting prompt/transition; episode 708 grounds direct green-highlighter manipulation. No exact green-highlighter Counting cell exists.</x:v>
      </x:c>
      <x:c r="N212" s="9" t="n">
        <x:v>5</x:v>
      </x:c>
      <x:c r="O212" s="9" t="str">
        <x:v>Build counterfactual cross-task scene B.</x:v>
      </x:c>
      <x:c r="P212" s="9" t="str">
        <x:v>The prompt never names the highlighter. The highlighter is the required object; the familiar Counting transition determines the action.</x:v>
      </x:c>
      <x:c r="Q212" s="9"/>
      <x:c r="R212" s="10"/>
      <x:c r="S212" s="10"/>
      <x:c r="T212" s="9"/>
      <x:c r="U212" s="9"/>
      <x:c r="V212" s="9"/>
      <x:c r="W212" s="9" t="str">
        <x:v>XT-GH05-B</x:v>
      </x:c>
      <x:c r="X212" s="10" t="n">
        <x:v>1</x:v>
      </x:c>
      <x:c r="Y212" s="10" t="n">
        <x:v>2</x:v>
      </x:c>
      <x:c r="Z212" s="9" t="str">
        <x:v>ADD</x:v>
      </x:c>
      <x:c r="AA212" s="9"/>
      <x:c r="AB212" s="9"/>
      <x:c r="AC212" s="9"/>
      <x:c r="AD212" s="9"/>
      <x:c r="AE212" s="9"/>
      <x:c r="AF212" s="9"/>
      <x:c r="AG212" s="9"/>
      <x:c r="AH212" s="9"/>
      <x:c r="AI212" s="11"/>
      <x:c r="AJ212" s="9"/>
      <x:c r="AK212" s="9" t="str">
        <x:v>Eval_Counting.xlsm</x:v>
      </x:c>
      <x:c r="AL212" s="9" t="str">
        <x:v>MolmoAct2 Results</x:v>
      </x:c>
      <x:c r="AM212" s="9" t="n">
        <x:v>62</x:v>
      </x:c>
      <x:c r="AN212" s="9" t="n">
        <x:v>62</x:v>
      </x:c>
    </x:row>
    <x:row r="213">
      <x:c r="A213" s="9" t="str">
        <x:v>Failure</x:v>
      </x:c>
      <x:c r="B213" s="9" t="str">
        <x:v>Counting</x:v>
      </x:c>
      <x:c r="C213" s="10" t="n">
        <x:v>61</x:v>
      </x:c>
      <x:c r="D213" s="9" t="str">
        <x:v>Make the bowl contain exactly zero objects.</x:v>
      </x:c>
      <x:c r="E213" s="9" t="str">
        <x:v>Bowl objects: [blue pen] | Table objects: [green highlighter]</x:v>
      </x:c>
      <x:c r="F213" s="9" t="str">
        <x:v>REMOVE blue pen; finish with 0 objects in the bowl</x:v>
      </x:c>
      <x:c r="G213" s="9" t="str">
        <x:v>didn't move</x:v>
      </x:c>
      <x:c r="H213" s="9" t="str">
        <x:v>Cross-task object reasoning</x:v>
      </x:c>
      <x:c r="I213" s="9" t="str">
        <x:v>XT-GH05</x:v>
      </x:c>
      <x:c r="J213" s="9" t="str">
        <x:v>Reasoning-only cross-task distractor: 1→0 removal</x:v>
      </x:c>
      <x:c r="K213" s="9" t="n">
        <x:v>60</x:v>
      </x:c>
      <x:c r="L213" s="9" t="str">
        <x:v>825; 708</x:v>
      </x:c>
      <x:c r="M213" s="9" t="str">
        <x:v>First episode grounds the Counting prompt/transition; episode 708 grounds direct green-highlighter manipulation. No exact green-highlighter Counting cell exists.</x:v>
      </x:c>
      <x:c r="N213" s="9" t="n">
        <x:v>5</x:v>
      </x:c>
      <x:c r="O213" s="9" t="str">
        <x:v>Reset the exact scene; change only the requested final count.</x:v>
      </x:c>
      <x:c r="P213" s="9" t="str">
        <x:v>The prompt never names the highlighter. The highlighter is a distractor; the familiar Counting transition determines the action.</x:v>
      </x:c>
      <x:c r="Q213" s="9"/>
      <x:c r="R213" s="10"/>
      <x:c r="S213" s="10"/>
      <x:c r="T213" s="9"/>
      <x:c r="U213" s="9"/>
      <x:c r="V213" s="9"/>
      <x:c r="W213" s="9" t="str">
        <x:v>XT-GH05-B</x:v>
      </x:c>
      <x:c r="X213" s="10" t="n">
        <x:v>1</x:v>
      </x:c>
      <x:c r="Y213" s="10" t="n">
        <x:v>0</x:v>
      </x:c>
      <x:c r="Z213" s="9" t="str">
        <x:v>REMOVE</x:v>
      </x:c>
      <x:c r="AA213" s="9"/>
      <x:c r="AB213" s="9"/>
      <x:c r="AC213" s="9"/>
      <x:c r="AD213" s="9"/>
      <x:c r="AE213" s="9"/>
      <x:c r="AF213" s="9"/>
      <x:c r="AG213" s="9"/>
      <x:c r="AH213" s="9"/>
      <x:c r="AI213" s="11"/>
      <x:c r="AJ213" s="9"/>
      <x:c r="AK213" s="9" t="str">
        <x:v>Eval_Counting.xlsm</x:v>
      </x:c>
      <x:c r="AL213" s="9" t="str">
        <x:v>MolmoAct2 Results</x:v>
      </x:c>
      <x:c r="AM213" s="9" t="n">
        <x:v>63</x:v>
      </x:c>
      <x:c r="AN213" s="9" t="n">
        <x:v>63</x:v>
      </x:c>
    </x:row>
    <x:row r="214">
      <x:c r="A214" s="9" t="str">
        <x:v>Failure</x:v>
      </x:c>
      <x:c r="B214" s="9" t="str">
        <x:v>Counting</x:v>
      </x:c>
      <x:c r="C214" s="10" t="n">
        <x:v>62</x:v>
      </x:c>
      <x:c r="D214" s="9" t="str">
        <x:v>Leave exactly one object in the bowl.</x:v>
      </x:c>
      <x:c r="E214" s="9" t="str">
        <x:v>Bowl objects: [blue pen, yellow block] | Table objects: [green pencil sharpener, airplane toy without propellers]</x:v>
      </x:c>
      <x:c r="F214" s="9" t="str">
        <x:v>REMOVE any one bowl object; finish with 1 object in the bowl</x:v>
      </x:c>
      <x:c r="G214" s="9" t="str">
        <x:v>didn't move</x:v>
      </x:c>
      <x:c r="H214" s="9" t="str">
        <x:v>Concept/compositional transfer</x:v>
      </x:c>
      <x:c r="I214" s="9" t="str">
        <x:v>CT-CF25</x:v>
      </x:c>
      <x:c r="J214" s="9" t="str">
        <x:v>Primary: one via held-out 2→1 removal</x:v>
      </x:c>
      <x:c r="K214" s="9"/>
      <x:c r="L214" s="9" t="str">
        <x:v>831</x:v>
      </x:c>
      <x:c r="M214" s="9" t="str">
        <x:v>Representative direct-instruction trajectory for blue pen; the evaluated count × transition composition is intentionally absent.</x:v>
      </x:c>
      <x:c r="N214" s="9" t="n">
        <x:v>4</x:v>
      </x:c>
      <x:c r="O214" s="9" t="str">
        <x:v>Build the listed count-2 scene.</x:v>
      </x:c>
      <x:c r="P214" s="9" t="str">
        <x:v>The goal word one is trained, and this 2→1 trajectory is trained under a direct instruction, but the combination is withheld.</x:v>
      </x:c>
      <x:c r="Q214" s="9"/>
      <x:c r="R214" s="10"/>
      <x:c r="S214" s="10"/>
      <x:c r="T214" s="9"/>
      <x:c r="U214" s="9"/>
      <x:c r="V214" s="9"/>
      <x:c r="W214" s="9" t="str">
        <x:v>CT-CF25-REMOVE</x:v>
      </x:c>
      <x:c r="X214" s="10" t="n">
        <x:v>2</x:v>
      </x:c>
      <x:c r="Y214" s="10" t="n">
        <x:v>1</x:v>
      </x:c>
      <x:c r="Z214" s="9" t="str">
        <x:v>REMOVE</x:v>
      </x:c>
      <x:c r="AA214" s="9"/>
      <x:c r="AB214" s="9"/>
      <x:c r="AC214" s="9"/>
      <x:c r="AD214" s="9"/>
      <x:c r="AE214" s="9"/>
      <x:c r="AF214" s="9"/>
      <x:c r="AG214" s="9"/>
      <x:c r="AH214" s="9"/>
      <x:c r="AI214" s="11"/>
      <x:c r="AJ214" s="9"/>
      <x:c r="AK214" s="9" t="str">
        <x:v>Eval_Counting.xlsm</x:v>
      </x:c>
      <x:c r="AL214" s="9" t="str">
        <x:v>MolmoAct2 Results</x:v>
      </x:c>
      <x:c r="AM214" s="9" t="n">
        <x:v>64</x:v>
      </x:c>
      <x:c r="AN214" s="9" t="n">
        <x:v>64</x:v>
      </x:c>
    </x:row>
    <x:row r="215">
      <x:c r="A215" s="9" t="str">
        <x:v>Failure</x:v>
      </x:c>
      <x:c r="B215" s="9" t="str">
        <x:v>Counting</x:v>
      </x:c>
      <x:c r="C215" s="10" t="n">
        <x:v>63</x:v>
      </x:c>
      <x:c r="D215" s="9" t="str">
        <x:v>Leave exactly three objects in the bowl.</x:v>
      </x:c>
      <x:c r="E215" s="9" t="str">
        <x:v>Bowl objects: [blue pen, yellow block] | Table objects: [green pencil sharpener, airplane toy without propellers]</x:v>
      </x:c>
      <x:c r="F215" s="9" t="str">
        <x:v>ADD any one table object; finish with 3 objects in the bowl</x:v>
      </x:c>
      <x:c r="G215" s="9" t="str">
        <x:v>didn't move</x:v>
      </x:c>
      <x:c r="H215" s="9" t="str">
        <x:v>Concept/compositional transfer</x:v>
      </x:c>
      <x:c r="I215" s="9" t="str">
        <x:v>CT-CF25</x:v>
      </x:c>
      <x:c r="J215" s="9" t="str">
        <x:v>Primary: three via held-out 2→3 addition</x:v>
      </x:c>
      <x:c r="K215" s="9" t="n">
        <x:v>62</x:v>
      </x:c>
      <x:c r="L215" s="9" t="str">
        <x:v>966</x:v>
      </x:c>
      <x:c r="M215" s="9" t="str">
        <x:v>Representative direct-instruction trajectory for airplane toy without propellers; the evaluated count × transition composition is intentionally absent.</x:v>
      </x:c>
      <x:c r="N215" s="9" t="n">
        <x:v>4</x:v>
      </x:c>
      <x:c r="O215" s="9" t="str">
        <x:v>Reset the exact count-2 scene; change only the prompt.</x:v>
      </x:c>
      <x:c r="P215" s="9" t="str">
        <x:v>The goal word three is trained, and this 2→3 trajectory is trained under a direct instruction, but the combination is withheld.</x:v>
      </x:c>
      <x:c r="Q215" s="9"/>
      <x:c r="R215" s="10"/>
      <x:c r="S215" s="10"/>
      <x:c r="T215" s="9"/>
      <x:c r="U215" s="9"/>
      <x:c r="V215" s="9"/>
      <x:c r="W215" s="9" t="str">
        <x:v>CT-CF25-ADD</x:v>
      </x:c>
      <x:c r="X215" s="10" t="n">
        <x:v>2</x:v>
      </x:c>
      <x:c r="Y215" s="10" t="n">
        <x:v>3</x:v>
      </x:c>
      <x:c r="Z215" s="9" t="str">
        <x:v>ADD</x:v>
      </x:c>
      <x:c r="AA215" s="9"/>
      <x:c r="AB215" s="9"/>
      <x:c r="AC215" s="9"/>
      <x:c r="AD215" s="9"/>
      <x:c r="AE215" s="9"/>
      <x:c r="AF215" s="9"/>
      <x:c r="AG215" s="9"/>
      <x:c r="AH215" s="9"/>
      <x:c r="AI215" s="11"/>
      <x:c r="AJ215" s="9"/>
      <x:c r="AK215" s="9" t="str">
        <x:v>Eval_Counting.xlsm</x:v>
      </x:c>
      <x:c r="AL215" s="9" t="str">
        <x:v>MolmoAct2 Results</x:v>
      </x:c>
      <x:c r="AM215" s="9" t="n">
        <x:v>65</x:v>
      </x:c>
      <x:c r="AN215" s="9" t="n">
        <x:v>65</x:v>
      </x:c>
    </x:row>
    <x:row r="216">
      <x:c r="A216" s="9" t="str">
        <x:v>Failure</x:v>
      </x:c>
      <x:c r="B216" s="9" t="str">
        <x:v>Counting</x:v>
      </x:c>
      <x:c r="C216" s="10" t="n">
        <x:v>64</x:v>
      </x:c>
      <x:c r="D216" s="9" t="str">
        <x:v>Leave exactly three objects in the bowl.</x:v>
      </x:c>
      <x:c r="E216" s="9" t="str">
        <x:v>Bowl objects: [blue pen, green pencil sharpener] | Table objects: [yellow block, airplane toy without propellers]</x:v>
      </x:c>
      <x:c r="F216" s="9" t="str">
        <x:v>ADD any one table object; finish with 3 objects in the bowl</x:v>
      </x:c>
      <x:c r="G216" s="9" t="str">
        <x:v>didn't move</x:v>
      </x:c>
      <x:c r="H216" s="9" t="str">
        <x:v>Concept/compositional transfer</x:v>
      </x:c>
      <x:c r="I216" s="9" t="str">
        <x:v>CT-CF14</x:v>
      </x:c>
      <x:c r="J216" s="9" t="str">
        <x:v>Primary: three via held-out 2→3 addition</x:v>
      </x:c>
      <x:c r="K216" s="9"/>
      <x:c r="L216" s="9" t="str">
        <x:v>866</x:v>
      </x:c>
      <x:c r="M216" s="9" t="str">
        <x:v>Representative direct-instruction trajectory for yellow block; the evaluated count × transition composition is intentionally absent.</x:v>
      </x:c>
      <x:c r="N216" s="9" t="n">
        <x:v>4</x:v>
      </x:c>
      <x:c r="O216" s="9" t="str">
        <x:v>Reset the exact count-2 scene; change only the prompt.</x:v>
      </x:c>
      <x:c r="P216" s="9" t="str">
        <x:v>The goal word three is trained, and this 2→3 trajectory is trained under a direct instruction, but the combination is withheld.</x:v>
      </x:c>
      <x:c r="Q216" s="9"/>
      <x:c r="R216" s="10"/>
      <x:c r="S216" s="10"/>
      <x:c r="T216" s="9"/>
      <x:c r="U216" s="9"/>
      <x:c r="V216" s="9"/>
      <x:c r="W216" s="9" t="str">
        <x:v>CT-CF14-ADD</x:v>
      </x:c>
      <x:c r="X216" s="10" t="n">
        <x:v>2</x:v>
      </x:c>
      <x:c r="Y216" s="10" t="n">
        <x:v>3</x:v>
      </x:c>
      <x:c r="Z216" s="9" t="str">
        <x:v>ADD</x:v>
      </x:c>
      <x:c r="AA216" s="9"/>
      <x:c r="AB216" s="9"/>
      <x:c r="AC216" s="9"/>
      <x:c r="AD216" s="9"/>
      <x:c r="AE216" s="9"/>
      <x:c r="AF216" s="9"/>
      <x:c r="AG216" s="9"/>
      <x:c r="AH216" s="9"/>
      <x:c r="AI216" s="11"/>
      <x:c r="AJ216" s="9"/>
      <x:c r="AK216" s="9" t="str">
        <x:v>Eval_Counting.xlsm</x:v>
      </x:c>
      <x:c r="AL216" s="9" t="str">
        <x:v>MolmoAct2 Results</x:v>
      </x:c>
      <x:c r="AM216" s="9" t="n">
        <x:v>66</x:v>
      </x:c>
      <x:c r="AN216" s="9" t="n">
        <x:v>66</x:v>
      </x:c>
    </x:row>
    <x:row r="217">
      <x:c r="A217" s="9" t="str">
        <x:v>Failure</x:v>
      </x:c>
      <x:c r="B217" s="9" t="str">
        <x:v>Counting</x:v>
      </x:c>
      <x:c r="C217" s="10" t="n">
        <x:v>65</x:v>
      </x:c>
      <x:c r="D217" s="9" t="str">
        <x:v>Leave exactly one object in the bowl.</x:v>
      </x:c>
      <x:c r="E217" s="9" t="str">
        <x:v>Bowl objects: [blue pen, green pencil sharpener] | Table objects: [yellow block, airplane toy without propellers]</x:v>
      </x:c>
      <x:c r="F217" s="9" t="str">
        <x:v>REMOVE any one bowl object; finish with 1 object in the bowl</x:v>
      </x:c>
      <x:c r="G217" s="9" t="str">
        <x:v>didn't move</x:v>
      </x:c>
      <x:c r="H217" s="9" t="str">
        <x:v>Concept/compositional transfer</x:v>
      </x:c>
      <x:c r="I217" s="9" t="str">
        <x:v>CT-CF14</x:v>
      </x:c>
      <x:c r="J217" s="9" t="str">
        <x:v>Primary: one via held-out 2→1 removal</x:v>
      </x:c>
      <x:c r="K217" s="9" t="n">
        <x:v>64</x:v>
      </x:c>
      <x:c r="L217" s="9" t="str">
        <x:v>931</x:v>
      </x:c>
      <x:c r="M217" s="9" t="str">
        <x:v>Representative direct-instruction trajectory for green pencil sharpener; the evaluated count × transition composition is intentionally absent.</x:v>
      </x:c>
      <x:c r="N217" s="9" t="n">
        <x:v>4</x:v>
      </x:c>
      <x:c r="O217" s="9" t="str">
        <x:v>Build the listed count-2 scene.</x:v>
      </x:c>
      <x:c r="P217" s="9" t="str">
        <x:v>The goal word one is trained, and this 2→1 trajectory is trained under a direct instruction, but the combination is withheld.</x:v>
      </x:c>
      <x:c r="Q217" s="9"/>
      <x:c r="R217" s="10"/>
      <x:c r="S217" s="10"/>
      <x:c r="T217" s="9"/>
      <x:c r="U217" s="9"/>
      <x:c r="V217" s="9"/>
      <x:c r="W217" s="9" t="str">
        <x:v>CT-CF14-REMOVE</x:v>
      </x:c>
      <x:c r="X217" s="10" t="n">
        <x:v>2</x:v>
      </x:c>
      <x:c r="Y217" s="10" t="n">
        <x:v>1</x:v>
      </x:c>
      <x:c r="Z217" s="9" t="str">
        <x:v>REMOVE</x:v>
      </x:c>
      <x:c r="AA217" s="9"/>
      <x:c r="AB217" s="9"/>
      <x:c r="AC217" s="9"/>
      <x:c r="AD217" s="9"/>
      <x:c r="AE217" s="9"/>
      <x:c r="AF217" s="9"/>
      <x:c r="AG217" s="9"/>
      <x:c r="AH217" s="9"/>
      <x:c r="AI217" s="11"/>
      <x:c r="AJ217" s="9"/>
      <x:c r="AK217" s="9" t="str">
        <x:v>Eval_Counting.xlsm</x:v>
      </x:c>
      <x:c r="AL217" s="9" t="str">
        <x:v>MolmoAct2 Results</x:v>
      </x:c>
      <x:c r="AM217" s="9" t="n">
        <x:v>67</x:v>
      </x:c>
      <x:c r="AN217" s="9" t="n">
        <x:v>67</x:v>
      </x:c>
    </x:row>
    <x:row r="218">
      <x:c r="A218" s="9" t="str">
        <x:v>Failure</x:v>
      </x:c>
      <x:c r="B218" s="9" t="str">
        <x:v>Counting</x:v>
      </x:c>
      <x:c r="C218" s="10" t="n">
        <x:v>66</x:v>
      </x:c>
      <x:c r="D218" s="9" t="str">
        <x:v>Leave exactly three objects in the bowl.</x:v>
      </x:c>
      <x:c r="E218" s="9" t="str">
        <x:v>Bowl objects: [blue pen, green pencil sharpener] | Table objects: [yellow block, airplane toy without propellers]</x:v>
      </x:c>
      <x:c r="F218" s="9" t="str">
        <x:v>ADD any one table object; finish with 3 objects in the bowl</x:v>
      </x:c>
      <x:c r="G218" s="9" t="str">
        <x:v>didn't move</x:v>
      </x:c>
      <x:c r="H218" s="9" t="str">
        <x:v>Concept/compositional transfer</x:v>
      </x:c>
      <x:c r="I218" s="9" t="str">
        <x:v>CT-CF20</x:v>
      </x:c>
      <x:c r="J218" s="9" t="str">
        <x:v>Primary: three via held-out 2→3 addition</x:v>
      </x:c>
      <x:c r="K218" s="9"/>
      <x:c r="L218" s="9" t="str">
        <x:v>866</x:v>
      </x:c>
      <x:c r="M218" s="9" t="str">
        <x:v>Representative direct-instruction trajectory for yellow block; the evaluated count × transition composition is intentionally absent.</x:v>
      </x:c>
      <x:c r="N218" s="9" t="n">
        <x:v>4</x:v>
      </x:c>
      <x:c r="O218" s="9" t="str">
        <x:v>Reset the exact count-2 scene; change only the prompt.</x:v>
      </x:c>
      <x:c r="P218" s="9" t="str">
        <x:v>The goal word three is trained, and this 2→3 trajectory is trained under a direct instruction, but the combination is withheld.</x:v>
      </x:c>
      <x:c r="Q218" s="9"/>
      <x:c r="R218" s="10"/>
      <x:c r="S218" s="10"/>
      <x:c r="T218" s="9"/>
      <x:c r="U218" s="9"/>
      <x:c r="V218" s="9"/>
      <x:c r="W218" s="9" t="str">
        <x:v>CT-CF20-ADD</x:v>
      </x:c>
      <x:c r="X218" s="10" t="n">
        <x:v>2</x:v>
      </x:c>
      <x:c r="Y218" s="10" t="n">
        <x:v>3</x:v>
      </x:c>
      <x:c r="Z218" s="9" t="str">
        <x:v>ADD</x:v>
      </x:c>
      <x:c r="AA218" s="9"/>
      <x:c r="AB218" s="9"/>
      <x:c r="AC218" s="9"/>
      <x:c r="AD218" s="9"/>
      <x:c r="AE218" s="9"/>
      <x:c r="AF218" s="9"/>
      <x:c r="AG218" s="9"/>
      <x:c r="AH218" s="9"/>
      <x:c r="AI218" s="11"/>
      <x:c r="AJ218" s="9"/>
      <x:c r="AK218" s="9" t="str">
        <x:v>Eval_Counting.xlsm</x:v>
      </x:c>
      <x:c r="AL218" s="9" t="str">
        <x:v>MolmoAct2 Results</x:v>
      </x:c>
      <x:c r="AM218" s="9" t="n">
        <x:v>68</x:v>
      </x:c>
      <x:c r="AN218" s="9" t="n">
        <x:v>68</x:v>
      </x:c>
    </x:row>
    <x:row r="219">
      <x:c r="A219" s="9" t="str">
        <x:v>Failure</x:v>
      </x:c>
      <x:c r="B219" s="9" t="str">
        <x:v>Counting</x:v>
      </x:c>
      <x:c r="C219" s="10" t="n">
        <x:v>67</x:v>
      </x:c>
      <x:c r="D219" s="9" t="str">
        <x:v>Leave exactly one object in the bowl.</x:v>
      </x:c>
      <x:c r="E219" s="9" t="str">
        <x:v>Bowl objects: [blue pen, green pencil sharpener] | Table objects: [yellow block, airplane toy without propellers]</x:v>
      </x:c>
      <x:c r="F219" s="9" t="str">
        <x:v>REMOVE any one bowl object; finish with 1 object in the bowl</x:v>
      </x:c>
      <x:c r="G219" s="9" t="str">
        <x:v>didn't move</x:v>
      </x:c>
      <x:c r="H219" s="9" t="str">
        <x:v>Concept/compositional transfer</x:v>
      </x:c>
      <x:c r="I219" s="9" t="str">
        <x:v>CT-CF20</x:v>
      </x:c>
      <x:c r="J219" s="9" t="str">
        <x:v>Primary: one via held-out 2→1 removal</x:v>
      </x:c>
      <x:c r="K219" s="9" t="n">
        <x:v>66</x:v>
      </x:c>
      <x:c r="L219" s="9" t="str">
        <x:v>931</x:v>
      </x:c>
      <x:c r="M219" s="9" t="str">
        <x:v>Representative direct-instruction trajectory for green pencil sharpener; the evaluated count × transition composition is intentionally absent.</x:v>
      </x:c>
      <x:c r="N219" s="9" t="n">
        <x:v>4</x:v>
      </x:c>
      <x:c r="O219" s="9" t="str">
        <x:v>Build the listed count-2 scene.</x:v>
      </x:c>
      <x:c r="P219" s="9" t="str">
        <x:v>The goal word one is trained, and this 2→1 trajectory is trained under a direct instruction, but the combination is withheld.</x:v>
      </x:c>
      <x:c r="Q219" s="9"/>
      <x:c r="R219" s="10"/>
      <x:c r="S219" s="10"/>
      <x:c r="T219" s="9"/>
      <x:c r="U219" s="9"/>
      <x:c r="V219" s="9"/>
      <x:c r="W219" s="9" t="str">
        <x:v>CT-CF20-REMOVE</x:v>
      </x:c>
      <x:c r="X219" s="10" t="n">
        <x:v>2</x:v>
      </x:c>
      <x:c r="Y219" s="10" t="n">
        <x:v>1</x:v>
      </x:c>
      <x:c r="Z219" s="9" t="str">
        <x:v>REMOVE</x:v>
      </x:c>
      <x:c r="AA219" s="9"/>
      <x:c r="AB219" s="9"/>
      <x:c r="AC219" s="9"/>
      <x:c r="AD219" s="9"/>
      <x:c r="AE219" s="9"/>
      <x:c r="AF219" s="9"/>
      <x:c r="AG219" s="9"/>
      <x:c r="AH219" s="9"/>
      <x:c r="AI219" s="11"/>
      <x:c r="AJ219" s="9"/>
      <x:c r="AK219" s="9" t="str">
        <x:v>Eval_Counting.xlsm</x:v>
      </x:c>
      <x:c r="AL219" s="9" t="str">
        <x:v>MolmoAct2 Results</x:v>
      </x:c>
      <x:c r="AM219" s="9" t="n">
        <x:v>69</x:v>
      </x:c>
      <x:c r="AN219" s="9" t="n">
        <x:v>69</x:v>
      </x:c>
    </x:row>
    <x:row r="220">
      <x:c r="A220" s="9" t="str">
        <x:v>Failure</x:v>
      </x:c>
      <x:c r="B220" s="9" t="str">
        <x:v>Counting</x:v>
      </x:c>
      <x:c r="C220" s="10" t="n">
        <x:v>68</x:v>
      </x:c>
      <x:c r="D220" s="9" t="str">
        <x:v>Leave exactly one object in the bowl.</x:v>
      </x:c>
      <x:c r="E220" s="9" t="str">
        <x:v>Bowl objects: [blue pen, yellow block] | Table objects: [green pencil sharpener]</x:v>
      </x:c>
      <x:c r="F220" s="9" t="str">
        <x:v>REMOVE any one bowl object; finish with 1 object in the bowl</x:v>
      </x:c>
      <x:c r="G220" s="9" t="str">
        <x:v>didn't move</x:v>
      </x:c>
      <x:c r="H220" s="9" t="str">
        <x:v>Concept/compositional transfer</x:v>
      </x:c>
      <x:c r="I220" s="9" t="str">
        <x:v>CT-CF07</x:v>
      </x:c>
      <x:c r="J220" s="9" t="str">
        <x:v>Primary: one via held-out 2→1 removal</x:v>
      </x:c>
      <x:c r="K220" s="9"/>
      <x:c r="L220" s="9" t="str">
        <x:v>831</x:v>
      </x:c>
      <x:c r="M220" s="9" t="str">
        <x:v>Representative direct-instruction trajectory for blue pen; the evaluated count × transition composition is intentionally absent.</x:v>
      </x:c>
      <x:c r="N220" s="9" t="n">
        <x:v>3</x:v>
      </x:c>
      <x:c r="O220" s="9" t="str">
        <x:v>Build the listed count-2 scene.</x:v>
      </x:c>
      <x:c r="P220" s="9" t="str">
        <x:v>The goal word one is trained, and this 2→1 trajectory is trained under a direct instruction, but the combination is withheld.</x:v>
      </x:c>
      <x:c r="Q220" s="9"/>
      <x:c r="R220" s="10"/>
      <x:c r="S220" s="10"/>
      <x:c r="T220" s="9"/>
      <x:c r="U220" s="9"/>
      <x:c r="V220" s="9"/>
      <x:c r="W220" s="9" t="str">
        <x:v>CT-CF07-REMOVE</x:v>
      </x:c>
      <x:c r="X220" s="10" t="n">
        <x:v>2</x:v>
      </x:c>
      <x:c r="Y220" s="10" t="n">
        <x:v>1</x:v>
      </x:c>
      <x:c r="Z220" s="9" t="str">
        <x:v>REMOVE</x:v>
      </x:c>
      <x:c r="AA220" s="9"/>
      <x:c r="AB220" s="9"/>
      <x:c r="AC220" s="9"/>
      <x:c r="AD220" s="9"/>
      <x:c r="AE220" s="9"/>
      <x:c r="AF220" s="9"/>
      <x:c r="AG220" s="9"/>
      <x:c r="AH220" s="9"/>
      <x:c r="AI220" s="11"/>
      <x:c r="AJ220" s="9"/>
      <x:c r="AK220" s="9" t="str">
        <x:v>Eval_Counting.xlsm</x:v>
      </x:c>
      <x:c r="AL220" s="9" t="str">
        <x:v>MolmoAct2 Results</x:v>
      </x:c>
      <x:c r="AM220" s="9" t="n">
        <x:v>70</x:v>
      </x:c>
      <x:c r="AN220" s="9" t="n">
        <x:v>70</x:v>
      </x:c>
    </x:row>
    <x:row r="221">
      <x:c r="A221" s="9" t="str">
        <x:v>Failure</x:v>
      </x:c>
      <x:c r="B221" s="9" t="str">
        <x:v>Counting</x:v>
      </x:c>
      <x:c r="C221" s="10" t="n">
        <x:v>69</x:v>
      </x:c>
      <x:c r="D221" s="9" t="str">
        <x:v>Move the yellow block from the bowl to the table.</x:v>
      </x:c>
      <x:c r="E221" s="9" t="str">
        <x:v>Bowl objects: [blue pen, yellow block] | Table objects: [green pencil sharpener]</x:v>
      </x:c>
      <x:c r="F221" s="9" t="str">
        <x:v>REMOVE yellow block</x:v>
      </x:c>
      <x:c r="G221" s="9" t="str">
        <x:v>successful reasoning. went for yellow block but could not grasp it</x:v>
      </x:c>
      <x:c r="H221" s="9" t="str">
        <x:v>Matched manipulation control</x:v>
      </x:c>
      <x:c r="I221" s="9" t="str">
        <x:v>CT-CF07</x:v>
      </x:c>
      <x:c r="J221" s="9" t="str">
        <x:v>Matched direct REMOVE control</x:v>
      </x:c>
      <x:c r="K221" s="9" t="n">
        <x:v>68</x:v>
      </x:c>
      <x:c r="L221" s="9" t="str">
        <x:v>885</x:v>
      </x:c>
      <x:c r="M221" s="9" t="str">
        <x:v>Exact direct-prompt trajectory for the named object and action direction; evaluation layout is reset manually.</x:v>
      </x:c>
      <x:c r="N221" s="9" t="n">
        <x:v>3</x:v>
      </x:c>
      <x:c r="O221" s="9" t="str">
        <x:v>Reset the exact count-2 scene; change only the prompt.</x:v>
      </x:c>
      <x:c r="P221" s="9" t="str">
        <x:v>The direct prompt is present in Counting training for this same-task object and action direction.</x:v>
      </x:c>
      <x:c r="Q221" s="9"/>
      <x:c r="R221" s="10"/>
      <x:c r="S221" s="10"/>
      <x:c r="T221" s="9"/>
      <x:c r="U221" s="9"/>
      <x:c r="V221" s="9"/>
      <x:c r="W221" s="9" t="str">
        <x:v>CT-CF07-REMOVE</x:v>
      </x:c>
      <x:c r="X221" s="10" t="n">
        <x:v>2</x:v>
      </x:c>
      <x:c r="Y221" s="10" t="n">
        <x:v>1</x:v>
      </x:c>
      <x:c r="Z221" s="9" t="str">
        <x:v>REMOVE</x:v>
      </x:c>
      <x:c r="AA221" s="9"/>
      <x:c r="AB221" s="9"/>
      <x:c r="AC221" s="9"/>
      <x:c r="AD221" s="9"/>
      <x:c r="AE221" s="9"/>
      <x:c r="AF221" s="9"/>
      <x:c r="AG221" s="9"/>
      <x:c r="AH221" s="9"/>
      <x:c r="AI221" s="11"/>
      <x:c r="AJ221" s="9"/>
      <x:c r="AK221" s="9" t="str">
        <x:v>Eval_Counting.xlsm</x:v>
      </x:c>
      <x:c r="AL221" s="9" t="str">
        <x:v>MolmoAct2 Results</x:v>
      </x:c>
      <x:c r="AM221" s="9" t="n">
        <x:v>71</x:v>
      </x:c>
      <x:c r="AN221" s="9" t="n">
        <x:v>71</x:v>
      </x:c>
    </x:row>
    <x:row r="222">
      <x:c r="A222" s="9" t="str">
        <x:v>Success</x:v>
      </x:c>
      <x:c r="B222" s="9" t="str">
        <x:v>Counting</x:v>
      </x:c>
      <x:c r="C222" s="10" t="n">
        <x:v>70</x:v>
      </x:c>
      <x:c r="D222" s="9" t="str">
        <x:v>Move the green pencil sharpener into the bowl.</x:v>
      </x:c>
      <x:c r="E222" s="9" t="str">
        <x:v>Bowl objects: [blue pen, yellow block] | Table objects: [green pencil sharpener]</x:v>
      </x:c>
      <x:c r="F222" s="9" t="str">
        <x:v>ADD green pencil sharpener</x:v>
      </x:c>
      <x:c r="G222" s="9"/>
      <x:c r="H222" s="9" t="str">
        <x:v>Matched manipulation control</x:v>
      </x:c>
      <x:c r="I222" s="9" t="str">
        <x:v>CT-CF07</x:v>
      </x:c>
      <x:c r="J222" s="9" t="str">
        <x:v>Matched direct ADD control</x:v>
      </x:c>
      <x:c r="K222" s="9"/>
      <x:c r="L222" s="9" t="str">
        <x:v>917</x:v>
      </x:c>
      <x:c r="M222" s="9" t="str">
        <x:v>Exact direct-prompt trajectory for the named object and action direction; evaluation layout is reset manually.</x:v>
      </x:c>
      <x:c r="N222" s="9" t="n">
        <x:v>3</x:v>
      </x:c>
      <x:c r="O222" s="9" t="str">
        <x:v>Reset the exact count-2 scene; change only the prompt.</x:v>
      </x:c>
      <x:c r="P222" s="9" t="str">
        <x:v>The direct prompt is present in Counting training for this same-task object and action direction.</x:v>
      </x:c>
      <x:c r="Q222" s="9"/>
      <x:c r="R222" s="10"/>
      <x:c r="S222" s="10"/>
      <x:c r="T222" s="9"/>
      <x:c r="U222" s="9"/>
      <x:c r="V222" s="9"/>
      <x:c r="W222" s="9" t="str">
        <x:v>CT-CF07-ADD</x:v>
      </x:c>
      <x:c r="X222" s="10" t="n">
        <x:v>2</x:v>
      </x:c>
      <x:c r="Y222" s="10" t="n">
        <x:v>3</x:v>
      </x:c>
      <x:c r="Z222" s="9" t="str">
        <x:v>ADD</x:v>
      </x:c>
      <x:c r="AA222" s="9"/>
      <x:c r="AB222" s="9"/>
      <x:c r="AC222" s="9"/>
      <x:c r="AD222" s="9"/>
      <x:c r="AE222" s="9"/>
      <x:c r="AF222" s="9"/>
      <x:c r="AG222" s="9"/>
      <x:c r="AH222" s="9"/>
      <x:c r="AI222" s="11"/>
      <x:c r="AJ222" s="9"/>
      <x:c r="AK222" s="9" t="str">
        <x:v>Eval_Counting.xlsm</x:v>
      </x:c>
      <x:c r="AL222" s="9" t="str">
        <x:v>MolmoAct2 Results</x:v>
      </x:c>
      <x:c r="AM222" s="9" t="n">
        <x:v>72</x:v>
      </x:c>
      <x:c r="AN222" s="9" t="n">
        <x:v>72</x:v>
      </x:c>
    </x:row>
    <x:row r="223">
      <x:c r="A223" s="9" t="str">
        <x:v>Failure</x:v>
      </x:c>
      <x:c r="B223" s="9" t="str">
        <x:v>Counting</x:v>
      </x:c>
      <x:c r="C223" s="10" t="n">
        <x:v>71</x:v>
      </x:c>
      <x:c r="D223" s="9" t="str">
        <x:v>Leave exactly three objects in the bowl.</x:v>
      </x:c>
      <x:c r="E223" s="9" t="str">
        <x:v>Bowl objects: [blue pen, yellow block] | Table objects: [green pencil sharpener]</x:v>
      </x:c>
      <x:c r="F223" s="9" t="str">
        <x:v>ADD any one table object; finish with 3 objects in the bowl</x:v>
      </x:c>
      <x:c r="G223" s="9" t="str">
        <x:v>didn't move</x:v>
      </x:c>
      <x:c r="H223" s="9" t="str">
        <x:v>Concept/compositional transfer</x:v>
      </x:c>
      <x:c r="I223" s="9" t="str">
        <x:v>CT-CF07</x:v>
      </x:c>
      <x:c r="J223" s="9" t="str">
        <x:v>Primary: three via held-out 2→3 addition</x:v>
      </x:c>
      <x:c r="K223" s="9" t="n">
        <x:v>70</x:v>
      </x:c>
      <x:c r="L223" s="9" t="str">
        <x:v>916</x:v>
      </x:c>
      <x:c r="M223" s="9" t="str">
        <x:v>Representative direct-instruction trajectory for green pencil sharpener; the evaluated count × transition composition is intentionally absent.</x:v>
      </x:c>
      <x:c r="N223" s="9" t="n">
        <x:v>3</x:v>
      </x:c>
      <x:c r="O223" s="9" t="str">
        <x:v>Reset the exact count-2 scene; change only the prompt.</x:v>
      </x:c>
      <x:c r="P223" s="9" t="str">
        <x:v>The goal word three is trained, and this 2→3 trajectory is trained under a direct instruction, but the combination is withheld.</x:v>
      </x:c>
      <x:c r="Q223" s="9"/>
      <x:c r="R223" s="10"/>
      <x:c r="S223" s="10"/>
      <x:c r="T223" s="9"/>
      <x:c r="U223" s="9"/>
      <x:c r="V223" s="9"/>
      <x:c r="W223" s="9" t="str">
        <x:v>CT-CF07-ADD</x:v>
      </x:c>
      <x:c r="X223" s="10" t="n">
        <x:v>2</x:v>
      </x:c>
      <x:c r="Y223" s="10" t="n">
        <x:v>3</x:v>
      </x:c>
      <x:c r="Z223" s="9" t="str">
        <x:v>ADD</x:v>
      </x:c>
      <x:c r="AA223" s="9"/>
      <x:c r="AB223" s="9"/>
      <x:c r="AC223" s="9"/>
      <x:c r="AD223" s="9"/>
      <x:c r="AE223" s="9"/>
      <x:c r="AF223" s="9"/>
      <x:c r="AG223" s="9"/>
      <x:c r="AH223" s="9"/>
      <x:c r="AI223" s="11"/>
      <x:c r="AJ223" s="9"/>
      <x:c r="AK223" s="9" t="str">
        <x:v>Eval_Counting.xlsm</x:v>
      </x:c>
      <x:c r="AL223" s="9" t="str">
        <x:v>MolmoAct2 Results</x:v>
      </x:c>
      <x:c r="AM223" s="9" t="n">
        <x:v>73</x:v>
      </x:c>
      <x:c r="AN223" s="9" t="n">
        <x:v>73</x:v>
      </x:c>
    </x:row>
    <x:row r="224">
      <x:c r="A224" s="9" t="str">
        <x:v>Failure</x:v>
      </x:c>
      <x:c r="B224" s="9" t="str">
        <x:v>Counting</x:v>
      </x:c>
      <x:c r="C224" s="10" t="n">
        <x:v>72</x:v>
      </x:c>
      <x:c r="D224" s="9" t="str">
        <x:v>Leave exactly three objects in the bowl.</x:v>
      </x:c>
      <x:c r="E224" s="9" t="str">
        <x:v>Bowl objects: [blue pen, green pencil sharpener] | Table objects: [yellow block, airplane toy without propellers]</x:v>
      </x:c>
      <x:c r="F224" s="9" t="str">
        <x:v>ADD any one table object; finish with 3 objects in the bowl</x:v>
      </x:c>
      <x:c r="G224" s="9" t="str">
        <x:v>didn't move</x:v>
      </x:c>
      <x:c r="H224" s="9" t="str">
        <x:v>Concept/compositional transfer</x:v>
      </x:c>
      <x:c r="I224" s="9" t="str">
        <x:v>CT-CF08</x:v>
      </x:c>
      <x:c r="J224" s="9" t="str">
        <x:v>Primary: three via held-out 2→3 addition</x:v>
      </x:c>
      <x:c r="K224" s="9"/>
      <x:c r="L224" s="9" t="str">
        <x:v>866</x:v>
      </x:c>
      <x:c r="M224" s="9" t="str">
        <x:v>Representative direct-instruction trajectory for yellow block; the evaluated count × transition composition is intentionally absent.</x:v>
      </x:c>
      <x:c r="N224" s="9" t="n">
        <x:v>3</x:v>
      </x:c>
      <x:c r="O224" s="9" t="str">
        <x:v>Reset the exact count-2 scene; change only the prompt.</x:v>
      </x:c>
      <x:c r="P224" s="9" t="str">
        <x:v>The goal word three is trained, and this 2→3 trajectory is trained under a direct instruction, but the combination is withheld.</x:v>
      </x:c>
      <x:c r="Q224" s="9"/>
      <x:c r="R224" s="10"/>
      <x:c r="S224" s="10"/>
      <x:c r="T224" s="9"/>
      <x:c r="U224" s="9"/>
      <x:c r="V224" s="9"/>
      <x:c r="W224" s="9" t="str">
        <x:v>CT-CF08-ADD</x:v>
      </x:c>
      <x:c r="X224" s="10" t="n">
        <x:v>2</x:v>
      </x:c>
      <x:c r="Y224" s="10" t="n">
        <x:v>3</x:v>
      </x:c>
      <x:c r="Z224" s="9" t="str">
        <x:v>ADD</x:v>
      </x:c>
      <x:c r="AA224" s="9"/>
      <x:c r="AB224" s="9"/>
      <x:c r="AC224" s="9"/>
      <x:c r="AD224" s="9"/>
      <x:c r="AE224" s="9"/>
      <x:c r="AF224" s="9"/>
      <x:c r="AG224" s="9"/>
      <x:c r="AH224" s="9"/>
      <x:c r="AI224" s="11"/>
      <x:c r="AJ224" s="9"/>
      <x:c r="AK224" s="9" t="str">
        <x:v>Eval_Counting.xlsm</x:v>
      </x:c>
      <x:c r="AL224" s="9" t="str">
        <x:v>MolmoAct2 Results</x:v>
      </x:c>
      <x:c r="AM224" s="9" t="n">
        <x:v>74</x:v>
      </x:c>
      <x:c r="AN224" s="9" t="n">
        <x:v>74</x:v>
      </x:c>
    </x:row>
    <x:row r="225">
      <x:c r="A225" s="9" t="str">
        <x:v>Failure</x:v>
      </x:c>
      <x:c r="B225" s="9" t="str">
        <x:v>Counting</x:v>
      </x:c>
      <x:c r="C225" s="10" t="n">
        <x:v>73</x:v>
      </x:c>
      <x:c r="D225" s="9" t="str">
        <x:v>Move the airplane toy without propellers into the bowl.</x:v>
      </x:c>
      <x:c r="E225" s="9" t="str">
        <x:v>Bowl objects: [blue pen, green pencil sharpener] | Table objects: [yellow block, airplane toy without propellers]</x:v>
      </x:c>
      <x:c r="F225" s="9" t="str">
        <x:v>ADD airplane toy without propellers</x:v>
      </x:c>
      <x:c r="G225" s="9" t="str">
        <x:v>didn't move</x:v>
      </x:c>
      <x:c r="H225" s="9" t="str">
        <x:v>Matched manipulation control</x:v>
      </x:c>
      <x:c r="I225" s="9" t="str">
        <x:v>CT-CF08</x:v>
      </x:c>
      <x:c r="J225" s="9" t="str">
        <x:v>Matched direct ADD control</x:v>
      </x:c>
      <x:c r="K225" s="9" t="n">
        <x:v>72</x:v>
      </x:c>
      <x:c r="L225" s="9" t="str">
        <x:v>968</x:v>
      </x:c>
      <x:c r="M225" s="9" t="str">
        <x:v>Exact direct-prompt trajectory for the named object and action direction; evaluation layout is reset manually.</x:v>
      </x:c>
      <x:c r="N225" s="9" t="n">
        <x:v>3</x:v>
      </x:c>
      <x:c r="O225" s="9" t="str">
        <x:v>Reset the exact count-2 scene; change only the prompt.</x:v>
      </x:c>
      <x:c r="P225" s="9" t="str">
        <x:v>The direct prompt is present in Counting training for this same-task object and action direction.</x:v>
      </x:c>
      <x:c r="Q225" s="9"/>
      <x:c r="R225" s="10"/>
      <x:c r="S225" s="10"/>
      <x:c r="T225" s="9"/>
      <x:c r="U225" s="9"/>
      <x:c r="V225" s="9"/>
      <x:c r="W225" s="9" t="str">
        <x:v>CT-CF08-ADD</x:v>
      </x:c>
      <x:c r="X225" s="10" t="n">
        <x:v>2</x:v>
      </x:c>
      <x:c r="Y225" s="10" t="n">
        <x:v>3</x:v>
      </x:c>
      <x:c r="Z225" s="9" t="str">
        <x:v>ADD</x:v>
      </x:c>
      <x:c r="AA225" s="9"/>
      <x:c r="AB225" s="9"/>
      <x:c r="AC225" s="9"/>
      <x:c r="AD225" s="9"/>
      <x:c r="AE225" s="9"/>
      <x:c r="AF225" s="9"/>
      <x:c r="AG225" s="9"/>
      <x:c r="AH225" s="9"/>
      <x:c r="AI225" s="11"/>
      <x:c r="AJ225" s="9"/>
      <x:c r="AK225" s="9" t="str">
        <x:v>Eval_Counting.xlsm</x:v>
      </x:c>
      <x:c r="AL225" s="9" t="str">
        <x:v>MolmoAct2 Results</x:v>
      </x:c>
      <x:c r="AM225" s="9" t="n">
        <x:v>75</x:v>
      </x:c>
      <x:c r="AN225" s="9" t="n">
        <x:v>75</x:v>
      </x:c>
    </x:row>
    <x:row r="226">
      <x:c r="A226" s="9" t="str">
        <x:v>Failure</x:v>
      </x:c>
      <x:c r="B226" s="9" t="str">
        <x:v>Counting</x:v>
      </x:c>
      <x:c r="C226" s="10" t="n">
        <x:v>74</x:v>
      </x:c>
      <x:c r="D226" s="9" t="str">
        <x:v>Move the green pencil sharpener from the bowl to the table.</x:v>
      </x:c>
      <x:c r="E226" s="9" t="str">
        <x:v>Bowl objects: [blue pen, green pencil sharpener] | Table objects: [yellow block, airplane toy without propellers]</x:v>
      </x:c>
      <x:c r="F226" s="9" t="str">
        <x:v>REMOVE green pencil sharpener</x:v>
      </x:c>
      <x:c r="G226" s="9" t="str">
        <x:v>went to bowl, grabbed the blue pen, put it down, kept fiddling around to try and get green pencil sharpener, but couldn't get it</x:v>
      </x:c>
      <x:c r="H226" s="9" t="str">
        <x:v>Matched manipulation control</x:v>
      </x:c>
      <x:c r="I226" s="9" t="str">
        <x:v>CT-CF08</x:v>
      </x:c>
      <x:c r="J226" s="9" t="str">
        <x:v>Matched direct REMOVE control</x:v>
      </x:c>
      <x:c r="K226" s="9"/>
      <x:c r="L226" s="9" t="str">
        <x:v>935</x:v>
      </x:c>
      <x:c r="M226" s="9" t="str">
        <x:v>Exact direct-prompt trajectory for the named object and action direction; evaluation layout is reset manually.</x:v>
      </x:c>
      <x:c r="N226" s="9" t="n">
        <x:v>3</x:v>
      </x:c>
      <x:c r="O226" s="9" t="str">
        <x:v>Reset the exact count-2 scene; change only the prompt.</x:v>
      </x:c>
      <x:c r="P226" s="9" t="str">
        <x:v>The direct prompt is present in Counting training for this same-task object and action direction.</x:v>
      </x:c>
      <x:c r="Q226" s="9"/>
      <x:c r="R226" s="10"/>
      <x:c r="S226" s="10"/>
      <x:c r="T226" s="9"/>
      <x:c r="U226" s="9"/>
      <x:c r="V226" s="9"/>
      <x:c r="W226" s="9" t="str">
        <x:v>CT-CF08-REMOVE</x:v>
      </x:c>
      <x:c r="X226" s="10" t="n">
        <x:v>2</x:v>
      </x:c>
      <x:c r="Y226" s="10" t="n">
        <x:v>1</x:v>
      </x:c>
      <x:c r="Z226" s="9" t="str">
        <x:v>REMOVE</x:v>
      </x:c>
      <x:c r="AA226" s="9"/>
      <x:c r="AB226" s="9"/>
      <x:c r="AC226" s="9"/>
      <x:c r="AD226" s="9"/>
      <x:c r="AE226" s="9"/>
      <x:c r="AF226" s="9"/>
      <x:c r="AG226" s="9"/>
      <x:c r="AH226" s="9"/>
      <x:c r="AI226" s="11"/>
      <x:c r="AJ226" s="9"/>
      <x:c r="AK226" s="9" t="str">
        <x:v>Eval_Counting.xlsm</x:v>
      </x:c>
      <x:c r="AL226" s="9" t="str">
        <x:v>MolmoAct2 Results</x:v>
      </x:c>
      <x:c r="AM226" s="9" t="n">
        <x:v>76</x:v>
      </x:c>
      <x:c r="AN226" s="9" t="n">
        <x:v>76</x:v>
      </x:c>
    </x:row>
    <x:row r="227">
      <x:c r="A227" s="9" t="str">
        <x:v>Failure</x:v>
      </x:c>
      <x:c r="B227" s="9" t="str">
        <x:v>Counting</x:v>
      </x:c>
      <x:c r="C227" s="10" t="n">
        <x:v>75</x:v>
      </x:c>
      <x:c r="D227" s="9" t="str">
        <x:v>Leave exactly one object in the bowl.</x:v>
      </x:c>
      <x:c r="E227" s="9" t="str">
        <x:v>Bowl objects: [blue pen, green pencil sharpener] | Table objects: [yellow block, airplane toy without propellers]</x:v>
      </x:c>
      <x:c r="F227" s="9" t="str">
        <x:v>REMOVE any one bowl object; finish with 1 object in the bowl</x:v>
      </x:c>
      <x:c r="G227" s="9" t="str">
        <x:v>didn't move</x:v>
      </x:c>
      <x:c r="H227" s="9" t="str">
        <x:v>Concept/compositional transfer</x:v>
      </x:c>
      <x:c r="I227" s="9" t="str">
        <x:v>CT-CF08</x:v>
      </x:c>
      <x:c r="J227" s="9" t="str">
        <x:v>Primary: one via held-out 2→1 removal</x:v>
      </x:c>
      <x:c r="K227" s="9" t="n">
        <x:v>74</x:v>
      </x:c>
      <x:c r="L227" s="9" t="str">
        <x:v>931</x:v>
      </x:c>
      <x:c r="M227" s="9" t="str">
        <x:v>Representative direct-instruction trajectory for green pencil sharpener; the evaluated count × transition composition is intentionally absent.</x:v>
      </x:c>
      <x:c r="N227" s="9" t="n">
        <x:v>3</x:v>
      </x:c>
      <x:c r="O227" s="9" t="str">
        <x:v>Build the listed count-2 scene.</x:v>
      </x:c>
      <x:c r="P227" s="9" t="str">
        <x:v>The goal word one is trained, and this 2→1 trajectory is trained under a direct instruction, but the combination is withheld.</x:v>
      </x:c>
      <x:c r="Q227" s="9"/>
      <x:c r="R227" s="10"/>
      <x:c r="S227" s="10"/>
      <x:c r="T227" s="9"/>
      <x:c r="U227" s="9"/>
      <x:c r="V227" s="9"/>
      <x:c r="W227" s="9" t="str">
        <x:v>CT-CF08-REMOVE</x:v>
      </x:c>
      <x:c r="X227" s="10" t="n">
        <x:v>2</x:v>
      </x:c>
      <x:c r="Y227" s="10" t="n">
        <x:v>1</x:v>
      </x:c>
      <x:c r="Z227" s="9" t="str">
        <x:v>REMOVE</x:v>
      </x:c>
      <x:c r="AA227" s="9"/>
      <x:c r="AB227" s="9"/>
      <x:c r="AC227" s="9"/>
      <x:c r="AD227" s="9"/>
      <x:c r="AE227" s="9"/>
      <x:c r="AF227" s="9"/>
      <x:c r="AG227" s="9"/>
      <x:c r="AH227" s="9"/>
      <x:c r="AI227" s="11"/>
      <x:c r="AJ227" s="9"/>
      <x:c r="AK227" s="9" t="str">
        <x:v>Eval_Counting.xlsm</x:v>
      </x:c>
      <x:c r="AL227" s="9" t="str">
        <x:v>MolmoAct2 Results</x:v>
      </x:c>
      <x:c r="AM227" s="9" t="n">
        <x:v>77</x:v>
      </x:c>
      <x:c r="AN227" s="9" t="n">
        <x:v>77</x:v>
      </x:c>
    </x:row>
    <x:row r="228">
      <x:c r="A228" s="9" t="str">
        <x:v>Failure</x:v>
      </x:c>
      <x:c r="B228" s="9" t="str">
        <x:v>Counting</x:v>
      </x:c>
      <x:c r="C228" s="10" t="n">
        <x:v>76</x:v>
      </x:c>
      <x:c r="D228" s="9" t="str">
        <x:v>Leave exactly one object in the bowl.</x:v>
      </x:c>
      <x:c r="E228" s="9" t="str">
        <x:v>Bowl objects: [yellow block, airplane toy without propellers] | Table objects: [blue pen]</x:v>
      </x:c>
      <x:c r="F228" s="9" t="str">
        <x:v>REMOVE any one bowl object; finish with 1 object in the bowl</x:v>
      </x:c>
      <x:c r="G228" s="9" t="str">
        <x:v>went to bowl 2 times, but didn't remove anything</x:v>
      </x:c>
      <x:c r="H228" s="9" t="str">
        <x:v>Concept/compositional transfer</x:v>
      </x:c>
      <x:c r="I228" s="9" t="str">
        <x:v>CT-CF11</x:v>
      </x:c>
      <x:c r="J228" s="9" t="str">
        <x:v>Primary: one via held-out 2→1 removal</x:v>
      </x:c>
      <x:c r="K228" s="9"/>
      <x:c r="L228" s="9" t="str">
        <x:v>881</x:v>
      </x:c>
      <x:c r="M228" s="9" t="str">
        <x:v>Representative direct-instruction trajectory for yellow block; the evaluated count × transition composition is intentionally absent.</x:v>
      </x:c>
      <x:c r="N228" s="9" t="n">
        <x:v>4</x:v>
      </x:c>
      <x:c r="O228" s="9" t="str">
        <x:v>Build the listed count-2 scene.</x:v>
      </x:c>
      <x:c r="P228" s="9" t="str">
        <x:v>The goal word one is trained, and this 2→1 trajectory is trained under a direct instruction, but the combination is withheld.</x:v>
      </x:c>
      <x:c r="Q228" s="9"/>
      <x:c r="R228" s="10"/>
      <x:c r="S228" s="10"/>
      <x:c r="T228" s="9"/>
      <x:c r="U228" s="9"/>
      <x:c r="V228" s="9"/>
      <x:c r="W228" s="9" t="str">
        <x:v>CT-CF11-REMOVE</x:v>
      </x:c>
      <x:c r="X228" s="10" t="n">
        <x:v>2</x:v>
      </x:c>
      <x:c r="Y228" s="10" t="n">
        <x:v>1</x:v>
      </x:c>
      <x:c r="Z228" s="9" t="str">
        <x:v>REMOVE</x:v>
      </x:c>
      <x:c r="AA228" s="9"/>
      <x:c r="AB228" s="9"/>
      <x:c r="AC228" s="9"/>
      <x:c r="AD228" s="9"/>
      <x:c r="AE228" s="9"/>
      <x:c r="AF228" s="9"/>
      <x:c r="AG228" s="9"/>
      <x:c r="AH228" s="9"/>
      <x:c r="AI228" s="11"/>
      <x:c r="AJ228" s="9"/>
      <x:c r="AK228" s="9" t="str">
        <x:v>Eval_Counting.xlsm</x:v>
      </x:c>
      <x:c r="AL228" s="9" t="str">
        <x:v>MolmoAct2 Results</x:v>
      </x:c>
      <x:c r="AM228" s="9" t="n">
        <x:v>78</x:v>
      </x:c>
      <x:c r="AN228" s="9" t="n">
        <x:v>78</x:v>
      </x:c>
    </x:row>
    <x:row r="229">
      <x:c r="A229" s="9" t="str">
        <x:v>Failure</x:v>
      </x:c>
      <x:c r="B229" s="9" t="str">
        <x:v>Counting</x:v>
      </x:c>
      <x:c r="C229" s="10" t="n">
        <x:v>77</x:v>
      </x:c>
      <x:c r="D229" s="9" t="str">
        <x:v>Leave exactly three objects in the bowl.</x:v>
      </x:c>
      <x:c r="E229" s="9" t="str">
        <x:v>Bowl objects: [yellow block, airplane toy without propellers] | Table objects: [blue pen]</x:v>
      </x:c>
      <x:c r="F229" s="9" t="str">
        <x:v>ADD any one table object; finish with 3 objects in the bowl</x:v>
      </x:c>
      <x:c r="G229" s="9" t="str">
        <x:v>didn't move</x:v>
      </x:c>
      <x:c r="H229" s="9" t="str">
        <x:v>Concept/compositional transfer</x:v>
      </x:c>
      <x:c r="I229" s="9" t="str">
        <x:v>CT-CF11</x:v>
      </x:c>
      <x:c r="J229" s="9" t="str">
        <x:v>Primary: three via held-out 2→3 addition</x:v>
      </x:c>
      <x:c r="K229" s="9" t="n">
        <x:v>76</x:v>
      </x:c>
      <x:c r="L229" s="9" t="str">
        <x:v>816</x:v>
      </x:c>
      <x:c r="M229" s="9" t="str">
        <x:v>Representative direct-instruction trajectory for blue pen; the evaluated count × transition composition is intentionally absent.</x:v>
      </x:c>
      <x:c r="N229" s="9" t="n">
        <x:v>4</x:v>
      </x:c>
      <x:c r="O229" s="9" t="str">
        <x:v>Reset the exact count-2 scene; change only the prompt.</x:v>
      </x:c>
      <x:c r="P229" s="9" t="str">
        <x:v>The goal word three is trained, and this 2→3 trajectory is trained under a direct instruction, but the combination is withheld.</x:v>
      </x:c>
      <x:c r="Q229" s="9"/>
      <x:c r="R229" s="10"/>
      <x:c r="S229" s="10"/>
      <x:c r="T229" s="9"/>
      <x:c r="U229" s="9"/>
      <x:c r="V229" s="9"/>
      <x:c r="W229" s="9" t="str">
        <x:v>CT-CF11-ADD</x:v>
      </x:c>
      <x:c r="X229" s="10" t="n">
        <x:v>2</x:v>
      </x:c>
      <x:c r="Y229" s="10" t="n">
        <x:v>3</x:v>
      </x:c>
      <x:c r="Z229" s="9" t="str">
        <x:v>ADD</x:v>
      </x:c>
      <x:c r="AA229" s="9"/>
      <x:c r="AB229" s="9"/>
      <x:c r="AC229" s="9"/>
      <x:c r="AD229" s="9"/>
      <x:c r="AE229" s="9"/>
      <x:c r="AF229" s="9"/>
      <x:c r="AG229" s="9"/>
      <x:c r="AH229" s="9"/>
      <x:c r="AI229" s="11"/>
      <x:c r="AJ229" s="9"/>
      <x:c r="AK229" s="9" t="str">
        <x:v>Eval_Counting.xlsm</x:v>
      </x:c>
      <x:c r="AL229" s="9" t="str">
        <x:v>MolmoAct2 Results</x:v>
      </x:c>
      <x:c r="AM229" s="9" t="n">
        <x:v>79</x:v>
      </x:c>
      <x:c r="AN229" s="9" t="n">
        <x:v>79</x:v>
      </x:c>
    </x:row>
    <x:row r="230">
      <x:c r="A230" s="9" t="str">
        <x:v>Success</x:v>
      </x:c>
      <x:c r="B230" s="9" t="str">
        <x:v>Counting</x:v>
      </x:c>
      <x:c r="C230" s="10" t="n">
        <x:v>78</x:v>
      </x:c>
      <x:c r="D230" s="9" t="str">
        <x:v>Make the bowl contain exactly zero objects.</x:v>
      </x:c>
      <x:c r="E230" s="9" t="str">
        <x:v>Bowl objects: [green highlighter] | Table objects: [green pencil sharpener]</x:v>
      </x:c>
      <x:c r="F230" s="9" t="str">
        <x:v>REMOVE green highlighter; finish with 0 objects in the bowl</x:v>
      </x:c>
      <x:c r="G230" s="9"/>
      <x:c r="H230" s="9" t="str">
        <x:v>Cross-task object reasoning</x:v>
      </x:c>
      <x:c r="I230" s="9" t="str">
        <x:v>XT-GH03</x:v>
      </x:c>
      <x:c r="J230" s="9" t="str">
        <x:v>Reasoning-only cross-task target: 1→0 removal</x:v>
      </x:c>
      <x:c r="K230" s="9"/>
      <x:c r="L230" s="9" t="str">
        <x:v>825; 708</x:v>
      </x:c>
      <x:c r="M230" s="9" t="str">
        <x:v>First episode grounds the Counting prompt/transition; episode 708 grounds direct green-highlighter manipulation. No exact green-highlighter Counting cell exists.</x:v>
      </x:c>
      <x:c r="N230" s="9" t="n">
        <x:v>5</x:v>
      </x:c>
      <x:c r="O230" s="9" t="str">
        <x:v>Build counterfactual cross-task scene A.</x:v>
      </x:c>
      <x:c r="P230" s="9" t="str">
        <x:v>The prompt never names the highlighter. The highlighter is the required object; the familiar Counting transition determines the action.</x:v>
      </x:c>
      <x:c r="Q230" s="9"/>
      <x:c r="R230" s="10"/>
      <x:c r="S230" s="10"/>
      <x:c r="T230" s="9"/>
      <x:c r="U230" s="9"/>
      <x:c r="V230" s="9"/>
      <x:c r="W230" s="9" t="str">
        <x:v>XT-GH03-A</x:v>
      </x:c>
      <x:c r="X230" s="10" t="n">
        <x:v>1</x:v>
      </x:c>
      <x:c r="Y230" s="10" t="n">
        <x:v>0</x:v>
      </x:c>
      <x:c r="Z230" s="9" t="str">
        <x:v>REMOVE</x:v>
      </x:c>
      <x:c r="AA230" s="9"/>
      <x:c r="AB230" s="9"/>
      <x:c r="AC230" s="9"/>
      <x:c r="AD230" s="9"/>
      <x:c r="AE230" s="9"/>
      <x:c r="AF230" s="9"/>
      <x:c r="AG230" s="9"/>
      <x:c r="AH230" s="9"/>
      <x:c r="AI230" s="11"/>
      <x:c r="AJ230" s="9"/>
      <x:c r="AK230" s="9" t="str">
        <x:v>Eval_Counting.xlsm</x:v>
      </x:c>
      <x:c r="AL230" s="9" t="str">
        <x:v>MolmoAct2 Results</x:v>
      </x:c>
      <x:c r="AM230" s="9" t="n">
        <x:v>80</x:v>
      </x:c>
      <x:c r="AN230" s="9" t="n">
        <x:v>80</x:v>
      </x:c>
    </x:row>
    <x:row r="231">
      <x:c r="A231" s="9" t="str">
        <x:v>Failure</x:v>
      </x:c>
      <x:c r="B231" s="9" t="str">
        <x:v>Counting</x:v>
      </x:c>
      <x:c r="C231" s="10" t="n">
        <x:v>79</x:v>
      </x:c>
      <x:c r="D231" s="9" t="str">
        <x:v>Make the bowl contain exactly two objects.</x:v>
      </x:c>
      <x:c r="E231" s="9" t="str">
        <x:v>Bowl objects: [green highlighter] | Table objects: [green pencil sharpener]</x:v>
      </x:c>
      <x:c r="F231" s="9" t="str">
        <x:v>ADD green pencil sharpener; finish with 2 objects in the bowl</x:v>
      </x:c>
      <x:c r="G231" s="9" t="str">
        <x:v>didn't move</x:v>
      </x:c>
      <x:c r="H231" s="9" t="str">
        <x:v>Cross-task object reasoning</x:v>
      </x:c>
      <x:c r="I231" s="9" t="str">
        <x:v>XT-GH03</x:v>
      </x:c>
      <x:c r="J231" s="9" t="str">
        <x:v>Reasoning-only cross-task distractor: 1→2 addition</x:v>
      </x:c>
      <x:c r="K231" s="9" t="n">
        <x:v>78</x:v>
      </x:c>
      <x:c r="L231" s="9" t="str">
        <x:v>808; 708</x:v>
      </x:c>
      <x:c r="M231" s="9" t="str">
        <x:v>First episode grounds the Counting prompt/transition; episode 708 grounds direct green-highlighter manipulation. No exact green-highlighter Counting cell exists.</x:v>
      </x:c>
      <x:c r="N231" s="9" t="n">
        <x:v>5</x:v>
      </x:c>
      <x:c r="O231" s="9" t="str">
        <x:v>Reset the exact scene; change only the requested final count.</x:v>
      </x:c>
      <x:c r="P231" s="9" t="str">
        <x:v>The prompt never names the highlighter. The highlighter is a distractor; the familiar Counting transition determines the action.</x:v>
      </x:c>
      <x:c r="Q231" s="9"/>
      <x:c r="R231" s="10"/>
      <x:c r="S231" s="10"/>
      <x:c r="T231" s="9"/>
      <x:c r="U231" s="9"/>
      <x:c r="V231" s="9"/>
      <x:c r="W231" s="9" t="str">
        <x:v>XT-GH03-A</x:v>
      </x:c>
      <x:c r="X231" s="10" t="n">
        <x:v>1</x:v>
      </x:c>
      <x:c r="Y231" s="10" t="n">
        <x:v>2</x:v>
      </x:c>
      <x:c r="Z231" s="9" t="str">
        <x:v>ADD</x:v>
      </x:c>
      <x:c r="AA231" s="9"/>
      <x:c r="AB231" s="9"/>
      <x:c r="AC231" s="9"/>
      <x:c r="AD231" s="9"/>
      <x:c r="AE231" s="9"/>
      <x:c r="AF231" s="9"/>
      <x:c r="AG231" s="9"/>
      <x:c r="AH231" s="9"/>
      <x:c r="AI231" s="11"/>
      <x:c r="AJ231" s="9"/>
      <x:c r="AK231" s="9" t="str">
        <x:v>Eval_Counting.xlsm</x:v>
      </x:c>
      <x:c r="AL231" s="9" t="str">
        <x:v>MolmoAct2 Results</x:v>
      </x:c>
      <x:c r="AM231" s="9" t="n">
        <x:v>81</x:v>
      </x:c>
      <x:c r="AN231" s="9" t="n">
        <x:v>81</x:v>
      </x:c>
    </x:row>
    <x:row r="232">
      <x:c r="A232" s="9" t="str">
        <x:v>Failure</x:v>
      </x:c>
      <x:c r="B232" s="9" t="str">
        <x:v>Counting</x:v>
      </x:c>
      <x:c r="C232" s="10" t="n">
        <x:v>80</x:v>
      </x:c>
      <x:c r="D232" s="9" t="str">
        <x:v>Make the bowl contain exactly two objects.</x:v>
      </x:c>
      <x:c r="E232" s="9" t="str">
        <x:v>Bowl objects: [green pencil sharpener] | Table objects: [green highlighter]</x:v>
      </x:c>
      <x:c r="F232" s="9" t="str">
        <x:v>ADD green highlighter; finish with 2 objects in the bowl</x:v>
      </x:c>
      <x:c r="G232" s="9" t="str">
        <x:v>didn't move</x:v>
      </x:c>
      <x:c r="H232" s="9" t="str">
        <x:v>Cross-task object reasoning</x:v>
      </x:c>
      <x:c r="I232" s="9" t="str">
        <x:v>XT-GH03</x:v>
      </x:c>
      <x:c r="J232" s="9" t="str">
        <x:v>Reasoning-only cross-task target: 1→2 addition</x:v>
      </x:c>
      <x:c r="K232" s="9"/>
      <x:c r="L232" s="9" t="str">
        <x:v>808; 708</x:v>
      </x:c>
      <x:c r="M232" s="9" t="str">
        <x:v>First episode grounds the Counting prompt/transition; episode 708 grounds direct green-highlighter manipulation. No exact green-highlighter Counting cell exists.</x:v>
      </x:c>
      <x:c r="N232" s="9" t="n">
        <x:v>5</x:v>
      </x:c>
      <x:c r="O232" s="9" t="str">
        <x:v>Build counterfactual cross-task scene B.</x:v>
      </x:c>
      <x:c r="P232" s="9" t="str">
        <x:v>The prompt never names the highlighter. The highlighter is the required object; the familiar Counting transition determines the action.</x:v>
      </x:c>
      <x:c r="Q232" s="9"/>
      <x:c r="R232" s="10"/>
      <x:c r="S232" s="10"/>
      <x:c r="T232" s="9"/>
      <x:c r="U232" s="9"/>
      <x:c r="V232" s="9"/>
      <x:c r="W232" s="9" t="str">
        <x:v>XT-GH03-B</x:v>
      </x:c>
      <x:c r="X232" s="10" t="n">
        <x:v>1</x:v>
      </x:c>
      <x:c r="Y232" s="10" t="n">
        <x:v>2</x:v>
      </x:c>
      <x:c r="Z232" s="9" t="str">
        <x:v>ADD</x:v>
      </x:c>
      <x:c r="AA232" s="9"/>
      <x:c r="AB232" s="9"/>
      <x:c r="AC232" s="9"/>
      <x:c r="AD232" s="9"/>
      <x:c r="AE232" s="9"/>
      <x:c r="AF232" s="9"/>
      <x:c r="AG232" s="9"/>
      <x:c r="AH232" s="9"/>
      <x:c r="AI232" s="11"/>
      <x:c r="AJ232" s="9"/>
      <x:c r="AK232" s="9" t="str">
        <x:v>Eval_Counting.xlsm</x:v>
      </x:c>
      <x:c r="AL232" s="9" t="str">
        <x:v>MolmoAct2 Results</x:v>
      </x:c>
      <x:c r="AM232" s="9" t="n">
        <x:v>82</x:v>
      </x:c>
      <x:c r="AN232" s="9" t="n">
        <x:v>82</x:v>
      </x:c>
    </x:row>
    <x:row r="233">
      <x:c r="A233" s="9" t="str">
        <x:v>Success</x:v>
      </x:c>
      <x:c r="B233" s="9" t="str">
        <x:v>Counting</x:v>
      </x:c>
      <x:c r="C233" s="10" t="n">
        <x:v>81</x:v>
      </x:c>
      <x:c r="D233" s="9" t="str">
        <x:v>Make the bowl contain exactly zero objects.</x:v>
      </x:c>
      <x:c r="E233" s="9" t="str">
        <x:v>Bowl objects: [green pencil sharpener] | Table objects: [green highlighter]</x:v>
      </x:c>
      <x:c r="F233" s="9" t="str">
        <x:v>REMOVE green pencil sharpener; finish with 0 objects in the bowl</x:v>
      </x:c>
      <x:c r="G233" s="9"/>
      <x:c r="H233" s="9" t="str">
        <x:v>Cross-task object reasoning</x:v>
      </x:c>
      <x:c r="I233" s="9" t="str">
        <x:v>XT-GH03</x:v>
      </x:c>
      <x:c r="J233" s="9" t="str">
        <x:v>Reasoning-only cross-task distractor: 1→0 removal</x:v>
      </x:c>
      <x:c r="K233" s="9" t="n">
        <x:v>80</x:v>
      </x:c>
      <x:c r="L233" s="9" t="str">
        <x:v>825; 708</x:v>
      </x:c>
      <x:c r="M233" s="9" t="str">
        <x:v>First episode grounds the Counting prompt/transition; episode 708 grounds direct green-highlighter manipulation. No exact green-highlighter Counting cell exists.</x:v>
      </x:c>
      <x:c r="N233" s="9" t="n">
        <x:v>5</x:v>
      </x:c>
      <x:c r="O233" s="9" t="str">
        <x:v>Reset the exact scene; change only the requested final count.</x:v>
      </x:c>
      <x:c r="P233" s="9" t="str">
        <x:v>The prompt never names the highlighter. The highlighter is a distractor; the familiar Counting transition determines the action.</x:v>
      </x:c>
      <x:c r="Q233" s="9"/>
      <x:c r="R233" s="10"/>
      <x:c r="S233" s="10"/>
      <x:c r="T233" s="9"/>
      <x:c r="U233" s="9"/>
      <x:c r="V233" s="9"/>
      <x:c r="W233" s="9" t="str">
        <x:v>XT-GH03-B</x:v>
      </x:c>
      <x:c r="X233" s="10" t="n">
        <x:v>1</x:v>
      </x:c>
      <x:c r="Y233" s="10" t="n">
        <x:v>0</x:v>
      </x:c>
      <x:c r="Z233" s="9" t="str">
        <x:v>REMOVE</x:v>
      </x:c>
      <x:c r="AA233" s="9"/>
      <x:c r="AB233" s="9"/>
      <x:c r="AC233" s="9"/>
      <x:c r="AD233" s="9"/>
      <x:c r="AE233" s="9"/>
      <x:c r="AF233" s="9"/>
      <x:c r="AG233" s="9"/>
      <x:c r="AH233" s="9"/>
      <x:c r="AI233" s="11"/>
      <x:c r="AJ233" s="9"/>
      <x:c r="AK233" s="9" t="str">
        <x:v>Eval_Counting.xlsm</x:v>
      </x:c>
      <x:c r="AL233" s="9" t="str">
        <x:v>MolmoAct2 Results</x:v>
      </x:c>
      <x:c r="AM233" s="9" t="n">
        <x:v>83</x:v>
      </x:c>
      <x:c r="AN233" s="9" t="n">
        <x:v>83</x:v>
      </x:c>
    </x:row>
    <x:row r="234">
      <x:c r="A234" s="9" t="str">
        <x:v>Failure</x:v>
      </x:c>
      <x:c r="B234" s="9" t="str">
        <x:v>Counting</x:v>
      </x:c>
      <x:c r="C234" s="10" t="n">
        <x:v>82</x:v>
      </x:c>
      <x:c r="D234" s="9" t="str">
        <x:v>Leave exactly one object in the bowl.</x:v>
      </x:c>
      <x:c r="E234" s="9" t="str">
        <x:v>Bowl objects: [yellow block, airplane toy without propellers] | Table objects: [blue pen]</x:v>
      </x:c>
      <x:c r="F234" s="9" t="str">
        <x:v>REMOVE any one bowl object; finish with 1 object in the bowl</x:v>
      </x:c>
      <x:c r="G234" s="9" t="str">
        <x:v>didn't move</x:v>
      </x:c>
      <x:c r="H234" s="9" t="str">
        <x:v>Concept/compositional transfer</x:v>
      </x:c>
      <x:c r="I234" s="9" t="str">
        <x:v>CT-CF17</x:v>
      </x:c>
      <x:c r="J234" s="9" t="str">
        <x:v>Primary: one via held-out 2→1 removal</x:v>
      </x:c>
      <x:c r="K234" s="9"/>
      <x:c r="L234" s="9" t="str">
        <x:v>881</x:v>
      </x:c>
      <x:c r="M234" s="9" t="str">
        <x:v>Representative direct-instruction trajectory for yellow block; the evaluated count × transition composition is intentionally absent.</x:v>
      </x:c>
      <x:c r="N234" s="9" t="n">
        <x:v>4</x:v>
      </x:c>
      <x:c r="O234" s="9" t="str">
        <x:v>Build the listed count-2 scene.</x:v>
      </x:c>
      <x:c r="P234" s="9" t="str">
        <x:v>The goal word one is trained, and this 2→1 trajectory is trained under a direct instruction, but the combination is withheld.</x:v>
      </x:c>
      <x:c r="Q234" s="9"/>
      <x:c r="R234" s="10"/>
      <x:c r="S234" s="10"/>
      <x:c r="T234" s="9"/>
      <x:c r="U234" s="9"/>
      <x:c r="V234" s="9"/>
      <x:c r="W234" s="9" t="str">
        <x:v>CT-CF17-REMOVE</x:v>
      </x:c>
      <x:c r="X234" s="10" t="n">
        <x:v>2</x:v>
      </x:c>
      <x:c r="Y234" s="10" t="n">
        <x:v>1</x:v>
      </x:c>
      <x:c r="Z234" s="9" t="str">
        <x:v>REMOVE</x:v>
      </x:c>
      <x:c r="AA234" s="9"/>
      <x:c r="AB234" s="9"/>
      <x:c r="AC234" s="9"/>
      <x:c r="AD234" s="9"/>
      <x:c r="AE234" s="9"/>
      <x:c r="AF234" s="9"/>
      <x:c r="AG234" s="9"/>
      <x:c r="AH234" s="9"/>
      <x:c r="AI234" s="11"/>
      <x:c r="AJ234" s="9"/>
      <x:c r="AK234" s="9" t="str">
        <x:v>Eval_Counting.xlsm</x:v>
      </x:c>
      <x:c r="AL234" s="9" t="str">
        <x:v>MolmoAct2 Results</x:v>
      </x:c>
      <x:c r="AM234" s="9" t="n">
        <x:v>84</x:v>
      </x:c>
      <x:c r="AN234" s="9" t="n">
        <x:v>84</x:v>
      </x:c>
    </x:row>
    <x:row r="235">
      <x:c r="A235" s="9" t="str">
        <x:v>Failure</x:v>
      </x:c>
      <x:c r="B235" s="9" t="str">
        <x:v>Counting</x:v>
      </x:c>
      <x:c r="C235" s="10" t="n">
        <x:v>83</x:v>
      </x:c>
      <x:c r="D235" s="9" t="str">
        <x:v>Leave exactly three objects in the bowl.</x:v>
      </x:c>
      <x:c r="E235" s="9" t="str">
        <x:v>Bowl objects: [yellow block, airplane toy without propellers] | Table objects: [blue pen]</x:v>
      </x:c>
      <x:c r="F235" s="9" t="str">
        <x:v>ADD any one table object; finish with 3 objects in the bowl</x:v>
      </x:c>
      <x:c r="G235" s="9" t="str">
        <x:v>didn't move</x:v>
      </x:c>
      <x:c r="H235" s="9" t="str">
        <x:v>Concept/compositional transfer</x:v>
      </x:c>
      <x:c r="I235" s="9" t="str">
        <x:v>CT-CF17</x:v>
      </x:c>
      <x:c r="J235" s="9" t="str">
        <x:v>Primary: three via held-out 2→3 addition</x:v>
      </x:c>
      <x:c r="K235" s="9" t="n">
        <x:v>82</x:v>
      </x:c>
      <x:c r="L235" s="9" t="str">
        <x:v>816</x:v>
      </x:c>
      <x:c r="M235" s="9" t="str">
        <x:v>Representative direct-instruction trajectory for blue pen; the evaluated count × transition composition is intentionally absent.</x:v>
      </x:c>
      <x:c r="N235" s="9" t="n">
        <x:v>4</x:v>
      </x:c>
      <x:c r="O235" s="9" t="str">
        <x:v>Reset the exact count-2 scene; change only the prompt.</x:v>
      </x:c>
      <x:c r="P235" s="9" t="str">
        <x:v>The goal word three is trained, and this 2→3 trajectory is trained under a direct instruction, but the combination is withheld.</x:v>
      </x:c>
      <x:c r="Q235" s="9"/>
      <x:c r="R235" s="10"/>
      <x:c r="S235" s="10"/>
      <x:c r="T235" s="9"/>
      <x:c r="U235" s="9"/>
      <x:c r="V235" s="9"/>
      <x:c r="W235" s="9" t="str">
        <x:v>CT-CF17-ADD</x:v>
      </x:c>
      <x:c r="X235" s="10" t="n">
        <x:v>2</x:v>
      </x:c>
      <x:c r="Y235" s="10" t="n">
        <x:v>3</x:v>
      </x:c>
      <x:c r="Z235" s="9" t="str">
        <x:v>ADD</x:v>
      </x:c>
      <x:c r="AA235" s="9"/>
      <x:c r="AB235" s="9"/>
      <x:c r="AC235" s="9"/>
      <x:c r="AD235" s="9"/>
      <x:c r="AE235" s="9"/>
      <x:c r="AF235" s="9"/>
      <x:c r="AG235" s="9"/>
      <x:c r="AH235" s="9"/>
      <x:c r="AI235" s="11"/>
      <x:c r="AJ235" s="9"/>
      <x:c r="AK235" s="9" t="str">
        <x:v>Eval_Counting.xlsm</x:v>
      </x:c>
      <x:c r="AL235" s="9" t="str">
        <x:v>MolmoAct2 Results</x:v>
      </x:c>
      <x:c r="AM235" s="9" t="n">
        <x:v>85</x:v>
      </x:c>
      <x:c r="AN235" s="9" t="n">
        <x:v>85</x:v>
      </x:c>
    </x:row>
    <x:row r="236">
      <x:c r="A236" s="9" t="str">
        <x:v>Failure</x:v>
      </x:c>
      <x:c r="B236" s="9" t="str">
        <x:v>Counting</x:v>
      </x:c>
      <x:c r="C236" s="10" t="n">
        <x:v>84</x:v>
      </x:c>
      <x:c r="D236" s="9" t="str">
        <x:v>Leave exactly one object in the bowl.</x:v>
      </x:c>
      <x:c r="E236" s="9" t="str">
        <x:v>Bowl objects: [blue pen, airplane toy without propellers] | Table objects: [yellow block, green pencil sharpener]</x:v>
      </x:c>
      <x:c r="F236" s="9" t="str">
        <x:v>REMOVE any one bowl object; finish with 1 object in the bowl</x:v>
      </x:c>
      <x:c r="G236" s="9" t="str">
        <x:v>didn't move</x:v>
      </x:c>
      <x:c r="H236" s="9" t="str">
        <x:v>Concept/compositional transfer</x:v>
      </x:c>
      <x:c r="I236" s="9" t="str">
        <x:v>CT-CF03</x:v>
      </x:c>
      <x:c r="J236" s="9" t="str">
        <x:v>Primary: one via held-out 2→1 removal</x:v>
      </x:c>
      <x:c r="K236" s="9"/>
      <x:c r="L236" s="9" t="str">
        <x:v>831</x:v>
      </x:c>
      <x:c r="M236" s="9" t="str">
        <x:v>Representative direct-instruction trajectory for blue pen; the evaluated count × transition composition is intentionally absent.</x:v>
      </x:c>
      <x:c r="N236" s="9" t="n">
        <x:v>2</x:v>
      </x:c>
      <x:c r="O236" s="9" t="str">
        <x:v>Build the listed count-2 scene.</x:v>
      </x:c>
      <x:c r="P236" s="9" t="str">
        <x:v>The goal word one is trained, and this 2→1 trajectory is trained under a direct instruction, but the combination is withheld.</x:v>
      </x:c>
      <x:c r="Q236" s="9"/>
      <x:c r="R236" s="10"/>
      <x:c r="S236" s="10"/>
      <x:c r="T236" s="9"/>
      <x:c r="U236" s="9"/>
      <x:c r="V236" s="9"/>
      <x:c r="W236" s="9" t="str">
        <x:v>CT-CF03-REMOVE</x:v>
      </x:c>
      <x:c r="X236" s="10" t="n">
        <x:v>2</x:v>
      </x:c>
      <x:c r="Y236" s="10" t="n">
        <x:v>1</x:v>
      </x:c>
      <x:c r="Z236" s="9" t="str">
        <x:v>REMOVE</x:v>
      </x:c>
      <x:c r="AA236" s="9"/>
      <x:c r="AB236" s="9"/>
      <x:c r="AC236" s="9"/>
      <x:c r="AD236" s="9"/>
      <x:c r="AE236" s="9"/>
      <x:c r="AF236" s="9"/>
      <x:c r="AG236" s="9"/>
      <x:c r="AH236" s="9"/>
      <x:c r="AI236" s="11"/>
      <x:c r="AJ236" s="9"/>
      <x:c r="AK236" s="9" t="str">
        <x:v>Eval_Counting.xlsm</x:v>
      </x:c>
      <x:c r="AL236" s="9" t="str">
        <x:v>MolmoAct2 Results</x:v>
      </x:c>
      <x:c r="AM236" s="9" t="n">
        <x:v>86</x:v>
      </x:c>
      <x:c r="AN236" s="9" t="n">
        <x:v>86</x:v>
      </x:c>
    </x:row>
    <x:row r="237">
      <x:c r="A237" s="9" t="str">
        <x:v>Success</x:v>
      </x:c>
      <x:c r="B237" s="9" t="str">
        <x:v>Counting</x:v>
      </x:c>
      <x:c r="C237" s="10" t="n">
        <x:v>85</x:v>
      </x:c>
      <x:c r="D237" s="9" t="str">
        <x:v>Move the blue pen from the bowl to the table.</x:v>
      </x:c>
      <x:c r="E237" s="9" t="str">
        <x:v>Bowl objects: [blue pen, airplane toy without propellers] | Table objects: [yellow block, green pencil sharpener]</x:v>
      </x:c>
      <x:c r="F237" s="9" t="str">
        <x:v>REMOVE blue pen</x:v>
      </x:c>
      <x:c r="G237" s="9"/>
      <x:c r="H237" s="9" t="str">
        <x:v>Matched manipulation control</x:v>
      </x:c>
      <x:c r="I237" s="9" t="str">
        <x:v>CT-CF03</x:v>
      </x:c>
      <x:c r="J237" s="9" t="str">
        <x:v>Matched direct REMOVE control</x:v>
      </x:c>
      <x:c r="K237" s="9" t="n">
        <x:v>84</x:v>
      </x:c>
      <x:c r="L237" s="9" t="str">
        <x:v>835</x:v>
      </x:c>
      <x:c r="M237" s="9" t="str">
        <x:v>Exact direct-prompt trajectory for the named object and action direction; evaluation layout is reset manually.</x:v>
      </x:c>
      <x:c r="N237" s="9" t="n">
        <x:v>2</x:v>
      </x:c>
      <x:c r="O237" s="9" t="str">
        <x:v>Reset the exact count-2 scene; change only the prompt.</x:v>
      </x:c>
      <x:c r="P237" s="9" t="str">
        <x:v>The direct prompt is present in Counting training for this same-task object and action direction.</x:v>
      </x:c>
      <x:c r="Q237" s="9"/>
      <x:c r="R237" s="10"/>
      <x:c r="S237" s="10"/>
      <x:c r="T237" s="9"/>
      <x:c r="U237" s="9"/>
      <x:c r="V237" s="9"/>
      <x:c r="W237" s="9" t="str">
        <x:v>CT-CF03-REMOVE</x:v>
      </x:c>
      <x:c r="X237" s="10" t="n">
        <x:v>2</x:v>
      </x:c>
      <x:c r="Y237" s="10" t="n">
        <x:v>1</x:v>
      </x:c>
      <x:c r="Z237" s="9" t="str">
        <x:v>REMOVE</x:v>
      </x:c>
      <x:c r="AA237" s="9"/>
      <x:c r="AB237" s="9"/>
      <x:c r="AC237" s="9"/>
      <x:c r="AD237" s="9"/>
      <x:c r="AE237" s="9"/>
      <x:c r="AF237" s="9"/>
      <x:c r="AG237" s="9"/>
      <x:c r="AH237" s="9"/>
      <x:c r="AI237" s="11"/>
      <x:c r="AJ237" s="9"/>
      <x:c r="AK237" s="9" t="str">
        <x:v>Eval_Counting.xlsm</x:v>
      </x:c>
      <x:c r="AL237" s="9" t="str">
        <x:v>MolmoAct2 Results</x:v>
      </x:c>
      <x:c r="AM237" s="9" t="n">
        <x:v>87</x:v>
      </x:c>
      <x:c r="AN237" s="9" t="n">
        <x:v>87</x:v>
      </x:c>
    </x:row>
    <x:row r="238">
      <x:c r="A238" s="9" t="str">
        <x:v>Failure</x:v>
      </x:c>
      <x:c r="B238" s="9" t="str">
        <x:v>Counting</x:v>
      </x:c>
      <x:c r="C238" s="10" t="n">
        <x:v>86</x:v>
      </x:c>
      <x:c r="D238" s="9" t="str">
        <x:v>Change the contents so the bowl ends up holding one item.</x:v>
      </x:c>
      <x:c r="E238" s="9" t="str">
        <x:v>Bowl objects: [blue pen, airplane toy without propellers] | Table objects: [yellow block, green pencil sharpener]</x:v>
      </x:c>
      <x:c r="F238" s="9" t="str">
        <x:v>REMOVE any one bowl object; finish with 1 object in the bowl</x:v>
      </x:c>
      <x:c r="G238" s="9" t="str">
        <x:v>didn't move</x:v>
      </x:c>
      <x:c r="H238" s="9" t="str">
        <x:v>Language robustness</x:v>
      </x:c>
      <x:c r="I238" s="9" t="str">
        <x:v>CT-CF03</x:v>
      </x:c>
      <x:c r="J238" s="9" t="str">
        <x:v>Primary compositional paraphrase: one via 2→1 removal</x:v>
      </x:c>
      <x:c r="K238" s="9" t="n">
        <x:v>84</x:v>
      </x:c>
      <x:c r="L238" s="9" t="str">
        <x:v>831</x:v>
      </x:c>
      <x:c r="M238" s="9" t="str">
        <x:v>Representative direct-instruction trajectory for blue pen; the evaluated count × transition composition is intentionally absent. The evaluation wording is also paraphrased.</x:v>
      </x:c>
      <x:c r="N238" s="9" t="n">
        <x:v>2</x:v>
      </x:c>
      <x:c r="O238" s="9" t="str">
        <x:v>Build the listed count-2 scene.</x:v>
      </x:c>
      <x:c r="P238" s="9" t="str">
        <x:v>Exact-scene paraphrase of the canonical held-out composition.</x:v>
      </x:c>
      <x:c r="Q238" s="9"/>
      <x:c r="R238" s="10"/>
      <x:c r="S238" s="10"/>
      <x:c r="T238" s="9"/>
      <x:c r="U238" s="9"/>
      <x:c r="V238" s="9"/>
      <x:c r="W238" s="9" t="str">
        <x:v>CT-CF03-REMOVE</x:v>
      </x:c>
      <x:c r="X238" s="10" t="n">
        <x:v>2</x:v>
      </x:c>
      <x:c r="Y238" s="10" t="n">
        <x:v>1</x:v>
      </x:c>
      <x:c r="Z238" s="9" t="str">
        <x:v>REMOVE</x:v>
      </x:c>
      <x:c r="AA238" s="9"/>
      <x:c r="AB238" s="9"/>
      <x:c r="AC238" s="9"/>
      <x:c r="AD238" s="9"/>
      <x:c r="AE238" s="9"/>
      <x:c r="AF238" s="9"/>
      <x:c r="AG238" s="9"/>
      <x:c r="AH238" s="9"/>
      <x:c r="AI238" s="11"/>
      <x:c r="AJ238" s="9"/>
      <x:c r="AK238" s="9" t="str">
        <x:v>Eval_Counting.xlsm</x:v>
      </x:c>
      <x:c r="AL238" s="9" t="str">
        <x:v>MolmoAct2 Results</x:v>
      </x:c>
      <x:c r="AM238" s="9" t="n">
        <x:v>88</x:v>
      </x:c>
      <x:c r="AN238" s="9" t="n">
        <x:v>88</x:v>
      </x:c>
    </x:row>
    <x:row r="239">
      <x:c r="A239" s="9" t="str">
        <x:v>Success</x:v>
      </x:c>
      <x:c r="B239" s="9" t="str">
        <x:v>Counting</x:v>
      </x:c>
      <x:c r="C239" s="10" t="n">
        <x:v>87</x:v>
      </x:c>
      <x:c r="D239" s="9" t="str">
        <x:v>Lift the blue pen out of the bowl and set it on the table.</x:v>
      </x:c>
      <x:c r="E239" s="9" t="str">
        <x:v>Bowl objects: [blue pen, airplane toy without propellers] | Table objects: [yellow block, green pencil sharpener]</x:v>
      </x:c>
      <x:c r="F239" s="9" t="str">
        <x:v>REMOVE blue pen</x:v>
      </x:c>
      <x:c r="G239" s="9"/>
      <x:c r="H239" s="9" t="str">
        <x:v>Language robustness</x:v>
      </x:c>
      <x:c r="I239" s="9" t="str">
        <x:v>CT-CF03</x:v>
      </x:c>
      <x:c r="J239" s="9" t="str">
        <x:v>Matched-control paraphrase: REMOVE</x:v>
      </x:c>
      <x:c r="K239" s="9" t="n">
        <x:v>85</x:v>
      </x:c>
      <x:c r="L239" s="9" t="str">
        <x:v>835</x:v>
      </x:c>
      <x:c r="M239" s="9" t="str">
        <x:v>Canonical direct-control trajectory for the named object and action direction; evaluation wording is paraphrased.</x:v>
      </x:c>
      <x:c r="N239" s="9" t="n">
        <x:v>2</x:v>
      </x:c>
      <x:c r="O239" s="9" t="str">
        <x:v>Reset the exact count-2 scene; change only the prompt.</x:v>
      </x:c>
      <x:c r="P239" s="9" t="str">
        <x:v>Exact-scene paraphrase of the direct manipulation control.</x:v>
      </x:c>
      <x:c r="Q239" s="9"/>
      <x:c r="R239" s="10"/>
      <x:c r="S239" s="10"/>
      <x:c r="T239" s="9"/>
      <x:c r="U239" s="9"/>
      <x:c r="V239" s="9"/>
      <x:c r="W239" s="9" t="str">
        <x:v>CT-CF03-REMOVE</x:v>
      </x:c>
      <x:c r="X239" s="10" t="n">
        <x:v>2</x:v>
      </x:c>
      <x:c r="Y239" s="10" t="n">
        <x:v>1</x:v>
      </x:c>
      <x:c r="Z239" s="9" t="str">
        <x:v>REMOVE</x:v>
      </x:c>
      <x:c r="AA239" s="9"/>
      <x:c r="AB239" s="9"/>
      <x:c r="AC239" s="9"/>
      <x:c r="AD239" s="9"/>
      <x:c r="AE239" s="9"/>
      <x:c r="AF239" s="9"/>
      <x:c r="AG239" s="9"/>
      <x:c r="AH239" s="9"/>
      <x:c r="AI239" s="11"/>
      <x:c r="AJ239" s="9"/>
      <x:c r="AK239" s="9" t="str">
        <x:v>Eval_Counting.xlsm</x:v>
      </x:c>
      <x:c r="AL239" s="9" t="str">
        <x:v>MolmoAct2 Results</x:v>
      </x:c>
      <x:c r="AM239" s="9" t="n">
        <x:v>89</x:v>
      </x:c>
      <x:c r="AN239" s="9" t="n">
        <x:v>89</x:v>
      </x:c>
    </x:row>
    <x:row r="240">
      <x:c r="A240" s="9" t="str">
        <x:v>Success</x:v>
      </x:c>
      <x:c r="B240" s="9" t="str">
        <x:v>Counting</x:v>
      </x:c>
      <x:c r="C240" s="10" t="n">
        <x:v>88</x:v>
      </x:c>
      <x:c r="D240" s="9" t="str">
        <x:v>Move the yellow block into the bowl.</x:v>
      </x:c>
      <x:c r="E240" s="9" t="str">
        <x:v>Bowl objects: [blue pen, airplane toy without propellers] | Table objects: [yellow block, green pencil sharpener]</x:v>
      </x:c>
      <x:c r="F240" s="9" t="str">
        <x:v>ADD yellow block</x:v>
      </x:c>
      <x:c r="G240" s="9" t="str">
        <x:v>flicked block away, but still able to get it</x:v>
      </x:c>
      <x:c r="H240" s="9" t="str">
        <x:v>Matched manipulation control</x:v>
      </x:c>
      <x:c r="I240" s="9" t="str">
        <x:v>CT-CF03</x:v>
      </x:c>
      <x:c r="J240" s="9" t="str">
        <x:v>Matched direct ADD control</x:v>
      </x:c>
      <x:c r="K240" s="9"/>
      <x:c r="L240" s="9" t="str">
        <x:v>872</x:v>
      </x:c>
      <x:c r="M240" s="9" t="str">
        <x:v>Exact direct-prompt trajectory for the named object and action direction; evaluation layout is reset manually.</x:v>
      </x:c>
      <x:c r="N240" s="9" t="n">
        <x:v>2</x:v>
      </x:c>
      <x:c r="O240" s="9" t="str">
        <x:v>Reset the exact count-2 scene; change only the prompt.</x:v>
      </x:c>
      <x:c r="P240" s="9" t="str">
        <x:v>The direct prompt is present in Counting training for this same-task object and action direction.</x:v>
      </x:c>
      <x:c r="Q240" s="9"/>
      <x:c r="R240" s="10"/>
      <x:c r="S240" s="10"/>
      <x:c r="T240" s="9"/>
      <x:c r="U240" s="9"/>
      <x:c r="V240" s="9"/>
      <x:c r="W240" s="9" t="str">
        <x:v>CT-CF03-ADD</x:v>
      </x:c>
      <x:c r="X240" s="10" t="n">
        <x:v>2</x:v>
      </x:c>
      <x:c r="Y240" s="10" t="n">
        <x:v>3</x:v>
      </x:c>
      <x:c r="Z240" s="9" t="str">
        <x:v>ADD</x:v>
      </x:c>
      <x:c r="AA240" s="9"/>
      <x:c r="AB240" s="9"/>
      <x:c r="AC240" s="9"/>
      <x:c r="AD240" s="9"/>
      <x:c r="AE240" s="9"/>
      <x:c r="AF240" s="9"/>
      <x:c r="AG240" s="9"/>
      <x:c r="AH240" s="9"/>
      <x:c r="AI240" s="11"/>
      <x:c r="AJ240" s="9"/>
      <x:c r="AK240" s="9" t="str">
        <x:v>Eval_Counting.xlsm</x:v>
      </x:c>
      <x:c r="AL240" s="9" t="str">
        <x:v>MolmoAct2 Results</x:v>
      </x:c>
      <x:c r="AM240" s="9" t="n">
        <x:v>90</x:v>
      </x:c>
      <x:c r="AN240" s="9" t="n">
        <x:v>90</x:v>
      </x:c>
    </x:row>
    <x:row r="241">
      <x:c r="A241" s="9" t="str">
        <x:v>Failure</x:v>
      </x:c>
      <x:c r="B241" s="9" t="str">
        <x:v>Counting</x:v>
      </x:c>
      <x:c r="C241" s="10" t="n">
        <x:v>89</x:v>
      </x:c>
      <x:c r="D241" s="9" t="str">
        <x:v>Leave exactly three objects in the bowl.</x:v>
      </x:c>
      <x:c r="E241" s="9" t="str">
        <x:v>Bowl objects: [blue pen, airplane toy without propellers] | Table objects: [yellow block, green pencil sharpener]</x:v>
      </x:c>
      <x:c r="F241" s="9" t="str">
        <x:v>ADD any one table object; finish with 3 objects in the bowl</x:v>
      </x:c>
      <x:c r="G241" s="9" t="str">
        <x:v>didn't move</x:v>
      </x:c>
      <x:c r="H241" s="9" t="str">
        <x:v>Concept/compositional transfer</x:v>
      </x:c>
      <x:c r="I241" s="9" t="str">
        <x:v>CT-CF03</x:v>
      </x:c>
      <x:c r="J241" s="9" t="str">
        <x:v>Primary: three via held-out 2→3 addition</x:v>
      </x:c>
      <x:c r="K241" s="9" t="n">
        <x:v>88</x:v>
      </x:c>
      <x:c r="L241" s="9" t="str">
        <x:v>916</x:v>
      </x:c>
      <x:c r="M241" s="9" t="str">
        <x:v>Representative direct-instruction trajectory for green pencil sharpener; the evaluated count × transition composition is intentionally absent.</x:v>
      </x:c>
      <x:c r="N241" s="9" t="n">
        <x:v>2</x:v>
      </x:c>
      <x:c r="O241" s="9" t="str">
        <x:v>Reset the exact count-2 scene; change only the prompt.</x:v>
      </x:c>
      <x:c r="P241" s="9" t="str">
        <x:v>The goal word three is trained, and this 2→3 trajectory is trained under a direct instruction, but the combination is withheld.</x:v>
      </x:c>
      <x:c r="Q241" s="9"/>
      <x:c r="R241" s="10"/>
      <x:c r="S241" s="10"/>
      <x:c r="T241" s="9"/>
      <x:c r="U241" s="9"/>
      <x:c r="V241" s="9"/>
      <x:c r="W241" s="9" t="str">
        <x:v>CT-CF03-ADD</x:v>
      </x:c>
      <x:c r="X241" s="10" t="n">
        <x:v>2</x:v>
      </x:c>
      <x:c r="Y241" s="10" t="n">
        <x:v>3</x:v>
      </x:c>
      <x:c r="Z241" s="9" t="str">
        <x:v>ADD</x:v>
      </x:c>
      <x:c r="AA241" s="9"/>
      <x:c r="AB241" s="9"/>
      <x:c r="AC241" s="9"/>
      <x:c r="AD241" s="9"/>
      <x:c r="AE241" s="9"/>
      <x:c r="AF241" s="9"/>
      <x:c r="AG241" s="9"/>
      <x:c r="AH241" s="9"/>
      <x:c r="AI241" s="11"/>
      <x:c r="AJ241" s="9"/>
      <x:c r="AK241" s="9" t="str">
        <x:v>Eval_Counting.xlsm</x:v>
      </x:c>
      <x:c r="AL241" s="9" t="str">
        <x:v>MolmoAct2 Results</x:v>
      </x:c>
      <x:c r="AM241" s="9" t="n">
        <x:v>91</x:v>
      </x:c>
      <x:c r="AN241" s="9" t="n">
        <x:v>91</x:v>
      </x:c>
    </x:row>
    <x:row r="242">
      <x:c r="A242" s="9" t="str">
        <x:v>Success</x:v>
      </x:c>
      <x:c r="B242" s="9" t="str">
        <x:v>Counting</x:v>
      </x:c>
      <x:c r="C242" s="10" t="n">
        <x:v>90</x:v>
      </x:c>
      <x:c r="D242" s="9" t="str">
        <x:v>Lift the yellow block from the table and set it inside the bowl.</x:v>
      </x:c>
      <x:c r="E242" s="9" t="str">
        <x:v>Bowl objects: [blue pen, airplane toy without propellers] | Table objects: [yellow block, green pencil sharpener]</x:v>
      </x:c>
      <x:c r="F242" s="9" t="str">
        <x:v>ADD yellow block</x:v>
      </x:c>
      <x:c r="G242" s="9"/>
      <x:c r="H242" s="9" t="str">
        <x:v>Language robustness</x:v>
      </x:c>
      <x:c r="I242" s="9" t="str">
        <x:v>CT-CF03</x:v>
      </x:c>
      <x:c r="J242" s="9" t="str">
        <x:v>Matched-control paraphrase: ADD</x:v>
      </x:c>
      <x:c r="K242" s="9" t="n">
        <x:v>88</x:v>
      </x:c>
      <x:c r="L242" s="9" t="str">
        <x:v>872</x:v>
      </x:c>
      <x:c r="M242" s="9" t="str">
        <x:v>Canonical direct-control trajectory for the named object and action direction; evaluation wording is paraphrased.</x:v>
      </x:c>
      <x:c r="N242" s="9" t="n">
        <x:v>2</x:v>
      </x:c>
      <x:c r="O242" s="9" t="str">
        <x:v>Reset the exact count-2 scene; change only the prompt.</x:v>
      </x:c>
      <x:c r="P242" s="9" t="str">
        <x:v>Exact-scene paraphrase of the direct manipulation control.</x:v>
      </x:c>
      <x:c r="Q242" s="9"/>
      <x:c r="R242" s="10"/>
      <x:c r="S242" s="10"/>
      <x:c r="T242" s="9"/>
      <x:c r="U242" s="9"/>
      <x:c r="V242" s="9"/>
      <x:c r="W242" s="9" t="str">
        <x:v>CT-CF03-ADD</x:v>
      </x:c>
      <x:c r="X242" s="10" t="n">
        <x:v>2</x:v>
      </x:c>
      <x:c r="Y242" s="10" t="n">
        <x:v>3</x:v>
      </x:c>
      <x:c r="Z242" s="9" t="str">
        <x:v>ADD</x:v>
      </x:c>
      <x:c r="AA242" s="9"/>
      <x:c r="AB242" s="9"/>
      <x:c r="AC242" s="9"/>
      <x:c r="AD242" s="9"/>
      <x:c r="AE242" s="9"/>
      <x:c r="AF242" s="9"/>
      <x:c r="AG242" s="9"/>
      <x:c r="AH242" s="9"/>
      <x:c r="AI242" s="11"/>
      <x:c r="AJ242" s="9"/>
      <x:c r="AK242" s="9" t="str">
        <x:v>Eval_Counting.xlsm</x:v>
      </x:c>
      <x:c r="AL242" s="9" t="str">
        <x:v>MolmoAct2 Results</x:v>
      </x:c>
      <x:c r="AM242" s="9" t="n">
        <x:v>92</x:v>
      </x:c>
      <x:c r="AN242" s="9" t="n">
        <x:v>92</x:v>
      </x:c>
    </x:row>
    <x:row r="243">
      <x:c r="A243" s="9" t="str">
        <x:v>Failure</x:v>
      </x:c>
      <x:c r="B243" s="9" t="str">
        <x:v>Counting</x:v>
      </x:c>
      <x:c r="C243" s="10" t="n">
        <x:v>91</x:v>
      </x:c>
      <x:c r="D243" s="9" t="str">
        <x:v>Change the contents so the bowl ends up holding three items.</x:v>
      </x:c>
      <x:c r="E243" s="9" t="str">
        <x:v>Bowl objects: [blue pen, airplane toy without propellers] | Table objects: [yellow block, green pencil sharpener]</x:v>
      </x:c>
      <x:c r="F243" s="9" t="str">
        <x:v>ADD any one table object; finish with 3 objects in the bowl</x:v>
      </x:c>
      <x:c r="G243" s="9" t="str">
        <x:v>went to bowl, looked confused, then went for green pencil sharpener, picked it up and then was just moving it around in the gripper without letting it go. moved to the right side of the workspace, away from the bowl.</x:v>
      </x:c>
      <x:c r="H243" s="9" t="str">
        <x:v>Language robustness</x:v>
      </x:c>
      <x:c r="I243" s="9" t="str">
        <x:v>CT-CF03</x:v>
      </x:c>
      <x:c r="J243" s="9" t="str">
        <x:v>Primary compositional paraphrase: three via 2→3 addition</x:v>
      </x:c>
      <x:c r="K243" s="9" t="n">
        <x:v>89</x:v>
      </x:c>
      <x:c r="L243" s="9" t="str">
        <x:v>916</x:v>
      </x:c>
      <x:c r="M243" s="9" t="str">
        <x:v>Representative direct-instruction trajectory for green pencil sharpener; the evaluated count × transition composition is intentionally absent. The evaluation wording is also paraphrased.</x:v>
      </x:c>
      <x:c r="N243" s="9" t="n">
        <x:v>2</x:v>
      </x:c>
      <x:c r="O243" s="9" t="str">
        <x:v>Reset the exact count-2 scene; change only the prompt.</x:v>
      </x:c>
      <x:c r="P243" s="9" t="str">
        <x:v>Exact-scene paraphrase of the canonical held-out composition.</x:v>
      </x:c>
      <x:c r="Q243" s="9"/>
      <x:c r="R243" s="10"/>
      <x:c r="S243" s="10"/>
      <x:c r="T243" s="9"/>
      <x:c r="U243" s="9"/>
      <x:c r="V243" s="9"/>
      <x:c r="W243" s="9" t="str">
        <x:v>CT-CF03-ADD</x:v>
      </x:c>
      <x:c r="X243" s="10" t="n">
        <x:v>2</x:v>
      </x:c>
      <x:c r="Y243" s="10" t="n">
        <x:v>3</x:v>
      </x:c>
      <x:c r="Z243" s="9" t="str">
        <x:v>ADD</x:v>
      </x:c>
      <x:c r="AA243" s="9"/>
      <x:c r="AB243" s="9"/>
      <x:c r="AC243" s="9"/>
      <x:c r="AD243" s="9"/>
      <x:c r="AE243" s="9"/>
      <x:c r="AF243" s="9"/>
      <x:c r="AG243" s="9"/>
      <x:c r="AH243" s="9"/>
      <x:c r="AI243" s="11"/>
      <x:c r="AJ243" s="9"/>
      <x:c r="AK243" s="9" t="str">
        <x:v>Eval_Counting.xlsm</x:v>
      </x:c>
      <x:c r="AL243" s="9" t="str">
        <x:v>MolmoAct2 Results</x:v>
      </x:c>
      <x:c r="AM243" s="9" t="n">
        <x:v>93</x:v>
      </x:c>
      <x:c r="AN243" s="9" t="n">
        <x:v>93</x:v>
      </x:c>
    </x:row>
    <x:row r="244">
      <x:c r="A244" s="9" t="str">
        <x:v>Failure</x:v>
      </x:c>
      <x:c r="B244" s="9" t="str">
        <x:v>Counting</x:v>
      </x:c>
      <x:c r="C244" s="10" t="n">
        <x:v>92</x:v>
      </x:c>
      <x:c r="D244" s="9" t="str">
        <x:v>Leave exactly one object in the bowl.</x:v>
      </x:c>
      <x:c r="E244" s="9" t="str">
        <x:v>Bowl objects: [blue pen, yellow block] | Table objects: [green pencil sharpener, airplane toy without propellers]</x:v>
      </x:c>
      <x:c r="F244" s="9" t="str">
        <x:v>REMOVE any one bowl object; finish with 1 object in the bowl</x:v>
      </x:c>
      <x:c r="G244" s="9" t="str">
        <x:v>didn't move</x:v>
      </x:c>
      <x:c r="H244" s="9" t="str">
        <x:v>Concept/compositional transfer</x:v>
      </x:c>
      <x:c r="I244" s="9" t="str">
        <x:v>CT-CF19</x:v>
      </x:c>
      <x:c r="J244" s="9" t="str">
        <x:v>Primary: one via held-out 2→1 removal</x:v>
      </x:c>
      <x:c r="K244" s="9"/>
      <x:c r="L244" s="9" t="str">
        <x:v>831</x:v>
      </x:c>
      <x:c r="M244" s="9" t="str">
        <x:v>Representative direct-instruction trajectory for blue pen; the evaluated count × transition composition is intentionally absent.</x:v>
      </x:c>
      <x:c r="N244" s="9" t="n">
        <x:v>4</x:v>
      </x:c>
      <x:c r="O244" s="9" t="str">
        <x:v>Build the listed count-2 scene.</x:v>
      </x:c>
      <x:c r="P244" s="9" t="str">
        <x:v>The goal word one is trained, and this 2→1 trajectory is trained under a direct instruction, but the combination is withheld.</x:v>
      </x:c>
      <x:c r="Q244" s="9"/>
      <x:c r="R244" s="10"/>
      <x:c r="S244" s="10"/>
      <x:c r="T244" s="9"/>
      <x:c r="U244" s="9"/>
      <x:c r="V244" s="9"/>
      <x:c r="W244" s="9" t="str">
        <x:v>CT-CF19-REMOVE</x:v>
      </x:c>
      <x:c r="X244" s="10" t="n">
        <x:v>2</x:v>
      </x:c>
      <x:c r="Y244" s="10" t="n">
        <x:v>1</x:v>
      </x:c>
      <x:c r="Z244" s="9" t="str">
        <x:v>REMOVE</x:v>
      </x:c>
      <x:c r="AA244" s="9"/>
      <x:c r="AB244" s="9"/>
      <x:c r="AC244" s="9"/>
      <x:c r="AD244" s="9"/>
      <x:c r="AE244" s="9"/>
      <x:c r="AF244" s="9"/>
      <x:c r="AG244" s="9"/>
      <x:c r="AH244" s="9"/>
      <x:c r="AI244" s="11"/>
      <x:c r="AJ244" s="9"/>
      <x:c r="AK244" s="9" t="str">
        <x:v>Eval_Counting.xlsm</x:v>
      </x:c>
      <x:c r="AL244" s="9" t="str">
        <x:v>MolmoAct2 Results</x:v>
      </x:c>
      <x:c r="AM244" s="9" t="n">
        <x:v>94</x:v>
      </x:c>
      <x:c r="AN244" s="9" t="n">
        <x:v>94</x:v>
      </x:c>
    </x:row>
    <x:row r="245">
      <x:c r="A245" s="9" t="str">
        <x:v>Failure</x:v>
      </x:c>
      <x:c r="B245" s="9" t="str">
        <x:v>Counting</x:v>
      </x:c>
      <x:c r="C245" s="10" t="n">
        <x:v>93</x:v>
      </x:c>
      <x:c r="D245" s="9" t="str">
        <x:v>Leave exactly three objects in the bowl.</x:v>
      </x:c>
      <x:c r="E245" s="9" t="str">
        <x:v>Bowl objects: [blue pen, yellow block] | Table objects: [green pencil sharpener, airplane toy without propellers]</x:v>
      </x:c>
      <x:c r="F245" s="9" t="str">
        <x:v>ADD any one table object; finish with 3 objects in the bowl</x:v>
      </x:c>
      <x:c r="G245" s="9" t="str">
        <x:v>didn't move</x:v>
      </x:c>
      <x:c r="H245" s="9" t="str">
        <x:v>Concept/compositional transfer</x:v>
      </x:c>
      <x:c r="I245" s="9" t="str">
        <x:v>CT-CF19</x:v>
      </x:c>
      <x:c r="J245" s="9" t="str">
        <x:v>Primary: three via held-out 2→3 addition</x:v>
      </x:c>
      <x:c r="K245" s="9" t="n">
        <x:v>92</x:v>
      </x:c>
      <x:c r="L245" s="9" t="str">
        <x:v>966</x:v>
      </x:c>
      <x:c r="M245" s="9" t="str">
        <x:v>Representative direct-instruction trajectory for airplane toy without propellers; the evaluated count × transition composition is intentionally absent.</x:v>
      </x:c>
      <x:c r="N245" s="9" t="n">
        <x:v>4</x:v>
      </x:c>
      <x:c r="O245" s="9" t="str">
        <x:v>Reset the exact count-2 scene; change only the prompt.</x:v>
      </x:c>
      <x:c r="P245" s="9" t="str">
        <x:v>The goal word three is trained, and this 2→3 trajectory is trained under a direct instruction, but the combination is withheld.</x:v>
      </x:c>
      <x:c r="Q245" s="9"/>
      <x:c r="R245" s="10"/>
      <x:c r="S245" s="10"/>
      <x:c r="T245" s="9"/>
      <x:c r="U245" s="9"/>
      <x:c r="V245" s="9"/>
      <x:c r="W245" s="9" t="str">
        <x:v>CT-CF19-ADD</x:v>
      </x:c>
      <x:c r="X245" s="10" t="n">
        <x:v>2</x:v>
      </x:c>
      <x:c r="Y245" s="10" t="n">
        <x:v>3</x:v>
      </x:c>
      <x:c r="Z245" s="9" t="str">
        <x:v>ADD</x:v>
      </x:c>
      <x:c r="AA245" s="9"/>
      <x:c r="AB245" s="9"/>
      <x:c r="AC245" s="9"/>
      <x:c r="AD245" s="9"/>
      <x:c r="AE245" s="9"/>
      <x:c r="AF245" s="9"/>
      <x:c r="AG245" s="9"/>
      <x:c r="AH245" s="9"/>
      <x:c r="AI245" s="11"/>
      <x:c r="AJ245" s="9"/>
      <x:c r="AK245" s="9" t="str">
        <x:v>Eval_Counting.xlsm</x:v>
      </x:c>
      <x:c r="AL245" s="9" t="str">
        <x:v>MolmoAct2 Results</x:v>
      </x:c>
      <x:c r="AM245" s="9" t="n">
        <x:v>95</x:v>
      </x:c>
      <x:c r="AN245" s="9" t="n">
        <x:v>95</x:v>
      </x:c>
    </x:row>
    <x:row r="246">
      <x:c r="A246" s="9" t="str">
        <x:v>Failure</x:v>
      </x:c>
      <x:c r="B246" s="9" t="str">
        <x:v>Counting</x:v>
      </x:c>
      <x:c r="C246" s="10" t="n">
        <x:v>94</x:v>
      </x:c>
      <x:c r="D246" s="9" t="str">
        <x:v>Leave exactly three objects in the bowl.</x:v>
      </x:c>
      <x:c r="E246" s="9" t="str">
        <x:v>Bowl objects: [yellow block, green pencil sharpener] | Table objects: [blue pen, airplane toy without propellers]</x:v>
      </x:c>
      <x:c r="F246" s="9" t="str">
        <x:v>ADD any one table object; finish with 3 objects in the bowl</x:v>
      </x:c>
      <x:c r="G246" s="9" t="str">
        <x:v>didn't move</x:v>
      </x:c>
      <x:c r="H246" s="9" t="str">
        <x:v>Concept/compositional transfer</x:v>
      </x:c>
      <x:c r="I246" s="9" t="str">
        <x:v>CT-CF04</x:v>
      </x:c>
      <x:c r="J246" s="9" t="str">
        <x:v>Primary: three via held-out 2→3 addition</x:v>
      </x:c>
      <x:c r="K246" s="9"/>
      <x:c r="L246" s="9" t="str">
        <x:v>816</x:v>
      </x:c>
      <x:c r="M246" s="9" t="str">
        <x:v>Representative direct-instruction trajectory for blue pen; the evaluated count × transition composition is intentionally absent.</x:v>
      </x:c>
      <x:c r="N246" s="9" t="n">
        <x:v>2</x:v>
      </x:c>
      <x:c r="O246" s="9" t="str">
        <x:v>Reset the exact count-2 scene; change only the prompt.</x:v>
      </x:c>
      <x:c r="P246" s="9" t="str">
        <x:v>The goal word three is trained, and this 2→3 trajectory is trained under a direct instruction, but the combination is withheld.</x:v>
      </x:c>
      <x:c r="Q246" s="9"/>
      <x:c r="R246" s="10"/>
      <x:c r="S246" s="10"/>
      <x:c r="T246" s="9"/>
      <x:c r="U246" s="9"/>
      <x:c r="V246" s="9"/>
      <x:c r="W246" s="9" t="str">
        <x:v>CT-CF04-ADD</x:v>
      </x:c>
      <x:c r="X246" s="10" t="n">
        <x:v>2</x:v>
      </x:c>
      <x:c r="Y246" s="10" t="n">
        <x:v>3</x:v>
      </x:c>
      <x:c r="Z246" s="9" t="str">
        <x:v>ADD</x:v>
      </x:c>
      <x:c r="AA246" s="9"/>
      <x:c r="AB246" s="9"/>
      <x:c r="AC246" s="9"/>
      <x:c r="AD246" s="9"/>
      <x:c r="AE246" s="9"/>
      <x:c r="AF246" s="9"/>
      <x:c r="AG246" s="9"/>
      <x:c r="AH246" s="9"/>
      <x:c r="AI246" s="11"/>
      <x:c r="AJ246" s="9"/>
      <x:c r="AK246" s="9" t="str">
        <x:v>Eval_Counting.xlsm</x:v>
      </x:c>
      <x:c r="AL246" s="9" t="str">
        <x:v>MolmoAct2 Results</x:v>
      </x:c>
      <x:c r="AM246" s="9" t="n">
        <x:v>96</x:v>
      </x:c>
      <x:c r="AN246" s="9" t="n">
        <x:v>96</x:v>
      </x:c>
    </x:row>
    <x:row r="247">
      <x:c r="A247" s="9" t="str">
        <x:v>Success</x:v>
      </x:c>
      <x:c r="B247" s="9" t="str">
        <x:v>Counting</x:v>
      </x:c>
      <x:c r="C247" s="10" t="n">
        <x:v>95</x:v>
      </x:c>
      <x:c r="D247" s="9" t="str">
        <x:v>Move the blue pen into the bowl.</x:v>
      </x:c>
      <x:c r="E247" s="9" t="str">
        <x:v>Bowl objects: [yellow block, green pencil sharpener] | Table objects: [blue pen, airplane toy without propellers]</x:v>
      </x:c>
      <x:c r="F247" s="9" t="str">
        <x:v>ADD blue pen</x:v>
      </x:c>
      <x:c r="G247" s="9"/>
      <x:c r="H247" s="9" t="str">
        <x:v>Matched manipulation control</x:v>
      </x:c>
      <x:c r="I247" s="9" t="str">
        <x:v>CT-CF04</x:v>
      </x:c>
      <x:c r="J247" s="9" t="str">
        <x:v>Matched direct ADD control</x:v>
      </x:c>
      <x:c r="K247" s="9" t="n">
        <x:v>94</x:v>
      </x:c>
      <x:c r="L247" s="9" t="str">
        <x:v>817</x:v>
      </x:c>
      <x:c r="M247" s="9" t="str">
        <x:v>Exact direct-prompt trajectory for the named object and action direction; evaluation layout is reset manually.</x:v>
      </x:c>
      <x:c r="N247" s="9" t="n">
        <x:v>2</x:v>
      </x:c>
      <x:c r="O247" s="9" t="str">
        <x:v>Reset the exact count-2 scene; change only the prompt.</x:v>
      </x:c>
      <x:c r="P247" s="9" t="str">
        <x:v>The direct prompt is present in Counting training for this same-task object and action direction.</x:v>
      </x:c>
      <x:c r="Q247" s="9"/>
      <x:c r="R247" s="10"/>
      <x:c r="S247" s="10"/>
      <x:c r="T247" s="9"/>
      <x:c r="U247" s="9"/>
      <x:c r="V247" s="9"/>
      <x:c r="W247" s="9" t="str">
        <x:v>CT-CF04-ADD</x:v>
      </x:c>
      <x:c r="X247" s="10" t="n">
        <x:v>2</x:v>
      </x:c>
      <x:c r="Y247" s="10" t="n">
        <x:v>3</x:v>
      </x:c>
      <x:c r="Z247" s="9" t="str">
        <x:v>ADD</x:v>
      </x:c>
      <x:c r="AA247" s="9"/>
      <x:c r="AB247" s="9"/>
      <x:c r="AC247" s="9"/>
      <x:c r="AD247" s="9"/>
      <x:c r="AE247" s="9"/>
      <x:c r="AF247" s="9"/>
      <x:c r="AG247" s="9"/>
      <x:c r="AH247" s="9"/>
      <x:c r="AI247" s="11"/>
      <x:c r="AJ247" s="9"/>
      <x:c r="AK247" s="9" t="str">
        <x:v>Eval_Counting.xlsm</x:v>
      </x:c>
      <x:c r="AL247" s="9" t="str">
        <x:v>MolmoAct2 Results</x:v>
      </x:c>
      <x:c r="AM247" s="9" t="n">
        <x:v>97</x:v>
      </x:c>
      <x:c r="AN247" s="9" t="n">
        <x:v>97</x:v>
      </x:c>
    </x:row>
    <x:row r="248">
      <x:c r="A248" s="9" t="str">
        <x:v>Failure</x:v>
      </x:c>
      <x:c r="B248" s="9" t="str">
        <x:v>Counting</x:v>
      </x:c>
      <x:c r="C248" s="10" t="n">
        <x:v>96</x:v>
      </x:c>
      <x:c r="D248" s="9" t="str">
        <x:v>End with three items inside the bowl.</x:v>
      </x:c>
      <x:c r="E248" s="9" t="str">
        <x:v>Bowl objects: [yellow block, green pencil sharpener] | Table objects: [blue pen, airplane toy without propellers]</x:v>
      </x:c>
      <x:c r="F248" s="9" t="str">
        <x:v>ADD any one table object; finish with 3 objects in the bowl</x:v>
      </x:c>
      <x:c r="G248" s="9" t="str">
        <x:v>didn't move</x:v>
      </x:c>
      <x:c r="H248" s="9" t="str">
        <x:v>Language robustness</x:v>
      </x:c>
      <x:c r="I248" s="9" t="str">
        <x:v>CT-CF04</x:v>
      </x:c>
      <x:c r="J248" s="9" t="str">
        <x:v>Primary compositional paraphrase: three via 2→3 addition</x:v>
      </x:c>
      <x:c r="K248" s="9" t="n">
        <x:v>94</x:v>
      </x:c>
      <x:c r="L248" s="9" t="str">
        <x:v>816</x:v>
      </x:c>
      <x:c r="M248" s="9" t="str">
        <x:v>Representative direct-instruction trajectory for blue pen; the evaluated count × transition composition is intentionally absent. The evaluation wording is also paraphrased.</x:v>
      </x:c>
      <x:c r="N248" s="9" t="n">
        <x:v>2</x:v>
      </x:c>
      <x:c r="O248" s="9" t="str">
        <x:v>Reset the exact count-2 scene; change only the prompt.</x:v>
      </x:c>
      <x:c r="P248" s="9" t="str">
        <x:v>Exact-scene paraphrase of the canonical held-out composition.</x:v>
      </x:c>
      <x:c r="Q248" s="9"/>
      <x:c r="R248" s="10"/>
      <x:c r="S248" s="10"/>
      <x:c r="T248" s="9"/>
      <x:c r="U248" s="9"/>
      <x:c r="V248" s="9"/>
      <x:c r="W248" s="9" t="str">
        <x:v>CT-CF04-ADD</x:v>
      </x:c>
      <x:c r="X248" s="10" t="n">
        <x:v>2</x:v>
      </x:c>
      <x:c r="Y248" s="10" t="n">
        <x:v>3</x:v>
      </x:c>
      <x:c r="Z248" s="9" t="str">
        <x:v>ADD</x:v>
      </x:c>
      <x:c r="AA248" s="9"/>
      <x:c r="AB248" s="9"/>
      <x:c r="AC248" s="9"/>
      <x:c r="AD248" s="9"/>
      <x:c r="AE248" s="9"/>
      <x:c r="AF248" s="9"/>
      <x:c r="AG248" s="9"/>
      <x:c r="AH248" s="9"/>
      <x:c r="AI248" s="11"/>
      <x:c r="AJ248" s="9"/>
      <x:c r="AK248" s="9" t="str">
        <x:v>Eval_Counting.xlsm</x:v>
      </x:c>
      <x:c r="AL248" s="9" t="str">
        <x:v>MolmoAct2 Results</x:v>
      </x:c>
      <x:c r="AM248" s="9" t="n">
        <x:v>98</x:v>
      </x:c>
      <x:c r="AN248" s="9" t="n">
        <x:v>98</x:v>
      </x:c>
    </x:row>
    <x:row r="249">
      <x:c r="A249" s="9" t="str">
        <x:v>Success</x:v>
      </x:c>
      <x:c r="B249" s="9" t="str">
        <x:v>Counting</x:v>
      </x:c>
      <x:c r="C249" s="10" t="n">
        <x:v>97</x:v>
      </x:c>
      <x:c r="D249" s="9" t="str">
        <x:v>Lift the blue pen from the table and set it inside the bowl.</x:v>
      </x:c>
      <x:c r="E249" s="9" t="str">
        <x:v>Bowl objects: [yellow block, green pencil sharpener] | Table objects: [blue pen, airplane toy without propellers]</x:v>
      </x:c>
      <x:c r="F249" s="9" t="str">
        <x:v>ADD blue pen</x:v>
      </x:c>
      <x:c r="G249" s="9"/>
      <x:c r="H249" s="9" t="str">
        <x:v>Language robustness</x:v>
      </x:c>
      <x:c r="I249" s="9" t="str">
        <x:v>CT-CF04</x:v>
      </x:c>
      <x:c r="J249" s="9" t="str">
        <x:v>Matched-control paraphrase: ADD</x:v>
      </x:c>
      <x:c r="K249" s="9" t="n">
        <x:v>95</x:v>
      </x:c>
      <x:c r="L249" s="9" t="str">
        <x:v>817</x:v>
      </x:c>
      <x:c r="M249" s="9" t="str">
        <x:v>Canonical direct-control trajectory for the named object and action direction; evaluation wording is paraphrased.</x:v>
      </x:c>
      <x:c r="N249" s="9" t="n">
        <x:v>2</x:v>
      </x:c>
      <x:c r="O249" s="9" t="str">
        <x:v>Reset the exact count-2 scene; change only the prompt.</x:v>
      </x:c>
      <x:c r="P249" s="9" t="str">
        <x:v>Exact-scene paraphrase of the direct manipulation control.</x:v>
      </x:c>
      <x:c r="Q249" s="9"/>
      <x:c r="R249" s="10"/>
      <x:c r="S249" s="10"/>
      <x:c r="T249" s="9"/>
      <x:c r="U249" s="9"/>
      <x:c r="V249" s="9"/>
      <x:c r="W249" s="9" t="str">
        <x:v>CT-CF04-ADD</x:v>
      </x:c>
      <x:c r="X249" s="10" t="n">
        <x:v>2</x:v>
      </x:c>
      <x:c r="Y249" s="10" t="n">
        <x:v>3</x:v>
      </x:c>
      <x:c r="Z249" s="9" t="str">
        <x:v>ADD</x:v>
      </x:c>
      <x:c r="AA249" s="9"/>
      <x:c r="AB249" s="9"/>
      <x:c r="AC249" s="9"/>
      <x:c r="AD249" s="9"/>
      <x:c r="AE249" s="9"/>
      <x:c r="AF249" s="9"/>
      <x:c r="AG249" s="9"/>
      <x:c r="AH249" s="9"/>
      <x:c r="AI249" s="11"/>
      <x:c r="AJ249" s="9"/>
      <x:c r="AK249" s="9" t="str">
        <x:v>Eval_Counting.xlsm</x:v>
      </x:c>
      <x:c r="AL249" s="9" t="str">
        <x:v>MolmoAct2 Results</x:v>
      </x:c>
      <x:c r="AM249" s="9" t="n">
        <x:v>99</x:v>
      </x:c>
      <x:c r="AN249" s="9" t="n">
        <x:v>99</x:v>
      </x:c>
    </x:row>
    <x:row r="250">
      <x:c r="A250" s="9" t="str">
        <x:v>Success</x:v>
      </x:c>
      <x:c r="B250" s="9" t="str">
        <x:v>Counting</x:v>
      </x:c>
      <x:c r="C250" s="10" t="n">
        <x:v>98</x:v>
      </x:c>
      <x:c r="D250" s="9" t="str">
        <x:v>Move the yellow block from the bowl to the table.</x:v>
      </x:c>
      <x:c r="E250" s="9" t="str">
        <x:v>Bowl objects: [yellow block, green pencil sharpener] | Table objects: [blue pen, airplane toy without propellers]</x:v>
      </x:c>
      <x:c r="F250" s="9" t="str">
        <x:v>REMOVE yellow block</x:v>
      </x:c>
      <x:c r="G250" s="9"/>
      <x:c r="H250" s="9" t="str">
        <x:v>Matched manipulation control</x:v>
      </x:c>
      <x:c r="I250" s="9" t="str">
        <x:v>CT-CF04</x:v>
      </x:c>
      <x:c r="J250" s="9" t="str">
        <x:v>Matched direct REMOVE control</x:v>
      </x:c>
      <x:c r="K250" s="9"/>
      <x:c r="L250" s="9" t="str">
        <x:v>885</x:v>
      </x:c>
      <x:c r="M250" s="9" t="str">
        <x:v>Exact direct-prompt trajectory for the named object and action direction; evaluation layout is reset manually.</x:v>
      </x:c>
      <x:c r="N250" s="9" t="n">
        <x:v>2</x:v>
      </x:c>
      <x:c r="O250" s="9" t="str">
        <x:v>Reset the exact count-2 scene; change only the prompt.</x:v>
      </x:c>
      <x:c r="P250" s="9" t="str">
        <x:v>The direct prompt is present in Counting training for this same-task object and action direction.</x:v>
      </x:c>
      <x:c r="Q250" s="9"/>
      <x:c r="R250" s="10"/>
      <x:c r="S250" s="10"/>
      <x:c r="T250" s="9"/>
      <x:c r="U250" s="9"/>
      <x:c r="V250" s="9"/>
      <x:c r="W250" s="9" t="str">
        <x:v>CT-CF04-REMOVE</x:v>
      </x:c>
      <x:c r="X250" s="10" t="n">
        <x:v>2</x:v>
      </x:c>
      <x:c r="Y250" s="10" t="n">
        <x:v>1</x:v>
      </x:c>
      <x:c r="Z250" s="9" t="str">
        <x:v>REMOVE</x:v>
      </x:c>
      <x:c r="AA250" s="9"/>
      <x:c r="AB250" s="9"/>
      <x:c r="AC250" s="9"/>
      <x:c r="AD250" s="9"/>
      <x:c r="AE250" s="9"/>
      <x:c r="AF250" s="9"/>
      <x:c r="AG250" s="9"/>
      <x:c r="AH250" s="9"/>
      <x:c r="AI250" s="11"/>
      <x:c r="AJ250" s="9"/>
      <x:c r="AK250" s="9" t="str">
        <x:v>Eval_Counting.xlsm</x:v>
      </x:c>
      <x:c r="AL250" s="9" t="str">
        <x:v>MolmoAct2 Results</x:v>
      </x:c>
      <x:c r="AM250" s="9" t="n">
        <x:v>100</x:v>
      </x:c>
      <x:c r="AN250" s="9" t="n">
        <x:v>100</x:v>
      </x:c>
    </x:row>
    <x:row r="251">
      <x:c r="A251" s="9" t="str">
        <x:v>Failure</x:v>
      </x:c>
      <x:c r="B251" s="9" t="str">
        <x:v>Counting</x:v>
      </x:c>
      <x:c r="C251" s="10" t="n">
        <x:v>99</x:v>
      </x:c>
      <x:c r="D251" s="9" t="str">
        <x:v>Leave exactly one object in the bowl.</x:v>
      </x:c>
      <x:c r="E251" s="9" t="str">
        <x:v>Bowl objects: [yellow block, green pencil sharpener] | Table objects: [blue pen, airplane toy without propellers]</x:v>
      </x:c>
      <x:c r="F251" s="9" t="str">
        <x:v>REMOVE any one bowl object; finish with 1 object in the bowl</x:v>
      </x:c>
      <x:c r="G251" s="9" t="str">
        <x:v>didn't move</x:v>
      </x:c>
      <x:c r="H251" s="9" t="str">
        <x:v>Concept/compositional transfer</x:v>
      </x:c>
      <x:c r="I251" s="9" t="str">
        <x:v>CT-CF04</x:v>
      </x:c>
      <x:c r="J251" s="9" t="str">
        <x:v>Primary: one via held-out 2→1 removal</x:v>
      </x:c>
      <x:c r="K251" s="9" t="n">
        <x:v>98</x:v>
      </x:c>
      <x:c r="L251" s="9" t="str">
        <x:v>931</x:v>
      </x:c>
      <x:c r="M251" s="9" t="str">
        <x:v>Representative direct-instruction trajectory for green pencil sharpener; the evaluated count × transition composition is intentionally absent.</x:v>
      </x:c>
      <x:c r="N251" s="9" t="n">
        <x:v>2</x:v>
      </x:c>
      <x:c r="O251" s="9" t="str">
        <x:v>Build the listed count-2 scene.</x:v>
      </x:c>
      <x:c r="P251" s="9" t="str">
        <x:v>The goal word one is trained, and this 2→1 trajectory is trained under a direct instruction, but the combination is withheld.</x:v>
      </x:c>
      <x:c r="Q251" s="9"/>
      <x:c r="R251" s="10"/>
      <x:c r="S251" s="10"/>
      <x:c r="T251" s="9"/>
      <x:c r="U251" s="9"/>
      <x:c r="V251" s="9"/>
      <x:c r="W251" s="9" t="str">
        <x:v>CT-CF04-REMOVE</x:v>
      </x:c>
      <x:c r="X251" s="10" t="n">
        <x:v>2</x:v>
      </x:c>
      <x:c r="Y251" s="10" t="n">
        <x:v>1</x:v>
      </x:c>
      <x:c r="Z251" s="9" t="str">
        <x:v>REMOVE</x:v>
      </x:c>
      <x:c r="AA251" s="9"/>
      <x:c r="AB251" s="9"/>
      <x:c r="AC251" s="9"/>
      <x:c r="AD251" s="9"/>
      <x:c r="AE251" s="9"/>
      <x:c r="AF251" s="9"/>
      <x:c r="AG251" s="9"/>
      <x:c r="AH251" s="9"/>
      <x:c r="AI251" s="11"/>
      <x:c r="AJ251" s="9"/>
      <x:c r="AK251" s="9" t="str">
        <x:v>Eval_Counting.xlsm</x:v>
      </x:c>
      <x:c r="AL251" s="9" t="str">
        <x:v>MolmoAct2 Results</x:v>
      </x:c>
      <x:c r="AM251" s="9" t="n">
        <x:v>101</x:v>
      </x:c>
      <x:c r="AN251" s="9" t="n">
        <x:v>101</x:v>
      </x:c>
    </x:row>
    <x:row r="252">
      <x:c r="A252" s="9" t="str">
        <x:v>Failure</x:v>
      </x:c>
      <x:c r="B252" s="9" t="str">
        <x:v>Counting</x:v>
      </x:c>
      <x:c r="C252" s="10" t="n">
        <x:v>100</x:v>
      </x:c>
      <x:c r="D252" s="9" t="str">
        <x:v>Lift the yellow block out of the bowl and set it on the table.</x:v>
      </x:c>
      <x:c r="E252" s="9" t="str">
        <x:v>Bowl objects: [yellow block, green pencil sharpener] | Table objects: [blue pen, airplane toy without propellers]</x:v>
      </x:c>
      <x:c r="F252" s="9" t="str">
        <x:v>REMOVE yellow block</x:v>
      </x:c>
      <x:c r="G252" s="9" t="str">
        <x:v>didn't move</x:v>
      </x:c>
      <x:c r="H252" s="9" t="str">
        <x:v>Language robustness</x:v>
      </x:c>
      <x:c r="I252" s="9" t="str">
        <x:v>CT-CF04</x:v>
      </x:c>
      <x:c r="J252" s="9" t="str">
        <x:v>Matched-control paraphrase: REMOVE</x:v>
      </x:c>
      <x:c r="K252" s="9" t="n">
        <x:v>98</x:v>
      </x:c>
      <x:c r="L252" s="9" t="str">
        <x:v>885</x:v>
      </x:c>
      <x:c r="M252" s="9" t="str">
        <x:v>Canonical direct-control trajectory for the named object and action direction; evaluation wording is paraphrased.</x:v>
      </x:c>
      <x:c r="N252" s="9" t="n">
        <x:v>2</x:v>
      </x:c>
      <x:c r="O252" s="9" t="str">
        <x:v>Reset the exact count-2 scene; change only the prompt.</x:v>
      </x:c>
      <x:c r="P252" s="9" t="str">
        <x:v>Exact-scene paraphrase of the direct manipulation control.</x:v>
      </x:c>
      <x:c r="Q252" s="9"/>
      <x:c r="R252" s="10"/>
      <x:c r="S252" s="10"/>
      <x:c r="T252" s="9"/>
      <x:c r="U252" s="9"/>
      <x:c r="V252" s="9"/>
      <x:c r="W252" s="9" t="str">
        <x:v>CT-CF04-REMOVE</x:v>
      </x:c>
      <x:c r="X252" s="10" t="n">
        <x:v>2</x:v>
      </x:c>
      <x:c r="Y252" s="10" t="n">
        <x:v>1</x:v>
      </x:c>
      <x:c r="Z252" s="9" t="str">
        <x:v>REMOVE</x:v>
      </x:c>
      <x:c r="AA252" s="9"/>
      <x:c r="AB252" s="9"/>
      <x:c r="AC252" s="9"/>
      <x:c r="AD252" s="9"/>
      <x:c r="AE252" s="9"/>
      <x:c r="AF252" s="9"/>
      <x:c r="AG252" s="9"/>
      <x:c r="AH252" s="9"/>
      <x:c r="AI252" s="11"/>
      <x:c r="AJ252" s="9"/>
      <x:c r="AK252" s="9" t="str">
        <x:v>Eval_Counting.xlsm</x:v>
      </x:c>
      <x:c r="AL252" s="9" t="str">
        <x:v>MolmoAct2 Results</x:v>
      </x:c>
      <x:c r="AM252" s="9" t="n">
        <x:v>102</x:v>
      </x:c>
      <x:c r="AN252" s="9" t="n">
        <x:v>102</x:v>
      </x:c>
    </x:row>
    <x:row r="253">
      <x:c r="A253" s="9" t="str">
        <x:v>Failure</x:v>
      </x:c>
      <x:c r="B253" s="9" t="str">
        <x:v>Counting</x:v>
      </x:c>
      <x:c r="C253" s="10" t="n">
        <x:v>101</x:v>
      </x:c>
      <x:c r="D253" s="9" t="str">
        <x:v>End with a single object in the bowl.</x:v>
      </x:c>
      <x:c r="E253" s="9" t="str">
        <x:v>Bowl objects: [yellow block, green pencil sharpener] | Table objects: [blue pen, airplane toy without propellers]</x:v>
      </x:c>
      <x:c r="F253" s="9" t="str">
        <x:v>REMOVE any one bowl object; finish with 1 object in the bowl</x:v>
      </x:c>
      <x:c r="G253" s="9" t="str">
        <x:v>didn't move</x:v>
      </x:c>
      <x:c r="H253" s="9" t="str">
        <x:v>Language robustness</x:v>
      </x:c>
      <x:c r="I253" s="9" t="str">
        <x:v>CT-CF04</x:v>
      </x:c>
      <x:c r="J253" s="9" t="str">
        <x:v>Primary compositional paraphrase: one via 2→1 removal</x:v>
      </x:c>
      <x:c r="K253" s="9" t="n">
        <x:v>99</x:v>
      </x:c>
      <x:c r="L253" s="9" t="str">
        <x:v>931</x:v>
      </x:c>
      <x:c r="M253" s="9" t="str">
        <x:v>Representative direct-instruction trajectory for green pencil sharpener; the evaluated count × transition composition is intentionally absent. The evaluation wording is also paraphrased.</x:v>
      </x:c>
      <x:c r="N253" s="9" t="n">
        <x:v>2</x:v>
      </x:c>
      <x:c r="O253" s="9" t="str">
        <x:v>Build the listed count-2 scene.</x:v>
      </x:c>
      <x:c r="P253" s="9" t="str">
        <x:v>Exact-scene paraphrase of the canonical held-out composition.</x:v>
      </x:c>
      <x:c r="Q253" s="9"/>
      <x:c r="R253" s="10"/>
      <x:c r="S253" s="10"/>
      <x:c r="T253" s="9"/>
      <x:c r="U253" s="9"/>
      <x:c r="V253" s="9"/>
      <x:c r="W253" s="9" t="str">
        <x:v>CT-CF04-REMOVE</x:v>
      </x:c>
      <x:c r="X253" s="10" t="n">
        <x:v>2</x:v>
      </x:c>
      <x:c r="Y253" s="10" t="n">
        <x:v>1</x:v>
      </x:c>
      <x:c r="Z253" s="9" t="str">
        <x:v>REMOVE</x:v>
      </x:c>
      <x:c r="AA253" s="9"/>
      <x:c r="AB253" s="9"/>
      <x:c r="AC253" s="9"/>
      <x:c r="AD253" s="9"/>
      <x:c r="AE253" s="9"/>
      <x:c r="AF253" s="9"/>
      <x:c r="AG253" s="9"/>
      <x:c r="AH253" s="9"/>
      <x:c r="AI253" s="11"/>
      <x:c r="AJ253" s="9"/>
      <x:c r="AK253" s="9" t="str">
        <x:v>Eval_Counting.xlsm</x:v>
      </x:c>
      <x:c r="AL253" s="9" t="str">
        <x:v>MolmoAct2 Results</x:v>
      </x:c>
      <x:c r="AM253" s="9" t="n">
        <x:v>103</x:v>
      </x:c>
      <x:c r="AN253" s="9" t="n">
        <x:v>103</x:v>
      </x:c>
    </x:row>
    <x:row r="254">
      <x:c r="A254" s="9" t="str">
        <x:v>Success</x:v>
      </x:c>
      <x:c r="B254" s="9" t="str">
        <x:v>Counting</x:v>
      </x:c>
      <x:c r="C254" s="10" t="n">
        <x:v>102</x:v>
      </x:c>
      <x:c r="D254" s="9" t="str">
        <x:v>Leave no objects in the bowl.</x:v>
      </x:c>
      <x:c r="E254" s="9" t="str">
        <x:v>Bowl objects: [none] | Table objects: [green pencil sharpener]</x:v>
      </x:c>
      <x:c r="F254" s="9" t="str">
        <x:v>NO-OP; preserve 0 objects in the bowl and do not initiate a grasp</x:v>
      </x:c>
      <x:c r="G254" s="9"/>
      <x:c r="H254" s="9" t="str">
        <x:v>Goal already satisfied / no movement</x:v>
      </x:c>
      <x:c r="I254" s="9" t="str">
        <x:v>NOOP-03</x:v>
      </x:c>
      <x:c r="J254" s="9" t="str">
        <x:v>Goal already satisfied: 0→0</x:v>
      </x:c>
      <x:c r="K254" s="9"/>
      <x:c r="L254" s="9" t="str">
        <x:v>975</x:v>
      </x:c>
      <x:c r="M254" s="9" t="str">
        <x:v>Prompt/concept grounding only. Training does not contain a goal-already-satisfied no-movement trajectory.</x:v>
      </x:c>
      <x:c r="N254" s="9" t="n">
        <x:v>6</x:v>
      </x:c>
      <x:c r="O254" s="9" t="str">
        <x:v>Build the first no-movement scene in this family.</x:v>
      </x:c>
      <x:c r="P254" s="9" t="str">
        <x:v>Visible-object count varies across no-op families. Table objects are distractors where present; success requires leaving the satisfied scene unchanged.</x:v>
      </x:c>
      <x:c r="Q254" s="9"/>
      <x:c r="R254" s="10"/>
      <x:c r="S254" s="10"/>
      <x:c r="T254" s="9"/>
      <x:c r="U254" s="9"/>
      <x:c r="V254" s="9"/>
      <x:c r="W254" s="9" t="str">
        <x:v>NOOP-03</x:v>
      </x:c>
      <x:c r="X254" s="10" t="n">
        <x:v>0</x:v>
      </x:c>
      <x:c r="Y254" s="10" t="n">
        <x:v>0</x:v>
      </x:c>
      <x:c r="Z254" s="9" t="str">
        <x:v>NO-OP</x:v>
      </x:c>
      <x:c r="AA254" s="9"/>
      <x:c r="AB254" s="9"/>
      <x:c r="AC254" s="9"/>
      <x:c r="AD254" s="9"/>
      <x:c r="AE254" s="9"/>
      <x:c r="AF254" s="9"/>
      <x:c r="AG254" s="9"/>
      <x:c r="AH254" s="9"/>
      <x:c r="AI254" s="11"/>
      <x:c r="AJ254" s="9"/>
      <x:c r="AK254" s="9" t="str">
        <x:v>Eval_Counting.xlsm</x:v>
      </x:c>
      <x:c r="AL254" s="9" t="str">
        <x:v>MolmoAct2 Results</x:v>
      </x:c>
      <x:c r="AM254" s="9" t="n">
        <x:v>104</x:v>
      </x:c>
      <x:c r="AN254" s="9" t="n">
        <x:v>104</x:v>
      </x:c>
    </x:row>
    <x:row r="255">
      <x:c r="A255" s="9" t="str">
        <x:v>Success</x:v>
      </x:c>
      <x:c r="B255" s="9" t="str">
        <x:v>Counting</x:v>
      </x:c>
      <x:c r="C255" s="10" t="n">
        <x:v>103</x:v>
      </x:c>
      <x:c r="D255" s="9" t="str">
        <x:v>Leave exactly one object in the bowl.</x:v>
      </x:c>
      <x:c r="E255" s="9" t="str">
        <x:v>Bowl objects: [green pencil sharpener] | Table objects: [airplane toy without propellers]</x:v>
      </x:c>
      <x:c r="F255" s="9" t="str">
        <x:v>NO-OP; preserve 1 object in the bowl and do not initiate a grasp</x:v>
      </x:c>
      <x:c r="G255" s="9"/>
      <x:c r="H255" s="9" t="str">
        <x:v>Goal already satisfied / no movement</x:v>
      </x:c>
      <x:c r="I255" s="9" t="str">
        <x:v>NOOP-03</x:v>
      </x:c>
      <x:c r="J255" s="9" t="str">
        <x:v>Goal already satisfied: 1→1</x:v>
      </x:c>
      <x:c r="K255" s="9"/>
      <x:c r="L255" s="9" t="str">
        <x:v>800</x:v>
      </x:c>
      <x:c r="M255" s="9" t="str">
        <x:v>Prompt/concept grounding only. Training does not contain a goal-already-satisfied no-movement trajectory.</x:v>
      </x:c>
      <x:c r="N255" s="9" t="n">
        <x:v>6</x:v>
      </x:c>
      <x:c r="O255" s="9" t="str">
        <x:v>Move only the minimum listed objects between bowl and table for the next count.</x:v>
      </x:c>
      <x:c r="P255" s="9" t="str">
        <x:v>Visible-object count varies across no-op families. Table objects are distractors where present; success requires leaving the satisfied scene unchanged.</x:v>
      </x:c>
      <x:c r="Q255" s="9"/>
      <x:c r="R255" s="10"/>
      <x:c r="S255" s="10"/>
      <x:c r="T255" s="9"/>
      <x:c r="U255" s="9"/>
      <x:c r="V255" s="9"/>
      <x:c r="W255" s="9" t="str">
        <x:v>NOOP-03</x:v>
      </x:c>
      <x:c r="X255" s="10" t="n">
        <x:v>1</x:v>
      </x:c>
      <x:c r="Y255" s="10" t="n">
        <x:v>1</x:v>
      </x:c>
      <x:c r="Z255" s="9" t="str">
        <x:v>NO-OP</x:v>
      </x:c>
      <x:c r="AA255" s="9"/>
      <x:c r="AB255" s="9"/>
      <x:c r="AC255" s="9"/>
      <x:c r="AD255" s="9"/>
      <x:c r="AE255" s="9"/>
      <x:c r="AF255" s="9"/>
      <x:c r="AG255" s="9"/>
      <x:c r="AH255" s="9"/>
      <x:c r="AI255" s="11"/>
      <x:c r="AJ255" s="9"/>
      <x:c r="AK255" s="9" t="str">
        <x:v>Eval_Counting.xlsm</x:v>
      </x:c>
      <x:c r="AL255" s="9" t="str">
        <x:v>MolmoAct2 Results</x:v>
      </x:c>
      <x:c r="AM255" s="9" t="n">
        <x:v>105</x:v>
      </x:c>
      <x:c r="AN255" s="9" t="n">
        <x:v>105</x:v>
      </x:c>
    </x:row>
    <x:row r="256">
      <x:c r="A256" s="9" t="str">
        <x:v>Success</x:v>
      </x:c>
      <x:c r="B256" s="9" t="str">
        <x:v>Counting</x:v>
      </x:c>
      <x:c r="C256" s="10" t="n">
        <x:v>104</x:v>
      </x:c>
      <x:c r="D256" s="9" t="str">
        <x:v>Leave exactly two objects in the bowl.</x:v>
      </x:c>
      <x:c r="E256" s="9" t="str">
        <x:v>Bowl objects: [green pencil sharpener, airplane toy without propellers] | Table objects: [blue pen]</x:v>
      </x:c>
      <x:c r="F256" s="9" t="str">
        <x:v>NO-OP; preserve 2 objects in the bowl and do not initiate a grasp</x:v>
      </x:c>
      <x:c r="G256" s="9"/>
      <x:c r="H256" s="9" t="str">
        <x:v>Goal already satisfied / no movement</x:v>
      </x:c>
      <x:c r="I256" s="9" t="str">
        <x:v>NOOP-03</x:v>
      </x:c>
      <x:c r="J256" s="9" t="str">
        <x:v>Goal already satisfied: 2→2</x:v>
      </x:c>
      <x:c r="K256" s="9"/>
      <x:c r="L256" s="9" t="str">
        <x:v>861</x:v>
      </x:c>
      <x:c r="M256" s="9" t="str">
        <x:v>Prompt/concept grounding only. Training does not contain a goal-already-satisfied no-movement trajectory.</x:v>
      </x:c>
      <x:c r="N256" s="9" t="n">
        <x:v>6</x:v>
      </x:c>
      <x:c r="O256" s="9" t="str">
        <x:v>Move only the minimum listed objects between bowl and table for the next count.</x:v>
      </x:c>
      <x:c r="P256" s="9" t="str">
        <x:v>Visible-object count varies across no-op families. Table objects are distractors where present; success requires leaving the satisfied scene unchanged.</x:v>
      </x:c>
      <x:c r="Q256" s="9"/>
      <x:c r="R256" s="10"/>
      <x:c r="S256" s="10"/>
      <x:c r="T256" s="9"/>
      <x:c r="U256" s="9"/>
      <x:c r="V256" s="9"/>
      <x:c r="W256" s="9" t="str">
        <x:v>NOOP-03</x:v>
      </x:c>
      <x:c r="X256" s="10" t="n">
        <x:v>2</x:v>
      </x:c>
      <x:c r="Y256" s="10" t="n">
        <x:v>2</x:v>
      </x:c>
      <x:c r="Z256" s="9" t="str">
        <x:v>NO-OP</x:v>
      </x:c>
      <x:c r="AA256" s="9"/>
      <x:c r="AB256" s="9"/>
      <x:c r="AC256" s="9"/>
      <x:c r="AD256" s="9"/>
      <x:c r="AE256" s="9"/>
      <x:c r="AF256" s="9"/>
      <x:c r="AG256" s="9"/>
      <x:c r="AH256" s="9"/>
      <x:c r="AI256" s="11"/>
      <x:c r="AJ256" s="9"/>
      <x:c r="AK256" s="9" t="str">
        <x:v>Eval_Counting.xlsm</x:v>
      </x:c>
      <x:c r="AL256" s="9" t="str">
        <x:v>MolmoAct2 Results</x:v>
      </x:c>
      <x:c r="AM256" s="9" t="n">
        <x:v>106</x:v>
      </x:c>
      <x:c r="AN256" s="9" t="n">
        <x:v>106</x:v>
      </x:c>
    </x:row>
    <x:row r="257">
      <x:c r="A257" s="9" t="str">
        <x:v>Success</x:v>
      </x:c>
      <x:c r="B257" s="9" t="str">
        <x:v>Counting</x:v>
      </x:c>
      <x:c r="C257" s="10" t="n">
        <x:v>105</x:v>
      </x:c>
      <x:c r="D257" s="9" t="str">
        <x:v>Leave exactly three objects in the bowl.</x:v>
      </x:c>
      <x:c r="E257" s="9" t="str">
        <x:v>Bowl objects: [green pencil sharpener, airplane toy without propellers, blue pen] | Table objects: [yellow block]</x:v>
      </x:c>
      <x:c r="F257" s="9" t="str">
        <x:v>NO-OP; preserve 3 objects in the bowl and do not initiate a grasp</x:v>
      </x:c>
      <x:c r="G257" s="9"/>
      <x:c r="H257" s="9" t="str">
        <x:v>Goal already satisfied / no movement</x:v>
      </x:c>
      <x:c r="I257" s="9" t="str">
        <x:v>NOOP-03</x:v>
      </x:c>
      <x:c r="J257" s="9" t="str">
        <x:v>Goal already satisfied: 3→3</x:v>
      </x:c>
      <x:c r="K257" s="9"/>
      <x:c r="L257" s="9" t="str">
        <x:v>843</x:v>
      </x:c>
      <x:c r="M257" s="9" t="str">
        <x:v>Prompt/concept grounding only. Training does not contain a goal-already-satisfied no-movement trajectory.</x:v>
      </x:c>
      <x:c r="N257" s="9" t="n">
        <x:v>6</x:v>
      </x:c>
      <x:c r="O257" s="9" t="str">
        <x:v>Move only the minimum listed objects between bowl and table for the next count.</x:v>
      </x:c>
      <x:c r="P257" s="9" t="str">
        <x:v>Visible-object count varies across no-op families. Table objects are distractors where present; success requires leaving the satisfied scene unchanged.</x:v>
      </x:c>
      <x:c r="Q257" s="9"/>
      <x:c r="R257" s="10"/>
      <x:c r="S257" s="10"/>
      <x:c r="T257" s="9"/>
      <x:c r="U257" s="9"/>
      <x:c r="V257" s="9"/>
      <x:c r="W257" s="9" t="str">
        <x:v>NOOP-03</x:v>
      </x:c>
      <x:c r="X257" s="10" t="n">
        <x:v>3</x:v>
      </x:c>
      <x:c r="Y257" s="10" t="n">
        <x:v>3</x:v>
      </x:c>
      <x:c r="Z257" s="9" t="str">
        <x:v>NO-OP</x:v>
      </x:c>
      <x:c r="AA257" s="9"/>
      <x:c r="AB257" s="9"/>
      <x:c r="AC257" s="9"/>
      <x:c r="AD257" s="9"/>
      <x:c r="AE257" s="9"/>
      <x:c r="AF257" s="9"/>
      <x:c r="AG257" s="9"/>
      <x:c r="AH257" s="9"/>
      <x:c r="AI257" s="11"/>
      <x:c r="AJ257" s="9"/>
      <x:c r="AK257" s="9" t="str">
        <x:v>Eval_Counting.xlsm</x:v>
      </x:c>
      <x:c r="AL257" s="9" t="str">
        <x:v>MolmoAct2 Results</x:v>
      </x:c>
      <x:c r="AM257" s="9" t="n">
        <x:v>107</x:v>
      </x:c>
      <x:c r="AN257" s="9" t="n">
        <x:v>107</x:v>
      </x:c>
    </x:row>
    <x:row r="258">
      <x:c r="A258" s="9" t="str">
        <x:v>Failure</x:v>
      </x:c>
      <x:c r="B258" s="9" t="str">
        <x:v>Counting</x:v>
      </x:c>
      <x:c r="C258" s="10" t="n">
        <x:v>106</x:v>
      </x:c>
      <x:c r="D258" s="9" t="str">
        <x:v>Leave exactly one object in the bowl.</x:v>
      </x:c>
      <x:c r="E258" s="9" t="str">
        <x:v>Bowl objects: [yellow block, airplane toy without propellers] | Table objects: [blue pen, green pencil sharpener]</x:v>
      </x:c>
      <x:c r="F258" s="9" t="str">
        <x:v>REMOVE any one bowl object; finish with 1 object in the bowl</x:v>
      </x:c>
      <x:c r="G258" s="9" t="str">
        <x:v>didn't move</x:v>
      </x:c>
      <x:c r="H258" s="9" t="str">
        <x:v>Concept/compositional transfer</x:v>
      </x:c>
      <x:c r="I258" s="9" t="str">
        <x:v>CT-CF05</x:v>
      </x:c>
      <x:c r="J258" s="9" t="str">
        <x:v>Primary: one via held-out 2→1 removal</x:v>
      </x:c>
      <x:c r="K258" s="9"/>
      <x:c r="L258" s="9" t="str">
        <x:v>881</x:v>
      </x:c>
      <x:c r="M258" s="9" t="str">
        <x:v>Representative direct-instruction trajectory for yellow block; the evaluated count × transition composition is intentionally absent.</x:v>
      </x:c>
      <x:c r="N258" s="9" t="n">
        <x:v>2</x:v>
      </x:c>
      <x:c r="O258" s="9" t="str">
        <x:v>Build the listed count-2 scene.</x:v>
      </x:c>
      <x:c r="P258" s="9" t="str">
        <x:v>The goal word one is trained, and this 2→1 trajectory is trained under a direct instruction, but the combination is withheld.</x:v>
      </x:c>
      <x:c r="Q258" s="9"/>
      <x:c r="R258" s="10"/>
      <x:c r="S258" s="10"/>
      <x:c r="T258" s="9"/>
      <x:c r="U258" s="9"/>
      <x:c r="V258" s="9"/>
      <x:c r="W258" s="9" t="str">
        <x:v>CT-CF05-REMOVE</x:v>
      </x:c>
      <x:c r="X258" s="10" t="n">
        <x:v>2</x:v>
      </x:c>
      <x:c r="Y258" s="10" t="n">
        <x:v>1</x:v>
      </x:c>
      <x:c r="Z258" s="9" t="str">
        <x:v>REMOVE</x:v>
      </x:c>
      <x:c r="AA258" s="9"/>
      <x:c r="AB258" s="9"/>
      <x:c r="AC258" s="9"/>
      <x:c r="AD258" s="9"/>
      <x:c r="AE258" s="9"/>
      <x:c r="AF258" s="9"/>
      <x:c r="AG258" s="9"/>
      <x:c r="AH258" s="9"/>
      <x:c r="AI258" s="11"/>
      <x:c r="AJ258" s="9"/>
      <x:c r="AK258" s="9" t="str">
        <x:v>Eval_Counting.xlsm</x:v>
      </x:c>
      <x:c r="AL258" s="9" t="str">
        <x:v>MolmoAct2 Results</x:v>
      </x:c>
      <x:c r="AM258" s="9" t="n">
        <x:v>108</x:v>
      </x:c>
      <x:c r="AN258" s="9" t="n">
        <x:v>108</x:v>
      </x:c>
    </x:row>
    <x:row r="259">
      <x:c r="A259" s="9" t="str">
        <x:v>Success</x:v>
      </x:c>
      <x:c r="B259" s="9" t="str">
        <x:v>Counting</x:v>
      </x:c>
      <x:c r="C259" s="10" t="n">
        <x:v>107</x:v>
      </x:c>
      <x:c r="D259" s="9" t="str">
        <x:v>Move the yellow block from the bowl to the table.</x:v>
      </x:c>
      <x:c r="E259" s="9" t="str">
        <x:v>Bowl objects: [yellow block, airplane toy without propellers] | Table objects: [blue pen, green pencil sharpener]</x:v>
      </x:c>
      <x:c r="F259" s="9" t="str">
        <x:v>REMOVE yellow block</x:v>
      </x:c>
      <x:c r="G259" s="9"/>
      <x:c r="H259" s="9" t="str">
        <x:v>Matched manipulation control</x:v>
      </x:c>
      <x:c r="I259" s="9" t="str">
        <x:v>CT-CF05</x:v>
      </x:c>
      <x:c r="J259" s="9" t="str">
        <x:v>Matched direct REMOVE control</x:v>
      </x:c>
      <x:c r="K259" s="9" t="n">
        <x:v>106</x:v>
      </x:c>
      <x:c r="L259" s="9" t="str">
        <x:v>885</x:v>
      </x:c>
      <x:c r="M259" s="9" t="str">
        <x:v>Exact direct-prompt trajectory for the named object and action direction; evaluation layout is reset manually.</x:v>
      </x:c>
      <x:c r="N259" s="9" t="n">
        <x:v>2</x:v>
      </x:c>
      <x:c r="O259" s="9" t="str">
        <x:v>Reset the exact count-2 scene; change only the prompt.</x:v>
      </x:c>
      <x:c r="P259" s="9" t="str">
        <x:v>The direct prompt is present in Counting training for this same-task object and action direction.</x:v>
      </x:c>
      <x:c r="Q259" s="9"/>
      <x:c r="R259" s="10"/>
      <x:c r="S259" s="10"/>
      <x:c r="T259" s="9"/>
      <x:c r="U259" s="9"/>
      <x:c r="V259" s="9"/>
      <x:c r="W259" s="9" t="str">
        <x:v>CT-CF05-REMOVE</x:v>
      </x:c>
      <x:c r="X259" s="10" t="n">
        <x:v>2</x:v>
      </x:c>
      <x:c r="Y259" s="10" t="n">
        <x:v>1</x:v>
      </x:c>
      <x:c r="Z259" s="9" t="str">
        <x:v>REMOVE</x:v>
      </x:c>
      <x:c r="AA259" s="9"/>
      <x:c r="AB259" s="9"/>
      <x:c r="AC259" s="9"/>
      <x:c r="AD259" s="9"/>
      <x:c r="AE259" s="9"/>
      <x:c r="AF259" s="9"/>
      <x:c r="AG259" s="9"/>
      <x:c r="AH259" s="9"/>
      <x:c r="AI259" s="11"/>
      <x:c r="AJ259" s="9"/>
      <x:c r="AK259" s="9" t="str">
        <x:v>Eval_Counting.xlsm</x:v>
      </x:c>
      <x:c r="AL259" s="9" t="str">
        <x:v>MolmoAct2 Results</x:v>
      </x:c>
      <x:c r="AM259" s="9" t="n">
        <x:v>109</x:v>
      </x:c>
      <x:c r="AN259" s="9" t="n">
        <x:v>109</x:v>
      </x:c>
    </x:row>
    <x:row r="260">
      <x:c r="A260" s="9" t="str">
        <x:v>Failure</x:v>
      </x:c>
      <x:c r="B260" s="9" t="str">
        <x:v>Counting</x:v>
      </x:c>
      <x:c r="C260" s="10" t="n">
        <x:v>108</x:v>
      </x:c>
      <x:c r="D260" s="9" t="str">
        <x:v>Adjust the contents until only one object remains in the bowl.</x:v>
      </x:c>
      <x:c r="E260" s="9" t="str">
        <x:v>Bowl objects: [yellow block, airplane toy without propellers] | Table objects: [blue pen, green pencil sharpener]</x:v>
      </x:c>
      <x:c r="F260" s="9" t="str">
        <x:v>REMOVE any one bowl object; finish with 1 object in the bowl</x:v>
      </x:c>
      <x:c r="G260" s="9" t="str">
        <x:v>didn't move</x:v>
      </x:c>
      <x:c r="H260" s="9" t="str">
        <x:v>Language robustness</x:v>
      </x:c>
      <x:c r="I260" s="9" t="str">
        <x:v>CT-CF05</x:v>
      </x:c>
      <x:c r="J260" s="9" t="str">
        <x:v>Primary compositional paraphrase: one via 2→1 removal</x:v>
      </x:c>
      <x:c r="K260" s="9" t="n">
        <x:v>106</x:v>
      </x:c>
      <x:c r="L260" s="9" t="str">
        <x:v>881</x:v>
      </x:c>
      <x:c r="M260" s="9" t="str">
        <x:v>Representative direct-instruction trajectory for yellow block; the evaluated count × transition composition is intentionally absent. The evaluation wording is also paraphrased.</x:v>
      </x:c>
      <x:c r="N260" s="9" t="n">
        <x:v>2</x:v>
      </x:c>
      <x:c r="O260" s="9" t="str">
        <x:v>Build the listed count-2 scene.</x:v>
      </x:c>
      <x:c r="P260" s="9" t="str">
        <x:v>Exact-scene paraphrase of the canonical held-out composition.</x:v>
      </x:c>
      <x:c r="Q260" s="9"/>
      <x:c r="R260" s="10"/>
      <x:c r="S260" s="10"/>
      <x:c r="T260" s="9"/>
      <x:c r="U260" s="9"/>
      <x:c r="V260" s="9"/>
      <x:c r="W260" s="9" t="str">
        <x:v>CT-CF05-REMOVE</x:v>
      </x:c>
      <x:c r="X260" s="10" t="n">
        <x:v>2</x:v>
      </x:c>
      <x:c r="Y260" s="10" t="n">
        <x:v>1</x:v>
      </x:c>
      <x:c r="Z260" s="9" t="str">
        <x:v>REMOVE</x:v>
      </x:c>
      <x:c r="AA260" s="9"/>
      <x:c r="AB260" s="9"/>
      <x:c r="AC260" s="9"/>
      <x:c r="AD260" s="9"/>
      <x:c r="AE260" s="9"/>
      <x:c r="AF260" s="9"/>
      <x:c r="AG260" s="9"/>
      <x:c r="AH260" s="9"/>
      <x:c r="AI260" s="11"/>
      <x:c r="AJ260" s="9"/>
      <x:c r="AK260" s="9" t="str">
        <x:v>Eval_Counting.xlsm</x:v>
      </x:c>
      <x:c r="AL260" s="9" t="str">
        <x:v>MolmoAct2 Results</x:v>
      </x:c>
      <x:c r="AM260" s="9" t="n">
        <x:v>110</x:v>
      </x:c>
      <x:c r="AN260" s="9" t="n">
        <x:v>110</x:v>
      </x:c>
    </x:row>
    <x:row r="261">
      <x:c r="A261" s="9" t="str">
        <x:v>Success</x:v>
      </x:c>
      <x:c r="B261" s="9" t="str">
        <x:v>Counting</x:v>
      </x:c>
      <x:c r="C261" s="10" t="n">
        <x:v>109</x:v>
      </x:c>
      <x:c r="D261" s="9" t="str">
        <x:v>Lift the yellow block out of the bowl and set it on the table.</x:v>
      </x:c>
      <x:c r="E261" s="9" t="str">
        <x:v>Bowl objects: [yellow block, airplane toy without propellers] | Table objects: [blue pen, green pencil sharpener]</x:v>
      </x:c>
      <x:c r="F261" s="9" t="str">
        <x:v>REMOVE yellow block</x:v>
      </x:c>
      <x:c r="G261" s="9"/>
      <x:c r="H261" s="9" t="str">
        <x:v>Language robustness</x:v>
      </x:c>
      <x:c r="I261" s="9" t="str">
        <x:v>CT-CF05</x:v>
      </x:c>
      <x:c r="J261" s="9" t="str">
        <x:v>Matched-control paraphrase: REMOVE</x:v>
      </x:c>
      <x:c r="K261" s="9" t="n">
        <x:v>107</x:v>
      </x:c>
      <x:c r="L261" s="9" t="str">
        <x:v>885</x:v>
      </x:c>
      <x:c r="M261" s="9" t="str">
        <x:v>Canonical direct-control trajectory for the named object and action direction; evaluation wording is paraphrased.</x:v>
      </x:c>
      <x:c r="N261" s="9" t="n">
        <x:v>2</x:v>
      </x:c>
      <x:c r="O261" s="9" t="str">
        <x:v>Reset the exact count-2 scene; change only the prompt.</x:v>
      </x:c>
      <x:c r="P261" s="9" t="str">
        <x:v>Exact-scene paraphrase of the direct manipulation control.</x:v>
      </x:c>
      <x:c r="Q261" s="9"/>
      <x:c r="R261" s="10"/>
      <x:c r="S261" s="10"/>
      <x:c r="T261" s="9"/>
      <x:c r="U261" s="9"/>
      <x:c r="V261" s="9"/>
      <x:c r="W261" s="9" t="str">
        <x:v>CT-CF05-REMOVE</x:v>
      </x:c>
      <x:c r="X261" s="10" t="n">
        <x:v>2</x:v>
      </x:c>
      <x:c r="Y261" s="10" t="n">
        <x:v>1</x:v>
      </x:c>
      <x:c r="Z261" s="9" t="str">
        <x:v>REMOVE</x:v>
      </x:c>
      <x:c r="AA261" s="9"/>
      <x:c r="AB261" s="9"/>
      <x:c r="AC261" s="9"/>
      <x:c r="AD261" s="9"/>
      <x:c r="AE261" s="9"/>
      <x:c r="AF261" s="9"/>
      <x:c r="AG261" s="9"/>
      <x:c r="AH261" s="9"/>
      <x:c r="AI261" s="11"/>
      <x:c r="AJ261" s="9"/>
      <x:c r="AK261" s="9" t="str">
        <x:v>Eval_Counting.xlsm</x:v>
      </x:c>
      <x:c r="AL261" s="9" t="str">
        <x:v>MolmoAct2 Results</x:v>
      </x:c>
      <x:c r="AM261" s="9" t="n">
        <x:v>111</x:v>
      </x:c>
      <x:c r="AN261" s="9" t="n">
        <x:v>111</x:v>
      </x:c>
    </x:row>
    <x:row r="262">
      <x:c r="A262" s="9" t="str">
        <x:v>Success</x:v>
      </x:c>
      <x:c r="B262" s="9" t="str">
        <x:v>Counting</x:v>
      </x:c>
      <x:c r="C262" s="10" t="n">
        <x:v>110</x:v>
      </x:c>
      <x:c r="D262" s="9" t="str">
        <x:v>Move the blue pen into the bowl.</x:v>
      </x:c>
      <x:c r="E262" s="9" t="str">
        <x:v>Bowl objects: [yellow block, airplane toy without propellers] | Table objects: [blue pen, green pencil sharpener]</x:v>
      </x:c>
      <x:c r="F262" s="9" t="str">
        <x:v>ADD blue pen</x:v>
      </x:c>
      <x:c r="G262" s="9"/>
      <x:c r="H262" s="9" t="str">
        <x:v>Matched manipulation control</x:v>
      </x:c>
      <x:c r="I262" s="9" t="str">
        <x:v>CT-CF05</x:v>
      </x:c>
      <x:c r="J262" s="9" t="str">
        <x:v>Matched direct ADD control</x:v>
      </x:c>
      <x:c r="K262" s="9"/>
      <x:c r="L262" s="9" t="str">
        <x:v>817</x:v>
      </x:c>
      <x:c r="M262" s="9" t="str">
        <x:v>Exact direct-prompt trajectory for the named object and action direction; evaluation layout is reset manually.</x:v>
      </x:c>
      <x:c r="N262" s="9" t="n">
        <x:v>2</x:v>
      </x:c>
      <x:c r="O262" s="9" t="str">
        <x:v>Reset the exact count-2 scene; change only the prompt.</x:v>
      </x:c>
      <x:c r="P262" s="9" t="str">
        <x:v>The direct prompt is present in Counting training for this same-task object and action direction.</x:v>
      </x:c>
      <x:c r="Q262" s="9"/>
      <x:c r="R262" s="10"/>
      <x:c r="S262" s="10"/>
      <x:c r="T262" s="9"/>
      <x:c r="U262" s="9"/>
      <x:c r="V262" s="9"/>
      <x:c r="W262" s="9" t="str">
        <x:v>CT-CF05-ADD</x:v>
      </x:c>
      <x:c r="X262" s="10" t="n">
        <x:v>2</x:v>
      </x:c>
      <x:c r="Y262" s="10" t="n">
        <x:v>3</x:v>
      </x:c>
      <x:c r="Z262" s="9" t="str">
        <x:v>ADD</x:v>
      </x:c>
      <x:c r="AA262" s="9"/>
      <x:c r="AB262" s="9"/>
      <x:c r="AC262" s="9"/>
      <x:c r="AD262" s="9"/>
      <x:c r="AE262" s="9"/>
      <x:c r="AF262" s="9"/>
      <x:c r="AG262" s="9"/>
      <x:c r="AH262" s="9"/>
      <x:c r="AI262" s="11"/>
      <x:c r="AJ262" s="9"/>
      <x:c r="AK262" s="9" t="str">
        <x:v>Eval_Counting.xlsm</x:v>
      </x:c>
      <x:c r="AL262" s="9" t="str">
        <x:v>MolmoAct2 Results</x:v>
      </x:c>
      <x:c r="AM262" s="9" t="n">
        <x:v>112</x:v>
      </x:c>
      <x:c r="AN262" s="9" t="n">
        <x:v>112</x:v>
      </x:c>
    </x:row>
    <x:row r="263">
      <x:c r="A263" s="9" t="str">
        <x:v>Failure</x:v>
      </x:c>
      <x:c r="B263" s="9" t="str">
        <x:v>Counting</x:v>
      </x:c>
      <x:c r="C263" s="10" t="n">
        <x:v>111</x:v>
      </x:c>
      <x:c r="D263" s="9" t="str">
        <x:v>Leave exactly three objects in the bowl.</x:v>
      </x:c>
      <x:c r="E263" s="9" t="str">
        <x:v>Bowl objects: [yellow block, airplane toy without propellers] | Table objects: [blue pen, green pencil sharpener]</x:v>
      </x:c>
      <x:c r="F263" s="9" t="str">
        <x:v>ADD any one table object; finish with 3 objects in the bowl</x:v>
      </x:c>
      <x:c r="G263" s="9" t="str">
        <x:v>didn't move</x:v>
      </x:c>
      <x:c r="H263" s="9" t="str">
        <x:v>Concept/compositional transfer</x:v>
      </x:c>
      <x:c r="I263" s="9" t="str">
        <x:v>CT-CF05</x:v>
      </x:c>
      <x:c r="J263" s="9" t="str">
        <x:v>Primary: three via held-out 2→3 addition</x:v>
      </x:c>
      <x:c r="K263" s="9" t="n">
        <x:v>110</x:v>
      </x:c>
      <x:c r="L263" s="9" t="str">
        <x:v>916</x:v>
      </x:c>
      <x:c r="M263" s="9" t="str">
        <x:v>Representative direct-instruction trajectory for green pencil sharpener; the evaluated count × transition composition is intentionally absent.</x:v>
      </x:c>
      <x:c r="N263" s="9" t="n">
        <x:v>2</x:v>
      </x:c>
      <x:c r="O263" s="9" t="str">
        <x:v>Reset the exact count-2 scene; change only the prompt.</x:v>
      </x:c>
      <x:c r="P263" s="9" t="str">
        <x:v>The goal word three is trained, and this 2→3 trajectory is trained under a direct instruction, but the combination is withheld.</x:v>
      </x:c>
      <x:c r="Q263" s="9"/>
      <x:c r="R263" s="10"/>
      <x:c r="S263" s="10"/>
      <x:c r="T263" s="9"/>
      <x:c r="U263" s="9"/>
      <x:c r="V263" s="9"/>
      <x:c r="W263" s="9" t="str">
        <x:v>CT-CF05-ADD</x:v>
      </x:c>
      <x:c r="X263" s="10" t="n">
        <x:v>2</x:v>
      </x:c>
      <x:c r="Y263" s="10" t="n">
        <x:v>3</x:v>
      </x:c>
      <x:c r="Z263" s="9" t="str">
        <x:v>ADD</x:v>
      </x:c>
      <x:c r="AA263" s="9"/>
      <x:c r="AB263" s="9"/>
      <x:c r="AC263" s="9"/>
      <x:c r="AD263" s="9"/>
      <x:c r="AE263" s="9"/>
      <x:c r="AF263" s="9"/>
      <x:c r="AG263" s="9"/>
      <x:c r="AH263" s="9"/>
      <x:c r="AI263" s="11"/>
      <x:c r="AJ263" s="9"/>
      <x:c r="AK263" s="9" t="str">
        <x:v>Eval_Counting.xlsm</x:v>
      </x:c>
      <x:c r="AL263" s="9" t="str">
        <x:v>MolmoAct2 Results</x:v>
      </x:c>
      <x:c r="AM263" s="9" t="n">
        <x:v>113</x:v>
      </x:c>
      <x:c r="AN263" s="9" t="n">
        <x:v>113</x:v>
      </x:c>
    </x:row>
    <x:row r="264">
      <x:c r="A264" s="9" t="str">
        <x:v>Success</x:v>
      </x:c>
      <x:c r="B264" s="9" t="str">
        <x:v>Counting</x:v>
      </x:c>
      <x:c r="C264" s="10" t="n">
        <x:v>112</x:v>
      </x:c>
      <x:c r="D264" s="9" t="str">
        <x:v>Lift the blue pen from the table and set it inside the bowl.</x:v>
      </x:c>
      <x:c r="E264" s="9" t="str">
        <x:v>Bowl objects: [yellow block, airplane toy without propellers] | Table objects: [blue pen, green pencil sharpener]</x:v>
      </x:c>
      <x:c r="F264" s="9" t="str">
        <x:v>ADD blue pen</x:v>
      </x:c>
      <x:c r="G264" s="9"/>
      <x:c r="H264" s="9" t="str">
        <x:v>Language robustness</x:v>
      </x:c>
      <x:c r="I264" s="9" t="str">
        <x:v>CT-CF05</x:v>
      </x:c>
      <x:c r="J264" s="9" t="str">
        <x:v>Matched-control paraphrase: ADD</x:v>
      </x:c>
      <x:c r="K264" s="9" t="n">
        <x:v>110</x:v>
      </x:c>
      <x:c r="L264" s="9" t="str">
        <x:v>817</x:v>
      </x:c>
      <x:c r="M264" s="9" t="str">
        <x:v>Canonical direct-control trajectory for the named object and action direction; evaluation wording is paraphrased.</x:v>
      </x:c>
      <x:c r="N264" s="9" t="n">
        <x:v>2</x:v>
      </x:c>
      <x:c r="O264" s="9" t="str">
        <x:v>Reset the exact count-2 scene; change only the prompt.</x:v>
      </x:c>
      <x:c r="P264" s="9" t="str">
        <x:v>Exact-scene paraphrase of the direct manipulation control.</x:v>
      </x:c>
      <x:c r="Q264" s="9"/>
      <x:c r="R264" s="10"/>
      <x:c r="S264" s="10"/>
      <x:c r="T264" s="9"/>
      <x:c r="U264" s="9"/>
      <x:c r="V264" s="9"/>
      <x:c r="W264" s="9" t="str">
        <x:v>CT-CF05-ADD</x:v>
      </x:c>
      <x:c r="X264" s="10" t="n">
        <x:v>2</x:v>
      </x:c>
      <x:c r="Y264" s="10" t="n">
        <x:v>3</x:v>
      </x:c>
      <x:c r="Z264" s="9" t="str">
        <x:v>ADD</x:v>
      </x:c>
      <x:c r="AA264" s="9"/>
      <x:c r="AB264" s="9"/>
      <x:c r="AC264" s="9"/>
      <x:c r="AD264" s="9"/>
      <x:c r="AE264" s="9"/>
      <x:c r="AF264" s="9"/>
      <x:c r="AG264" s="9"/>
      <x:c r="AH264" s="9"/>
      <x:c r="AI264" s="11"/>
      <x:c r="AJ264" s="9"/>
      <x:c r="AK264" s="9" t="str">
        <x:v>Eval_Counting.xlsm</x:v>
      </x:c>
      <x:c r="AL264" s="9" t="str">
        <x:v>MolmoAct2 Results</x:v>
      </x:c>
      <x:c r="AM264" s="9" t="n">
        <x:v>114</x:v>
      </x:c>
      <x:c r="AN264" s="9" t="n">
        <x:v>114</x:v>
      </x:c>
    </x:row>
    <x:row r="265">
      <x:c r="A265" s="9" t="str">
        <x:v>Failure</x:v>
      </x:c>
      <x:c r="B265" s="9" t="str">
        <x:v>Counting</x:v>
      </x:c>
      <x:c r="C265" s="10" t="n">
        <x:v>113</x:v>
      </x:c>
      <x:c r="D265" s="9" t="str">
        <x:v>Adjust the contents until three objects remain in the bowl.</x:v>
      </x:c>
      <x:c r="E265" s="9" t="str">
        <x:v>Bowl objects: [yellow block, airplane toy without propellers] | Table objects: [blue pen, green pencil sharpener]</x:v>
      </x:c>
      <x:c r="F265" s="9" t="str">
        <x:v>ADD any one table object; finish with 3 objects in the bowl</x:v>
      </x:c>
      <x:c r="G265" s="9" t="str">
        <x:v>didn't move</x:v>
      </x:c>
      <x:c r="H265" s="9" t="str">
        <x:v>Language robustness</x:v>
      </x:c>
      <x:c r="I265" s="9" t="str">
        <x:v>CT-CF05</x:v>
      </x:c>
      <x:c r="J265" s="9" t="str">
        <x:v>Primary compositional paraphrase: three via 2→3 addition</x:v>
      </x:c>
      <x:c r="K265" s="9" t="n">
        <x:v>111</x:v>
      </x:c>
      <x:c r="L265" s="9" t="str">
        <x:v>916</x:v>
      </x:c>
      <x:c r="M265" s="9" t="str">
        <x:v>Representative direct-instruction trajectory for green pencil sharpener; the evaluated count × transition composition is intentionally absent. The evaluation wording is also paraphrased.</x:v>
      </x:c>
      <x:c r="N265" s="9" t="n">
        <x:v>2</x:v>
      </x:c>
      <x:c r="O265" s="9" t="str">
        <x:v>Reset the exact count-2 scene; change only the prompt.</x:v>
      </x:c>
      <x:c r="P265" s="9" t="str">
        <x:v>Exact-scene paraphrase of the canonical held-out composition.</x:v>
      </x:c>
      <x:c r="Q265" s="9"/>
      <x:c r="R265" s="10"/>
      <x:c r="S265" s="10"/>
      <x:c r="T265" s="9"/>
      <x:c r="U265" s="9"/>
      <x:c r="V265" s="9"/>
      <x:c r="W265" s="9" t="str">
        <x:v>CT-CF05-ADD</x:v>
      </x:c>
      <x:c r="X265" s="10" t="n">
        <x:v>2</x:v>
      </x:c>
      <x:c r="Y265" s="10" t="n">
        <x:v>3</x:v>
      </x:c>
      <x:c r="Z265" s="9" t="str">
        <x:v>ADD</x:v>
      </x:c>
      <x:c r="AA265" s="9"/>
      <x:c r="AB265" s="9"/>
      <x:c r="AC265" s="9"/>
      <x:c r="AD265" s="9"/>
      <x:c r="AE265" s="9"/>
      <x:c r="AF265" s="9"/>
      <x:c r="AG265" s="9"/>
      <x:c r="AH265" s="9"/>
      <x:c r="AI265" s="11"/>
      <x:c r="AJ265" s="9"/>
      <x:c r="AK265" s="9" t="str">
        <x:v>Eval_Counting.xlsm</x:v>
      </x:c>
      <x:c r="AL265" s="9" t="str">
        <x:v>MolmoAct2 Results</x:v>
      </x:c>
      <x:c r="AM265" s="9" t="n">
        <x:v>115</x:v>
      </x:c>
      <x:c r="AN265" s="9" t="n">
        <x:v>115</x:v>
      </x:c>
    </x:row>
    <x:row r="266">
      <x:c r="A266" s="9" t="str">
        <x:v>Failure</x:v>
      </x:c>
      <x:c r="B266" s="9" t="str">
        <x:v>Counting</x:v>
      </x:c>
      <x:c r="C266" s="10" t="n">
        <x:v>114</x:v>
      </x:c>
      <x:c r="D266" s="9" t="str">
        <x:v>Leave exactly three objects in the bowl.</x:v>
      </x:c>
      <x:c r="E266" s="9" t="str">
        <x:v>Bowl objects: [yellow block, green pencil sharpener] | Table objects: [airplane toy without propellers]</x:v>
      </x:c>
      <x:c r="F266" s="9" t="str">
        <x:v>ADD any one table object; finish with 3 objects in the bowl</x:v>
      </x:c>
      <x:c r="G266" s="9" t="str">
        <x:v>didn't move</x:v>
      </x:c>
      <x:c r="H266" s="9" t="str">
        <x:v>Concept/compositional transfer</x:v>
      </x:c>
      <x:c r="I266" s="9" t="str">
        <x:v>CT-CF22</x:v>
      </x:c>
      <x:c r="J266" s="9" t="str">
        <x:v>Primary: three via held-out 2→3 addition</x:v>
      </x:c>
      <x:c r="K266" s="9"/>
      <x:c r="L266" s="9" t="str">
        <x:v>966</x:v>
      </x:c>
      <x:c r="M266" s="9" t="str">
        <x:v>Representative direct-instruction trajectory for airplane toy without propellers; the evaluated count × transition composition is intentionally absent.</x:v>
      </x:c>
      <x:c r="N266" s="9" t="n">
        <x:v>4</x:v>
      </x:c>
      <x:c r="O266" s="9" t="str">
        <x:v>Reset the exact count-2 scene; change only the prompt.</x:v>
      </x:c>
      <x:c r="P266" s="9" t="str">
        <x:v>The goal word three is trained, and this 2→3 trajectory is trained under a direct instruction, but the combination is withheld.</x:v>
      </x:c>
      <x:c r="Q266" s="9"/>
      <x:c r="R266" s="10"/>
      <x:c r="S266" s="10"/>
      <x:c r="T266" s="9"/>
      <x:c r="U266" s="9"/>
      <x:c r="V266" s="9"/>
      <x:c r="W266" s="9" t="str">
        <x:v>CT-CF22-ADD</x:v>
      </x:c>
      <x:c r="X266" s="10" t="n">
        <x:v>2</x:v>
      </x:c>
      <x:c r="Y266" s="10" t="n">
        <x:v>3</x:v>
      </x:c>
      <x:c r="Z266" s="9" t="str">
        <x:v>ADD</x:v>
      </x:c>
      <x:c r="AA266" s="9"/>
      <x:c r="AB266" s="9"/>
      <x:c r="AC266" s="9"/>
      <x:c r="AD266" s="9"/>
      <x:c r="AE266" s="9"/>
      <x:c r="AF266" s="9"/>
      <x:c r="AG266" s="9"/>
      <x:c r="AH266" s="9"/>
      <x:c r="AI266" s="11"/>
      <x:c r="AJ266" s="9"/>
      <x:c r="AK266" s="9" t="str">
        <x:v>Eval_Counting.xlsm</x:v>
      </x:c>
      <x:c r="AL266" s="9" t="str">
        <x:v>MolmoAct2 Results</x:v>
      </x:c>
      <x:c r="AM266" s="9" t="n">
        <x:v>116</x:v>
      </x:c>
      <x:c r="AN266" s="9" t="n">
        <x:v>116</x:v>
      </x:c>
    </x:row>
    <x:row r="267">
      <x:c r="A267" s="9" t="str">
        <x:v>Failure</x:v>
      </x:c>
      <x:c r="B267" s="9" t="str">
        <x:v>Counting</x:v>
      </x:c>
      <x:c r="C267" s="10" t="n">
        <x:v>115</x:v>
      </x:c>
      <x:c r="D267" s="9" t="str">
        <x:v>Leave exactly one object in the bowl.</x:v>
      </x:c>
      <x:c r="E267" s="9" t="str">
        <x:v>Bowl objects: [yellow block, green pencil sharpener] | Table objects: [airplane toy without propellers]</x:v>
      </x:c>
      <x:c r="F267" s="9" t="str">
        <x:v>REMOVE any one bowl object; finish with 1 object in the bowl</x:v>
      </x:c>
      <x:c r="G267" s="9" t="str">
        <x:v>didn't move</x:v>
      </x:c>
      <x:c r="H267" s="9" t="str">
        <x:v>Concept/compositional transfer</x:v>
      </x:c>
      <x:c r="I267" s="9" t="str">
        <x:v>CT-CF22</x:v>
      </x:c>
      <x:c r="J267" s="9" t="str">
        <x:v>Primary: one via held-out 2→1 removal</x:v>
      </x:c>
      <x:c r="K267" s="9" t="n">
        <x:v>114</x:v>
      </x:c>
      <x:c r="L267" s="9" t="str">
        <x:v>931</x:v>
      </x:c>
      <x:c r="M267" s="9" t="str">
        <x:v>Representative direct-instruction trajectory for green pencil sharpener; the evaluated count × transition composition is intentionally absent.</x:v>
      </x:c>
      <x:c r="N267" s="9" t="n">
        <x:v>4</x:v>
      </x:c>
      <x:c r="O267" s="9" t="str">
        <x:v>Build the listed count-2 scene.</x:v>
      </x:c>
      <x:c r="P267" s="9" t="str">
        <x:v>The goal word one is trained, and this 2→1 trajectory is trained under a direct instruction, but the combination is withheld.</x:v>
      </x:c>
      <x:c r="Q267" s="9"/>
      <x:c r="R267" s="10"/>
      <x:c r="S267" s="10"/>
      <x:c r="T267" s="9"/>
      <x:c r="U267" s="9"/>
      <x:c r="V267" s="9"/>
      <x:c r="W267" s="9" t="str">
        <x:v>CT-CF22-REMOVE</x:v>
      </x:c>
      <x:c r="X267" s="10" t="n">
        <x:v>2</x:v>
      </x:c>
      <x:c r="Y267" s="10" t="n">
        <x:v>1</x:v>
      </x:c>
      <x:c r="Z267" s="9" t="str">
        <x:v>REMOVE</x:v>
      </x:c>
      <x:c r="AA267" s="9"/>
      <x:c r="AB267" s="9"/>
      <x:c r="AC267" s="9"/>
      <x:c r="AD267" s="9"/>
      <x:c r="AE267" s="9"/>
      <x:c r="AF267" s="9"/>
      <x:c r="AG267" s="9"/>
      <x:c r="AH267" s="9"/>
      <x:c r="AI267" s="11"/>
      <x:c r="AJ267" s="9"/>
      <x:c r="AK267" s="9" t="str">
        <x:v>Eval_Counting.xlsm</x:v>
      </x:c>
      <x:c r="AL267" s="9" t="str">
        <x:v>MolmoAct2 Results</x:v>
      </x:c>
      <x:c r="AM267" s="9" t="n">
        <x:v>117</x:v>
      </x:c>
      <x:c r="AN267" s="9" t="n">
        <x:v>117</x:v>
      </x:c>
    </x:row>
    <x:row r="268">
      <x:c r="A268" s="9" t="str">
        <x:v>Failure</x:v>
      </x:c>
      <x:c r="B268" s="9" t="str">
        <x:v>Counting</x:v>
      </x:c>
      <x:c r="C268" s="10" t="n">
        <x:v>116</x:v>
      </x:c>
      <x:c r="D268" s="9" t="str">
        <x:v>Leave exactly one object in the bowl.</x:v>
      </x:c>
      <x:c r="E268" s="9" t="str">
        <x:v>Bowl objects: [blue pen, airplane toy without propellers] | Table objects: [yellow block]</x:v>
      </x:c>
      <x:c r="F268" s="9" t="str">
        <x:v>REMOVE any one bowl object; finish with 1 object in the bowl</x:v>
      </x:c>
      <x:c r="G268" s="9" t="str">
        <x:v>didn't move</x:v>
      </x:c>
      <x:c r="H268" s="9" t="str">
        <x:v>Concept/compositional transfer</x:v>
      </x:c>
      <x:c r="I268" s="9" t="str">
        <x:v>CT-CF21</x:v>
      </x:c>
      <x:c r="J268" s="9" t="str">
        <x:v>Primary: one via held-out 2→1 removal</x:v>
      </x:c>
      <x:c r="K268" s="9"/>
      <x:c r="L268" s="9" t="str">
        <x:v>831</x:v>
      </x:c>
      <x:c r="M268" s="9" t="str">
        <x:v>Representative direct-instruction trajectory for blue pen; the evaluated count × transition composition is intentionally absent.</x:v>
      </x:c>
      <x:c r="N268" s="9" t="n">
        <x:v>4</x:v>
      </x:c>
      <x:c r="O268" s="9" t="str">
        <x:v>Build the listed count-2 scene.</x:v>
      </x:c>
      <x:c r="P268" s="9" t="str">
        <x:v>The goal word one is trained, and this 2→1 trajectory is trained under a direct instruction, but the combination is withheld.</x:v>
      </x:c>
      <x:c r="Q268" s="9"/>
      <x:c r="R268" s="10"/>
      <x:c r="S268" s="10"/>
      <x:c r="T268" s="9"/>
      <x:c r="U268" s="9"/>
      <x:c r="V268" s="9"/>
      <x:c r="W268" s="9" t="str">
        <x:v>CT-CF21-REMOVE</x:v>
      </x:c>
      <x:c r="X268" s="10" t="n">
        <x:v>2</x:v>
      </x:c>
      <x:c r="Y268" s="10" t="n">
        <x:v>1</x:v>
      </x:c>
      <x:c r="Z268" s="9" t="str">
        <x:v>REMOVE</x:v>
      </x:c>
      <x:c r="AA268" s="9"/>
      <x:c r="AB268" s="9"/>
      <x:c r="AC268" s="9"/>
      <x:c r="AD268" s="9"/>
      <x:c r="AE268" s="9"/>
      <x:c r="AF268" s="9"/>
      <x:c r="AG268" s="9"/>
      <x:c r="AH268" s="9"/>
      <x:c r="AI268" s="11"/>
      <x:c r="AJ268" s="9"/>
      <x:c r="AK268" s="9" t="str">
        <x:v>Eval_Counting.xlsm</x:v>
      </x:c>
      <x:c r="AL268" s="9" t="str">
        <x:v>MolmoAct2 Results</x:v>
      </x:c>
      <x:c r="AM268" s="9" t="n">
        <x:v>118</x:v>
      </x:c>
      <x:c r="AN268" s="9" t="n">
        <x:v>118</x:v>
      </x:c>
    </x:row>
    <x:row r="269">
      <x:c r="A269" s="9" t="str">
        <x:v>Failure</x:v>
      </x:c>
      <x:c r="B269" s="9" t="str">
        <x:v>Counting</x:v>
      </x:c>
      <x:c r="C269" s="10" t="n">
        <x:v>117</x:v>
      </x:c>
      <x:c r="D269" s="9" t="str">
        <x:v>Leave exactly three objects in the bowl.</x:v>
      </x:c>
      <x:c r="E269" s="9" t="str">
        <x:v>Bowl objects: [blue pen, airplane toy without propellers] | Table objects: [yellow block]</x:v>
      </x:c>
      <x:c r="F269" s="9" t="str">
        <x:v>ADD any one table object; finish with 3 objects in the bowl</x:v>
      </x:c>
      <x:c r="G269" s="9" t="str">
        <x:v>didn't move</x:v>
      </x:c>
      <x:c r="H269" s="9" t="str">
        <x:v>Concept/compositional transfer</x:v>
      </x:c>
      <x:c r="I269" s="9" t="str">
        <x:v>CT-CF21</x:v>
      </x:c>
      <x:c r="J269" s="9" t="str">
        <x:v>Primary: three via held-out 2→3 addition</x:v>
      </x:c>
      <x:c r="K269" s="9" t="n">
        <x:v>116</x:v>
      </x:c>
      <x:c r="L269" s="9" t="str">
        <x:v>866</x:v>
      </x:c>
      <x:c r="M269" s="9" t="str">
        <x:v>Representative direct-instruction trajectory for yellow block; the evaluated count × transition composition is intentionally absent.</x:v>
      </x:c>
      <x:c r="N269" s="9" t="n">
        <x:v>4</x:v>
      </x:c>
      <x:c r="O269" s="9" t="str">
        <x:v>Reset the exact count-2 scene; change only the prompt.</x:v>
      </x:c>
      <x:c r="P269" s="9" t="str">
        <x:v>The goal word three is trained, and this 2→3 trajectory is trained under a direct instruction, but the combination is withheld.</x:v>
      </x:c>
      <x:c r="Q269" s="9"/>
      <x:c r="R269" s="10"/>
      <x:c r="S269" s="10"/>
      <x:c r="T269" s="9"/>
      <x:c r="U269" s="9"/>
      <x:c r="V269" s="9"/>
      <x:c r="W269" s="9" t="str">
        <x:v>CT-CF21-ADD</x:v>
      </x:c>
      <x:c r="X269" s="10" t="n">
        <x:v>2</x:v>
      </x:c>
      <x:c r="Y269" s="10" t="n">
        <x:v>3</x:v>
      </x:c>
      <x:c r="Z269" s="9" t="str">
        <x:v>ADD</x:v>
      </x:c>
      <x:c r="AA269" s="9"/>
      <x:c r="AB269" s="9"/>
      <x:c r="AC269" s="9"/>
      <x:c r="AD269" s="9"/>
      <x:c r="AE269" s="9"/>
      <x:c r="AF269" s="9"/>
      <x:c r="AG269" s="9"/>
      <x:c r="AH269" s="9"/>
      <x:c r="AI269" s="11"/>
      <x:c r="AJ269" s="9"/>
      <x:c r="AK269" s="9" t="str">
        <x:v>Eval_Counting.xlsm</x:v>
      </x:c>
      <x:c r="AL269" s="9" t="str">
        <x:v>MolmoAct2 Results</x:v>
      </x:c>
      <x:c r="AM269" s="9" t="n">
        <x:v>119</x:v>
      </x:c>
      <x:c r="AN269" s="9" t="n">
        <x:v>119</x:v>
      </x:c>
    </x:row>
    <x:row r="270">
      <x:c r="A270" s="9" t="str">
        <x:v>Success</x:v>
      </x:c>
      <x:c r="B270" s="9" t="str">
        <x:v>Counting</x:v>
      </x:c>
      <x:c r="C270" s="10" t="n">
        <x:v>118</x:v>
      </x:c>
      <x:c r="D270" s="9" t="str">
        <x:v>Make the bowl contain exactly zero objects.</x:v>
      </x:c>
      <x:c r="E270" s="9" t="str">
        <x:v>Bowl objects: [yellow block] | Table objects: [green highlighter]</x:v>
      </x:c>
      <x:c r="F270" s="9" t="str">
        <x:v>REMOVE yellow block; finish with 0 objects in the bowl</x:v>
      </x:c>
      <x:c r="G270" s="9"/>
      <x:c r="H270" s="9" t="str">
        <x:v>Cross-task object reasoning</x:v>
      </x:c>
      <x:c r="I270" s="9" t="str">
        <x:v>XT-GH02</x:v>
      </x:c>
      <x:c r="J270" s="9" t="str">
        <x:v>Reasoning-only cross-task distractor: 1→0 removal</x:v>
      </x:c>
      <x:c r="K270" s="9"/>
      <x:c r="L270" s="9" t="str">
        <x:v>825; 708</x:v>
      </x:c>
      <x:c r="M270" s="9" t="str">
        <x:v>First episode grounds the Counting prompt/transition; episode 708 grounds direct green-highlighter manipulation. No exact green-highlighter Counting cell exists.</x:v>
      </x:c>
      <x:c r="N270" s="9" t="n">
        <x:v>5</x:v>
      </x:c>
      <x:c r="O270" s="9" t="str">
        <x:v>Build counterfactual cross-task scene B.</x:v>
      </x:c>
      <x:c r="P270" s="9" t="str">
        <x:v>The prompt never names the highlighter. The highlighter is a distractor; the familiar Counting transition determines the action.</x:v>
      </x:c>
      <x:c r="Q270" s="9"/>
      <x:c r="R270" s="10"/>
      <x:c r="S270" s="10"/>
      <x:c r="T270" s="9"/>
      <x:c r="U270" s="9"/>
      <x:c r="V270" s="9"/>
      <x:c r="W270" s="9" t="str">
        <x:v>XT-GH02-B</x:v>
      </x:c>
      <x:c r="X270" s="10" t="n">
        <x:v>1</x:v>
      </x:c>
      <x:c r="Y270" s="10" t="n">
        <x:v>0</x:v>
      </x:c>
      <x:c r="Z270" s="9" t="str">
        <x:v>REMOVE</x:v>
      </x:c>
      <x:c r="AA270" s="9"/>
      <x:c r="AB270" s="9"/>
      <x:c r="AC270" s="9"/>
      <x:c r="AD270" s="9"/>
      <x:c r="AE270" s="9"/>
      <x:c r="AF270" s="9"/>
      <x:c r="AG270" s="9"/>
      <x:c r="AH270" s="9"/>
      <x:c r="AI270" s="11"/>
      <x:c r="AJ270" s="9"/>
      <x:c r="AK270" s="9" t="str">
        <x:v>Eval_Counting.xlsm</x:v>
      </x:c>
      <x:c r="AL270" s="9" t="str">
        <x:v>MolmoAct2 Results</x:v>
      </x:c>
      <x:c r="AM270" s="9" t="n">
        <x:v>120</x:v>
      </x:c>
      <x:c r="AN270" s="9" t="n">
        <x:v>120</x:v>
      </x:c>
    </x:row>
    <x:row r="271">
      <x:c r="A271" s="9" t="str">
        <x:v>Failure</x:v>
      </x:c>
      <x:c r="B271" s="9" t="str">
        <x:v>Counting</x:v>
      </x:c>
      <x:c r="C271" s="10" t="n">
        <x:v>119</x:v>
      </x:c>
      <x:c r="D271" s="9" t="str">
        <x:v>Make the bowl contain exactly two objects.</x:v>
      </x:c>
      <x:c r="E271" s="9" t="str">
        <x:v>Bowl objects: [yellow block] | Table objects: [green highlighter]</x:v>
      </x:c>
      <x:c r="F271" s="9" t="str">
        <x:v>ADD green highlighter; finish with 2 objects in the bowl</x:v>
      </x:c>
      <x:c r="G271" s="9" t="str">
        <x:v>didn't move</x:v>
      </x:c>
      <x:c r="H271" s="9" t="str">
        <x:v>Cross-task object reasoning</x:v>
      </x:c>
      <x:c r="I271" s="9" t="str">
        <x:v>XT-GH02</x:v>
      </x:c>
      <x:c r="J271" s="9" t="str">
        <x:v>Reasoning-only cross-task target: 1→2 addition</x:v>
      </x:c>
      <x:c r="K271" s="9" t="n">
        <x:v>118</x:v>
      </x:c>
      <x:c r="L271" s="9" t="str">
        <x:v>808; 708</x:v>
      </x:c>
      <x:c r="M271" s="9" t="str">
        <x:v>First episode grounds the Counting prompt/transition; episode 708 grounds direct green-highlighter manipulation. No exact green-highlighter Counting cell exists.</x:v>
      </x:c>
      <x:c r="N271" s="9" t="n">
        <x:v>5</x:v>
      </x:c>
      <x:c r="O271" s="9" t="str">
        <x:v>Reset the exact scene; change only the requested final count.</x:v>
      </x:c>
      <x:c r="P271" s="9" t="str">
        <x:v>The prompt never names the highlighter. The highlighter is the required object; the familiar Counting transition determines the action.</x:v>
      </x:c>
      <x:c r="Q271" s="9"/>
      <x:c r="R271" s="10"/>
      <x:c r="S271" s="10"/>
      <x:c r="T271" s="9"/>
      <x:c r="U271" s="9"/>
      <x:c r="V271" s="9"/>
      <x:c r="W271" s="9" t="str">
        <x:v>XT-GH02-B</x:v>
      </x:c>
      <x:c r="X271" s="10" t="n">
        <x:v>1</x:v>
      </x:c>
      <x:c r="Y271" s="10" t="n">
        <x:v>2</x:v>
      </x:c>
      <x:c r="Z271" s="9" t="str">
        <x:v>ADD</x:v>
      </x:c>
      <x:c r="AA271" s="9"/>
      <x:c r="AB271" s="9"/>
      <x:c r="AC271" s="9"/>
      <x:c r="AD271" s="9"/>
      <x:c r="AE271" s="9"/>
      <x:c r="AF271" s="9"/>
      <x:c r="AG271" s="9"/>
      <x:c r="AH271" s="9"/>
      <x:c r="AI271" s="11"/>
      <x:c r="AJ271" s="9"/>
      <x:c r="AK271" s="9" t="str">
        <x:v>Eval_Counting.xlsm</x:v>
      </x:c>
      <x:c r="AL271" s="9" t="str">
        <x:v>MolmoAct2 Results</x:v>
      </x:c>
      <x:c r="AM271" s="9" t="n">
        <x:v>121</x:v>
      </x:c>
      <x:c r="AN271" s="9" t="n">
        <x:v>121</x:v>
      </x:c>
    </x:row>
    <x:row r="272">
      <x:c r="A272" s="9" t="str">
        <x:v>Failure</x:v>
      </x:c>
      <x:c r="B272" s="9" t="str">
        <x:v>Counting</x:v>
      </x:c>
      <x:c r="C272" s="10" t="n">
        <x:v>120</x:v>
      </x:c>
      <x:c r="D272" s="9" t="str">
        <x:v>Make the bowl contain exactly two objects.</x:v>
      </x:c>
      <x:c r="E272" s="9" t="str">
        <x:v>Bowl objects: [green highlighter] | Table objects: [yellow block]</x:v>
      </x:c>
      <x:c r="F272" s="9" t="str">
        <x:v>ADD yellow block; finish with 2 objects in the bowl</x:v>
      </x:c>
      <x:c r="G272" s="9" t="str">
        <x:v>didn't move</x:v>
      </x:c>
      <x:c r="H272" s="9" t="str">
        <x:v>Cross-task object reasoning</x:v>
      </x:c>
      <x:c r="I272" s="9" t="str">
        <x:v>XT-GH02</x:v>
      </x:c>
      <x:c r="J272" s="9" t="str">
        <x:v>Reasoning-only cross-task distractor: 1→2 addition</x:v>
      </x:c>
      <x:c r="K272" s="9"/>
      <x:c r="L272" s="9" t="str">
        <x:v>808; 708</x:v>
      </x:c>
      <x:c r="M272" s="9" t="str">
        <x:v>First episode grounds the Counting prompt/transition; episode 708 grounds direct green-highlighter manipulation. No exact green-highlighter Counting cell exists.</x:v>
      </x:c>
      <x:c r="N272" s="9" t="n">
        <x:v>5</x:v>
      </x:c>
      <x:c r="O272" s="9" t="str">
        <x:v>Build counterfactual cross-task scene A.</x:v>
      </x:c>
      <x:c r="P272" s="9" t="str">
        <x:v>The prompt never names the highlighter. The highlighter is a distractor; the familiar Counting transition determines the action.</x:v>
      </x:c>
      <x:c r="Q272" s="9"/>
      <x:c r="R272" s="10"/>
      <x:c r="S272" s="10"/>
      <x:c r="T272" s="9"/>
      <x:c r="U272" s="9"/>
      <x:c r="V272" s="9"/>
      <x:c r="W272" s="9" t="str">
        <x:v>XT-GH02-A</x:v>
      </x:c>
      <x:c r="X272" s="10" t="n">
        <x:v>1</x:v>
      </x:c>
      <x:c r="Y272" s="10" t="n">
        <x:v>2</x:v>
      </x:c>
      <x:c r="Z272" s="9" t="str">
        <x:v>ADD</x:v>
      </x:c>
      <x:c r="AA272" s="9"/>
      <x:c r="AB272" s="9"/>
      <x:c r="AC272" s="9"/>
      <x:c r="AD272" s="9"/>
      <x:c r="AE272" s="9"/>
      <x:c r="AF272" s="9"/>
      <x:c r="AG272" s="9"/>
      <x:c r="AH272" s="9"/>
      <x:c r="AI272" s="11"/>
      <x:c r="AJ272" s="9"/>
      <x:c r="AK272" s="9" t="str">
        <x:v>Eval_Counting.xlsm</x:v>
      </x:c>
      <x:c r="AL272" s="9" t="str">
        <x:v>MolmoAct2 Results</x:v>
      </x:c>
      <x:c r="AM272" s="9" t="n">
        <x:v>122</x:v>
      </x:c>
      <x:c r="AN272" s="9" t="n">
        <x:v>122</x:v>
      </x:c>
    </x:row>
    <x:row r="273">
      <x:c r="A273" s="9" t="str">
        <x:v>Failure</x:v>
      </x:c>
      <x:c r="B273" s="9" t="str">
        <x:v>Counting</x:v>
      </x:c>
      <x:c r="C273" s="10" t="n">
        <x:v>121</x:v>
      </x:c>
      <x:c r="D273" s="9" t="str">
        <x:v>Make the bowl contain exactly zero objects.</x:v>
      </x:c>
      <x:c r="E273" s="9" t="str">
        <x:v>Bowl objects: [green highlighter] | Table objects: [yellow block]</x:v>
      </x:c>
      <x:c r="F273" s="9" t="str">
        <x:v>REMOVE green highlighter; finish with 0 objects in the bowl</x:v>
      </x:c>
      <x:c r="G273" s="9" t="str">
        <x:v>started to move to highlighter at the end of the episode. successful reasoning, but didn't manage to actually remove the highlighter</x:v>
      </x:c>
      <x:c r="H273" s="9" t="str">
        <x:v>Cross-task object reasoning</x:v>
      </x:c>
      <x:c r="I273" s="9" t="str">
        <x:v>XT-GH02</x:v>
      </x:c>
      <x:c r="J273" s="9" t="str">
        <x:v>Reasoning-only cross-task target: 1→0 removal</x:v>
      </x:c>
      <x:c r="K273" s="9" t="n">
        <x:v>120</x:v>
      </x:c>
      <x:c r="L273" s="9" t="str">
        <x:v>825; 708</x:v>
      </x:c>
      <x:c r="M273" s="9" t="str">
        <x:v>First episode grounds the Counting prompt/transition; episode 708 grounds direct green-highlighter manipulation. No exact green-highlighter Counting cell exists.</x:v>
      </x:c>
      <x:c r="N273" s="9" t="n">
        <x:v>5</x:v>
      </x:c>
      <x:c r="O273" s="9" t="str">
        <x:v>Reset the exact scene; change only the requested final count.</x:v>
      </x:c>
      <x:c r="P273" s="9" t="str">
        <x:v>The prompt never names the highlighter. The highlighter is the required object; the familiar Counting transition determines the action.</x:v>
      </x:c>
      <x:c r="Q273" s="9"/>
      <x:c r="R273" s="10"/>
      <x:c r="S273" s="10"/>
      <x:c r="T273" s="9"/>
      <x:c r="U273" s="9"/>
      <x:c r="V273" s="9"/>
      <x:c r="W273" s="9" t="str">
        <x:v>XT-GH02-A</x:v>
      </x:c>
      <x:c r="X273" s="10" t="n">
        <x:v>1</x:v>
      </x:c>
      <x:c r="Y273" s="10" t="n">
        <x:v>0</x:v>
      </x:c>
      <x:c r="Z273" s="9" t="str">
        <x:v>REMOVE</x:v>
      </x:c>
      <x:c r="AA273" s="9"/>
      <x:c r="AB273" s="9"/>
      <x:c r="AC273" s="9"/>
      <x:c r="AD273" s="9"/>
      <x:c r="AE273" s="9"/>
      <x:c r="AF273" s="9"/>
      <x:c r="AG273" s="9"/>
      <x:c r="AH273" s="9"/>
      <x:c r="AI273" s="11"/>
      <x:c r="AJ273" s="9"/>
      <x:c r="AK273" s="9" t="str">
        <x:v>Eval_Counting.xlsm</x:v>
      </x:c>
      <x:c r="AL273" s="9" t="str">
        <x:v>MolmoAct2 Results</x:v>
      </x:c>
      <x:c r="AM273" s="9" t="n">
        <x:v>123</x:v>
      </x:c>
      <x:c r="AN273" s="9" t="n">
        <x:v>123</x:v>
      </x:c>
    </x:row>
    <x:row r="274">
      <x:c r="A274" s="9" t="str">
        <x:v>Failure</x:v>
      </x:c>
      <x:c r="B274" s="9" t="str">
        <x:v>Counting</x:v>
      </x:c>
      <x:c r="C274" s="10" t="n">
        <x:v>122</x:v>
      </x:c>
      <x:c r="D274" s="9" t="str">
        <x:v>Leave exactly three objects in the bowl.</x:v>
      </x:c>
      <x:c r="E274" s="9" t="str">
        <x:v>Bowl objects: [yellow block, green pencil sharpener] | Table objects: [airplane toy without propellers]</x:v>
      </x:c>
      <x:c r="F274" s="9" t="str">
        <x:v>ADD any one table object; finish with 3 objects in the bowl</x:v>
      </x:c>
      <x:c r="G274" s="9" t="str">
        <x:v>didn't move</x:v>
      </x:c>
      <x:c r="H274" s="9" t="str">
        <x:v>Concept/compositional transfer</x:v>
      </x:c>
      <x:c r="I274" s="9" t="str">
        <x:v>CT-CF16</x:v>
      </x:c>
      <x:c r="J274" s="9" t="str">
        <x:v>Primary: three via held-out 2→3 addition</x:v>
      </x:c>
      <x:c r="K274" s="9"/>
      <x:c r="L274" s="9" t="str">
        <x:v>966</x:v>
      </x:c>
      <x:c r="M274" s="9" t="str">
        <x:v>Representative direct-instruction trajectory for airplane toy without propellers; the evaluated count × transition composition is intentionally absent.</x:v>
      </x:c>
      <x:c r="N274" s="9" t="n">
        <x:v>4</x:v>
      </x:c>
      <x:c r="O274" s="9" t="str">
        <x:v>Reset the exact count-2 scene; change only the prompt.</x:v>
      </x:c>
      <x:c r="P274" s="9" t="str">
        <x:v>The goal word three is trained, and this 2→3 trajectory is trained under a direct instruction, but the combination is withheld.</x:v>
      </x:c>
      <x:c r="Q274" s="9"/>
      <x:c r="R274" s="10"/>
      <x:c r="S274" s="10"/>
      <x:c r="T274" s="9"/>
      <x:c r="U274" s="9"/>
      <x:c r="V274" s="9"/>
      <x:c r="W274" s="9" t="str">
        <x:v>CT-CF16-ADD</x:v>
      </x:c>
      <x:c r="X274" s="10" t="n">
        <x:v>2</x:v>
      </x:c>
      <x:c r="Y274" s="10" t="n">
        <x:v>3</x:v>
      </x:c>
      <x:c r="Z274" s="9" t="str">
        <x:v>ADD</x:v>
      </x:c>
      <x:c r="AA274" s="9"/>
      <x:c r="AB274" s="9"/>
      <x:c r="AC274" s="9"/>
      <x:c r="AD274" s="9"/>
      <x:c r="AE274" s="9"/>
      <x:c r="AF274" s="9"/>
      <x:c r="AG274" s="9"/>
      <x:c r="AH274" s="9"/>
      <x:c r="AI274" s="11"/>
      <x:c r="AJ274" s="9"/>
      <x:c r="AK274" s="9" t="str">
        <x:v>Eval_Counting.xlsm</x:v>
      </x:c>
      <x:c r="AL274" s="9" t="str">
        <x:v>MolmoAct2 Results</x:v>
      </x:c>
      <x:c r="AM274" s="9" t="n">
        <x:v>124</x:v>
      </x:c>
      <x:c r="AN274" s="9" t="n">
        <x:v>124</x:v>
      </x:c>
    </x:row>
    <x:row r="275">
      <x:c r="A275" s="9" t="str">
        <x:v>Failure</x:v>
      </x:c>
      <x:c r="B275" s="9" t="str">
        <x:v>Counting</x:v>
      </x:c>
      <x:c r="C275" s="10" t="n">
        <x:v>123</x:v>
      </x:c>
      <x:c r="D275" s="9" t="str">
        <x:v>Leave exactly one object in the bowl.</x:v>
      </x:c>
      <x:c r="E275" s="9" t="str">
        <x:v>Bowl objects: [yellow block, green pencil sharpener] | Table objects: [airplane toy without propellers]</x:v>
      </x:c>
      <x:c r="F275" s="9" t="str">
        <x:v>REMOVE any one bowl object; finish with 1 object in the bowl</x:v>
      </x:c>
      <x:c r="G275" s="9" t="str">
        <x:v>didn't move</x:v>
      </x:c>
      <x:c r="H275" s="9" t="str">
        <x:v>Concept/compositional transfer</x:v>
      </x:c>
      <x:c r="I275" s="9" t="str">
        <x:v>CT-CF16</x:v>
      </x:c>
      <x:c r="J275" s="9" t="str">
        <x:v>Primary: one via held-out 2→1 removal</x:v>
      </x:c>
      <x:c r="K275" s="9" t="n">
        <x:v>122</x:v>
      </x:c>
      <x:c r="L275" s="9" t="str">
        <x:v>931</x:v>
      </x:c>
      <x:c r="M275" s="9" t="str">
        <x:v>Representative direct-instruction trajectory for green pencil sharpener; the evaluated count × transition composition is intentionally absent.</x:v>
      </x:c>
      <x:c r="N275" s="9" t="n">
        <x:v>4</x:v>
      </x:c>
      <x:c r="O275" s="9" t="str">
        <x:v>Build the listed count-2 scene.</x:v>
      </x:c>
      <x:c r="P275" s="9" t="str">
        <x:v>The goal word one is trained, and this 2→1 trajectory is trained under a direct instruction, but the combination is withheld.</x:v>
      </x:c>
      <x:c r="Q275" s="9"/>
      <x:c r="R275" s="10"/>
      <x:c r="S275" s="10"/>
      <x:c r="T275" s="9"/>
      <x:c r="U275" s="9"/>
      <x:c r="V275" s="9"/>
      <x:c r="W275" s="9" t="str">
        <x:v>CT-CF16-REMOVE</x:v>
      </x:c>
      <x:c r="X275" s="10" t="n">
        <x:v>2</x:v>
      </x:c>
      <x:c r="Y275" s="10" t="n">
        <x:v>1</x:v>
      </x:c>
      <x:c r="Z275" s="9" t="str">
        <x:v>REMOVE</x:v>
      </x:c>
      <x:c r="AA275" s="9"/>
      <x:c r="AB275" s="9"/>
      <x:c r="AC275" s="9"/>
      <x:c r="AD275" s="9"/>
      <x:c r="AE275" s="9"/>
      <x:c r="AF275" s="9"/>
      <x:c r="AG275" s="9"/>
      <x:c r="AH275" s="9"/>
      <x:c r="AI275" s="11"/>
      <x:c r="AJ275" s="9"/>
      <x:c r="AK275" s="9" t="str">
        <x:v>Eval_Counting.xlsm</x:v>
      </x:c>
      <x:c r="AL275" s="9" t="str">
        <x:v>MolmoAct2 Results</x:v>
      </x:c>
      <x:c r="AM275" s="9" t="n">
        <x:v>125</x:v>
      </x:c>
      <x:c r="AN275" s="9" t="n">
        <x:v>125</x:v>
      </x:c>
    </x:row>
    <x:row r="276">
      <x:c r="A276" s="9" t="str">
        <x:v>Success</x:v>
      </x:c>
      <x:c r="B276" s="9" t="str">
        <x:v>Counting</x:v>
      </x:c>
      <x:c r="C276" s="10" t="n">
        <x:v>124</x:v>
      </x:c>
      <x:c r="D276" s="9" t="str">
        <x:v>Make the bowl contain exactly zero objects.</x:v>
      </x:c>
      <x:c r="E276" s="9" t="str">
        <x:v>Bowl objects: [airplane toy without propellers] | Table objects: [green highlighter]</x:v>
      </x:c>
      <x:c r="F276" s="9" t="str">
        <x:v>REMOVE airplane toy without propellers; finish with 0 objects in the bowl</x:v>
      </x:c>
      <x:c r="G276" s="9"/>
      <x:c r="H276" s="9" t="str">
        <x:v>Cross-task object reasoning</x:v>
      </x:c>
      <x:c r="I276" s="9" t="str">
        <x:v>XT-GH04</x:v>
      </x:c>
      <x:c r="J276" s="9" t="str">
        <x:v>Reasoning-only cross-task distractor: 1→0 removal</x:v>
      </x:c>
      <x:c r="K276" s="9"/>
      <x:c r="L276" s="9" t="str">
        <x:v>825; 708</x:v>
      </x:c>
      <x:c r="M276" s="9" t="str">
        <x:v>First episode grounds the Counting prompt/transition; episode 708 grounds direct green-highlighter manipulation. No exact green-highlighter Counting cell exists.</x:v>
      </x:c>
      <x:c r="N276" s="9" t="n">
        <x:v>5</x:v>
      </x:c>
      <x:c r="O276" s="9" t="str">
        <x:v>Build counterfactual cross-task scene B.</x:v>
      </x:c>
      <x:c r="P276" s="9" t="str">
        <x:v>The prompt never names the highlighter. The highlighter is a distractor; the familiar Counting transition determines the action.</x:v>
      </x:c>
      <x:c r="Q276" s="9"/>
      <x:c r="R276" s="10"/>
      <x:c r="S276" s="10"/>
      <x:c r="T276" s="9"/>
      <x:c r="U276" s="9"/>
      <x:c r="V276" s="9"/>
      <x:c r="W276" s="9" t="str">
        <x:v>XT-GH04-B</x:v>
      </x:c>
      <x:c r="X276" s="10" t="n">
        <x:v>1</x:v>
      </x:c>
      <x:c r="Y276" s="10" t="n">
        <x:v>0</x:v>
      </x:c>
      <x:c r="Z276" s="9" t="str">
        <x:v>REMOVE</x:v>
      </x:c>
      <x:c r="AA276" s="9"/>
      <x:c r="AB276" s="9"/>
      <x:c r="AC276" s="9"/>
      <x:c r="AD276" s="9"/>
      <x:c r="AE276" s="9"/>
      <x:c r="AF276" s="9"/>
      <x:c r="AG276" s="9"/>
      <x:c r="AH276" s="9"/>
      <x:c r="AI276" s="11"/>
      <x:c r="AJ276" s="9"/>
      <x:c r="AK276" s="9" t="str">
        <x:v>Eval_Counting.xlsm</x:v>
      </x:c>
      <x:c r="AL276" s="9" t="str">
        <x:v>MolmoAct2 Results</x:v>
      </x:c>
      <x:c r="AM276" s="9" t="n">
        <x:v>126</x:v>
      </x:c>
      <x:c r="AN276" s="9" t="n">
        <x:v>126</x:v>
      </x:c>
    </x:row>
    <x:row r="277">
      <x:c r="A277" s="9" t="str">
        <x:v>Failure</x:v>
      </x:c>
      <x:c r="B277" s="9" t="str">
        <x:v>Counting</x:v>
      </x:c>
      <x:c r="C277" s="10" t="n">
        <x:v>125</x:v>
      </x:c>
      <x:c r="D277" s="9" t="str">
        <x:v>Make the bowl contain exactly two objects.</x:v>
      </x:c>
      <x:c r="E277" s="9" t="str">
        <x:v>Bowl objects: [airplane toy without propellers] | Table objects: [green highlighter]</x:v>
      </x:c>
      <x:c r="F277" s="9" t="str">
        <x:v>ADD green highlighter; finish with 2 objects in the bowl</x:v>
      </x:c>
      <x:c r="G277" s="9" t="str">
        <x:v>went for the green highlighter twice, then went home each time. thrid time grabbed it but episode time ran out. </x:v>
      </x:c>
      <x:c r="H277" s="9" t="str">
        <x:v>Cross-task object reasoning</x:v>
      </x:c>
      <x:c r="I277" s="9" t="str">
        <x:v>XT-GH04</x:v>
      </x:c>
      <x:c r="J277" s="9" t="str">
        <x:v>Reasoning-only cross-task target: 1→2 addition</x:v>
      </x:c>
      <x:c r="K277" s="9" t="n">
        <x:v>124</x:v>
      </x:c>
      <x:c r="L277" s="9" t="str">
        <x:v>808; 708</x:v>
      </x:c>
      <x:c r="M277" s="9" t="str">
        <x:v>First episode grounds the Counting prompt/transition; episode 708 grounds direct green-highlighter manipulation. No exact green-highlighter Counting cell exists.</x:v>
      </x:c>
      <x:c r="N277" s="9" t="n">
        <x:v>5</x:v>
      </x:c>
      <x:c r="O277" s="9" t="str">
        <x:v>Reset the exact scene; change only the requested final count.</x:v>
      </x:c>
      <x:c r="P277" s="9" t="str">
        <x:v>The prompt never names the highlighter. The highlighter is the required object; the familiar Counting transition determines the action.</x:v>
      </x:c>
      <x:c r="Q277" s="9"/>
      <x:c r="R277" s="10"/>
      <x:c r="S277" s="10"/>
      <x:c r="T277" s="9"/>
      <x:c r="U277" s="9"/>
      <x:c r="V277" s="9"/>
      <x:c r="W277" s="9" t="str">
        <x:v>XT-GH04-B</x:v>
      </x:c>
      <x:c r="X277" s="10" t="n">
        <x:v>1</x:v>
      </x:c>
      <x:c r="Y277" s="10" t="n">
        <x:v>2</x:v>
      </x:c>
      <x:c r="Z277" s="9" t="str">
        <x:v>ADD</x:v>
      </x:c>
      <x:c r="AA277" s="9"/>
      <x:c r="AB277" s="9"/>
      <x:c r="AC277" s="9"/>
      <x:c r="AD277" s="9"/>
      <x:c r="AE277" s="9"/>
      <x:c r="AF277" s="9"/>
      <x:c r="AG277" s="9"/>
      <x:c r="AH277" s="9"/>
      <x:c r="AI277" s="11"/>
      <x:c r="AJ277" s="9"/>
      <x:c r="AK277" s="9" t="str">
        <x:v>Eval_Counting.xlsm</x:v>
      </x:c>
      <x:c r="AL277" s="9" t="str">
        <x:v>MolmoAct2 Results</x:v>
      </x:c>
      <x:c r="AM277" s="9" t="n">
        <x:v>127</x:v>
      </x:c>
      <x:c r="AN277" s="9" t="n">
        <x:v>127</x:v>
      </x:c>
    </x:row>
    <x:row r="278">
      <x:c r="A278" s="9" t="str">
        <x:v>Success</x:v>
      </x:c>
      <x:c r="B278" s="9" t="str">
        <x:v>Counting</x:v>
      </x:c>
      <x:c r="C278" s="10" t="n">
        <x:v>126</x:v>
      </x:c>
      <x:c r="D278" s="9" t="str">
        <x:v>Make the bowl contain exactly two objects.</x:v>
      </x:c>
      <x:c r="E278" s="9" t="str">
        <x:v>Bowl objects: [green highlighter] | Table objects: [airplane toy without propellers]</x:v>
      </x:c>
      <x:c r="F278" s="9" t="str">
        <x:v>ADD airplane toy without propellers; finish with 2 objects in the bowl</x:v>
      </x:c>
      <x:c r="G278" s="9"/>
      <x:c r="H278" s="9" t="str">
        <x:v>Cross-task object reasoning</x:v>
      </x:c>
      <x:c r="I278" s="9" t="str">
        <x:v>XT-GH04</x:v>
      </x:c>
      <x:c r="J278" s="9" t="str">
        <x:v>Reasoning-only cross-task distractor: 1→2 addition</x:v>
      </x:c>
      <x:c r="K278" s="9"/>
      <x:c r="L278" s="9" t="str">
        <x:v>808; 708</x:v>
      </x:c>
      <x:c r="M278" s="9" t="str">
        <x:v>First episode grounds the Counting prompt/transition; episode 708 grounds direct green-highlighter manipulation. No exact green-highlighter Counting cell exists.</x:v>
      </x:c>
      <x:c r="N278" s="9" t="n">
        <x:v>5</x:v>
      </x:c>
      <x:c r="O278" s="9" t="str">
        <x:v>Build counterfactual cross-task scene A.</x:v>
      </x:c>
      <x:c r="P278" s="9" t="str">
        <x:v>The prompt never names the highlighter. The highlighter is a distractor; the familiar Counting transition determines the action.</x:v>
      </x:c>
      <x:c r="Q278" s="9"/>
      <x:c r="R278" s="10"/>
      <x:c r="S278" s="10"/>
      <x:c r="T278" s="9"/>
      <x:c r="U278" s="9"/>
      <x:c r="V278" s="9"/>
      <x:c r="W278" s="9" t="str">
        <x:v>XT-GH04-A</x:v>
      </x:c>
      <x:c r="X278" s="10" t="n">
        <x:v>1</x:v>
      </x:c>
      <x:c r="Y278" s="10" t="n">
        <x:v>2</x:v>
      </x:c>
      <x:c r="Z278" s="9" t="str">
        <x:v>ADD</x:v>
      </x:c>
      <x:c r="AA278" s="9"/>
      <x:c r="AB278" s="9"/>
      <x:c r="AC278" s="9"/>
      <x:c r="AD278" s="9"/>
      <x:c r="AE278" s="9"/>
      <x:c r="AF278" s="9"/>
      <x:c r="AG278" s="9"/>
      <x:c r="AH278" s="9"/>
      <x:c r="AI278" s="11"/>
      <x:c r="AJ278" s="9"/>
      <x:c r="AK278" s="9" t="str">
        <x:v>Eval_Counting.xlsm</x:v>
      </x:c>
      <x:c r="AL278" s="9" t="str">
        <x:v>MolmoAct2 Results</x:v>
      </x:c>
      <x:c r="AM278" s="9" t="n">
        <x:v>128</x:v>
      </x:c>
      <x:c r="AN278" s="9" t="n">
        <x:v>128</x:v>
      </x:c>
    </x:row>
    <x:row r="279">
      <x:c r="A279" s="9" t="str">
        <x:v>Success</x:v>
      </x:c>
      <x:c r="B279" s="9" t="str">
        <x:v>Counting</x:v>
      </x:c>
      <x:c r="C279" s="10" t="n">
        <x:v>127</x:v>
      </x:c>
      <x:c r="D279" s="9" t="str">
        <x:v>Make the bowl contain exactly zero objects.</x:v>
      </x:c>
      <x:c r="E279" s="9" t="str">
        <x:v>Bowl objects: [green highlighter] | Table objects: [airplane toy without propellers]</x:v>
      </x:c>
      <x:c r="F279" s="9" t="str">
        <x:v>REMOVE green highlighter; finish with 0 objects in the bowl</x:v>
      </x:c>
      <x:c r="G279" s="9"/>
      <x:c r="H279" s="9" t="str">
        <x:v>Cross-task object reasoning</x:v>
      </x:c>
      <x:c r="I279" s="9" t="str">
        <x:v>XT-GH04</x:v>
      </x:c>
      <x:c r="J279" s="9" t="str">
        <x:v>Reasoning-only cross-task target: 1→0 removal</x:v>
      </x:c>
      <x:c r="K279" s="9" t="n">
        <x:v>126</x:v>
      </x:c>
      <x:c r="L279" s="9" t="str">
        <x:v>825; 708</x:v>
      </x:c>
      <x:c r="M279" s="9" t="str">
        <x:v>First episode grounds the Counting prompt/transition; episode 708 grounds direct green-highlighter manipulation. No exact green-highlighter Counting cell exists.</x:v>
      </x:c>
      <x:c r="N279" s="9" t="n">
        <x:v>5</x:v>
      </x:c>
      <x:c r="O279" s="9" t="str">
        <x:v>Reset the exact scene; change only the requested final count.</x:v>
      </x:c>
      <x:c r="P279" s="9" t="str">
        <x:v>The prompt never names the highlighter. The highlighter is the required object; the familiar Counting transition determines the action.</x:v>
      </x:c>
      <x:c r="Q279" s="9"/>
      <x:c r="R279" s="10"/>
      <x:c r="S279" s="10"/>
      <x:c r="T279" s="9"/>
      <x:c r="U279" s="9"/>
      <x:c r="V279" s="9"/>
      <x:c r="W279" s="9" t="str">
        <x:v>XT-GH04-A</x:v>
      </x:c>
      <x:c r="X279" s="10" t="n">
        <x:v>1</x:v>
      </x:c>
      <x:c r="Y279" s="10" t="n">
        <x:v>0</x:v>
      </x:c>
      <x:c r="Z279" s="9" t="str">
        <x:v>REMOVE</x:v>
      </x:c>
      <x:c r="AA279" s="9"/>
      <x:c r="AB279" s="9"/>
      <x:c r="AC279" s="9"/>
      <x:c r="AD279" s="9"/>
      <x:c r="AE279" s="9"/>
      <x:c r="AF279" s="9"/>
      <x:c r="AG279" s="9"/>
      <x:c r="AH279" s="9"/>
      <x:c r="AI279" s="11"/>
      <x:c r="AJ279" s="9"/>
      <x:c r="AK279" s="9" t="str">
        <x:v>Eval_Counting.xlsm</x:v>
      </x:c>
      <x:c r="AL279" s="9" t="str">
        <x:v>MolmoAct2 Results</x:v>
      </x:c>
      <x:c r="AM279" s="9" t="n">
        <x:v>129</x:v>
      </x:c>
      <x:c r="AN279" s="9" t="n">
        <x:v>129</x:v>
      </x:c>
    </x:row>
    <x:row r="280">
      <x:c r="A280" s="9" t="str">
        <x:v>Success</x:v>
      </x:c>
      <x:c r="B280" s="9" t="str">
        <x:v>Counting</x:v>
      </x:c>
      <x:c r="C280" s="10" t="n">
        <x:v>128</x:v>
      </x:c>
      <x:c r="D280" s="9" t="str">
        <x:v>Leave no objects in the bowl.</x:v>
      </x:c>
      <x:c r="E280" s="9" t="str">
        <x:v>Bowl objects: [none] | Table objects: [yellow block]</x:v>
      </x:c>
      <x:c r="F280" s="9" t="str">
        <x:v>NO-OP; preserve 0 objects in the bowl and do not initiate a grasp</x:v>
      </x:c>
      <x:c r="G280" s="9"/>
      <x:c r="H280" s="9" t="str">
        <x:v>Goal already satisfied / no movement</x:v>
      </x:c>
      <x:c r="I280" s="9" t="str">
        <x:v>NOOP-05</x:v>
      </x:c>
      <x:c r="J280" s="9" t="str">
        <x:v>Goal already satisfied: 0→0</x:v>
      </x:c>
      <x:c r="K280" s="9"/>
      <x:c r="L280" s="9" t="str">
        <x:v>975</x:v>
      </x:c>
      <x:c r="M280" s="9" t="str">
        <x:v>Prompt/concept grounding only. Training does not contain a goal-already-satisfied no-movement trajectory.</x:v>
      </x:c>
      <x:c r="N280" s="9" t="n">
        <x:v>6</x:v>
      </x:c>
      <x:c r="O280" s="9" t="str">
        <x:v>Build the first no-movement scene in this family.</x:v>
      </x:c>
      <x:c r="P280" s="9" t="str">
        <x:v>Visible-object count varies across no-op families. Table objects are distractors where present; success requires leaving the satisfied scene unchanged.</x:v>
      </x:c>
      <x:c r="Q280" s="9"/>
      <x:c r="R280" s="10"/>
      <x:c r="S280" s="10"/>
      <x:c r="T280" s="9"/>
      <x:c r="U280" s="9"/>
      <x:c r="V280" s="9"/>
      <x:c r="W280" s="9" t="str">
        <x:v>NOOP-05</x:v>
      </x:c>
      <x:c r="X280" s="10" t="n">
        <x:v>0</x:v>
      </x:c>
      <x:c r="Y280" s="10" t="n">
        <x:v>0</x:v>
      </x:c>
      <x:c r="Z280" s="9" t="str">
        <x:v>NO-OP</x:v>
      </x:c>
      <x:c r="AA280" s="9"/>
      <x:c r="AB280" s="9"/>
      <x:c r="AC280" s="9"/>
      <x:c r="AD280" s="9"/>
      <x:c r="AE280" s="9"/>
      <x:c r="AF280" s="9"/>
      <x:c r="AG280" s="9"/>
      <x:c r="AH280" s="9"/>
      <x:c r="AI280" s="11"/>
      <x:c r="AJ280" s="9"/>
      <x:c r="AK280" s="9" t="str">
        <x:v>Eval_Counting.xlsm</x:v>
      </x:c>
      <x:c r="AL280" s="9" t="str">
        <x:v>MolmoAct2 Results</x:v>
      </x:c>
      <x:c r="AM280" s="9" t="n">
        <x:v>130</x:v>
      </x:c>
      <x:c r="AN280" s="9" t="n">
        <x:v>130</x:v>
      </x:c>
    </x:row>
    <x:row r="281">
      <x:c r="A281" s="9" t="str">
        <x:v>Success</x:v>
      </x:c>
      <x:c r="B281" s="9" t="str">
        <x:v>Counting</x:v>
      </x:c>
      <x:c r="C281" s="10" t="n">
        <x:v>129</x:v>
      </x:c>
      <x:c r="D281" s="9" t="str">
        <x:v>Leave exactly one object in the bowl.</x:v>
      </x:c>
      <x:c r="E281" s="9" t="str">
        <x:v>Bowl objects: [yellow block] | Table objects: [blue pen]</x:v>
      </x:c>
      <x:c r="F281" s="9" t="str">
        <x:v>NO-OP; preserve 1 object in the bowl and do not initiate a grasp</x:v>
      </x:c>
      <x:c r="G281" s="9"/>
      <x:c r="H281" s="9" t="str">
        <x:v>Goal already satisfied / no movement</x:v>
      </x:c>
      <x:c r="I281" s="9" t="str">
        <x:v>NOOP-05</x:v>
      </x:c>
      <x:c r="J281" s="9" t="str">
        <x:v>Goal already satisfied: 1→1</x:v>
      </x:c>
      <x:c r="K281" s="9"/>
      <x:c r="L281" s="9" t="str">
        <x:v>800</x:v>
      </x:c>
      <x:c r="M281" s="9" t="str">
        <x:v>Prompt/concept grounding only. Training does not contain a goal-already-satisfied no-movement trajectory.</x:v>
      </x:c>
      <x:c r="N281" s="9" t="n">
        <x:v>6</x:v>
      </x:c>
      <x:c r="O281" s="9" t="str">
        <x:v>Move only the minimum listed objects between bowl and table for the next count.</x:v>
      </x:c>
      <x:c r="P281" s="9" t="str">
        <x:v>Visible-object count varies across no-op families. Table objects are distractors where present; success requires leaving the satisfied scene unchanged.</x:v>
      </x:c>
      <x:c r="Q281" s="9"/>
      <x:c r="R281" s="10"/>
      <x:c r="S281" s="10"/>
      <x:c r="T281" s="9"/>
      <x:c r="U281" s="9"/>
      <x:c r="V281" s="9"/>
      <x:c r="W281" s="9" t="str">
        <x:v>NOOP-05</x:v>
      </x:c>
      <x:c r="X281" s="10" t="n">
        <x:v>1</x:v>
      </x:c>
      <x:c r="Y281" s="10" t="n">
        <x:v>1</x:v>
      </x:c>
      <x:c r="Z281" s="9" t="str">
        <x:v>NO-OP</x:v>
      </x:c>
      <x:c r="AA281" s="9"/>
      <x:c r="AB281" s="9"/>
      <x:c r="AC281" s="9"/>
      <x:c r="AD281" s="9"/>
      <x:c r="AE281" s="9"/>
      <x:c r="AF281" s="9"/>
      <x:c r="AG281" s="9"/>
      <x:c r="AH281" s="9"/>
      <x:c r="AI281" s="11"/>
      <x:c r="AJ281" s="9"/>
      <x:c r="AK281" s="9" t="str">
        <x:v>Eval_Counting.xlsm</x:v>
      </x:c>
      <x:c r="AL281" s="9" t="str">
        <x:v>MolmoAct2 Results</x:v>
      </x:c>
      <x:c r="AM281" s="9" t="n">
        <x:v>131</x:v>
      </x:c>
      <x:c r="AN281" s="9" t="n">
        <x:v>131</x:v>
      </x:c>
    </x:row>
    <x:row r="282">
      <x:c r="A282" s="9" t="str">
        <x:v>Success</x:v>
      </x:c>
      <x:c r="B282" s="9" t="str">
        <x:v>Counting</x:v>
      </x:c>
      <x:c r="C282" s="10" t="n">
        <x:v>130</x:v>
      </x:c>
      <x:c r="D282" s="9" t="str">
        <x:v>Leave exactly two objects in the bowl.</x:v>
      </x:c>
      <x:c r="E282" s="9" t="str">
        <x:v>Bowl objects: [yellow block, blue pen] | Table objects: [airplane toy without propellers]</x:v>
      </x:c>
      <x:c r="F282" s="9" t="str">
        <x:v>NO-OP; preserve 2 objects in the bowl and do not initiate a grasp</x:v>
      </x:c>
      <x:c r="G282" s="9"/>
      <x:c r="H282" s="9" t="str">
        <x:v>Goal already satisfied / no movement</x:v>
      </x:c>
      <x:c r="I282" s="9" t="str">
        <x:v>NOOP-05</x:v>
      </x:c>
      <x:c r="J282" s="9" t="str">
        <x:v>Goal already satisfied: 2→2</x:v>
      </x:c>
      <x:c r="K282" s="9"/>
      <x:c r="L282" s="9" t="str">
        <x:v>861</x:v>
      </x:c>
      <x:c r="M282" s="9" t="str">
        <x:v>Prompt/concept grounding only. Training does not contain a goal-already-satisfied no-movement trajectory.</x:v>
      </x:c>
      <x:c r="N282" s="9" t="n">
        <x:v>6</x:v>
      </x:c>
      <x:c r="O282" s="9" t="str">
        <x:v>Move only the minimum listed objects between bowl and table for the next count.</x:v>
      </x:c>
      <x:c r="P282" s="9" t="str">
        <x:v>Visible-object count varies across no-op families. Table objects are distractors where present; success requires leaving the satisfied scene unchanged.</x:v>
      </x:c>
      <x:c r="Q282" s="9"/>
      <x:c r="R282" s="10"/>
      <x:c r="S282" s="10"/>
      <x:c r="T282" s="9"/>
      <x:c r="U282" s="9"/>
      <x:c r="V282" s="9"/>
      <x:c r="W282" s="9" t="str">
        <x:v>NOOP-05</x:v>
      </x:c>
      <x:c r="X282" s="10" t="n">
        <x:v>2</x:v>
      </x:c>
      <x:c r="Y282" s="10" t="n">
        <x:v>2</x:v>
      </x:c>
      <x:c r="Z282" s="9" t="str">
        <x:v>NO-OP</x:v>
      </x:c>
      <x:c r="AA282" s="9"/>
      <x:c r="AB282" s="9"/>
      <x:c r="AC282" s="9"/>
      <x:c r="AD282" s="9"/>
      <x:c r="AE282" s="9"/>
      <x:c r="AF282" s="9"/>
      <x:c r="AG282" s="9"/>
      <x:c r="AH282" s="9"/>
      <x:c r="AI282" s="11"/>
      <x:c r="AJ282" s="9"/>
      <x:c r="AK282" s="9" t="str">
        <x:v>Eval_Counting.xlsm</x:v>
      </x:c>
      <x:c r="AL282" s="9" t="str">
        <x:v>MolmoAct2 Results</x:v>
      </x:c>
      <x:c r="AM282" s="9" t="n">
        <x:v>132</x:v>
      </x:c>
      <x:c r="AN282" s="9" t="n">
        <x:v>132</x:v>
      </x:c>
    </x:row>
    <x:row r="283">
      <x:c r="A283" s="9" t="str">
        <x:v>Success</x:v>
      </x:c>
      <x:c r="B283" s="9" t="str">
        <x:v>Counting</x:v>
      </x:c>
      <x:c r="C283" s="10" t="n">
        <x:v>131</x:v>
      </x:c>
      <x:c r="D283" s="9" t="str">
        <x:v>Leave exactly three objects in the bowl.</x:v>
      </x:c>
      <x:c r="E283" s="9" t="str">
        <x:v>Bowl objects: [yellow block, blue pen, airplane toy without propellers] | Table objects: [green pencil sharpener]</x:v>
      </x:c>
      <x:c r="F283" s="9" t="str">
        <x:v>NO-OP; preserve 3 objects in the bowl and do not initiate a grasp</x:v>
      </x:c>
      <x:c r="G283" s="9"/>
      <x:c r="H283" s="9" t="str">
        <x:v>Goal already satisfied / no movement</x:v>
      </x:c>
      <x:c r="I283" s="9" t="str">
        <x:v>NOOP-05</x:v>
      </x:c>
      <x:c r="J283" s="9" t="str">
        <x:v>Goal already satisfied: 3→3</x:v>
      </x:c>
      <x:c r="K283" s="9"/>
      <x:c r="L283" s="9" t="str">
        <x:v>843</x:v>
      </x:c>
      <x:c r="M283" s="9" t="str">
        <x:v>Prompt/concept grounding only. Training does not contain a goal-already-satisfied no-movement trajectory.</x:v>
      </x:c>
      <x:c r="N283" s="9" t="n">
        <x:v>6</x:v>
      </x:c>
      <x:c r="O283" s="9" t="str">
        <x:v>Move only the minimum listed objects between bowl and table for the next count.</x:v>
      </x:c>
      <x:c r="P283" s="9" t="str">
        <x:v>Visible-object count varies across no-op families. Table objects are distractors where present; success requires leaving the satisfied scene unchanged.</x:v>
      </x:c>
      <x:c r="Q283" s="9"/>
      <x:c r="R283" s="10"/>
      <x:c r="S283" s="10"/>
      <x:c r="T283" s="9"/>
      <x:c r="U283" s="9"/>
      <x:c r="V283" s="9"/>
      <x:c r="W283" s="9" t="str">
        <x:v>NOOP-05</x:v>
      </x:c>
      <x:c r="X283" s="10" t="n">
        <x:v>3</x:v>
      </x:c>
      <x:c r="Y283" s="10" t="n">
        <x:v>3</x:v>
      </x:c>
      <x:c r="Z283" s="9" t="str">
        <x:v>NO-OP</x:v>
      </x:c>
      <x:c r="AA283" s="9"/>
      <x:c r="AB283" s="9"/>
      <x:c r="AC283" s="9"/>
      <x:c r="AD283" s="9"/>
      <x:c r="AE283" s="9"/>
      <x:c r="AF283" s="9"/>
      <x:c r="AG283" s="9"/>
      <x:c r="AH283" s="9"/>
      <x:c r="AI283" s="11"/>
      <x:c r="AJ283" s="9"/>
      <x:c r="AK283" s="9" t="str">
        <x:v>Eval_Counting.xlsm</x:v>
      </x:c>
      <x:c r="AL283" s="9" t="str">
        <x:v>MolmoAct2 Results</x:v>
      </x:c>
      <x:c r="AM283" s="9" t="n">
        <x:v>133</x:v>
      </x:c>
      <x:c r="AN283" s="9" t="n">
        <x:v>133</x:v>
      </x:c>
    </x:row>
    <x:row r="284">
      <x:c r="A284" s="9" t="str">
        <x:v>Failure</x:v>
      </x:c>
      <x:c r="B284" s="9" t="str">
        <x:v>Counting</x:v>
      </x:c>
      <x:c r="C284" s="10" t="n">
        <x:v>132</x:v>
      </x:c>
      <x:c r="D284" s="9" t="str">
        <x:v>Leave exactly three objects in the bowl.</x:v>
      </x:c>
      <x:c r="E284" s="9" t="str">
        <x:v>Bowl objects: [blue pen, green pencil sharpener] | Table objects: [airplane toy without propellers]</x:v>
      </x:c>
      <x:c r="F284" s="9" t="str">
        <x:v>ADD any one table object; finish with 3 objects in the bowl</x:v>
      </x:c>
      <x:c r="G284" s="9"/>
      <x:c r="H284" s="9" t="str">
        <x:v>Concept/compositional transfer</x:v>
      </x:c>
      <x:c r="I284" s="9" t="str">
        <x:v>CT-CF02</x:v>
      </x:c>
      <x:c r="J284" s="9" t="str">
        <x:v>Primary: three via held-out 2→3 addition</x:v>
      </x:c>
      <x:c r="K284" s="9"/>
      <x:c r="L284" s="9" t="str">
        <x:v>966</x:v>
      </x:c>
      <x:c r="M284" s="9" t="str">
        <x:v>Representative direct-instruction trajectory for airplane toy without propellers; the evaluated count × transition composition is intentionally absent.</x:v>
      </x:c>
      <x:c r="N284" s="9" t="n">
        <x:v>2</x:v>
      </x:c>
      <x:c r="O284" s="9" t="str">
        <x:v>Reset the exact count-2 scene; change only the prompt.</x:v>
      </x:c>
      <x:c r="P284" s="9" t="str">
        <x:v>The goal word three is trained, and this 2→3 trajectory is trained under a direct instruction, but the combination is withheld.</x:v>
      </x:c>
      <x:c r="Q284" s="9"/>
      <x:c r="R284" s="10"/>
      <x:c r="S284" s="10"/>
      <x:c r="T284" s="9"/>
      <x:c r="U284" s="9"/>
      <x:c r="V284" s="9"/>
      <x:c r="W284" s="9" t="str">
        <x:v>CT-CF02-ADD</x:v>
      </x:c>
      <x:c r="X284" s="10" t="n">
        <x:v>2</x:v>
      </x:c>
      <x:c r="Y284" s="10" t="n">
        <x:v>3</x:v>
      </x:c>
      <x:c r="Z284" s="9" t="str">
        <x:v>ADD</x:v>
      </x:c>
      <x:c r="AA284" s="9"/>
      <x:c r="AB284" s="9"/>
      <x:c r="AC284" s="9"/>
      <x:c r="AD284" s="9"/>
      <x:c r="AE284" s="9"/>
      <x:c r="AF284" s="9"/>
      <x:c r="AG284" s="9"/>
      <x:c r="AH284" s="9"/>
      <x:c r="AI284" s="11"/>
      <x:c r="AJ284" s="9"/>
      <x:c r="AK284" s="9" t="str">
        <x:v>Eval_Counting.xlsm</x:v>
      </x:c>
      <x:c r="AL284" s="9" t="str">
        <x:v>MolmoAct2 Results</x:v>
      </x:c>
      <x:c r="AM284" s="9" t="n">
        <x:v>134</x:v>
      </x:c>
      <x:c r="AN284" s="9" t="n">
        <x:v>134</x:v>
      </x:c>
    </x:row>
    <x:row r="285">
      <x:c r="A285" s="9" t="str">
        <x:v>Success</x:v>
      </x:c>
      <x:c r="B285" s="9" t="str">
        <x:v>Counting</x:v>
      </x:c>
      <x:c r="C285" s="10" t="n">
        <x:v>133</x:v>
      </x:c>
      <x:c r="D285" s="9" t="str">
        <x:v>Move the airplane toy without propellers into the bowl.</x:v>
      </x:c>
      <x:c r="E285" s="9" t="str">
        <x:v>Bowl objects: [blue pen, green pencil sharpener] | Table objects: [airplane toy without propellers]</x:v>
      </x:c>
      <x:c r="F285" s="9" t="str">
        <x:v>ADD airplane toy without propellers</x:v>
      </x:c>
      <x:c r="G285" s="9"/>
      <x:c r="H285" s="9" t="str">
        <x:v>Matched manipulation control</x:v>
      </x:c>
      <x:c r="I285" s="9" t="str">
        <x:v>CT-CF02</x:v>
      </x:c>
      <x:c r="J285" s="9" t="str">
        <x:v>Matched direct ADD control</x:v>
      </x:c>
      <x:c r="K285" s="9" t="n">
        <x:v>132</x:v>
      </x:c>
      <x:c r="L285" s="9" t="str">
        <x:v>968</x:v>
      </x:c>
      <x:c r="M285" s="9" t="str">
        <x:v>Exact direct-prompt trajectory for the named object and action direction; evaluation layout is reset manually.</x:v>
      </x:c>
      <x:c r="N285" s="9" t="n">
        <x:v>2</x:v>
      </x:c>
      <x:c r="O285" s="9" t="str">
        <x:v>Reset the exact count-2 scene; change only the prompt.</x:v>
      </x:c>
      <x:c r="P285" s="9" t="str">
        <x:v>The direct prompt is present in Counting training for this same-task object and action direction.</x:v>
      </x:c>
      <x:c r="Q285" s="9"/>
      <x:c r="R285" s="10"/>
      <x:c r="S285" s="10"/>
      <x:c r="T285" s="9"/>
      <x:c r="U285" s="9"/>
      <x:c r="V285" s="9"/>
      <x:c r="W285" s="9" t="str">
        <x:v>CT-CF02-ADD</x:v>
      </x:c>
      <x:c r="X285" s="10" t="n">
        <x:v>2</x:v>
      </x:c>
      <x:c r="Y285" s="10" t="n">
        <x:v>3</x:v>
      </x:c>
      <x:c r="Z285" s="9" t="str">
        <x:v>ADD</x:v>
      </x:c>
      <x:c r="AA285" s="9"/>
      <x:c r="AB285" s="9"/>
      <x:c r="AC285" s="9"/>
      <x:c r="AD285" s="9"/>
      <x:c r="AE285" s="9"/>
      <x:c r="AF285" s="9"/>
      <x:c r="AG285" s="9"/>
      <x:c r="AH285" s="9"/>
      <x:c r="AI285" s="11"/>
      <x:c r="AJ285" s="9"/>
      <x:c r="AK285" s="9" t="str">
        <x:v>Eval_Counting.xlsm</x:v>
      </x:c>
      <x:c r="AL285" s="9" t="str">
        <x:v>MolmoAct2 Results</x:v>
      </x:c>
      <x:c r="AM285" s="9" t="n">
        <x:v>135</x:v>
      </x:c>
      <x:c r="AN285" s="9" t="n">
        <x:v>135</x:v>
      </x:c>
    </x:row>
    <x:row r="286">
      <x:c r="A286" s="9" t="str">
        <x:v>Failure</x:v>
      </x:c>
      <x:c r="B286" s="9" t="str">
        <x:v>Counting</x:v>
      </x:c>
      <x:c r="C286" s="10" t="n">
        <x:v>134</x:v>
      </x:c>
      <x:c r="D286" s="9" t="str">
        <x:v>Set the bowl's final object count to three.</x:v>
      </x:c>
      <x:c r="E286" s="9" t="str">
        <x:v>Bowl objects: [blue pen, green pencil sharpener] | Table objects: [airplane toy without propellers]</x:v>
      </x:c>
      <x:c r="F286" s="9" t="str">
        <x:v>ADD any one table object; finish with 3 objects in the bowl</x:v>
      </x:c>
      <x:c r="G286" s="9"/>
      <x:c r="H286" s="9" t="str">
        <x:v>Language robustness</x:v>
      </x:c>
      <x:c r="I286" s="9" t="str">
        <x:v>CT-CF02</x:v>
      </x:c>
      <x:c r="J286" s="9" t="str">
        <x:v>Primary compositional paraphrase: three via 2→3 addition</x:v>
      </x:c>
      <x:c r="K286" s="9" t="n">
        <x:v>132</x:v>
      </x:c>
      <x:c r="L286" s="9" t="str">
        <x:v>966</x:v>
      </x:c>
      <x:c r="M286" s="9" t="str">
        <x:v>Representative direct-instruction trajectory for airplane toy without propellers; the evaluated count × transition composition is intentionally absent. The evaluation wording is also paraphrased.</x:v>
      </x:c>
      <x:c r="N286" s="9" t="n">
        <x:v>2</x:v>
      </x:c>
      <x:c r="O286" s="9" t="str">
        <x:v>Reset the exact count-2 scene; change only the prompt.</x:v>
      </x:c>
      <x:c r="P286" s="9" t="str">
        <x:v>Exact-scene paraphrase of the canonical held-out composition.</x:v>
      </x:c>
      <x:c r="Q286" s="9"/>
      <x:c r="R286" s="10"/>
      <x:c r="S286" s="10"/>
      <x:c r="T286" s="9"/>
      <x:c r="U286" s="9"/>
      <x:c r="V286" s="9"/>
      <x:c r="W286" s="9" t="str">
        <x:v>CT-CF02-ADD</x:v>
      </x:c>
      <x:c r="X286" s="10" t="n">
        <x:v>2</x:v>
      </x:c>
      <x:c r="Y286" s="10" t="n">
        <x:v>3</x:v>
      </x:c>
      <x:c r="Z286" s="9" t="str">
        <x:v>ADD</x:v>
      </x:c>
      <x:c r="AA286" s="9"/>
      <x:c r="AB286" s="9"/>
      <x:c r="AC286" s="9"/>
      <x:c r="AD286" s="9"/>
      <x:c r="AE286" s="9"/>
      <x:c r="AF286" s="9"/>
      <x:c r="AG286" s="9"/>
      <x:c r="AH286" s="9"/>
      <x:c r="AI286" s="11"/>
      <x:c r="AJ286" s="9"/>
      <x:c r="AK286" s="9" t="str">
        <x:v>Eval_Counting.xlsm</x:v>
      </x:c>
      <x:c r="AL286" s="9" t="str">
        <x:v>MolmoAct2 Results</x:v>
      </x:c>
      <x:c r="AM286" s="9" t="n">
        <x:v>136</x:v>
      </x:c>
      <x:c r="AN286" s="9" t="n">
        <x:v>136</x:v>
      </x:c>
    </x:row>
    <x:row r="287">
      <x:c r="A287" s="9" t="str">
        <x:v>Success</x:v>
      </x:c>
      <x:c r="B287" s="9" t="str">
        <x:v>Counting</x:v>
      </x:c>
      <x:c r="C287" s="10" t="n">
        <x:v>135</x:v>
      </x:c>
      <x:c r="D287" s="9" t="str">
        <x:v>Lift the airplane toy without propellers from the table and set it inside the bowl.</x:v>
      </x:c>
      <x:c r="E287" s="9" t="str">
        <x:v>Bowl objects: [blue pen, green pencil sharpener] | Table objects: [airplane toy without propellers]</x:v>
      </x:c>
      <x:c r="F287" s="9" t="str">
        <x:v>ADD airplane toy without propellers</x:v>
      </x:c>
      <x:c r="G287" s="9"/>
      <x:c r="H287" s="9" t="str">
        <x:v>Language robustness</x:v>
      </x:c>
      <x:c r="I287" s="9" t="str">
        <x:v>CT-CF02</x:v>
      </x:c>
      <x:c r="J287" s="9" t="str">
        <x:v>Matched-control paraphrase: ADD</x:v>
      </x:c>
      <x:c r="K287" s="9" t="n">
        <x:v>133</x:v>
      </x:c>
      <x:c r="L287" s="9" t="str">
        <x:v>968</x:v>
      </x:c>
      <x:c r="M287" s="9" t="str">
        <x:v>Canonical direct-control trajectory for the named object and action direction; evaluation wording is paraphrased.</x:v>
      </x:c>
      <x:c r="N287" s="9" t="n">
        <x:v>2</x:v>
      </x:c>
      <x:c r="O287" s="9" t="str">
        <x:v>Reset the exact count-2 scene; change only the prompt.</x:v>
      </x:c>
      <x:c r="P287" s="9" t="str">
        <x:v>Exact-scene paraphrase of the direct manipulation control.</x:v>
      </x:c>
      <x:c r="Q287" s="9"/>
      <x:c r="R287" s="10"/>
      <x:c r="S287" s="10"/>
      <x:c r="T287" s="9"/>
      <x:c r="U287" s="9"/>
      <x:c r="V287" s="9"/>
      <x:c r="W287" s="9" t="str">
        <x:v>CT-CF02-ADD</x:v>
      </x:c>
      <x:c r="X287" s="10" t="n">
        <x:v>2</x:v>
      </x:c>
      <x:c r="Y287" s="10" t="n">
        <x:v>3</x:v>
      </x:c>
      <x:c r="Z287" s="9" t="str">
        <x:v>ADD</x:v>
      </x:c>
      <x:c r="AA287" s="9"/>
      <x:c r="AB287" s="9"/>
      <x:c r="AC287" s="9"/>
      <x:c r="AD287" s="9"/>
      <x:c r="AE287" s="9"/>
      <x:c r="AF287" s="9"/>
      <x:c r="AG287" s="9"/>
      <x:c r="AH287" s="9"/>
      <x:c r="AI287" s="11"/>
      <x:c r="AJ287" s="9"/>
      <x:c r="AK287" s="9" t="str">
        <x:v>Eval_Counting.xlsm</x:v>
      </x:c>
      <x:c r="AL287" s="9" t="str">
        <x:v>MolmoAct2 Results</x:v>
      </x:c>
      <x:c r="AM287" s="9" t="n">
        <x:v>137</x:v>
      </x:c>
      <x:c r="AN287" s="9" t="n">
        <x:v>137</x:v>
      </x:c>
    </x:row>
    <x:row r="288">
      <x:c r="A288" s="9" t="str">
        <x:v>Failure</x:v>
      </x:c>
      <x:c r="B288" s="9" t="str">
        <x:v>Counting</x:v>
      </x:c>
      <x:c r="C288" s="10" t="n">
        <x:v>136</x:v>
      </x:c>
      <x:c r="D288" s="9" t="str">
        <x:v>Move the blue pen from the bowl to the table.</x:v>
      </x:c>
      <x:c r="E288" s="9" t="str">
        <x:v>Bowl objects: [blue pen, green pencil sharpener] | Table objects: [airplane toy without propellers]</x:v>
      </x:c>
      <x:c r="F288" s="9" t="str">
        <x:v>REMOVE blue pen</x:v>
      </x:c>
      <x:c r="G288" s="9" t="str">
        <x:v>moved the green pencil sharpener from the bowl first, then went back for the blue pen. Got the blue pen, but didn't set it down since time ran out.</x:v>
      </x:c>
      <x:c r="H288" s="9" t="str">
        <x:v>Matched manipulation control</x:v>
      </x:c>
      <x:c r="I288" s="9" t="str">
        <x:v>CT-CF02</x:v>
      </x:c>
      <x:c r="J288" s="9" t="str">
        <x:v>Matched direct REMOVE control</x:v>
      </x:c>
      <x:c r="K288" s="9"/>
      <x:c r="L288" s="9" t="str">
        <x:v>835</x:v>
      </x:c>
      <x:c r="M288" s="9" t="str">
        <x:v>Exact direct-prompt trajectory for the named object and action direction; evaluation layout is reset manually.</x:v>
      </x:c>
      <x:c r="N288" s="9" t="n">
        <x:v>2</x:v>
      </x:c>
      <x:c r="O288" s="9" t="str">
        <x:v>Reset the exact count-2 scene; change only the prompt.</x:v>
      </x:c>
      <x:c r="P288" s="9" t="str">
        <x:v>The direct prompt is present in Counting training for this same-task object and action direction.</x:v>
      </x:c>
      <x:c r="Q288" s="9"/>
      <x:c r="R288" s="10"/>
      <x:c r="S288" s="10"/>
      <x:c r="T288" s="9"/>
      <x:c r="U288" s="9"/>
      <x:c r="V288" s="9"/>
      <x:c r="W288" s="9" t="str">
        <x:v>CT-CF02-REMOVE</x:v>
      </x:c>
      <x:c r="X288" s="10" t="n">
        <x:v>2</x:v>
      </x:c>
      <x:c r="Y288" s="10" t="n">
        <x:v>1</x:v>
      </x:c>
      <x:c r="Z288" s="9" t="str">
        <x:v>REMOVE</x:v>
      </x:c>
      <x:c r="AA288" s="9"/>
      <x:c r="AB288" s="9"/>
      <x:c r="AC288" s="9"/>
      <x:c r="AD288" s="9"/>
      <x:c r="AE288" s="9"/>
      <x:c r="AF288" s="9"/>
      <x:c r="AG288" s="9"/>
      <x:c r="AH288" s="9"/>
      <x:c r="AI288" s="11"/>
      <x:c r="AJ288" s="9"/>
      <x:c r="AK288" s="9" t="str">
        <x:v>Eval_Counting.xlsm</x:v>
      </x:c>
      <x:c r="AL288" s="9" t="str">
        <x:v>MolmoAct2 Results</x:v>
      </x:c>
      <x:c r="AM288" s="9" t="n">
        <x:v>138</x:v>
      </x:c>
      <x:c r="AN288" s="9" t="n">
        <x:v>138</x:v>
      </x:c>
    </x:row>
    <x:row r="289">
      <x:c r="A289" s="9" t="str">
        <x:v>Failure</x:v>
      </x:c>
      <x:c r="B289" s="9" t="str">
        <x:v>Counting</x:v>
      </x:c>
      <x:c r="C289" s="10" t="n">
        <x:v>137</x:v>
      </x:c>
      <x:c r="D289" s="9" t="str">
        <x:v>Leave exactly one object in the bowl.</x:v>
      </x:c>
      <x:c r="E289" s="9" t="str">
        <x:v>Bowl objects: [blue pen, green pencil sharpener] | Table objects: [airplane toy without propellers]</x:v>
      </x:c>
      <x:c r="F289" s="9" t="str">
        <x:v>REMOVE any one bowl object; finish with 1 object in the bowl</x:v>
      </x:c>
      <x:c r="G289" s="9" t="str">
        <x:v>didn't move</x:v>
      </x:c>
      <x:c r="H289" s="9" t="str">
        <x:v>Concept/compositional transfer</x:v>
      </x:c>
      <x:c r="I289" s="9" t="str">
        <x:v>CT-CF02</x:v>
      </x:c>
      <x:c r="J289" s="9" t="str">
        <x:v>Primary: one via held-out 2→1 removal</x:v>
      </x:c>
      <x:c r="K289" s="9" t="n">
        <x:v>136</x:v>
      </x:c>
      <x:c r="L289" s="9" t="str">
        <x:v>931</x:v>
      </x:c>
      <x:c r="M289" s="9" t="str">
        <x:v>Representative direct-instruction trajectory for green pencil sharpener; the evaluated count × transition composition is intentionally absent.</x:v>
      </x:c>
      <x:c r="N289" s="9" t="n">
        <x:v>2</x:v>
      </x:c>
      <x:c r="O289" s="9" t="str">
        <x:v>Build the listed count-2 scene.</x:v>
      </x:c>
      <x:c r="P289" s="9" t="str">
        <x:v>The goal word one is trained, and this 2→1 trajectory is trained under a direct instruction, but the combination is withheld.</x:v>
      </x:c>
      <x:c r="Q289" s="9"/>
      <x:c r="R289" s="10"/>
      <x:c r="S289" s="10"/>
      <x:c r="T289" s="9"/>
      <x:c r="U289" s="9"/>
      <x:c r="V289" s="9"/>
      <x:c r="W289" s="9" t="str">
        <x:v>CT-CF02-REMOVE</x:v>
      </x:c>
      <x:c r="X289" s="10" t="n">
        <x:v>2</x:v>
      </x:c>
      <x:c r="Y289" s="10" t="n">
        <x:v>1</x:v>
      </x:c>
      <x:c r="Z289" s="9" t="str">
        <x:v>REMOVE</x:v>
      </x:c>
      <x:c r="AA289" s="9"/>
      <x:c r="AB289" s="9"/>
      <x:c r="AC289" s="9"/>
      <x:c r="AD289" s="9"/>
      <x:c r="AE289" s="9"/>
      <x:c r="AF289" s="9"/>
      <x:c r="AG289" s="9"/>
      <x:c r="AH289" s="9"/>
      <x:c r="AI289" s="11"/>
      <x:c r="AJ289" s="9"/>
      <x:c r="AK289" s="9" t="str">
        <x:v>Eval_Counting.xlsm</x:v>
      </x:c>
      <x:c r="AL289" s="9" t="str">
        <x:v>MolmoAct2 Results</x:v>
      </x:c>
      <x:c r="AM289" s="9" t="n">
        <x:v>139</x:v>
      </x:c>
      <x:c r="AN289" s="9" t="n">
        <x:v>139</x:v>
      </x:c>
    </x:row>
    <x:row r="290">
      <x:c r="A290" s="9" t="str">
        <x:v>Failure</x:v>
      </x:c>
      <x:c r="B290" s="9" t="str">
        <x:v>Counting</x:v>
      </x:c>
      <x:c r="C290" s="10" t="n">
        <x:v>138</x:v>
      </x:c>
      <x:c r="D290" s="9" t="str">
        <x:v>Lift the blue pen out of the bowl and set it on the table.</x:v>
      </x:c>
      <x:c r="E290" s="9" t="str">
        <x:v>Bowl objects: [blue pen, green pencil sharpener] | Table objects: [airplane toy without propellers]</x:v>
      </x:c>
      <x:c r="F290" s="9" t="str">
        <x:v>REMOVE blue pen</x:v>
      </x:c>
      <x:c r="G290" s="9" t="str">
        <x:v>picked the green pencil sharpener, and went home. Paused for a long while, then got the blue pen and didn't finish. Basically same rollout as 136</x:v>
      </x:c>
      <x:c r="H290" s="9" t="str">
        <x:v>Language robustness</x:v>
      </x:c>
      <x:c r="I290" s="9" t="str">
        <x:v>CT-CF02</x:v>
      </x:c>
      <x:c r="J290" s="9" t="str">
        <x:v>Matched-control paraphrase: REMOVE</x:v>
      </x:c>
      <x:c r="K290" s="9" t="n">
        <x:v>136</x:v>
      </x:c>
      <x:c r="L290" s="9" t="str">
        <x:v>835</x:v>
      </x:c>
      <x:c r="M290" s="9" t="str">
        <x:v>Canonical direct-control trajectory for the named object and action direction; evaluation wording is paraphrased.</x:v>
      </x:c>
      <x:c r="N290" s="9" t="n">
        <x:v>2</x:v>
      </x:c>
      <x:c r="O290" s="9" t="str">
        <x:v>Reset the exact count-2 scene; change only the prompt.</x:v>
      </x:c>
      <x:c r="P290" s="9" t="str">
        <x:v>Exact-scene paraphrase of the direct manipulation control.</x:v>
      </x:c>
      <x:c r="Q290" s="9"/>
      <x:c r="R290" s="10"/>
      <x:c r="S290" s="10"/>
      <x:c r="T290" s="9"/>
      <x:c r="U290" s="9"/>
      <x:c r="V290" s="9"/>
      <x:c r="W290" s="9" t="str">
        <x:v>CT-CF02-REMOVE</x:v>
      </x:c>
      <x:c r="X290" s="10" t="n">
        <x:v>2</x:v>
      </x:c>
      <x:c r="Y290" s="10" t="n">
        <x:v>1</x:v>
      </x:c>
      <x:c r="Z290" s="9" t="str">
        <x:v>REMOVE</x:v>
      </x:c>
      <x:c r="AA290" s="9"/>
      <x:c r="AB290" s="9"/>
      <x:c r="AC290" s="9"/>
      <x:c r="AD290" s="9"/>
      <x:c r="AE290" s="9"/>
      <x:c r="AF290" s="9"/>
      <x:c r="AG290" s="9"/>
      <x:c r="AH290" s="9"/>
      <x:c r="AI290" s="11"/>
      <x:c r="AJ290" s="9"/>
      <x:c r="AK290" s="9" t="str">
        <x:v>Eval_Counting.xlsm</x:v>
      </x:c>
      <x:c r="AL290" s="9" t="str">
        <x:v>MolmoAct2 Results</x:v>
      </x:c>
      <x:c r="AM290" s="9" t="n">
        <x:v>140</x:v>
      </x:c>
      <x:c r="AN290" s="9" t="n">
        <x:v>140</x:v>
      </x:c>
    </x:row>
    <x:row r="291">
      <x:c r="A291" s="9" t="str">
        <x:v>Failure</x:v>
      </x:c>
      <x:c r="B291" s="9" t="str">
        <x:v>Counting</x:v>
      </x:c>
      <x:c r="C291" s="10" t="n">
        <x:v>139</x:v>
      </x:c>
      <x:c r="D291" s="9" t="str">
        <x:v>Set the bowl's final object count to one.</x:v>
      </x:c>
      <x:c r="E291" s="9" t="str">
        <x:v>Bowl objects: [blue pen, green pencil sharpener] | Table objects: [airplane toy without propellers]</x:v>
      </x:c>
      <x:c r="F291" s="9" t="str">
        <x:v>REMOVE any one bowl object; finish with 1 object in the bowl</x:v>
      </x:c>
      <x:c r="G291" s="9"/>
      <x:c r="H291" s="9" t="str">
        <x:v>Language robustness</x:v>
      </x:c>
      <x:c r="I291" s="9" t="str">
        <x:v>CT-CF02</x:v>
      </x:c>
      <x:c r="J291" s="9" t="str">
        <x:v>Primary compositional paraphrase: one via 2→1 removal</x:v>
      </x:c>
      <x:c r="K291" s="9" t="n">
        <x:v>137</x:v>
      </x:c>
      <x:c r="L291" s="9" t="str">
        <x:v>931</x:v>
      </x:c>
      <x:c r="M291" s="9" t="str">
        <x:v>Representative direct-instruction trajectory for green pencil sharpener; the evaluated count × transition composition is intentionally absent. The evaluation wording is also paraphrased.</x:v>
      </x:c>
      <x:c r="N291" s="9" t="n">
        <x:v>2</x:v>
      </x:c>
      <x:c r="O291" s="9" t="str">
        <x:v>Build the listed count-2 scene.</x:v>
      </x:c>
      <x:c r="P291" s="9" t="str">
        <x:v>Exact-scene paraphrase of the canonical held-out composition.</x:v>
      </x:c>
      <x:c r="Q291" s="9"/>
      <x:c r="R291" s="10"/>
      <x:c r="S291" s="10"/>
      <x:c r="T291" s="9"/>
      <x:c r="U291" s="9"/>
      <x:c r="V291" s="9"/>
      <x:c r="W291" s="9" t="str">
        <x:v>CT-CF02-REMOVE</x:v>
      </x:c>
      <x:c r="X291" s="10" t="n">
        <x:v>2</x:v>
      </x:c>
      <x:c r="Y291" s="10" t="n">
        <x:v>1</x:v>
      </x:c>
      <x:c r="Z291" s="9" t="str">
        <x:v>REMOVE</x:v>
      </x:c>
      <x:c r="AA291" s="9"/>
      <x:c r="AB291" s="9"/>
      <x:c r="AC291" s="9"/>
      <x:c r="AD291" s="9"/>
      <x:c r="AE291" s="9"/>
      <x:c r="AF291" s="9"/>
      <x:c r="AG291" s="9"/>
      <x:c r="AH291" s="9"/>
      <x:c r="AI291" s="11"/>
      <x:c r="AJ291" s="9"/>
      <x:c r="AK291" s="9" t="str">
        <x:v>Eval_Counting.xlsm</x:v>
      </x:c>
      <x:c r="AL291" s="9" t="str">
        <x:v>MolmoAct2 Results</x:v>
      </x:c>
      <x:c r="AM291" s="9" t="n">
        <x:v>141</x:v>
      </x:c>
      <x:c r="AN291" s="9" t="n">
        <x:v>141</x:v>
      </x:c>
    </x:row>
    <x:row r="292">
      <x:c r="A292" s="9" t="str">
        <x:v>Failure</x:v>
      </x:c>
      <x:c r="B292" s="9" t="str">
        <x:v>Counting</x:v>
      </x:c>
      <x:c r="C292" s="10" t="n">
        <x:v>140</x:v>
      </x:c>
      <x:c r="D292" s="9" t="str">
        <x:v>Leave exactly three objects in the bowl.</x:v>
      </x:c>
      <x:c r="E292" s="9" t="str">
        <x:v>Bowl objects: [green pencil sharpener, airplane toy without propellers] | Table objects: [yellow block]</x:v>
      </x:c>
      <x:c r="F292" s="9" t="str">
        <x:v>ADD any one table object; finish with 3 objects in the bowl</x:v>
      </x:c>
      <x:c r="G292" s="9" t="str">
        <x:v>didn't move</x:v>
      </x:c>
      <x:c r="H292" s="9" t="str">
        <x:v>Concept/compositional transfer</x:v>
      </x:c>
      <x:c r="I292" s="9" t="str">
        <x:v>CT-CF12</x:v>
      </x:c>
      <x:c r="J292" s="9" t="str">
        <x:v>Primary: three via held-out 2→3 addition</x:v>
      </x:c>
      <x:c r="K292" s="9"/>
      <x:c r="L292" s="9" t="str">
        <x:v>866</x:v>
      </x:c>
      <x:c r="M292" s="9" t="str">
        <x:v>Representative direct-instruction trajectory for yellow block; the evaluated count × transition composition is intentionally absent.</x:v>
      </x:c>
      <x:c r="N292" s="9" t="n">
        <x:v>4</x:v>
      </x:c>
      <x:c r="O292" s="9" t="str">
        <x:v>Reset the exact count-2 scene; change only the prompt.</x:v>
      </x:c>
      <x:c r="P292" s="9" t="str">
        <x:v>The goal word three is trained, and this 2→3 trajectory is trained under a direct instruction, but the combination is withheld.</x:v>
      </x:c>
      <x:c r="Q292" s="9"/>
      <x:c r="R292" s="10"/>
      <x:c r="S292" s="10"/>
      <x:c r="T292" s="9"/>
      <x:c r="U292" s="9"/>
      <x:c r="V292" s="9"/>
      <x:c r="W292" s="9" t="str">
        <x:v>CT-CF12-ADD</x:v>
      </x:c>
      <x:c r="X292" s="10" t="n">
        <x:v>2</x:v>
      </x:c>
      <x:c r="Y292" s="10" t="n">
        <x:v>3</x:v>
      </x:c>
      <x:c r="Z292" s="9" t="str">
        <x:v>ADD</x:v>
      </x:c>
      <x:c r="AA292" s="9"/>
      <x:c r="AB292" s="9"/>
      <x:c r="AC292" s="9"/>
      <x:c r="AD292" s="9"/>
      <x:c r="AE292" s="9"/>
      <x:c r="AF292" s="9"/>
      <x:c r="AG292" s="9"/>
      <x:c r="AH292" s="9"/>
      <x:c r="AI292" s="11"/>
      <x:c r="AJ292" s="9"/>
      <x:c r="AK292" s="9" t="str">
        <x:v>Eval_Counting.xlsm</x:v>
      </x:c>
      <x:c r="AL292" s="9" t="str">
        <x:v>MolmoAct2 Results</x:v>
      </x:c>
      <x:c r="AM292" s="9" t="n">
        <x:v>142</x:v>
      </x:c>
      <x:c r="AN292" s="9" t="n">
        <x:v>142</x:v>
      </x:c>
    </x:row>
    <x:row r="293">
      <x:c r="A293" s="9" t="str">
        <x:v>Failure</x:v>
      </x:c>
      <x:c r="B293" s="9" t="str">
        <x:v>Counting</x:v>
      </x:c>
      <x:c r="C293" s="10" t="n">
        <x:v>141</x:v>
      </x:c>
      <x:c r="D293" s="9" t="str">
        <x:v>Leave exactly one object in the bowl.</x:v>
      </x:c>
      <x:c r="E293" s="9" t="str">
        <x:v>Bowl objects: [green pencil sharpener, airplane toy without propellers] | Table objects: [yellow block]</x:v>
      </x:c>
      <x:c r="F293" s="9" t="str">
        <x:v>REMOVE any one bowl object; finish with 1 object in the bowl</x:v>
      </x:c>
      <x:c r="G293" s="9" t="str">
        <x:v>didn't move</x:v>
      </x:c>
      <x:c r="H293" s="9" t="str">
        <x:v>Concept/compositional transfer</x:v>
      </x:c>
      <x:c r="I293" s="9" t="str">
        <x:v>CT-CF12</x:v>
      </x:c>
      <x:c r="J293" s="9" t="str">
        <x:v>Primary: one via held-out 2→1 removal</x:v>
      </x:c>
      <x:c r="K293" s="9" t="n">
        <x:v>140</x:v>
      </x:c>
      <x:c r="L293" s="9" t="str">
        <x:v>981</x:v>
      </x:c>
      <x:c r="M293" s="9" t="str">
        <x:v>Representative direct-instruction trajectory for airplane toy without propellers; the evaluated count × transition composition is intentionally absent.</x:v>
      </x:c>
      <x:c r="N293" s="9" t="n">
        <x:v>4</x:v>
      </x:c>
      <x:c r="O293" s="9" t="str">
        <x:v>Build the listed count-2 scene.</x:v>
      </x:c>
      <x:c r="P293" s="9" t="str">
        <x:v>The goal word one is trained, and this 2→1 trajectory is trained under a direct instruction, but the combination is withheld.</x:v>
      </x:c>
      <x:c r="Q293" s="9"/>
      <x:c r="R293" s="10"/>
      <x:c r="S293" s="10"/>
      <x:c r="T293" s="9"/>
      <x:c r="U293" s="9"/>
      <x:c r="V293" s="9"/>
      <x:c r="W293" s="9" t="str">
        <x:v>CT-CF12-REMOVE</x:v>
      </x:c>
      <x:c r="X293" s="10" t="n">
        <x:v>2</x:v>
      </x:c>
      <x:c r="Y293" s="10" t="n">
        <x:v>1</x:v>
      </x:c>
      <x:c r="Z293" s="9" t="str">
        <x:v>REMOVE</x:v>
      </x:c>
      <x:c r="AA293" s="9"/>
      <x:c r="AB293" s="9"/>
      <x:c r="AC293" s="9"/>
      <x:c r="AD293" s="9"/>
      <x:c r="AE293" s="9"/>
      <x:c r="AF293" s="9"/>
      <x:c r="AG293" s="9"/>
      <x:c r="AH293" s="9"/>
      <x:c r="AI293" s="11"/>
      <x:c r="AJ293" s="9"/>
      <x:c r="AK293" s="9" t="str">
        <x:v>Eval_Counting.xlsm</x:v>
      </x:c>
      <x:c r="AL293" s="9" t="str">
        <x:v>MolmoAct2 Results</x:v>
      </x:c>
      <x:c r="AM293" s="9" t="n">
        <x:v>143</x:v>
      </x:c>
      <x:c r="AN293" s="9" t="n">
        <x:v>143</x:v>
      </x:c>
    </x:row>
    <x:row r="294">
      <x:c r="A294" s="9" t="str">
        <x:v>Failure</x:v>
      </x:c>
      <x:c r="B294" s="9" t="str">
        <x:v>Counting</x:v>
      </x:c>
      <x:c r="C294" s="10" t="n">
        <x:v>142</x:v>
      </x:c>
      <x:c r="D294" s="9" t="str">
        <x:v>Leave exactly three objects in the bowl.</x:v>
      </x:c>
      <x:c r="E294" s="9" t="str">
        <x:v>Bowl objects: [yellow block, airplane toy without propellers, blue pen] | Table objects: [none]</x:v>
      </x:c>
      <x:c r="F294" s="9" t="str">
        <x:v>NO-OP; preserve 3 objects in the bowl and do not initiate a grasp</x:v>
      </x:c>
      <x:c r="G294" s="9" t="str">
        <x:v>went to bowl and started figeting around. didn't take anything out though</x:v>
      </x:c>
      <x:c r="H294" s="9" t="str">
        <x:v>Goal already satisfied / no movement</x:v>
      </x:c>
      <x:c r="I294" s="9" t="str">
        <x:v>NOOP-02</x:v>
      </x:c>
      <x:c r="J294" s="9" t="str">
        <x:v>Goal already satisfied: 3→3</x:v>
      </x:c>
      <x:c r="K294" s="9"/>
      <x:c r="L294" s="9" t="str">
        <x:v>843</x:v>
      </x:c>
      <x:c r="M294" s="9" t="str">
        <x:v>Prompt/concept grounding only. Training does not contain a goal-already-satisfied no-movement trajectory.</x:v>
      </x:c>
      <x:c r="N294" s="9" t="n">
        <x:v>6</x:v>
      </x:c>
      <x:c r="O294" s="9" t="str">
        <x:v>Build the first no-movement scene in this family.</x:v>
      </x:c>
      <x:c r="P294" s="9" t="str">
        <x:v>Visible-object count varies across no-op families. Table objects are distractors where present; success requires leaving the satisfied scene unchanged.</x:v>
      </x:c>
      <x:c r="Q294" s="9"/>
      <x:c r="R294" s="10"/>
      <x:c r="S294" s="10"/>
      <x:c r="T294" s="9"/>
      <x:c r="U294" s="9"/>
      <x:c r="V294" s="9"/>
      <x:c r="W294" s="9" t="str">
        <x:v>NOOP-02</x:v>
      </x:c>
      <x:c r="X294" s="10" t="n">
        <x:v>3</x:v>
      </x:c>
      <x:c r="Y294" s="10" t="n">
        <x:v>3</x:v>
      </x:c>
      <x:c r="Z294" s="9" t="str">
        <x:v>NO-OP</x:v>
      </x:c>
      <x:c r="AA294" s="9"/>
      <x:c r="AB294" s="9"/>
      <x:c r="AC294" s="9"/>
      <x:c r="AD294" s="9"/>
      <x:c r="AE294" s="9"/>
      <x:c r="AF294" s="9"/>
      <x:c r="AG294" s="9"/>
      <x:c r="AH294" s="9"/>
      <x:c r="AI294" s="11"/>
      <x:c r="AJ294" s="9"/>
      <x:c r="AK294" s="9" t="str">
        <x:v>Eval_Counting.xlsm</x:v>
      </x:c>
      <x:c r="AL294" s="9" t="str">
        <x:v>MolmoAct2 Results</x:v>
      </x:c>
      <x:c r="AM294" s="9" t="n">
        <x:v>144</x:v>
      </x:c>
      <x:c r="AN294" s="9" t="n">
        <x:v>144</x:v>
      </x:c>
    </x:row>
    <x:row r="295">
      <x:c r="A295" s="9" t="str">
        <x:v>Success</x:v>
      </x:c>
      <x:c r="B295" s="9" t="str">
        <x:v>Counting</x:v>
      </x:c>
      <x:c r="C295" s="10" t="n">
        <x:v>143</x:v>
      </x:c>
      <x:c r="D295" s="9" t="str">
        <x:v>Leave exactly two objects in the bowl.</x:v>
      </x:c>
      <x:c r="E295" s="9" t="str">
        <x:v>Bowl objects: [yellow block, airplane toy without propellers] | Table objects: [none]</x:v>
      </x:c>
      <x:c r="F295" s="9" t="str">
        <x:v>NO-OP; preserve 2 objects in the bowl and do not initiate a grasp</x:v>
      </x:c>
      <x:c r="G295" s="9"/>
      <x:c r="H295" s="9" t="str">
        <x:v>Goal already satisfied / no movement</x:v>
      </x:c>
      <x:c r="I295" s="9" t="str">
        <x:v>NOOP-02</x:v>
      </x:c>
      <x:c r="J295" s="9" t="str">
        <x:v>Goal already satisfied: 2→2</x:v>
      </x:c>
      <x:c r="K295" s="9"/>
      <x:c r="L295" s="9" t="str">
        <x:v>861</x:v>
      </x:c>
      <x:c r="M295" s="9" t="str">
        <x:v>Prompt/concept grounding only. Training does not contain a goal-already-satisfied no-movement trajectory.</x:v>
      </x:c>
      <x:c r="N295" s="9" t="n">
        <x:v>6</x:v>
      </x:c>
      <x:c r="O295" s="9" t="str">
        <x:v>Move only the minimum listed objects between bowl and table for the next count.</x:v>
      </x:c>
      <x:c r="P295" s="9" t="str">
        <x:v>Visible-object count varies across no-op families. Table objects are distractors where present; success requires leaving the satisfied scene unchanged.</x:v>
      </x:c>
      <x:c r="Q295" s="9"/>
      <x:c r="R295" s="10"/>
      <x:c r="S295" s="10"/>
      <x:c r="T295" s="9"/>
      <x:c r="U295" s="9"/>
      <x:c r="V295" s="9"/>
      <x:c r="W295" s="9" t="str">
        <x:v>NOOP-02</x:v>
      </x:c>
      <x:c r="X295" s="10" t="n">
        <x:v>2</x:v>
      </x:c>
      <x:c r="Y295" s="10" t="n">
        <x:v>2</x:v>
      </x:c>
      <x:c r="Z295" s="9" t="str">
        <x:v>NO-OP</x:v>
      </x:c>
      <x:c r="AA295" s="9"/>
      <x:c r="AB295" s="9"/>
      <x:c r="AC295" s="9"/>
      <x:c r="AD295" s="9"/>
      <x:c r="AE295" s="9"/>
      <x:c r="AF295" s="9"/>
      <x:c r="AG295" s="9"/>
      <x:c r="AH295" s="9"/>
      <x:c r="AI295" s="11"/>
      <x:c r="AJ295" s="9"/>
      <x:c r="AK295" s="9" t="str">
        <x:v>Eval_Counting.xlsm</x:v>
      </x:c>
      <x:c r="AL295" s="9" t="str">
        <x:v>MolmoAct2 Results</x:v>
      </x:c>
      <x:c r="AM295" s="9" t="n">
        <x:v>145</x:v>
      </x:c>
      <x:c r="AN295" s="9" t="n">
        <x:v>145</x:v>
      </x:c>
    </x:row>
    <x:row r="296">
      <x:c r="A296" s="9" t="str">
        <x:v>Failure</x:v>
      </x:c>
      <x:c r="B296" s="9" t="str">
        <x:v>Counting</x:v>
      </x:c>
      <x:c r="C296" s="10" t="n">
        <x:v>144</x:v>
      </x:c>
      <x:c r="D296" s="9" t="str">
        <x:v>Leave exactly one object in the bowl.</x:v>
      </x:c>
      <x:c r="E296" s="9" t="str">
        <x:v>Bowl objects: [yellow block] | Table objects: [none]</x:v>
      </x:c>
      <x:c r="F296" s="9" t="str">
        <x:v>NO-OP; preserve 1 object in the bowl and do not initiate a grasp</x:v>
      </x:c>
      <x:c r="G296" s="9" t="str">
        <x:v>went to the bowl, then went home 4 times. Didn't touch block. </x:v>
      </x:c>
      <x:c r="H296" s="9" t="str">
        <x:v>Goal already satisfied / no movement</x:v>
      </x:c>
      <x:c r="I296" s="9" t="str">
        <x:v>NOOP-02</x:v>
      </x:c>
      <x:c r="J296" s="9" t="str">
        <x:v>Goal already satisfied: 1→1</x:v>
      </x:c>
      <x:c r="K296" s="9"/>
      <x:c r="L296" s="9" t="str">
        <x:v>800</x:v>
      </x:c>
      <x:c r="M296" s="9" t="str">
        <x:v>Prompt/concept grounding only. Training does not contain a goal-already-satisfied no-movement trajectory.</x:v>
      </x:c>
      <x:c r="N296" s="9" t="n">
        <x:v>6</x:v>
      </x:c>
      <x:c r="O296" s="9" t="str">
        <x:v>Move only the minimum listed objects between bowl and table for the next count.</x:v>
      </x:c>
      <x:c r="P296" s="9" t="str">
        <x:v>Visible-object count varies across no-op families. Table objects are distractors where present; success requires leaving the satisfied scene unchanged.</x:v>
      </x:c>
      <x:c r="Q296" s="9"/>
      <x:c r="R296" s="10"/>
      <x:c r="S296" s="10"/>
      <x:c r="T296" s="9"/>
      <x:c r="U296" s="9"/>
      <x:c r="V296" s="9"/>
      <x:c r="W296" s="9" t="str">
        <x:v>NOOP-02</x:v>
      </x:c>
      <x:c r="X296" s="10" t="n">
        <x:v>1</x:v>
      </x:c>
      <x:c r="Y296" s="10" t="n">
        <x:v>1</x:v>
      </x:c>
      <x:c r="Z296" s="9" t="str">
        <x:v>NO-OP</x:v>
      </x:c>
      <x:c r="AA296" s="9"/>
      <x:c r="AB296" s="9"/>
      <x:c r="AC296" s="9"/>
      <x:c r="AD296" s="9"/>
      <x:c r="AE296" s="9"/>
      <x:c r="AF296" s="9"/>
      <x:c r="AG296" s="9"/>
      <x:c r="AH296" s="9"/>
      <x:c r="AI296" s="11"/>
      <x:c r="AJ296" s="9"/>
      <x:c r="AK296" s="9" t="str">
        <x:v>Eval_Counting.xlsm</x:v>
      </x:c>
      <x:c r="AL296" s="9" t="str">
        <x:v>MolmoAct2 Results</x:v>
      </x:c>
      <x:c r="AM296" s="9" t="n">
        <x:v>146</x:v>
      </x:c>
      <x:c r="AN296" s="9" t="n">
        <x:v>146</x:v>
      </x:c>
    </x:row>
    <x:row r="297">
      <x:c r="A297" s="9" t="str">
        <x:v>Success</x:v>
      </x:c>
      <x:c r="B297" s="9" t="str">
        <x:v>Counting</x:v>
      </x:c>
      <x:c r="C297" s="10" t="n">
        <x:v>145</x:v>
      </x:c>
      <x:c r="D297" s="9" t="str">
        <x:v>Leave no objects in the bowl.</x:v>
      </x:c>
      <x:c r="E297" s="9" t="str">
        <x:v>Bowl objects: [none] | Table objects: [yellow block]</x:v>
      </x:c>
      <x:c r="F297" s="9" t="str">
        <x:v>NO-OP; preserve 0 objects in the bowl and do not initiate a grasp</x:v>
      </x:c>
      <x:c r="G297" s="9"/>
      <x:c r="H297" s="9" t="str">
        <x:v>Goal already satisfied / no movement</x:v>
      </x:c>
      <x:c r="I297" s="9" t="str">
        <x:v>NOOP-02</x:v>
      </x:c>
      <x:c r="J297" s="9" t="str">
        <x:v>Goal already satisfied: 0→0</x:v>
      </x:c>
      <x:c r="K297" s="9"/>
      <x:c r="L297" s="9" t="str">
        <x:v>975</x:v>
      </x:c>
      <x:c r="M297" s="9" t="str">
        <x:v>Prompt/concept grounding only. Training does not contain a goal-already-satisfied no-movement trajectory.</x:v>
      </x:c>
      <x:c r="N297" s="9" t="n">
        <x:v>6</x:v>
      </x:c>
      <x:c r="O297" s="9" t="str">
        <x:v>Move only the minimum listed objects between bowl and table for the next count.</x:v>
      </x:c>
      <x:c r="P297" s="9" t="str">
        <x:v>Visible-object count varies across no-op families. Table objects are distractors where present; success requires leaving the satisfied scene unchanged.</x:v>
      </x:c>
      <x:c r="Q297" s="9"/>
      <x:c r="R297" s="10"/>
      <x:c r="S297" s="10"/>
      <x:c r="T297" s="9"/>
      <x:c r="U297" s="9"/>
      <x:c r="V297" s="9"/>
      <x:c r="W297" s="9" t="str">
        <x:v>NOOP-02</x:v>
      </x:c>
      <x:c r="X297" s="10" t="n">
        <x:v>0</x:v>
      </x:c>
      <x:c r="Y297" s="10" t="n">
        <x:v>0</x:v>
      </x:c>
      <x:c r="Z297" s="9" t="str">
        <x:v>NO-OP</x:v>
      </x:c>
      <x:c r="AA297" s="9"/>
      <x:c r="AB297" s="9"/>
      <x:c r="AC297" s="9"/>
      <x:c r="AD297" s="9"/>
      <x:c r="AE297" s="9"/>
      <x:c r="AF297" s="9"/>
      <x:c r="AG297" s="9"/>
      <x:c r="AH297" s="9"/>
      <x:c r="AI297" s="11"/>
      <x:c r="AJ297" s="9"/>
      <x:c r="AK297" s="9" t="str">
        <x:v>Eval_Counting.xlsm</x:v>
      </x:c>
      <x:c r="AL297" s="9" t="str">
        <x:v>MolmoAct2 Results</x:v>
      </x:c>
      <x:c r="AM297" s="9" t="n">
        <x:v>147</x:v>
      </x:c>
      <x:c r="AN297" s="9" t="n">
        <x:v>147</x:v>
      </x:c>
    </x:row>
    <x:row r="298">
      <x:c r="A298" s="9" t="str">
        <x:v>Failure</x:v>
      </x:c>
      <x:c r="B298" s="9" t="str">
        <x:v>Counting</x:v>
      </x:c>
      <x:c r="C298" s="10" t="n">
        <x:v>146</x:v>
      </x:c>
      <x:c r="D298" s="9" t="str">
        <x:v>Leave exactly three objects in the bowl.</x:v>
      </x:c>
      <x:c r="E298" s="9" t="str">
        <x:v>Bowl objects: [green pencil sharpener, airplane toy without propellers] | Table objects: [blue pen, yellow block]</x:v>
      </x:c>
      <x:c r="F298" s="9" t="str">
        <x:v>ADD any one table object; finish with 3 objects in the bowl</x:v>
      </x:c>
      <x:c r="G298" s="9" t="str">
        <x:v>didn't move</x:v>
      </x:c>
      <x:c r="H298" s="9" t="str">
        <x:v>Concept/compositional transfer</x:v>
      </x:c>
      <x:c r="I298" s="9" t="str">
        <x:v>CT-CF18</x:v>
      </x:c>
      <x:c r="J298" s="9" t="str">
        <x:v>Primary: three via held-out 2→3 addition</x:v>
      </x:c>
      <x:c r="K298" s="9"/>
      <x:c r="L298" s="9" t="str">
        <x:v>816</x:v>
      </x:c>
      <x:c r="M298" s="9" t="str">
        <x:v>Representative direct-instruction trajectory for blue pen; the evaluated count × transition composition is intentionally absent.</x:v>
      </x:c>
      <x:c r="N298" s="9" t="n">
        <x:v>4</x:v>
      </x:c>
      <x:c r="O298" s="9" t="str">
        <x:v>Reset the exact count-2 scene; change only the prompt.</x:v>
      </x:c>
      <x:c r="P298" s="9" t="str">
        <x:v>The goal word three is trained, and this 2→3 trajectory is trained under a direct instruction, but the combination is withheld.</x:v>
      </x:c>
      <x:c r="Q298" s="9"/>
      <x:c r="R298" s="10"/>
      <x:c r="S298" s="10"/>
      <x:c r="T298" s="9"/>
      <x:c r="U298" s="9"/>
      <x:c r="V298" s="9"/>
      <x:c r="W298" s="9" t="str">
        <x:v>CT-CF18-ADD</x:v>
      </x:c>
      <x:c r="X298" s="10" t="n">
        <x:v>2</x:v>
      </x:c>
      <x:c r="Y298" s="10" t="n">
        <x:v>3</x:v>
      </x:c>
      <x:c r="Z298" s="9" t="str">
        <x:v>ADD</x:v>
      </x:c>
      <x:c r="AA298" s="9"/>
      <x:c r="AB298" s="9"/>
      <x:c r="AC298" s="9"/>
      <x:c r="AD298" s="9"/>
      <x:c r="AE298" s="9"/>
      <x:c r="AF298" s="9"/>
      <x:c r="AG298" s="9"/>
      <x:c r="AH298" s="9"/>
      <x:c r="AI298" s="11"/>
      <x:c r="AJ298" s="9"/>
      <x:c r="AK298" s="9" t="str">
        <x:v>Eval_Counting.xlsm</x:v>
      </x:c>
      <x:c r="AL298" s="9" t="str">
        <x:v>MolmoAct2 Results</x:v>
      </x:c>
      <x:c r="AM298" s="9" t="n">
        <x:v>148</x:v>
      </x:c>
      <x:c r="AN298" s="9" t="n">
        <x:v>148</x:v>
      </x:c>
    </x:row>
    <x:row r="299">
      <x:c r="A299" s="9" t="str">
        <x:v>Failure</x:v>
      </x:c>
      <x:c r="B299" s="9" t="str">
        <x:v>Counting</x:v>
      </x:c>
      <x:c r="C299" s="10" t="n">
        <x:v>147</x:v>
      </x:c>
      <x:c r="D299" s="9" t="str">
        <x:v>Leave exactly one object in the bowl.</x:v>
      </x:c>
      <x:c r="E299" s="9" t="str">
        <x:v>Bowl objects: [green pencil sharpener, airplane toy without propellers] | Table objects: [blue pen, yellow block]</x:v>
      </x:c>
      <x:c r="F299" s="9" t="str">
        <x:v>REMOVE any one bowl object; finish with 1 object in the bowl</x:v>
      </x:c>
      <x:c r="G299" s="9" t="str">
        <x:v>didn't move</x:v>
      </x:c>
      <x:c r="H299" s="9" t="str">
        <x:v>Concept/compositional transfer</x:v>
      </x:c>
      <x:c r="I299" s="9" t="str">
        <x:v>CT-CF18</x:v>
      </x:c>
      <x:c r="J299" s="9" t="str">
        <x:v>Primary: one via held-out 2→1 removal</x:v>
      </x:c>
      <x:c r="K299" s="9" t="n">
        <x:v>146</x:v>
      </x:c>
      <x:c r="L299" s="9" t="str">
        <x:v>981</x:v>
      </x:c>
      <x:c r="M299" s="9" t="str">
        <x:v>Representative direct-instruction trajectory for airplane toy without propellers; the evaluated count × transition composition is intentionally absent.</x:v>
      </x:c>
      <x:c r="N299" s="9" t="n">
        <x:v>4</x:v>
      </x:c>
      <x:c r="O299" s="9" t="str">
        <x:v>Build the listed count-2 scene.</x:v>
      </x:c>
      <x:c r="P299" s="9" t="str">
        <x:v>The goal word one is trained, and this 2→1 trajectory is trained under a direct instruction, but the combination is withheld.</x:v>
      </x:c>
      <x:c r="Q299" s="9"/>
      <x:c r="R299" s="10"/>
      <x:c r="S299" s="10"/>
      <x:c r="T299" s="9"/>
      <x:c r="U299" s="9"/>
      <x:c r="V299" s="9"/>
      <x:c r="W299" s="9" t="str">
        <x:v>CT-CF18-REMOVE</x:v>
      </x:c>
      <x:c r="X299" s="10" t="n">
        <x:v>2</x:v>
      </x:c>
      <x:c r="Y299" s="10" t="n">
        <x:v>1</x:v>
      </x:c>
      <x:c r="Z299" s="9" t="str">
        <x:v>REMOVE</x:v>
      </x:c>
      <x:c r="AA299" s="9"/>
      <x:c r="AB299" s="9"/>
      <x:c r="AC299" s="9"/>
      <x:c r="AD299" s="9"/>
      <x:c r="AE299" s="9"/>
      <x:c r="AF299" s="9"/>
      <x:c r="AG299" s="9"/>
      <x:c r="AH299" s="9"/>
      <x:c r="AI299" s="11"/>
      <x:c r="AJ299" s="9"/>
      <x:c r="AK299" s="9" t="str">
        <x:v>Eval_Counting.xlsm</x:v>
      </x:c>
      <x:c r="AL299" s="9" t="str">
        <x:v>MolmoAct2 Results</x:v>
      </x:c>
      <x:c r="AM299" s="9" t="n">
        <x:v>149</x:v>
      </x:c>
      <x:c r="AN299" s="9" t="n">
        <x:v>149</x:v>
      </x:c>
    </x:row>
    <x:row r="300">
      <x:c r="A300" s="9" t="str">
        <x:v>Failure</x:v>
      </x:c>
      <x:c r="B300" s="9" t="str">
        <x:v>Counting</x:v>
      </x:c>
      <x:c r="C300" s="10" t="n">
        <x:v>148</x:v>
      </x:c>
      <x:c r="D300" s="9" t="str">
        <x:v>Leave exactly one object in the bowl.</x:v>
      </x:c>
      <x:c r="E300" s="9" t="str">
        <x:v>Bowl objects: [yellow block, airplane toy without propellers] | Table objects: [blue pen, green pencil sharpener]</x:v>
      </x:c>
      <x:c r="F300" s="9" t="str">
        <x:v>REMOVE any one bowl object; finish with 1 object in the bowl</x:v>
      </x:c>
      <x:c r="G300" s="9" t="str">
        <x:v>didn't move</x:v>
      </x:c>
      <x:c r="H300" s="9" t="str">
        <x:v>Concept/compositional transfer</x:v>
      </x:c>
      <x:c r="I300" s="9" t="str">
        <x:v>CT-CF23</x:v>
      </x:c>
      <x:c r="J300" s="9" t="str">
        <x:v>Primary: one via held-out 2→1 removal</x:v>
      </x:c>
      <x:c r="K300" s="9"/>
      <x:c r="L300" s="9" t="str">
        <x:v>881</x:v>
      </x:c>
      <x:c r="M300" s="9" t="str">
        <x:v>Representative direct-instruction trajectory for yellow block; the evaluated count × transition composition is intentionally absent.</x:v>
      </x:c>
      <x:c r="N300" s="9" t="n">
        <x:v>4</x:v>
      </x:c>
      <x:c r="O300" s="9" t="str">
        <x:v>Build the listed count-2 scene.</x:v>
      </x:c>
      <x:c r="P300" s="9" t="str">
        <x:v>The goal word one is trained, and this 2→1 trajectory is trained under a direct instruction, but the combination is withheld.</x:v>
      </x:c>
      <x:c r="Q300" s="9"/>
      <x:c r="R300" s="10"/>
      <x:c r="S300" s="10"/>
      <x:c r="T300" s="9"/>
      <x:c r="U300" s="9"/>
      <x:c r="V300" s="9"/>
      <x:c r="W300" s="9" t="str">
        <x:v>CT-CF23-REMOVE</x:v>
      </x:c>
      <x:c r="X300" s="10" t="n">
        <x:v>2</x:v>
      </x:c>
      <x:c r="Y300" s="10" t="n">
        <x:v>1</x:v>
      </x:c>
      <x:c r="Z300" s="9" t="str">
        <x:v>REMOVE</x:v>
      </x:c>
      <x:c r="AA300" s="9"/>
      <x:c r="AB300" s="9"/>
      <x:c r="AC300" s="9"/>
      <x:c r="AD300" s="9"/>
      <x:c r="AE300" s="9"/>
      <x:c r="AF300" s="9"/>
      <x:c r="AG300" s="9"/>
      <x:c r="AH300" s="9"/>
      <x:c r="AI300" s="11"/>
      <x:c r="AJ300" s="9"/>
      <x:c r="AK300" s="9" t="str">
        <x:v>Eval_Counting.xlsm</x:v>
      </x:c>
      <x:c r="AL300" s="9" t="str">
        <x:v>MolmoAct2 Results</x:v>
      </x:c>
      <x:c r="AM300" s="9" t="n">
        <x:v>150</x:v>
      </x:c>
      <x:c r="AN300" s="9" t="n">
        <x:v>150</x:v>
      </x:c>
    </x:row>
    <x:row r="301">
      <x:c r="A301" s="9" t="str">
        <x:v>Failure</x:v>
      </x:c>
      <x:c r="B301" s="9" t="str">
        <x:v>Counting</x:v>
      </x:c>
      <x:c r="C301" s="10" t="n">
        <x:v>149</x:v>
      </x:c>
      <x:c r="D301" s="9" t="str">
        <x:v>Leave exactly three objects in the bowl.</x:v>
      </x:c>
      <x:c r="E301" s="9" t="str">
        <x:v>Bowl objects: [yellow block, airplane toy without propellers] | Table objects: [blue pen, green pencil sharpener]</x:v>
      </x:c>
      <x:c r="F301" s="9" t="str">
        <x:v>ADD any one table object; finish with 3 objects in the bowl</x:v>
      </x:c>
      <x:c r="G301" s="9" t="str">
        <x:v>didn't move</x:v>
      </x:c>
      <x:c r="H301" s="9" t="str">
        <x:v>Concept/compositional transfer</x:v>
      </x:c>
      <x:c r="I301" s="9" t="str">
        <x:v>CT-CF23</x:v>
      </x:c>
      <x:c r="J301" s="9" t="str">
        <x:v>Primary: three via held-out 2→3 addition</x:v>
      </x:c>
      <x:c r="K301" s="9" t="n">
        <x:v>148</x:v>
      </x:c>
      <x:c r="L301" s="9" t="str">
        <x:v>916</x:v>
      </x:c>
      <x:c r="M301" s="9" t="str">
        <x:v>Representative direct-instruction trajectory for green pencil sharpener; the evaluated count × transition composition is intentionally absent.</x:v>
      </x:c>
      <x:c r="N301" s="9" t="n">
        <x:v>4</x:v>
      </x:c>
      <x:c r="O301" s="9" t="str">
        <x:v>Reset the exact count-2 scene; change only the prompt.</x:v>
      </x:c>
      <x:c r="P301" s="9" t="str">
        <x:v>The goal word three is trained, and this 2→3 trajectory is trained under a direct instruction, but the combination is withheld.</x:v>
      </x:c>
      <x:c r="Q301" s="9"/>
      <x:c r="R301" s="10"/>
      <x:c r="S301" s="10"/>
      <x:c r="T301" s="9"/>
      <x:c r="U301" s="9"/>
      <x:c r="V301" s="9"/>
      <x:c r="W301" s="9" t="str">
        <x:v>CT-CF23-ADD</x:v>
      </x:c>
      <x:c r="X301" s="10" t="n">
        <x:v>2</x:v>
      </x:c>
      <x:c r="Y301" s="10" t="n">
        <x:v>3</x:v>
      </x:c>
      <x:c r="Z301" s="9" t="str">
        <x:v>ADD</x:v>
      </x:c>
      <x:c r="AA301" s="9"/>
      <x:c r="AB301" s="9"/>
      <x:c r="AC301" s="9"/>
      <x:c r="AD301" s="9"/>
      <x:c r="AE301" s="9"/>
      <x:c r="AF301" s="9"/>
      <x:c r="AG301" s="9"/>
      <x:c r="AH301" s="9"/>
      <x:c r="AI301" s="11"/>
      <x:c r="AJ301" s="9"/>
      <x:c r="AK301" s="9" t="str">
        <x:v>Eval_Counting.xlsm</x:v>
      </x:c>
      <x:c r="AL301" s="9" t="str">
        <x:v>MolmoAct2 Results</x:v>
      </x:c>
      <x:c r="AM301" s="9" t="n">
        <x:v>151</x:v>
      </x:c>
      <x:c r="AN301" s="9" t="n">
        <x:v>151</x:v>
      </x:c>
    </x:row>
    <x:row r="302">
      <x:c r="A302" s="9" t="str">
        <x:v>Failure</x:v>
      </x:c>
      <x:c r="B302" s="9" t="str">
        <x:v>Ordinal Reference Ordering</x:v>
      </x:c>
      <x:c r="C302" s="10" t="n">
        <x:v>0</x:v>
      </x:c>
      <x:c r="D302" s="9" t="str">
        <x:v>Put the second object from the right in the bowl.</x:v>
      </x:c>
      <x:c r="E302" s="9" t="str">
        <x:v>L1: blue tape ball, L2: airplane toy with propellers</x:v>
      </x:c>
      <x:c r="F302" s="9" t="str">
        <x:v>blue tape ball</x:v>
      </x:c>
      <x:c r="G302" s="9" t="str">
        <x:v>grabbed airplane toy</x:v>
      </x:c>
      <x:c r="H302" s="9" t="str">
        <x:v>In-distribution concept baseline</x:v>
      </x:c>
      <x:c r="I302" s="9" t="str">
        <x:v>ID-EXACT01</x:v>
      </x:c>
      <x:c r="J302" s="9" t="str">
        <x:v>Exact training recreation — source episode 658</x:v>
      </x:c>
      <x:c r="K302" s="9"/>
      <x:c r="L302" s="9"/>
      <x:c r="M302" s="9"/>
      <x:c r="N302" s="9" t="str">
        <x:v>1 — In-distribution baselines</x:v>
      </x:c>
      <x:c r="O302" s="9" t="str">
        <x:v>Independently recreate the prompt and ordered object list from training episode 658; do not reuse the preceding baseline scene.</x:v>
      </x:c>
      <x:c r="P302" s="9" t="str">
        <x:v>Exact final prompt and complete left-to-right object order from explicit training episode 658: blue tape ball | airplane toy with propellers.</x:v>
      </x:c>
      <x:c r="Q302" s="9"/>
      <x:c r="R302" s="10" t="n">
        <x:v>2</x:v>
      </x:c>
      <x:c r="S302" s="10"/>
      <x:c r="T302" s="9"/>
      <x:c r="U302" s="9"/>
      <x:c r="V302" s="9"/>
      <x:c r="W302" s="9" t="str">
        <x:v>None — independent exact training recreation</x:v>
      </x:c>
      <x:c r="X302" s="10"/>
      <x:c r="Y302" s="10"/>
      <x:c r="Z302" s="9"/>
      <x:c r="AA302" s="9" t="str">
        <x:v>L1</x:v>
      </x:c>
      <x:c r="AB302" s="9" t="str">
        <x:v>second from right</x:v>
      </x:c>
      <x:c r="AC302" s="9"/>
      <x:c r="AD302" s="9"/>
      <x:c r="AE302" s="9"/>
      <x:c r="AF302" s="9"/>
      <x:c r="AG302" s="9"/>
      <x:c r="AH302" s="9"/>
      <x:c r="AI302" s="11"/>
      <x:c r="AJ302" s="9"/>
      <x:c r="AK302" s="9" t="str">
        <x:v>Eval_Ordinal_Reference_Ordering.xlsm</x:v>
      </x:c>
      <x:c r="AL302" s="9" t="str">
        <x:v>MolmoAct2 Results2</x:v>
      </x:c>
      <x:c r="AM302" s="9" t="n">
        <x:v>2</x:v>
      </x:c>
      <x:c r="AN302" s="9" t="n">
        <x:v>2</x:v>
      </x:c>
    </x:row>
    <x:row r="303">
      <x:c r="A303" s="9" t="str">
        <x:v>Success</x:v>
      </x:c>
      <x:c r="B303" s="9" t="str">
        <x:v>Ordinal Reference Ordering</x:v>
      </x:c>
      <x:c r="C303" s="10" t="n">
        <x:v>1</x:v>
      </x:c>
      <x:c r="D303" s="9" t="str">
        <x:v>Put the second object from the left in the bowl.</x:v>
      </x:c>
      <x:c r="E303" s="9" t="str">
        <x:v>L1: blue tape ball, L2: airplane toy with propellers</x:v>
      </x:c>
      <x:c r="F303" s="9" t="str">
        <x:v>airplane toy with propellers</x:v>
      </x:c>
      <x:c r="G303" s="9"/>
      <x:c r="H303" s="9" t="str">
        <x:v>In-distribution concept baseline</x:v>
      </x:c>
      <x:c r="I303" s="9" t="str">
        <x:v>ID-EXACT02</x:v>
      </x:c>
      <x:c r="J303" s="9" t="str">
        <x:v>Exact training recreation — source episode 619</x:v>
      </x:c>
      <x:c r="K303" s="9"/>
      <x:c r="L303" s="9"/>
      <x:c r="M303" s="9"/>
      <x:c r="N303" s="9" t="str">
        <x:v>1 — In-distribution baselines</x:v>
      </x:c>
      <x:c r="O303" s="9" t="str">
        <x:v>Independently recreate the prompt and ordered object list from training episode 619; do not reuse the preceding baseline scene.</x:v>
      </x:c>
      <x:c r="P303" s="9" t="str">
        <x:v>Exact final prompt and complete left-to-right object order from explicit training episode 619: blue tape ball | airplane toy with propellers.</x:v>
      </x:c>
      <x:c r="Q303" s="9"/>
      <x:c r="R303" s="10" t="n">
        <x:v>2</x:v>
      </x:c>
      <x:c r="S303" s="10"/>
      <x:c r="T303" s="9"/>
      <x:c r="U303" s="9"/>
      <x:c r="V303" s="9"/>
      <x:c r="W303" s="9" t="str">
        <x:v>None — independent exact training recreation</x:v>
      </x:c>
      <x:c r="X303" s="10"/>
      <x:c r="Y303" s="10"/>
      <x:c r="Z303" s="9"/>
      <x:c r="AA303" s="9" t="str">
        <x:v>L2</x:v>
      </x:c>
      <x:c r="AB303" s="9" t="str">
        <x:v>second from left</x:v>
      </x:c>
      <x:c r="AC303" s="9"/>
      <x:c r="AD303" s="9"/>
      <x:c r="AE303" s="9"/>
      <x:c r="AF303" s="9"/>
      <x:c r="AG303" s="9"/>
      <x:c r="AH303" s="9"/>
      <x:c r="AI303" s="11"/>
      <x:c r="AJ303" s="9"/>
      <x:c r="AK303" s="9" t="str">
        <x:v>Eval_Ordinal_Reference_Ordering.xlsm</x:v>
      </x:c>
      <x:c r="AL303" s="9" t="str">
        <x:v>MolmoAct2 Results2</x:v>
      </x:c>
      <x:c r="AM303" s="9" t="n">
        <x:v>3</x:v>
      </x:c>
      <x:c r="AN303" s="9" t="n">
        <x:v>3</x:v>
      </x:c>
    </x:row>
    <x:row r="304">
      <x:c r="A304" s="9" t="str">
        <x:v>Success</x:v>
      </x:c>
      <x:c r="B304" s="9" t="str">
        <x:v>Ordinal Reference Ordering</x:v>
      </x:c>
      <x:c r="C304" s="10" t="n">
        <x:v>2</x:v>
      </x:c>
      <x:c r="D304" s="9" t="str">
        <x:v>Move the second item counted from the left into the bowl.</x:v>
      </x:c>
      <x:c r="E304" s="9" t="str">
        <x:v>L1: airplane toy with propellers, L2: green highlighter</x:v>
      </x:c>
      <x:c r="F304" s="9" t="str">
        <x:v>green highlighter</x:v>
      </x:c>
      <x:c r="G304" s="9"/>
      <x:c r="H304" s="9" t="str">
        <x:v>In-distribution concept baseline</x:v>
      </x:c>
      <x:c r="I304" s="9" t="str">
        <x:v>ID-EXACT03</x:v>
      </x:c>
      <x:c r="J304" s="9" t="str">
        <x:v>Exact training recreation — source episode 719</x:v>
      </x:c>
      <x:c r="K304" s="9"/>
      <x:c r="L304" s="9"/>
      <x:c r="M304" s="9"/>
      <x:c r="N304" s="9" t="str">
        <x:v>1 — In-distribution baselines</x:v>
      </x:c>
      <x:c r="O304" s="9" t="str">
        <x:v>Independently recreate the prompt and ordered object list from training episode 719; do not reuse the preceding baseline scene.</x:v>
      </x:c>
      <x:c r="P304" s="9" t="str">
        <x:v>Exact final prompt and complete left-to-right object order from explicit training episode 719: airplane toy with propellers | green highlighter.</x:v>
      </x:c>
      <x:c r="Q304" s="9"/>
      <x:c r="R304" s="10" t="n">
        <x:v>2</x:v>
      </x:c>
      <x:c r="S304" s="10"/>
      <x:c r="T304" s="9"/>
      <x:c r="U304" s="9"/>
      <x:c r="V304" s="9"/>
      <x:c r="W304" s="9" t="str">
        <x:v>None — independent exact training recreation</x:v>
      </x:c>
      <x:c r="X304" s="10"/>
      <x:c r="Y304" s="10"/>
      <x:c r="Z304" s="9"/>
      <x:c r="AA304" s="9" t="str">
        <x:v>L2</x:v>
      </x:c>
      <x:c r="AB304" s="9" t="str">
        <x:v>second from left</x:v>
      </x:c>
      <x:c r="AC304" s="9"/>
      <x:c r="AD304" s="9"/>
      <x:c r="AE304" s="9"/>
      <x:c r="AF304" s="9"/>
      <x:c r="AG304" s="9"/>
      <x:c r="AH304" s="9"/>
      <x:c r="AI304" s="11"/>
      <x:c r="AJ304" s="9"/>
      <x:c r="AK304" s="9" t="str">
        <x:v>Eval_Ordinal_Reference_Ordering.xlsm</x:v>
      </x:c>
      <x:c r="AL304" s="9" t="str">
        <x:v>MolmoAct2 Results2</x:v>
      </x:c>
      <x:c r="AM304" s="9" t="n">
        <x:v>4</x:v>
      </x:c>
      <x:c r="AN304" s="9" t="n">
        <x:v>4</x:v>
      </x:c>
    </x:row>
    <x:row r="305">
      <x:c r="A305" s="9" t="str">
        <x:v>Failure</x:v>
      </x:c>
      <x:c r="B305" s="9" t="str">
        <x:v>Ordinal Reference Ordering</x:v>
      </x:c>
      <x:c r="C305" s="10" t="n">
        <x:v>3</x:v>
      </x:c>
      <x:c r="D305" s="9" t="str">
        <x:v>Move the second item counted from the right into the bowl.</x:v>
      </x:c>
      <x:c r="E305" s="9" t="str">
        <x:v>L1: yellow pen, L2: airplane toy with propellers</x:v>
      </x:c>
      <x:c r="F305" s="9" t="str">
        <x:v>yellow pen</x:v>
      </x:c>
      <x:c r="G305" s="9" t="str">
        <x:v>Picked airplane toy.</x:v>
      </x:c>
      <x:c r="H305" s="9" t="str">
        <x:v>In-distribution concept baseline</x:v>
      </x:c>
      <x:c r="I305" s="9" t="str">
        <x:v>ID-EXACT04</x:v>
      </x:c>
      <x:c r="J305" s="9" t="str">
        <x:v>Exact training recreation — source episode 758</x:v>
      </x:c>
      <x:c r="K305" s="9"/>
      <x:c r="L305" s="9"/>
      <x:c r="M305" s="9"/>
      <x:c r="N305" s="9" t="str">
        <x:v>1 — In-distribution baselines</x:v>
      </x:c>
      <x:c r="O305" s="9" t="str">
        <x:v>Independently recreate the prompt and ordered object list from training episode 758; do not reuse the preceding baseline scene.</x:v>
      </x:c>
      <x:c r="P305" s="9" t="str">
        <x:v>Exact final prompt and complete left-to-right object order from explicit training episode 758: yellow pen | airplane toy with propellers.</x:v>
      </x:c>
      <x:c r="Q305" s="9"/>
      <x:c r="R305" s="10" t="n">
        <x:v>2</x:v>
      </x:c>
      <x:c r="S305" s="10"/>
      <x:c r="T305" s="9"/>
      <x:c r="U305" s="9"/>
      <x:c r="V305" s="9"/>
      <x:c r="W305" s="9" t="str">
        <x:v>None — independent exact training recreation</x:v>
      </x:c>
      <x:c r="X305" s="10"/>
      <x:c r="Y305" s="10"/>
      <x:c r="Z305" s="9"/>
      <x:c r="AA305" s="9" t="str">
        <x:v>L1</x:v>
      </x:c>
      <x:c r="AB305" s="9" t="str">
        <x:v>second from right</x:v>
      </x:c>
      <x:c r="AC305" s="9"/>
      <x:c r="AD305" s="9"/>
      <x:c r="AE305" s="9"/>
      <x:c r="AF305" s="9"/>
      <x:c r="AG305" s="9"/>
      <x:c r="AH305" s="9"/>
      <x:c r="AI305" s="11"/>
      <x:c r="AJ305" s="9"/>
      <x:c r="AK305" s="9" t="str">
        <x:v>Eval_Ordinal_Reference_Ordering.xlsm</x:v>
      </x:c>
      <x:c r="AL305" s="9" t="str">
        <x:v>MolmoAct2 Results2</x:v>
      </x:c>
      <x:c r="AM305" s="9" t="n">
        <x:v>5</x:v>
      </x:c>
      <x:c r="AN305" s="9" t="n">
        <x:v>5</x:v>
      </x:c>
    </x:row>
    <x:row r="306">
      <x:c r="A306" s="9" t="str">
        <x:v>Failure</x:v>
      </x:c>
      <x:c r="B306" s="9" t="str">
        <x:v>Ordinal Reference Ordering</x:v>
      </x:c>
      <x:c r="C306" s="10" t="n">
        <x:v>4</x:v>
      </x:c>
      <x:c r="D306" s="9" t="str">
        <x:v>Put the third object from the right in the bowl.</x:v>
      </x:c>
      <x:c r="E306" s="9" t="str">
        <x:v>L1: airplane toy with propellers, L2: yellow pen, L3: blue tape ball</x:v>
      </x:c>
      <x:c r="F306" s="9" t="str">
        <x:v>airplane toy with propellers</x:v>
      </x:c>
      <x:c r="G306" s="9" t="str">
        <x:v>Picked blue tape ball.</x:v>
      </x:c>
      <x:c r="H306" s="9" t="str">
        <x:v>In-distribution concept baseline</x:v>
      </x:c>
      <x:c r="I306" s="9" t="str">
        <x:v>ID-EXACT05</x:v>
      </x:c>
      <x:c r="J306" s="9" t="str">
        <x:v>Exact training recreation — source episode 604</x:v>
      </x:c>
      <x:c r="K306" s="9"/>
      <x:c r="L306" s="9"/>
      <x:c r="M306" s="9"/>
      <x:c r="N306" s="9" t="str">
        <x:v>1 — In-distribution baselines</x:v>
      </x:c>
      <x:c r="O306" s="9" t="str">
        <x:v>Independently recreate the prompt and ordered object list from training episode 604; do not reuse the preceding baseline scene.</x:v>
      </x:c>
      <x:c r="P306" s="9" t="str">
        <x:v>Exact final prompt and complete left-to-right object order from explicit training episode 604: airplane toy with propellers | yellow pen | blue tape ball.</x:v>
      </x:c>
      <x:c r="Q306" s="9"/>
      <x:c r="R306" s="10" t="n">
        <x:v>3</x:v>
      </x:c>
      <x:c r="S306" s="10"/>
      <x:c r="T306" s="9"/>
      <x:c r="U306" s="9"/>
      <x:c r="V306" s="9"/>
      <x:c r="W306" s="9" t="str">
        <x:v>None — independent exact training recreation</x:v>
      </x:c>
      <x:c r="X306" s="10"/>
      <x:c r="Y306" s="10"/>
      <x:c r="Z306" s="9"/>
      <x:c r="AA306" s="9" t="str">
        <x:v>L1</x:v>
      </x:c>
      <x:c r="AB306" s="9" t="str">
        <x:v>third from right</x:v>
      </x:c>
      <x:c r="AC306" s="9"/>
      <x:c r="AD306" s="9"/>
      <x:c r="AE306" s="9"/>
      <x:c r="AF306" s="9"/>
      <x:c r="AG306" s="9"/>
      <x:c r="AH306" s="9"/>
      <x:c r="AI306" s="11"/>
      <x:c r="AJ306" s="9"/>
      <x:c r="AK306" s="9" t="str">
        <x:v>Eval_Ordinal_Reference_Ordering.xlsm</x:v>
      </x:c>
      <x:c r="AL306" s="9" t="str">
        <x:v>MolmoAct2 Results2</x:v>
      </x:c>
      <x:c r="AM306" s="9" t="n">
        <x:v>6</x:v>
      </x:c>
      <x:c r="AN306" s="9" t="n">
        <x:v>6</x:v>
      </x:c>
    </x:row>
    <x:row r="307">
      <x:c r="A307" s="9" t="str">
        <x:v>Success</x:v>
      </x:c>
      <x:c r="B307" s="9" t="str">
        <x:v>Ordinal Reference Ordering</x:v>
      </x:c>
      <x:c r="C307" s="10" t="n">
        <x:v>5</x:v>
      </x:c>
      <x:c r="D307" s="9" t="str">
        <x:v>Put the object that is first from the right in the bowl.</x:v>
      </x:c>
      <x:c r="E307" s="9" t="str">
        <x:v>L1: airplane toy with propellers, L2: green highlighter, L3: blue tape ball</x:v>
      </x:c>
      <x:c r="F307" s="9" t="str">
        <x:v>blue tape ball</x:v>
      </x:c>
      <x:c r="G307" s="9"/>
      <x:c r="H307" s="9" t="str">
        <x:v>In-distribution concept baseline</x:v>
      </x:c>
      <x:c r="I307" s="9" t="str">
        <x:v>ID-EXACT06</x:v>
      </x:c>
      <x:c r="J307" s="9" t="str">
        <x:v>Exact training recreation — source episode 679</x:v>
      </x:c>
      <x:c r="K307" s="9"/>
      <x:c r="L307" s="9"/>
      <x:c r="M307" s="9"/>
      <x:c r="N307" s="9" t="str">
        <x:v>1 — In-distribution baselines</x:v>
      </x:c>
      <x:c r="O307" s="9" t="str">
        <x:v>Independently recreate the prompt and ordered object list from training episode 679; do not reuse the preceding baseline scene.</x:v>
      </x:c>
      <x:c r="P307" s="9" t="str">
        <x:v>Exact final prompt and complete left-to-right object order from explicit training episode 679: airplane toy with propellers | green highlighter | blue tape ball.</x:v>
      </x:c>
      <x:c r="Q307" s="9"/>
      <x:c r="R307" s="10" t="n">
        <x:v>3</x:v>
      </x:c>
      <x:c r="S307" s="10"/>
      <x:c r="T307" s="9"/>
      <x:c r="U307" s="9"/>
      <x:c r="V307" s="9"/>
      <x:c r="W307" s="9" t="str">
        <x:v>None — independent exact training recreation</x:v>
      </x:c>
      <x:c r="X307" s="10"/>
      <x:c r="Y307" s="10"/>
      <x:c r="Z307" s="9"/>
      <x:c r="AA307" s="9" t="str">
        <x:v>L3</x:v>
      </x:c>
      <x:c r="AB307" s="9" t="str">
        <x:v>first from right</x:v>
      </x:c>
      <x:c r="AC307" s="9"/>
      <x:c r="AD307" s="9"/>
      <x:c r="AE307" s="9"/>
      <x:c r="AF307" s="9"/>
      <x:c r="AG307" s="9"/>
      <x:c r="AH307" s="9"/>
      <x:c r="AI307" s="11"/>
      <x:c r="AJ307" s="9"/>
      <x:c r="AK307" s="9" t="str">
        <x:v>Eval_Ordinal_Reference_Ordering.xlsm</x:v>
      </x:c>
      <x:c r="AL307" s="9" t="str">
        <x:v>MolmoAct2 Results2</x:v>
      </x:c>
      <x:c r="AM307" s="9" t="n">
        <x:v>7</x:v>
      </x:c>
      <x:c r="AN307" s="9" t="n">
        <x:v>7</x:v>
      </x:c>
    </x:row>
    <x:row r="308">
      <x:c r="A308" s="9" t="str">
        <x:v>Failure</x:v>
      </x:c>
      <x:c r="B308" s="9" t="str">
        <x:v>Ordinal Reference Ordering</x:v>
      </x:c>
      <x:c r="C308" s="10" t="n">
        <x:v>6</x:v>
      </x:c>
      <x:c r="D308" s="9" t="str">
        <x:v>Put the object that is third from the left in the bowl.</x:v>
      </x:c>
      <x:c r="E308" s="9" t="str">
        <x:v>L1: green highlighter, L2: blue tape ball, L3: yellow pen</x:v>
      </x:c>
      <x:c r="F308" s="9" t="str">
        <x:v>yellow pen</x:v>
      </x:c>
      <x:c r="G308" s="9" t="str">
        <x:v>Picked blue tape ball.</x:v>
      </x:c>
      <x:c r="H308" s="9" t="str">
        <x:v>In-distribution concept baseline</x:v>
      </x:c>
      <x:c r="I308" s="9" t="str">
        <x:v>ID-EXACT07</x:v>
      </x:c>
      <x:c r="J308" s="9" t="str">
        <x:v>Exact training recreation — source episode 784</x:v>
      </x:c>
      <x:c r="K308" s="9"/>
      <x:c r="L308" s="9"/>
      <x:c r="M308" s="9"/>
      <x:c r="N308" s="9" t="str">
        <x:v>1 — In-distribution baselines</x:v>
      </x:c>
      <x:c r="O308" s="9" t="str">
        <x:v>Independently recreate the prompt and ordered object list from training episode 784; do not reuse the preceding baseline scene.</x:v>
      </x:c>
      <x:c r="P308" s="9" t="str">
        <x:v>Exact final prompt and complete left-to-right object order from explicit training episode 784: green highlighter | blue tape ball | yellow pen.</x:v>
      </x:c>
      <x:c r="Q308" s="9"/>
      <x:c r="R308" s="10" t="n">
        <x:v>3</x:v>
      </x:c>
      <x:c r="S308" s="10"/>
      <x:c r="T308" s="9"/>
      <x:c r="U308" s="9"/>
      <x:c r="V308" s="9"/>
      <x:c r="W308" s="9" t="str">
        <x:v>None — independent exact training recreation</x:v>
      </x:c>
      <x:c r="X308" s="10"/>
      <x:c r="Y308" s="10"/>
      <x:c r="Z308" s="9"/>
      <x:c r="AA308" s="9" t="str">
        <x:v>L3</x:v>
      </x:c>
      <x:c r="AB308" s="9" t="str">
        <x:v>third from left</x:v>
      </x:c>
      <x:c r="AC308" s="9"/>
      <x:c r="AD308" s="9"/>
      <x:c r="AE308" s="9"/>
      <x:c r="AF308" s="9"/>
      <x:c r="AG308" s="9"/>
      <x:c r="AH308" s="9"/>
      <x:c r="AI308" s="11"/>
      <x:c r="AJ308" s="9"/>
      <x:c r="AK308" s="9" t="str">
        <x:v>Eval_Ordinal_Reference_Ordering.xlsm</x:v>
      </x:c>
      <x:c r="AL308" s="9" t="str">
        <x:v>MolmoAct2 Results2</x:v>
      </x:c>
      <x:c r="AM308" s="9" t="n">
        <x:v>8</x:v>
      </x:c>
      <x:c r="AN308" s="9" t="n">
        <x:v>8</x:v>
      </x:c>
    </x:row>
    <x:row r="309">
      <x:c r="A309" s="9" t="str">
        <x:v>Success</x:v>
      </x:c>
      <x:c r="B309" s="9" t="str">
        <x:v>Ordinal Reference Ordering</x:v>
      </x:c>
      <x:c r="C309" s="10" t="n">
        <x:v>7</x:v>
      </x:c>
      <x:c r="D309" s="9" t="str">
        <x:v>Put the first object from the left in the bowl.</x:v>
      </x:c>
      <x:c r="E309" s="9" t="str">
        <x:v>L1: green highlighter, L2: airplane toy with propellers, L3: blue tape ball</x:v>
      </x:c>
      <x:c r="F309" s="9" t="str">
        <x:v>green highlighter</x:v>
      </x:c>
      <x:c r="G309" s="9"/>
      <x:c r="H309" s="9" t="str">
        <x:v>In-distribution concept baseline</x:v>
      </x:c>
      <x:c r="I309" s="9" t="str">
        <x:v>ID-EXACT08</x:v>
      </x:c>
      <x:c r="J309" s="9" t="str">
        <x:v>Exact training recreation — source episode 706</x:v>
      </x:c>
      <x:c r="K309" s="9"/>
      <x:c r="L309" s="9"/>
      <x:c r="M309" s="9"/>
      <x:c r="N309" s="9" t="str">
        <x:v>1 — In-distribution baselines</x:v>
      </x:c>
      <x:c r="O309" s="9" t="str">
        <x:v>Independently recreate the prompt and ordered object list from training episode 706; do not reuse the preceding baseline scene.</x:v>
      </x:c>
      <x:c r="P309" s="9" t="str">
        <x:v>Exact final prompt and complete left-to-right object order from explicit training episode 706: green highlighter | airplane toy with propellers | blue tape ball.</x:v>
      </x:c>
      <x:c r="Q309" s="9"/>
      <x:c r="R309" s="10" t="n">
        <x:v>3</x:v>
      </x:c>
      <x:c r="S309" s="10"/>
      <x:c r="T309" s="9"/>
      <x:c r="U309" s="9"/>
      <x:c r="V309" s="9"/>
      <x:c r="W309" s="9" t="str">
        <x:v>None — independent exact training recreation</x:v>
      </x:c>
      <x:c r="X309" s="10"/>
      <x:c r="Y309" s="10"/>
      <x:c r="Z309" s="9"/>
      <x:c r="AA309" s="9" t="str">
        <x:v>L1</x:v>
      </x:c>
      <x:c r="AB309" s="9" t="str">
        <x:v>first from left</x:v>
      </x:c>
      <x:c r="AC309" s="9"/>
      <x:c r="AD309" s="9"/>
      <x:c r="AE309" s="9"/>
      <x:c r="AF309" s="9"/>
      <x:c r="AG309" s="9"/>
      <x:c r="AH309" s="9"/>
      <x:c r="AI309" s="11"/>
      <x:c r="AJ309" s="9"/>
      <x:c r="AK309" s="9" t="str">
        <x:v>Eval_Ordinal_Reference_Ordering.xlsm</x:v>
      </x:c>
      <x:c r="AL309" s="9" t="str">
        <x:v>MolmoAct2 Results2</x:v>
      </x:c>
      <x:c r="AM309" s="9" t="n">
        <x:v>9</x:v>
      </x:c>
      <x:c r="AN309" s="9" t="n">
        <x:v>9</x:v>
      </x:c>
    </x:row>
    <x:row r="310">
      <x:c r="A310" s="9" t="str">
        <x:v>Failure</x:v>
      </x:c>
      <x:c r="B310" s="9" t="str">
        <x:v>Ordinal Reference Ordering</x:v>
      </x:c>
      <x:c r="C310" s="10" t="n">
        <x:v>8</x:v>
      </x:c>
      <x:c r="D310" s="9" t="str">
        <x:v>Put the fourth object from the right in the bowl.</x:v>
      </x:c>
      <x:c r="E310" s="9" t="str">
        <x:v>L1: blue tape ball, L2: green highlighter, L3: airplane toy with propellers, L4: yellow pen</x:v>
      </x:c>
      <x:c r="F310" s="9" t="str">
        <x:v>blue tape ball</x:v>
      </x:c>
      <x:c r="G310" s="9" t="str">
        <x:v>Picked green highlighter.</x:v>
      </x:c>
      <x:c r="H310" s="9" t="str">
        <x:v>In-distribution concept baseline</x:v>
      </x:c>
      <x:c r="I310" s="9" t="str">
        <x:v>ID-EXACT09</x:v>
      </x:c>
      <x:c r="J310" s="9" t="str">
        <x:v>Exact training recreation — source episode 652</x:v>
      </x:c>
      <x:c r="K310" s="9"/>
      <x:c r="L310" s="9"/>
      <x:c r="M310" s="9"/>
      <x:c r="N310" s="9" t="str">
        <x:v>1 — In-distribution baselines</x:v>
      </x:c>
      <x:c r="O310" s="9" t="str">
        <x:v>Independently recreate the prompt and ordered object list from training episode 652; do not reuse the preceding baseline scene.</x:v>
      </x:c>
      <x:c r="P310" s="9" t="str">
        <x:v>Exact final prompt and complete left-to-right object order from explicit training episode 652: blue tape ball | green highlighter | airplane toy with propellers | yellow pen.</x:v>
      </x:c>
      <x:c r="Q310" s="9"/>
      <x:c r="R310" s="10" t="n">
        <x:v>4</x:v>
      </x:c>
      <x:c r="S310" s="10"/>
      <x:c r="T310" s="9"/>
      <x:c r="U310" s="9"/>
      <x:c r="V310" s="9"/>
      <x:c r="W310" s="9" t="str">
        <x:v>None — independent exact training recreation</x:v>
      </x:c>
      <x:c r="X310" s="10"/>
      <x:c r="Y310" s="10"/>
      <x:c r="Z310" s="9"/>
      <x:c r="AA310" s="9" t="str">
        <x:v>L1</x:v>
      </x:c>
      <x:c r="AB310" s="9" t="str">
        <x:v>fourth from right</x:v>
      </x:c>
      <x:c r="AC310" s="9"/>
      <x:c r="AD310" s="9"/>
      <x:c r="AE310" s="9"/>
      <x:c r="AF310" s="9"/>
      <x:c r="AG310" s="9"/>
      <x:c r="AH310" s="9"/>
      <x:c r="AI310" s="11"/>
      <x:c r="AJ310" s="9"/>
      <x:c r="AK310" s="9" t="str">
        <x:v>Eval_Ordinal_Reference_Ordering.xlsm</x:v>
      </x:c>
      <x:c r="AL310" s="9" t="str">
        <x:v>MolmoAct2 Results2</x:v>
      </x:c>
      <x:c r="AM310" s="9" t="n">
        <x:v>10</x:v>
      </x:c>
      <x:c r="AN310" s="9" t="n">
        <x:v>10</x:v>
      </x:c>
    </x:row>
    <x:row r="311">
      <x:c r="A311" s="9" t="str">
        <x:v>Success</x:v>
      </x:c>
      <x:c r="B311" s="9" t="str">
        <x:v>Ordinal Reference Ordering</x:v>
      </x:c>
      <x:c r="C311" s="10" t="n">
        <x:v>9</x:v>
      </x:c>
      <x:c r="D311" s="9" t="str">
        <x:v>Put the second object from the left in the bowl.</x:v>
      </x:c>
      <x:c r="E311" s="9" t="str">
        <x:v>L1: blue tape ball, L2: airplane toy with propellers, L3: yellow pen, L4: green highlighter</x:v>
      </x:c>
      <x:c r="F311" s="9" t="str">
        <x:v>airplane toy with propellers</x:v>
      </x:c>
      <x:c r="G311" s="9"/>
      <x:c r="H311" s="9" t="str">
        <x:v>In-distribution concept baseline</x:v>
      </x:c>
      <x:c r="I311" s="9" t="str">
        <x:v>ID-EXACT10</x:v>
      </x:c>
      <x:c r="J311" s="9" t="str">
        <x:v>Exact training recreation — source episode 614</x:v>
      </x:c>
      <x:c r="K311" s="9"/>
      <x:c r="L311" s="9"/>
      <x:c r="M311" s="9"/>
      <x:c r="N311" s="9" t="str">
        <x:v>1 — In-distribution baselines</x:v>
      </x:c>
      <x:c r="O311" s="9" t="str">
        <x:v>Independently recreate the prompt and ordered object list from training episode 614; do not reuse the preceding baseline scene.</x:v>
      </x:c>
      <x:c r="P311" s="9" t="str">
        <x:v>Exact final prompt and complete left-to-right object order from explicit training episode 614: blue tape ball | airplane toy with propellers | yellow pen | green highlighter.</x:v>
      </x:c>
      <x:c r="Q311" s="9"/>
      <x:c r="R311" s="10" t="n">
        <x:v>4</x:v>
      </x:c>
      <x:c r="S311" s="10"/>
      <x:c r="T311" s="9"/>
      <x:c r="U311" s="9"/>
      <x:c r="V311" s="9"/>
      <x:c r="W311" s="9" t="str">
        <x:v>None — independent exact training recreation</x:v>
      </x:c>
      <x:c r="X311" s="10"/>
      <x:c r="Y311" s="10"/>
      <x:c r="Z311" s="9"/>
      <x:c r="AA311" s="9" t="str">
        <x:v>L2</x:v>
      </x:c>
      <x:c r="AB311" s="9" t="str">
        <x:v>second from left</x:v>
      </x:c>
      <x:c r="AC311" s="9"/>
      <x:c r="AD311" s="9"/>
      <x:c r="AE311" s="9"/>
      <x:c r="AF311" s="9"/>
      <x:c r="AG311" s="9"/>
      <x:c r="AH311" s="9"/>
      <x:c r="AI311" s="11"/>
      <x:c r="AJ311" s="9"/>
      <x:c r="AK311" s="9" t="str">
        <x:v>Eval_Ordinal_Reference_Ordering.xlsm</x:v>
      </x:c>
      <x:c r="AL311" s="9" t="str">
        <x:v>MolmoAct2 Results2</x:v>
      </x:c>
      <x:c r="AM311" s="9" t="n">
        <x:v>11</x:v>
      </x:c>
      <x:c r="AN311" s="9" t="n">
        <x:v>11</x:v>
      </x:c>
    </x:row>
    <x:row r="312">
      <x:c r="A312" s="9" t="str">
        <x:v>Success</x:v>
      </x:c>
      <x:c r="B312" s="9" t="str">
        <x:v>Ordinal Reference Ordering</x:v>
      </x:c>
      <x:c r="C312" s="10" t="n">
        <x:v>10</x:v>
      </x:c>
      <x:c r="D312" s="9" t="str">
        <x:v>Pick up the object that is second from the left and place it in the bowl.</x:v>
      </x:c>
      <x:c r="E312" s="9" t="str">
        <x:v>L1: blue tape ball, L2: yellow pen, L3: green highlighter, L4: airplane toy with propellers</x:v>
      </x:c>
      <x:c r="F312" s="9" t="str">
        <x:v>yellow pen</x:v>
      </x:c>
      <x:c r="G312" s="9"/>
      <x:c r="H312" s="9" t="str">
        <x:v>In-distribution concept baseline</x:v>
      </x:c>
      <x:c r="I312" s="9" t="str">
        <x:v>ID-EXACT11</x:v>
      </x:c>
      <x:c r="J312" s="9" t="str">
        <x:v>Exact training recreation — source episode 765</x:v>
      </x:c>
      <x:c r="K312" s="9"/>
      <x:c r="L312" s="9"/>
      <x:c r="M312" s="9"/>
      <x:c r="N312" s="9" t="str">
        <x:v>1 — In-distribution baselines</x:v>
      </x:c>
      <x:c r="O312" s="9" t="str">
        <x:v>Independently recreate the prompt and ordered object list from training episode 765; do not reuse the preceding baseline scene.</x:v>
      </x:c>
      <x:c r="P312" s="9" t="str">
        <x:v>Exact final prompt and complete left-to-right object order from explicit training episode 765: blue tape ball | yellow pen | green highlighter | airplane toy with propellers.</x:v>
      </x:c>
      <x:c r="Q312" s="9"/>
      <x:c r="R312" s="10" t="n">
        <x:v>4</x:v>
      </x:c>
      <x:c r="S312" s="10"/>
      <x:c r="T312" s="9"/>
      <x:c r="U312" s="9"/>
      <x:c r="V312" s="9"/>
      <x:c r="W312" s="9" t="str">
        <x:v>None — independent exact training recreation</x:v>
      </x:c>
      <x:c r="X312" s="10"/>
      <x:c r="Y312" s="10"/>
      <x:c r="Z312" s="9"/>
      <x:c r="AA312" s="9" t="str">
        <x:v>L2</x:v>
      </x:c>
      <x:c r="AB312" s="9" t="str">
        <x:v>second from left</x:v>
      </x:c>
      <x:c r="AC312" s="9"/>
      <x:c r="AD312" s="9"/>
      <x:c r="AE312" s="9"/>
      <x:c r="AF312" s="9"/>
      <x:c r="AG312" s="9"/>
      <x:c r="AH312" s="9"/>
      <x:c r="AI312" s="11"/>
      <x:c r="AJ312" s="9"/>
      <x:c r="AK312" s="9" t="str">
        <x:v>Eval_Ordinal_Reference_Ordering.xlsm</x:v>
      </x:c>
      <x:c r="AL312" s="9" t="str">
        <x:v>MolmoAct2 Results2</x:v>
      </x:c>
      <x:c r="AM312" s="9" t="n">
        <x:v>12</x:v>
      </x:c>
      <x:c r="AN312" s="9" t="n">
        <x:v>12</x:v>
      </x:c>
    </x:row>
    <x:row r="313">
      <x:c r="A313" s="9" t="str">
        <x:v>Failure</x:v>
      </x:c>
      <x:c r="B313" s="9" t="str">
        <x:v>Ordinal Reference Ordering</x:v>
      </x:c>
      <x:c r="C313" s="10" t="n">
        <x:v>11</x:v>
      </x:c>
      <x:c r="D313" s="9" t="str">
        <x:v>Pick up the object that is fourth from the right and place it in the bowl.</x:v>
      </x:c>
      <x:c r="E313" s="9" t="str">
        <x:v>L1: green highlighter, L2: airplane toy with propellers, L3: yellow pen, L4: blue tape ball</x:v>
      </x:c>
      <x:c r="F313" s="9" t="str">
        <x:v>green highlighter</x:v>
      </x:c>
      <x:c r="G313" s="9" t="str">
        <x:v>Picked airplane toy.</x:v>
      </x:c>
      <x:c r="H313" s="9" t="str">
        <x:v>In-distribution concept baseline</x:v>
      </x:c>
      <x:c r="I313" s="9" t="str">
        <x:v>ID-EXACT12</x:v>
      </x:c>
      <x:c r="J313" s="9" t="str">
        <x:v>Exact training recreation — source episode 701</x:v>
      </x:c>
      <x:c r="K313" s="9"/>
      <x:c r="L313" s="9"/>
      <x:c r="M313" s="9"/>
      <x:c r="N313" s="9" t="str">
        <x:v>1 — In-distribution baselines</x:v>
      </x:c>
      <x:c r="O313" s="9" t="str">
        <x:v>Independently recreate the prompt and ordered object list from training episode 701; do not reuse the preceding baseline scene.</x:v>
      </x:c>
      <x:c r="P313" s="9" t="str">
        <x:v>Exact final prompt and complete left-to-right object order from explicit training episode 701: green highlighter | airplane toy with propellers | yellow pen | blue tape ball.</x:v>
      </x:c>
      <x:c r="Q313" s="9"/>
      <x:c r="R313" s="10" t="n">
        <x:v>4</x:v>
      </x:c>
      <x:c r="S313" s="10"/>
      <x:c r="T313" s="9"/>
      <x:c r="U313" s="9"/>
      <x:c r="V313" s="9"/>
      <x:c r="W313" s="9" t="str">
        <x:v>None — independent exact training recreation</x:v>
      </x:c>
      <x:c r="X313" s="10"/>
      <x:c r="Y313" s="10"/>
      <x:c r="Z313" s="9"/>
      <x:c r="AA313" s="9" t="str">
        <x:v>L1</x:v>
      </x:c>
      <x:c r="AB313" s="9" t="str">
        <x:v>fourth from right</x:v>
      </x:c>
      <x:c r="AC313" s="9"/>
      <x:c r="AD313" s="9"/>
      <x:c r="AE313" s="9"/>
      <x:c r="AF313" s="9"/>
      <x:c r="AG313" s="9"/>
      <x:c r="AH313" s="9"/>
      <x:c r="AI313" s="11"/>
      <x:c r="AJ313" s="9"/>
      <x:c r="AK313" s="9" t="str">
        <x:v>Eval_Ordinal_Reference_Ordering.xlsm</x:v>
      </x:c>
      <x:c r="AL313" s="9" t="str">
        <x:v>MolmoAct2 Results2</x:v>
      </x:c>
      <x:c r="AM313" s="9" t="n">
        <x:v>13</x:v>
      </x:c>
      <x:c r="AN313" s="9" t="n">
        <x:v>13</x:v>
      </x:c>
    </x:row>
    <x:row r="314">
      <x:c r="A314" s="9" t="str">
        <x:v>Failure</x:v>
      </x:c>
      <x:c r="B314" s="9" t="str">
        <x:v>Ordinal Reference Ordering</x:v>
      </x:c>
      <x:c r="C314" s="10" t="n">
        <x:v>12</x:v>
      </x:c>
      <x:c r="D314" s="9" t="str">
        <x:v>Move the first item counted from the left into the bowl.</x:v>
      </x:c>
      <x:c r="E314" s="9" t="str">
        <x:v>L1: yellow pen, L2: airplane toy with propellers, L3: blue tape ball, L4: green highlighter</x:v>
      </x:c>
      <x:c r="F314" s="9" t="str">
        <x:v>yellow pen</x:v>
      </x:c>
      <x:c r="G314" s="9" t="str">
        <x:v>Went for airplane toy, failed to grab it and got the blue tape ball instead.</x:v>
      </x:c>
      <x:c r="H314" s="9" t="str">
        <x:v>In-distribution concept baseline</x:v>
      </x:c>
      <x:c r="I314" s="9" t="str">
        <x:v>ID-EXACT13</x:v>
      </x:c>
      <x:c r="J314" s="9" t="str">
        <x:v>Exact training recreation — source episode 750</x:v>
      </x:c>
      <x:c r="K314" s="9"/>
      <x:c r="L314" s="9"/>
      <x:c r="M314" s="9"/>
      <x:c r="N314" s="9" t="str">
        <x:v>1 — In-distribution baselines</x:v>
      </x:c>
      <x:c r="O314" s="9" t="str">
        <x:v>Independently recreate the prompt and ordered object list from training episode 750; do not reuse the preceding baseline scene.</x:v>
      </x:c>
      <x:c r="P314" s="9" t="str">
        <x:v>Exact final prompt and complete left-to-right object order from explicit training episode 750: yellow pen | airplane toy with propellers | blue tape ball | green highlighter.</x:v>
      </x:c>
      <x:c r="Q314" s="9"/>
      <x:c r="R314" s="10" t="n">
        <x:v>4</x:v>
      </x:c>
      <x:c r="S314" s="10"/>
      <x:c r="T314" s="9"/>
      <x:c r="U314" s="9"/>
      <x:c r="V314" s="9"/>
      <x:c r="W314" s="9" t="str">
        <x:v>None — independent exact training recreation</x:v>
      </x:c>
      <x:c r="X314" s="10"/>
      <x:c r="Y314" s="10"/>
      <x:c r="Z314" s="9"/>
      <x:c r="AA314" s="9" t="str">
        <x:v>L1</x:v>
      </x:c>
      <x:c r="AB314" s="9" t="str">
        <x:v>first from left</x:v>
      </x:c>
      <x:c r="AC314" s="9"/>
      <x:c r="AD314" s="9"/>
      <x:c r="AE314" s="9"/>
      <x:c r="AF314" s="9"/>
      <x:c r="AG314" s="9"/>
      <x:c r="AH314" s="9"/>
      <x:c r="AI314" s="11"/>
      <x:c r="AJ314" s="9"/>
      <x:c r="AK314" s="9" t="str">
        <x:v>Eval_Ordinal_Reference_Ordering.xlsm</x:v>
      </x:c>
      <x:c r="AL314" s="9" t="str">
        <x:v>MolmoAct2 Results2</x:v>
      </x:c>
      <x:c r="AM314" s="9" t="n">
        <x:v>14</x:v>
      </x:c>
      <x:c r="AN314" s="9" t="n">
        <x:v>14</x:v>
      </x:c>
    </x:row>
    <x:row r="315">
      <x:c r="A315" s="9" t="str">
        <x:v>Success</x:v>
      </x:c>
      <x:c r="B315" s="9" t="str">
        <x:v>Ordinal Reference Ordering</x:v>
      </x:c>
      <x:c r="C315" s="10" t="n">
        <x:v>13</x:v>
      </x:c>
      <x:c r="D315" s="9" t="str">
        <x:v>Move the third item counted from the right into the bowl.</x:v>
      </x:c>
      <x:c r="E315" s="9" t="str">
        <x:v>L1: blue tape ball, L2: green highlighter, L3: yellow pen, L4: airplane toy with propellers</x:v>
      </x:c>
      <x:c r="F315" s="9" t="str">
        <x:v>green highlighter</x:v>
      </x:c>
      <x:c r="G315" s="9"/>
      <x:c r="H315" s="9" t="str">
        <x:v>In-distribution concept baseline</x:v>
      </x:c>
      <x:c r="I315" s="9" t="str">
        <x:v>ID-EXACT14</x:v>
      </x:c>
      <x:c r="J315" s="9" t="str">
        <x:v>Exact training recreation — source episode 716</x:v>
      </x:c>
      <x:c r="K315" s="9"/>
      <x:c r="L315" s="9"/>
      <x:c r="M315" s="9"/>
      <x:c r="N315" s="9" t="str">
        <x:v>1 — In-distribution baselines</x:v>
      </x:c>
      <x:c r="O315" s="9" t="str">
        <x:v>Independently recreate the prompt and ordered object list from training episode 716; do not reuse the preceding baseline scene.</x:v>
      </x:c>
      <x:c r="P315" s="9" t="str">
        <x:v>Exact final prompt and complete left-to-right object order from explicit training episode 716: blue tape ball | green highlighter | yellow pen | airplane toy with propellers.</x:v>
      </x:c>
      <x:c r="Q315" s="9"/>
      <x:c r="R315" s="10" t="n">
        <x:v>4</x:v>
      </x:c>
      <x:c r="S315" s="10"/>
      <x:c r="T315" s="9"/>
      <x:c r="U315" s="9"/>
      <x:c r="V315" s="9"/>
      <x:c r="W315" s="9" t="str">
        <x:v>None — independent exact training recreation</x:v>
      </x:c>
      <x:c r="X315" s="10"/>
      <x:c r="Y315" s="10"/>
      <x:c r="Z315" s="9"/>
      <x:c r="AA315" s="9" t="str">
        <x:v>L2</x:v>
      </x:c>
      <x:c r="AB315" s="9" t="str">
        <x:v>third from right</x:v>
      </x:c>
      <x:c r="AC315" s="9"/>
      <x:c r="AD315" s="9"/>
      <x:c r="AE315" s="9"/>
      <x:c r="AF315" s="9"/>
      <x:c r="AG315" s="9"/>
      <x:c r="AH315" s="9"/>
      <x:c r="AI315" s="11"/>
      <x:c r="AJ315" s="9"/>
      <x:c r="AK315" s="9" t="str">
        <x:v>Eval_Ordinal_Reference_Ordering.xlsm</x:v>
      </x:c>
      <x:c r="AL315" s="9" t="str">
        <x:v>MolmoAct2 Results2</x:v>
      </x:c>
      <x:c r="AM315" s="9" t="n">
        <x:v>15</x:v>
      </x:c>
      <x:c r="AN315" s="9" t="n">
        <x:v>15</x:v>
      </x:c>
    </x:row>
    <x:row r="316">
      <x:c r="A316" s="9" t="str">
        <x:v>Failure</x:v>
      </x:c>
      <x:c r="B316" s="9" t="str">
        <x:v>Ordinal Reference Ordering</x:v>
      </x:c>
      <x:c r="C316" s="10" t="n">
        <x:v>14</x:v>
      </x:c>
      <x:c r="D316" s="9" t="str">
        <x:v>Move the fourth from the left object into the bowl.</x:v>
      </x:c>
      <x:c r="E316" s="9" t="str">
        <x:v>L1: airplane toy with propellers, L2: blue tape ball, L3: yellow pen, L4: green highlighter</x:v>
      </x:c>
      <x:c r="F316" s="9" t="str">
        <x:v>green highlighter</x:v>
      </x:c>
      <x:c r="G316" s="9"/>
      <x:c r="H316" s="9" t="str">
        <x:v>In-distribution concept baseline</x:v>
      </x:c>
      <x:c r="I316" s="9" t="str">
        <x:v>ID-EXACT15</x:v>
      </x:c>
      <x:c r="J316" s="9" t="str">
        <x:v>Exact training recreation — source episode 738</x:v>
      </x:c>
      <x:c r="K316" s="9"/>
      <x:c r="L316" s="9"/>
      <x:c r="M316" s="9"/>
      <x:c r="N316" s="9" t="str">
        <x:v>1 — In-distribution baselines</x:v>
      </x:c>
      <x:c r="O316" s="9" t="str">
        <x:v>Independently recreate the prompt and ordered object list from training episode 738; do not reuse the preceding baseline scene.</x:v>
      </x:c>
      <x:c r="P316" s="9" t="str">
        <x:v>Exact final prompt and complete left-to-right object order from explicit training episode 738: airplane toy with propellers | blue tape ball | yellow pen | green highlighter.</x:v>
      </x:c>
      <x:c r="Q316" s="9"/>
      <x:c r="R316" s="10" t="n">
        <x:v>4</x:v>
      </x:c>
      <x:c r="S316" s="10"/>
      <x:c r="T316" s="9"/>
      <x:c r="U316" s="9"/>
      <x:c r="V316" s="9"/>
      <x:c r="W316" s="9" t="str">
        <x:v>None — independent exact training recreation</x:v>
      </x:c>
      <x:c r="X316" s="10"/>
      <x:c r="Y316" s="10"/>
      <x:c r="Z316" s="9"/>
      <x:c r="AA316" s="9" t="str">
        <x:v>L4</x:v>
      </x:c>
      <x:c r="AB316" s="9" t="str">
        <x:v>fourth from left</x:v>
      </x:c>
      <x:c r="AC316" s="9"/>
      <x:c r="AD316" s="9"/>
      <x:c r="AE316" s="9"/>
      <x:c r="AF316" s="9"/>
      <x:c r="AG316" s="9"/>
      <x:c r="AH316" s="9"/>
      <x:c r="AI316" s="11"/>
      <x:c r="AJ316" s="9"/>
      <x:c r="AK316" s="9" t="str">
        <x:v>Eval_Ordinal_Reference_Ordering.xlsm</x:v>
      </x:c>
      <x:c r="AL316" s="9" t="str">
        <x:v>MolmoAct2 Results2</x:v>
      </x:c>
      <x:c r="AM316" s="9" t="n">
        <x:v>16</x:v>
      </x:c>
      <x:c r="AN316" s="9" t="n">
        <x:v>16</x:v>
      </x:c>
    </x:row>
    <x:row r="317">
      <x:c r="A317" s="9" t="str">
        <x:v>Success</x:v>
      </x:c>
      <x:c r="B317" s="9" t="str">
        <x:v>Ordinal Reference Ordering</x:v>
      </x:c>
      <x:c r="C317" s="10" t="n">
        <x:v>15</x:v>
      </x:c>
      <x:c r="D317" s="9" t="str">
        <x:v>Move the second from the right object into the bowl.</x:v>
      </x:c>
      <x:c r="E317" s="9" t="str">
        <x:v>L1: green highlighter, L2: blue tape ball, L3: airplane toy with propellers, L4: yellow pen</x:v>
      </x:c>
      <x:c r="F317" s="9" t="str">
        <x:v>airplane toy with propellers</x:v>
      </x:c>
      <x:c r="G317" s="9"/>
      <x:c r="H317" s="9" t="str">
        <x:v>In-distribution concept baseline</x:v>
      </x:c>
      <x:c r="I317" s="9" t="str">
        <x:v>ID-EXACT16</x:v>
      </x:c>
      <x:c r="J317" s="9" t="str">
        <x:v>Exact training recreation — source episode 627</x:v>
      </x:c>
      <x:c r="K317" s="9"/>
      <x:c r="L317" s="9"/>
      <x:c r="M317" s="9"/>
      <x:c r="N317" s="9" t="str">
        <x:v>1 — In-distribution baselines</x:v>
      </x:c>
      <x:c r="O317" s="9" t="str">
        <x:v>Independently recreate the prompt and ordered object list from training episode 627; do not reuse the preceding baseline scene.</x:v>
      </x:c>
      <x:c r="P317" s="9" t="str">
        <x:v>Exact final prompt and complete left-to-right object order from explicit training episode 627: green highlighter | blue tape ball | airplane toy with propellers | yellow pen.</x:v>
      </x:c>
      <x:c r="Q317" s="9"/>
      <x:c r="R317" s="10" t="n">
        <x:v>4</x:v>
      </x:c>
      <x:c r="S317" s="10"/>
      <x:c r="T317" s="9"/>
      <x:c r="U317" s="9"/>
      <x:c r="V317" s="9"/>
      <x:c r="W317" s="9" t="str">
        <x:v>None — independent exact training recreation</x:v>
      </x:c>
      <x:c r="X317" s="10"/>
      <x:c r="Y317" s="10"/>
      <x:c r="Z317" s="9"/>
      <x:c r="AA317" s="9" t="str">
        <x:v>L3</x:v>
      </x:c>
      <x:c r="AB317" s="9" t="str">
        <x:v>second from right</x:v>
      </x:c>
      <x:c r="AC317" s="9"/>
      <x:c r="AD317" s="9"/>
      <x:c r="AE317" s="9"/>
      <x:c r="AF317" s="9"/>
      <x:c r="AG317" s="9"/>
      <x:c r="AH317" s="9"/>
      <x:c r="AI317" s="11"/>
      <x:c r="AJ317" s="9"/>
      <x:c r="AK317" s="9" t="str">
        <x:v>Eval_Ordinal_Reference_Ordering.xlsm</x:v>
      </x:c>
      <x:c r="AL317" s="9" t="str">
        <x:v>MolmoAct2 Results2</x:v>
      </x:c>
      <x:c r="AM317" s="9" t="n">
        <x:v>17</x:v>
      </x:c>
      <x:c r="AN317" s="9" t="n">
        <x:v>17</x:v>
      </x:c>
    </x:row>
    <x:row r="318">
      <x:c r="A318" s="9" t="str">
        <x:v>Failure</x:v>
      </x:c>
      <x:c r="B318" s="9" t="str">
        <x:v>Ordinal Reference Ordering</x:v>
      </x:c>
      <x:c r="C318" s="10" t="n">
        <x:v>16</x:v>
      </x:c>
      <x:c r="D318" s="9" t="str">
        <x:v>Move the third from the left object into the bowl.</x:v>
      </x:c>
      <x:c r="E318" s="9" t="str">
        <x:v>L1: green highlighter, L2: blue tape ball, L3: yellow pen, L4: airplane toy with propellers</x:v>
      </x:c>
      <x:c r="F318" s="9" t="str">
        <x:v>yellow pen</x:v>
      </x:c>
      <x:c r="G318" s="9" t="str">
        <x:v>Picked airplane toy</x:v>
      </x:c>
      <x:c r="H318" s="9" t="str">
        <x:v>In-distribution concept baseline</x:v>
      </x:c>
      <x:c r="I318" s="9" t="str">
        <x:v>ID-EXACT17</x:v>
      </x:c>
      <x:c r="J318" s="9" t="str">
        <x:v>Exact training recreation — source episode 786</x:v>
      </x:c>
      <x:c r="K318" s="9"/>
      <x:c r="L318" s="9"/>
      <x:c r="M318" s="9"/>
      <x:c r="N318" s="9" t="str">
        <x:v>1 — In-distribution baselines</x:v>
      </x:c>
      <x:c r="O318" s="9" t="str">
        <x:v>Independently recreate the prompt and ordered object list from training episode 786; do not reuse the preceding baseline scene.</x:v>
      </x:c>
      <x:c r="P318" s="9" t="str">
        <x:v>Exact final prompt and complete left-to-right object order from explicit training episode 786: green highlighter | blue tape ball | yellow pen | airplane toy with propellers.</x:v>
      </x:c>
      <x:c r="Q318" s="9"/>
      <x:c r="R318" s="10" t="n">
        <x:v>4</x:v>
      </x:c>
      <x:c r="S318" s="10"/>
      <x:c r="T318" s="9"/>
      <x:c r="U318" s="9"/>
      <x:c r="V318" s="9"/>
      <x:c r="W318" s="9" t="str">
        <x:v>None — independent exact training recreation</x:v>
      </x:c>
      <x:c r="X318" s="10"/>
      <x:c r="Y318" s="10"/>
      <x:c r="Z318" s="9"/>
      <x:c r="AA318" s="9" t="str">
        <x:v>L3</x:v>
      </x:c>
      <x:c r="AB318" s="9" t="str">
        <x:v>third from left</x:v>
      </x:c>
      <x:c r="AC318" s="9"/>
      <x:c r="AD318" s="9"/>
      <x:c r="AE318" s="9"/>
      <x:c r="AF318" s="9"/>
      <x:c r="AG318" s="9"/>
      <x:c r="AH318" s="9"/>
      <x:c r="AI318" s="11"/>
      <x:c r="AJ318" s="9"/>
      <x:c r="AK318" s="9" t="str">
        <x:v>Eval_Ordinal_Reference_Ordering.xlsm</x:v>
      </x:c>
      <x:c r="AL318" s="9" t="str">
        <x:v>MolmoAct2 Results2</x:v>
      </x:c>
      <x:c r="AM318" s="9" t="n">
        <x:v>18</x:v>
      </x:c>
      <x:c r="AN318" s="9" t="n">
        <x:v>18</x:v>
      </x:c>
    </x:row>
    <x:row r="319">
      <x:c r="A319" s="9" t="str">
        <x:v>Success</x:v>
      </x:c>
      <x:c r="B319" s="9" t="str">
        <x:v>Ordinal Reference Ordering</x:v>
      </x:c>
      <x:c r="C319" s="10" t="n">
        <x:v>17</x:v>
      </x:c>
      <x:c r="D319" s="9" t="str">
        <x:v>Move the first from the right object into the bowl.</x:v>
      </x:c>
      <x:c r="E319" s="9" t="str">
        <x:v>L1: airplane toy with propellers, L2: green highlighter, L3: yellow pen, L4: blue tape ball</x:v>
      </x:c>
      <x:c r="F319" s="9" t="str">
        <x:v>blue tape ball</x:v>
      </x:c>
      <x:c r="G319" s="9"/>
      <x:c r="H319" s="9" t="str">
        <x:v>In-distribution concept baseline</x:v>
      </x:c>
      <x:c r="I319" s="9" t="str">
        <x:v>ID-EXACT18</x:v>
      </x:c>
      <x:c r="J319" s="9" t="str">
        <x:v>Exact training recreation — source episode 687</x:v>
      </x:c>
      <x:c r="K319" s="9"/>
      <x:c r="L319" s="9"/>
      <x:c r="M319" s="9"/>
      <x:c r="N319" s="9" t="str">
        <x:v>1 — In-distribution baselines</x:v>
      </x:c>
      <x:c r="O319" s="9" t="str">
        <x:v>Independently recreate the prompt and ordered object list from training episode 687; do not reuse the preceding baseline scene.</x:v>
      </x:c>
      <x:c r="P319" s="9" t="str">
        <x:v>Exact final prompt and complete left-to-right object order from explicit training episode 687: airplane toy with propellers | green highlighter | yellow pen | blue tape ball.</x:v>
      </x:c>
      <x:c r="Q319" s="9"/>
      <x:c r="R319" s="10" t="n">
        <x:v>4</x:v>
      </x:c>
      <x:c r="S319" s="10"/>
      <x:c r="T319" s="9"/>
      <x:c r="U319" s="9"/>
      <x:c r="V319" s="9"/>
      <x:c r="W319" s="9" t="str">
        <x:v>None — independent exact training recreation</x:v>
      </x:c>
      <x:c r="X319" s="10"/>
      <x:c r="Y319" s="10"/>
      <x:c r="Z319" s="9"/>
      <x:c r="AA319" s="9" t="str">
        <x:v>L4</x:v>
      </x:c>
      <x:c r="AB319" s="9" t="str">
        <x:v>first from right</x:v>
      </x:c>
      <x:c r="AC319" s="9"/>
      <x:c r="AD319" s="9"/>
      <x:c r="AE319" s="9"/>
      <x:c r="AF319" s="9"/>
      <x:c r="AG319" s="9"/>
      <x:c r="AH319" s="9"/>
      <x:c r="AI319" s="11"/>
      <x:c r="AJ319" s="9"/>
      <x:c r="AK319" s="9" t="str">
        <x:v>Eval_Ordinal_Reference_Ordering.xlsm</x:v>
      </x:c>
      <x:c r="AL319" s="9" t="str">
        <x:v>MolmoAct2 Results2</x:v>
      </x:c>
      <x:c r="AM319" s="9" t="n">
        <x:v>19</x:v>
      </x:c>
      <x:c r="AN319" s="9" t="n">
        <x:v>19</x:v>
      </x:c>
    </x:row>
    <x:row r="320">
      <x:c r="A320" s="9" t="str">
        <x:v>Failure</x:v>
      </x:c>
      <x:c r="B320" s="9" t="str">
        <x:v>Ordinal Reference Ordering</x:v>
      </x:c>
      <x:c r="C320" s="10" t="n">
        <x:v>18</x:v>
      </x:c>
      <x:c r="D320" s="9" t="str">
        <x:v>Pick up the object that is first from the right and place it in the bowl.</x:v>
      </x:c>
      <x:c r="E320" s="9" t="str">
        <x:v>L1: green highlighter, L2: airplane toy with propellers, L3: yellow pen, L4: blue tape ball</x:v>
      </x:c>
      <x:c r="F320" s="9" t="str">
        <x:v>blue tape ball</x:v>
      </x:c>
      <x:c r="G320" s="9" t="str">
        <x:v>Picked green highlighter</x:v>
      </x:c>
      <x:c r="H320" s="9" t="str">
        <x:v>In-distribution concept baseline</x:v>
      </x:c>
      <x:c r="I320" s="9" t="str">
        <x:v>ID-EXACT19</x:v>
      </x:c>
      <x:c r="J320" s="9" t="str">
        <x:v>Exact training recreation — source episode 689</x:v>
      </x:c>
      <x:c r="K320" s="9"/>
      <x:c r="L320" s="9"/>
      <x:c r="M320" s="9"/>
      <x:c r="N320" s="9" t="str">
        <x:v>1 — In-distribution baselines</x:v>
      </x:c>
      <x:c r="O320" s="9" t="str">
        <x:v>Independently recreate the prompt and ordered object list from training episode 689; do not reuse the preceding baseline scene.</x:v>
      </x:c>
      <x:c r="P320" s="9" t="str">
        <x:v>Exact final prompt and complete left-to-right object order from explicit training episode 689: green highlighter | airplane toy with propellers | yellow pen | blue tape ball.</x:v>
      </x:c>
      <x:c r="Q320" s="9"/>
      <x:c r="R320" s="10" t="n">
        <x:v>4</x:v>
      </x:c>
      <x:c r="S320" s="10"/>
      <x:c r="T320" s="9"/>
      <x:c r="U320" s="9"/>
      <x:c r="V320" s="9"/>
      <x:c r="W320" s="9" t="str">
        <x:v>None — independent exact training recreation</x:v>
      </x:c>
      <x:c r="X320" s="10"/>
      <x:c r="Y320" s="10"/>
      <x:c r="Z320" s="9"/>
      <x:c r="AA320" s="9" t="str">
        <x:v>L4</x:v>
      </x:c>
      <x:c r="AB320" s="9" t="str">
        <x:v>first from right</x:v>
      </x:c>
      <x:c r="AC320" s="9"/>
      <x:c r="AD320" s="9"/>
      <x:c r="AE320" s="9"/>
      <x:c r="AF320" s="9"/>
      <x:c r="AG320" s="9"/>
      <x:c r="AH320" s="9"/>
      <x:c r="AI320" s="11"/>
      <x:c r="AJ320" s="9"/>
      <x:c r="AK320" s="9" t="str">
        <x:v>Eval_Ordinal_Reference_Ordering.xlsm</x:v>
      </x:c>
      <x:c r="AL320" s="9" t="str">
        <x:v>MolmoAct2 Results2</x:v>
      </x:c>
      <x:c r="AM320" s="9" t="n">
        <x:v>20</x:v>
      </x:c>
      <x:c r="AN320" s="9" t="n">
        <x:v>20</x:v>
      </x:c>
    </x:row>
    <x:row r="321">
      <x:c r="A321" s="9" t="str">
        <x:v>Success</x:v>
      </x:c>
      <x:c r="B321" s="9" t="str">
        <x:v>Ordinal Reference Ordering</x:v>
      </x:c>
      <x:c r="C321" s="10" t="n">
        <x:v>19</x:v>
      </x:c>
      <x:c r="D321" s="9" t="str">
        <x:v>Pick up the object that is third from the left and place it in the bowl.</x:v>
      </x:c>
      <x:c r="E321" s="9" t="str">
        <x:v>L1: blue tape ball, L2: yellow pen, L3: airplane toy with propellers, L4: green highlighter</x:v>
      </x:c>
      <x:c r="F321" s="9" t="str">
        <x:v>airplane toy with propellers</x:v>
      </x:c>
      <x:c r="G321" s="9"/>
      <x:c r="H321" s="9" t="str">
        <x:v>In-distribution concept baseline</x:v>
      </x:c>
      <x:c r="I321" s="9" t="str">
        <x:v>ID-EXACT20</x:v>
      </x:c>
      <x:c r="J321" s="9" t="str">
        <x:v>Exact training recreation — source episode 626</x:v>
      </x:c>
      <x:c r="K321" s="9"/>
      <x:c r="L321" s="9"/>
      <x:c r="M321" s="9"/>
      <x:c r="N321" s="9" t="str">
        <x:v>1 — In-distribution baselines</x:v>
      </x:c>
      <x:c r="O321" s="9" t="str">
        <x:v>Independently recreate the prompt and ordered object list from training episode 626; do not reuse the preceding baseline scene.</x:v>
      </x:c>
      <x:c r="P321" s="9" t="str">
        <x:v>Exact final prompt and complete left-to-right object order from explicit training episode 626: blue tape ball | yellow pen | airplane toy with propellers | green highlighter.</x:v>
      </x:c>
      <x:c r="Q321" s="9"/>
      <x:c r="R321" s="10" t="n">
        <x:v>4</x:v>
      </x:c>
      <x:c r="S321" s="10"/>
      <x:c r="T321" s="9"/>
      <x:c r="U321" s="9"/>
      <x:c r="V321" s="9"/>
      <x:c r="W321" s="9" t="str">
        <x:v>None — independent exact training recreation</x:v>
      </x:c>
      <x:c r="X321" s="10"/>
      <x:c r="Y321" s="10"/>
      <x:c r="Z321" s="9"/>
      <x:c r="AA321" s="9" t="str">
        <x:v>L3</x:v>
      </x:c>
      <x:c r="AB321" s="9" t="str">
        <x:v>third from left</x:v>
      </x:c>
      <x:c r="AC321" s="9"/>
      <x:c r="AD321" s="9"/>
      <x:c r="AE321" s="9"/>
      <x:c r="AF321" s="9"/>
      <x:c r="AG321" s="9"/>
      <x:c r="AH321" s="9"/>
      <x:c r="AI321" s="11"/>
      <x:c r="AJ321" s="9"/>
      <x:c r="AK321" s="9" t="str">
        <x:v>Eval_Ordinal_Reference_Ordering.xlsm</x:v>
      </x:c>
      <x:c r="AL321" s="9" t="str">
        <x:v>MolmoAct2 Results2</x:v>
      </x:c>
      <x:c r="AM321" s="9" t="n">
        <x:v>21</x:v>
      </x:c>
      <x:c r="AN321" s="9" t="n">
        <x:v>21</x:v>
      </x:c>
    </x:row>
    <x:row r="322">
      <x:c r="A322" s="9" t="str">
        <x:v>Failure</x:v>
      </x:c>
      <x:c r="B322" s="9" t="str">
        <x:v>Ordinal Reference Ordering</x:v>
      </x:c>
      <x:c r="C322" s="10" t="n">
        <x:v>20</x:v>
      </x:c>
      <x:c r="D322" s="9" t="str">
        <x:v>Pick up the object that is first from the left and place it in the bowl.</x:v>
      </x:c>
      <x:c r="E322" s="9" t="str">
        <x:v>L1: airplane toy with propellers, L2: blue tape ball</x:v>
      </x:c>
      <x:c r="F322" s="9" t="str">
        <x:v>airplane toy with propellers</x:v>
      </x:c>
      <x:c r="G322" s="9" t="str">
        <x:v>Picked blue tape ball</x:v>
      </x:c>
      <x:c r="H322" s="9" t="str">
        <x:v>Concept/compositional transfer</x:v>
      </x:c>
      <x:c r="I322" s="9" t="str">
        <x:v>CT-CF01-N2-01</x:v>
      </x:c>
      <x:c r="J322" s="9" t="str">
        <x:v>Masked cell n=2, L1, airplane toy with propellers</x:v>
      </x:c>
      <x:c r="K322" s="9"/>
      <x:c r="L322" s="9"/>
      <x:c r="M322" s="9"/>
      <x:c r="N322" s="9" t="str">
        <x:v>2 — Full transfer/control/language families</x:v>
      </x:c>
      <x:c r="O322" s="9" t="str">
        <x:v>Build this new scene family exactly from the L1–L4 description and save a first-frame reference image.</x:v>
      </x:c>
      <x:c r="P322" s="9" t="str">
        <x:v>The final manifest masks this exact sequence-length × physical-position × target-identity cell. Both equivalent left- and right-based descriptions are absent for this cell, while the canonical instruction wording occurs elsewhere in training.</x:v>
      </x:c>
      <x:c r="Q322" s="9"/>
      <x:c r="R322" s="10" t="n">
        <x:v>2</x:v>
      </x:c>
      <x:c r="S322" s="10"/>
      <x:c r="T322" s="9"/>
      <x:c r="U322" s="9"/>
      <x:c r="V322" s="9"/>
      <x:c r="W322" s="9" t="str">
        <x:v>CT-CF01-N2-01</x:v>
      </x:c>
      <x:c r="X322" s="10"/>
      <x:c r="Y322" s="10"/>
      <x:c r="Z322" s="9"/>
      <x:c r="AA322" s="9" t="str">
        <x:v>L1</x:v>
      </x:c>
      <x:c r="AB322" s="9" t="str">
        <x:v>first from left</x:v>
      </x:c>
      <x:c r="AC322" s="9"/>
      <x:c r="AD322" s="9"/>
      <x:c r="AE322" s="9"/>
      <x:c r="AF322" s="9"/>
      <x:c r="AG322" s="9"/>
      <x:c r="AH322" s="9"/>
      <x:c r="AI322" s="11"/>
      <x:c r="AJ322" s="9"/>
      <x:c r="AK322" s="9" t="str">
        <x:v>Eval_Ordinal_Reference_Ordering.xlsm</x:v>
      </x:c>
      <x:c r="AL322" s="9" t="str">
        <x:v>MolmoAct2 Results2</x:v>
      </x:c>
      <x:c r="AM322" s="9" t="n">
        <x:v>22</x:v>
      </x:c>
      <x:c r="AN322" s="9" t="n">
        <x:v>22</x:v>
      </x:c>
    </x:row>
    <x:row r="323">
      <x:c r="A323" s="9" t="str">
        <x:v>Success</x:v>
      </x:c>
      <x:c r="B323" s="9" t="str">
        <x:v>Ordinal Reference Ordering</x:v>
      </x:c>
      <x:c r="C323" s="10" t="n">
        <x:v>21</x:v>
      </x:c>
      <x:c r="D323" s="9" t="str">
        <x:v>Pick up the airplane toy with propellers and place it in the bowl.</x:v>
      </x:c>
      <x:c r="E323" s="9" t="str">
        <x:v>L1: airplane toy with propellers, L2: blue tape ball</x:v>
      </x:c>
      <x:c r="F323" s="9" t="str">
        <x:v>airplane toy with propellers</x:v>
      </x:c>
      <x:c r="G323" s="9"/>
      <x:c r="H323" s="9" t="str">
        <x:v>Matched manipulation control</x:v>
      </x:c>
      <x:c r="I323" s="9" t="str">
        <x:v>CT-CF01-N2-01</x:v>
      </x:c>
      <x:c r="J323" s="9" t="str">
        <x:v>Exact-scene direct control; training prompt from episode 608</x:v>
      </x:c>
      <x:c r="K323" s="9" t="n">
        <x:v>20</x:v>
      </x:c>
      <x:c r="L323" s="9"/>
      <x:c r="M323" s="9"/>
      <x:c r="N323" s="9" t="str">
        <x:v>2 — Full transfer/control/language families</x:v>
      </x:c>
      <x:c r="O323" s="9" t="str">
        <x:v>Return the previously moved object to its marked position. Do not move any other object; only the prompt changes.</x:v>
      </x:c>
      <x:c r="P323" s="9" t="str">
        <x:v>This is the direct-name prompt assigned to the same masked training cell. It tests recognition and manipulation of the exact transfer target in the exact scene without requiring ordinal selection.</x:v>
      </x:c>
      <x:c r="Q323" s="9"/>
      <x:c r="R323" s="10" t="n">
        <x:v>2</x:v>
      </x:c>
      <x:c r="S323" s="10"/>
      <x:c r="T323" s="9"/>
      <x:c r="U323" s="9"/>
      <x:c r="V323" s="9"/>
      <x:c r="W323" s="9" t="str">
        <x:v>CT-CF01-N2-01</x:v>
      </x:c>
      <x:c r="X323" s="10"/>
      <x:c r="Y323" s="10"/>
      <x:c r="Z323" s="9"/>
      <x:c r="AA323" s="9" t="str">
        <x:v>L1</x:v>
      </x:c>
      <x:c r="AB323" s="9" t="str">
        <x:v>Direct-name control</x:v>
      </x:c>
      <x:c r="AC323" s="9"/>
      <x:c r="AD323" s="9"/>
      <x:c r="AE323" s="9"/>
      <x:c r="AF323" s="9"/>
      <x:c r="AG323" s="9"/>
      <x:c r="AH323" s="9"/>
      <x:c r="AI323" s="11"/>
      <x:c r="AJ323" s="9"/>
      <x:c r="AK323" s="9" t="str">
        <x:v>Eval_Ordinal_Reference_Ordering.xlsm</x:v>
      </x:c>
      <x:c r="AL323" s="9" t="str">
        <x:v>MolmoAct2 Results2</x:v>
      </x:c>
      <x:c r="AM323" s="9" t="n">
        <x:v>23</x:v>
      </x:c>
      <x:c r="AN323" s="9" t="n">
        <x:v>23</x:v>
      </x:c>
    </x:row>
    <x:row r="324">
      <x:c r="A324" s="9" t="str">
        <x:v>Failure</x:v>
      </x:c>
      <x:c r="B324" s="9" t="str">
        <x:v>Ordinal Reference Ordering</x:v>
      </x:c>
      <x:c r="C324" s="10" t="n">
        <x:v>22</x:v>
      </x:c>
      <x:c r="D324" s="9" t="str">
        <x:v>Place the item occupying position first when counted from the left into the bowl.</x:v>
      </x:c>
      <x:c r="E324" s="9" t="str">
        <x:v>L1: airplane toy with propellers, L2: blue tape ball</x:v>
      </x:c>
      <x:c r="F324" s="9" t="str">
        <x:v>airplane toy with propellers</x:v>
      </x:c>
      <x:c r="G324" s="9" t="str">
        <x:v>Picked blue tape ball</x:v>
      </x:c>
      <x:c r="H324" s="9" t="str">
        <x:v>Language robustness</x:v>
      </x:c>
      <x:c r="I324" s="9" t="str">
        <x:v>CT-CF01-N2-01</x:v>
      </x:c>
      <x:c r="J324" s="9" t="str">
        <x:v>Transfer paraphrase</x:v>
      </x:c>
      <x:c r="K324" s="9" t="n">
        <x:v>20</x:v>
      </x:c>
      <x:c r="L324" s="9"/>
      <x:c r="M324" s="9"/>
      <x:c r="N324" s="9" t="str">
        <x:v>2 — Full transfer/control/language families</x:v>
      </x:c>
      <x:c r="O324" s="9" t="str">
        <x:v>Return the previously moved object to its marked position. Do not move any other object; only the prompt changes.</x:v>
      </x:c>
      <x:c r="P324" s="9" t="str">
        <x:v>Exact-scene paraphrase of the referenced canonical transfer row. Exclude this row from the 50-trial primary canonical score.</x:v>
      </x:c>
      <x:c r="Q324" s="9"/>
      <x:c r="R324" s="10" t="n">
        <x:v>2</x:v>
      </x:c>
      <x:c r="S324" s="10"/>
      <x:c r="T324" s="9"/>
      <x:c r="U324" s="9"/>
      <x:c r="V324" s="9"/>
      <x:c r="W324" s="9" t="str">
        <x:v>CT-CF01-N2-01</x:v>
      </x:c>
      <x:c r="X324" s="10"/>
      <x:c r="Y324" s="10"/>
      <x:c r="Z324" s="9"/>
      <x:c r="AA324" s="9" t="str">
        <x:v>L1</x:v>
      </x:c>
      <x:c r="AB324" s="9" t="str">
        <x:v>first from left — paraphrase</x:v>
      </x:c>
      <x:c r="AC324" s="9"/>
      <x:c r="AD324" s="9"/>
      <x:c r="AE324" s="9"/>
      <x:c r="AF324" s="9"/>
      <x:c r="AG324" s="9"/>
      <x:c r="AH324" s="9"/>
      <x:c r="AI324" s="11"/>
      <x:c r="AJ324" s="9"/>
      <x:c r="AK324" s="9" t="str">
        <x:v>Eval_Ordinal_Reference_Ordering.xlsm</x:v>
      </x:c>
      <x:c r="AL324" s="9" t="str">
        <x:v>MolmoAct2 Results2</x:v>
      </x:c>
      <x:c r="AM324" s="9" t="n">
        <x:v>24</x:v>
      </x:c>
      <x:c r="AN324" s="9" t="n">
        <x:v>24</x:v>
      </x:c>
    </x:row>
    <x:row r="325">
      <x:c r="A325" s="9" t="str">
        <x:v>Success</x:v>
      </x:c>
      <x:c r="B325" s="9" t="str">
        <x:v>Ordinal Reference Ordering</x:v>
      </x:c>
      <x:c r="C325" s="10" t="n">
        <x:v>23</x:v>
      </x:c>
      <x:c r="D325" s="9" t="str">
        <x:v>Take the airplane toy with propellers from the row and set it inside the bowl.</x:v>
      </x:c>
      <x:c r="E325" s="9" t="str">
        <x:v>L1: airplane toy with propellers, L2: blue tape ball</x:v>
      </x:c>
      <x:c r="F325" s="9" t="str">
        <x:v>airplane toy with propellers</x:v>
      </x:c>
      <x:c r="G325" s="9"/>
      <x:c r="H325" s="9" t="str">
        <x:v>Language robustness</x:v>
      </x:c>
      <x:c r="I325" s="9" t="str">
        <x:v>CT-CF01-N2-01</x:v>
      </x:c>
      <x:c r="J325" s="9" t="str">
        <x:v>Matched-control paraphrase</x:v>
      </x:c>
      <x:c r="K325" s="9" t="n">
        <x:v>21</x:v>
      </x:c>
      <x:c r="L325" s="9"/>
      <x:c r="M325" s="9"/>
      <x:c r="N325" s="9" t="str">
        <x:v>2 — Full transfer/control/language families</x:v>
      </x:c>
      <x:c r="O325" s="9" t="str">
        <x:v>Return the previously moved object to its marked position. Do not move any other object; only the prompt changes.</x:v>
      </x:c>
      <x:c r="P325" s="9" t="str">
        <x:v>Exact-scene paraphrase of the referenced direct-name control. This tests wording sensitivity without changing the target or physical scene.</x:v>
      </x:c>
      <x:c r="Q325" s="9"/>
      <x:c r="R325" s="10" t="n">
        <x:v>2</x:v>
      </x:c>
      <x:c r="S325" s="10"/>
      <x:c r="T325" s="9"/>
      <x:c r="U325" s="9"/>
      <x:c r="V325" s="9"/>
      <x:c r="W325" s="9" t="str">
        <x:v>CT-CF01-N2-01</x:v>
      </x:c>
      <x:c r="X325" s="10"/>
      <x:c r="Y325" s="10"/>
      <x:c r="Z325" s="9"/>
      <x:c r="AA325" s="9" t="str">
        <x:v>L1</x:v>
      </x:c>
      <x:c r="AB325" s="9" t="str">
        <x:v>Direct-name paraphrase</x:v>
      </x:c>
      <x:c r="AC325" s="9"/>
      <x:c r="AD325" s="9"/>
      <x:c r="AE325" s="9"/>
      <x:c r="AF325" s="9"/>
      <x:c r="AG325" s="9"/>
      <x:c r="AH325" s="9"/>
      <x:c r="AI325" s="11"/>
      <x:c r="AJ325" s="9"/>
      <x:c r="AK325" s="9" t="str">
        <x:v>Eval_Ordinal_Reference_Ordering.xlsm</x:v>
      </x:c>
      <x:c r="AL325" s="9" t="str">
        <x:v>MolmoAct2 Results2</x:v>
      </x:c>
      <x:c r="AM325" s="9" t="n">
        <x:v>25</x:v>
      </x:c>
      <x:c r="AN325" s="9" t="n">
        <x:v>25</x:v>
      </x:c>
    </x:row>
    <x:row r="326">
      <x:c r="A326" s="9" t="str">
        <x:v>Success</x:v>
      </x:c>
      <x:c r="B326" s="9" t="str">
        <x:v>Ordinal Reference Ordering</x:v>
      </x:c>
      <x:c r="C326" s="10" t="n">
        <x:v>24</x:v>
      </x:c>
      <x:c r="D326" s="9" t="str">
        <x:v>Lift the blue tape ball and leave it in the bowl.</x:v>
      </x:c>
      <x:c r="E326" s="9" t="str">
        <x:v>L1: airplane toy with propellers, L2: blue tape ball</x:v>
      </x:c>
      <x:c r="F326" s="9" t="str">
        <x:v>blue tape ball</x:v>
      </x:c>
      <x:c r="G326" s="9"/>
      <x:c r="H326" s="9" t="str">
        <x:v>Language robustness</x:v>
      </x:c>
      <x:c r="I326" s="9" t="str">
        <x:v>CT-CF01-N2-01</x:v>
      </x:c>
      <x:c r="J326" s="9" t="str">
        <x:v>Matched-control paraphrase</x:v>
      </x:c>
      <x:c r="K326" s="9" t="n">
        <x:v>26</x:v>
      </x:c>
      <x:c r="L326" s="9"/>
      <x:c r="M326" s="9"/>
      <x:c r="N326" s="9" t="str">
        <x:v>2 — Full transfer/control/language families</x:v>
      </x:c>
      <x:c r="O326" s="9" t="str">
        <x:v>Return the previously moved object to its marked position. Do not move any other object; only the prompt changes.</x:v>
      </x:c>
      <x:c r="P326" s="9" t="str">
        <x:v>Exact-scene paraphrase of the referenced direct-name control. This tests wording sensitivity without changing the target or physical scene.</x:v>
      </x:c>
      <x:c r="Q326" s="9"/>
      <x:c r="R326" s="10" t="n">
        <x:v>2</x:v>
      </x:c>
      <x:c r="S326" s="10"/>
      <x:c r="T326" s="9"/>
      <x:c r="U326" s="9"/>
      <x:c r="V326" s="9"/>
      <x:c r="W326" s="9" t="str">
        <x:v>CT-CF01-N2-01</x:v>
      </x:c>
      <x:c r="X326" s="10"/>
      <x:c r="Y326" s="10"/>
      <x:c r="Z326" s="9"/>
      <x:c r="AA326" s="9" t="str">
        <x:v>L2</x:v>
      </x:c>
      <x:c r="AB326" s="9" t="str">
        <x:v>Direct-name paraphrase</x:v>
      </x:c>
      <x:c r="AC326" s="9"/>
      <x:c r="AD326" s="9"/>
      <x:c r="AE326" s="9"/>
      <x:c r="AF326" s="9"/>
      <x:c r="AG326" s="9"/>
      <x:c r="AH326" s="9"/>
      <x:c r="AI326" s="11"/>
      <x:c r="AJ326" s="9"/>
      <x:c r="AK326" s="9" t="str">
        <x:v>Eval_Ordinal_Reference_Ordering.xlsm</x:v>
      </x:c>
      <x:c r="AL326" s="9" t="str">
        <x:v>MolmoAct2 Results2</x:v>
      </x:c>
      <x:c r="AM326" s="9" t="n">
        <x:v>26</x:v>
      </x:c>
      <x:c r="AN326" s="9" t="n">
        <x:v>26</x:v>
      </x:c>
    </x:row>
    <x:row r="327">
      <x:c r="A327" s="9" t="str">
        <x:v>Failure</x:v>
      </x:c>
      <x:c r="B327" s="9" t="str">
        <x:v>Ordinal Reference Ordering</x:v>
      </x:c>
      <x:c r="C327" s="10" t="n">
        <x:v>25</x:v>
      </x:c>
      <x:c r="D327" s="9" t="str">
        <x:v>Starting at the left, count to the second item and put that item in the bowl.</x:v>
      </x:c>
      <x:c r="E327" s="9" t="str">
        <x:v>L1: airplane toy with propellers, L2: blue tape ball</x:v>
      </x:c>
      <x:c r="F327" s="9" t="str">
        <x:v>blue tape ball</x:v>
      </x:c>
      <x:c r="G327" s="9" t="str">
        <x:v>Failed at grasping, but went for blue tape. success for reasoning. Knocked the blue tape ball out of the robot's range.</x:v>
      </x:c>
      <x:c r="H327" s="9" t="str">
        <x:v>Language robustness</x:v>
      </x:c>
      <x:c r="I327" s="9" t="str">
        <x:v>CT-CF01-N2-01</x:v>
      </x:c>
      <x:c r="J327" s="9" t="str">
        <x:v>Transfer paraphrase</x:v>
      </x:c>
      <x:c r="K327" s="9" t="n">
        <x:v>27</x:v>
      </x:c>
      <x:c r="L327" s="9"/>
      <x:c r="M327" s="9"/>
      <x:c r="N327" s="9" t="str">
        <x:v>2 — Full transfer/control/language families</x:v>
      </x:c>
      <x:c r="O327" s="9" t="str">
        <x:v>Return the previously moved object to its marked position. Do not move any other object; only the prompt changes.</x:v>
      </x:c>
      <x:c r="P327" s="9" t="str">
        <x:v>Exact-scene paraphrase of the referenced canonical transfer row. Exclude this row from the 50-trial primary canonical score.</x:v>
      </x:c>
      <x:c r="Q327" s="9"/>
      <x:c r="R327" s="10" t="n">
        <x:v>2</x:v>
      </x:c>
      <x:c r="S327" s="10"/>
      <x:c r="T327" s="9"/>
      <x:c r="U327" s="9"/>
      <x:c r="V327" s="9"/>
      <x:c r="W327" s="9" t="str">
        <x:v>CT-CF01-N2-01</x:v>
      </x:c>
      <x:c r="X327" s="10"/>
      <x:c r="Y327" s="10"/>
      <x:c r="Z327" s="9"/>
      <x:c r="AA327" s="9" t="str">
        <x:v>L2</x:v>
      </x:c>
      <x:c r="AB327" s="9" t="str">
        <x:v>second from left — paraphrase</x:v>
      </x:c>
      <x:c r="AC327" s="9"/>
      <x:c r="AD327" s="9"/>
      <x:c r="AE327" s="9"/>
      <x:c r="AF327" s="9"/>
      <x:c r="AG327" s="9"/>
      <x:c r="AH327" s="9"/>
      <x:c r="AI327" s="11"/>
      <x:c r="AJ327" s="9"/>
      <x:c r="AK327" s="9" t="str">
        <x:v>Eval_Ordinal_Reference_Ordering.xlsm</x:v>
      </x:c>
      <x:c r="AL327" s="9" t="str">
        <x:v>MolmoAct2 Results2</x:v>
      </x:c>
      <x:c r="AM327" s="9" t="n">
        <x:v>27</x:v>
      </x:c>
      <x:c r="AN327" s="9" t="n">
        <x:v>27</x:v>
      </x:c>
    </x:row>
    <x:row r="328">
      <x:c r="A328" s="9" t="str">
        <x:v>Success</x:v>
      </x:c>
      <x:c r="B328" s="9" t="str">
        <x:v>Ordinal Reference Ordering</x:v>
      </x:c>
      <x:c r="C328" s="10" t="n">
        <x:v>26</x:v>
      </x:c>
      <x:c r="D328" s="9" t="str">
        <x:v>Move the blue tape ball into the bowl.</x:v>
      </x:c>
      <x:c r="E328" s="9" t="str">
        <x:v>L1: airplane toy with propellers, L2: blue tape ball</x:v>
      </x:c>
      <x:c r="F328" s="9" t="str">
        <x:v>blue tape ball</x:v>
      </x:c>
      <x:c r="G328" s="9"/>
      <x:c r="H328" s="9" t="str">
        <x:v>Matched manipulation control</x:v>
      </x:c>
      <x:c r="I328" s="9" t="str">
        <x:v>CT-CF01-N2-01</x:v>
      </x:c>
      <x:c r="J328" s="9" t="str">
        <x:v>Exact-scene direct control; training prompt from episode 669</x:v>
      </x:c>
      <x:c r="K328" s="9" t="n">
        <x:v>27</x:v>
      </x:c>
      <x:c r="L328" s="9"/>
      <x:c r="M328" s="9"/>
      <x:c r="N328" s="9" t="str">
        <x:v>2 — Full transfer/control/language families</x:v>
      </x:c>
      <x:c r="O328" s="9" t="str">
        <x:v>Return the previously moved object to its marked position. Do not move any other object; only the prompt changes.</x:v>
      </x:c>
      <x:c r="P328" s="9" t="str">
        <x:v>This is the direct-name prompt assigned to the same masked training cell. It tests recognition and manipulation of the exact transfer target in the exact scene without requiring ordinal selection.</x:v>
      </x:c>
      <x:c r="Q328" s="9"/>
      <x:c r="R328" s="10" t="n">
        <x:v>2</x:v>
      </x:c>
      <x:c r="S328" s="10"/>
      <x:c r="T328" s="9"/>
      <x:c r="U328" s="9"/>
      <x:c r="V328" s="9"/>
      <x:c r="W328" s="9" t="str">
        <x:v>CT-CF01-N2-01</x:v>
      </x:c>
      <x:c r="X328" s="10"/>
      <x:c r="Y328" s="10"/>
      <x:c r="Z328" s="9"/>
      <x:c r="AA328" s="9" t="str">
        <x:v>L2</x:v>
      </x:c>
      <x:c r="AB328" s="9" t="str">
        <x:v>Direct-name control</x:v>
      </x:c>
      <x:c r="AC328" s="9"/>
      <x:c r="AD328" s="9"/>
      <x:c r="AE328" s="9"/>
      <x:c r="AF328" s="9"/>
      <x:c r="AG328" s="9"/>
      <x:c r="AH328" s="9"/>
      <x:c r="AI328" s="11"/>
      <x:c r="AJ328" s="9"/>
      <x:c r="AK328" s="9" t="str">
        <x:v>Eval_Ordinal_Reference_Ordering.xlsm</x:v>
      </x:c>
      <x:c r="AL328" s="9" t="str">
        <x:v>MolmoAct2 Results2</x:v>
      </x:c>
      <x:c r="AM328" s="9" t="n">
        <x:v>28</x:v>
      </x:c>
      <x:c r="AN328" s="9" t="n">
        <x:v>28</x:v>
      </x:c>
    </x:row>
    <x:row r="329">
      <x:c r="A329" s="9" t="str">
        <x:v>Success</x:v>
      </x:c>
      <x:c r="B329" s="9" t="str">
        <x:v>Ordinal Reference Ordering</x:v>
      </x:c>
      <x:c r="C329" s="10" t="n">
        <x:v>27</x:v>
      </x:c>
      <x:c r="D329" s="9" t="str">
        <x:v>Pick up the object that is second from the left and place it in the bowl.</x:v>
      </x:c>
      <x:c r="E329" s="9" t="str">
        <x:v>L1: airplane toy with propellers, L2: blue tape ball</x:v>
      </x:c>
      <x:c r="F329" s="9" t="str">
        <x:v>blue tape ball</x:v>
      </x:c>
      <x:c r="G329" s="9"/>
      <x:c r="H329" s="9" t="str">
        <x:v>Concept/compositional transfer</x:v>
      </x:c>
      <x:c r="I329" s="9" t="str">
        <x:v>CT-CF01-N2-01</x:v>
      </x:c>
      <x:c r="J329" s="9" t="str">
        <x:v>Masked cell n=2, L2, blue tape ball</x:v>
      </x:c>
      <x:c r="K329" s="9" t="n">
        <x:v>20</x:v>
      </x:c>
      <x:c r="L329" s="9"/>
      <x:c r="M329" s="9"/>
      <x:c r="N329" s="9" t="str">
        <x:v>2 — Full transfer/control/language families</x:v>
      </x:c>
      <x:c r="O329" s="9" t="str">
        <x:v>Return the previously moved object to its marked position. Do not move any other object; only the prompt changes.</x:v>
      </x:c>
      <x:c r="P329" s="9" t="str">
        <x:v>The final manifest masks this exact sequence-length × physical-position × target-identity cell. Both equivalent left- and right-based descriptions are absent for this cell, while the canonical instruction wording occurs elsewhere in training.</x:v>
      </x:c>
      <x:c r="Q329" s="9"/>
      <x:c r="R329" s="10" t="n">
        <x:v>2</x:v>
      </x:c>
      <x:c r="S329" s="10"/>
      <x:c r="T329" s="9"/>
      <x:c r="U329" s="9"/>
      <x:c r="V329" s="9"/>
      <x:c r="W329" s="9" t="str">
        <x:v>CT-CF01-N2-01</x:v>
      </x:c>
      <x:c r="X329" s="10"/>
      <x:c r="Y329" s="10"/>
      <x:c r="Z329" s="9"/>
      <x:c r="AA329" s="9" t="str">
        <x:v>L2</x:v>
      </x:c>
      <x:c r="AB329" s="9" t="str">
        <x:v>second from left</x:v>
      </x:c>
      <x:c r="AC329" s="9"/>
      <x:c r="AD329" s="9"/>
      <x:c r="AE329" s="9"/>
      <x:c r="AF329" s="9"/>
      <x:c r="AG329" s="9"/>
      <x:c r="AH329" s="9"/>
      <x:c r="AI329" s="11"/>
      <x:c r="AJ329" s="9"/>
      <x:c r="AK329" s="9" t="str">
        <x:v>Eval_Ordinal_Reference_Ordering.xlsm</x:v>
      </x:c>
      <x:c r="AL329" s="9" t="str">
        <x:v>MolmoAct2 Results2</x:v>
      </x:c>
      <x:c r="AM329" s="9" t="n">
        <x:v>29</x:v>
      </x:c>
      <x:c r="AN329" s="9" t="n">
        <x:v>29</x:v>
      </x:c>
    </x:row>
    <x:row r="330">
      <x:c r="A330" s="9" t="str">
        <x:v>Success</x:v>
      </x:c>
      <x:c r="B330" s="9" t="str">
        <x:v>Ordinal Reference Ordering</x:v>
      </x:c>
      <x:c r="C330" s="10" t="n">
        <x:v>28</x:v>
      </x:c>
      <x:c r="D330" s="9" t="str">
        <x:v>Pick up the object that is third from the left and place it in the bowl.</x:v>
      </x:c>
      <x:c r="E330" s="9" t="str">
        <x:v>L1: blue tape ball, L2: green highlighter, L3: airplane toy with propellers</x:v>
      </x:c>
      <x:c r="F330" s="9" t="str">
        <x:v>airplane toy with propellers</x:v>
      </x:c>
      <x:c r="G330" s="9"/>
      <x:c r="H330" s="9" t="str">
        <x:v>Concept/compositional transfer</x:v>
      </x:c>
      <x:c r="I330" s="9" t="str">
        <x:v>CT-CF02-N3-01</x:v>
      </x:c>
      <x:c r="J330" s="9" t="str">
        <x:v>Masked cell n=3, L3, airplane toy with propellers</x:v>
      </x:c>
      <x:c r="K330" s="9"/>
      <x:c r="L330" s="9"/>
      <x:c r="M330" s="9"/>
      <x:c r="N330" s="9" t="str">
        <x:v>2 — Full transfer/control/language families</x:v>
      </x:c>
      <x:c r="O330" s="9" t="str">
        <x:v>Build this new scene family exactly from the L1–L4 description and save a first-frame reference image.</x:v>
      </x:c>
      <x:c r="P330" s="9" t="str">
        <x:v>The final manifest masks this exact sequence-length × physical-position × target-identity cell. Both equivalent left- and right-based descriptions are absent for this cell, while the canonical instruction wording occurs elsewhere in training.</x:v>
      </x:c>
      <x:c r="Q330" s="9"/>
      <x:c r="R330" s="10" t="n">
        <x:v>3</x:v>
      </x:c>
      <x:c r="S330" s="10"/>
      <x:c r="T330" s="9"/>
      <x:c r="U330" s="9"/>
      <x:c r="V330" s="9"/>
      <x:c r="W330" s="9" t="str">
        <x:v>CT-CF02-N3-01</x:v>
      </x:c>
      <x:c r="X330" s="10"/>
      <x:c r="Y330" s="10"/>
      <x:c r="Z330" s="9"/>
      <x:c r="AA330" s="9" t="str">
        <x:v>L3</x:v>
      </x:c>
      <x:c r="AB330" s="9" t="str">
        <x:v>third from left</x:v>
      </x:c>
      <x:c r="AC330" s="9"/>
      <x:c r="AD330" s="9"/>
      <x:c r="AE330" s="9"/>
      <x:c r="AF330" s="9"/>
      <x:c r="AG330" s="9"/>
      <x:c r="AH330" s="9"/>
      <x:c r="AI330" s="11"/>
      <x:c r="AJ330" s="9"/>
      <x:c r="AK330" s="9" t="str">
        <x:v>Eval_Ordinal_Reference_Ordering.xlsm</x:v>
      </x:c>
      <x:c r="AL330" s="9" t="str">
        <x:v>MolmoAct2 Results2</x:v>
      </x:c>
      <x:c r="AM330" s="9" t="n">
        <x:v>30</x:v>
      </x:c>
      <x:c r="AN330" s="9" t="n">
        <x:v>30</x:v>
      </x:c>
    </x:row>
    <x:row r="331">
      <x:c r="A331" s="9" t="str">
        <x:v>Success</x:v>
      </x:c>
      <x:c r="B331" s="9" t="str">
        <x:v>Ordinal Reference Ordering</x:v>
      </x:c>
      <x:c r="C331" s="10" t="n">
        <x:v>29</x:v>
      </x:c>
      <x:c r="D331" s="9" t="str">
        <x:v>Put the airplane toy with propellers in the bowl.</x:v>
      </x:c>
      <x:c r="E331" s="9" t="str">
        <x:v>L1: blue tape ball, L2: green highlighter, L3: airplane toy with propellers</x:v>
      </x:c>
      <x:c r="F331" s="9" t="str">
        <x:v>airplane toy with propellers</x:v>
      </x:c>
      <x:c r="G331" s="9"/>
      <x:c r="H331" s="9" t="str">
        <x:v>Matched manipulation control</x:v>
      </x:c>
      <x:c r="I331" s="9" t="str">
        <x:v>CT-CF02-N3-01</x:v>
      </x:c>
      <x:c r="J331" s="9" t="str">
        <x:v>Exact-scene direct control; training prompt from episode 631</x:v>
      </x:c>
      <x:c r="K331" s="9" t="n">
        <x:v>28</x:v>
      </x:c>
      <x:c r="L331" s="9"/>
      <x:c r="M331" s="9"/>
      <x:c r="N331" s="9" t="str">
        <x:v>2 — Full transfer/control/language families</x:v>
      </x:c>
      <x:c r="O331" s="9" t="str">
        <x:v>Return the previously moved object to its marked position. Do not move any other object; only the prompt changes.</x:v>
      </x:c>
      <x:c r="P331" s="9" t="str">
        <x:v>This is the direct-name prompt assigned to the same masked training cell. It tests recognition and manipulation of the exact transfer target in the exact scene without requiring ordinal selection.</x:v>
      </x:c>
      <x:c r="Q331" s="9"/>
      <x:c r="R331" s="10" t="n">
        <x:v>3</x:v>
      </x:c>
      <x:c r="S331" s="10"/>
      <x:c r="T331" s="9"/>
      <x:c r="U331" s="9"/>
      <x:c r="V331" s="9"/>
      <x:c r="W331" s="9" t="str">
        <x:v>CT-CF02-N3-01</x:v>
      </x:c>
      <x:c r="X331" s="10"/>
      <x:c r="Y331" s="10"/>
      <x:c r="Z331" s="9"/>
      <x:c r="AA331" s="9" t="str">
        <x:v>L3</x:v>
      </x:c>
      <x:c r="AB331" s="9" t="str">
        <x:v>Direct-name control</x:v>
      </x:c>
      <x:c r="AC331" s="9"/>
      <x:c r="AD331" s="9"/>
      <x:c r="AE331" s="9"/>
      <x:c r="AF331" s="9"/>
      <x:c r="AG331" s="9"/>
      <x:c r="AH331" s="9"/>
      <x:c r="AI331" s="11"/>
      <x:c r="AJ331" s="9"/>
      <x:c r="AK331" s="9" t="str">
        <x:v>Eval_Ordinal_Reference_Ordering.xlsm</x:v>
      </x:c>
      <x:c r="AL331" s="9" t="str">
        <x:v>MolmoAct2 Results2</x:v>
      </x:c>
      <x:c r="AM331" s="9" t="n">
        <x:v>31</x:v>
      </x:c>
      <x:c r="AN331" s="9" t="n">
        <x:v>31</x:v>
      </x:c>
    </x:row>
    <x:row r="332">
      <x:c r="A332" s="9" t="str">
        <x:v>Failure</x:v>
      </x:c>
      <x:c r="B332" s="9" t="str">
        <x:v>Ordinal Reference Ordering</x:v>
      </x:c>
      <x:c r="C332" s="10" t="n">
        <x:v>30</x:v>
      </x:c>
      <x:c r="D332" s="9" t="str">
        <x:v>Move whichever item comes third when you count from the left into the bowl.</x:v>
      </x:c>
      <x:c r="E332" s="9" t="str">
        <x:v>L1: blue tape ball, L2: green highlighter, L3: airplane toy with propellers</x:v>
      </x:c>
      <x:c r="F332" s="9" t="str">
        <x:v>airplane toy with propellers</x:v>
      </x:c>
      <x:c r="G332" s="9" t="str">
        <x:v>Picked the green highlighter.</x:v>
      </x:c>
      <x:c r="H332" s="9" t="str">
        <x:v>Language robustness</x:v>
      </x:c>
      <x:c r="I332" s="9" t="str">
        <x:v>CT-CF02-N3-01</x:v>
      </x:c>
      <x:c r="J332" s="9" t="str">
        <x:v>Transfer paraphrase</x:v>
      </x:c>
      <x:c r="K332" s="9" t="n">
        <x:v>28</x:v>
      </x:c>
      <x:c r="L332" s="9"/>
      <x:c r="M332" s="9"/>
      <x:c r="N332" s="9" t="str">
        <x:v>2 — Full transfer/control/language families</x:v>
      </x:c>
      <x:c r="O332" s="9" t="str">
        <x:v>Return the previously moved object to its marked position. Do not move any other object; only the prompt changes.</x:v>
      </x:c>
      <x:c r="P332" s="9" t="str">
        <x:v>Exact-scene paraphrase of the referenced canonical transfer row. Exclude this row from the 50-trial primary canonical score.</x:v>
      </x:c>
      <x:c r="Q332" s="9"/>
      <x:c r="R332" s="10" t="n">
        <x:v>3</x:v>
      </x:c>
      <x:c r="S332" s="10"/>
      <x:c r="T332" s="9"/>
      <x:c r="U332" s="9"/>
      <x:c r="V332" s="9"/>
      <x:c r="W332" s="9" t="str">
        <x:v>CT-CF02-N3-01</x:v>
      </x:c>
      <x:c r="X332" s="10"/>
      <x:c r="Y332" s="10"/>
      <x:c r="Z332" s="9"/>
      <x:c r="AA332" s="9" t="str">
        <x:v>L3</x:v>
      </x:c>
      <x:c r="AB332" s="9" t="str">
        <x:v>third from left — paraphrase</x:v>
      </x:c>
      <x:c r="AC332" s="9"/>
      <x:c r="AD332" s="9"/>
      <x:c r="AE332" s="9"/>
      <x:c r="AF332" s="9"/>
      <x:c r="AG332" s="9"/>
      <x:c r="AH332" s="9"/>
      <x:c r="AI332" s="11"/>
      <x:c r="AJ332" s="9"/>
      <x:c r="AK332" s="9" t="str">
        <x:v>Eval_Ordinal_Reference_Ordering.xlsm</x:v>
      </x:c>
      <x:c r="AL332" s="9" t="str">
        <x:v>MolmoAct2 Results2</x:v>
      </x:c>
      <x:c r="AM332" s="9" t="n">
        <x:v>32</x:v>
      </x:c>
      <x:c r="AN332" s="9" t="n">
        <x:v>32</x:v>
      </x:c>
    </x:row>
    <x:row r="333">
      <x:c r="A333" s="9" t="str">
        <x:v>Success</x:v>
      </x:c>
      <x:c r="B333" s="9" t="str">
        <x:v>Ordinal Reference Ordering</x:v>
      </x:c>
      <x:c r="C333" s="10" t="n">
        <x:v>31</x:v>
      </x:c>
      <x:c r="D333" s="9" t="str">
        <x:v>Transfer the airplane toy with propellers from its marked position into the bowl.</x:v>
      </x:c>
      <x:c r="E333" s="9" t="str">
        <x:v>L1: blue tape ball, L2: green highlighter, L3: airplane toy with propellers</x:v>
      </x:c>
      <x:c r="F333" s="9" t="str">
        <x:v>airplane toy with propellers</x:v>
      </x:c>
      <x:c r="G333" s="9"/>
      <x:c r="H333" s="9" t="str">
        <x:v>Language robustness</x:v>
      </x:c>
      <x:c r="I333" s="9" t="str">
        <x:v>CT-CF02-N3-01</x:v>
      </x:c>
      <x:c r="J333" s="9" t="str">
        <x:v>Matched-control paraphrase</x:v>
      </x:c>
      <x:c r="K333" s="9" t="n">
        <x:v>29</x:v>
      </x:c>
      <x:c r="L333" s="9"/>
      <x:c r="M333" s="9"/>
      <x:c r="N333" s="9" t="str">
        <x:v>2 — Full transfer/control/language families</x:v>
      </x:c>
      <x:c r="O333" s="9" t="str">
        <x:v>Return the previously moved object to its marked position. Do not move any other object; only the prompt changes.</x:v>
      </x:c>
      <x:c r="P333" s="9" t="str">
        <x:v>Exact-scene paraphrase of the referenced direct-name control. This tests wording sensitivity without changing the target or physical scene.</x:v>
      </x:c>
      <x:c r="Q333" s="9"/>
      <x:c r="R333" s="10" t="n">
        <x:v>3</x:v>
      </x:c>
      <x:c r="S333" s="10"/>
      <x:c r="T333" s="9"/>
      <x:c r="U333" s="9"/>
      <x:c r="V333" s="9"/>
      <x:c r="W333" s="9" t="str">
        <x:v>CT-CF02-N3-01</x:v>
      </x:c>
      <x:c r="X333" s="10"/>
      <x:c r="Y333" s="10"/>
      <x:c r="Z333" s="9"/>
      <x:c r="AA333" s="9" t="str">
        <x:v>L3</x:v>
      </x:c>
      <x:c r="AB333" s="9" t="str">
        <x:v>Direct-name paraphrase</x:v>
      </x:c>
      <x:c r="AC333" s="9"/>
      <x:c r="AD333" s="9"/>
      <x:c r="AE333" s="9"/>
      <x:c r="AF333" s="9"/>
      <x:c r="AG333" s="9"/>
      <x:c r="AH333" s="9"/>
      <x:c r="AI333" s="11"/>
      <x:c r="AJ333" s="9"/>
      <x:c r="AK333" s="9" t="str">
        <x:v>Eval_Ordinal_Reference_Ordering.xlsm</x:v>
      </x:c>
      <x:c r="AL333" s="9" t="str">
        <x:v>MolmoAct2 Results2</x:v>
      </x:c>
      <x:c r="AM333" s="9" t="n">
        <x:v>33</x:v>
      </x:c>
      <x:c r="AN333" s="9" t="n">
        <x:v>33</x:v>
      </x:c>
    </x:row>
    <x:row r="334">
      <x:c r="A334" s="9" t="str">
        <x:v>Success</x:v>
      </x:c>
      <x:c r="B334" s="9" t="str">
        <x:v>Ordinal Reference Ordering</x:v>
      </x:c>
      <x:c r="C334" s="10" t="n">
        <x:v>32</x:v>
      </x:c>
      <x:c r="D334" s="9" t="str">
        <x:v>Lift the blue tape ball and leave it in the bowl.</x:v>
      </x:c>
      <x:c r="E334" s="9" t="str">
        <x:v>L1: blue tape ball, L2: green highlighter, L3: airplane toy with propellers</x:v>
      </x:c>
      <x:c r="F334" s="9" t="str">
        <x:v>blue tape ball</x:v>
      </x:c>
      <x:c r="G334" s="9"/>
      <x:c r="H334" s="9" t="str">
        <x:v>Language robustness</x:v>
      </x:c>
      <x:c r="I334" s="9" t="str">
        <x:v>CT-CF02-N3-01</x:v>
      </x:c>
      <x:c r="J334" s="9" t="str">
        <x:v>Matched-control paraphrase</x:v>
      </x:c>
      <x:c r="K334" s="9" t="n">
        <x:v>34</x:v>
      </x:c>
      <x:c r="L334" s="9"/>
      <x:c r="M334" s="9"/>
      <x:c r="N334" s="9" t="str">
        <x:v>2 — Full transfer/control/language families</x:v>
      </x:c>
      <x:c r="O334" s="9" t="str">
        <x:v>Return the previously moved object to its marked position. Do not move any other object; only the prompt changes.</x:v>
      </x:c>
      <x:c r="P334" s="9" t="str">
        <x:v>Exact-scene paraphrase of the referenced direct-name control. This tests wording sensitivity without changing the target or physical scene.</x:v>
      </x:c>
      <x:c r="Q334" s="9"/>
      <x:c r="R334" s="10" t="n">
        <x:v>3</x:v>
      </x:c>
      <x:c r="S334" s="10"/>
      <x:c r="T334" s="9"/>
      <x:c r="U334" s="9"/>
      <x:c r="V334" s="9"/>
      <x:c r="W334" s="9" t="str">
        <x:v>CT-CF02-N3-01</x:v>
      </x:c>
      <x:c r="X334" s="10"/>
      <x:c r="Y334" s="10"/>
      <x:c r="Z334" s="9"/>
      <x:c r="AA334" s="9" t="str">
        <x:v>L1</x:v>
      </x:c>
      <x:c r="AB334" s="9" t="str">
        <x:v>Direct-name paraphrase</x:v>
      </x:c>
      <x:c r="AC334" s="9"/>
      <x:c r="AD334" s="9"/>
      <x:c r="AE334" s="9"/>
      <x:c r="AF334" s="9"/>
      <x:c r="AG334" s="9"/>
      <x:c r="AH334" s="9"/>
      <x:c r="AI334" s="11"/>
      <x:c r="AJ334" s="9"/>
      <x:c r="AK334" s="9" t="str">
        <x:v>Eval_Ordinal_Reference_Ordering.xlsm</x:v>
      </x:c>
      <x:c r="AL334" s="9" t="str">
        <x:v>MolmoAct2 Results2</x:v>
      </x:c>
      <x:c r="AM334" s="9" t="n">
        <x:v>34</x:v>
      </x:c>
      <x:c r="AN334" s="9" t="n">
        <x:v>34</x:v>
      </x:c>
    </x:row>
    <x:row r="335">
      <x:c r="A335" s="9" t="str">
        <x:v>Failure</x:v>
      </x:c>
      <x:c r="B335" s="9" t="str">
        <x:v>Ordinal Reference Ordering</x:v>
      </x:c>
      <x:c r="C335" s="10" t="n">
        <x:v>33</x:v>
      </x:c>
      <x:c r="D335" s="9" t="str">
        <x:v>Starting at the left, count to the first item and put that item in the bowl.</x:v>
      </x:c>
      <x:c r="E335" s="9" t="str">
        <x:v>L1: blue tape ball, L2: green highlighter, L3: airplane toy with propellers</x:v>
      </x:c>
      <x:c r="F335" s="9" t="str">
        <x:v>blue tape ball</x:v>
      </x:c>
      <x:c r="G335" s="9" t="str">
        <x:v>Picked the green highlighter.</x:v>
      </x:c>
      <x:c r="H335" s="9" t="str">
        <x:v>Language robustness</x:v>
      </x:c>
      <x:c r="I335" s="9" t="str">
        <x:v>CT-CF02-N3-01</x:v>
      </x:c>
      <x:c r="J335" s="9" t="str">
        <x:v>Transfer paraphrase</x:v>
      </x:c>
      <x:c r="K335" s="9" t="n">
        <x:v>35</x:v>
      </x:c>
      <x:c r="L335" s="9"/>
      <x:c r="M335" s="9"/>
      <x:c r="N335" s="9" t="str">
        <x:v>2 — Full transfer/control/language families</x:v>
      </x:c>
      <x:c r="O335" s="9" t="str">
        <x:v>Return the previously moved object to its marked position. Do not move any other object; only the prompt changes.</x:v>
      </x:c>
      <x:c r="P335" s="9" t="str">
        <x:v>Exact-scene paraphrase of the referenced canonical transfer row. Exclude this row from the 50-trial primary canonical score.</x:v>
      </x:c>
      <x:c r="Q335" s="9"/>
      <x:c r="R335" s="10" t="n">
        <x:v>3</x:v>
      </x:c>
      <x:c r="S335" s="10"/>
      <x:c r="T335" s="9"/>
      <x:c r="U335" s="9"/>
      <x:c r="V335" s="9"/>
      <x:c r="W335" s="9" t="str">
        <x:v>CT-CF02-N3-01</x:v>
      </x:c>
      <x:c r="X335" s="10"/>
      <x:c r="Y335" s="10"/>
      <x:c r="Z335" s="9"/>
      <x:c r="AA335" s="9" t="str">
        <x:v>L1</x:v>
      </x:c>
      <x:c r="AB335" s="9" t="str">
        <x:v>first from left — paraphrase</x:v>
      </x:c>
      <x:c r="AC335" s="9"/>
      <x:c r="AD335" s="9"/>
      <x:c r="AE335" s="9"/>
      <x:c r="AF335" s="9"/>
      <x:c r="AG335" s="9"/>
      <x:c r="AH335" s="9"/>
      <x:c r="AI335" s="11"/>
      <x:c r="AJ335" s="9"/>
      <x:c r="AK335" s="9" t="str">
        <x:v>Eval_Ordinal_Reference_Ordering.xlsm</x:v>
      </x:c>
      <x:c r="AL335" s="9" t="str">
        <x:v>MolmoAct2 Results2</x:v>
      </x:c>
      <x:c r="AM335" s="9" t="n">
        <x:v>35</x:v>
      </x:c>
      <x:c r="AN335" s="9" t="n">
        <x:v>35</x:v>
      </x:c>
    </x:row>
    <x:row r="336">
      <x:c r="A336" s="9" t="str">
        <x:v>Success</x:v>
      </x:c>
      <x:c r="B336" s="9" t="str">
        <x:v>Ordinal Reference Ordering</x:v>
      </x:c>
      <x:c r="C336" s="10" t="n">
        <x:v>34</x:v>
      </x:c>
      <x:c r="D336" s="9" t="str">
        <x:v>Put the blue tape ball in the bowl.</x:v>
      </x:c>
      <x:c r="E336" s="9" t="str">
        <x:v>L1: blue tape ball, L2: green highlighter, L3: airplane toy with propellers</x:v>
      </x:c>
      <x:c r="F336" s="9" t="str">
        <x:v>blue tape ball</x:v>
      </x:c>
      <x:c r="G336" s="9"/>
      <x:c r="H336" s="9" t="str">
        <x:v>Matched manipulation control</x:v>
      </x:c>
      <x:c r="I336" s="9" t="str">
        <x:v>CT-CF02-N3-01</x:v>
      </x:c>
      <x:c r="J336" s="9" t="str">
        <x:v>Exact-scene direct control; training prompt from episode 655</x:v>
      </x:c>
      <x:c r="K336" s="9" t="n">
        <x:v>35</x:v>
      </x:c>
      <x:c r="L336" s="9"/>
      <x:c r="M336" s="9"/>
      <x:c r="N336" s="9" t="str">
        <x:v>2 — Full transfer/control/language families</x:v>
      </x:c>
      <x:c r="O336" s="9" t="str">
        <x:v>Return the previously moved object to its marked position. Do not move any other object; only the prompt changes.</x:v>
      </x:c>
      <x:c r="P336" s="9" t="str">
        <x:v>This is the direct-name prompt assigned to the same masked training cell. It tests recognition and manipulation of the exact transfer target in the exact scene without requiring ordinal selection.</x:v>
      </x:c>
      <x:c r="Q336" s="9"/>
      <x:c r="R336" s="10" t="n">
        <x:v>3</x:v>
      </x:c>
      <x:c r="S336" s="10"/>
      <x:c r="T336" s="9"/>
      <x:c r="U336" s="9"/>
      <x:c r="V336" s="9"/>
      <x:c r="W336" s="9" t="str">
        <x:v>CT-CF02-N3-01</x:v>
      </x:c>
      <x:c r="X336" s="10"/>
      <x:c r="Y336" s="10"/>
      <x:c r="Z336" s="9"/>
      <x:c r="AA336" s="9" t="str">
        <x:v>L1</x:v>
      </x:c>
      <x:c r="AB336" s="9" t="str">
        <x:v>Direct-name control</x:v>
      </x:c>
      <x:c r="AC336" s="9"/>
      <x:c r="AD336" s="9"/>
      <x:c r="AE336" s="9"/>
      <x:c r="AF336" s="9"/>
      <x:c r="AG336" s="9"/>
      <x:c r="AH336" s="9"/>
      <x:c r="AI336" s="11"/>
      <x:c r="AJ336" s="9"/>
      <x:c r="AK336" s="9" t="str">
        <x:v>Eval_Ordinal_Reference_Ordering.xlsm</x:v>
      </x:c>
      <x:c r="AL336" s="9" t="str">
        <x:v>MolmoAct2 Results2</x:v>
      </x:c>
      <x:c r="AM336" s="9" t="n">
        <x:v>36</x:v>
      </x:c>
      <x:c r="AN336" s="9" t="n">
        <x:v>36</x:v>
      </x:c>
    </x:row>
    <x:row r="337">
      <x:c r="A337" s="9" t="str">
        <x:v>Success</x:v>
      </x:c>
      <x:c r="B337" s="9" t="str">
        <x:v>Ordinal Reference Ordering</x:v>
      </x:c>
      <x:c r="C337" s="10" t="n">
        <x:v>35</x:v>
      </x:c>
      <x:c r="D337" s="9" t="str">
        <x:v>Pick up the object that is first from the left and place it in the bowl.</x:v>
      </x:c>
      <x:c r="E337" s="9" t="str">
        <x:v>L1: blue tape ball, L2: green highlighter, L3: airplane toy with propellers</x:v>
      </x:c>
      <x:c r="F337" s="9" t="str">
        <x:v>blue tape ball</x:v>
      </x:c>
      <x:c r="G337" s="9"/>
      <x:c r="H337" s="9" t="str">
        <x:v>Concept/compositional transfer</x:v>
      </x:c>
      <x:c r="I337" s="9" t="str">
        <x:v>CT-CF02-N3-01</x:v>
      </x:c>
      <x:c r="J337" s="9" t="str">
        <x:v>Masked cell n=3, L1, blue tape ball</x:v>
      </x:c>
      <x:c r="K337" s="9" t="n">
        <x:v>28</x:v>
      </x:c>
      <x:c r="L337" s="9"/>
      <x:c r="M337" s="9"/>
      <x:c r="N337" s="9" t="str">
        <x:v>2 — Full transfer/control/language families</x:v>
      </x:c>
      <x:c r="O337" s="9" t="str">
        <x:v>Return the previously moved object to its marked position. Do not move any other object; only the prompt changes.</x:v>
      </x:c>
      <x:c r="P337" s="9" t="str">
        <x:v>The final manifest masks this exact sequence-length × physical-position × target-identity cell. Both equivalent left- and right-based descriptions are absent for this cell, while the canonical instruction wording occurs elsewhere in training.</x:v>
      </x:c>
      <x:c r="Q337" s="9"/>
      <x:c r="R337" s="10" t="n">
        <x:v>3</x:v>
      </x:c>
      <x:c r="S337" s="10"/>
      <x:c r="T337" s="9"/>
      <x:c r="U337" s="9"/>
      <x:c r="V337" s="9"/>
      <x:c r="W337" s="9" t="str">
        <x:v>CT-CF02-N3-01</x:v>
      </x:c>
      <x:c r="X337" s="10"/>
      <x:c r="Y337" s="10"/>
      <x:c r="Z337" s="9"/>
      <x:c r="AA337" s="9" t="str">
        <x:v>L1</x:v>
      </x:c>
      <x:c r="AB337" s="9" t="str">
        <x:v>first from left</x:v>
      </x:c>
      <x:c r="AC337" s="9"/>
      <x:c r="AD337" s="9"/>
      <x:c r="AE337" s="9"/>
      <x:c r="AF337" s="9"/>
      <x:c r="AG337" s="9"/>
      <x:c r="AH337" s="9"/>
      <x:c r="AI337" s="11"/>
      <x:c r="AJ337" s="9"/>
      <x:c r="AK337" s="9" t="str">
        <x:v>Eval_Ordinal_Reference_Ordering.xlsm</x:v>
      </x:c>
      <x:c r="AL337" s="9" t="str">
        <x:v>MolmoAct2 Results2</x:v>
      </x:c>
      <x:c r="AM337" s="9" t="n">
        <x:v>37</x:v>
      </x:c>
      <x:c r="AN337" s="9" t="n">
        <x:v>37</x:v>
      </x:c>
    </x:row>
    <x:row r="338">
      <x:c r="A338" s="9" t="str">
        <x:v>Success</x:v>
      </x:c>
      <x:c r="B338" s="9" t="str">
        <x:v>Ordinal Reference Ordering</x:v>
      </x:c>
      <x:c r="C338" s="10" t="n">
        <x:v>36</x:v>
      </x:c>
      <x:c r="D338" s="9" t="str">
        <x:v>Pick up the object that is second from the right and place it in the bowl.</x:v>
      </x:c>
      <x:c r="E338" s="9" t="str">
        <x:v>L1: green highlighter, L2: yellow pen</x:v>
      </x:c>
      <x:c r="F338" s="9" t="str">
        <x:v>green highlighter</x:v>
      </x:c>
      <x:c r="G338" s="9"/>
      <x:c r="H338" s="9" t="str">
        <x:v>Concept/compositional transfer</x:v>
      </x:c>
      <x:c r="I338" s="9" t="str">
        <x:v>CT-CF03-N2-04</x:v>
      </x:c>
      <x:c r="J338" s="9" t="str">
        <x:v>Masked cell n=2, L1, green highlighter</x:v>
      </x:c>
      <x:c r="K338" s="9"/>
      <x:c r="L338" s="9"/>
      <x:c r="M338" s="9"/>
      <x:c r="N338" s="9" t="str">
        <x:v>2 — Full transfer/control/language families</x:v>
      </x:c>
      <x:c r="O338" s="9" t="str">
        <x:v>Build this new scene family exactly from the L1–L4 description and save a first-frame reference image.</x:v>
      </x:c>
      <x:c r="P338" s="9" t="str">
        <x:v>The final manifest masks this exact sequence-length × physical-position × target-identity cell. Both equivalent left- and right-based descriptions are absent for this cell, while the canonical instruction wording occurs elsewhere in training.</x:v>
      </x:c>
      <x:c r="Q338" s="9"/>
      <x:c r="R338" s="10" t="n">
        <x:v>2</x:v>
      </x:c>
      <x:c r="S338" s="10"/>
      <x:c r="T338" s="9"/>
      <x:c r="U338" s="9"/>
      <x:c r="V338" s="9"/>
      <x:c r="W338" s="9" t="str">
        <x:v>CT-CF03-N2-04</x:v>
      </x:c>
      <x:c r="X338" s="10"/>
      <x:c r="Y338" s="10"/>
      <x:c r="Z338" s="9"/>
      <x:c r="AA338" s="9" t="str">
        <x:v>L1</x:v>
      </x:c>
      <x:c r="AB338" s="9" t="str">
        <x:v>second from right</x:v>
      </x:c>
      <x:c r="AC338" s="9"/>
      <x:c r="AD338" s="9"/>
      <x:c r="AE338" s="9"/>
      <x:c r="AF338" s="9"/>
      <x:c r="AG338" s="9"/>
      <x:c r="AH338" s="9"/>
      <x:c r="AI338" s="11"/>
      <x:c r="AJ338" s="9"/>
      <x:c r="AK338" s="9" t="str">
        <x:v>Eval_Ordinal_Reference_Ordering.xlsm</x:v>
      </x:c>
      <x:c r="AL338" s="9" t="str">
        <x:v>MolmoAct2 Results2</x:v>
      </x:c>
      <x:c r="AM338" s="9" t="n">
        <x:v>38</x:v>
      </x:c>
      <x:c r="AN338" s="9" t="n">
        <x:v>38</x:v>
      </x:c>
    </x:row>
    <x:row r="339">
      <x:c r="A339" s="9" t="str">
        <x:v>Success</x:v>
      </x:c>
      <x:c r="B339" s="9" t="str">
        <x:v>Ordinal Reference Ordering</x:v>
      </x:c>
      <x:c r="C339" s="10" t="n">
        <x:v>37</x:v>
      </x:c>
      <x:c r="D339" s="9" t="str">
        <x:v>Pick up the green highlighter and place it in the bowl.</x:v>
      </x:c>
      <x:c r="E339" s="9" t="str">
        <x:v>L1: green highlighter, L2: yellow pen</x:v>
      </x:c>
      <x:c r="F339" s="9" t="str">
        <x:v>green highlighter</x:v>
      </x:c>
      <x:c r="G339" s="9"/>
      <x:c r="H339" s="9" t="str">
        <x:v>Matched manipulation control</x:v>
      </x:c>
      <x:c r="I339" s="9" t="str">
        <x:v>CT-CF03-N2-04</x:v>
      </x:c>
      <x:c r="J339" s="9" t="str">
        <x:v>Exact-scene direct control; training prompt from episode 710</x:v>
      </x:c>
      <x:c r="K339" s="9" t="n">
        <x:v>36</x:v>
      </x:c>
      <x:c r="L339" s="9"/>
      <x:c r="M339" s="9"/>
      <x:c r="N339" s="9" t="str">
        <x:v>2 — Full transfer/control/language families</x:v>
      </x:c>
      <x:c r="O339" s="9" t="str">
        <x:v>Return the previously moved object to its marked position. Do not move any other object; only the prompt changes.</x:v>
      </x:c>
      <x:c r="P339" s="9" t="str">
        <x:v>This is the direct-name prompt assigned to the same masked training cell. It tests recognition and manipulation of the exact transfer target in the exact scene without requiring ordinal selection.</x:v>
      </x:c>
      <x:c r="Q339" s="9"/>
      <x:c r="R339" s="10" t="n">
        <x:v>2</x:v>
      </x:c>
      <x:c r="S339" s="10"/>
      <x:c r="T339" s="9"/>
      <x:c r="U339" s="9"/>
      <x:c r="V339" s="9"/>
      <x:c r="W339" s="9" t="str">
        <x:v>CT-CF03-N2-04</x:v>
      </x:c>
      <x:c r="X339" s="10"/>
      <x:c r="Y339" s="10"/>
      <x:c r="Z339" s="9"/>
      <x:c r="AA339" s="9" t="str">
        <x:v>L1</x:v>
      </x:c>
      <x:c r="AB339" s="9" t="str">
        <x:v>Direct-name control</x:v>
      </x:c>
      <x:c r="AC339" s="9"/>
      <x:c r="AD339" s="9"/>
      <x:c r="AE339" s="9"/>
      <x:c r="AF339" s="9"/>
      <x:c r="AG339" s="9"/>
      <x:c r="AH339" s="9"/>
      <x:c r="AI339" s="11"/>
      <x:c r="AJ339" s="9"/>
      <x:c r="AK339" s="9" t="str">
        <x:v>Eval_Ordinal_Reference_Ordering.xlsm</x:v>
      </x:c>
      <x:c r="AL339" s="9" t="str">
        <x:v>MolmoAct2 Results2</x:v>
      </x:c>
      <x:c r="AM339" s="9" t="n">
        <x:v>39</x:v>
      </x:c>
      <x:c r="AN339" s="9" t="n">
        <x:v>39</x:v>
      </x:c>
    </x:row>
    <x:row r="340">
      <x:c r="A340" s="9" t="str">
        <x:v>Failure</x:v>
      </x:c>
      <x:c r="B340" s="9" t="str">
        <x:v>Ordinal Reference Ordering</x:v>
      </x:c>
      <x:c r="C340" s="10" t="n">
        <x:v>38</x:v>
      </x:c>
      <x:c r="D340" s="9" t="str">
        <x:v>Move whichever item comes second when you count from the right into the bowl.</x:v>
      </x:c>
      <x:c r="E340" s="9" t="str">
        <x:v>L1: green highlighter, L2: yellow pen</x:v>
      </x:c>
      <x:c r="F340" s="9" t="str">
        <x:v>green highlighter</x:v>
      </x:c>
      <x:c r="G340" s="9" t="str">
        <x:v>Picked yellow pen</x:v>
      </x:c>
      <x:c r="H340" s="9" t="str">
        <x:v>Language robustness</x:v>
      </x:c>
      <x:c r="I340" s="9" t="str">
        <x:v>CT-CF03-N2-04</x:v>
      </x:c>
      <x:c r="J340" s="9" t="str">
        <x:v>Transfer paraphrase</x:v>
      </x:c>
      <x:c r="K340" s="9" t="n">
        <x:v>36</x:v>
      </x:c>
      <x:c r="L340" s="9"/>
      <x:c r="M340" s="9"/>
      <x:c r="N340" s="9" t="str">
        <x:v>2 — Full transfer/control/language families</x:v>
      </x:c>
      <x:c r="O340" s="9" t="str">
        <x:v>Return the previously moved object to its marked position. Do not move any other object; only the prompt changes.</x:v>
      </x:c>
      <x:c r="P340" s="9" t="str">
        <x:v>Exact-scene paraphrase of the referenced canonical transfer row. Exclude this row from the 50-trial primary canonical score.</x:v>
      </x:c>
      <x:c r="Q340" s="9"/>
      <x:c r="R340" s="10" t="n">
        <x:v>2</x:v>
      </x:c>
      <x:c r="S340" s="10"/>
      <x:c r="T340" s="9"/>
      <x:c r="U340" s="9"/>
      <x:c r="V340" s="9"/>
      <x:c r="W340" s="9" t="str">
        <x:v>CT-CF03-N2-04</x:v>
      </x:c>
      <x:c r="X340" s="10"/>
      <x:c r="Y340" s="10"/>
      <x:c r="Z340" s="9"/>
      <x:c r="AA340" s="9" t="str">
        <x:v>L1</x:v>
      </x:c>
      <x:c r="AB340" s="9" t="str">
        <x:v>second from right — paraphrase</x:v>
      </x:c>
      <x:c r="AC340" s="9"/>
      <x:c r="AD340" s="9"/>
      <x:c r="AE340" s="9"/>
      <x:c r="AF340" s="9"/>
      <x:c r="AG340" s="9"/>
      <x:c r="AH340" s="9"/>
      <x:c r="AI340" s="11"/>
      <x:c r="AJ340" s="9"/>
      <x:c r="AK340" s="9" t="str">
        <x:v>Eval_Ordinal_Reference_Ordering.xlsm</x:v>
      </x:c>
      <x:c r="AL340" s="9" t="str">
        <x:v>MolmoAct2 Results2</x:v>
      </x:c>
      <x:c r="AM340" s="9" t="n">
        <x:v>40</x:v>
      </x:c>
      <x:c r="AN340" s="9" t="n">
        <x:v>40</x:v>
      </x:c>
    </x:row>
    <x:row r="341">
      <x:c r="A341" s="9" t="str">
        <x:v>Failure</x:v>
      </x:c>
      <x:c r="B341" s="9" t="str">
        <x:v>Ordinal Reference Ordering</x:v>
      </x:c>
      <x:c r="C341" s="10" t="n">
        <x:v>39</x:v>
      </x:c>
      <x:c r="D341" s="9" t="str">
        <x:v>Transfer the green highlighter from its marked position into the bowl.</x:v>
      </x:c>
      <x:c r="E341" s="9" t="str">
        <x:v>L1: green highlighter, L2: yellow pen</x:v>
      </x:c>
      <x:c r="F341" s="9" t="str">
        <x:v>green highlighter</x:v>
      </x:c>
      <x:c r="G341" s="9" t="str">
        <x:v>Wrist rotates 90 degrees so can't grasp correctly. fidgited around and ultimlately got yellow pen, but then timed out.</x:v>
      </x:c>
      <x:c r="H341" s="9" t="str">
        <x:v>Language robustness</x:v>
      </x:c>
      <x:c r="I341" s="9" t="str">
        <x:v>CT-CF03-N2-04</x:v>
      </x:c>
      <x:c r="J341" s="9" t="str">
        <x:v>Matched-control paraphrase</x:v>
      </x:c>
      <x:c r="K341" s="9" t="n">
        <x:v>37</x:v>
      </x:c>
      <x:c r="L341" s="9"/>
      <x:c r="M341" s="9"/>
      <x:c r="N341" s="9" t="str">
        <x:v>2 — Full transfer/control/language families</x:v>
      </x:c>
      <x:c r="O341" s="9" t="str">
        <x:v>Return the previously moved object to its marked position. Do not move any other object; only the prompt changes.</x:v>
      </x:c>
      <x:c r="P341" s="9" t="str">
        <x:v>Exact-scene paraphrase of the referenced direct-name control. This tests wording sensitivity without changing the target or physical scene.</x:v>
      </x:c>
      <x:c r="Q341" s="9"/>
      <x:c r="R341" s="10" t="n">
        <x:v>2</x:v>
      </x:c>
      <x:c r="S341" s="10"/>
      <x:c r="T341" s="9"/>
      <x:c r="U341" s="9"/>
      <x:c r="V341" s="9"/>
      <x:c r="W341" s="9" t="str">
        <x:v>CT-CF03-N2-04</x:v>
      </x:c>
      <x:c r="X341" s="10"/>
      <x:c r="Y341" s="10"/>
      <x:c r="Z341" s="9"/>
      <x:c r="AA341" s="9" t="str">
        <x:v>L1</x:v>
      </x:c>
      <x:c r="AB341" s="9" t="str">
        <x:v>Direct-name paraphrase</x:v>
      </x:c>
      <x:c r="AC341" s="9"/>
      <x:c r="AD341" s="9"/>
      <x:c r="AE341" s="9"/>
      <x:c r="AF341" s="9"/>
      <x:c r="AG341" s="9"/>
      <x:c r="AH341" s="9"/>
      <x:c r="AI341" s="11"/>
      <x:c r="AJ341" s="9"/>
      <x:c r="AK341" s="9" t="str">
        <x:v>Eval_Ordinal_Reference_Ordering.xlsm</x:v>
      </x:c>
      <x:c r="AL341" s="9" t="str">
        <x:v>MolmoAct2 Results2</x:v>
      </x:c>
      <x:c r="AM341" s="9" t="n">
        <x:v>41</x:v>
      </x:c>
      <x:c r="AN341" s="9" t="n">
        <x:v>41</x:v>
      </x:c>
    </x:row>
    <x:row r="342">
      <x:c r="A342" s="9" t="str">
        <x:v>Success</x:v>
      </x:c>
      <x:c r="B342" s="9" t="str">
        <x:v>Ordinal Reference Ordering</x:v>
      </x:c>
      <x:c r="C342" s="10" t="n">
        <x:v>40</x:v>
      </x:c>
      <x:c r="D342" s="9" t="str">
        <x:v>Grasp the yellow pen, then release it inside the bowl.</x:v>
      </x:c>
      <x:c r="E342" s="9" t="str">
        <x:v>L1: green highlighter, L2: yellow pen</x:v>
      </x:c>
      <x:c r="F342" s="9" t="str">
        <x:v>yellow pen</x:v>
      </x:c>
      <x:c r="G342" s="9"/>
      <x:c r="H342" s="9" t="str">
        <x:v>Language robustness</x:v>
      </x:c>
      <x:c r="I342" s="9" t="str">
        <x:v>CT-CF03-N2-04</x:v>
      </x:c>
      <x:c r="J342" s="9" t="str">
        <x:v>Matched-control paraphrase</x:v>
      </x:c>
      <x:c r="K342" s="9" t="n">
        <x:v>42</x:v>
      </x:c>
      <x:c r="L342" s="9"/>
      <x:c r="M342" s="9"/>
      <x:c r="N342" s="9" t="str">
        <x:v>2 — Full transfer/control/language families</x:v>
      </x:c>
      <x:c r="O342" s="9" t="str">
        <x:v>Return the previously moved object to its marked position. Do not move any other object; only the prompt changes.</x:v>
      </x:c>
      <x:c r="P342" s="9" t="str">
        <x:v>Exact-scene paraphrase of the referenced direct-name control. This tests wording sensitivity without changing the target or physical scene.</x:v>
      </x:c>
      <x:c r="Q342" s="9"/>
      <x:c r="R342" s="10" t="n">
        <x:v>2</x:v>
      </x:c>
      <x:c r="S342" s="10"/>
      <x:c r="T342" s="9"/>
      <x:c r="U342" s="9"/>
      <x:c r="V342" s="9"/>
      <x:c r="W342" s="9" t="str">
        <x:v>CT-CF03-N2-04</x:v>
      </x:c>
      <x:c r="X342" s="10"/>
      <x:c r="Y342" s="10"/>
      <x:c r="Z342" s="9"/>
      <x:c r="AA342" s="9" t="str">
        <x:v>L2</x:v>
      </x:c>
      <x:c r="AB342" s="9" t="str">
        <x:v>Direct-name paraphrase</x:v>
      </x:c>
      <x:c r="AC342" s="9"/>
      <x:c r="AD342" s="9"/>
      <x:c r="AE342" s="9"/>
      <x:c r="AF342" s="9"/>
      <x:c r="AG342" s="9"/>
      <x:c r="AH342" s="9"/>
      <x:c r="AI342" s="11"/>
      <x:c r="AJ342" s="9"/>
      <x:c r="AK342" s="9" t="str">
        <x:v>Eval_Ordinal_Reference_Ordering.xlsm</x:v>
      </x:c>
      <x:c r="AL342" s="9" t="str">
        <x:v>MolmoAct2 Results2</x:v>
      </x:c>
      <x:c r="AM342" s="9" t="n">
        <x:v>42</x:v>
      </x:c>
      <x:c r="AN342" s="9" t="n">
        <x:v>42</x:v>
      </x:c>
    </x:row>
    <x:row r="343">
      <x:c r="A343" s="9" t="str">
        <x:v>Failure</x:v>
      </x:c>
      <x:c r="B343" s="9" t="str">
        <x:v>Ordinal Reference Ordering</x:v>
      </x:c>
      <x:c r="C343" s="10" t="n">
        <x:v>41</x:v>
      </x:c>
      <x:c r="D343" s="9" t="str">
        <x:v>Count from the left; place item number 2 in the bowl.</x:v>
      </x:c>
      <x:c r="E343" s="9" t="str">
        <x:v>L1: green highlighter, L2: yellow pen</x:v>
      </x:c>
      <x:c r="F343" s="9" t="str">
        <x:v>yellow pen</x:v>
      </x:c>
      <x:c r="G343" s="9" t="str">
        <x:v>Picked green highlighter</x:v>
      </x:c>
      <x:c r="H343" s="9" t="str">
        <x:v>Language robustness</x:v>
      </x:c>
      <x:c r="I343" s="9" t="str">
        <x:v>CT-CF03-N2-04</x:v>
      </x:c>
      <x:c r="J343" s="9" t="str">
        <x:v>Transfer paraphrase</x:v>
      </x:c>
      <x:c r="K343" s="9" t="n">
        <x:v>43</x:v>
      </x:c>
      <x:c r="L343" s="9"/>
      <x:c r="M343" s="9"/>
      <x:c r="N343" s="9" t="str">
        <x:v>2 — Full transfer/control/language families</x:v>
      </x:c>
      <x:c r="O343" s="9" t="str">
        <x:v>Return the previously moved object to its marked position. Do not move any other object; only the prompt changes.</x:v>
      </x:c>
      <x:c r="P343" s="9" t="str">
        <x:v>Exact-scene paraphrase of the referenced canonical transfer row. Exclude this row from the 50-trial primary canonical score.</x:v>
      </x:c>
      <x:c r="Q343" s="9"/>
      <x:c r="R343" s="10" t="n">
        <x:v>2</x:v>
      </x:c>
      <x:c r="S343" s="10"/>
      <x:c r="T343" s="9"/>
      <x:c r="U343" s="9"/>
      <x:c r="V343" s="9"/>
      <x:c r="W343" s="9" t="str">
        <x:v>CT-CF03-N2-04</x:v>
      </x:c>
      <x:c r="X343" s="10"/>
      <x:c r="Y343" s="10"/>
      <x:c r="Z343" s="9"/>
      <x:c r="AA343" s="9" t="str">
        <x:v>L2</x:v>
      </x:c>
      <x:c r="AB343" s="9" t="str">
        <x:v>second from left — paraphrase</x:v>
      </x:c>
      <x:c r="AC343" s="9"/>
      <x:c r="AD343" s="9"/>
      <x:c r="AE343" s="9"/>
      <x:c r="AF343" s="9"/>
      <x:c r="AG343" s="9"/>
      <x:c r="AH343" s="9"/>
      <x:c r="AI343" s="11"/>
      <x:c r="AJ343" s="9"/>
      <x:c r="AK343" s="9" t="str">
        <x:v>Eval_Ordinal_Reference_Ordering.xlsm</x:v>
      </x:c>
      <x:c r="AL343" s="9" t="str">
        <x:v>MolmoAct2 Results2</x:v>
      </x:c>
      <x:c r="AM343" s="9" t="n">
        <x:v>43</x:v>
      </x:c>
      <x:c r="AN343" s="9" t="n">
        <x:v>43</x:v>
      </x:c>
    </x:row>
    <x:row r="344">
      <x:c r="A344" s="9" t="str">
        <x:v>Success</x:v>
      </x:c>
      <x:c r="B344" s="9" t="str">
        <x:v>Ordinal Reference Ordering</x:v>
      </x:c>
      <x:c r="C344" s="10" t="n">
        <x:v>42</x:v>
      </x:c>
      <x:c r="D344" s="9" t="str">
        <x:v>Move the yellow pen into the bowl.</x:v>
      </x:c>
      <x:c r="E344" s="9" t="str">
        <x:v>L1: green highlighter, L2: yellow pen</x:v>
      </x:c>
      <x:c r="F344" s="9" t="str">
        <x:v>yellow pen</x:v>
      </x:c>
      <x:c r="G344" s="9"/>
      <x:c r="H344" s="9" t="str">
        <x:v>Matched manipulation control</x:v>
      </x:c>
      <x:c r="I344" s="9" t="str">
        <x:v>CT-CF03-N2-04</x:v>
      </x:c>
      <x:c r="J344" s="9" t="str">
        <x:v>Exact-scene direct control; training prompt from episode 771</x:v>
      </x:c>
      <x:c r="K344" s="9" t="n">
        <x:v>43</x:v>
      </x:c>
      <x:c r="L344" s="9"/>
      <x:c r="M344" s="9"/>
      <x:c r="N344" s="9" t="str">
        <x:v>2 — Full transfer/control/language families</x:v>
      </x:c>
      <x:c r="O344" s="9" t="str">
        <x:v>Return the previously moved object to its marked position. Do not move any other object; only the prompt changes.</x:v>
      </x:c>
      <x:c r="P344" s="9" t="str">
        <x:v>This is the direct-name prompt assigned to the same masked training cell. It tests recognition and manipulation of the exact transfer target in the exact scene without requiring ordinal selection.</x:v>
      </x:c>
      <x:c r="Q344" s="9"/>
      <x:c r="R344" s="10" t="n">
        <x:v>2</x:v>
      </x:c>
      <x:c r="S344" s="10"/>
      <x:c r="T344" s="9"/>
      <x:c r="U344" s="9"/>
      <x:c r="V344" s="9"/>
      <x:c r="W344" s="9" t="str">
        <x:v>CT-CF03-N2-04</x:v>
      </x:c>
      <x:c r="X344" s="10"/>
      <x:c r="Y344" s="10"/>
      <x:c r="Z344" s="9"/>
      <x:c r="AA344" s="9" t="str">
        <x:v>L2</x:v>
      </x:c>
      <x:c r="AB344" s="9" t="str">
        <x:v>Direct-name control</x:v>
      </x:c>
      <x:c r="AC344" s="9"/>
      <x:c r="AD344" s="9"/>
      <x:c r="AE344" s="9"/>
      <x:c r="AF344" s="9"/>
      <x:c r="AG344" s="9"/>
      <x:c r="AH344" s="9"/>
      <x:c r="AI344" s="11"/>
      <x:c r="AJ344" s="9"/>
      <x:c r="AK344" s="9" t="str">
        <x:v>Eval_Ordinal_Reference_Ordering.xlsm</x:v>
      </x:c>
      <x:c r="AL344" s="9" t="str">
        <x:v>MolmoAct2 Results2</x:v>
      </x:c>
      <x:c r="AM344" s="9" t="n">
        <x:v>44</x:v>
      </x:c>
      <x:c r="AN344" s="9" t="n">
        <x:v>44</x:v>
      </x:c>
    </x:row>
    <x:row r="345">
      <x:c r="A345" s="9" t="str">
        <x:v>Success</x:v>
      </x:c>
      <x:c r="B345" s="9" t="str">
        <x:v>Ordinal Reference Ordering</x:v>
      </x:c>
      <x:c r="C345" s="10" t="n">
        <x:v>43</x:v>
      </x:c>
      <x:c r="D345" s="9" t="str">
        <x:v>Pick up the object that is second from the left and place it in the bowl.</x:v>
      </x:c>
      <x:c r="E345" s="9" t="str">
        <x:v>L1: green highlighter, L2: yellow pen</x:v>
      </x:c>
      <x:c r="F345" s="9" t="str">
        <x:v>yellow pen</x:v>
      </x:c>
      <x:c r="G345" s="9"/>
      <x:c r="H345" s="9" t="str">
        <x:v>Concept/compositional transfer</x:v>
      </x:c>
      <x:c r="I345" s="9" t="str">
        <x:v>CT-CF03-N2-04</x:v>
      </x:c>
      <x:c r="J345" s="9" t="str">
        <x:v>Masked cell n=2, L2, yellow pen</x:v>
      </x:c>
      <x:c r="K345" s="9" t="n">
        <x:v>36</x:v>
      </x:c>
      <x:c r="L345" s="9"/>
      <x:c r="M345" s="9"/>
      <x:c r="N345" s="9" t="str">
        <x:v>2 — Full transfer/control/language families</x:v>
      </x:c>
      <x:c r="O345" s="9" t="str">
        <x:v>Return the previously moved object to its marked position. Do not move any other object; only the prompt changes.</x:v>
      </x:c>
      <x:c r="P345" s="9" t="str">
        <x:v>The final manifest masks this exact sequence-length × physical-position × target-identity cell. Both equivalent left- and right-based descriptions are absent for this cell, while the canonical instruction wording occurs elsewhere in training.</x:v>
      </x:c>
      <x:c r="Q345" s="9"/>
      <x:c r="R345" s="10" t="n">
        <x:v>2</x:v>
      </x:c>
      <x:c r="S345" s="10"/>
      <x:c r="T345" s="9"/>
      <x:c r="U345" s="9"/>
      <x:c r="V345" s="9"/>
      <x:c r="W345" s="9" t="str">
        <x:v>CT-CF03-N2-04</x:v>
      </x:c>
      <x:c r="X345" s="10"/>
      <x:c r="Y345" s="10"/>
      <x:c r="Z345" s="9"/>
      <x:c r="AA345" s="9" t="str">
        <x:v>L2</x:v>
      </x:c>
      <x:c r="AB345" s="9" t="str">
        <x:v>second from left</x:v>
      </x:c>
      <x:c r="AC345" s="9"/>
      <x:c r="AD345" s="9"/>
      <x:c r="AE345" s="9"/>
      <x:c r="AF345" s="9"/>
      <x:c r="AG345" s="9"/>
      <x:c r="AH345" s="9"/>
      <x:c r="AI345" s="11"/>
      <x:c r="AJ345" s="9"/>
      <x:c r="AK345" s="9" t="str">
        <x:v>Eval_Ordinal_Reference_Ordering.xlsm</x:v>
      </x:c>
      <x:c r="AL345" s="9" t="str">
        <x:v>MolmoAct2 Results2</x:v>
      </x:c>
      <x:c r="AM345" s="9" t="n">
        <x:v>45</x:v>
      </x:c>
      <x:c r="AN345" s="9" t="n">
        <x:v>45</x:v>
      </x:c>
    </x:row>
    <x:row r="346">
      <x:c r="A346" s="9" t="str">
        <x:v>Failure</x:v>
      </x:c>
      <x:c r="B346" s="9" t="str">
        <x:v>Ordinal Reference Ordering</x:v>
      </x:c>
      <x:c r="C346" s="10" t="n">
        <x:v>44</x:v>
      </x:c>
      <x:c r="D346" s="9" t="str">
        <x:v>Pick up the object that is third from the left and place it in the bowl.</x:v>
      </x:c>
      <x:c r="E346" s="9" t="str">
        <x:v>L1: yellow pen, L2: airplane toy with propellers, L3: green highlighter</x:v>
      </x:c>
      <x:c r="F346" s="9" t="str">
        <x:v>green highlighter</x:v>
      </x:c>
      <x:c r="G346" s="9" t="str">
        <x:v>Grabbed airplane toy</x:v>
      </x:c>
      <x:c r="H346" s="9" t="str">
        <x:v>Concept/compositional transfer</x:v>
      </x:c>
      <x:c r="I346" s="9" t="str">
        <x:v>CT-CF04-N3-04</x:v>
      </x:c>
      <x:c r="J346" s="9" t="str">
        <x:v>Masked cell n=3, L3, green highlighter</x:v>
      </x:c>
      <x:c r="K346" s="9"/>
      <x:c r="L346" s="9"/>
      <x:c r="M346" s="9"/>
      <x:c r="N346" s="9" t="str">
        <x:v>2 — Full transfer/control/language families</x:v>
      </x:c>
      <x:c r="O346" s="9" t="str">
        <x:v>Build this new scene family exactly from the L1–L4 description and save a first-frame reference image.</x:v>
      </x:c>
      <x:c r="P346" s="9" t="str">
        <x:v>The final manifest masks this exact sequence-length × physical-position × target-identity cell. Both equivalent left- and right-based descriptions are absent for this cell, while the canonical instruction wording occurs elsewhere in training.</x:v>
      </x:c>
      <x:c r="Q346" s="9"/>
      <x:c r="R346" s="10" t="n">
        <x:v>3</x:v>
      </x:c>
      <x:c r="S346" s="10"/>
      <x:c r="T346" s="9"/>
      <x:c r="U346" s="9"/>
      <x:c r="V346" s="9"/>
      <x:c r="W346" s="9" t="str">
        <x:v>CT-CF04-N3-04</x:v>
      </x:c>
      <x:c r="X346" s="10"/>
      <x:c r="Y346" s="10"/>
      <x:c r="Z346" s="9"/>
      <x:c r="AA346" s="9" t="str">
        <x:v>L3</x:v>
      </x:c>
      <x:c r="AB346" s="9" t="str">
        <x:v>third from left</x:v>
      </x:c>
      <x:c r="AC346" s="9"/>
      <x:c r="AD346" s="9"/>
      <x:c r="AE346" s="9"/>
      <x:c r="AF346" s="9"/>
      <x:c r="AG346" s="9"/>
      <x:c r="AH346" s="9"/>
      <x:c r="AI346" s="11"/>
      <x:c r="AJ346" s="9"/>
      <x:c r="AK346" s="9" t="str">
        <x:v>Eval_Ordinal_Reference_Ordering.xlsm</x:v>
      </x:c>
      <x:c r="AL346" s="9" t="str">
        <x:v>MolmoAct2 Results2</x:v>
      </x:c>
      <x:c r="AM346" s="9" t="n">
        <x:v>46</x:v>
      </x:c>
      <x:c r="AN346" s="9" t="n">
        <x:v>46</x:v>
      </x:c>
    </x:row>
    <x:row r="347">
      <x:c r="A347" s="9" t="str">
        <x:v>Failure</x:v>
      </x:c>
      <x:c r="B347" s="9" t="str">
        <x:v>Ordinal Reference Ordering</x:v>
      </x:c>
      <x:c r="C347" s="10" t="n">
        <x:v>45</x:v>
      </x:c>
      <x:c r="D347" s="9" t="str">
        <x:v>Put the green highlighter in the bowl.</x:v>
      </x:c>
      <x:c r="E347" s="9" t="str">
        <x:v>L1: yellow pen, L2: airplane toy with propellers, L3: green highlighter</x:v>
      </x:c>
      <x:c r="F347" s="9" t="str">
        <x:v>green highlighter</x:v>
      </x:c>
      <x:c r="G347" s="9" t="str">
        <x:v>Went for green highlighter, but rotated wrist too much. Grasping failure. Went for correct object.</x:v>
      </x:c>
      <x:c r="H347" s="9" t="str">
        <x:v>Matched manipulation control</x:v>
      </x:c>
      <x:c r="I347" s="9" t="str">
        <x:v>CT-CF04-N3-04</x:v>
      </x:c>
      <x:c r="J347" s="9" t="str">
        <x:v>Exact-scene direct control; training prompt from episode 733</x:v>
      </x:c>
      <x:c r="K347" s="9" t="n">
        <x:v>44</x:v>
      </x:c>
      <x:c r="L347" s="9"/>
      <x:c r="M347" s="9"/>
      <x:c r="N347" s="9" t="str">
        <x:v>2 — Full transfer/control/language families</x:v>
      </x:c>
      <x:c r="O347" s="9" t="str">
        <x:v>Return the previously moved object to its marked position. Do not move any other object; only the prompt changes.</x:v>
      </x:c>
      <x:c r="P347" s="9" t="str">
        <x:v>This is the direct-name prompt assigned to the same masked training cell. It tests recognition and manipulation of the exact transfer target in the exact scene without requiring ordinal selection.</x:v>
      </x:c>
      <x:c r="Q347" s="9"/>
      <x:c r="R347" s="10" t="n">
        <x:v>3</x:v>
      </x:c>
      <x:c r="S347" s="10"/>
      <x:c r="T347" s="9"/>
      <x:c r="U347" s="9"/>
      <x:c r="V347" s="9"/>
      <x:c r="W347" s="9" t="str">
        <x:v>CT-CF04-N3-04</x:v>
      </x:c>
      <x:c r="X347" s="10"/>
      <x:c r="Y347" s="10"/>
      <x:c r="Z347" s="9"/>
      <x:c r="AA347" s="9" t="str">
        <x:v>L3</x:v>
      </x:c>
      <x:c r="AB347" s="9" t="str">
        <x:v>Direct-name control</x:v>
      </x:c>
      <x:c r="AC347" s="9"/>
      <x:c r="AD347" s="9"/>
      <x:c r="AE347" s="9"/>
      <x:c r="AF347" s="9"/>
      <x:c r="AG347" s="9"/>
      <x:c r="AH347" s="9"/>
      <x:c r="AI347" s="11"/>
      <x:c r="AJ347" s="9"/>
      <x:c r="AK347" s="9" t="str">
        <x:v>Eval_Ordinal_Reference_Ordering.xlsm</x:v>
      </x:c>
      <x:c r="AL347" s="9" t="str">
        <x:v>MolmoAct2 Results2</x:v>
      </x:c>
      <x:c r="AM347" s="9" t="n">
        <x:v>47</x:v>
      </x:c>
      <x:c r="AN347" s="9" t="n">
        <x:v>47</x:v>
      </x:c>
    </x:row>
    <x:row r="348">
      <x:c r="A348" s="9" t="str">
        <x:v>Failure</x:v>
      </x:c>
      <x:c r="B348" s="9" t="str">
        <x:v>Ordinal Reference Ordering</x:v>
      </x:c>
      <x:c r="C348" s="10" t="n">
        <x:v>46</x:v>
      </x:c>
      <x:c r="D348" s="9" t="str">
        <x:v>Put the item in the third position from the left into the bowl.</x:v>
      </x:c>
      <x:c r="E348" s="9" t="str">
        <x:v>L1: yellow pen, L2: airplane toy with propellers, L3: green highlighter</x:v>
      </x:c>
      <x:c r="F348" s="9" t="str">
        <x:v>green highlighter</x:v>
      </x:c>
      <x:c r="G348" s="9" t="str">
        <x:v>Grabbed airplane toy</x:v>
      </x:c>
      <x:c r="H348" s="9" t="str">
        <x:v>Language robustness</x:v>
      </x:c>
      <x:c r="I348" s="9" t="str">
        <x:v>CT-CF04-N3-04</x:v>
      </x:c>
      <x:c r="J348" s="9" t="str">
        <x:v>Transfer paraphrase</x:v>
      </x:c>
      <x:c r="K348" s="9" t="n">
        <x:v>44</x:v>
      </x:c>
      <x:c r="L348" s="9"/>
      <x:c r="M348" s="9"/>
      <x:c r="N348" s="9" t="str">
        <x:v>2 — Full transfer/control/language families</x:v>
      </x:c>
      <x:c r="O348" s="9" t="str">
        <x:v>Return the previously moved object to its marked position. Do not move any other object; only the prompt changes.</x:v>
      </x:c>
      <x:c r="P348" s="9" t="str">
        <x:v>Exact-scene paraphrase of the referenced canonical transfer row. Exclude this row from the 50-trial primary canonical score.</x:v>
      </x:c>
      <x:c r="Q348" s="9"/>
      <x:c r="R348" s="10" t="n">
        <x:v>3</x:v>
      </x:c>
      <x:c r="S348" s="10"/>
      <x:c r="T348" s="9"/>
      <x:c r="U348" s="9"/>
      <x:c r="V348" s="9"/>
      <x:c r="W348" s="9" t="str">
        <x:v>CT-CF04-N3-04</x:v>
      </x:c>
      <x:c r="X348" s="10"/>
      <x:c r="Y348" s="10"/>
      <x:c r="Z348" s="9"/>
      <x:c r="AA348" s="9" t="str">
        <x:v>L3</x:v>
      </x:c>
      <x:c r="AB348" s="9" t="str">
        <x:v>third from left — paraphrase</x:v>
      </x:c>
      <x:c r="AC348" s="9"/>
      <x:c r="AD348" s="9"/>
      <x:c r="AE348" s="9"/>
      <x:c r="AF348" s="9"/>
      <x:c r="AG348" s="9"/>
      <x:c r="AH348" s="9"/>
      <x:c r="AI348" s="11"/>
      <x:c r="AJ348" s="9"/>
      <x:c r="AK348" s="9" t="str">
        <x:v>Eval_Ordinal_Reference_Ordering.xlsm</x:v>
      </x:c>
      <x:c r="AL348" s="9" t="str">
        <x:v>MolmoAct2 Results2</x:v>
      </x:c>
      <x:c r="AM348" s="9" t="n">
        <x:v>48</x:v>
      </x:c>
      <x:c r="AN348" s="9" t="n">
        <x:v>48</x:v>
      </x:c>
    </x:row>
    <x:row r="349">
      <x:c r="A349" s="9" t="str">
        <x:v>Failure</x:v>
      </x:c>
      <x:c r="B349" s="9" t="str">
        <x:v>Ordinal Reference Ordering</x:v>
      </x:c>
      <x:c r="C349" s="10" t="n">
        <x:v>47</x:v>
      </x:c>
      <x:c r="D349" s="9" t="str">
        <x:v>Move the row's green highlighter into the bowl.</x:v>
      </x:c>
      <x:c r="E349" s="9" t="str">
        <x:v>L1: yellow pen, L2: airplane toy with propellers, L3: green highlighter</x:v>
      </x:c>
      <x:c r="F349" s="9" t="str">
        <x:v>green highlighter</x:v>
      </x:c>
      <x:c r="G349" s="9" t="str">
        <x:v>Went for green highlighter, but rotated wrist too much. Grasping failure. Went for correct object.</x:v>
      </x:c>
      <x:c r="H349" s="9" t="str">
        <x:v>Language robustness</x:v>
      </x:c>
      <x:c r="I349" s="9" t="str">
        <x:v>CT-CF04-N3-04</x:v>
      </x:c>
      <x:c r="J349" s="9" t="str">
        <x:v>Matched-control paraphrase</x:v>
      </x:c>
      <x:c r="K349" s="9" t="n">
        <x:v>45</x:v>
      </x:c>
      <x:c r="L349" s="9"/>
      <x:c r="M349" s="9"/>
      <x:c r="N349" s="9" t="str">
        <x:v>2 — Full transfer/control/language families</x:v>
      </x:c>
      <x:c r="O349" s="9" t="str">
        <x:v>Return the previously moved object to its marked position. Do not move any other object; only the prompt changes.</x:v>
      </x:c>
      <x:c r="P349" s="9" t="str">
        <x:v>Exact-scene paraphrase of the referenced direct-name control. This tests wording sensitivity without changing the target or physical scene.</x:v>
      </x:c>
      <x:c r="Q349" s="9"/>
      <x:c r="R349" s="10" t="n">
        <x:v>3</x:v>
      </x:c>
      <x:c r="S349" s="10"/>
      <x:c r="T349" s="9"/>
      <x:c r="U349" s="9"/>
      <x:c r="V349" s="9"/>
      <x:c r="W349" s="9" t="str">
        <x:v>CT-CF04-N3-04</x:v>
      </x:c>
      <x:c r="X349" s="10"/>
      <x:c r="Y349" s="10"/>
      <x:c r="Z349" s="9"/>
      <x:c r="AA349" s="9" t="str">
        <x:v>L3</x:v>
      </x:c>
      <x:c r="AB349" s="9" t="str">
        <x:v>Direct-name paraphrase</x:v>
      </x:c>
      <x:c r="AC349" s="9"/>
      <x:c r="AD349" s="9"/>
      <x:c r="AE349" s="9"/>
      <x:c r="AF349" s="9"/>
      <x:c r="AG349" s="9"/>
      <x:c r="AH349" s="9"/>
      <x:c r="AI349" s="11"/>
      <x:c r="AJ349" s="9"/>
      <x:c r="AK349" s="9" t="str">
        <x:v>Eval_Ordinal_Reference_Ordering.xlsm</x:v>
      </x:c>
      <x:c r="AL349" s="9" t="str">
        <x:v>MolmoAct2 Results2</x:v>
      </x:c>
      <x:c r="AM349" s="9" t="n">
        <x:v>49</x:v>
      </x:c>
      <x:c r="AN349" s="9" t="n">
        <x:v>49</x:v>
      </x:c>
    </x:row>
    <x:row r="350">
      <x:c r="A350" s="9" t="str">
        <x:v>Failure</x:v>
      </x:c>
      <x:c r="B350" s="9" t="str">
        <x:v>Ordinal Reference Ordering</x:v>
      </x:c>
      <x:c r="C350" s="10" t="n">
        <x:v>48</x:v>
      </x:c>
      <x:c r="D350" s="9" t="str">
        <x:v>Grasp the yellow pen, then release it inside the bowl.</x:v>
      </x:c>
      <x:c r="E350" s="9" t="str">
        <x:v>L1: yellow pen, L2: airplane toy with propellers, L3: green highlighter</x:v>
      </x:c>
      <x:c r="F350" s="9" t="str">
        <x:v>yellow pen</x:v>
      </x:c>
      <x:c r="G350" s="9" t="str">
        <x:v>Went for yellow pen and then couldn't grab it. Did weird wrist roll again.</x:v>
      </x:c>
      <x:c r="H350" s="9" t="str">
        <x:v>Language robustness</x:v>
      </x:c>
      <x:c r="I350" s="9" t="str">
        <x:v>CT-CF04-N3-04</x:v>
      </x:c>
      <x:c r="J350" s="9" t="str">
        <x:v>Matched-control paraphrase</x:v>
      </x:c>
      <x:c r="K350" s="9" t="n">
        <x:v>50</x:v>
      </x:c>
      <x:c r="L350" s="9"/>
      <x:c r="M350" s="9"/>
      <x:c r="N350" s="9" t="str">
        <x:v>2 — Full transfer/control/language families</x:v>
      </x:c>
      <x:c r="O350" s="9" t="str">
        <x:v>Return the previously moved object to its marked position. Do not move any other object; only the prompt changes.</x:v>
      </x:c>
      <x:c r="P350" s="9" t="str">
        <x:v>Exact-scene paraphrase of the referenced direct-name control. This tests wording sensitivity without changing the target or physical scene.</x:v>
      </x:c>
      <x:c r="Q350" s="9"/>
      <x:c r="R350" s="10" t="n">
        <x:v>3</x:v>
      </x:c>
      <x:c r="S350" s="10"/>
      <x:c r="T350" s="9"/>
      <x:c r="U350" s="9"/>
      <x:c r="V350" s="9"/>
      <x:c r="W350" s="9" t="str">
        <x:v>CT-CF04-N3-04</x:v>
      </x:c>
      <x:c r="X350" s="10"/>
      <x:c r="Y350" s="10"/>
      <x:c r="Z350" s="9"/>
      <x:c r="AA350" s="9" t="str">
        <x:v>L1</x:v>
      </x:c>
      <x:c r="AB350" s="9" t="str">
        <x:v>Direct-name paraphrase</x:v>
      </x:c>
      <x:c r="AC350" s="9"/>
      <x:c r="AD350" s="9"/>
      <x:c r="AE350" s="9"/>
      <x:c r="AF350" s="9"/>
      <x:c r="AG350" s="9"/>
      <x:c r="AH350" s="9"/>
      <x:c r="AI350" s="11"/>
      <x:c r="AJ350" s="9"/>
      <x:c r="AK350" s="9" t="str">
        <x:v>Eval_Ordinal_Reference_Ordering.xlsm</x:v>
      </x:c>
      <x:c r="AL350" s="9" t="str">
        <x:v>MolmoAct2 Results2</x:v>
      </x:c>
      <x:c r="AM350" s="9" t="n">
        <x:v>50</x:v>
      </x:c>
      <x:c r="AN350" s="9" t="n">
        <x:v>50</x:v>
      </x:c>
    </x:row>
    <x:row r="351">
      <x:c r="A351" s="9" t="str">
        <x:v>Failure</x:v>
      </x:c>
      <x:c r="B351" s="9" t="str">
        <x:v>Ordinal Reference Ordering</x:v>
      </x:c>
      <x:c r="C351" s="10" t="n">
        <x:v>49</x:v>
      </x:c>
      <x:c r="D351" s="9" t="str">
        <x:v>Count from the left; place item number 1 in the bowl.</x:v>
      </x:c>
      <x:c r="E351" s="9" t="str">
        <x:v>L1: yellow pen, L2: airplane toy with propellers, L3: green highlighter</x:v>
      </x:c>
      <x:c r="F351" s="9" t="str">
        <x:v>yellow pen</x:v>
      </x:c>
      <x:c r="G351" s="9" t="str">
        <x:v>Grabbed green highlighter and did weird wrist roll</x:v>
      </x:c>
      <x:c r="H351" s="9" t="str">
        <x:v>Language robustness</x:v>
      </x:c>
      <x:c r="I351" s="9" t="str">
        <x:v>CT-CF04-N3-04</x:v>
      </x:c>
      <x:c r="J351" s="9" t="str">
        <x:v>Transfer paraphrase</x:v>
      </x:c>
      <x:c r="K351" s="9" t="n">
        <x:v>51</x:v>
      </x:c>
      <x:c r="L351" s="9"/>
      <x:c r="M351" s="9"/>
      <x:c r="N351" s="9" t="str">
        <x:v>2 — Full transfer/control/language families</x:v>
      </x:c>
      <x:c r="O351" s="9" t="str">
        <x:v>Return the previously moved object to its marked position. Do not move any other object; only the prompt changes.</x:v>
      </x:c>
      <x:c r="P351" s="9" t="str">
        <x:v>Exact-scene paraphrase of the referenced canonical transfer row. Exclude this row from the 50-trial primary canonical score.</x:v>
      </x:c>
      <x:c r="Q351" s="9"/>
      <x:c r="R351" s="10" t="n">
        <x:v>3</x:v>
      </x:c>
      <x:c r="S351" s="10"/>
      <x:c r="T351" s="9"/>
      <x:c r="U351" s="9"/>
      <x:c r="V351" s="9"/>
      <x:c r="W351" s="9" t="str">
        <x:v>CT-CF04-N3-04</x:v>
      </x:c>
      <x:c r="X351" s="10"/>
      <x:c r="Y351" s="10"/>
      <x:c r="Z351" s="9"/>
      <x:c r="AA351" s="9" t="str">
        <x:v>L1</x:v>
      </x:c>
      <x:c r="AB351" s="9" t="str">
        <x:v>first from left — paraphrase</x:v>
      </x:c>
      <x:c r="AC351" s="9"/>
      <x:c r="AD351" s="9"/>
      <x:c r="AE351" s="9"/>
      <x:c r="AF351" s="9"/>
      <x:c r="AG351" s="9"/>
      <x:c r="AH351" s="9"/>
      <x:c r="AI351" s="11"/>
      <x:c r="AJ351" s="9"/>
      <x:c r="AK351" s="9" t="str">
        <x:v>Eval_Ordinal_Reference_Ordering.xlsm</x:v>
      </x:c>
      <x:c r="AL351" s="9" t="str">
        <x:v>MolmoAct2 Results2</x:v>
      </x:c>
      <x:c r="AM351" s="9" t="n">
        <x:v>51</x:v>
      </x:c>
      <x:c r="AN351" s="9" t="n">
        <x:v>51</x:v>
      </x:c>
    </x:row>
    <x:row r="352">
      <x:c r="A352" s="9" t="str">
        <x:v>Failure</x:v>
      </x:c>
      <x:c r="B352" s="9" t="str">
        <x:v>Ordinal Reference Ordering</x:v>
      </x:c>
      <x:c r="C352" s="10" t="n">
        <x:v>50</x:v>
      </x:c>
      <x:c r="D352" s="9" t="str">
        <x:v>Put the yellow pen in the bowl.</x:v>
      </x:c>
      <x:c r="E352" s="9" t="str">
        <x:v>L1: yellow pen, L2: airplane toy with propellers, L3: green highlighter</x:v>
      </x:c>
      <x:c r="F352" s="9" t="str">
        <x:v>yellow pen</x:v>
      </x:c>
      <x:c r="G352" s="9" t="str">
        <x:v>Doing weird wrist roll again. Went for yellow pen, but couldn't pick it up.</x:v>
      </x:c>
      <x:c r="H352" s="9" t="str">
        <x:v>Matched manipulation control</x:v>
      </x:c>
      <x:c r="I352" s="9" t="str">
        <x:v>CT-CF04-N3-04</x:v>
      </x:c>
      <x:c r="J352" s="9" t="str">
        <x:v>Exact-scene direct control; training prompt from episode 757</x:v>
      </x:c>
      <x:c r="K352" s="9" t="n">
        <x:v>51</x:v>
      </x:c>
      <x:c r="L352" s="9"/>
      <x:c r="M352" s="9"/>
      <x:c r="N352" s="9" t="str">
        <x:v>2 — Full transfer/control/language families</x:v>
      </x:c>
      <x:c r="O352" s="9" t="str">
        <x:v>Return the previously moved object to its marked position. Do not move any other object; only the prompt changes.</x:v>
      </x:c>
      <x:c r="P352" s="9" t="str">
        <x:v>This is the direct-name prompt assigned to the same masked training cell. It tests recognition and manipulation of the exact transfer target in the exact scene without requiring ordinal selection.</x:v>
      </x:c>
      <x:c r="Q352" s="9"/>
      <x:c r="R352" s="10" t="n">
        <x:v>3</x:v>
      </x:c>
      <x:c r="S352" s="10"/>
      <x:c r="T352" s="9"/>
      <x:c r="U352" s="9"/>
      <x:c r="V352" s="9"/>
      <x:c r="W352" s="9" t="str">
        <x:v>CT-CF04-N3-04</x:v>
      </x:c>
      <x:c r="X352" s="10"/>
      <x:c r="Y352" s="10"/>
      <x:c r="Z352" s="9"/>
      <x:c r="AA352" s="9" t="str">
        <x:v>L1</x:v>
      </x:c>
      <x:c r="AB352" s="9" t="str">
        <x:v>Direct-name control</x:v>
      </x:c>
      <x:c r="AC352" s="9"/>
      <x:c r="AD352" s="9"/>
      <x:c r="AE352" s="9"/>
      <x:c r="AF352" s="9"/>
      <x:c r="AG352" s="9"/>
      <x:c r="AH352" s="9"/>
      <x:c r="AI352" s="11"/>
      <x:c r="AJ352" s="9"/>
      <x:c r="AK352" s="9" t="str">
        <x:v>Eval_Ordinal_Reference_Ordering.xlsm</x:v>
      </x:c>
      <x:c r="AL352" s="9" t="str">
        <x:v>MolmoAct2 Results2</x:v>
      </x:c>
      <x:c r="AM352" s="9" t="n">
        <x:v>52</x:v>
      </x:c>
      <x:c r="AN352" s="9" t="n">
        <x:v>52</x:v>
      </x:c>
    </x:row>
    <x:row r="353">
      <x:c r="A353" s="9" t="str">
        <x:v>Success</x:v>
      </x:c>
      <x:c r="B353" s="9" t="str">
        <x:v>Ordinal Reference Ordering</x:v>
      </x:c>
      <x:c r="C353" s="10" t="n">
        <x:v>51</x:v>
      </x:c>
      <x:c r="D353" s="9" t="str">
        <x:v>Pick up the object that is first from the left and place it in the bowl.</x:v>
      </x:c>
      <x:c r="E353" s="9" t="str">
        <x:v>L1: yellow pen, L2: airplane toy with propellers, L3: green highlighter</x:v>
      </x:c>
      <x:c r="F353" s="9" t="str">
        <x:v>yellow pen</x:v>
      </x:c>
      <x:c r="G353" s="9" t="str">
        <x:v>Got it great</x:v>
      </x:c>
      <x:c r="H353" s="9" t="str">
        <x:v>Concept/compositional transfer</x:v>
      </x:c>
      <x:c r="I353" s="9" t="str">
        <x:v>CT-CF04-N3-04</x:v>
      </x:c>
      <x:c r="J353" s="9" t="str">
        <x:v>Masked cell n=3, L1, yellow pen</x:v>
      </x:c>
      <x:c r="K353" s="9" t="n">
        <x:v>44</x:v>
      </x:c>
      <x:c r="L353" s="9"/>
      <x:c r="M353" s="9"/>
      <x:c r="N353" s="9" t="str">
        <x:v>2 — Full transfer/control/language families</x:v>
      </x:c>
      <x:c r="O353" s="9" t="str">
        <x:v>Return the previously moved object to its marked position. Do not move any other object; only the prompt changes.</x:v>
      </x:c>
      <x:c r="P353" s="9" t="str">
        <x:v>The final manifest masks this exact sequence-length × physical-position × target-identity cell. Both equivalent left- and right-based descriptions are absent for this cell, while the canonical instruction wording occurs elsewhere in training.</x:v>
      </x:c>
      <x:c r="Q353" s="9"/>
      <x:c r="R353" s="10" t="n">
        <x:v>3</x:v>
      </x:c>
      <x:c r="S353" s="10"/>
      <x:c r="T353" s="9"/>
      <x:c r="U353" s="9"/>
      <x:c r="V353" s="9"/>
      <x:c r="W353" s="9" t="str">
        <x:v>CT-CF04-N3-04</x:v>
      </x:c>
      <x:c r="X353" s="10"/>
      <x:c r="Y353" s="10"/>
      <x:c r="Z353" s="9"/>
      <x:c r="AA353" s="9" t="str">
        <x:v>L1</x:v>
      </x:c>
      <x:c r="AB353" s="9" t="str">
        <x:v>first from left</x:v>
      </x:c>
      <x:c r="AC353" s="9"/>
      <x:c r="AD353" s="9"/>
      <x:c r="AE353" s="9"/>
      <x:c r="AF353" s="9"/>
      <x:c r="AG353" s="9"/>
      <x:c r="AH353" s="9"/>
      <x:c r="AI353" s="11"/>
      <x:c r="AJ353" s="9"/>
      <x:c r="AK353" s="9" t="str">
        <x:v>Eval_Ordinal_Reference_Ordering.xlsm</x:v>
      </x:c>
      <x:c r="AL353" s="9" t="str">
        <x:v>MolmoAct2 Results2</x:v>
      </x:c>
      <x:c r="AM353" s="9" t="n">
        <x:v>53</x:v>
      </x:c>
      <x:c r="AN353" s="9" t="n">
        <x:v>53</x:v>
      </x:c>
    </x:row>
    <x:row r="354">
      <x:c r="A354" s="9" t="str">
        <x:v>Success</x:v>
      </x:c>
      <x:c r="B354" s="9" t="str">
        <x:v>Ordinal Reference Ordering</x:v>
      </x:c>
      <x:c r="C354" s="10" t="n">
        <x:v>52</x:v>
      </x:c>
      <x:c r="D354" s="9" t="str">
        <x:v>Pick up the object that is fourth from the right and place it in the bowl.</x:v>
      </x:c>
      <x:c r="E354" s="9" t="str">
        <x:v>L1: airplane toy with propellers, L2: blue tape ball, L3: yellow pen, L4: green highlighter</x:v>
      </x:c>
      <x:c r="F354" s="9" t="str">
        <x:v>airplane toy with propellers</x:v>
      </x:c>
      <x:c r="G354" s="9"/>
      <x:c r="H354" s="9" t="str">
        <x:v>Concept/compositional transfer</x:v>
      </x:c>
      <x:c r="I354" s="9" t="str">
        <x:v>CT-CF05-N4-01</x:v>
      </x:c>
      <x:c r="J354" s="9" t="str">
        <x:v>Masked cell n=4, L1, airplane toy with propellers</x:v>
      </x:c>
      <x:c r="K354" s="9"/>
      <x:c r="L354" s="9"/>
      <x:c r="M354" s="9"/>
      <x:c r="N354" s="9" t="str">
        <x:v>2 — Full transfer/control/language families</x:v>
      </x:c>
      <x:c r="O354" s="9" t="str">
        <x:v>Build this new scene family exactly from the L1–L4 description and save a first-frame reference image.</x:v>
      </x:c>
      <x:c r="P354" s="9" t="str">
        <x:v>The final manifest masks this exact sequence-length × physical-position × target-identity cell. Both equivalent left- and right-based descriptions are absent for this cell, while the canonical instruction wording occurs elsewhere in training.</x:v>
      </x:c>
      <x:c r="Q354" s="9"/>
      <x:c r="R354" s="10" t="n">
        <x:v>4</x:v>
      </x:c>
      <x:c r="S354" s="10"/>
      <x:c r="T354" s="9"/>
      <x:c r="U354" s="9"/>
      <x:c r="V354" s="9"/>
      <x:c r="W354" s="9" t="str">
        <x:v>CT-CF05-N4-01</x:v>
      </x:c>
      <x:c r="X354" s="10"/>
      <x:c r="Y354" s="10"/>
      <x:c r="Z354" s="9"/>
      <x:c r="AA354" s="9" t="str">
        <x:v>L1</x:v>
      </x:c>
      <x:c r="AB354" s="9" t="str">
        <x:v>fourth from right</x:v>
      </x:c>
      <x:c r="AC354" s="9"/>
      <x:c r="AD354" s="9"/>
      <x:c r="AE354" s="9"/>
      <x:c r="AF354" s="9"/>
      <x:c r="AG354" s="9"/>
      <x:c r="AH354" s="9"/>
      <x:c r="AI354" s="11"/>
      <x:c r="AJ354" s="9"/>
      <x:c r="AK354" s="9" t="str">
        <x:v>Eval_Ordinal_Reference_Ordering.xlsm</x:v>
      </x:c>
      <x:c r="AL354" s="9" t="str">
        <x:v>MolmoAct2 Results2</x:v>
      </x:c>
      <x:c r="AM354" s="9" t="n">
        <x:v>54</x:v>
      </x:c>
      <x:c r="AN354" s="9" t="n">
        <x:v>54</x:v>
      </x:c>
    </x:row>
    <x:row r="355">
      <x:c r="A355" s="9" t="str">
        <x:v>Success</x:v>
      </x:c>
      <x:c r="B355" s="9" t="str">
        <x:v>Ordinal Reference Ordering</x:v>
      </x:c>
      <x:c r="C355" s="10" t="n">
        <x:v>53</x:v>
      </x:c>
      <x:c r="D355" s="9" t="str">
        <x:v>Move the airplane toy with propellers into the bowl.</x:v>
      </x:c>
      <x:c r="E355" s="9" t="str">
        <x:v>L1: airplane toy with propellers, L2: blue tape ball, L3: yellow pen, L4: green highlighter</x:v>
      </x:c>
      <x:c r="F355" s="9" t="str">
        <x:v>airplane toy with propellers</x:v>
      </x:c>
      <x:c r="G355" s="9"/>
      <x:c r="H355" s="9" t="str">
        <x:v>Matched manipulation control</x:v>
      </x:c>
      <x:c r="I355" s="9" t="str">
        <x:v>CT-CF05-N4-01</x:v>
      </x:c>
      <x:c r="J355" s="9" t="str">
        <x:v>Exact-scene direct control; training prompt from episode 600</x:v>
      </x:c>
      <x:c r="K355" s="9" t="n">
        <x:v>52</x:v>
      </x:c>
      <x:c r="L355" s="9"/>
      <x:c r="M355" s="9"/>
      <x:c r="N355" s="9" t="str">
        <x:v>2 — Full transfer/control/language families</x:v>
      </x:c>
      <x:c r="O355" s="9" t="str">
        <x:v>Return the previously moved object to its marked position. Do not move any other object; only the prompt changes.</x:v>
      </x:c>
      <x:c r="P355" s="9" t="str">
        <x:v>This is the direct-name prompt assigned to the same masked training cell. It tests recognition and manipulation of the exact transfer target in the exact scene without requiring ordinal selection.</x:v>
      </x:c>
      <x:c r="Q355" s="9"/>
      <x:c r="R355" s="10" t="n">
        <x:v>4</x:v>
      </x:c>
      <x:c r="S355" s="10"/>
      <x:c r="T355" s="9"/>
      <x:c r="U355" s="9"/>
      <x:c r="V355" s="9"/>
      <x:c r="W355" s="9" t="str">
        <x:v>CT-CF05-N4-01</x:v>
      </x:c>
      <x:c r="X355" s="10"/>
      <x:c r="Y355" s="10"/>
      <x:c r="Z355" s="9"/>
      <x:c r="AA355" s="9" t="str">
        <x:v>L1</x:v>
      </x:c>
      <x:c r="AB355" s="9" t="str">
        <x:v>Direct-name control</x:v>
      </x:c>
      <x:c r="AC355" s="9"/>
      <x:c r="AD355" s="9"/>
      <x:c r="AE355" s="9"/>
      <x:c r="AF355" s="9"/>
      <x:c r="AG355" s="9"/>
      <x:c r="AH355" s="9"/>
      <x:c r="AI355" s="11"/>
      <x:c r="AJ355" s="9"/>
      <x:c r="AK355" s="9" t="str">
        <x:v>Eval_Ordinal_Reference_Ordering.xlsm</x:v>
      </x:c>
      <x:c r="AL355" s="9" t="str">
        <x:v>MolmoAct2 Results2</x:v>
      </x:c>
      <x:c r="AM355" s="9" t="n">
        <x:v>55</x:v>
      </x:c>
      <x:c r="AN355" s="9" t="n">
        <x:v>55</x:v>
      </x:c>
    </x:row>
    <x:row r="356">
      <x:c r="A356" s="9" t="str">
        <x:v>Success</x:v>
      </x:c>
      <x:c r="B356" s="9" t="str">
        <x:v>Ordinal Reference Ordering</x:v>
      </x:c>
      <x:c r="C356" s="10" t="n">
        <x:v>54</x:v>
      </x:c>
      <x:c r="D356" s="9" t="str">
        <x:v>Put the item in the fourth position from the right into the bowl.</x:v>
      </x:c>
      <x:c r="E356" s="9" t="str">
        <x:v>L1: airplane toy with propellers, L2: blue tape ball, L3: yellow pen, L4: green highlighter</x:v>
      </x:c>
      <x:c r="F356" s="9" t="str">
        <x:v>airplane toy with propellers</x:v>
      </x:c>
      <x:c r="G356" s="9"/>
      <x:c r="H356" s="9" t="str">
        <x:v>Language robustness</x:v>
      </x:c>
      <x:c r="I356" s="9" t="str">
        <x:v>CT-CF05-N4-01</x:v>
      </x:c>
      <x:c r="J356" s="9" t="str">
        <x:v>Transfer paraphrase</x:v>
      </x:c>
      <x:c r="K356" s="9" t="n">
        <x:v>52</x:v>
      </x:c>
      <x:c r="L356" s="9"/>
      <x:c r="M356" s="9"/>
      <x:c r="N356" s="9" t="str">
        <x:v>2 — Full transfer/control/language families</x:v>
      </x:c>
      <x:c r="O356" s="9" t="str">
        <x:v>Return the previously moved object to its marked position. Do not move any other object; only the prompt changes.</x:v>
      </x:c>
      <x:c r="P356" s="9" t="str">
        <x:v>Exact-scene paraphrase of the referenced canonical transfer row. Exclude this row from the 50-trial primary canonical score.</x:v>
      </x:c>
      <x:c r="Q356" s="9"/>
      <x:c r="R356" s="10" t="n">
        <x:v>4</x:v>
      </x:c>
      <x:c r="S356" s="10"/>
      <x:c r="T356" s="9"/>
      <x:c r="U356" s="9"/>
      <x:c r="V356" s="9"/>
      <x:c r="W356" s="9" t="str">
        <x:v>CT-CF05-N4-01</x:v>
      </x:c>
      <x:c r="X356" s="10"/>
      <x:c r="Y356" s="10"/>
      <x:c r="Z356" s="9"/>
      <x:c r="AA356" s="9" t="str">
        <x:v>L1</x:v>
      </x:c>
      <x:c r="AB356" s="9" t="str">
        <x:v>fourth from right — paraphrase</x:v>
      </x:c>
      <x:c r="AC356" s="9"/>
      <x:c r="AD356" s="9"/>
      <x:c r="AE356" s="9"/>
      <x:c r="AF356" s="9"/>
      <x:c r="AG356" s="9"/>
      <x:c r="AH356" s="9"/>
      <x:c r="AI356" s="11"/>
      <x:c r="AJ356" s="9"/>
      <x:c r="AK356" s="9" t="str">
        <x:v>Eval_Ordinal_Reference_Ordering.xlsm</x:v>
      </x:c>
      <x:c r="AL356" s="9" t="str">
        <x:v>MolmoAct2 Results2</x:v>
      </x:c>
      <x:c r="AM356" s="9" t="n">
        <x:v>56</x:v>
      </x:c>
      <x:c r="AN356" s="9" t="n">
        <x:v>56</x:v>
      </x:c>
    </x:row>
    <x:row r="357">
      <x:c r="A357" s="9" t="str">
        <x:v>Success</x:v>
      </x:c>
      <x:c r="B357" s="9" t="str">
        <x:v>Ordinal Reference Ordering</x:v>
      </x:c>
      <x:c r="C357" s="10" t="n">
        <x:v>55</x:v>
      </x:c>
      <x:c r="D357" s="9" t="str">
        <x:v>Move the row's airplane toy with propellers into the bowl.</x:v>
      </x:c>
      <x:c r="E357" s="9" t="str">
        <x:v>L1: airplane toy with propellers, L2: blue tape ball, L3: yellow pen, L4: green highlighter</x:v>
      </x:c>
      <x:c r="F357" s="9" t="str">
        <x:v>airplane toy with propellers</x:v>
      </x:c>
      <x:c r="G357" s="9"/>
      <x:c r="H357" s="9" t="str">
        <x:v>Language robustness</x:v>
      </x:c>
      <x:c r="I357" s="9" t="str">
        <x:v>CT-CF05-N4-01</x:v>
      </x:c>
      <x:c r="J357" s="9" t="str">
        <x:v>Matched-control paraphrase</x:v>
      </x:c>
      <x:c r="K357" s="9" t="n">
        <x:v>53</x:v>
      </x:c>
      <x:c r="L357" s="9"/>
      <x:c r="M357" s="9"/>
      <x:c r="N357" s="9" t="str">
        <x:v>2 — Full transfer/control/language families</x:v>
      </x:c>
      <x:c r="O357" s="9" t="str">
        <x:v>Return the previously moved object to its marked position. Do not move any other object; only the prompt changes.</x:v>
      </x:c>
      <x:c r="P357" s="9" t="str">
        <x:v>Exact-scene paraphrase of the referenced direct-name control. This tests wording sensitivity without changing the target or physical scene.</x:v>
      </x:c>
      <x:c r="Q357" s="9"/>
      <x:c r="R357" s="10" t="n">
        <x:v>4</x:v>
      </x:c>
      <x:c r="S357" s="10"/>
      <x:c r="T357" s="9"/>
      <x:c r="U357" s="9"/>
      <x:c r="V357" s="9"/>
      <x:c r="W357" s="9" t="str">
        <x:v>CT-CF05-N4-01</x:v>
      </x:c>
      <x:c r="X357" s="10"/>
      <x:c r="Y357" s="10"/>
      <x:c r="Z357" s="9"/>
      <x:c r="AA357" s="9" t="str">
        <x:v>L1</x:v>
      </x:c>
      <x:c r="AB357" s="9" t="str">
        <x:v>Direct-name paraphrase</x:v>
      </x:c>
      <x:c r="AC357" s="9"/>
      <x:c r="AD357" s="9"/>
      <x:c r="AE357" s="9"/>
      <x:c r="AF357" s="9"/>
      <x:c r="AG357" s="9"/>
      <x:c r="AH357" s="9"/>
      <x:c r="AI357" s="11"/>
      <x:c r="AJ357" s="9"/>
      <x:c r="AK357" s="9" t="str">
        <x:v>Eval_Ordinal_Reference_Ordering.xlsm</x:v>
      </x:c>
      <x:c r="AL357" s="9" t="str">
        <x:v>MolmoAct2 Results2</x:v>
      </x:c>
      <x:c r="AM357" s="9" t="n">
        <x:v>57</x:v>
      </x:c>
      <x:c r="AN357" s="9" t="n">
        <x:v>57</x:v>
      </x:c>
    </x:row>
    <x:row r="358">
      <x:c r="A358" s="9" t="str">
        <x:v>Success</x:v>
      </x:c>
      <x:c r="B358" s="9" t="str">
        <x:v>Ordinal Reference Ordering</x:v>
      </x:c>
      <x:c r="C358" s="10" t="n">
        <x:v>56</x:v>
      </x:c>
      <x:c r="D358" s="9" t="str">
        <x:v>Take the blue tape ball from the row and set it inside the bowl.</x:v>
      </x:c>
      <x:c r="E358" s="9" t="str">
        <x:v>L1: airplane toy with propellers, L2: blue tape ball, L3: yellow pen, L4: green highlighter</x:v>
      </x:c>
      <x:c r="F358" s="9" t="str">
        <x:v>blue tape ball</x:v>
      </x:c>
      <x:c r="G358" s="9"/>
      <x:c r="H358" s="9" t="str">
        <x:v>Language robustness</x:v>
      </x:c>
      <x:c r="I358" s="9" t="str">
        <x:v>CT-CF05-N4-01</x:v>
      </x:c>
      <x:c r="J358" s="9" t="str">
        <x:v>Matched-control paraphrase</x:v>
      </x:c>
      <x:c r="K358" s="9" t="n">
        <x:v>58</x:v>
      </x:c>
      <x:c r="L358" s="9"/>
      <x:c r="M358" s="9"/>
      <x:c r="N358" s="9" t="str">
        <x:v>2 — Full transfer/control/language families</x:v>
      </x:c>
      <x:c r="O358" s="9" t="str">
        <x:v>Return the previously moved object to its marked position. Do not move any other object; only the prompt changes.</x:v>
      </x:c>
      <x:c r="P358" s="9" t="str">
        <x:v>Exact-scene paraphrase of the referenced direct-name control. This tests wording sensitivity without changing the target or physical scene.</x:v>
      </x:c>
      <x:c r="Q358" s="9"/>
      <x:c r="R358" s="10" t="n">
        <x:v>4</x:v>
      </x:c>
      <x:c r="S358" s="10"/>
      <x:c r="T358" s="9"/>
      <x:c r="U358" s="9"/>
      <x:c r="V358" s="9"/>
      <x:c r="W358" s="9" t="str">
        <x:v>CT-CF05-N4-01</x:v>
      </x:c>
      <x:c r="X358" s="10"/>
      <x:c r="Y358" s="10"/>
      <x:c r="Z358" s="9"/>
      <x:c r="AA358" s="9" t="str">
        <x:v>L2</x:v>
      </x:c>
      <x:c r="AB358" s="9" t="str">
        <x:v>Direct-name paraphrase</x:v>
      </x:c>
      <x:c r="AC358" s="9"/>
      <x:c r="AD358" s="9"/>
      <x:c r="AE358" s="9"/>
      <x:c r="AF358" s="9"/>
      <x:c r="AG358" s="9"/>
      <x:c r="AH358" s="9"/>
      <x:c r="AI358" s="11"/>
      <x:c r="AJ358" s="9"/>
      <x:c r="AK358" s="9" t="str">
        <x:v>Eval_Ordinal_Reference_Ordering.xlsm</x:v>
      </x:c>
      <x:c r="AL358" s="9" t="str">
        <x:v>MolmoAct2 Results2</x:v>
      </x:c>
      <x:c r="AM358" s="9" t="n">
        <x:v>58</x:v>
      </x:c>
      <x:c r="AN358" s="9" t="n">
        <x:v>58</x:v>
      </x:c>
    </x:row>
    <x:row r="359">
      <x:c r="A359" s="9" t="str">
        <x:v>Failure</x:v>
      </x:c>
      <x:c r="B359" s="9" t="str">
        <x:v>Ordinal Reference Ordering</x:v>
      </x:c>
      <x:c r="C359" s="10" t="n">
        <x:v>57</x:v>
      </x:c>
      <x:c r="D359" s="9" t="str">
        <x:v>Place the item occupying position second when counted from the left into the bowl.</x:v>
      </x:c>
      <x:c r="E359" s="9" t="str">
        <x:v>L1: airplane toy with propellers, L2: blue tape ball, L3: yellow pen, L4: green highlighter</x:v>
      </x:c>
      <x:c r="F359" s="9" t="str">
        <x:v>blue tape ball</x:v>
      </x:c>
      <x:c r="G359" s="9" t="str">
        <x:v>Got yellow pen</x:v>
      </x:c>
      <x:c r="H359" s="9" t="str">
        <x:v>Language robustness</x:v>
      </x:c>
      <x:c r="I359" s="9" t="str">
        <x:v>CT-CF05-N4-01</x:v>
      </x:c>
      <x:c r="J359" s="9" t="str">
        <x:v>Transfer paraphrase</x:v>
      </x:c>
      <x:c r="K359" s="9" t="n">
        <x:v>59</x:v>
      </x:c>
      <x:c r="L359" s="9"/>
      <x:c r="M359" s="9"/>
      <x:c r="N359" s="9" t="str">
        <x:v>2 — Full transfer/control/language families</x:v>
      </x:c>
      <x:c r="O359" s="9" t="str">
        <x:v>Return the previously moved object to its marked position. Do not move any other object; only the prompt changes.</x:v>
      </x:c>
      <x:c r="P359" s="9" t="str">
        <x:v>Exact-scene paraphrase of the referenced canonical transfer row. Exclude this row from the 50-trial primary canonical score.</x:v>
      </x:c>
      <x:c r="Q359" s="9"/>
      <x:c r="R359" s="10" t="n">
        <x:v>4</x:v>
      </x:c>
      <x:c r="S359" s="10"/>
      <x:c r="T359" s="9"/>
      <x:c r="U359" s="9"/>
      <x:c r="V359" s="9"/>
      <x:c r="W359" s="9" t="str">
        <x:v>CT-CF05-N4-01</x:v>
      </x:c>
      <x:c r="X359" s="10"/>
      <x:c r="Y359" s="10"/>
      <x:c r="Z359" s="9"/>
      <x:c r="AA359" s="9" t="str">
        <x:v>L2</x:v>
      </x:c>
      <x:c r="AB359" s="9" t="str">
        <x:v>second from left — paraphrase</x:v>
      </x:c>
      <x:c r="AC359" s="9"/>
      <x:c r="AD359" s="9"/>
      <x:c r="AE359" s="9"/>
      <x:c r="AF359" s="9"/>
      <x:c r="AG359" s="9"/>
      <x:c r="AH359" s="9"/>
      <x:c r="AI359" s="11"/>
      <x:c r="AJ359" s="9"/>
      <x:c r="AK359" s="9" t="str">
        <x:v>Eval_Ordinal_Reference_Ordering.xlsm</x:v>
      </x:c>
      <x:c r="AL359" s="9" t="str">
        <x:v>MolmoAct2 Results2</x:v>
      </x:c>
      <x:c r="AM359" s="9" t="n">
        <x:v>59</x:v>
      </x:c>
      <x:c r="AN359" s="9" t="n">
        <x:v>59</x:v>
      </x:c>
    </x:row>
    <x:row r="360">
      <x:c r="A360" s="9" t="str">
        <x:v>Success</x:v>
      </x:c>
      <x:c r="B360" s="9" t="str">
        <x:v>Ordinal Reference Ordering</x:v>
      </x:c>
      <x:c r="C360" s="10" t="n">
        <x:v>58</x:v>
      </x:c>
      <x:c r="D360" s="9" t="str">
        <x:v>Put the blue tape ball in the bowl.</x:v>
      </x:c>
      <x:c r="E360" s="9" t="str">
        <x:v>L1: airplane toy with propellers, L2: blue tape ball, L3: yellow pen, L4: green highlighter</x:v>
      </x:c>
      <x:c r="F360" s="9" t="str">
        <x:v>blue tape ball</x:v>
      </x:c>
      <x:c r="G360" s="9"/>
      <x:c r="H360" s="9" t="str">
        <x:v>Matched manipulation control</x:v>
      </x:c>
      <x:c r="I360" s="9" t="str">
        <x:v>CT-CF05-N4-01</x:v>
      </x:c>
      <x:c r="J360" s="9" t="str">
        <x:v>Exact-scene direct control; training prompt from episode 667</x:v>
      </x:c>
      <x:c r="K360" s="9" t="n">
        <x:v>59</x:v>
      </x:c>
      <x:c r="L360" s="9"/>
      <x:c r="M360" s="9"/>
      <x:c r="N360" s="9" t="str">
        <x:v>2 — Full transfer/control/language families</x:v>
      </x:c>
      <x:c r="O360" s="9" t="str">
        <x:v>Return the previously moved object to its marked position. Do not move any other object; only the prompt changes.</x:v>
      </x:c>
      <x:c r="P360" s="9" t="str">
        <x:v>This is the direct-name prompt assigned to the same masked training cell. It tests recognition and manipulation of the exact transfer target in the exact scene without requiring ordinal selection.</x:v>
      </x:c>
      <x:c r="Q360" s="9"/>
      <x:c r="R360" s="10" t="n">
        <x:v>4</x:v>
      </x:c>
      <x:c r="S360" s="10"/>
      <x:c r="T360" s="9"/>
      <x:c r="U360" s="9"/>
      <x:c r="V360" s="9"/>
      <x:c r="W360" s="9" t="str">
        <x:v>CT-CF05-N4-01</x:v>
      </x:c>
      <x:c r="X360" s="10"/>
      <x:c r="Y360" s="10"/>
      <x:c r="Z360" s="9"/>
      <x:c r="AA360" s="9" t="str">
        <x:v>L2</x:v>
      </x:c>
      <x:c r="AB360" s="9" t="str">
        <x:v>Direct-name control</x:v>
      </x:c>
      <x:c r="AC360" s="9"/>
      <x:c r="AD360" s="9"/>
      <x:c r="AE360" s="9"/>
      <x:c r="AF360" s="9"/>
      <x:c r="AG360" s="9"/>
      <x:c r="AH360" s="9"/>
      <x:c r="AI360" s="11"/>
      <x:c r="AJ360" s="9"/>
      <x:c r="AK360" s="9" t="str">
        <x:v>Eval_Ordinal_Reference_Ordering.xlsm</x:v>
      </x:c>
      <x:c r="AL360" s="9" t="str">
        <x:v>MolmoAct2 Results2</x:v>
      </x:c>
      <x:c r="AM360" s="9" t="n">
        <x:v>60</x:v>
      </x:c>
      <x:c r="AN360" s="9" t="n">
        <x:v>60</x:v>
      </x:c>
    </x:row>
    <x:row r="361">
      <x:c r="A361" s="9" t="str">
        <x:v>Failure</x:v>
      </x:c>
      <x:c r="B361" s="9" t="str">
        <x:v>Ordinal Reference Ordering</x:v>
      </x:c>
      <x:c r="C361" s="10" t="n">
        <x:v>59</x:v>
      </x:c>
      <x:c r="D361" s="9" t="str">
        <x:v>Pick up the object that is second from the left and place it in the bowl.</x:v>
      </x:c>
      <x:c r="E361" s="9" t="str">
        <x:v>L1: airplane toy with propellers, L2: blue tape ball, L3: yellow pen, L4: green highlighter</x:v>
      </x:c>
      <x:c r="F361" s="9" t="str">
        <x:v>blue tape ball</x:v>
      </x:c>
      <x:c r="G361" s="9" t="str">
        <x:v>Went for the blue tape ball, knocked it out of the way, and then during recovery, got the airplane toy. Reasoning succeeed, but screwed up during recovery</x:v>
      </x:c>
      <x:c r="H361" s="9" t="str">
        <x:v>Concept/compositional transfer</x:v>
      </x:c>
      <x:c r="I361" s="9" t="str">
        <x:v>CT-CF05-N4-01</x:v>
      </x:c>
      <x:c r="J361" s="9" t="str">
        <x:v>Masked cell n=4, L2, blue tape ball</x:v>
      </x:c>
      <x:c r="K361" s="9" t="n">
        <x:v>52</x:v>
      </x:c>
      <x:c r="L361" s="9"/>
      <x:c r="M361" s="9"/>
      <x:c r="N361" s="9" t="str">
        <x:v>2 — Full transfer/control/language families</x:v>
      </x:c>
      <x:c r="O361" s="9" t="str">
        <x:v>Return the previously moved object to its marked position. Do not move any other object; only the prompt changes.</x:v>
      </x:c>
      <x:c r="P361" s="9" t="str">
        <x:v>The final manifest masks this exact sequence-length × physical-position × target-identity cell. Both equivalent left- and right-based descriptions are absent for this cell, while the canonical instruction wording occurs elsewhere in training.</x:v>
      </x:c>
      <x:c r="Q361" s="9"/>
      <x:c r="R361" s="10" t="n">
        <x:v>4</x:v>
      </x:c>
      <x:c r="S361" s="10"/>
      <x:c r="T361" s="9"/>
      <x:c r="U361" s="9"/>
      <x:c r="V361" s="9"/>
      <x:c r="W361" s="9" t="str">
        <x:v>CT-CF05-N4-01</x:v>
      </x:c>
      <x:c r="X361" s="10"/>
      <x:c r="Y361" s="10"/>
      <x:c r="Z361" s="9"/>
      <x:c r="AA361" s="9" t="str">
        <x:v>L2</x:v>
      </x:c>
      <x:c r="AB361" s="9" t="str">
        <x:v>second from left</x:v>
      </x:c>
      <x:c r="AC361" s="9"/>
      <x:c r="AD361" s="9"/>
      <x:c r="AE361" s="9"/>
      <x:c r="AF361" s="9"/>
      <x:c r="AG361" s="9"/>
      <x:c r="AH361" s="9"/>
      <x:c r="AI361" s="11"/>
      <x:c r="AJ361" s="9"/>
      <x:c r="AK361" s="9" t="str">
        <x:v>Eval_Ordinal_Reference_Ordering.xlsm</x:v>
      </x:c>
      <x:c r="AL361" s="9" t="str">
        <x:v>MolmoAct2 Results2</x:v>
      </x:c>
      <x:c r="AM361" s="9" t="n">
        <x:v>61</x:v>
      </x:c>
      <x:c r="AN361" s="9" t="n">
        <x:v>61</x:v>
      </x:c>
    </x:row>
    <x:row r="362">
      <x:c r="A362" s="9" t="str">
        <x:v>Success</x:v>
      </x:c>
      <x:c r="B362" s="9" t="str">
        <x:v>Ordinal Reference Ordering</x:v>
      </x:c>
      <x:c r="C362" s="10" t="n">
        <x:v>60</x:v>
      </x:c>
      <x:c r="D362" s="9" t="str">
        <x:v>Pick up the object that is second from the left and place it in the bowl.</x:v>
      </x:c>
      <x:c r="E362" s="9" t="str">
        <x:v>L1: green highlighter, L2: blue tape ball</x:v>
      </x:c>
      <x:c r="F362" s="9" t="str">
        <x:v>blue tape ball</x:v>
      </x:c>
      <x:c r="G362" s="9"/>
      <x:c r="H362" s="9" t="str">
        <x:v>Concept/compositional transfer</x:v>
      </x:c>
      <x:c r="I362" s="9" t="str">
        <x:v>CT-CF06-N2-03</x:v>
      </x:c>
      <x:c r="J362" s="9" t="str">
        <x:v>Masked cell n=2, L2, blue tape ball</x:v>
      </x:c>
      <x:c r="K362" s="9"/>
      <x:c r="L362" s="9"/>
      <x:c r="M362" s="9"/>
      <x:c r="N362" s="9" t="str">
        <x:v>3 — Transfer + matched-control families</x:v>
      </x:c>
      <x:c r="O362" s="9" t="str">
        <x:v>Build this new scene family exactly from the L1–L4 description and save a first-frame reference image.</x:v>
      </x:c>
      <x:c r="P362" s="9" t="str">
        <x:v>The final manifest masks this exact sequence-length × physical-position × target-identity cell. Both equivalent left- and right-based descriptions are absent for this cell, while the canonical instruction wording occurs elsewhere in training.</x:v>
      </x:c>
      <x:c r="Q362" s="9"/>
      <x:c r="R362" s="10" t="n">
        <x:v>2</x:v>
      </x:c>
      <x:c r="S362" s="10"/>
      <x:c r="T362" s="9"/>
      <x:c r="U362" s="9"/>
      <x:c r="V362" s="9"/>
      <x:c r="W362" s="9" t="str">
        <x:v>CT-CF06-N2-03</x:v>
      </x:c>
      <x:c r="X362" s="10"/>
      <x:c r="Y362" s="10"/>
      <x:c r="Z362" s="9"/>
      <x:c r="AA362" s="9" t="str">
        <x:v>L2</x:v>
      </x:c>
      <x:c r="AB362" s="9" t="str">
        <x:v>second from left</x:v>
      </x:c>
      <x:c r="AC362" s="9"/>
      <x:c r="AD362" s="9"/>
      <x:c r="AE362" s="9"/>
      <x:c r="AF362" s="9"/>
      <x:c r="AG362" s="9"/>
      <x:c r="AH362" s="9"/>
      <x:c r="AI362" s="11"/>
      <x:c r="AJ362" s="9"/>
      <x:c r="AK362" s="9" t="str">
        <x:v>Eval_Ordinal_Reference_Ordering.xlsm</x:v>
      </x:c>
      <x:c r="AL362" s="9" t="str">
        <x:v>MolmoAct2 Results2</x:v>
      </x:c>
      <x:c r="AM362" s="9" t="n">
        <x:v>62</x:v>
      </x:c>
      <x:c r="AN362" s="9" t="n">
        <x:v>62</x:v>
      </x:c>
    </x:row>
    <x:row r="363">
      <x:c r="A363" s="9" t="str">
        <x:v>Success</x:v>
      </x:c>
      <x:c r="B363" s="9" t="str">
        <x:v>Ordinal Reference Ordering</x:v>
      </x:c>
      <x:c r="C363" s="10" t="n">
        <x:v>61</x:v>
      </x:c>
      <x:c r="D363" s="9" t="str">
        <x:v>Pick up the blue tape ball and place it in the bowl.</x:v>
      </x:c>
      <x:c r="E363" s="9" t="str">
        <x:v>L1: green highlighter, L2: blue tape ball</x:v>
      </x:c>
      <x:c r="F363" s="9" t="str">
        <x:v>blue tape ball</x:v>
      </x:c>
      <x:c r="G363" s="9"/>
      <x:c r="H363" s="9" t="str">
        <x:v>Matched manipulation control</x:v>
      </x:c>
      <x:c r="I363" s="9" t="str">
        <x:v>CT-CF06-N2-03</x:v>
      </x:c>
      <x:c r="J363" s="9" t="str">
        <x:v>Exact-scene direct control; training prompt from episode 668</x:v>
      </x:c>
      <x:c r="K363" s="9" t="n">
        <x:v>60</x:v>
      </x:c>
      <x:c r="L363" s="9"/>
      <x:c r="M363" s="9"/>
      <x:c r="N363" s="9" t="str">
        <x:v>3 — Transfer + matched-control families</x:v>
      </x:c>
      <x:c r="O363" s="9" t="str">
        <x:v>Return the previously moved object to its marked position. Do not move any other object; only the prompt changes.</x:v>
      </x:c>
      <x:c r="P363" s="9" t="str">
        <x:v>This is the direct-name prompt assigned to the same masked training cell. It tests recognition and manipulation of the exact transfer target in the exact scene without requiring ordinal selection.</x:v>
      </x:c>
      <x:c r="Q363" s="9"/>
      <x:c r="R363" s="10" t="n">
        <x:v>2</x:v>
      </x:c>
      <x:c r="S363" s="10"/>
      <x:c r="T363" s="9"/>
      <x:c r="U363" s="9"/>
      <x:c r="V363" s="9"/>
      <x:c r="W363" s="9" t="str">
        <x:v>CT-CF06-N2-03</x:v>
      </x:c>
      <x:c r="X363" s="10"/>
      <x:c r="Y363" s="10"/>
      <x:c r="Z363" s="9"/>
      <x:c r="AA363" s="9" t="str">
        <x:v>L2</x:v>
      </x:c>
      <x:c r="AB363" s="9" t="str">
        <x:v>Direct-name control</x:v>
      </x:c>
      <x:c r="AC363" s="9"/>
      <x:c r="AD363" s="9"/>
      <x:c r="AE363" s="9"/>
      <x:c r="AF363" s="9"/>
      <x:c r="AG363" s="9"/>
      <x:c r="AH363" s="9"/>
      <x:c r="AI363" s="11"/>
      <x:c r="AJ363" s="9"/>
      <x:c r="AK363" s="9" t="str">
        <x:v>Eval_Ordinal_Reference_Ordering.xlsm</x:v>
      </x:c>
      <x:c r="AL363" s="9" t="str">
        <x:v>MolmoAct2 Results2</x:v>
      </x:c>
      <x:c r="AM363" s="9" t="n">
        <x:v>63</x:v>
      </x:c>
      <x:c r="AN363" s="9" t="n">
        <x:v>63</x:v>
      </x:c>
    </x:row>
    <x:row r="364">
      <x:c r="A364" s="9" t="str">
        <x:v>Success</x:v>
      </x:c>
      <x:c r="B364" s="9" t="str">
        <x:v>Ordinal Reference Ordering</x:v>
      </x:c>
      <x:c r="C364" s="10" t="n">
        <x:v>62</x:v>
      </x:c>
      <x:c r="D364" s="9" t="str">
        <x:v>Move the green highlighter into the bowl.</x:v>
      </x:c>
      <x:c r="E364" s="9" t="str">
        <x:v>L1: green highlighter, L2: blue tape ball</x:v>
      </x:c>
      <x:c r="F364" s="9" t="str">
        <x:v>green highlighter</x:v>
      </x:c>
      <x:c r="G364" s="9"/>
      <x:c r="H364" s="9" t="str">
        <x:v>Matched manipulation control</x:v>
      </x:c>
      <x:c r="I364" s="9" t="str">
        <x:v>CT-CF06-N2-03</x:v>
      </x:c>
      <x:c r="J364" s="9" t="str">
        <x:v>Exact-scene direct control; training prompt from episode 708</x:v>
      </x:c>
      <x:c r="K364" s="9" t="n">
        <x:v>63</x:v>
      </x:c>
      <x:c r="L364" s="9"/>
      <x:c r="M364" s="9"/>
      <x:c r="N364" s="9" t="str">
        <x:v>3 — Transfer + matched-control families</x:v>
      </x:c>
      <x:c r="O364" s="9" t="str">
        <x:v>Return the previously moved object to its marked position. Do not move any other object; only the prompt changes.</x:v>
      </x:c>
      <x:c r="P364" s="9" t="str">
        <x:v>This is the direct-name prompt assigned to the same masked training cell. It tests recognition and manipulation of the exact transfer target in the exact scene without requiring ordinal selection.</x:v>
      </x:c>
      <x:c r="Q364" s="9"/>
      <x:c r="R364" s="10" t="n">
        <x:v>2</x:v>
      </x:c>
      <x:c r="S364" s="10"/>
      <x:c r="T364" s="9"/>
      <x:c r="U364" s="9"/>
      <x:c r="V364" s="9"/>
      <x:c r="W364" s="9" t="str">
        <x:v>CT-CF06-N2-03</x:v>
      </x:c>
      <x:c r="X364" s="10"/>
      <x:c r="Y364" s="10"/>
      <x:c r="Z364" s="9"/>
      <x:c r="AA364" s="9" t="str">
        <x:v>L1</x:v>
      </x:c>
      <x:c r="AB364" s="9" t="str">
        <x:v>Direct-name control</x:v>
      </x:c>
      <x:c r="AC364" s="9"/>
      <x:c r="AD364" s="9"/>
      <x:c r="AE364" s="9"/>
      <x:c r="AF364" s="9"/>
      <x:c r="AG364" s="9"/>
      <x:c r="AH364" s="9"/>
      <x:c r="AI364" s="11"/>
      <x:c r="AJ364" s="9"/>
      <x:c r="AK364" s="9" t="str">
        <x:v>Eval_Ordinal_Reference_Ordering.xlsm</x:v>
      </x:c>
      <x:c r="AL364" s="9" t="str">
        <x:v>MolmoAct2 Results2</x:v>
      </x:c>
      <x:c r="AM364" s="9" t="n">
        <x:v>64</x:v>
      </x:c>
      <x:c r="AN364" s="9" t="n">
        <x:v>64</x:v>
      </x:c>
    </x:row>
    <x:row r="365">
      <x:c r="A365" s="9" t="str">
        <x:v>Failure</x:v>
      </x:c>
      <x:c r="B365" s="9" t="str">
        <x:v>Ordinal Reference Ordering</x:v>
      </x:c>
      <x:c r="C365" s="10" t="n">
        <x:v>63</x:v>
      </x:c>
      <x:c r="D365" s="9" t="str">
        <x:v>Pick up the object that is second from the right and place it in the bowl.</x:v>
      </x:c>
      <x:c r="E365" s="9" t="str">
        <x:v>L1: green highlighter, L2: blue tape ball</x:v>
      </x:c>
      <x:c r="F365" s="9" t="str">
        <x:v>green highlighter</x:v>
      </x:c>
      <x:c r="G365" s="9" t="str">
        <x:v>picked blue tape ball</x:v>
      </x:c>
      <x:c r="H365" s="9" t="str">
        <x:v>Concept/compositional transfer</x:v>
      </x:c>
      <x:c r="I365" s="9" t="str">
        <x:v>CT-CF06-N2-03</x:v>
      </x:c>
      <x:c r="J365" s="9" t="str">
        <x:v>Masked cell n=2, L1, green highlighter</x:v>
      </x:c>
      <x:c r="K365" s="9" t="n">
        <x:v>60</x:v>
      </x:c>
      <x:c r="L365" s="9"/>
      <x:c r="M365" s="9"/>
      <x:c r="N365" s="9" t="str">
        <x:v>3 — Transfer + matched-control families</x:v>
      </x:c>
      <x:c r="O365" s="9" t="str">
        <x:v>Return the previously moved object to its marked position. Do not move any other object; only the prompt changes.</x:v>
      </x:c>
      <x:c r="P365" s="9" t="str">
        <x:v>The final manifest masks this exact sequence-length × physical-position × target-identity cell. Both equivalent left- and right-based descriptions are absent for this cell, while the canonical instruction wording occurs elsewhere in training.</x:v>
      </x:c>
      <x:c r="Q365" s="9"/>
      <x:c r="R365" s="10" t="n">
        <x:v>2</x:v>
      </x:c>
      <x:c r="S365" s="10"/>
      <x:c r="T365" s="9"/>
      <x:c r="U365" s="9"/>
      <x:c r="V365" s="9"/>
      <x:c r="W365" s="9" t="str">
        <x:v>CT-CF06-N2-03</x:v>
      </x:c>
      <x:c r="X365" s="10"/>
      <x:c r="Y365" s="10"/>
      <x:c r="Z365" s="9"/>
      <x:c r="AA365" s="9" t="str">
        <x:v>L1</x:v>
      </x:c>
      <x:c r="AB365" s="9" t="str">
        <x:v>second from right</x:v>
      </x:c>
      <x:c r="AC365" s="9"/>
      <x:c r="AD365" s="9"/>
      <x:c r="AE365" s="9"/>
      <x:c r="AF365" s="9"/>
      <x:c r="AG365" s="9"/>
      <x:c r="AH365" s="9"/>
      <x:c r="AI365" s="11"/>
      <x:c r="AJ365" s="9"/>
      <x:c r="AK365" s="9" t="str">
        <x:v>Eval_Ordinal_Reference_Ordering.xlsm</x:v>
      </x:c>
      <x:c r="AL365" s="9" t="str">
        <x:v>MolmoAct2 Results2</x:v>
      </x:c>
      <x:c r="AM365" s="9" t="n">
        <x:v>65</x:v>
      </x:c>
      <x:c r="AN365" s="9" t="n">
        <x:v>65</x:v>
      </x:c>
    </x:row>
    <x:row r="366">
      <x:c r="A366" s="9" t="str">
        <x:v>Success</x:v>
      </x:c>
      <x:c r="B366" s="9" t="str">
        <x:v>Ordinal Reference Ordering</x:v>
      </x:c>
      <x:c r="C366" s="10" t="n">
        <x:v>64</x:v>
      </x:c>
      <x:c r="D366" s="9" t="str">
        <x:v>Pick up the object that is first from the left and place it in the bowl.</x:v>
      </x:c>
      <x:c r="E366" s="9" t="str">
        <x:v>L1: yellow pen, L2: blue tape ball, L3: airplane toy with propellers</x:v>
      </x:c>
      <x:c r="F366" s="9" t="str">
        <x:v>yellow pen</x:v>
      </x:c>
      <x:c r="G366" s="9"/>
      <x:c r="H366" s="9" t="str">
        <x:v>Concept/compositional transfer</x:v>
      </x:c>
      <x:c r="I366" s="9" t="str">
        <x:v>CT-CF07-N3-03</x:v>
      </x:c>
      <x:c r="J366" s="9" t="str">
        <x:v>Masked cell n=3, L1, yellow pen</x:v>
      </x:c>
      <x:c r="K366" s="9"/>
      <x:c r="L366" s="9"/>
      <x:c r="M366" s="9"/>
      <x:c r="N366" s="9" t="str">
        <x:v>3 — Transfer + matched-control families</x:v>
      </x:c>
      <x:c r="O366" s="9" t="str">
        <x:v>Build this new scene family exactly from the L1–L4 description and save a first-frame reference image.</x:v>
      </x:c>
      <x:c r="P366" s="9" t="str">
        <x:v>The final manifest masks this exact sequence-length × physical-position × target-identity cell. Both equivalent left- and right-based descriptions are absent for this cell, while the canonical instruction wording occurs elsewhere in training.</x:v>
      </x:c>
      <x:c r="Q366" s="9"/>
      <x:c r="R366" s="10" t="n">
        <x:v>3</x:v>
      </x:c>
      <x:c r="S366" s="10"/>
      <x:c r="T366" s="9"/>
      <x:c r="U366" s="9"/>
      <x:c r="V366" s="9"/>
      <x:c r="W366" s="9" t="str">
        <x:v>CT-CF07-N3-03</x:v>
      </x:c>
      <x:c r="X366" s="10"/>
      <x:c r="Y366" s="10"/>
      <x:c r="Z366" s="9"/>
      <x:c r="AA366" s="9" t="str">
        <x:v>L1</x:v>
      </x:c>
      <x:c r="AB366" s="9" t="str">
        <x:v>first from left</x:v>
      </x:c>
      <x:c r="AC366" s="9"/>
      <x:c r="AD366" s="9"/>
      <x:c r="AE366" s="9"/>
      <x:c r="AF366" s="9"/>
      <x:c r="AG366" s="9"/>
      <x:c r="AH366" s="9"/>
      <x:c r="AI366" s="11"/>
      <x:c r="AJ366" s="9"/>
      <x:c r="AK366" s="9" t="str">
        <x:v>Eval_Ordinal_Reference_Ordering.xlsm</x:v>
      </x:c>
      <x:c r="AL366" s="9" t="str">
        <x:v>MolmoAct2 Results2</x:v>
      </x:c>
      <x:c r="AM366" s="9" t="n">
        <x:v>66</x:v>
      </x:c>
      <x:c r="AN366" s="9" t="n">
        <x:v>66</x:v>
      </x:c>
    </x:row>
    <x:row r="367">
      <x:c r="A367" s="9" t="str">
        <x:v>Success</x:v>
      </x:c>
      <x:c r="B367" s="9" t="str">
        <x:v>Ordinal Reference Ordering</x:v>
      </x:c>
      <x:c r="C367" s="10" t="n">
        <x:v>65</x:v>
      </x:c>
      <x:c r="D367" s="9" t="str">
        <x:v>Move the yellow pen into the bowl.</x:v>
      </x:c>
      <x:c r="E367" s="9" t="str">
        <x:v>L1: yellow pen, L2: blue tape ball, L3: airplane toy with propellers</x:v>
      </x:c>
      <x:c r="F367" s="9" t="str">
        <x:v>yellow pen</x:v>
      </x:c>
      <x:c r="G367" s="9"/>
      <x:c r="H367" s="9" t="str">
        <x:v>Matched manipulation control</x:v>
      </x:c>
      <x:c r="I367" s="9" t="str">
        <x:v>CT-CF07-N3-03</x:v>
      </x:c>
      <x:c r="J367" s="9" t="str">
        <x:v>Exact-scene direct control; training prompt from episode 756</x:v>
      </x:c>
      <x:c r="K367" s="9" t="n">
        <x:v>64</x:v>
      </x:c>
      <x:c r="L367" s="9"/>
      <x:c r="M367" s="9"/>
      <x:c r="N367" s="9" t="str">
        <x:v>3 — Transfer + matched-control families</x:v>
      </x:c>
      <x:c r="O367" s="9" t="str">
        <x:v>Return the previously moved object to its marked position. Do not move any other object; only the prompt changes.</x:v>
      </x:c>
      <x:c r="P367" s="9" t="str">
        <x:v>This is the direct-name prompt assigned to the same masked training cell. It tests recognition and manipulation of the exact transfer target in the exact scene without requiring ordinal selection.</x:v>
      </x:c>
      <x:c r="Q367" s="9"/>
      <x:c r="R367" s="10" t="n">
        <x:v>3</x:v>
      </x:c>
      <x:c r="S367" s="10"/>
      <x:c r="T367" s="9"/>
      <x:c r="U367" s="9"/>
      <x:c r="V367" s="9"/>
      <x:c r="W367" s="9" t="str">
        <x:v>CT-CF07-N3-03</x:v>
      </x:c>
      <x:c r="X367" s="10"/>
      <x:c r="Y367" s="10"/>
      <x:c r="Z367" s="9"/>
      <x:c r="AA367" s="9" t="str">
        <x:v>L1</x:v>
      </x:c>
      <x:c r="AB367" s="9" t="str">
        <x:v>Direct-name control</x:v>
      </x:c>
      <x:c r="AC367" s="9"/>
      <x:c r="AD367" s="9"/>
      <x:c r="AE367" s="9"/>
      <x:c r="AF367" s="9"/>
      <x:c r="AG367" s="9"/>
      <x:c r="AH367" s="9"/>
      <x:c r="AI367" s="11"/>
      <x:c r="AJ367" s="9"/>
      <x:c r="AK367" s="9" t="str">
        <x:v>Eval_Ordinal_Reference_Ordering.xlsm</x:v>
      </x:c>
      <x:c r="AL367" s="9" t="str">
        <x:v>MolmoAct2 Results2</x:v>
      </x:c>
      <x:c r="AM367" s="9" t="n">
        <x:v>67</x:v>
      </x:c>
      <x:c r="AN367" s="9" t="n">
        <x:v>67</x:v>
      </x:c>
    </x:row>
    <x:row r="368">
      <x:c r="A368" s="9" t="str">
        <x:v>Success</x:v>
      </x:c>
      <x:c r="B368" s="9" t="str">
        <x:v>Ordinal Reference Ordering</x:v>
      </x:c>
      <x:c r="C368" s="10" t="n">
        <x:v>66</x:v>
      </x:c>
      <x:c r="D368" s="9" t="str">
        <x:v>Move the airplane toy with propellers into the bowl.</x:v>
      </x:c>
      <x:c r="E368" s="9" t="str">
        <x:v>L1: yellow pen, L2: blue tape ball, L3: airplane toy with propellers</x:v>
      </x:c>
      <x:c r="F368" s="9" t="str">
        <x:v>airplane toy with propellers</x:v>
      </x:c>
      <x:c r="G368" s="9"/>
      <x:c r="H368" s="9" t="str">
        <x:v>Matched manipulation control</x:v>
      </x:c>
      <x:c r="I368" s="9" t="str">
        <x:v>CT-CF07-N3-03</x:v>
      </x:c>
      <x:c r="J368" s="9" t="str">
        <x:v>Exact-scene direct control; training prompt from episode 630</x:v>
      </x:c>
      <x:c r="K368" s="9" t="n">
        <x:v>67</x:v>
      </x:c>
      <x:c r="L368" s="9"/>
      <x:c r="M368" s="9"/>
      <x:c r="N368" s="9" t="str">
        <x:v>3 — Transfer + matched-control families</x:v>
      </x:c>
      <x:c r="O368" s="9" t="str">
        <x:v>Return the previously moved object to its marked position. Do not move any other object; only the prompt changes.</x:v>
      </x:c>
      <x:c r="P368" s="9" t="str">
        <x:v>This is the direct-name prompt assigned to the same masked training cell. It tests recognition and manipulation of the exact transfer target in the exact scene without requiring ordinal selection.</x:v>
      </x:c>
      <x:c r="Q368" s="9"/>
      <x:c r="R368" s="10" t="n">
        <x:v>3</x:v>
      </x:c>
      <x:c r="S368" s="10"/>
      <x:c r="T368" s="9"/>
      <x:c r="U368" s="9"/>
      <x:c r="V368" s="9"/>
      <x:c r="W368" s="9" t="str">
        <x:v>CT-CF07-N3-03</x:v>
      </x:c>
      <x:c r="X368" s="10"/>
      <x:c r="Y368" s="10"/>
      <x:c r="Z368" s="9"/>
      <x:c r="AA368" s="9" t="str">
        <x:v>L3</x:v>
      </x:c>
      <x:c r="AB368" s="9" t="str">
        <x:v>Direct-name control</x:v>
      </x:c>
      <x:c r="AC368" s="9"/>
      <x:c r="AD368" s="9"/>
      <x:c r="AE368" s="9"/>
      <x:c r="AF368" s="9"/>
      <x:c r="AG368" s="9"/>
      <x:c r="AH368" s="9"/>
      <x:c r="AI368" s="11"/>
      <x:c r="AJ368" s="9"/>
      <x:c r="AK368" s="9" t="str">
        <x:v>Eval_Ordinal_Reference_Ordering.xlsm</x:v>
      </x:c>
      <x:c r="AL368" s="9" t="str">
        <x:v>MolmoAct2 Results2</x:v>
      </x:c>
      <x:c r="AM368" s="9" t="n">
        <x:v>68</x:v>
      </x:c>
      <x:c r="AN368" s="9" t="n">
        <x:v>68</x:v>
      </x:c>
    </x:row>
    <x:row r="369">
      <x:c r="A369" s="9" t="str">
        <x:v>Failure</x:v>
      </x:c>
      <x:c r="B369" s="9" t="str">
        <x:v>Ordinal Reference Ordering</x:v>
      </x:c>
      <x:c r="C369" s="10" t="n">
        <x:v>67</x:v>
      </x:c>
      <x:c r="D369" s="9" t="str">
        <x:v>Pick up the object that is third from the left and place it in the bowl.</x:v>
      </x:c>
      <x:c r="E369" s="9" t="str">
        <x:v>L1: yellow pen, L2: blue tape ball, L3: airplane toy with propellers</x:v>
      </x:c>
      <x:c r="F369" s="9" t="str">
        <x:v>airplane toy with propellers</x:v>
      </x:c>
      <x:c r="G369" s="9" t="str">
        <x:v>Picked blue tape ball</x:v>
      </x:c>
      <x:c r="H369" s="9" t="str">
        <x:v>Concept/compositional transfer</x:v>
      </x:c>
      <x:c r="I369" s="9" t="str">
        <x:v>CT-CF07-N3-03</x:v>
      </x:c>
      <x:c r="J369" s="9" t="str">
        <x:v>Masked cell n=3, L3, airplane toy with propellers</x:v>
      </x:c>
      <x:c r="K369" s="9" t="n">
        <x:v>64</x:v>
      </x:c>
      <x:c r="L369" s="9"/>
      <x:c r="M369" s="9"/>
      <x:c r="N369" s="9" t="str">
        <x:v>3 — Transfer + matched-control families</x:v>
      </x:c>
      <x:c r="O369" s="9" t="str">
        <x:v>Return the previously moved object to its marked position. Do not move any other object; only the prompt changes.</x:v>
      </x:c>
      <x:c r="P369" s="9" t="str">
        <x:v>The final manifest masks this exact sequence-length × physical-position × target-identity cell. Both equivalent left- and right-based descriptions are absent for this cell, while the canonical instruction wording occurs elsewhere in training.</x:v>
      </x:c>
      <x:c r="Q369" s="9"/>
      <x:c r="R369" s="10" t="n">
        <x:v>3</x:v>
      </x:c>
      <x:c r="S369" s="10"/>
      <x:c r="T369" s="9"/>
      <x:c r="U369" s="9"/>
      <x:c r="V369" s="9"/>
      <x:c r="W369" s="9" t="str">
        <x:v>CT-CF07-N3-03</x:v>
      </x:c>
      <x:c r="X369" s="10"/>
      <x:c r="Y369" s="10"/>
      <x:c r="Z369" s="9"/>
      <x:c r="AA369" s="9" t="str">
        <x:v>L3</x:v>
      </x:c>
      <x:c r="AB369" s="9" t="str">
        <x:v>third from left</x:v>
      </x:c>
      <x:c r="AC369" s="9"/>
      <x:c r="AD369" s="9"/>
      <x:c r="AE369" s="9"/>
      <x:c r="AF369" s="9"/>
      <x:c r="AG369" s="9"/>
      <x:c r="AH369" s="9"/>
      <x:c r="AI369" s="11"/>
      <x:c r="AJ369" s="9"/>
      <x:c r="AK369" s="9" t="str">
        <x:v>Eval_Ordinal_Reference_Ordering.xlsm</x:v>
      </x:c>
      <x:c r="AL369" s="9" t="str">
        <x:v>MolmoAct2 Results2</x:v>
      </x:c>
      <x:c r="AM369" s="9" t="n">
        <x:v>69</x:v>
      </x:c>
      <x:c r="AN369" s="9" t="n">
        <x:v>69</x:v>
      </x:c>
    </x:row>
    <x:row r="370">
      <x:c r="A370" s="9" t="str">
        <x:v>Failure</x:v>
      </x:c>
      <x:c r="B370" s="9" t="str">
        <x:v>Ordinal Reference Ordering</x:v>
      </x:c>
      <x:c r="C370" s="10" t="n">
        <x:v>68</x:v>
      </x:c>
      <x:c r="D370" s="9" t="str">
        <x:v>Pick up the object that is fourth from the left and place it in the bowl.</x:v>
      </x:c>
      <x:c r="E370" s="9" t="str">
        <x:v>L1: blue tape ball, L2: airplane toy with propellers, L3: green highlighter, L4: yellow pen</x:v>
      </x:c>
      <x:c r="F370" s="9" t="str">
        <x:v>yellow pen</x:v>
      </x:c>
      <x:c r="G370" s="9" t="str">
        <x:v>picked airplane toy</x:v>
      </x:c>
      <x:c r="H370" s="9" t="str">
        <x:v>Concept/compositional transfer</x:v>
      </x:c>
      <x:c r="I370" s="9" t="str">
        <x:v>CT-CF08-N4-02</x:v>
      </x:c>
      <x:c r="J370" s="9" t="str">
        <x:v>Masked cell n=4, L4, yellow pen</x:v>
      </x:c>
      <x:c r="K370" s="9"/>
      <x:c r="L370" s="9"/>
      <x:c r="M370" s="9"/>
      <x:c r="N370" s="9" t="str">
        <x:v>3 — Transfer + matched-control families</x:v>
      </x:c>
      <x:c r="O370" s="9" t="str">
        <x:v>Build this new scene family exactly from the L1–L4 description and save a first-frame reference image.</x:v>
      </x:c>
      <x:c r="P370" s="9" t="str">
        <x:v>The final manifest masks this exact sequence-length × physical-position × target-identity cell. Both equivalent left- and right-based descriptions are absent for this cell, while the canonical instruction wording occurs elsewhere in training.</x:v>
      </x:c>
      <x:c r="Q370" s="9"/>
      <x:c r="R370" s="10" t="n">
        <x:v>4</x:v>
      </x:c>
      <x:c r="S370" s="10"/>
      <x:c r="T370" s="9"/>
      <x:c r="U370" s="9"/>
      <x:c r="V370" s="9"/>
      <x:c r="W370" s="9" t="str">
        <x:v>CT-CF08-N4-02</x:v>
      </x:c>
      <x:c r="X370" s="10"/>
      <x:c r="Y370" s="10"/>
      <x:c r="Z370" s="9"/>
      <x:c r="AA370" s="9" t="str">
        <x:v>L4</x:v>
      </x:c>
      <x:c r="AB370" s="9" t="str">
        <x:v>fourth from left</x:v>
      </x:c>
      <x:c r="AC370" s="9"/>
      <x:c r="AD370" s="9"/>
      <x:c r="AE370" s="9"/>
      <x:c r="AF370" s="9"/>
      <x:c r="AG370" s="9"/>
      <x:c r="AH370" s="9"/>
      <x:c r="AI370" s="11"/>
      <x:c r="AJ370" s="9"/>
      <x:c r="AK370" s="9" t="str">
        <x:v>Eval_Ordinal_Reference_Ordering.xlsm</x:v>
      </x:c>
      <x:c r="AL370" s="9" t="str">
        <x:v>MolmoAct2 Results2</x:v>
      </x:c>
      <x:c r="AM370" s="9" t="n">
        <x:v>70</x:v>
      </x:c>
      <x:c r="AN370" s="9" t="n">
        <x:v>70</x:v>
      </x:c>
    </x:row>
    <x:row r="371">
      <x:c r="A371" s="9" t="str">
        <x:v>Success</x:v>
      </x:c>
      <x:c r="B371" s="9" t="str">
        <x:v>Ordinal Reference Ordering</x:v>
      </x:c>
      <x:c r="C371" s="10" t="n">
        <x:v>69</x:v>
      </x:c>
      <x:c r="D371" s="9" t="str">
        <x:v>Pick up the yellow pen and place it in the bowl.</x:v>
      </x:c>
      <x:c r="E371" s="9" t="str">
        <x:v>L1: blue tape ball, L2: airplane toy with propellers, L3: green highlighter, L4: yellow pen</x:v>
      </x:c>
      <x:c r="F371" s="9" t="str">
        <x:v>yellow pen</x:v>
      </x:c>
      <x:c r="G371" s="9"/>
      <x:c r="H371" s="9" t="str">
        <x:v>Matched manipulation control</x:v>
      </x:c>
      <x:c r="I371" s="9" t="str">
        <x:v>CT-CF08-N4-02</x:v>
      </x:c>
      <x:c r="J371" s="9" t="str">
        <x:v>Exact-scene direct control; training prompt from episode 795</x:v>
      </x:c>
      <x:c r="K371" s="9" t="n">
        <x:v>68</x:v>
      </x:c>
      <x:c r="L371" s="9"/>
      <x:c r="M371" s="9"/>
      <x:c r="N371" s="9" t="str">
        <x:v>3 — Transfer + matched-control families</x:v>
      </x:c>
      <x:c r="O371" s="9" t="str">
        <x:v>Return the previously moved object to its marked position. Do not move any other object; only the prompt changes.</x:v>
      </x:c>
      <x:c r="P371" s="9" t="str">
        <x:v>This is the direct-name prompt assigned to the same masked training cell. It tests recognition and manipulation of the exact transfer target in the exact scene without requiring ordinal selection.</x:v>
      </x:c>
      <x:c r="Q371" s="9"/>
      <x:c r="R371" s="10" t="n">
        <x:v>4</x:v>
      </x:c>
      <x:c r="S371" s="10"/>
      <x:c r="T371" s="9"/>
      <x:c r="U371" s="9"/>
      <x:c r="V371" s="9"/>
      <x:c r="W371" s="9" t="str">
        <x:v>CT-CF08-N4-02</x:v>
      </x:c>
      <x:c r="X371" s="10"/>
      <x:c r="Y371" s="10"/>
      <x:c r="Z371" s="9"/>
      <x:c r="AA371" s="9" t="str">
        <x:v>L4</x:v>
      </x:c>
      <x:c r="AB371" s="9" t="str">
        <x:v>Direct-name control</x:v>
      </x:c>
      <x:c r="AC371" s="9"/>
      <x:c r="AD371" s="9"/>
      <x:c r="AE371" s="9"/>
      <x:c r="AF371" s="9"/>
      <x:c r="AG371" s="9"/>
      <x:c r="AH371" s="9"/>
      <x:c r="AI371" s="11"/>
      <x:c r="AJ371" s="9"/>
      <x:c r="AK371" s="9" t="str">
        <x:v>Eval_Ordinal_Reference_Ordering.xlsm</x:v>
      </x:c>
      <x:c r="AL371" s="9" t="str">
        <x:v>MolmoAct2 Results2</x:v>
      </x:c>
      <x:c r="AM371" s="9" t="n">
        <x:v>71</x:v>
      </x:c>
      <x:c r="AN371" s="9" t="n">
        <x:v>71</x:v>
      </x:c>
    </x:row>
    <x:row r="372">
      <x:c r="A372" s="9" t="str">
        <x:v>Success</x:v>
      </x:c>
      <x:c r="B372" s="9" t="str">
        <x:v>Ordinal Reference Ordering</x:v>
      </x:c>
      <x:c r="C372" s="10" t="n">
        <x:v>70</x:v>
      </x:c>
      <x:c r="D372" s="9" t="str">
        <x:v>Put the green highlighter in the bowl.</x:v>
      </x:c>
      <x:c r="E372" s="9" t="str">
        <x:v>L1: blue tape ball, L2: airplane toy with propellers, L3: green highlighter, L4: yellow pen</x:v>
      </x:c>
      <x:c r="F372" s="9" t="str">
        <x:v>green highlighter</x:v>
      </x:c>
      <x:c r="G372" s="9"/>
      <x:c r="H372" s="9" t="str">
        <x:v>Matched manipulation control</x:v>
      </x:c>
      <x:c r="I372" s="9" t="str">
        <x:v>CT-CF08-N4-02</x:v>
      </x:c>
      <x:c r="J372" s="9" t="str">
        <x:v>Exact-scene direct control; training prompt from episode 725</x:v>
      </x:c>
      <x:c r="K372" s="9" t="n">
        <x:v>71</x:v>
      </x:c>
      <x:c r="L372" s="9"/>
      <x:c r="M372" s="9"/>
      <x:c r="N372" s="9" t="str">
        <x:v>3 — Transfer + matched-control families</x:v>
      </x:c>
      <x:c r="O372" s="9" t="str">
        <x:v>Return the previously moved object to its marked position. Do not move any other object; only the prompt changes.</x:v>
      </x:c>
      <x:c r="P372" s="9" t="str">
        <x:v>This is the direct-name prompt assigned to the same masked training cell. It tests recognition and manipulation of the exact transfer target in the exact scene without requiring ordinal selection.</x:v>
      </x:c>
      <x:c r="Q372" s="9"/>
      <x:c r="R372" s="10" t="n">
        <x:v>4</x:v>
      </x:c>
      <x:c r="S372" s="10"/>
      <x:c r="T372" s="9"/>
      <x:c r="U372" s="9"/>
      <x:c r="V372" s="9"/>
      <x:c r="W372" s="9" t="str">
        <x:v>CT-CF08-N4-02</x:v>
      </x:c>
      <x:c r="X372" s="10"/>
      <x:c r="Y372" s="10"/>
      <x:c r="Z372" s="9"/>
      <x:c r="AA372" s="9" t="str">
        <x:v>L3</x:v>
      </x:c>
      <x:c r="AB372" s="9" t="str">
        <x:v>Direct-name control</x:v>
      </x:c>
      <x:c r="AC372" s="9"/>
      <x:c r="AD372" s="9"/>
      <x:c r="AE372" s="9"/>
      <x:c r="AF372" s="9"/>
      <x:c r="AG372" s="9"/>
      <x:c r="AH372" s="9"/>
      <x:c r="AI372" s="11"/>
      <x:c r="AJ372" s="9"/>
      <x:c r="AK372" s="9" t="str">
        <x:v>Eval_Ordinal_Reference_Ordering.xlsm</x:v>
      </x:c>
      <x:c r="AL372" s="9" t="str">
        <x:v>MolmoAct2 Results2</x:v>
      </x:c>
      <x:c r="AM372" s="9" t="n">
        <x:v>72</x:v>
      </x:c>
      <x:c r="AN372" s="9" t="n">
        <x:v>72</x:v>
      </x:c>
    </x:row>
    <x:row r="373">
      <x:c r="A373" s="9" t="str">
        <x:v>Failure</x:v>
      </x:c>
      <x:c r="B373" s="9" t="str">
        <x:v>Ordinal Reference Ordering</x:v>
      </x:c>
      <x:c r="C373" s="10" t="n">
        <x:v>71</x:v>
      </x:c>
      <x:c r="D373" s="9" t="str">
        <x:v>Pick up the object that is third from the left and place it in the bowl.</x:v>
      </x:c>
      <x:c r="E373" s="9" t="str">
        <x:v>L1: blue tape ball, L2: airplane toy with propellers, L3: green highlighter, L4: yellow pen</x:v>
      </x:c>
      <x:c r="F373" s="9" t="str">
        <x:v>green highlighter</x:v>
      </x:c>
      <x:c r="G373" s="9" t="str">
        <x:v>Picked airplane toy</x:v>
      </x:c>
      <x:c r="H373" s="9" t="str">
        <x:v>Concept/compositional transfer</x:v>
      </x:c>
      <x:c r="I373" s="9" t="str">
        <x:v>CT-CF08-N4-02</x:v>
      </x:c>
      <x:c r="J373" s="9" t="str">
        <x:v>Masked cell n=4, L3, green highlighter</x:v>
      </x:c>
      <x:c r="K373" s="9" t="n">
        <x:v>68</x:v>
      </x:c>
      <x:c r="L373" s="9"/>
      <x:c r="M373" s="9"/>
      <x:c r="N373" s="9" t="str">
        <x:v>3 — Transfer + matched-control families</x:v>
      </x:c>
      <x:c r="O373" s="9" t="str">
        <x:v>Return the previously moved object to its marked position. Do not move any other object; only the prompt changes.</x:v>
      </x:c>
      <x:c r="P373" s="9" t="str">
        <x:v>The final manifest masks this exact sequence-length × physical-position × target-identity cell. Both equivalent left- and right-based descriptions are absent for this cell, while the canonical instruction wording occurs elsewhere in training.</x:v>
      </x:c>
      <x:c r="Q373" s="9"/>
      <x:c r="R373" s="10" t="n">
        <x:v>4</x:v>
      </x:c>
      <x:c r="S373" s="10"/>
      <x:c r="T373" s="9"/>
      <x:c r="U373" s="9"/>
      <x:c r="V373" s="9"/>
      <x:c r="W373" s="9" t="str">
        <x:v>CT-CF08-N4-02</x:v>
      </x:c>
      <x:c r="X373" s="10"/>
      <x:c r="Y373" s="10"/>
      <x:c r="Z373" s="9"/>
      <x:c r="AA373" s="9" t="str">
        <x:v>L3</x:v>
      </x:c>
      <x:c r="AB373" s="9" t="str">
        <x:v>third from left</x:v>
      </x:c>
      <x:c r="AC373" s="9"/>
      <x:c r="AD373" s="9"/>
      <x:c r="AE373" s="9"/>
      <x:c r="AF373" s="9"/>
      <x:c r="AG373" s="9"/>
      <x:c r="AH373" s="9"/>
      <x:c r="AI373" s="11"/>
      <x:c r="AJ373" s="9"/>
      <x:c r="AK373" s="9" t="str">
        <x:v>Eval_Ordinal_Reference_Ordering.xlsm</x:v>
      </x:c>
      <x:c r="AL373" s="9" t="str">
        <x:v>MolmoAct2 Results2</x:v>
      </x:c>
      <x:c r="AM373" s="9" t="n">
        <x:v>73</x:v>
      </x:c>
      <x:c r="AN373" s="9" t="n">
        <x:v>73</x:v>
      </x:c>
    </x:row>
    <x:row r="374">
      <x:c r="A374" s="9" t="str">
        <x:v>Success</x:v>
      </x:c>
      <x:c r="B374" s="9" t="str">
        <x:v>Ordinal Reference Ordering</x:v>
      </x:c>
      <x:c r="C374" s="10" t="n">
        <x:v>72</x:v>
      </x:c>
      <x:c r="D374" s="9" t="str">
        <x:v>Pick up the object that is second from the right and place it in the bowl.</x:v>
      </x:c>
      <x:c r="E374" s="9" t="str">
        <x:v>L1: airplane toy with propellers, L2: yellow pen</x:v>
      </x:c>
      <x:c r="F374" s="9" t="str">
        <x:v>airplane toy with propellers</x:v>
      </x:c>
      <x:c r="G374" s="9"/>
      <x:c r="H374" s="9" t="str">
        <x:v>Concept/compositional transfer</x:v>
      </x:c>
      <x:c r="I374" s="9" t="str">
        <x:v>CT-CF09-N2-02</x:v>
      </x:c>
      <x:c r="J374" s="9" t="str">
        <x:v>Masked cell n=2, L1, airplane toy with propellers</x:v>
      </x:c>
      <x:c r="K374" s="9"/>
      <x:c r="L374" s="9"/>
      <x:c r="M374" s="9"/>
      <x:c r="N374" s="9" t="str">
        <x:v>3 — Transfer + matched-control families</x:v>
      </x:c>
      <x:c r="O374" s="9" t="str">
        <x:v>Build this new scene family exactly from the L1–L4 description and save a first-frame reference image.</x:v>
      </x:c>
      <x:c r="P374" s="9" t="str">
        <x:v>The final manifest masks this exact sequence-length × physical-position × target-identity cell. Both equivalent left- and right-based descriptions are absent for this cell, while the canonical instruction wording occurs elsewhere in training.</x:v>
      </x:c>
      <x:c r="Q374" s="9"/>
      <x:c r="R374" s="10" t="n">
        <x:v>2</x:v>
      </x:c>
      <x:c r="S374" s="10"/>
      <x:c r="T374" s="9"/>
      <x:c r="U374" s="9"/>
      <x:c r="V374" s="9"/>
      <x:c r="W374" s="9" t="str">
        <x:v>CT-CF09-N2-02</x:v>
      </x:c>
      <x:c r="X374" s="10"/>
      <x:c r="Y374" s="10"/>
      <x:c r="Z374" s="9"/>
      <x:c r="AA374" s="9" t="str">
        <x:v>L1</x:v>
      </x:c>
      <x:c r="AB374" s="9" t="str">
        <x:v>second from right</x:v>
      </x:c>
      <x:c r="AC374" s="9"/>
      <x:c r="AD374" s="9"/>
      <x:c r="AE374" s="9"/>
      <x:c r="AF374" s="9"/>
      <x:c r="AG374" s="9"/>
      <x:c r="AH374" s="9"/>
      <x:c r="AI374" s="11"/>
      <x:c r="AJ374" s="9"/>
      <x:c r="AK374" s="9" t="str">
        <x:v>Eval_Ordinal_Reference_Ordering.xlsm</x:v>
      </x:c>
      <x:c r="AL374" s="9" t="str">
        <x:v>MolmoAct2 Results2</x:v>
      </x:c>
      <x:c r="AM374" s="9" t="n">
        <x:v>74</x:v>
      </x:c>
      <x:c r="AN374" s="9" t="n">
        <x:v>74</x:v>
      </x:c>
    </x:row>
    <x:row r="375">
      <x:c r="A375" s="9" t="str">
        <x:v>Success</x:v>
      </x:c>
      <x:c r="B375" s="9" t="str">
        <x:v>Ordinal Reference Ordering</x:v>
      </x:c>
      <x:c r="C375" s="10" t="n">
        <x:v>73</x:v>
      </x:c>
      <x:c r="D375" s="9" t="str">
        <x:v>Pick up the airplane toy with propellers and place it in the bowl.</x:v>
      </x:c>
      <x:c r="E375" s="9" t="str">
        <x:v>L1: airplane toy with propellers, L2: yellow pen</x:v>
      </x:c>
      <x:c r="F375" s="9" t="str">
        <x:v>airplane toy with propellers</x:v>
      </x:c>
      <x:c r="G375" s="9"/>
      <x:c r="H375" s="9" t="str">
        <x:v>Matched manipulation control</x:v>
      </x:c>
      <x:c r="I375" s="9" t="str">
        <x:v>CT-CF09-N2-02</x:v>
      </x:c>
      <x:c r="J375" s="9" t="str">
        <x:v>Exact-scene direct control; training prompt from episode 611</x:v>
      </x:c>
      <x:c r="K375" s="9" t="n">
        <x:v>72</x:v>
      </x:c>
      <x:c r="L375" s="9"/>
      <x:c r="M375" s="9"/>
      <x:c r="N375" s="9" t="str">
        <x:v>3 — Transfer + matched-control families</x:v>
      </x:c>
      <x:c r="O375" s="9" t="str">
        <x:v>Return the previously moved object to its marked position. Do not move any other object; only the prompt changes.</x:v>
      </x:c>
      <x:c r="P375" s="9" t="str">
        <x:v>This is the direct-name prompt assigned to the same masked training cell. It tests recognition and manipulation of the exact transfer target in the exact scene without requiring ordinal selection.</x:v>
      </x:c>
      <x:c r="Q375" s="9"/>
      <x:c r="R375" s="10" t="n">
        <x:v>2</x:v>
      </x:c>
      <x:c r="S375" s="10"/>
      <x:c r="T375" s="9"/>
      <x:c r="U375" s="9"/>
      <x:c r="V375" s="9"/>
      <x:c r="W375" s="9" t="str">
        <x:v>CT-CF09-N2-02</x:v>
      </x:c>
      <x:c r="X375" s="10"/>
      <x:c r="Y375" s="10"/>
      <x:c r="Z375" s="9"/>
      <x:c r="AA375" s="9" t="str">
        <x:v>L1</x:v>
      </x:c>
      <x:c r="AB375" s="9" t="str">
        <x:v>Direct-name control</x:v>
      </x:c>
      <x:c r="AC375" s="9"/>
      <x:c r="AD375" s="9"/>
      <x:c r="AE375" s="9"/>
      <x:c r="AF375" s="9"/>
      <x:c r="AG375" s="9"/>
      <x:c r="AH375" s="9"/>
      <x:c r="AI375" s="11"/>
      <x:c r="AJ375" s="9"/>
      <x:c r="AK375" s="9" t="str">
        <x:v>Eval_Ordinal_Reference_Ordering.xlsm</x:v>
      </x:c>
      <x:c r="AL375" s="9" t="str">
        <x:v>MolmoAct2 Results2</x:v>
      </x:c>
      <x:c r="AM375" s="9" t="n">
        <x:v>75</x:v>
      </x:c>
      <x:c r="AN375" s="9" t="n">
        <x:v>75</x:v>
      </x:c>
    </x:row>
    <x:row r="376">
      <x:c r="A376" s="9" t="str">
        <x:v>Failure</x:v>
      </x:c>
      <x:c r="B376" s="9" t="str">
        <x:v>Ordinal Reference Ordering</x:v>
      </x:c>
      <x:c r="C376" s="10" t="n">
        <x:v>74</x:v>
      </x:c>
      <x:c r="D376" s="9" t="str">
        <x:v>Move the yellow pen into the bowl.</x:v>
      </x:c>
      <x:c r="E376" s="9" t="str">
        <x:v>L1: airplane toy with propellers, L2: yellow pen</x:v>
      </x:c>
      <x:c r="F376" s="9" t="str">
        <x:v>yellow pen</x:v>
      </x:c>
      <x:c r="G376" s="9" t="str">
        <x:v>Wrist rotated 90 degrees off. Clearly went for yellow pen, but couldn't get it. Reasoning success.</x:v>
      </x:c>
      <x:c r="H376" s="9" t="str">
        <x:v>Matched manipulation control</x:v>
      </x:c>
      <x:c r="I376" s="9" t="str">
        <x:v>CT-CF09-N2-02</x:v>
      </x:c>
      <x:c r="J376" s="9" t="str">
        <x:v>Exact-scene direct control; training prompt from episode 771</x:v>
      </x:c>
      <x:c r="K376" s="9" t="n">
        <x:v>75</x:v>
      </x:c>
      <x:c r="L376" s="9"/>
      <x:c r="M376" s="9"/>
      <x:c r="N376" s="9" t="str">
        <x:v>3 — Transfer + matched-control families</x:v>
      </x:c>
      <x:c r="O376" s="9" t="str">
        <x:v>Return the previously moved object to its marked position. Do not move any other object; only the prompt changes.</x:v>
      </x:c>
      <x:c r="P376" s="9" t="str">
        <x:v>This is the direct-name prompt assigned to the same masked training cell. It tests recognition and manipulation of the exact transfer target in the exact scene without requiring ordinal selection.</x:v>
      </x:c>
      <x:c r="Q376" s="9"/>
      <x:c r="R376" s="10" t="n">
        <x:v>2</x:v>
      </x:c>
      <x:c r="S376" s="10"/>
      <x:c r="T376" s="9"/>
      <x:c r="U376" s="9"/>
      <x:c r="V376" s="9"/>
      <x:c r="W376" s="9" t="str">
        <x:v>CT-CF09-N2-02</x:v>
      </x:c>
      <x:c r="X376" s="10"/>
      <x:c r="Y376" s="10"/>
      <x:c r="Z376" s="9"/>
      <x:c r="AA376" s="9" t="str">
        <x:v>L2</x:v>
      </x:c>
      <x:c r="AB376" s="9" t="str">
        <x:v>Direct-name control</x:v>
      </x:c>
      <x:c r="AC376" s="9"/>
      <x:c r="AD376" s="9"/>
      <x:c r="AE376" s="9"/>
      <x:c r="AF376" s="9"/>
      <x:c r="AG376" s="9"/>
      <x:c r="AH376" s="9"/>
      <x:c r="AI376" s="11"/>
      <x:c r="AJ376" s="9"/>
      <x:c r="AK376" s="9" t="str">
        <x:v>Eval_Ordinal_Reference_Ordering.xlsm</x:v>
      </x:c>
      <x:c r="AL376" s="9" t="str">
        <x:v>MolmoAct2 Results2</x:v>
      </x:c>
      <x:c r="AM376" s="9" t="n">
        <x:v>76</x:v>
      </x:c>
      <x:c r="AN376" s="9" t="n">
        <x:v>76</x:v>
      </x:c>
    </x:row>
    <x:row r="377">
      <x:c r="A377" s="9" t="str">
        <x:v>Success</x:v>
      </x:c>
      <x:c r="B377" s="9" t="str">
        <x:v>Ordinal Reference Ordering</x:v>
      </x:c>
      <x:c r="C377" s="10" t="n">
        <x:v>75</x:v>
      </x:c>
      <x:c r="D377" s="9" t="str">
        <x:v>Pick up the object that is second from the left and place it in the bowl.</x:v>
      </x:c>
      <x:c r="E377" s="9" t="str">
        <x:v>L1: airplane toy with propellers, L2: yellow pen</x:v>
      </x:c>
      <x:c r="F377" s="9" t="str">
        <x:v>yellow pen</x:v>
      </x:c>
      <x:c r="G377" s="9"/>
      <x:c r="H377" s="9" t="str">
        <x:v>Concept/compositional transfer</x:v>
      </x:c>
      <x:c r="I377" s="9" t="str">
        <x:v>CT-CF09-N2-02</x:v>
      </x:c>
      <x:c r="J377" s="9" t="str">
        <x:v>Masked cell n=2, L2, yellow pen</x:v>
      </x:c>
      <x:c r="K377" s="9" t="n">
        <x:v>72</x:v>
      </x:c>
      <x:c r="L377" s="9"/>
      <x:c r="M377" s="9"/>
      <x:c r="N377" s="9" t="str">
        <x:v>3 — Transfer + matched-control families</x:v>
      </x:c>
      <x:c r="O377" s="9" t="str">
        <x:v>Return the previously moved object to its marked position. Do not move any other object; only the prompt changes.</x:v>
      </x:c>
      <x:c r="P377" s="9" t="str">
        <x:v>The final manifest masks this exact sequence-length × physical-position × target-identity cell. Both equivalent left- and right-based descriptions are absent for this cell, while the canonical instruction wording occurs elsewhere in training.</x:v>
      </x:c>
      <x:c r="Q377" s="9"/>
      <x:c r="R377" s="10" t="n">
        <x:v>2</x:v>
      </x:c>
      <x:c r="S377" s="10"/>
      <x:c r="T377" s="9"/>
      <x:c r="U377" s="9"/>
      <x:c r="V377" s="9"/>
      <x:c r="W377" s="9" t="str">
        <x:v>CT-CF09-N2-02</x:v>
      </x:c>
      <x:c r="X377" s="10"/>
      <x:c r="Y377" s="10"/>
      <x:c r="Z377" s="9"/>
      <x:c r="AA377" s="9" t="str">
        <x:v>L2</x:v>
      </x:c>
      <x:c r="AB377" s="9" t="str">
        <x:v>second from left</x:v>
      </x:c>
      <x:c r="AC377" s="9"/>
      <x:c r="AD377" s="9"/>
      <x:c r="AE377" s="9"/>
      <x:c r="AF377" s="9"/>
      <x:c r="AG377" s="9"/>
      <x:c r="AH377" s="9"/>
      <x:c r="AI377" s="11"/>
      <x:c r="AJ377" s="9"/>
      <x:c r="AK377" s="9" t="str">
        <x:v>Eval_Ordinal_Reference_Ordering.xlsm</x:v>
      </x:c>
      <x:c r="AL377" s="9" t="str">
        <x:v>MolmoAct2 Results2</x:v>
      </x:c>
      <x:c r="AM377" s="9" t="n">
        <x:v>77</x:v>
      </x:c>
      <x:c r="AN377" s="9" t="n">
        <x:v>77</x:v>
      </x:c>
    </x:row>
    <x:row r="378">
      <x:c r="A378" s="9" t="str">
        <x:v>Failure</x:v>
      </x:c>
      <x:c r="B378" s="9" t="str">
        <x:v>Ordinal Reference Ordering</x:v>
      </x:c>
      <x:c r="C378" s="10" t="n">
        <x:v>76</x:v>
      </x:c>
      <x:c r="D378" s="9" t="str">
        <x:v>Pick up the object that is first from the right and place it in the bowl.</x:v>
      </x:c>
      <x:c r="E378" s="9" t="str">
        <x:v>L1: blue tape ball, L2: yellow pen, L3: green highlighter</x:v>
      </x:c>
      <x:c r="F378" s="9" t="str">
        <x:v>green highlighter</x:v>
      </x:c>
      <x:c r="G378" s="9" t="str">
        <x:v>picked yellow pen</x:v>
      </x:c>
      <x:c r="H378" s="9" t="str">
        <x:v>Concept/compositional transfer</x:v>
      </x:c>
      <x:c r="I378" s="9" t="str">
        <x:v>CT-CF10-N3-02</x:v>
      </x:c>
      <x:c r="J378" s="9" t="str">
        <x:v>Masked cell n=3, L3, green highlighter</x:v>
      </x:c>
      <x:c r="K378" s="9"/>
      <x:c r="L378" s="9"/>
      <x:c r="M378" s="9"/>
      <x:c r="N378" s="9" t="str">
        <x:v>3 — Transfer + matched-control families</x:v>
      </x:c>
      <x:c r="O378" s="9" t="str">
        <x:v>Build this new scene family exactly from the L1–L4 description and save a first-frame reference image.</x:v>
      </x:c>
      <x:c r="P378" s="9" t="str">
        <x:v>The final manifest masks this exact sequence-length × physical-position × target-identity cell. Both equivalent left- and right-based descriptions are absent for this cell, while the canonical instruction wording occurs elsewhere in training.</x:v>
      </x:c>
      <x:c r="Q378" s="9"/>
      <x:c r="R378" s="10" t="n">
        <x:v>3</x:v>
      </x:c>
      <x:c r="S378" s="10"/>
      <x:c r="T378" s="9"/>
      <x:c r="U378" s="9"/>
      <x:c r="V378" s="9"/>
      <x:c r="W378" s="9" t="str">
        <x:v>CT-CF10-N3-02</x:v>
      </x:c>
      <x:c r="X378" s="10"/>
      <x:c r="Y378" s="10"/>
      <x:c r="Z378" s="9"/>
      <x:c r="AA378" s="9" t="str">
        <x:v>L3</x:v>
      </x:c>
      <x:c r="AB378" s="9" t="str">
        <x:v>first from right</x:v>
      </x:c>
      <x:c r="AC378" s="9"/>
      <x:c r="AD378" s="9"/>
      <x:c r="AE378" s="9"/>
      <x:c r="AF378" s="9"/>
      <x:c r="AG378" s="9"/>
      <x:c r="AH378" s="9"/>
      <x:c r="AI378" s="11"/>
      <x:c r="AJ378" s="9"/>
      <x:c r="AK378" s="9" t="str">
        <x:v>Eval_Ordinal_Reference_Ordering.xlsm</x:v>
      </x:c>
      <x:c r="AL378" s="9" t="str">
        <x:v>MolmoAct2 Results2</x:v>
      </x:c>
      <x:c r="AM378" s="9" t="n">
        <x:v>78</x:v>
      </x:c>
      <x:c r="AN378" s="9" t="n">
        <x:v>78</x:v>
      </x:c>
    </x:row>
    <x:row r="379">
      <x:c r="A379" s="9" t="str">
        <x:v>Success</x:v>
      </x:c>
      <x:c r="B379" s="9" t="str">
        <x:v>Ordinal Reference Ordering</x:v>
      </x:c>
      <x:c r="C379" s="10" t="n">
        <x:v>77</x:v>
      </x:c>
      <x:c r="D379" s="9" t="str">
        <x:v>Put the green highlighter in the bowl.</x:v>
      </x:c>
      <x:c r="E379" s="9" t="str">
        <x:v>L1: blue tape ball, L2: yellow pen, L3: green highlighter</x:v>
      </x:c>
      <x:c r="F379" s="9" t="str">
        <x:v>green highlighter</x:v>
      </x:c>
      <x:c r="G379" s="9"/>
      <x:c r="H379" s="9" t="str">
        <x:v>Matched manipulation control</x:v>
      </x:c>
      <x:c r="I379" s="9" t="str">
        <x:v>CT-CF10-N3-02</x:v>
      </x:c>
      <x:c r="J379" s="9" t="str">
        <x:v>Exact-scene direct control; training prompt from episode 733</x:v>
      </x:c>
      <x:c r="K379" s="9" t="n">
        <x:v>76</x:v>
      </x:c>
      <x:c r="L379" s="9"/>
      <x:c r="M379" s="9"/>
      <x:c r="N379" s="9" t="str">
        <x:v>3 — Transfer + matched-control families</x:v>
      </x:c>
      <x:c r="O379" s="9" t="str">
        <x:v>Return the previously moved object to its marked position. Do not move any other object; only the prompt changes.</x:v>
      </x:c>
      <x:c r="P379" s="9" t="str">
        <x:v>This is the direct-name prompt assigned to the same masked training cell. It tests recognition and manipulation of the exact transfer target in the exact scene without requiring ordinal selection.</x:v>
      </x:c>
      <x:c r="Q379" s="9"/>
      <x:c r="R379" s="10" t="n">
        <x:v>3</x:v>
      </x:c>
      <x:c r="S379" s="10"/>
      <x:c r="T379" s="9"/>
      <x:c r="U379" s="9"/>
      <x:c r="V379" s="9"/>
      <x:c r="W379" s="9" t="str">
        <x:v>CT-CF10-N3-02</x:v>
      </x:c>
      <x:c r="X379" s="10"/>
      <x:c r="Y379" s="10"/>
      <x:c r="Z379" s="9"/>
      <x:c r="AA379" s="9" t="str">
        <x:v>L3</x:v>
      </x:c>
      <x:c r="AB379" s="9" t="str">
        <x:v>Direct-name control</x:v>
      </x:c>
      <x:c r="AC379" s="9"/>
      <x:c r="AD379" s="9"/>
      <x:c r="AE379" s="9"/>
      <x:c r="AF379" s="9"/>
      <x:c r="AG379" s="9"/>
      <x:c r="AH379" s="9"/>
      <x:c r="AI379" s="11"/>
      <x:c r="AJ379" s="9"/>
      <x:c r="AK379" s="9" t="str">
        <x:v>Eval_Ordinal_Reference_Ordering.xlsm</x:v>
      </x:c>
      <x:c r="AL379" s="9" t="str">
        <x:v>MolmoAct2 Results2</x:v>
      </x:c>
      <x:c r="AM379" s="9" t="n">
        <x:v>79</x:v>
      </x:c>
      <x:c r="AN379" s="9" t="n">
        <x:v>79</x:v>
      </x:c>
    </x:row>
    <x:row r="380">
      <x:c r="A380" s="9" t="str">
        <x:v>Success</x:v>
      </x:c>
      <x:c r="B380" s="9" t="str">
        <x:v>Ordinal Reference Ordering</x:v>
      </x:c>
      <x:c r="C380" s="10" t="n">
        <x:v>78</x:v>
      </x:c>
      <x:c r="D380" s="9" t="str">
        <x:v>Put the blue tape ball in the bowl.</x:v>
      </x:c>
      <x:c r="E380" s="9" t="str">
        <x:v>L1: blue tape ball, L2: yellow pen, L3: green highlighter</x:v>
      </x:c>
      <x:c r="F380" s="9" t="str">
        <x:v>blue tape ball</x:v>
      </x:c>
      <x:c r="G380" s="9"/>
      <x:c r="H380" s="9" t="str">
        <x:v>Matched manipulation control</x:v>
      </x:c>
      <x:c r="I380" s="9" t="str">
        <x:v>CT-CF10-N3-02</x:v>
      </x:c>
      <x:c r="J380" s="9" t="str">
        <x:v>Exact-scene direct control; training prompt from episode 655</x:v>
      </x:c>
      <x:c r="K380" s="9" t="n">
        <x:v>79</x:v>
      </x:c>
      <x:c r="L380" s="9"/>
      <x:c r="M380" s="9"/>
      <x:c r="N380" s="9" t="str">
        <x:v>3 — Transfer + matched-control families</x:v>
      </x:c>
      <x:c r="O380" s="9" t="str">
        <x:v>Return the previously moved object to its marked position. Do not move any other object; only the prompt changes.</x:v>
      </x:c>
      <x:c r="P380" s="9" t="str">
        <x:v>This is the direct-name prompt assigned to the same masked training cell. It tests recognition and manipulation of the exact transfer target in the exact scene without requiring ordinal selection.</x:v>
      </x:c>
      <x:c r="Q380" s="9"/>
      <x:c r="R380" s="10" t="n">
        <x:v>3</x:v>
      </x:c>
      <x:c r="S380" s="10"/>
      <x:c r="T380" s="9"/>
      <x:c r="U380" s="9"/>
      <x:c r="V380" s="9"/>
      <x:c r="W380" s="9" t="str">
        <x:v>CT-CF10-N3-02</x:v>
      </x:c>
      <x:c r="X380" s="10"/>
      <x:c r="Y380" s="10"/>
      <x:c r="Z380" s="9"/>
      <x:c r="AA380" s="9" t="str">
        <x:v>L1</x:v>
      </x:c>
      <x:c r="AB380" s="9" t="str">
        <x:v>Direct-name control</x:v>
      </x:c>
      <x:c r="AC380" s="9"/>
      <x:c r="AD380" s="9"/>
      <x:c r="AE380" s="9"/>
      <x:c r="AF380" s="9"/>
      <x:c r="AG380" s="9"/>
      <x:c r="AH380" s="9"/>
      <x:c r="AI380" s="11"/>
      <x:c r="AJ380" s="9"/>
      <x:c r="AK380" s="9" t="str">
        <x:v>Eval_Ordinal_Reference_Ordering.xlsm</x:v>
      </x:c>
      <x:c r="AL380" s="9" t="str">
        <x:v>MolmoAct2 Results2</x:v>
      </x:c>
      <x:c r="AM380" s="9" t="n">
        <x:v>80</x:v>
      </x:c>
      <x:c r="AN380" s="9" t="n">
        <x:v>80</x:v>
      </x:c>
    </x:row>
    <x:row r="381">
      <x:c r="A381" s="9" t="str">
        <x:v>Success</x:v>
      </x:c>
      <x:c r="B381" s="9" t="str">
        <x:v>Ordinal Reference Ordering</x:v>
      </x:c>
      <x:c r="C381" s="10" t="n">
        <x:v>79</x:v>
      </x:c>
      <x:c r="D381" s="9" t="str">
        <x:v>Pick up the object that is first from the left and place it in the bowl.</x:v>
      </x:c>
      <x:c r="E381" s="9" t="str">
        <x:v>L1: blue tape ball, L2: yellow pen, L3: green highlighter</x:v>
      </x:c>
      <x:c r="F381" s="9" t="str">
        <x:v>blue tape ball</x:v>
      </x:c>
      <x:c r="G381" s="9"/>
      <x:c r="H381" s="9" t="str">
        <x:v>Concept/compositional transfer</x:v>
      </x:c>
      <x:c r="I381" s="9" t="str">
        <x:v>CT-CF10-N3-02</x:v>
      </x:c>
      <x:c r="J381" s="9" t="str">
        <x:v>Masked cell n=3, L1, blue tape ball</x:v>
      </x:c>
      <x:c r="K381" s="9" t="n">
        <x:v>76</x:v>
      </x:c>
      <x:c r="L381" s="9"/>
      <x:c r="M381" s="9"/>
      <x:c r="N381" s="9" t="str">
        <x:v>3 — Transfer + matched-control families</x:v>
      </x:c>
      <x:c r="O381" s="9" t="str">
        <x:v>Return the previously moved object to its marked position. Do not move any other object; only the prompt changes.</x:v>
      </x:c>
      <x:c r="P381" s="9" t="str">
        <x:v>The final manifest masks this exact sequence-length × physical-position × target-identity cell. Both equivalent left- and right-based descriptions are absent for this cell, while the canonical instruction wording occurs elsewhere in training.</x:v>
      </x:c>
      <x:c r="Q381" s="9"/>
      <x:c r="R381" s="10" t="n">
        <x:v>3</x:v>
      </x:c>
      <x:c r="S381" s="10"/>
      <x:c r="T381" s="9"/>
      <x:c r="U381" s="9"/>
      <x:c r="V381" s="9"/>
      <x:c r="W381" s="9" t="str">
        <x:v>CT-CF10-N3-02</x:v>
      </x:c>
      <x:c r="X381" s="10"/>
      <x:c r="Y381" s="10"/>
      <x:c r="Z381" s="9"/>
      <x:c r="AA381" s="9" t="str">
        <x:v>L1</x:v>
      </x:c>
      <x:c r="AB381" s="9" t="str">
        <x:v>first from left</x:v>
      </x:c>
      <x:c r="AC381" s="9"/>
      <x:c r="AD381" s="9"/>
      <x:c r="AE381" s="9"/>
      <x:c r="AF381" s="9"/>
      <x:c r="AG381" s="9"/>
      <x:c r="AH381" s="9"/>
      <x:c r="AI381" s="11"/>
      <x:c r="AJ381" s="9"/>
      <x:c r="AK381" s="9" t="str">
        <x:v>Eval_Ordinal_Reference_Ordering.xlsm</x:v>
      </x:c>
      <x:c r="AL381" s="9" t="str">
        <x:v>MolmoAct2 Results2</x:v>
      </x:c>
      <x:c r="AM381" s="9" t="n">
        <x:v>81</x:v>
      </x:c>
      <x:c r="AN381" s="9" t="n">
        <x:v>81</x:v>
      </x:c>
    </x:row>
    <x:row r="382">
      <x:c r="A382" s="9" t="str">
        <x:v>Success</x:v>
      </x:c>
      <x:c r="B382" s="9" t="str">
        <x:v>Ordinal Reference Ordering</x:v>
      </x:c>
      <x:c r="C382" s="10" t="n">
        <x:v>80</x:v>
      </x:c>
      <x:c r="D382" s="9" t="str">
        <x:v>Pick up the object that is second from the right and place it in the bowl.</x:v>
      </x:c>
      <x:c r="E382" s="9" t="str">
        <x:v>L1: airplane toy with propellers, L2: blue tape ball</x:v>
      </x:c>
      <x:c r="F382" s="9" t="str">
        <x:v>airplane toy with propellers</x:v>
      </x:c>
      <x:c r="G382" s="9"/>
      <x:c r="H382" s="9" t="str">
        <x:v>Concept/compositional transfer</x:v>
      </x:c>
      <x:c r="I382" s="9" t="str">
        <x:v>CT-CF11-N2-05</x:v>
      </x:c>
      <x:c r="J382" s="9" t="str">
        <x:v>Masked cell n=2, L1, airplane toy with propellers</x:v>
      </x:c>
      <x:c r="K382" s="9"/>
      <x:c r="L382" s="9"/>
      <x:c r="M382" s="9"/>
      <x:c r="N382" s="9" t="str">
        <x:v>4 — Transfer-only counterfactual pairs</x:v>
      </x:c>
      <x:c r="O382" s="9" t="str">
        <x:v>Build this new scene family exactly from the L1–L4 description and save a first-frame reference image.</x:v>
      </x:c>
      <x:c r="P382" s="9" t="str">
        <x:v>The final manifest masks this exact sequence-length × physical-position × target-identity cell. Both equivalent left- and right-based descriptions are absent for this cell, while the canonical instruction wording occurs elsewhere in training.</x:v>
      </x:c>
      <x:c r="Q382" s="9"/>
      <x:c r="R382" s="10" t="n">
        <x:v>2</x:v>
      </x:c>
      <x:c r="S382" s="10"/>
      <x:c r="T382" s="9"/>
      <x:c r="U382" s="9"/>
      <x:c r="V382" s="9"/>
      <x:c r="W382" s="9" t="str">
        <x:v>CT-CF11-N2-05</x:v>
      </x:c>
      <x:c r="X382" s="10"/>
      <x:c r="Y382" s="10"/>
      <x:c r="Z382" s="9"/>
      <x:c r="AA382" s="9" t="str">
        <x:v>L1</x:v>
      </x:c>
      <x:c r="AB382" s="9" t="str">
        <x:v>second from right</x:v>
      </x:c>
      <x:c r="AC382" s="9"/>
      <x:c r="AD382" s="9"/>
      <x:c r="AE382" s="9"/>
      <x:c r="AF382" s="9"/>
      <x:c r="AG382" s="9"/>
      <x:c r="AH382" s="9"/>
      <x:c r="AI382" s="11"/>
      <x:c r="AJ382" s="9"/>
      <x:c r="AK382" s="9" t="str">
        <x:v>Eval_Ordinal_Reference_Ordering.xlsm</x:v>
      </x:c>
      <x:c r="AL382" s="9" t="str">
        <x:v>MolmoAct2 Results2</x:v>
      </x:c>
      <x:c r="AM382" s="9" t="n">
        <x:v>82</x:v>
      </x:c>
      <x:c r="AN382" s="9" t="n">
        <x:v>82</x:v>
      </x:c>
    </x:row>
    <x:row r="383">
      <x:c r="A383" s="9" t="str">
        <x:v>Failure</x:v>
      </x:c>
      <x:c r="B383" s="9" t="str">
        <x:v>Ordinal Reference Ordering</x:v>
      </x:c>
      <x:c r="C383" s="10" t="n">
        <x:v>81</x:v>
      </x:c>
      <x:c r="D383" s="9" t="str">
        <x:v>Pick up the object that is second from the left and place it in the bowl.</x:v>
      </x:c>
      <x:c r="E383" s="9" t="str">
        <x:v>L1: airplane toy with propellers, L2: blue tape ball</x:v>
      </x:c>
      <x:c r="F383" s="9" t="str">
        <x:v>blue tape ball</x:v>
      </x:c>
      <x:c r="G383" s="9" t="str">
        <x:v>Picked airplane toy</x:v>
      </x:c>
      <x:c r="H383" s="9" t="str">
        <x:v>Concept/compositional transfer</x:v>
      </x:c>
      <x:c r="I383" s="9" t="str">
        <x:v>CT-CF11-N2-05</x:v>
      </x:c>
      <x:c r="J383" s="9" t="str">
        <x:v>Masked cell n=2, L2, blue tape ball</x:v>
      </x:c>
      <x:c r="K383" s="9" t="n">
        <x:v>80</x:v>
      </x:c>
      <x:c r="L383" s="9"/>
      <x:c r="M383" s="9"/>
      <x:c r="N383" s="9" t="str">
        <x:v>4 — Transfer-only counterfactual pairs</x:v>
      </x:c>
      <x:c r="O383" s="9" t="str">
        <x:v>Return the previously moved object to its marked position. Do not move any other object; only the prompt changes.</x:v>
      </x:c>
      <x:c r="P383" s="9" t="str">
        <x:v>The final manifest masks this exact sequence-length × physical-position × target-identity cell. Both equivalent left- and right-based descriptions are absent for this cell, while the canonical instruction wording occurs elsewhere in training.</x:v>
      </x:c>
      <x:c r="Q383" s="9"/>
      <x:c r="R383" s="10" t="n">
        <x:v>2</x:v>
      </x:c>
      <x:c r="S383" s="10"/>
      <x:c r="T383" s="9"/>
      <x:c r="U383" s="9"/>
      <x:c r="V383" s="9"/>
      <x:c r="W383" s="9" t="str">
        <x:v>CT-CF11-N2-05</x:v>
      </x:c>
      <x:c r="X383" s="10"/>
      <x:c r="Y383" s="10"/>
      <x:c r="Z383" s="9"/>
      <x:c r="AA383" s="9" t="str">
        <x:v>L2</x:v>
      </x:c>
      <x:c r="AB383" s="9" t="str">
        <x:v>second from left</x:v>
      </x:c>
      <x:c r="AC383" s="9"/>
      <x:c r="AD383" s="9"/>
      <x:c r="AE383" s="9"/>
      <x:c r="AF383" s="9"/>
      <x:c r="AG383" s="9"/>
      <x:c r="AH383" s="9"/>
      <x:c r="AI383" s="11"/>
      <x:c r="AJ383" s="9"/>
      <x:c r="AK383" s="9" t="str">
        <x:v>Eval_Ordinal_Reference_Ordering.xlsm</x:v>
      </x:c>
      <x:c r="AL383" s="9" t="str">
        <x:v>MolmoAct2 Results2</x:v>
      </x:c>
      <x:c r="AM383" s="9" t="n">
        <x:v>83</x:v>
      </x:c>
      <x:c r="AN383" s="9" t="n">
        <x:v>83</x:v>
      </x:c>
    </x:row>
    <x:row r="384">
      <x:c r="A384" s="9" t="str">
        <x:v>Success</x:v>
      </x:c>
      <x:c r="B384" s="9" t="str">
        <x:v>Ordinal Reference Ordering</x:v>
      </x:c>
      <x:c r="C384" s="10" t="n">
        <x:v>82</x:v>
      </x:c>
      <x:c r="D384" s="9" t="str">
        <x:v>Pick up the object that is first from the right and place it in the bowl.</x:v>
      </x:c>
      <x:c r="E384" s="9" t="str">
        <x:v>L1: blue tape ball, L2: yellow pen, L3: airplane toy with propellers</x:v>
      </x:c>
      <x:c r="F384" s="9" t="str">
        <x:v>airplane toy with propellers</x:v>
      </x:c>
      <x:c r="G384" s="9"/>
      <x:c r="H384" s="9" t="str">
        <x:v>Concept/compositional transfer</x:v>
      </x:c>
      <x:c r="I384" s="9" t="str">
        <x:v>CT-CF12-N3-05</x:v>
      </x:c>
      <x:c r="J384" s="9" t="str">
        <x:v>Masked cell n=3, L3, airplane toy with propellers</x:v>
      </x:c>
      <x:c r="K384" s="9"/>
      <x:c r="L384" s="9"/>
      <x:c r="M384" s="9"/>
      <x:c r="N384" s="9" t="str">
        <x:v>4 — Transfer-only counterfactual pairs</x:v>
      </x:c>
      <x:c r="O384" s="9" t="str">
        <x:v>Build this new scene family exactly from the L1–L4 description and save a first-frame reference image.</x:v>
      </x:c>
      <x:c r="P384" s="9" t="str">
        <x:v>The final manifest masks this exact sequence-length × physical-position × target-identity cell. Both equivalent left- and right-based descriptions are absent for this cell, while the canonical instruction wording occurs elsewhere in training.</x:v>
      </x:c>
      <x:c r="Q384" s="9"/>
      <x:c r="R384" s="10" t="n">
        <x:v>3</x:v>
      </x:c>
      <x:c r="S384" s="10"/>
      <x:c r="T384" s="9"/>
      <x:c r="U384" s="9"/>
      <x:c r="V384" s="9"/>
      <x:c r="W384" s="9" t="str">
        <x:v>CT-CF12-N3-05</x:v>
      </x:c>
      <x:c r="X384" s="10"/>
      <x:c r="Y384" s="10"/>
      <x:c r="Z384" s="9"/>
      <x:c r="AA384" s="9" t="str">
        <x:v>L3</x:v>
      </x:c>
      <x:c r="AB384" s="9" t="str">
        <x:v>first from right</x:v>
      </x:c>
      <x:c r="AC384" s="9"/>
      <x:c r="AD384" s="9"/>
      <x:c r="AE384" s="9"/>
      <x:c r="AF384" s="9"/>
      <x:c r="AG384" s="9"/>
      <x:c r="AH384" s="9"/>
      <x:c r="AI384" s="11"/>
      <x:c r="AJ384" s="9"/>
      <x:c r="AK384" s="9" t="str">
        <x:v>Eval_Ordinal_Reference_Ordering.xlsm</x:v>
      </x:c>
      <x:c r="AL384" s="9" t="str">
        <x:v>MolmoAct2 Results2</x:v>
      </x:c>
      <x:c r="AM384" s="9" t="n">
        <x:v>84</x:v>
      </x:c>
      <x:c r="AN384" s="9" t="n">
        <x:v>84</x:v>
      </x:c>
    </x:row>
    <x:row r="385">
      <x:c r="A385" s="9" t="str">
        <x:v>Failure</x:v>
      </x:c>
      <x:c r="B385" s="9" t="str">
        <x:v>Ordinal Reference Ordering</x:v>
      </x:c>
      <x:c r="C385" s="10" t="n">
        <x:v>83</x:v>
      </x:c>
      <x:c r="D385" s="9" t="str">
        <x:v>Pick up the object that is first from the left and place it in the bowl.</x:v>
      </x:c>
      <x:c r="E385" s="9" t="str">
        <x:v>L1: blue tape ball, L2: yellow pen, L3: airplane toy with propellers</x:v>
      </x:c>
      <x:c r="F385" s="9" t="str">
        <x:v>blue tape ball</x:v>
      </x:c>
      <x:c r="G385" s="9" t="str">
        <x:v>Picked airplane toy</x:v>
      </x:c>
      <x:c r="H385" s="9" t="str">
        <x:v>Concept/compositional transfer</x:v>
      </x:c>
      <x:c r="I385" s="9" t="str">
        <x:v>CT-CF12-N3-05</x:v>
      </x:c>
      <x:c r="J385" s="9" t="str">
        <x:v>Masked cell n=3, L1, blue tape ball</x:v>
      </x:c>
      <x:c r="K385" s="9" t="n">
        <x:v>82</x:v>
      </x:c>
      <x:c r="L385" s="9"/>
      <x:c r="M385" s="9"/>
      <x:c r="N385" s="9" t="str">
        <x:v>4 — Transfer-only counterfactual pairs</x:v>
      </x:c>
      <x:c r="O385" s="9" t="str">
        <x:v>Return the previously moved object to its marked position. Do not move any other object; only the prompt changes.</x:v>
      </x:c>
      <x:c r="P385" s="9" t="str">
        <x:v>The final manifest masks this exact sequence-length × physical-position × target-identity cell. Both equivalent left- and right-based descriptions are absent for this cell, while the canonical instruction wording occurs elsewhere in training.</x:v>
      </x:c>
      <x:c r="Q385" s="9"/>
      <x:c r="R385" s="10" t="n">
        <x:v>3</x:v>
      </x:c>
      <x:c r="S385" s="10"/>
      <x:c r="T385" s="9"/>
      <x:c r="U385" s="9"/>
      <x:c r="V385" s="9"/>
      <x:c r="W385" s="9" t="str">
        <x:v>CT-CF12-N3-05</x:v>
      </x:c>
      <x:c r="X385" s="10"/>
      <x:c r="Y385" s="10"/>
      <x:c r="Z385" s="9"/>
      <x:c r="AA385" s="9" t="str">
        <x:v>L1</x:v>
      </x:c>
      <x:c r="AB385" s="9" t="str">
        <x:v>first from left</x:v>
      </x:c>
      <x:c r="AC385" s="9"/>
      <x:c r="AD385" s="9"/>
      <x:c r="AE385" s="9"/>
      <x:c r="AF385" s="9"/>
      <x:c r="AG385" s="9"/>
      <x:c r="AH385" s="9"/>
      <x:c r="AI385" s="11"/>
      <x:c r="AJ385" s="9"/>
      <x:c r="AK385" s="9" t="str">
        <x:v>Eval_Ordinal_Reference_Ordering.xlsm</x:v>
      </x:c>
      <x:c r="AL385" s="9" t="str">
        <x:v>MolmoAct2 Results2</x:v>
      </x:c>
      <x:c r="AM385" s="9" t="n">
        <x:v>85</x:v>
      </x:c>
      <x:c r="AN385" s="9" t="n">
        <x:v>85</x:v>
      </x:c>
    </x:row>
    <x:row r="386">
      <x:c r="A386" s="9" t="str">
        <x:v>Failure</x:v>
      </x:c>
      <x:c r="B386" s="9" t="str">
        <x:v>Ordinal Reference Ordering</x:v>
      </x:c>
      <x:c r="C386" s="10" t="n">
        <x:v>84</x:v>
      </x:c>
      <x:c r="D386" s="9" t="str">
        <x:v>Pick up the object that is fourth from the right and place it in the bowl.</x:v>
      </x:c>
      <x:c r="E386" s="9" t="str">
        <x:v>L1: airplane toy with propellers, L2: yellow pen, L3: green highlighter, L4: blue tape ball</x:v>
      </x:c>
      <x:c r="F386" s="9" t="str">
        <x:v>airplane toy with propellers</x:v>
      </x:c>
      <x:c r="G386" s="9" t="str">
        <x:v>Picked yellow pen</x:v>
      </x:c>
      <x:c r="H386" s="9" t="str">
        <x:v>Concept/compositional transfer</x:v>
      </x:c>
      <x:c r="I386" s="9" t="str">
        <x:v>CT-CF13-N4-03</x:v>
      </x:c>
      <x:c r="J386" s="9" t="str">
        <x:v>Masked cell n=4, L1, airplane toy with propellers</x:v>
      </x:c>
      <x:c r="K386" s="9"/>
      <x:c r="L386" s="9"/>
      <x:c r="M386" s="9"/>
      <x:c r="N386" s="9" t="str">
        <x:v>4 — Transfer-only counterfactual pairs</x:v>
      </x:c>
      <x:c r="O386" s="9" t="str">
        <x:v>Build this new scene family exactly from the L1–L4 description and save a first-frame reference image.</x:v>
      </x:c>
      <x:c r="P386" s="9" t="str">
        <x:v>The final manifest masks this exact sequence-length × physical-position × target-identity cell. Both equivalent left- and right-based descriptions are absent for this cell, while the canonical instruction wording occurs elsewhere in training.</x:v>
      </x:c>
      <x:c r="Q386" s="9"/>
      <x:c r="R386" s="10" t="n">
        <x:v>4</x:v>
      </x:c>
      <x:c r="S386" s="10"/>
      <x:c r="T386" s="9"/>
      <x:c r="U386" s="9"/>
      <x:c r="V386" s="9"/>
      <x:c r="W386" s="9" t="str">
        <x:v>CT-CF13-N4-03</x:v>
      </x:c>
      <x:c r="X386" s="10"/>
      <x:c r="Y386" s="10"/>
      <x:c r="Z386" s="9"/>
      <x:c r="AA386" s="9" t="str">
        <x:v>L1</x:v>
      </x:c>
      <x:c r="AB386" s="9" t="str">
        <x:v>fourth from right</x:v>
      </x:c>
      <x:c r="AC386" s="9"/>
      <x:c r="AD386" s="9"/>
      <x:c r="AE386" s="9"/>
      <x:c r="AF386" s="9"/>
      <x:c r="AG386" s="9"/>
      <x:c r="AH386" s="9"/>
      <x:c r="AI386" s="11"/>
      <x:c r="AJ386" s="9"/>
      <x:c r="AK386" s="9" t="str">
        <x:v>Eval_Ordinal_Reference_Ordering.xlsm</x:v>
      </x:c>
      <x:c r="AL386" s="9" t="str">
        <x:v>MolmoAct2 Results2</x:v>
      </x:c>
      <x:c r="AM386" s="9" t="n">
        <x:v>86</x:v>
      </x:c>
      <x:c r="AN386" s="9" t="n">
        <x:v>86</x:v>
      </x:c>
    </x:row>
    <x:row r="387">
      <x:c r="A387" s="9" t="str">
        <x:v>Success</x:v>
      </x:c>
      <x:c r="B387" s="9" t="str">
        <x:v>Ordinal Reference Ordering</x:v>
      </x:c>
      <x:c r="C387" s="10" t="n">
        <x:v>85</x:v>
      </x:c>
      <x:c r="D387" s="9" t="str">
        <x:v>Pick up the object that is third from the left and place it in the bowl.</x:v>
      </x:c>
      <x:c r="E387" s="9" t="str">
        <x:v>L1: airplane toy with propellers, L2: yellow pen, L3: green highlighter, L4: blue tape ball</x:v>
      </x:c>
      <x:c r="F387" s="9" t="str">
        <x:v>green highlighter</x:v>
      </x:c>
      <x:c r="G387" s="9"/>
      <x:c r="H387" s="9" t="str">
        <x:v>Concept/compositional transfer</x:v>
      </x:c>
      <x:c r="I387" s="9" t="str">
        <x:v>CT-CF13-N4-03</x:v>
      </x:c>
      <x:c r="J387" s="9" t="str">
        <x:v>Masked cell n=4, L3, green highlighter</x:v>
      </x:c>
      <x:c r="K387" s="9" t="n">
        <x:v>84</x:v>
      </x:c>
      <x:c r="L387" s="9"/>
      <x:c r="M387" s="9"/>
      <x:c r="N387" s="9" t="str">
        <x:v>4 — Transfer-only counterfactual pairs</x:v>
      </x:c>
      <x:c r="O387" s="9" t="str">
        <x:v>Return the previously moved object to its marked position. Do not move any other object; only the prompt changes.</x:v>
      </x:c>
      <x:c r="P387" s="9" t="str">
        <x:v>The final manifest masks this exact sequence-length × physical-position × target-identity cell. Both equivalent left- and right-based descriptions are absent for this cell, while the canonical instruction wording occurs elsewhere in training.</x:v>
      </x:c>
      <x:c r="Q387" s="9"/>
      <x:c r="R387" s="10" t="n">
        <x:v>4</x:v>
      </x:c>
      <x:c r="S387" s="10"/>
      <x:c r="T387" s="9"/>
      <x:c r="U387" s="9"/>
      <x:c r="V387" s="9"/>
      <x:c r="W387" s="9" t="str">
        <x:v>CT-CF13-N4-03</x:v>
      </x:c>
      <x:c r="X387" s="10"/>
      <x:c r="Y387" s="10"/>
      <x:c r="Z387" s="9"/>
      <x:c r="AA387" s="9" t="str">
        <x:v>L3</x:v>
      </x:c>
      <x:c r="AB387" s="9" t="str">
        <x:v>third from left</x:v>
      </x:c>
      <x:c r="AC387" s="9"/>
      <x:c r="AD387" s="9"/>
      <x:c r="AE387" s="9"/>
      <x:c r="AF387" s="9"/>
      <x:c r="AG387" s="9"/>
      <x:c r="AH387" s="9"/>
      <x:c r="AI387" s="11"/>
      <x:c r="AJ387" s="9"/>
      <x:c r="AK387" s="9" t="str">
        <x:v>Eval_Ordinal_Reference_Ordering.xlsm</x:v>
      </x:c>
      <x:c r="AL387" s="9" t="str">
        <x:v>MolmoAct2 Results2</x:v>
      </x:c>
      <x:c r="AM387" s="9" t="n">
        <x:v>87</x:v>
      </x:c>
      <x:c r="AN387" s="9" t="n">
        <x:v>87</x:v>
      </x:c>
    </x:row>
    <x:row r="388">
      <x:c r="A388" s="9" t="str">
        <x:v>Success</x:v>
      </x:c>
      <x:c r="B388" s="9" t="str">
        <x:v>Ordinal Reference Ordering</x:v>
      </x:c>
      <x:c r="C388" s="10" t="n">
        <x:v>86</x:v>
      </x:c>
      <x:c r="D388" s="9" t="str">
        <x:v>Pick up the object that is second from the left and place it in the bowl.</x:v>
      </x:c>
      <x:c r="E388" s="9" t="str">
        <x:v>L1: airplane toy with propellers, L2: yellow pen</x:v>
      </x:c>
      <x:c r="F388" s="9" t="str">
        <x:v>yellow pen</x:v>
      </x:c>
      <x:c r="G388" s="9"/>
      <x:c r="H388" s="9" t="str">
        <x:v>Concept/compositional transfer</x:v>
      </x:c>
      <x:c r="I388" s="9" t="str">
        <x:v>CT-CF14-N2-06</x:v>
      </x:c>
      <x:c r="J388" s="9" t="str">
        <x:v>Masked cell n=2, L2, yellow pen</x:v>
      </x:c>
      <x:c r="K388" s="9"/>
      <x:c r="L388" s="9"/>
      <x:c r="M388" s="9"/>
      <x:c r="N388" s="9" t="str">
        <x:v>4 — Transfer-only counterfactual pairs</x:v>
      </x:c>
      <x:c r="O388" s="9" t="str">
        <x:v>Build this new scene family exactly from the L1–L4 description and save a first-frame reference image.</x:v>
      </x:c>
      <x:c r="P388" s="9" t="str">
        <x:v>The final manifest masks this exact sequence-length × physical-position × target-identity cell. Both equivalent left- and right-based descriptions are absent for this cell, while the canonical instruction wording occurs elsewhere in training.</x:v>
      </x:c>
      <x:c r="Q388" s="9"/>
      <x:c r="R388" s="10" t="n">
        <x:v>2</x:v>
      </x:c>
      <x:c r="S388" s="10"/>
      <x:c r="T388" s="9"/>
      <x:c r="U388" s="9"/>
      <x:c r="V388" s="9"/>
      <x:c r="W388" s="9" t="str">
        <x:v>CT-CF14-N2-06</x:v>
      </x:c>
      <x:c r="X388" s="10"/>
      <x:c r="Y388" s="10"/>
      <x:c r="Z388" s="9"/>
      <x:c r="AA388" s="9" t="str">
        <x:v>L2</x:v>
      </x:c>
      <x:c r="AB388" s="9" t="str">
        <x:v>second from left</x:v>
      </x:c>
      <x:c r="AC388" s="9"/>
      <x:c r="AD388" s="9"/>
      <x:c r="AE388" s="9"/>
      <x:c r="AF388" s="9"/>
      <x:c r="AG388" s="9"/>
      <x:c r="AH388" s="9"/>
      <x:c r="AI388" s="11"/>
      <x:c r="AJ388" s="9"/>
      <x:c r="AK388" s="9" t="str">
        <x:v>Eval_Ordinal_Reference_Ordering.xlsm</x:v>
      </x:c>
      <x:c r="AL388" s="9" t="str">
        <x:v>MolmoAct2 Results2</x:v>
      </x:c>
      <x:c r="AM388" s="9" t="n">
        <x:v>88</x:v>
      </x:c>
      <x:c r="AN388" s="9" t="n">
        <x:v>88</x:v>
      </x:c>
    </x:row>
    <x:row r="389">
      <x:c r="A389" s="9" t="str">
        <x:v>Success</x:v>
      </x:c>
      <x:c r="B389" s="9" t="str">
        <x:v>Ordinal Reference Ordering</x:v>
      </x:c>
      <x:c r="C389" s="10" t="n">
        <x:v>87</x:v>
      </x:c>
      <x:c r="D389" s="9" t="str">
        <x:v>Pick up the object that is second from the right and place it in the bowl.</x:v>
      </x:c>
      <x:c r="E389" s="9" t="str">
        <x:v>L1: airplane toy with propellers, L2: yellow pen</x:v>
      </x:c>
      <x:c r="F389" s="9" t="str">
        <x:v>airplane toy with propellers</x:v>
      </x:c>
      <x:c r="G389" s="9"/>
      <x:c r="H389" s="9" t="str">
        <x:v>Concept/compositional transfer</x:v>
      </x:c>
      <x:c r="I389" s="9" t="str">
        <x:v>CT-CF14-N2-06</x:v>
      </x:c>
      <x:c r="J389" s="9" t="str">
        <x:v>Masked cell n=2, L1, airplane toy with propellers</x:v>
      </x:c>
      <x:c r="K389" s="9" t="n">
        <x:v>86</x:v>
      </x:c>
      <x:c r="L389" s="9"/>
      <x:c r="M389" s="9"/>
      <x:c r="N389" s="9" t="str">
        <x:v>4 — Transfer-only counterfactual pairs</x:v>
      </x:c>
      <x:c r="O389" s="9" t="str">
        <x:v>Return the previously moved object to its marked position. Do not move any other object; only the prompt changes.</x:v>
      </x:c>
      <x:c r="P389" s="9" t="str">
        <x:v>The final manifest masks this exact sequence-length × physical-position × target-identity cell. Both equivalent left- and right-based descriptions are absent for this cell, while the canonical instruction wording occurs elsewhere in training.</x:v>
      </x:c>
      <x:c r="Q389" s="9"/>
      <x:c r="R389" s="10" t="n">
        <x:v>2</x:v>
      </x:c>
      <x:c r="S389" s="10"/>
      <x:c r="T389" s="9"/>
      <x:c r="U389" s="9"/>
      <x:c r="V389" s="9"/>
      <x:c r="W389" s="9" t="str">
        <x:v>CT-CF14-N2-06</x:v>
      </x:c>
      <x:c r="X389" s="10"/>
      <x:c r="Y389" s="10"/>
      <x:c r="Z389" s="9"/>
      <x:c r="AA389" s="9" t="str">
        <x:v>L1</x:v>
      </x:c>
      <x:c r="AB389" s="9" t="str">
        <x:v>second from right</x:v>
      </x:c>
      <x:c r="AC389" s="9"/>
      <x:c r="AD389" s="9"/>
      <x:c r="AE389" s="9"/>
      <x:c r="AF389" s="9"/>
      <x:c r="AG389" s="9"/>
      <x:c r="AH389" s="9"/>
      <x:c r="AI389" s="11"/>
      <x:c r="AJ389" s="9"/>
      <x:c r="AK389" s="9" t="str">
        <x:v>Eval_Ordinal_Reference_Ordering.xlsm</x:v>
      </x:c>
      <x:c r="AL389" s="9" t="str">
        <x:v>MolmoAct2 Results2</x:v>
      </x:c>
      <x:c r="AM389" s="9" t="n">
        <x:v>89</x:v>
      </x:c>
      <x:c r="AN389" s="9" t="n">
        <x:v>89</x:v>
      </x:c>
    </x:row>
    <x:row r="390">
      <x:c r="A390" s="9" t="str">
        <x:v>Success</x:v>
      </x:c>
      <x:c r="B390" s="9" t="str">
        <x:v>Ordinal Reference Ordering</x:v>
      </x:c>
      <x:c r="C390" s="10" t="n">
        <x:v>88</x:v>
      </x:c>
      <x:c r="D390" s="9" t="str">
        <x:v>Pick up the object that is first from the left and place it in the bowl.</x:v>
      </x:c>
      <x:c r="E390" s="9" t="str">
        <x:v>L1: blue tape ball, L2: airplane toy with propellers, L3: green highlighter</x:v>
      </x:c>
      <x:c r="F390" s="9" t="str">
        <x:v>blue tape ball</x:v>
      </x:c>
      <x:c r="G390" s="9"/>
      <x:c r="H390" s="9" t="str">
        <x:v>Concept/compositional transfer</x:v>
      </x:c>
      <x:c r="I390" s="9" t="str">
        <x:v>CT-CF15-N3-06</x:v>
      </x:c>
      <x:c r="J390" s="9" t="str">
        <x:v>Masked cell n=3, L1, blue tape ball</x:v>
      </x:c>
      <x:c r="K390" s="9"/>
      <x:c r="L390" s="9"/>
      <x:c r="M390" s="9"/>
      <x:c r="N390" s="9" t="str">
        <x:v>4 — Transfer-only counterfactual pairs</x:v>
      </x:c>
      <x:c r="O390" s="9" t="str">
        <x:v>Build this new scene family exactly from the L1–L4 description and save a first-frame reference image.</x:v>
      </x:c>
      <x:c r="P390" s="9" t="str">
        <x:v>The final manifest masks this exact sequence-length × physical-position × target-identity cell. Both equivalent left- and right-based descriptions are absent for this cell, while the canonical instruction wording occurs elsewhere in training.</x:v>
      </x:c>
      <x:c r="Q390" s="9"/>
      <x:c r="R390" s="10" t="n">
        <x:v>3</x:v>
      </x:c>
      <x:c r="S390" s="10"/>
      <x:c r="T390" s="9"/>
      <x:c r="U390" s="9"/>
      <x:c r="V390" s="9"/>
      <x:c r="W390" s="9" t="str">
        <x:v>CT-CF15-N3-06</x:v>
      </x:c>
      <x:c r="X390" s="10"/>
      <x:c r="Y390" s="10"/>
      <x:c r="Z390" s="9"/>
      <x:c r="AA390" s="9" t="str">
        <x:v>L1</x:v>
      </x:c>
      <x:c r="AB390" s="9" t="str">
        <x:v>first from left</x:v>
      </x:c>
      <x:c r="AC390" s="9"/>
      <x:c r="AD390" s="9"/>
      <x:c r="AE390" s="9"/>
      <x:c r="AF390" s="9"/>
      <x:c r="AG390" s="9"/>
      <x:c r="AH390" s="9"/>
      <x:c r="AI390" s="11"/>
      <x:c r="AJ390" s="9"/>
      <x:c r="AK390" s="9" t="str">
        <x:v>Eval_Ordinal_Reference_Ordering.xlsm</x:v>
      </x:c>
      <x:c r="AL390" s="9" t="str">
        <x:v>MolmoAct2 Results2</x:v>
      </x:c>
      <x:c r="AM390" s="9" t="n">
        <x:v>90</x:v>
      </x:c>
      <x:c r="AN390" s="9" t="n">
        <x:v>90</x:v>
      </x:c>
    </x:row>
    <x:row r="391">
      <x:c r="A391" s="9" t="str">
        <x:v>Failure</x:v>
      </x:c>
      <x:c r="B391" s="9" t="str">
        <x:v>Ordinal Reference Ordering</x:v>
      </x:c>
      <x:c r="C391" s="10" t="n">
        <x:v>89</x:v>
      </x:c>
      <x:c r="D391" s="9" t="str">
        <x:v>Pick up the object that is first from the right and place it in the bowl.</x:v>
      </x:c>
      <x:c r="E391" s="9" t="str">
        <x:v>L1: blue tape ball, L2: airplane toy with propellers, L3: green highlighter</x:v>
      </x:c>
      <x:c r="F391" s="9" t="str">
        <x:v>green highlighter</x:v>
      </x:c>
      <x:c r="G391" s="9" t="str">
        <x:v>picked airplane toy</x:v>
      </x:c>
      <x:c r="H391" s="9" t="str">
        <x:v>Concept/compositional transfer</x:v>
      </x:c>
      <x:c r="I391" s="9" t="str">
        <x:v>CT-CF15-N3-06</x:v>
      </x:c>
      <x:c r="J391" s="9" t="str">
        <x:v>Masked cell n=3, L3, green highlighter</x:v>
      </x:c>
      <x:c r="K391" s="9" t="n">
        <x:v>88</x:v>
      </x:c>
      <x:c r="L391" s="9"/>
      <x:c r="M391" s="9"/>
      <x:c r="N391" s="9" t="str">
        <x:v>4 — Transfer-only counterfactual pairs</x:v>
      </x:c>
      <x:c r="O391" s="9" t="str">
        <x:v>Return the previously moved object to its marked position. Do not move any other object; only the prompt changes.</x:v>
      </x:c>
      <x:c r="P391" s="9" t="str">
        <x:v>The final manifest masks this exact sequence-length × physical-position × target-identity cell. Both equivalent left- and right-based descriptions are absent for this cell, while the canonical instruction wording occurs elsewhere in training.</x:v>
      </x:c>
      <x:c r="Q391" s="9"/>
      <x:c r="R391" s="10" t="n">
        <x:v>3</x:v>
      </x:c>
      <x:c r="S391" s="10"/>
      <x:c r="T391" s="9"/>
      <x:c r="U391" s="9"/>
      <x:c r="V391" s="9"/>
      <x:c r="W391" s="9" t="str">
        <x:v>CT-CF15-N3-06</x:v>
      </x:c>
      <x:c r="X391" s="10"/>
      <x:c r="Y391" s="10"/>
      <x:c r="Z391" s="9"/>
      <x:c r="AA391" s="9" t="str">
        <x:v>L3</x:v>
      </x:c>
      <x:c r="AB391" s="9" t="str">
        <x:v>first from right</x:v>
      </x:c>
      <x:c r="AC391" s="9"/>
      <x:c r="AD391" s="9"/>
      <x:c r="AE391" s="9"/>
      <x:c r="AF391" s="9"/>
      <x:c r="AG391" s="9"/>
      <x:c r="AH391" s="9"/>
      <x:c r="AI391" s="11"/>
      <x:c r="AJ391" s="9"/>
      <x:c r="AK391" s="9" t="str">
        <x:v>Eval_Ordinal_Reference_Ordering.xlsm</x:v>
      </x:c>
      <x:c r="AL391" s="9" t="str">
        <x:v>MolmoAct2 Results2</x:v>
      </x:c>
      <x:c r="AM391" s="9" t="n">
        <x:v>91</x:v>
      </x:c>
      <x:c r="AN391" s="9" t="n">
        <x:v>91</x:v>
      </x:c>
    </x:row>
    <x:row r="392">
      <x:c r="A392" s="9" t="str">
        <x:v>Failure</x:v>
      </x:c>
      <x:c r="B392" s="9" t="str">
        <x:v>Ordinal Reference Ordering</x:v>
      </x:c>
      <x:c r="C392" s="10" t="n">
        <x:v>90</x:v>
      </x:c>
      <x:c r="D392" s="9" t="str">
        <x:v>Pick up the object that is fourth from the left and place it in the bowl.</x:v>
      </x:c>
      <x:c r="E392" s="9" t="str">
        <x:v>L1: green highlighter, L2: blue tape ball, L3: airplane toy with propellers, L4: yellow pen</x:v>
      </x:c>
      <x:c r="F392" s="9" t="str">
        <x:v>yellow pen</x:v>
      </x:c>
      <x:c r="G392" s="9" t="str">
        <x:v>tried to grab green highlighter, grabbed it from end, dropped it, and could not recovery. Failed reasoning ans grasping.</x:v>
      </x:c>
      <x:c r="H392" s="9" t="str">
        <x:v>Concept/compositional transfer</x:v>
      </x:c>
      <x:c r="I392" s="9" t="str">
        <x:v>CT-CF16-N4-04</x:v>
      </x:c>
      <x:c r="J392" s="9" t="str">
        <x:v>Masked cell n=4, L4, yellow pen</x:v>
      </x:c>
      <x:c r="K392" s="9"/>
      <x:c r="L392" s="9"/>
      <x:c r="M392" s="9"/>
      <x:c r="N392" s="9" t="str">
        <x:v>4 — Transfer-only counterfactual pairs</x:v>
      </x:c>
      <x:c r="O392" s="9" t="str">
        <x:v>Build this new scene family exactly from the L1–L4 description and save a first-frame reference image.</x:v>
      </x:c>
      <x:c r="P392" s="9" t="str">
        <x:v>The final manifest masks this exact sequence-length × physical-position × target-identity cell. Both equivalent left- and right-based descriptions are absent for this cell, while the canonical instruction wording occurs elsewhere in training.</x:v>
      </x:c>
      <x:c r="Q392" s="9"/>
      <x:c r="R392" s="10" t="n">
        <x:v>4</x:v>
      </x:c>
      <x:c r="S392" s="10"/>
      <x:c r="T392" s="9"/>
      <x:c r="U392" s="9"/>
      <x:c r="V392" s="9"/>
      <x:c r="W392" s="9" t="str">
        <x:v>CT-CF16-N4-04</x:v>
      </x:c>
      <x:c r="X392" s="10"/>
      <x:c r="Y392" s="10"/>
      <x:c r="Z392" s="9"/>
      <x:c r="AA392" s="9" t="str">
        <x:v>L4</x:v>
      </x:c>
      <x:c r="AB392" s="9" t="str">
        <x:v>fourth from left</x:v>
      </x:c>
      <x:c r="AC392" s="9"/>
      <x:c r="AD392" s="9"/>
      <x:c r="AE392" s="9"/>
      <x:c r="AF392" s="9"/>
      <x:c r="AG392" s="9"/>
      <x:c r="AH392" s="9"/>
      <x:c r="AI392" s="11"/>
      <x:c r="AJ392" s="9"/>
      <x:c r="AK392" s="9" t="str">
        <x:v>Eval_Ordinal_Reference_Ordering.xlsm</x:v>
      </x:c>
      <x:c r="AL392" s="9" t="str">
        <x:v>MolmoAct2 Results2</x:v>
      </x:c>
      <x:c r="AM392" s="9" t="n">
        <x:v>92</x:v>
      </x:c>
      <x:c r="AN392" s="9" t="n">
        <x:v>92</x:v>
      </x:c>
    </x:row>
    <x:row r="393">
      <x:c r="A393" s="9" t="str">
        <x:v>Success</x:v>
      </x:c>
      <x:c r="B393" s="9" t="str">
        <x:v>Ordinal Reference Ordering</x:v>
      </x:c>
      <x:c r="C393" s="10" t="n">
        <x:v>91</x:v>
      </x:c>
      <x:c r="D393" s="9" t="str">
        <x:v>Pick up the object that is third from the right and place it in the bowl.</x:v>
      </x:c>
      <x:c r="E393" s="9" t="str">
        <x:v>L1: green highlighter, L2: blue tape ball, L3: airplane toy with propellers, L4: yellow pen</x:v>
      </x:c>
      <x:c r="F393" s="9" t="str">
        <x:v>blue tape ball</x:v>
      </x:c>
      <x:c r="G393" s="9"/>
      <x:c r="H393" s="9" t="str">
        <x:v>Concept/compositional transfer</x:v>
      </x:c>
      <x:c r="I393" s="9" t="str">
        <x:v>CT-CF16-N4-04</x:v>
      </x:c>
      <x:c r="J393" s="9" t="str">
        <x:v>Masked cell n=4, L2, blue tape ball</x:v>
      </x:c>
      <x:c r="K393" s="9" t="n">
        <x:v>90</x:v>
      </x:c>
      <x:c r="L393" s="9"/>
      <x:c r="M393" s="9"/>
      <x:c r="N393" s="9" t="str">
        <x:v>4 — Transfer-only counterfactual pairs</x:v>
      </x:c>
      <x:c r="O393" s="9" t="str">
        <x:v>Return the previously moved object to its marked position. Do not move any other object; only the prompt changes.</x:v>
      </x:c>
      <x:c r="P393" s="9" t="str">
        <x:v>The final manifest masks this exact sequence-length × physical-position × target-identity cell. Both equivalent left- and right-based descriptions are absent for this cell, while the canonical instruction wording occurs elsewhere in training.</x:v>
      </x:c>
      <x:c r="Q393" s="9"/>
      <x:c r="R393" s="10" t="n">
        <x:v>4</x:v>
      </x:c>
      <x:c r="S393" s="10"/>
      <x:c r="T393" s="9"/>
      <x:c r="U393" s="9"/>
      <x:c r="V393" s="9"/>
      <x:c r="W393" s="9" t="str">
        <x:v>CT-CF16-N4-04</x:v>
      </x:c>
      <x:c r="X393" s="10"/>
      <x:c r="Y393" s="10"/>
      <x:c r="Z393" s="9"/>
      <x:c r="AA393" s="9" t="str">
        <x:v>L2</x:v>
      </x:c>
      <x:c r="AB393" s="9" t="str">
        <x:v>third from right</x:v>
      </x:c>
      <x:c r="AC393" s="9"/>
      <x:c r="AD393" s="9"/>
      <x:c r="AE393" s="9"/>
      <x:c r="AF393" s="9"/>
      <x:c r="AG393" s="9"/>
      <x:c r="AH393" s="9"/>
      <x:c r="AI393" s="11"/>
      <x:c r="AJ393" s="9"/>
      <x:c r="AK393" s="9" t="str">
        <x:v>Eval_Ordinal_Reference_Ordering.xlsm</x:v>
      </x:c>
      <x:c r="AL393" s="9" t="str">
        <x:v>MolmoAct2 Results2</x:v>
      </x:c>
      <x:c r="AM393" s="9" t="n">
        <x:v>93</x:v>
      </x:c>
      <x:c r="AN393" s="9" t="n">
        <x:v>93</x:v>
      </x:c>
    </x:row>
    <x:row r="394">
      <x:c r="A394" s="9" t="str">
        <x:v>Failure</x:v>
      </x:c>
      <x:c r="B394" s="9" t="str">
        <x:v>Ordinal Reference Ordering</x:v>
      </x:c>
      <x:c r="C394" s="10" t="n">
        <x:v>92</x:v>
      </x:c>
      <x:c r="D394" s="9" t="str">
        <x:v>Pick up the object that is second from the right and place it in the bowl.</x:v>
      </x:c>
      <x:c r="E394" s="9" t="str">
        <x:v>L1: green highlighter, L2: blue tape ball</x:v>
      </x:c>
      <x:c r="F394" s="9" t="str">
        <x:v>green highlighter</x:v>
      </x:c>
      <x:c r="G394" s="9" t="str">
        <x:v>picked blue tape ball</x:v>
      </x:c>
      <x:c r="H394" s="9" t="str">
        <x:v>Concept/compositional transfer</x:v>
      </x:c>
      <x:c r="I394" s="9" t="str">
        <x:v>CT-CF17-N2-07</x:v>
      </x:c>
      <x:c r="J394" s="9" t="str">
        <x:v>Masked cell n=2, L1, green highlighter</x:v>
      </x:c>
      <x:c r="K394" s="9"/>
      <x:c r="L394" s="9"/>
      <x:c r="M394" s="9"/>
      <x:c r="N394" s="9" t="str">
        <x:v>4 — Transfer-only counterfactual pairs</x:v>
      </x:c>
      <x:c r="O394" s="9" t="str">
        <x:v>Build this new scene family exactly from the L1–L4 description and save a first-frame reference image.</x:v>
      </x:c>
      <x:c r="P394" s="9" t="str">
        <x:v>The final manifest masks this exact sequence-length × physical-position × target-identity cell. Both equivalent left- and right-based descriptions are absent for this cell, while the canonical instruction wording occurs elsewhere in training.</x:v>
      </x:c>
      <x:c r="Q394" s="9"/>
      <x:c r="R394" s="10" t="n">
        <x:v>2</x:v>
      </x:c>
      <x:c r="S394" s="10"/>
      <x:c r="T394" s="9"/>
      <x:c r="U394" s="9"/>
      <x:c r="V394" s="9"/>
      <x:c r="W394" s="9" t="str">
        <x:v>CT-CF17-N2-07</x:v>
      </x:c>
      <x:c r="X394" s="10"/>
      <x:c r="Y394" s="10"/>
      <x:c r="Z394" s="9"/>
      <x:c r="AA394" s="9" t="str">
        <x:v>L1</x:v>
      </x:c>
      <x:c r="AB394" s="9" t="str">
        <x:v>second from right</x:v>
      </x:c>
      <x:c r="AC394" s="9"/>
      <x:c r="AD394" s="9"/>
      <x:c r="AE394" s="9"/>
      <x:c r="AF394" s="9"/>
      <x:c r="AG394" s="9"/>
      <x:c r="AH394" s="9"/>
      <x:c r="AI394" s="11"/>
      <x:c r="AJ394" s="9"/>
      <x:c r="AK394" s="9" t="str">
        <x:v>Eval_Ordinal_Reference_Ordering.xlsm</x:v>
      </x:c>
      <x:c r="AL394" s="9" t="str">
        <x:v>MolmoAct2 Results2</x:v>
      </x:c>
      <x:c r="AM394" s="9" t="n">
        <x:v>94</x:v>
      </x:c>
      <x:c r="AN394" s="9" t="n">
        <x:v>94</x:v>
      </x:c>
    </x:row>
    <x:row r="395">
      <x:c r="A395" s="9" t="str">
        <x:v>Success</x:v>
      </x:c>
      <x:c r="B395" s="9" t="str">
        <x:v>Ordinal Reference Ordering</x:v>
      </x:c>
      <x:c r="C395" s="10" t="n">
        <x:v>93</x:v>
      </x:c>
      <x:c r="D395" s="9" t="str">
        <x:v>Pick up the object that is first from the right and place it in the bowl.</x:v>
      </x:c>
      <x:c r="E395" s="9" t="str">
        <x:v>L1: green highlighter, L2: blue tape ball</x:v>
      </x:c>
      <x:c r="F395" s="9" t="str">
        <x:v>blue tape ball</x:v>
      </x:c>
      <x:c r="G395" s="9"/>
      <x:c r="H395" s="9" t="str">
        <x:v>Concept/compositional transfer</x:v>
      </x:c>
      <x:c r="I395" s="9" t="str">
        <x:v>CT-CF17-N2-07</x:v>
      </x:c>
      <x:c r="J395" s="9" t="str">
        <x:v>Masked cell n=2, L2, blue tape ball</x:v>
      </x:c>
      <x:c r="K395" s="9" t="n">
        <x:v>92</x:v>
      </x:c>
      <x:c r="L395" s="9"/>
      <x:c r="M395" s="9"/>
      <x:c r="N395" s="9" t="str">
        <x:v>4 — Transfer-only counterfactual pairs</x:v>
      </x:c>
      <x:c r="O395" s="9" t="str">
        <x:v>Return the previously moved object to its marked position. Do not move any other object; only the prompt changes.</x:v>
      </x:c>
      <x:c r="P395" s="9" t="str">
        <x:v>The final manifest masks this exact sequence-length × physical-position × target-identity cell. Both equivalent left- and right-based descriptions are absent for this cell, while the canonical instruction wording occurs elsewhere in training.</x:v>
      </x:c>
      <x:c r="Q395" s="9"/>
      <x:c r="R395" s="10" t="n">
        <x:v>2</x:v>
      </x:c>
      <x:c r="S395" s="10"/>
      <x:c r="T395" s="9"/>
      <x:c r="U395" s="9"/>
      <x:c r="V395" s="9"/>
      <x:c r="W395" s="9" t="str">
        <x:v>CT-CF17-N2-07</x:v>
      </x:c>
      <x:c r="X395" s="10"/>
      <x:c r="Y395" s="10"/>
      <x:c r="Z395" s="9"/>
      <x:c r="AA395" s="9" t="str">
        <x:v>L2</x:v>
      </x:c>
      <x:c r="AB395" s="9" t="str">
        <x:v>first from right</x:v>
      </x:c>
      <x:c r="AC395" s="9"/>
      <x:c r="AD395" s="9"/>
      <x:c r="AE395" s="9"/>
      <x:c r="AF395" s="9"/>
      <x:c r="AG395" s="9"/>
      <x:c r="AH395" s="9"/>
      <x:c r="AI395" s="11"/>
      <x:c r="AJ395" s="9"/>
      <x:c r="AK395" s="9" t="str">
        <x:v>Eval_Ordinal_Reference_Ordering.xlsm</x:v>
      </x:c>
      <x:c r="AL395" s="9" t="str">
        <x:v>MolmoAct2 Results2</x:v>
      </x:c>
      <x:c r="AM395" s="9" t="n">
        <x:v>95</x:v>
      </x:c>
      <x:c r="AN395" s="9" t="n">
        <x:v>95</x:v>
      </x:c>
    </x:row>
    <x:row r="396">
      <x:c r="A396" s="9" t="str">
        <x:v>Success</x:v>
      </x:c>
      <x:c r="B396" s="9" t="str">
        <x:v>Ordinal Reference Ordering</x:v>
      </x:c>
      <x:c r="C396" s="10" t="n">
        <x:v>94</x:v>
      </x:c>
      <x:c r="D396" s="9" t="str">
        <x:v>Pick up the object that is first from the right and place it in the bowl.</x:v>
      </x:c>
      <x:c r="E396" s="9" t="str">
        <x:v>L1: yellow pen, L2: green highlighter, L3: airplane toy with propellers</x:v>
      </x:c>
      <x:c r="F396" s="9" t="str">
        <x:v>airplane toy with propellers</x:v>
      </x:c>
      <x:c r="G396" s="9"/>
      <x:c r="H396" s="9" t="str">
        <x:v>Concept/compositional transfer</x:v>
      </x:c>
      <x:c r="I396" s="9" t="str">
        <x:v>CT-CF18-N3-07</x:v>
      </x:c>
      <x:c r="J396" s="9" t="str">
        <x:v>Masked cell n=3, L3, airplane toy with propellers</x:v>
      </x:c>
      <x:c r="K396" s="9"/>
      <x:c r="L396" s="9"/>
      <x:c r="M396" s="9"/>
      <x:c r="N396" s="9" t="str">
        <x:v>4 — Transfer-only counterfactual pairs</x:v>
      </x:c>
      <x:c r="O396" s="9" t="str">
        <x:v>Build this new scene family exactly from the L1–L4 description and save a first-frame reference image.</x:v>
      </x:c>
      <x:c r="P396" s="9" t="str">
        <x:v>The final manifest masks this exact sequence-length × physical-position × target-identity cell. Both equivalent left- and right-based descriptions are absent for this cell, while the canonical instruction wording occurs elsewhere in training.</x:v>
      </x:c>
      <x:c r="Q396" s="9"/>
      <x:c r="R396" s="10" t="n">
        <x:v>3</x:v>
      </x:c>
      <x:c r="S396" s="10"/>
      <x:c r="T396" s="9"/>
      <x:c r="U396" s="9"/>
      <x:c r="V396" s="9"/>
      <x:c r="W396" s="9" t="str">
        <x:v>CT-CF18-N3-07</x:v>
      </x:c>
      <x:c r="X396" s="10"/>
      <x:c r="Y396" s="10"/>
      <x:c r="Z396" s="9"/>
      <x:c r="AA396" s="9" t="str">
        <x:v>L3</x:v>
      </x:c>
      <x:c r="AB396" s="9" t="str">
        <x:v>first from right</x:v>
      </x:c>
      <x:c r="AC396" s="9"/>
      <x:c r="AD396" s="9"/>
      <x:c r="AE396" s="9"/>
      <x:c r="AF396" s="9"/>
      <x:c r="AG396" s="9"/>
      <x:c r="AH396" s="9"/>
      <x:c r="AI396" s="11"/>
      <x:c r="AJ396" s="9"/>
      <x:c r="AK396" s="9" t="str">
        <x:v>Eval_Ordinal_Reference_Ordering.xlsm</x:v>
      </x:c>
      <x:c r="AL396" s="9" t="str">
        <x:v>MolmoAct2 Results2</x:v>
      </x:c>
      <x:c r="AM396" s="9" t="n">
        <x:v>96</x:v>
      </x:c>
      <x:c r="AN396" s="9" t="n">
        <x:v>96</x:v>
      </x:c>
    </x:row>
    <x:row r="397">
      <x:c r="A397" s="9" t="str">
        <x:v>Failure</x:v>
      </x:c>
      <x:c r="B397" s="9" t="str">
        <x:v>Ordinal Reference Ordering</x:v>
      </x:c>
      <x:c r="C397" s="10" t="n">
        <x:v>95</x:v>
      </x:c>
      <x:c r="D397" s="9" t="str">
        <x:v>Pick up the object that is third from the right and place it in the bowl.</x:v>
      </x:c>
      <x:c r="E397" s="9" t="str">
        <x:v>L1: yellow pen, L2: green highlighter, L3: airplane toy with propellers</x:v>
      </x:c>
      <x:c r="F397" s="9" t="str">
        <x:v>yellow pen</x:v>
      </x:c>
      <x:c r="G397" s="9" t="str">
        <x:v>Picked green highlighter</x:v>
      </x:c>
      <x:c r="H397" s="9" t="str">
        <x:v>Concept/compositional transfer</x:v>
      </x:c>
      <x:c r="I397" s="9" t="str">
        <x:v>CT-CF18-N3-07</x:v>
      </x:c>
      <x:c r="J397" s="9" t="str">
        <x:v>Masked cell n=3, L1, yellow pen</x:v>
      </x:c>
      <x:c r="K397" s="9" t="n">
        <x:v>94</x:v>
      </x:c>
      <x:c r="L397" s="9"/>
      <x:c r="M397" s="9"/>
      <x:c r="N397" s="9" t="str">
        <x:v>4 — Transfer-only counterfactual pairs</x:v>
      </x:c>
      <x:c r="O397" s="9" t="str">
        <x:v>Return the previously moved object to its marked position. Do not move any other object; only the prompt changes.</x:v>
      </x:c>
      <x:c r="P397" s="9" t="str">
        <x:v>The final manifest masks this exact sequence-length × physical-position × target-identity cell. Both equivalent left- and right-based descriptions are absent for this cell, while the canonical instruction wording occurs elsewhere in training.</x:v>
      </x:c>
      <x:c r="Q397" s="9"/>
      <x:c r="R397" s="10" t="n">
        <x:v>3</x:v>
      </x:c>
      <x:c r="S397" s="10"/>
      <x:c r="T397" s="9"/>
      <x:c r="U397" s="9"/>
      <x:c r="V397" s="9"/>
      <x:c r="W397" s="9" t="str">
        <x:v>CT-CF18-N3-07</x:v>
      </x:c>
      <x:c r="X397" s="10"/>
      <x:c r="Y397" s="10"/>
      <x:c r="Z397" s="9"/>
      <x:c r="AA397" s="9" t="str">
        <x:v>L1</x:v>
      </x:c>
      <x:c r="AB397" s="9" t="str">
        <x:v>third from right</x:v>
      </x:c>
      <x:c r="AC397" s="9"/>
      <x:c r="AD397" s="9"/>
      <x:c r="AE397" s="9"/>
      <x:c r="AF397" s="9"/>
      <x:c r="AG397" s="9"/>
      <x:c r="AH397" s="9"/>
      <x:c r="AI397" s="11"/>
      <x:c r="AJ397" s="9"/>
      <x:c r="AK397" s="9" t="str">
        <x:v>Eval_Ordinal_Reference_Ordering.xlsm</x:v>
      </x:c>
      <x:c r="AL397" s="9" t="str">
        <x:v>MolmoAct2 Results2</x:v>
      </x:c>
      <x:c r="AM397" s="9" t="n">
        <x:v>97</x:v>
      </x:c>
      <x:c r="AN397" s="9" t="n">
        <x:v>97</x:v>
      </x:c>
    </x:row>
    <x:row r="398">
      <x:c r="A398" s="9" t="str">
        <x:v>Failure</x:v>
      </x:c>
      <x:c r="B398" s="9" t="str">
        <x:v>Ordinal Reference Ordering</x:v>
      </x:c>
      <x:c r="C398" s="10" t="n">
        <x:v>96</x:v>
      </x:c>
      <x:c r="D398" s="9" t="str">
        <x:v>Pick up the object that is fourth from the right and place it in the bowl.</x:v>
      </x:c>
      <x:c r="E398" s="9" t="str">
        <x:v>L1: airplane toy with propellers, L2: green highlighter, L3: blue tape ball, L4: yellow pen</x:v>
      </x:c>
      <x:c r="F398" s="9" t="str">
        <x:v>airplane toy with propellers</x:v>
      </x:c>
      <x:c r="G398" s="9" t="str">
        <x:v>picked green highlighter</x:v>
      </x:c>
      <x:c r="H398" s="9" t="str">
        <x:v>Concept/compositional transfer</x:v>
      </x:c>
      <x:c r="I398" s="9" t="str">
        <x:v>CT-CF19-N4-05</x:v>
      </x:c>
      <x:c r="J398" s="9" t="str">
        <x:v>Masked cell n=4, L1, airplane toy with propellers</x:v>
      </x:c>
      <x:c r="K398" s="9"/>
      <x:c r="L398" s="9"/>
      <x:c r="M398" s="9"/>
      <x:c r="N398" s="9" t="str">
        <x:v>4 — Transfer-only counterfactual pairs</x:v>
      </x:c>
      <x:c r="O398" s="9" t="str">
        <x:v>Build this new scene family exactly from the L1–L4 description and save a first-frame reference image.</x:v>
      </x:c>
      <x:c r="P398" s="9" t="str">
        <x:v>The final manifest masks this exact sequence-length × physical-position × target-identity cell. Both equivalent left- and right-based descriptions are absent for this cell, while the canonical instruction wording occurs elsewhere in training.</x:v>
      </x:c>
      <x:c r="Q398" s="9"/>
      <x:c r="R398" s="10" t="n">
        <x:v>4</x:v>
      </x:c>
      <x:c r="S398" s="10"/>
      <x:c r="T398" s="9"/>
      <x:c r="U398" s="9"/>
      <x:c r="V398" s="9"/>
      <x:c r="W398" s="9" t="str">
        <x:v>CT-CF19-N4-05</x:v>
      </x:c>
      <x:c r="X398" s="10"/>
      <x:c r="Y398" s="10"/>
      <x:c r="Z398" s="9"/>
      <x:c r="AA398" s="9" t="str">
        <x:v>L1</x:v>
      </x:c>
      <x:c r="AB398" s="9" t="str">
        <x:v>fourth from right</x:v>
      </x:c>
      <x:c r="AC398" s="9"/>
      <x:c r="AD398" s="9"/>
      <x:c r="AE398" s="9"/>
      <x:c r="AF398" s="9"/>
      <x:c r="AG398" s="9"/>
      <x:c r="AH398" s="9"/>
      <x:c r="AI398" s="11"/>
      <x:c r="AJ398" s="9"/>
      <x:c r="AK398" s="9" t="str">
        <x:v>Eval_Ordinal_Reference_Ordering.xlsm</x:v>
      </x:c>
      <x:c r="AL398" s="9" t="str">
        <x:v>MolmoAct2 Results2</x:v>
      </x:c>
      <x:c r="AM398" s="9" t="n">
        <x:v>98</x:v>
      </x:c>
      <x:c r="AN398" s="9" t="n">
        <x:v>98</x:v>
      </x:c>
    </x:row>
    <x:row r="399">
      <x:c r="A399" s="9" t="str">
        <x:v>Failure</x:v>
      </x:c>
      <x:c r="B399" s="9" t="str">
        <x:v>Ordinal Reference Ordering</x:v>
      </x:c>
      <x:c r="C399" s="10" t="n">
        <x:v>97</x:v>
      </x:c>
      <x:c r="D399" s="9" t="str">
        <x:v>Pick up the object that is fourth from the left and place it in the bowl.</x:v>
      </x:c>
      <x:c r="E399" s="9" t="str">
        <x:v>L1: airplane toy with propellers, L2: green highlighter, L3: blue tape ball, L4: yellow pen</x:v>
      </x:c>
      <x:c r="F399" s="9" t="str">
        <x:v>yellow pen</x:v>
      </x:c>
      <x:c r="G399" s="9" t="str">
        <x:v>picked green highlighter</x:v>
      </x:c>
      <x:c r="H399" s="9" t="str">
        <x:v>Concept/compositional transfer</x:v>
      </x:c>
      <x:c r="I399" s="9" t="str">
        <x:v>CT-CF19-N4-05</x:v>
      </x:c>
      <x:c r="J399" s="9" t="str">
        <x:v>Masked cell n=4, L4, yellow pen</x:v>
      </x:c>
      <x:c r="K399" s="9" t="n">
        <x:v>96</x:v>
      </x:c>
      <x:c r="L399" s="9"/>
      <x:c r="M399" s="9"/>
      <x:c r="N399" s="9" t="str">
        <x:v>4 — Transfer-only counterfactual pairs</x:v>
      </x:c>
      <x:c r="O399" s="9" t="str">
        <x:v>Return the previously moved object to its marked position. Do not move any other object; only the prompt changes.</x:v>
      </x:c>
      <x:c r="P399" s="9" t="str">
        <x:v>The final manifest masks this exact sequence-length × physical-position × target-identity cell. Both equivalent left- and right-based descriptions are absent for this cell, while the canonical instruction wording occurs elsewhere in training.</x:v>
      </x:c>
      <x:c r="Q399" s="9"/>
      <x:c r="R399" s="10" t="n">
        <x:v>4</x:v>
      </x:c>
      <x:c r="S399" s="10"/>
      <x:c r="T399" s="9"/>
      <x:c r="U399" s="9"/>
      <x:c r="V399" s="9"/>
      <x:c r="W399" s="9" t="str">
        <x:v>CT-CF19-N4-05</x:v>
      </x:c>
      <x:c r="X399" s="10"/>
      <x:c r="Y399" s="10"/>
      <x:c r="Z399" s="9"/>
      <x:c r="AA399" s="9" t="str">
        <x:v>L4</x:v>
      </x:c>
      <x:c r="AB399" s="9" t="str">
        <x:v>fourth from left</x:v>
      </x:c>
      <x:c r="AC399" s="9"/>
      <x:c r="AD399" s="9"/>
      <x:c r="AE399" s="9"/>
      <x:c r="AF399" s="9"/>
      <x:c r="AG399" s="9"/>
      <x:c r="AH399" s="9"/>
      <x:c r="AI399" s="11"/>
      <x:c r="AJ399" s="9"/>
      <x:c r="AK399" s="9" t="str">
        <x:v>Eval_Ordinal_Reference_Ordering.xlsm</x:v>
      </x:c>
      <x:c r="AL399" s="9" t="str">
        <x:v>MolmoAct2 Results2</x:v>
      </x:c>
      <x:c r="AM399" s="9" t="n">
        <x:v>99</x:v>
      </x:c>
      <x:c r="AN399" s="9" t="n">
        <x:v>99</x:v>
      </x:c>
    </x:row>
    <x:row r="400">
      <x:c r="A400" s="9" t="str">
        <x:v>Success</x:v>
      </x:c>
      <x:c r="B400" s="9" t="str">
        <x:v>Ordinal Reference Ordering</x:v>
      </x:c>
      <x:c r="C400" s="10" t="n">
        <x:v>98</x:v>
      </x:c>
      <x:c r="D400" s="9" t="str">
        <x:v>Pick up the object that is first from the right and place it in the bowl.</x:v>
      </x:c>
      <x:c r="E400" s="9" t="str">
        <x:v>L1: green highlighter, L2: yellow pen</x:v>
      </x:c>
      <x:c r="F400" s="9" t="str">
        <x:v>yellow pen</x:v>
      </x:c>
      <x:c r="G400" s="9"/>
      <x:c r="H400" s="9" t="str">
        <x:v>Concept/compositional transfer</x:v>
      </x:c>
      <x:c r="I400" s="9" t="str">
        <x:v>CT-CF20-N2-08</x:v>
      </x:c>
      <x:c r="J400" s="9" t="str">
        <x:v>Masked cell n=2, L2, yellow pen</x:v>
      </x:c>
      <x:c r="K400" s="9"/>
      <x:c r="L400" s="9"/>
      <x:c r="M400" s="9"/>
      <x:c r="N400" s="9" t="str">
        <x:v>4 — Transfer-only counterfactual pairs</x:v>
      </x:c>
      <x:c r="O400" s="9" t="str">
        <x:v>Build this new scene family exactly from the L1–L4 description and save a first-frame reference image.</x:v>
      </x:c>
      <x:c r="P400" s="9" t="str">
        <x:v>The final manifest masks this exact sequence-length × physical-position × target-identity cell. Both equivalent left- and right-based descriptions are absent for this cell, while the canonical instruction wording occurs elsewhere in training.</x:v>
      </x:c>
      <x:c r="Q400" s="9"/>
      <x:c r="R400" s="10" t="n">
        <x:v>2</x:v>
      </x:c>
      <x:c r="S400" s="10"/>
      <x:c r="T400" s="9"/>
      <x:c r="U400" s="9"/>
      <x:c r="V400" s="9"/>
      <x:c r="W400" s="9" t="str">
        <x:v>CT-CF20-N2-08</x:v>
      </x:c>
      <x:c r="X400" s="10"/>
      <x:c r="Y400" s="10"/>
      <x:c r="Z400" s="9"/>
      <x:c r="AA400" s="9" t="str">
        <x:v>L2</x:v>
      </x:c>
      <x:c r="AB400" s="9" t="str">
        <x:v>first from right</x:v>
      </x:c>
      <x:c r="AC400" s="9"/>
      <x:c r="AD400" s="9"/>
      <x:c r="AE400" s="9"/>
      <x:c r="AF400" s="9"/>
      <x:c r="AG400" s="9"/>
      <x:c r="AH400" s="9"/>
      <x:c r="AI400" s="11"/>
      <x:c r="AJ400" s="9"/>
      <x:c r="AK400" s="9" t="str">
        <x:v>Eval_Ordinal_Reference_Ordering.xlsm</x:v>
      </x:c>
      <x:c r="AL400" s="9" t="str">
        <x:v>MolmoAct2 Results2</x:v>
      </x:c>
      <x:c r="AM400" s="9" t="n">
        <x:v>100</x:v>
      </x:c>
      <x:c r="AN400" s="9" t="n">
        <x:v>100</x:v>
      </x:c>
    </x:row>
    <x:row r="401">
      <x:c r="A401" s="9" t="str">
        <x:v>Failure</x:v>
      </x:c>
      <x:c r="B401" s="9" t="str">
        <x:v>Ordinal Reference Ordering</x:v>
      </x:c>
      <x:c r="C401" s="10" t="n">
        <x:v>99</x:v>
      </x:c>
      <x:c r="D401" s="9" t="str">
        <x:v>Pick up the object that is second from the right and place it in the bowl.</x:v>
      </x:c>
      <x:c r="E401" s="9" t="str">
        <x:v>L1: green highlighter, L2: yellow pen</x:v>
      </x:c>
      <x:c r="F401" s="9" t="str">
        <x:v>green highlighter</x:v>
      </x:c>
      <x:c r="G401" s="9" t="str">
        <x:v>picked yellow pen</x:v>
      </x:c>
      <x:c r="H401" s="9" t="str">
        <x:v>Concept/compositional transfer</x:v>
      </x:c>
      <x:c r="I401" s="9" t="str">
        <x:v>CT-CF20-N2-08</x:v>
      </x:c>
      <x:c r="J401" s="9" t="str">
        <x:v>Masked cell n=2, L1, green highlighter</x:v>
      </x:c>
      <x:c r="K401" s="9" t="n">
        <x:v>98</x:v>
      </x:c>
      <x:c r="L401" s="9"/>
      <x:c r="M401" s="9"/>
      <x:c r="N401" s="9" t="str">
        <x:v>4 — Transfer-only counterfactual pairs</x:v>
      </x:c>
      <x:c r="O401" s="9" t="str">
        <x:v>Return the previously moved object to its marked position. Do not move any other object; only the prompt changes.</x:v>
      </x:c>
      <x:c r="P401" s="9" t="str">
        <x:v>The final manifest masks this exact sequence-length × physical-position × target-identity cell. Both equivalent left- and right-based descriptions are absent for this cell, while the canonical instruction wording occurs elsewhere in training.</x:v>
      </x:c>
      <x:c r="Q401" s="9"/>
      <x:c r="R401" s="10" t="n">
        <x:v>2</x:v>
      </x:c>
      <x:c r="S401" s="10"/>
      <x:c r="T401" s="9"/>
      <x:c r="U401" s="9"/>
      <x:c r="V401" s="9"/>
      <x:c r="W401" s="9" t="str">
        <x:v>CT-CF20-N2-08</x:v>
      </x:c>
      <x:c r="X401" s="10"/>
      <x:c r="Y401" s="10"/>
      <x:c r="Z401" s="9"/>
      <x:c r="AA401" s="9" t="str">
        <x:v>L1</x:v>
      </x:c>
      <x:c r="AB401" s="9" t="str">
        <x:v>second from right</x:v>
      </x:c>
      <x:c r="AC401" s="9"/>
      <x:c r="AD401" s="9"/>
      <x:c r="AE401" s="9"/>
      <x:c r="AF401" s="9"/>
      <x:c r="AG401" s="9"/>
      <x:c r="AH401" s="9"/>
      <x:c r="AI401" s="11"/>
      <x:c r="AJ401" s="9"/>
      <x:c r="AK401" s="9" t="str">
        <x:v>Eval_Ordinal_Reference_Ordering.xlsm</x:v>
      </x:c>
      <x:c r="AL401" s="9" t="str">
        <x:v>MolmoAct2 Results2</x:v>
      </x:c>
      <x:c r="AM401" s="9" t="n">
        <x:v>101</x:v>
      </x:c>
      <x:c r="AN401" s="9" t="n">
        <x:v>101</x:v>
      </x:c>
    </x:row>
    <x:row r="402">
      <x:c r="A402" s="9" t="str">
        <x:v>Success</x:v>
      </x:c>
      <x:c r="B402" s="9" t="str">
        <x:v>Ordinal Reference Ordering</x:v>
      </x:c>
      <x:c r="C402" s="10" t="n">
        <x:v>100</x:v>
      </x:c>
      <x:c r="D402" s="9" t="str">
        <x:v>Pick up the object that is third from the right and place it in the bowl.</x:v>
      </x:c>
      <x:c r="E402" s="9" t="str">
        <x:v>L1: yellow pen, L2: blue tape ball, L3: green highlighter</x:v>
      </x:c>
      <x:c r="F402" s="9" t="str">
        <x:v>yellow pen</x:v>
      </x:c>
      <x:c r="G402" s="9"/>
      <x:c r="H402" s="9" t="str">
        <x:v>Concept/compositional transfer</x:v>
      </x:c>
      <x:c r="I402" s="9" t="str">
        <x:v>CT-CF21-N3-08</x:v>
      </x:c>
      <x:c r="J402" s="9" t="str">
        <x:v>Masked cell n=3, L1, yellow pen</x:v>
      </x:c>
      <x:c r="K402" s="9"/>
      <x:c r="L402" s="9"/>
      <x:c r="M402" s="9"/>
      <x:c r="N402" s="9" t="str">
        <x:v>4 — Transfer-only counterfactual pairs</x:v>
      </x:c>
      <x:c r="O402" s="9" t="str">
        <x:v>Build this new scene family exactly from the L1–L4 description and save a first-frame reference image.</x:v>
      </x:c>
      <x:c r="P402" s="9" t="str">
        <x:v>The final manifest masks this exact sequence-length × physical-position × target-identity cell. Both equivalent left- and right-based descriptions are absent for this cell, while the canonical instruction wording occurs elsewhere in training.</x:v>
      </x:c>
      <x:c r="Q402" s="9"/>
      <x:c r="R402" s="10" t="n">
        <x:v>3</x:v>
      </x:c>
      <x:c r="S402" s="10"/>
      <x:c r="T402" s="9"/>
      <x:c r="U402" s="9"/>
      <x:c r="V402" s="9"/>
      <x:c r="W402" s="9" t="str">
        <x:v>CT-CF21-N3-08</x:v>
      </x:c>
      <x:c r="X402" s="10"/>
      <x:c r="Y402" s="10"/>
      <x:c r="Z402" s="9"/>
      <x:c r="AA402" s="9" t="str">
        <x:v>L1</x:v>
      </x:c>
      <x:c r="AB402" s="9" t="str">
        <x:v>third from right</x:v>
      </x:c>
      <x:c r="AC402" s="9"/>
      <x:c r="AD402" s="9"/>
      <x:c r="AE402" s="9"/>
      <x:c r="AF402" s="9"/>
      <x:c r="AG402" s="9"/>
      <x:c r="AH402" s="9"/>
      <x:c r="AI402" s="11"/>
      <x:c r="AJ402" s="9"/>
      <x:c r="AK402" s="9" t="str">
        <x:v>Eval_Ordinal_Reference_Ordering.xlsm</x:v>
      </x:c>
      <x:c r="AL402" s="9" t="str">
        <x:v>MolmoAct2 Results2</x:v>
      </x:c>
      <x:c r="AM402" s="9" t="n">
        <x:v>102</x:v>
      </x:c>
      <x:c r="AN402" s="9" t="n">
        <x:v>102</x:v>
      </x:c>
    </x:row>
    <x:row r="403">
      <x:c r="A403" s="9" t="str">
        <x:v>Failure</x:v>
      </x:c>
      <x:c r="B403" s="9" t="str">
        <x:v>Ordinal Reference Ordering</x:v>
      </x:c>
      <x:c r="C403" s="10" t="n">
        <x:v>101</x:v>
      </x:c>
      <x:c r="D403" s="9" t="str">
        <x:v>Pick up the object that is first from the right and place it in the bowl.</x:v>
      </x:c>
      <x:c r="E403" s="9" t="str">
        <x:v>L1: yellow pen, L2: blue tape ball, L3: green highlighter</x:v>
      </x:c>
      <x:c r="F403" s="9" t="str">
        <x:v>green highlighter</x:v>
      </x:c>
      <x:c r="G403" s="9" t="str">
        <x:v>picked blue tape ball</x:v>
      </x:c>
      <x:c r="H403" s="9" t="str">
        <x:v>Concept/compositional transfer</x:v>
      </x:c>
      <x:c r="I403" s="9" t="str">
        <x:v>CT-CF21-N3-08</x:v>
      </x:c>
      <x:c r="J403" s="9" t="str">
        <x:v>Masked cell n=3, L3, green highlighter</x:v>
      </x:c>
      <x:c r="K403" s="9" t="n">
        <x:v>100</x:v>
      </x:c>
      <x:c r="L403" s="9"/>
      <x:c r="M403" s="9"/>
      <x:c r="N403" s="9" t="str">
        <x:v>4 — Transfer-only counterfactual pairs</x:v>
      </x:c>
      <x:c r="O403" s="9" t="str">
        <x:v>Return the previously moved object to its marked position. Do not move any other object; only the prompt changes.</x:v>
      </x:c>
      <x:c r="P403" s="9" t="str">
        <x:v>The final manifest masks this exact sequence-length × physical-position × target-identity cell. Both equivalent left- and right-based descriptions are absent for this cell, while the canonical instruction wording occurs elsewhere in training.</x:v>
      </x:c>
      <x:c r="Q403" s="9"/>
      <x:c r="R403" s="10" t="n">
        <x:v>3</x:v>
      </x:c>
      <x:c r="S403" s="10"/>
      <x:c r="T403" s="9"/>
      <x:c r="U403" s="9"/>
      <x:c r="V403" s="9"/>
      <x:c r="W403" s="9" t="str">
        <x:v>CT-CF21-N3-08</x:v>
      </x:c>
      <x:c r="X403" s="10"/>
      <x:c r="Y403" s="10"/>
      <x:c r="Z403" s="9"/>
      <x:c r="AA403" s="9" t="str">
        <x:v>L3</x:v>
      </x:c>
      <x:c r="AB403" s="9" t="str">
        <x:v>first from right</x:v>
      </x:c>
      <x:c r="AC403" s="9"/>
      <x:c r="AD403" s="9"/>
      <x:c r="AE403" s="9"/>
      <x:c r="AF403" s="9"/>
      <x:c r="AG403" s="9"/>
      <x:c r="AH403" s="9"/>
      <x:c r="AI403" s="11"/>
      <x:c r="AJ403" s="9"/>
      <x:c r="AK403" s="9" t="str">
        <x:v>Eval_Ordinal_Reference_Ordering.xlsm</x:v>
      </x:c>
      <x:c r="AL403" s="9" t="str">
        <x:v>MolmoAct2 Results2</x:v>
      </x:c>
      <x:c r="AM403" s="9" t="n">
        <x:v>103</x:v>
      </x:c>
      <x:c r="AN403" s="9" t="n">
        <x:v>103</x:v>
      </x:c>
    </x:row>
    <x:row r="404">
      <x:c r="A404" s="9" t="str">
        <x:v>Failure</x:v>
      </x:c>
      <x:c r="B404" s="9" t="str">
        <x:v>Ordinal Reference Ordering</x:v>
      </x:c>
      <x:c r="C404" s="10" t="n">
        <x:v>102</x:v>
      </x:c>
      <x:c r="D404" s="9" t="str">
        <x:v>Pick up the object that is third from the left and place it in the bowl.</x:v>
      </x:c>
      <x:c r="E404" s="9" t="str">
        <x:v>L1: yellow pen, L2: blue tape ball, L3: green highlighter, L4: airplane toy with propellers</x:v>
      </x:c>
      <x:c r="F404" s="9" t="str">
        <x:v>green highlighter</x:v>
      </x:c>
      <x:c r="G404" s="9" t="str">
        <x:v>tried to pick airplane toy dropped it, and immediately picked up the blue tap ball, which was closest object to it.</x:v>
      </x:c>
      <x:c r="H404" s="9" t="str">
        <x:v>Concept/compositional transfer</x:v>
      </x:c>
      <x:c r="I404" s="9" t="str">
        <x:v>CT-CF22-N4-06</x:v>
      </x:c>
      <x:c r="J404" s="9" t="str">
        <x:v>Masked cell n=4, L3, green highlighter</x:v>
      </x:c>
      <x:c r="K404" s="9"/>
      <x:c r="L404" s="9"/>
      <x:c r="M404" s="9"/>
      <x:c r="N404" s="9" t="str">
        <x:v>4 — Transfer-only counterfactual pairs</x:v>
      </x:c>
      <x:c r="O404" s="9" t="str">
        <x:v>Build this new scene family exactly from the L1–L4 description and save a first-frame reference image.</x:v>
      </x:c>
      <x:c r="P404" s="9" t="str">
        <x:v>The final manifest masks this exact sequence-length × physical-position × target-identity cell. Both equivalent left- and right-based descriptions are absent for this cell, while the canonical instruction wording occurs elsewhere in training.</x:v>
      </x:c>
      <x:c r="Q404" s="9"/>
      <x:c r="R404" s="10" t="n">
        <x:v>4</x:v>
      </x:c>
      <x:c r="S404" s="10"/>
      <x:c r="T404" s="9"/>
      <x:c r="U404" s="9"/>
      <x:c r="V404" s="9"/>
      <x:c r="W404" s="9" t="str">
        <x:v>CT-CF22-N4-06</x:v>
      </x:c>
      <x:c r="X404" s="10"/>
      <x:c r="Y404" s="10"/>
      <x:c r="Z404" s="9"/>
      <x:c r="AA404" s="9" t="str">
        <x:v>L3</x:v>
      </x:c>
      <x:c r="AB404" s="9" t="str">
        <x:v>third from left</x:v>
      </x:c>
      <x:c r="AC404" s="9"/>
      <x:c r="AD404" s="9"/>
      <x:c r="AE404" s="9"/>
      <x:c r="AF404" s="9"/>
      <x:c r="AG404" s="9"/>
      <x:c r="AH404" s="9"/>
      <x:c r="AI404" s="11"/>
      <x:c r="AJ404" s="9"/>
      <x:c r="AK404" s="9" t="str">
        <x:v>Eval_Ordinal_Reference_Ordering.xlsm</x:v>
      </x:c>
      <x:c r="AL404" s="9" t="str">
        <x:v>MolmoAct2 Results2</x:v>
      </x:c>
      <x:c r="AM404" s="9" t="n">
        <x:v>104</x:v>
      </x:c>
      <x:c r="AN404" s="9" t="n">
        <x:v>104</x:v>
      </x:c>
    </x:row>
    <x:row r="405">
      <x:c r="A405" s="9" t="str">
        <x:v>Success</x:v>
      </x:c>
      <x:c r="B405" s="9" t="str">
        <x:v>Ordinal Reference Ordering</x:v>
      </x:c>
      <x:c r="C405" s="10" t="n">
        <x:v>103</x:v>
      </x:c>
      <x:c r="D405" s="9" t="str">
        <x:v>Pick up the object that is third from the right and place it in the bowl.</x:v>
      </x:c>
      <x:c r="E405" s="9" t="str">
        <x:v>L1: yellow pen, L2: blue tape ball, L3: green highlighter, L4: airplane toy with propellers</x:v>
      </x:c>
      <x:c r="F405" s="9" t="str">
        <x:v>blue tape ball</x:v>
      </x:c>
      <x:c r="G405" s="9"/>
      <x:c r="H405" s="9" t="str">
        <x:v>Concept/compositional transfer</x:v>
      </x:c>
      <x:c r="I405" s="9" t="str">
        <x:v>CT-CF22-N4-06</x:v>
      </x:c>
      <x:c r="J405" s="9" t="str">
        <x:v>Masked cell n=4, L2, blue tape ball</x:v>
      </x:c>
      <x:c r="K405" s="9" t="n">
        <x:v>102</x:v>
      </x:c>
      <x:c r="L405" s="9"/>
      <x:c r="M405" s="9"/>
      <x:c r="N405" s="9" t="str">
        <x:v>4 — Transfer-only counterfactual pairs</x:v>
      </x:c>
      <x:c r="O405" s="9" t="str">
        <x:v>Return the previously moved object to its marked position. Do not move any other object; only the prompt changes.</x:v>
      </x:c>
      <x:c r="P405" s="9" t="str">
        <x:v>The final manifest masks this exact sequence-length × physical-position × target-identity cell. Both equivalent left- and right-based descriptions are absent for this cell, while the canonical instruction wording occurs elsewhere in training.</x:v>
      </x:c>
      <x:c r="Q405" s="9"/>
      <x:c r="R405" s="10" t="n">
        <x:v>4</x:v>
      </x:c>
      <x:c r="S405" s="10"/>
      <x:c r="T405" s="9"/>
      <x:c r="U405" s="9"/>
      <x:c r="V405" s="9"/>
      <x:c r="W405" s="9" t="str">
        <x:v>CT-CF22-N4-06</x:v>
      </x:c>
      <x:c r="X405" s="10"/>
      <x:c r="Y405" s="10"/>
      <x:c r="Z405" s="9"/>
      <x:c r="AA405" s="9" t="str">
        <x:v>L2</x:v>
      </x:c>
      <x:c r="AB405" s="9" t="str">
        <x:v>third from right</x:v>
      </x:c>
      <x:c r="AC405" s="9"/>
      <x:c r="AD405" s="9"/>
      <x:c r="AE405" s="9"/>
      <x:c r="AF405" s="9"/>
      <x:c r="AG405" s="9"/>
      <x:c r="AH405" s="9"/>
      <x:c r="AI405" s="11"/>
      <x:c r="AJ405" s="9"/>
      <x:c r="AK405" s="9" t="str">
        <x:v>Eval_Ordinal_Reference_Ordering.xlsm</x:v>
      </x:c>
      <x:c r="AL405" s="9" t="str">
        <x:v>MolmoAct2 Results2</x:v>
      </x:c>
      <x:c r="AM405" s="9" t="n">
        <x:v>105</x:v>
      </x:c>
      <x:c r="AN405" s="9" t="n">
        <x:v>105</x:v>
      </x:c>
    </x:row>
    <x:row r="406">
      <x:c r="A406" s="9" t="str">
        <x:v>Failure</x:v>
      </x:c>
      <x:c r="B406" s="9" t="str">
        <x:v>Ordinal Reference Ordering</x:v>
      </x:c>
      <x:c r="C406" s="10" t="n">
        <x:v>104</x:v>
      </x:c>
      <x:c r="D406" s="9" t="str">
        <x:v>Pick up the object that is fourth from the right and place it in the bowl.</x:v>
      </x:c>
      <x:c r="E406" s="9" t="str">
        <x:v>L1: airplane toy with propellers, L2: blue tape ball, L3: green highlighter, L4: yellow pen</x:v>
      </x:c>
      <x:c r="F406" s="9" t="str">
        <x:v>airplane toy with propellers</x:v>
      </x:c>
      <x:c r="G406" s="9" t="str">
        <x:v>picked green highlighter</x:v>
      </x:c>
      <x:c r="H406" s="9" t="str">
        <x:v>Concept/compositional transfer</x:v>
      </x:c>
      <x:c r="I406" s="9" t="str">
        <x:v>CT-CF23-N4-07</x:v>
      </x:c>
      <x:c r="J406" s="9" t="str">
        <x:v>Masked cell n=4, L1, airplane toy with propellers</x:v>
      </x:c>
      <x:c r="K406" s="9"/>
      <x:c r="L406" s="9"/>
      <x:c r="M406" s="9"/>
      <x:c r="N406" s="9" t="str">
        <x:v>4 — Transfer-only counterfactual pairs</x:v>
      </x:c>
      <x:c r="O406" s="9" t="str">
        <x:v>Build this new scene family exactly from the L1–L4 description and save a first-frame reference image.</x:v>
      </x:c>
      <x:c r="P406" s="9" t="str">
        <x:v>The final manifest masks this exact sequence-length × physical-position × target-identity cell. Both equivalent left- and right-based descriptions are absent for this cell, while the canonical instruction wording occurs elsewhere in training.</x:v>
      </x:c>
      <x:c r="Q406" s="9"/>
      <x:c r="R406" s="10" t="n">
        <x:v>4</x:v>
      </x:c>
      <x:c r="S406" s="10"/>
      <x:c r="T406" s="9"/>
      <x:c r="U406" s="9"/>
      <x:c r="V406" s="9"/>
      <x:c r="W406" s="9" t="str">
        <x:v>CT-CF23-N4-07</x:v>
      </x:c>
      <x:c r="X406" s="10"/>
      <x:c r="Y406" s="10"/>
      <x:c r="Z406" s="9"/>
      <x:c r="AA406" s="9" t="str">
        <x:v>L1</x:v>
      </x:c>
      <x:c r="AB406" s="9" t="str">
        <x:v>fourth from right</x:v>
      </x:c>
      <x:c r="AC406" s="9"/>
      <x:c r="AD406" s="9"/>
      <x:c r="AE406" s="9"/>
      <x:c r="AF406" s="9"/>
      <x:c r="AG406" s="9"/>
      <x:c r="AH406" s="9"/>
      <x:c r="AI406" s="11"/>
      <x:c r="AJ406" s="9"/>
      <x:c r="AK406" s="9" t="str">
        <x:v>Eval_Ordinal_Reference_Ordering.xlsm</x:v>
      </x:c>
      <x:c r="AL406" s="9" t="str">
        <x:v>MolmoAct2 Results2</x:v>
      </x:c>
      <x:c r="AM406" s="9" t="n">
        <x:v>106</x:v>
      </x:c>
      <x:c r="AN406" s="9" t="n">
        <x:v>106</x:v>
      </x:c>
    </x:row>
    <x:row r="407">
      <x:c r="A407" s="9" t="str">
        <x:v>Success</x:v>
      </x:c>
      <x:c r="B407" s="9" t="str">
        <x:v>Ordinal Reference Ordering</x:v>
      </x:c>
      <x:c r="C407" s="10" t="n">
        <x:v>105</x:v>
      </x:c>
      <x:c r="D407" s="9" t="str">
        <x:v>Pick up the object that is third from the right and place it in the bowl.</x:v>
      </x:c>
      <x:c r="E407" s="9" t="str">
        <x:v>L1: airplane toy with propellers, L2: blue tape ball, L3: green highlighter, L4: yellow pen</x:v>
      </x:c>
      <x:c r="F407" s="9" t="str">
        <x:v>blue tape ball</x:v>
      </x:c>
      <x:c r="G407" s="9"/>
      <x:c r="H407" s="9" t="str">
        <x:v>Concept/compositional transfer</x:v>
      </x:c>
      <x:c r="I407" s="9" t="str">
        <x:v>CT-CF23-N4-07</x:v>
      </x:c>
      <x:c r="J407" s="9" t="str">
        <x:v>Masked cell n=4, L2, blue tape ball</x:v>
      </x:c>
      <x:c r="K407" s="9" t="n">
        <x:v>104</x:v>
      </x:c>
      <x:c r="L407" s="9"/>
      <x:c r="M407" s="9"/>
      <x:c r="N407" s="9" t="str">
        <x:v>4 — Transfer-only counterfactual pairs</x:v>
      </x:c>
      <x:c r="O407" s="9" t="str">
        <x:v>Return the previously moved object to its marked position. Do not move any other object; only the prompt changes.</x:v>
      </x:c>
      <x:c r="P407" s="9" t="str">
        <x:v>The final manifest masks this exact sequence-length × physical-position × target-identity cell. Both equivalent left- and right-based descriptions are absent for this cell, while the canonical instruction wording occurs elsewhere in training.</x:v>
      </x:c>
      <x:c r="Q407" s="9"/>
      <x:c r="R407" s="10" t="n">
        <x:v>4</x:v>
      </x:c>
      <x:c r="S407" s="10"/>
      <x:c r="T407" s="9"/>
      <x:c r="U407" s="9"/>
      <x:c r="V407" s="9"/>
      <x:c r="W407" s="9" t="str">
        <x:v>CT-CF23-N4-07</x:v>
      </x:c>
      <x:c r="X407" s="10"/>
      <x:c r="Y407" s="10"/>
      <x:c r="Z407" s="9"/>
      <x:c r="AA407" s="9" t="str">
        <x:v>L2</x:v>
      </x:c>
      <x:c r="AB407" s="9" t="str">
        <x:v>third from right</x:v>
      </x:c>
      <x:c r="AC407" s="9"/>
      <x:c r="AD407" s="9"/>
      <x:c r="AE407" s="9"/>
      <x:c r="AF407" s="9"/>
      <x:c r="AG407" s="9"/>
      <x:c r="AH407" s="9"/>
      <x:c r="AI407" s="11"/>
      <x:c r="AJ407" s="9"/>
      <x:c r="AK407" s="9" t="str">
        <x:v>Eval_Ordinal_Reference_Ordering.xlsm</x:v>
      </x:c>
      <x:c r="AL407" s="9" t="str">
        <x:v>MolmoAct2 Results2</x:v>
      </x:c>
      <x:c r="AM407" s="9" t="n">
        <x:v>107</x:v>
      </x:c>
      <x:c r="AN407" s="9" t="n">
        <x:v>107</x:v>
      </x:c>
    </x:row>
    <x:row r="408">
      <x:c r="A408" s="9" t="str">
        <x:v>Success</x:v>
      </x:c>
      <x:c r="B408" s="9" t="str">
        <x:v>Ordinal Reference Ordering</x:v>
      </x:c>
      <x:c r="C408" s="10" t="n">
        <x:v>106</x:v>
      </x:c>
      <x:c r="D408" s="9" t="str">
        <x:v>Pick up the object that is third from the left and place it in the bowl.</x:v>
      </x:c>
      <x:c r="E408" s="9" t="str">
        <x:v>L1: airplane toy with propellers, L2: blue tape ball, L3: green highlighter, L4: yellow pen</x:v>
      </x:c>
      <x:c r="F408" s="9" t="str">
        <x:v>green highlighter</x:v>
      </x:c>
      <x:c r="G408" s="9"/>
      <x:c r="H408" s="9" t="str">
        <x:v>Concept/compositional transfer</x:v>
      </x:c>
      <x:c r="I408" s="9" t="str">
        <x:v>CT-CF24-N4-08</x:v>
      </x:c>
      <x:c r="J408" s="9" t="str">
        <x:v>Masked cell n=4, L3, green highlighter</x:v>
      </x:c>
      <x:c r="K408" s="9"/>
      <x:c r="L408" s="9"/>
      <x:c r="M408" s="9"/>
      <x:c r="N408" s="9" t="str">
        <x:v>4 — Transfer-only counterfactual pairs</x:v>
      </x:c>
      <x:c r="O408" s="9" t="str">
        <x:v>Build this new scene family exactly from the L1–L4 description and save a first-frame reference image.</x:v>
      </x:c>
      <x:c r="P408" s="9" t="str">
        <x:v>The final manifest masks this exact sequence-length × physical-position × target-identity cell. Both equivalent left- and right-based descriptions are absent for this cell, while the canonical instruction wording occurs elsewhere in training.</x:v>
      </x:c>
      <x:c r="Q408" s="9"/>
      <x:c r="R408" s="10" t="n">
        <x:v>4</x:v>
      </x:c>
      <x:c r="S408" s="10"/>
      <x:c r="T408" s="9"/>
      <x:c r="U408" s="9"/>
      <x:c r="V408" s="9"/>
      <x:c r="W408" s="9" t="str">
        <x:v>CT-CF24-N4-08</x:v>
      </x:c>
      <x:c r="X408" s="10"/>
      <x:c r="Y408" s="10"/>
      <x:c r="Z408" s="9"/>
      <x:c r="AA408" s="9" t="str">
        <x:v>L3</x:v>
      </x:c>
      <x:c r="AB408" s="9" t="str">
        <x:v>third from left</x:v>
      </x:c>
      <x:c r="AC408" s="9"/>
      <x:c r="AD408" s="9"/>
      <x:c r="AE408" s="9"/>
      <x:c r="AF408" s="9"/>
      <x:c r="AG408" s="9"/>
      <x:c r="AH408" s="9"/>
      <x:c r="AI408" s="11"/>
      <x:c r="AJ408" s="9"/>
      <x:c r="AK408" s="9" t="str">
        <x:v>Eval_Ordinal_Reference_Ordering.xlsm</x:v>
      </x:c>
      <x:c r="AL408" s="9" t="str">
        <x:v>MolmoAct2 Results2</x:v>
      </x:c>
      <x:c r="AM408" s="9" t="n">
        <x:v>108</x:v>
      </x:c>
      <x:c r="AN408" s="9" t="n">
        <x:v>108</x:v>
      </x:c>
    </x:row>
    <x:row r="409">
      <x:c r="A409" s="9" t="str">
        <x:v>Success</x:v>
      </x:c>
      <x:c r="B409" s="9" t="str">
        <x:v>Ordinal Reference Ordering</x:v>
      </x:c>
      <x:c r="C409" s="10" t="n">
        <x:v>107</x:v>
      </x:c>
      <x:c r="D409" s="9" t="str">
        <x:v>Pick up the object that is fourth from the right and place it in the bowl.</x:v>
      </x:c>
      <x:c r="E409" s="9" t="str">
        <x:v>L1: airplane toy with propellers, L2: blue tape ball, L3: green highlighter, L4: yellow pen</x:v>
      </x:c>
      <x:c r="F409" s="9" t="str">
        <x:v>airplane toy with propellers</x:v>
      </x:c>
      <x:c r="G409" s="9"/>
      <x:c r="H409" s="9" t="str">
        <x:v>Concept/compositional transfer</x:v>
      </x:c>
      <x:c r="I409" s="9" t="str">
        <x:v>CT-CF24-N4-08</x:v>
      </x:c>
      <x:c r="J409" s="9" t="str">
        <x:v>Masked cell n=4, L1, airplane toy with propellers</x:v>
      </x:c>
      <x:c r="K409" s="9" t="n">
        <x:v>106</x:v>
      </x:c>
      <x:c r="L409" s="9"/>
      <x:c r="M409" s="9"/>
      <x:c r="N409" s="9" t="str">
        <x:v>4 — Transfer-only counterfactual pairs</x:v>
      </x:c>
      <x:c r="O409" s="9" t="str">
        <x:v>Return the previously moved object to its marked position. Do not move any other object; only the prompt changes.</x:v>
      </x:c>
      <x:c r="P409" s="9" t="str">
        <x:v>The final manifest masks this exact sequence-length × physical-position × target-identity cell. Both equivalent left- and right-based descriptions are absent for this cell, while the canonical instruction wording occurs elsewhere in training.</x:v>
      </x:c>
      <x:c r="Q409" s="9"/>
      <x:c r="R409" s="10" t="n">
        <x:v>4</x:v>
      </x:c>
      <x:c r="S409" s="10"/>
      <x:c r="T409" s="9"/>
      <x:c r="U409" s="9"/>
      <x:c r="V409" s="9"/>
      <x:c r="W409" s="9" t="str">
        <x:v>CT-CF24-N4-08</x:v>
      </x:c>
      <x:c r="X409" s="10"/>
      <x:c r="Y409" s="10"/>
      <x:c r="Z409" s="9"/>
      <x:c r="AA409" s="9" t="str">
        <x:v>L1</x:v>
      </x:c>
      <x:c r="AB409" s="9" t="str">
        <x:v>fourth from right</x:v>
      </x:c>
      <x:c r="AC409" s="9"/>
      <x:c r="AD409" s="9"/>
      <x:c r="AE409" s="9"/>
      <x:c r="AF409" s="9"/>
      <x:c r="AG409" s="9"/>
      <x:c r="AH409" s="9"/>
      <x:c r="AI409" s="11"/>
      <x:c r="AJ409" s="9"/>
      <x:c r="AK409" s="9" t="str">
        <x:v>Eval_Ordinal_Reference_Ordering.xlsm</x:v>
      </x:c>
      <x:c r="AL409" s="9" t="str">
        <x:v>MolmoAct2 Results2</x:v>
      </x:c>
      <x:c r="AM409" s="9" t="n">
        <x:v>109</x:v>
      </x:c>
      <x:c r="AN409" s="9" t="n">
        <x:v>109</x:v>
      </x:c>
    </x:row>
    <x:row r="410">
      <x:c r="A410" s="9" t="str">
        <x:v>Failure</x:v>
      </x:c>
      <x:c r="B410" s="9" t="str">
        <x:v>Ordinal Reference Ordering</x:v>
      </x:c>
      <x:c r="C410" s="10" t="n">
        <x:v>108</x:v>
      </x:c>
      <x:c r="D410" s="9" t="str">
        <x:v>Pick up the object that is third from the right and place it in the bowl.</x:v>
      </x:c>
      <x:c r="E410" s="9" t="str">
        <x:v>L1: airplane toy with propellers, L2: blue tape ball, L3: green highlighter, L4: yellow pen</x:v>
      </x:c>
      <x:c r="F410" s="9" t="str">
        <x:v>blue tape ball</x:v>
      </x:c>
      <x:c r="G410" s="9" t="str">
        <x:v>bumped blue tape ball and during recovery, picked airplane toy</x:v>
      </x:c>
      <x:c r="H410" s="9" t="str">
        <x:v>Concept/compositional transfer</x:v>
      </x:c>
      <x:c r="I410" s="9" t="str">
        <x:v>CT-CF25-N4-09</x:v>
      </x:c>
      <x:c r="J410" s="9" t="str">
        <x:v>Masked cell n=4, L2, blue tape ball</x:v>
      </x:c>
      <x:c r="K410" s="9"/>
      <x:c r="L410" s="9"/>
      <x:c r="M410" s="9"/>
      <x:c r="N410" s="9" t="str">
        <x:v>4 — Transfer-only counterfactual pairs</x:v>
      </x:c>
      <x:c r="O410" s="9" t="str">
        <x:v>Build this new scene family exactly from the L1–L4 description and save a first-frame reference image.</x:v>
      </x:c>
      <x:c r="P410" s="9" t="str">
        <x:v>The final manifest masks this exact sequence-length × physical-position × target-identity cell. Both equivalent left- and right-based descriptions are absent for this cell, while the canonical instruction wording occurs elsewhere in training.</x:v>
      </x:c>
      <x:c r="Q410" s="9"/>
      <x:c r="R410" s="10" t="n">
        <x:v>4</x:v>
      </x:c>
      <x:c r="S410" s="10"/>
      <x:c r="T410" s="9"/>
      <x:c r="U410" s="9"/>
      <x:c r="V410" s="9"/>
      <x:c r="W410" s="9" t="str">
        <x:v>CT-CF25-N4-09</x:v>
      </x:c>
      <x:c r="X410" s="10"/>
      <x:c r="Y410" s="10"/>
      <x:c r="Z410" s="9"/>
      <x:c r="AA410" s="9" t="str">
        <x:v>L2</x:v>
      </x:c>
      <x:c r="AB410" s="9" t="str">
        <x:v>third from right</x:v>
      </x:c>
      <x:c r="AC410" s="9"/>
      <x:c r="AD410" s="9"/>
      <x:c r="AE410" s="9"/>
      <x:c r="AF410" s="9"/>
      <x:c r="AG410" s="9"/>
      <x:c r="AH410" s="9"/>
      <x:c r="AI410" s="11"/>
      <x:c r="AJ410" s="9"/>
      <x:c r="AK410" s="9" t="str">
        <x:v>Eval_Ordinal_Reference_Ordering.xlsm</x:v>
      </x:c>
      <x:c r="AL410" s="9" t="str">
        <x:v>MolmoAct2 Results2</x:v>
      </x:c>
      <x:c r="AM410" s="9" t="n">
        <x:v>110</x:v>
      </x:c>
      <x:c r="AN410" s="9" t="n">
        <x:v>110</x:v>
      </x:c>
    </x:row>
    <x:row r="411">
      <x:c r="A411" s="9" t="str">
        <x:v>Failure</x:v>
      </x:c>
      <x:c r="B411" s="9" t="str">
        <x:v>Ordinal Reference Ordering</x:v>
      </x:c>
      <x:c r="C411" s="10" t="n">
        <x:v>109</x:v>
      </x:c>
      <x:c r="D411" s="9" t="str">
        <x:v>Pick up the object that is fourth from the left and place it in the bowl.</x:v>
      </x:c>
      <x:c r="E411" s="9" t="str">
        <x:v>L1: airplane toy with propellers, L2: blue tape ball, L3: green highlighter, L4: yellow pen</x:v>
      </x:c>
      <x:c r="F411" s="9" t="str">
        <x:v>yellow pen</x:v>
      </x:c>
      <x:c r="G411" s="9" t="str">
        <x:v>Did weird wrist roll thing again, but picked the green highlighter and not the yellow pen.</x:v>
      </x:c>
      <x:c r="H411" s="9" t="str">
        <x:v>Concept/compositional transfer</x:v>
      </x:c>
      <x:c r="I411" s="9" t="str">
        <x:v>CT-CF25-N4-09</x:v>
      </x:c>
      <x:c r="J411" s="9" t="str">
        <x:v>Masked cell n=4, L4, yellow pen</x:v>
      </x:c>
      <x:c r="K411" s="9" t="n">
        <x:v>108</x:v>
      </x:c>
      <x:c r="L411" s="9"/>
      <x:c r="M411" s="9"/>
      <x:c r="N411" s="9" t="str">
        <x:v>4 — Transfer-only counterfactual pairs</x:v>
      </x:c>
      <x:c r="O411" s="9" t="str">
        <x:v>Return the previously moved object to its marked position. Do not move any other object; only the prompt changes.</x:v>
      </x:c>
      <x:c r="P411" s="9" t="str">
        <x:v>The final manifest masks this exact sequence-length × physical-position × target-identity cell. Both equivalent left- and right-based descriptions are absent for this cell, while the canonical instruction wording occurs elsewhere in training.</x:v>
      </x:c>
      <x:c r="Q411" s="9"/>
      <x:c r="R411" s="10" t="n">
        <x:v>4</x:v>
      </x:c>
      <x:c r="S411" s="10"/>
      <x:c r="T411" s="9"/>
      <x:c r="U411" s="9"/>
      <x:c r="V411" s="9"/>
      <x:c r="W411" s="9" t="str">
        <x:v>CT-CF25-N4-09</x:v>
      </x:c>
      <x:c r="X411" s="10"/>
      <x:c r="Y411" s="10"/>
      <x:c r="Z411" s="9"/>
      <x:c r="AA411" s="9" t="str">
        <x:v>L4</x:v>
      </x:c>
      <x:c r="AB411" s="9" t="str">
        <x:v>fourth from left</x:v>
      </x:c>
      <x:c r="AC411" s="9"/>
      <x:c r="AD411" s="9"/>
      <x:c r="AE411" s="9"/>
      <x:c r="AF411" s="9"/>
      <x:c r="AG411" s="9"/>
      <x:c r="AH411" s="9"/>
      <x:c r="AI411" s="11"/>
      <x:c r="AJ411" s="9"/>
      <x:c r="AK411" s="9" t="str">
        <x:v>Eval_Ordinal_Reference_Ordering.xlsm</x:v>
      </x:c>
      <x:c r="AL411" s="9" t="str">
        <x:v>MolmoAct2 Results2</x:v>
      </x:c>
      <x:c r="AM411" s="9" t="n">
        <x:v>111</x:v>
      </x:c>
      <x:c r="AN411" s="9" t="n">
        <x:v>111</x:v>
      </x:c>
    </x:row>
    <x:row r="412">
      <x:c r="A412" s="9" t="str">
        <x:v>Failure</x:v>
      </x:c>
      <x:c r="B412" s="9" t="str">
        <x:v>Ordinal Reference Ordering</x:v>
      </x:c>
      <x:c r="C412" s="10" t="n">
        <x:v>110</x:v>
      </x:c>
      <x:c r="D412" s="9" t="str">
        <x:v>Pick up the object that is first from the left and place it in the bowl.</x:v>
      </x:c>
      <x:c r="E412" s="9" t="str">
        <x:v>L1: red block, L2: airplane toy with propellers</x:v>
      </x:c>
      <x:c r="F412" s="9" t="str">
        <x:v>red block</x:v>
      </x:c>
      <x:c r="G412" s="9" t="str">
        <x:v>picked airplane toy.</x:v>
      </x:c>
      <x:c r="H412" s="9" t="str">
        <x:v>Cross-task ordinal transfer — red block target</x:v>
      </x:c>
      <x:c r="I412" s="9" t="str">
        <x:v>XO-RB-CF01</x:v>
      </x:c>
      <x:c r="J412" s="9" t="str">
        <x:v>Reasoning prompt; red block is the ordinal target</x:v>
      </x:c>
      <x:c r="K412" s="9"/>
      <x:c r="L412" s="9"/>
      <x:c r="M412" s="9"/>
      <x:c r="N412" s="9" t="str">
        <x:v>5 — Red-block counterfactual pairs</x:v>
      </x:c>
      <x:c r="O412" s="9" t="str">
        <x:v>Build this new scene family exactly from the L1–L4 description and save a first-frame reference image.</x:v>
      </x:c>
      <x:c r="P412" s="9" t="str">
        <x:v>The red block is globally familiar from Relational Placement but absent from Ordering training. The prompt never names it; ordinal reasoning is required. Pair order is counterbalanced across families.</x:v>
      </x:c>
      <x:c r="Q412" s="9"/>
      <x:c r="R412" s="10" t="n">
        <x:v>2</x:v>
      </x:c>
      <x:c r="S412" s="10"/>
      <x:c r="T412" s="9"/>
      <x:c r="U412" s="9"/>
      <x:c r="V412" s="9"/>
      <x:c r="W412" s="9" t="str">
        <x:v>XO-RB-CF01</x:v>
      </x:c>
      <x:c r="X412" s="10"/>
      <x:c r="Y412" s="10"/>
      <x:c r="Z412" s="9"/>
      <x:c r="AA412" s="9" t="str">
        <x:v>L1</x:v>
      </x:c>
      <x:c r="AB412" s="9" t="str">
        <x:v>first from left</x:v>
      </x:c>
      <x:c r="AC412" s="9"/>
      <x:c r="AD412" s="9"/>
      <x:c r="AE412" s="9"/>
      <x:c r="AF412" s="9"/>
      <x:c r="AG412" s="9"/>
      <x:c r="AH412" s="9"/>
      <x:c r="AI412" s="11"/>
      <x:c r="AJ412" s="9"/>
      <x:c r="AK412" s="9" t="str">
        <x:v>Eval_Ordinal_Reference_Ordering.xlsm</x:v>
      </x:c>
      <x:c r="AL412" s="9" t="str">
        <x:v>MolmoAct2 Results2</x:v>
      </x:c>
      <x:c r="AM412" s="9" t="n">
        <x:v>112</x:v>
      </x:c>
      <x:c r="AN412" s="9" t="n">
        <x:v>112</x:v>
      </x:c>
    </x:row>
    <x:row r="413">
      <x:c r="A413" s="9" t="str">
        <x:v>Success</x:v>
      </x:c>
      <x:c r="B413" s="9" t="str">
        <x:v>Ordinal Reference Ordering</x:v>
      </x:c>
      <x:c r="C413" s="10" t="n">
        <x:v>111</x:v>
      </x:c>
      <x:c r="D413" s="9" t="str">
        <x:v>Pick up the object that is second from the left and place it in the bowl.</x:v>
      </x:c>
      <x:c r="E413" s="9" t="str">
        <x:v>L1: red block, L2: airplane toy with propellers</x:v>
      </x:c>
      <x:c r="F413" s="9" t="str">
        <x:v>airplane toy with propellers</x:v>
      </x:c>
      <x:c r="G413" s="9"/>
      <x:c r="H413" s="9" t="str">
        <x:v>Cross-task ordinal counterfactual — red block distractor</x:v>
      </x:c>
      <x:c r="I413" s="9" t="str">
        <x:v>XO-RB-CF01</x:v>
      </x:c>
      <x:c r="J413" s="9" t="str">
        <x:v>Same scene; explicitly trained Ordering target (source episode 621)</x:v>
      </x:c>
      <x:c r="K413" s="9" t="n">
        <x:v>110</x:v>
      </x:c>
      <x:c r="L413" s="9"/>
      <x:c r="M413" s="9"/>
      <x:c r="N413" s="9" t="str">
        <x:v>5 — Red-block counterfactual pairs</x:v>
      </x:c>
      <x:c r="O413" s="9" t="str">
        <x:v>Return the previously moved object to its marked position. Do not move any other object; only the prompt changes.</x:v>
      </x:c>
      <x:c r="P413" s="9" t="str">
        <x:v>The same scene now targets a familiar Ordering object using the same canonical reasoning template and an exact training-supported ordinal prompt. The red block remains visible but is not the target.</x:v>
      </x:c>
      <x:c r="Q413" s="9"/>
      <x:c r="R413" s="10" t="n">
        <x:v>2</x:v>
      </x:c>
      <x:c r="S413" s="10"/>
      <x:c r="T413" s="9"/>
      <x:c r="U413" s="9"/>
      <x:c r="V413" s="9"/>
      <x:c r="W413" s="9" t="str">
        <x:v>XO-RB-CF01</x:v>
      </x:c>
      <x:c r="X413" s="10"/>
      <x:c r="Y413" s="10"/>
      <x:c r="Z413" s="9"/>
      <x:c r="AA413" s="9" t="str">
        <x:v>L2</x:v>
      </x:c>
      <x:c r="AB413" s="9" t="str">
        <x:v>second from left</x:v>
      </x:c>
      <x:c r="AC413" s="9"/>
      <x:c r="AD413" s="9"/>
      <x:c r="AE413" s="9"/>
      <x:c r="AF413" s="9"/>
      <x:c r="AG413" s="9"/>
      <x:c r="AH413" s="9"/>
      <x:c r="AI413" s="11"/>
      <x:c r="AJ413" s="9"/>
      <x:c r="AK413" s="9" t="str">
        <x:v>Eval_Ordinal_Reference_Ordering.xlsm</x:v>
      </x:c>
      <x:c r="AL413" s="9" t="str">
        <x:v>MolmoAct2 Results2</x:v>
      </x:c>
      <x:c r="AM413" s="9" t="n">
        <x:v>113</x:v>
      </x:c>
      <x:c r="AN413" s="9" t="n">
        <x:v>113</x:v>
      </x:c>
    </x:row>
    <x:row r="414">
      <x:c r="A414" s="9" t="str">
        <x:v>Failure</x:v>
      </x:c>
      <x:c r="B414" s="9" t="str">
        <x:v>Ordinal Reference Ordering</x:v>
      </x:c>
      <x:c r="C414" s="10" t="n">
        <x:v>112</x:v>
      </x:c>
      <x:c r="D414" s="9" t="str">
        <x:v>Pick up the object that is second from the right and place it in the bowl.</x:v>
      </x:c>
      <x:c r="E414" s="9" t="str">
        <x:v>L1: blue tape ball, L2: red block</x:v>
      </x:c>
      <x:c r="F414" s="9" t="str">
        <x:v>blue tape ball</x:v>
      </x:c>
      <x:c r="G414" s="9" t="str">
        <x:v>picked red block</x:v>
      </x:c>
      <x:c r="H414" s="9" t="str">
        <x:v>Cross-task ordinal counterfactual — red block distractor</x:v>
      </x:c>
      <x:c r="I414" s="9" t="str">
        <x:v>XO-RB-CF02</x:v>
      </x:c>
      <x:c r="J414" s="9" t="str">
        <x:v>Same scene; explicitly trained Ordering target (source episode 659)</x:v>
      </x:c>
      <x:c r="K414" s="9"/>
      <x:c r="L414" s="9"/>
      <x:c r="M414" s="9"/>
      <x:c r="N414" s="9" t="str">
        <x:v>5 — Red-block counterfactual pairs</x:v>
      </x:c>
      <x:c r="O414" s="9" t="str">
        <x:v>Build this new scene family exactly from the L1–L4 description and save a first-frame reference image.</x:v>
      </x:c>
      <x:c r="P414" s="9" t="str">
        <x:v>The same scene now targets a familiar Ordering object using the same canonical reasoning template and an exact training-supported ordinal prompt. The red block remains visible but is not the target.</x:v>
      </x:c>
      <x:c r="Q414" s="9"/>
      <x:c r="R414" s="10" t="n">
        <x:v>2</x:v>
      </x:c>
      <x:c r="S414" s="10"/>
      <x:c r="T414" s="9"/>
      <x:c r="U414" s="9"/>
      <x:c r="V414" s="9"/>
      <x:c r="W414" s="9" t="str">
        <x:v>XO-RB-CF02</x:v>
      </x:c>
      <x:c r="X414" s="10"/>
      <x:c r="Y414" s="10"/>
      <x:c r="Z414" s="9"/>
      <x:c r="AA414" s="9" t="str">
        <x:v>L1</x:v>
      </x:c>
      <x:c r="AB414" s="9" t="str">
        <x:v>second from right</x:v>
      </x:c>
      <x:c r="AC414" s="9"/>
      <x:c r="AD414" s="9"/>
      <x:c r="AE414" s="9"/>
      <x:c r="AF414" s="9"/>
      <x:c r="AG414" s="9"/>
      <x:c r="AH414" s="9"/>
      <x:c r="AI414" s="11"/>
      <x:c r="AJ414" s="9"/>
      <x:c r="AK414" s="9" t="str">
        <x:v>Eval_Ordinal_Reference_Ordering.xlsm</x:v>
      </x:c>
      <x:c r="AL414" s="9" t="str">
        <x:v>MolmoAct2 Results2</x:v>
      </x:c>
      <x:c r="AM414" s="9" t="n">
        <x:v>114</x:v>
      </x:c>
      <x:c r="AN414" s="9" t="n">
        <x:v>114</x:v>
      </x:c>
    </x:row>
    <x:row r="415">
      <x:c r="A415" s="9" t="str">
        <x:v>Success</x:v>
      </x:c>
      <x:c r="B415" s="9" t="str">
        <x:v>Ordinal Reference Ordering</x:v>
      </x:c>
      <x:c r="C415" s="10" t="n">
        <x:v>113</x:v>
      </x:c>
      <x:c r="D415" s="9" t="str">
        <x:v>Pick up the object that is first from the right and place it in the bowl.</x:v>
      </x:c>
      <x:c r="E415" s="9" t="str">
        <x:v>L1: blue tape ball, L2: red block</x:v>
      </x:c>
      <x:c r="F415" s="9" t="str">
        <x:v>red block</x:v>
      </x:c>
      <x:c r="G415" s="9"/>
      <x:c r="H415" s="9" t="str">
        <x:v>Cross-task ordinal transfer — red block target</x:v>
      </x:c>
      <x:c r="I415" s="9" t="str">
        <x:v>XO-RB-CF02</x:v>
      </x:c>
      <x:c r="J415" s="9" t="str">
        <x:v>Reasoning prompt; red block is the ordinal target</x:v>
      </x:c>
      <x:c r="K415" s="9" t="n">
        <x:v>112</x:v>
      </x:c>
      <x:c r="L415" s="9"/>
      <x:c r="M415" s="9"/>
      <x:c r="N415" s="9" t="str">
        <x:v>5 — Red-block counterfactual pairs</x:v>
      </x:c>
      <x:c r="O415" s="9" t="str">
        <x:v>Return the previously moved object to its marked position. Do not move any other object; only the prompt changes.</x:v>
      </x:c>
      <x:c r="P415" s="9" t="str">
        <x:v>The red block is globally familiar from Relational Placement but absent from Ordering training. The prompt never names it; ordinal reasoning is required. Pair order is counterbalanced across families.</x:v>
      </x:c>
      <x:c r="Q415" s="9"/>
      <x:c r="R415" s="10" t="n">
        <x:v>2</x:v>
      </x:c>
      <x:c r="S415" s="10"/>
      <x:c r="T415" s="9"/>
      <x:c r="U415" s="9"/>
      <x:c r="V415" s="9"/>
      <x:c r="W415" s="9" t="str">
        <x:v>XO-RB-CF02</x:v>
      </x:c>
      <x:c r="X415" s="10"/>
      <x:c r="Y415" s="10"/>
      <x:c r="Z415" s="9"/>
      <x:c r="AA415" s="9" t="str">
        <x:v>L2</x:v>
      </x:c>
      <x:c r="AB415" s="9" t="str">
        <x:v>first from right</x:v>
      </x:c>
      <x:c r="AC415" s="9"/>
      <x:c r="AD415" s="9"/>
      <x:c r="AE415" s="9"/>
      <x:c r="AF415" s="9"/>
      <x:c r="AG415" s="9"/>
      <x:c r="AH415" s="9"/>
      <x:c r="AI415" s="11"/>
      <x:c r="AJ415" s="9"/>
      <x:c r="AK415" s="9" t="str">
        <x:v>Eval_Ordinal_Reference_Ordering.xlsm</x:v>
      </x:c>
      <x:c r="AL415" s="9" t="str">
        <x:v>MolmoAct2 Results2</x:v>
      </x:c>
      <x:c r="AM415" s="9" t="n">
        <x:v>115</x:v>
      </x:c>
      <x:c r="AN415" s="9" t="n">
        <x:v>115</x:v>
      </x:c>
    </x:row>
    <x:row r="416">
      <x:c r="A416" s="9" t="str">
        <x:v>Failure</x:v>
      </x:c>
      <x:c r="B416" s="9" t="str">
        <x:v>Ordinal Reference Ordering</x:v>
      </x:c>
      <x:c r="C416" s="10" t="n">
        <x:v>114</x:v>
      </x:c>
      <x:c r="D416" s="9" t="str">
        <x:v>Pick up the object that is third from the right and place it in the bowl.</x:v>
      </x:c>
      <x:c r="E416" s="9" t="str">
        <x:v>L1: red block, L2: green highlighter, L3: blue tape ball</x:v>
      </x:c>
      <x:c r="F416" s="9" t="str">
        <x:v>red block</x:v>
      </x:c>
      <x:c r="G416" s="9" t="str">
        <x:v>picked green highlighter</x:v>
      </x:c>
      <x:c r="H416" s="9" t="str">
        <x:v>Cross-task ordinal transfer — red block target</x:v>
      </x:c>
      <x:c r="I416" s="9" t="str">
        <x:v>XO-RB-CF03</x:v>
      </x:c>
      <x:c r="J416" s="9" t="str">
        <x:v>Reasoning prompt; red block is the ordinal target</x:v>
      </x:c>
      <x:c r="K416" s="9"/>
      <x:c r="L416" s="9"/>
      <x:c r="M416" s="9"/>
      <x:c r="N416" s="9" t="str">
        <x:v>5 — Red-block counterfactual pairs</x:v>
      </x:c>
      <x:c r="O416" s="9" t="str">
        <x:v>Build this new scene family exactly from the L1–L4 description and save a first-frame reference image.</x:v>
      </x:c>
      <x:c r="P416" s="9" t="str">
        <x:v>The red block is globally familiar from Relational Placement but absent from Ordering training. The prompt never names it; ordinal reasoning is required. Pair order is counterbalanced across families.</x:v>
      </x:c>
      <x:c r="Q416" s="9"/>
      <x:c r="R416" s="10" t="n">
        <x:v>3</x:v>
      </x:c>
      <x:c r="S416" s="10"/>
      <x:c r="T416" s="9"/>
      <x:c r="U416" s="9"/>
      <x:c r="V416" s="9"/>
      <x:c r="W416" s="9" t="str">
        <x:v>XO-RB-CF03</x:v>
      </x:c>
      <x:c r="X416" s="10"/>
      <x:c r="Y416" s="10"/>
      <x:c r="Z416" s="9"/>
      <x:c r="AA416" s="9" t="str">
        <x:v>L1</x:v>
      </x:c>
      <x:c r="AB416" s="9" t="str">
        <x:v>third from right</x:v>
      </x:c>
      <x:c r="AC416" s="9"/>
      <x:c r="AD416" s="9"/>
      <x:c r="AE416" s="9"/>
      <x:c r="AF416" s="9"/>
      <x:c r="AG416" s="9"/>
      <x:c r="AH416" s="9"/>
      <x:c r="AI416" s="11"/>
      <x:c r="AJ416" s="9"/>
      <x:c r="AK416" s="9" t="str">
        <x:v>Eval_Ordinal_Reference_Ordering.xlsm</x:v>
      </x:c>
      <x:c r="AL416" s="9" t="str">
        <x:v>MolmoAct2 Results2</x:v>
      </x:c>
      <x:c r="AM416" s="9" t="n">
        <x:v>116</x:v>
      </x:c>
      <x:c r="AN416" s="9" t="n">
        <x:v>116</x:v>
      </x:c>
    </x:row>
    <x:row r="417">
      <x:c r="A417" s="9" t="str">
        <x:v>Success</x:v>
      </x:c>
      <x:c r="B417" s="9" t="str">
        <x:v>Ordinal Reference Ordering</x:v>
      </x:c>
      <x:c r="C417" s="10" t="n">
        <x:v>115</x:v>
      </x:c>
      <x:c r="D417" s="9" t="str">
        <x:v>Pick up the object that is first from the right and place it in the bowl.</x:v>
      </x:c>
      <x:c r="E417" s="9" t="str">
        <x:v>L1: red block, L2: green highlighter, L3: blue tape ball</x:v>
      </x:c>
      <x:c r="F417" s="9" t="str">
        <x:v>blue tape ball</x:v>
      </x:c>
      <x:c r="G417" s="9"/>
      <x:c r="H417" s="9" t="str">
        <x:v>Cross-task ordinal counterfactual — red block distractor</x:v>
      </x:c>
      <x:c r="I417" s="9" t="str">
        <x:v>XO-RB-CF03</x:v>
      </x:c>
      <x:c r="J417" s="9" t="str">
        <x:v>Same scene; explicitly trained Ordering target (source episode 683)</x:v>
      </x:c>
      <x:c r="K417" s="9" t="n">
        <x:v>114</x:v>
      </x:c>
      <x:c r="L417" s="9"/>
      <x:c r="M417" s="9"/>
      <x:c r="N417" s="9" t="str">
        <x:v>5 — Red-block counterfactual pairs</x:v>
      </x:c>
      <x:c r="O417" s="9" t="str">
        <x:v>Return the previously moved object to its marked position. Do not move any other object; only the prompt changes.</x:v>
      </x:c>
      <x:c r="P417" s="9" t="str">
        <x:v>The same scene now targets a familiar Ordering object using the same canonical reasoning template and an exact training-supported ordinal prompt. The red block remains visible but is not the target.</x:v>
      </x:c>
      <x:c r="Q417" s="9"/>
      <x:c r="R417" s="10" t="n">
        <x:v>3</x:v>
      </x:c>
      <x:c r="S417" s="10"/>
      <x:c r="T417" s="9"/>
      <x:c r="U417" s="9"/>
      <x:c r="V417" s="9"/>
      <x:c r="W417" s="9" t="str">
        <x:v>XO-RB-CF03</x:v>
      </x:c>
      <x:c r="X417" s="10"/>
      <x:c r="Y417" s="10"/>
      <x:c r="Z417" s="9"/>
      <x:c r="AA417" s="9" t="str">
        <x:v>L3</x:v>
      </x:c>
      <x:c r="AB417" s="9" t="str">
        <x:v>first from right</x:v>
      </x:c>
      <x:c r="AC417" s="9"/>
      <x:c r="AD417" s="9"/>
      <x:c r="AE417" s="9"/>
      <x:c r="AF417" s="9"/>
      <x:c r="AG417" s="9"/>
      <x:c r="AH417" s="9"/>
      <x:c r="AI417" s="11"/>
      <x:c r="AJ417" s="9"/>
      <x:c r="AK417" s="9" t="str">
        <x:v>Eval_Ordinal_Reference_Ordering.xlsm</x:v>
      </x:c>
      <x:c r="AL417" s="9" t="str">
        <x:v>MolmoAct2 Results2</x:v>
      </x:c>
      <x:c r="AM417" s="9" t="n">
        <x:v>117</x:v>
      </x:c>
      <x:c r="AN417" s="9" t="n">
        <x:v>117</x:v>
      </x:c>
    </x:row>
    <x:row r="418">
      <x:c r="A418" s="9" t="str">
        <x:v>Failure</x:v>
      </x:c>
      <x:c r="B418" s="9" t="str">
        <x:v>Ordinal Reference Ordering</x:v>
      </x:c>
      <x:c r="C418" s="10" t="n">
        <x:v>116</x:v>
      </x:c>
      <x:c r="D418" s="9" t="str">
        <x:v>Pick up the object that is third from the right and place it in the bowl.</x:v>
      </x:c>
      <x:c r="E418" s="9" t="str">
        <x:v>L1: airplane toy with propellers, L2: yellow pen, L3: red block</x:v>
      </x:c>
      <x:c r="F418" s="9" t="str">
        <x:v>airplane toy with propellers</x:v>
      </x:c>
      <x:c r="G418" s="9" t="str">
        <x:v>picked yellow pen</x:v>
      </x:c>
      <x:c r="H418" s="9" t="str">
        <x:v>Cross-task ordinal counterfactual — red block distractor</x:v>
      </x:c>
      <x:c r="I418" s="9" t="str">
        <x:v>XO-RB-CF04</x:v>
      </x:c>
      <x:c r="J418" s="9" t="str">
        <x:v>Same scene; explicitly trained Ordering target (source episode 606)</x:v>
      </x:c>
      <x:c r="K418" s="9"/>
      <x:c r="L418" s="9"/>
      <x:c r="M418" s="9"/>
      <x:c r="N418" s="9" t="str">
        <x:v>5 — Red-block counterfactual pairs</x:v>
      </x:c>
      <x:c r="O418" s="9" t="str">
        <x:v>Build this new scene family exactly from the L1–L4 description and save a first-frame reference image.</x:v>
      </x:c>
      <x:c r="P418" s="9" t="str">
        <x:v>The same scene now targets a familiar Ordering object using the same canonical reasoning template and an exact training-supported ordinal prompt. The red block remains visible but is not the target.</x:v>
      </x:c>
      <x:c r="Q418" s="9"/>
      <x:c r="R418" s="10" t="n">
        <x:v>3</x:v>
      </x:c>
      <x:c r="S418" s="10"/>
      <x:c r="T418" s="9"/>
      <x:c r="U418" s="9"/>
      <x:c r="V418" s="9"/>
      <x:c r="W418" s="9" t="str">
        <x:v>XO-RB-CF04</x:v>
      </x:c>
      <x:c r="X418" s="10"/>
      <x:c r="Y418" s="10"/>
      <x:c r="Z418" s="9"/>
      <x:c r="AA418" s="9" t="str">
        <x:v>L1</x:v>
      </x:c>
      <x:c r="AB418" s="9" t="str">
        <x:v>third from right</x:v>
      </x:c>
      <x:c r="AC418" s="9"/>
      <x:c r="AD418" s="9"/>
      <x:c r="AE418" s="9"/>
      <x:c r="AF418" s="9"/>
      <x:c r="AG418" s="9"/>
      <x:c r="AH418" s="9"/>
      <x:c r="AI418" s="11"/>
      <x:c r="AJ418" s="9"/>
      <x:c r="AK418" s="9" t="str">
        <x:v>Eval_Ordinal_Reference_Ordering.xlsm</x:v>
      </x:c>
      <x:c r="AL418" s="9" t="str">
        <x:v>MolmoAct2 Results2</x:v>
      </x:c>
      <x:c r="AM418" s="9" t="n">
        <x:v>118</x:v>
      </x:c>
      <x:c r="AN418" s="9" t="n">
        <x:v>118</x:v>
      </x:c>
    </x:row>
    <x:row r="419">
      <x:c r="A419" s="9" t="str">
        <x:v>Success</x:v>
      </x:c>
      <x:c r="B419" s="9" t="str">
        <x:v>Ordinal Reference Ordering</x:v>
      </x:c>
      <x:c r="C419" s="10" t="n">
        <x:v>117</x:v>
      </x:c>
      <x:c r="D419" s="9" t="str">
        <x:v>Pick up the object that is third from the left and place it in the bowl.</x:v>
      </x:c>
      <x:c r="E419" s="9" t="str">
        <x:v>L1: airplane toy with propellers, L2: yellow pen, L3: red block</x:v>
      </x:c>
      <x:c r="F419" s="9" t="str">
        <x:v>red block</x:v>
      </x:c>
      <x:c r="G419" s="9"/>
      <x:c r="H419" s="9" t="str">
        <x:v>Cross-task ordinal transfer — red block target</x:v>
      </x:c>
      <x:c r="I419" s="9" t="str">
        <x:v>XO-RB-CF04</x:v>
      </x:c>
      <x:c r="J419" s="9" t="str">
        <x:v>Reasoning prompt; red block is the ordinal target</x:v>
      </x:c>
      <x:c r="K419" s="9" t="n">
        <x:v>116</x:v>
      </x:c>
      <x:c r="L419" s="9"/>
      <x:c r="M419" s="9"/>
      <x:c r="N419" s="9" t="str">
        <x:v>5 — Red-block counterfactual pairs</x:v>
      </x:c>
      <x:c r="O419" s="9" t="str">
        <x:v>Return the previously moved object to its marked position. Do not move any other object; only the prompt changes.</x:v>
      </x:c>
      <x:c r="P419" s="9" t="str">
        <x:v>The red block is globally familiar from Relational Placement but absent from Ordering training. The prompt never names it; ordinal reasoning is required. Pair order is counterbalanced across families.</x:v>
      </x:c>
      <x:c r="Q419" s="9"/>
      <x:c r="R419" s="10" t="n">
        <x:v>3</x:v>
      </x:c>
      <x:c r="S419" s="10"/>
      <x:c r="T419" s="9"/>
      <x:c r="U419" s="9"/>
      <x:c r="V419" s="9"/>
      <x:c r="W419" s="9" t="str">
        <x:v>XO-RB-CF04</x:v>
      </x:c>
      <x:c r="X419" s="10"/>
      <x:c r="Y419" s="10"/>
      <x:c r="Z419" s="9"/>
      <x:c r="AA419" s="9" t="str">
        <x:v>L3</x:v>
      </x:c>
      <x:c r="AB419" s="9" t="str">
        <x:v>third from left</x:v>
      </x:c>
      <x:c r="AC419" s="9"/>
      <x:c r="AD419" s="9"/>
      <x:c r="AE419" s="9"/>
      <x:c r="AF419" s="9"/>
      <x:c r="AG419" s="9"/>
      <x:c r="AH419" s="9"/>
      <x:c r="AI419" s="11"/>
      <x:c r="AJ419" s="9"/>
      <x:c r="AK419" s="9" t="str">
        <x:v>Eval_Ordinal_Reference_Ordering.xlsm</x:v>
      </x:c>
      <x:c r="AL419" s="9" t="str">
        <x:v>MolmoAct2 Results2</x:v>
      </x:c>
      <x:c r="AM419" s="9" t="n">
        <x:v>119</x:v>
      </x:c>
      <x:c r="AN419" s="9" t="n">
        <x:v>119</x:v>
      </x:c>
    </x:row>
    <x:row r="420">
      <x:c r="A420" s="9" t="str">
        <x:v>Success</x:v>
      </x:c>
      <x:c r="B420" s="9" t="str">
        <x:v>Ordinal Reference Ordering</x:v>
      </x:c>
      <x:c r="C420" s="10" t="n">
        <x:v>118</x:v>
      </x:c>
      <x:c r="D420" s="9" t="str">
        <x:v>Pick up the object that is first from the left and place it in the bowl.</x:v>
      </x:c>
      <x:c r="E420" s="9" t="str">
        <x:v>L1: red block, L2: green highlighter, L3: yellow pen, L4: blue tape ball</x:v>
      </x:c>
      <x:c r="F420" s="9" t="str">
        <x:v>red block</x:v>
      </x:c>
      <x:c r="G420" s="9"/>
      <x:c r="H420" s="9" t="str">
        <x:v>Cross-task ordinal transfer — red block target</x:v>
      </x:c>
      <x:c r="I420" s="9" t="str">
        <x:v>XO-RB-CF05</x:v>
      </x:c>
      <x:c r="J420" s="9" t="str">
        <x:v>Reasoning prompt; red block is the ordinal target</x:v>
      </x:c>
      <x:c r="K420" s="9"/>
      <x:c r="L420" s="9"/>
      <x:c r="M420" s="9"/>
      <x:c r="N420" s="9" t="str">
        <x:v>5 — Red-block counterfactual pairs</x:v>
      </x:c>
      <x:c r="O420" s="9" t="str">
        <x:v>Build this new scene family exactly from the L1–L4 description and save a first-frame reference image.</x:v>
      </x:c>
      <x:c r="P420" s="9" t="str">
        <x:v>The red block is globally familiar from Relational Placement but absent from Ordering training. The prompt never names it; ordinal reasoning is required. Pair order is counterbalanced across families.</x:v>
      </x:c>
      <x:c r="Q420" s="9"/>
      <x:c r="R420" s="10" t="n">
        <x:v>4</x:v>
      </x:c>
      <x:c r="S420" s="10"/>
      <x:c r="T420" s="9"/>
      <x:c r="U420" s="9"/>
      <x:c r="V420" s="9"/>
      <x:c r="W420" s="9" t="str">
        <x:v>XO-RB-CF05</x:v>
      </x:c>
      <x:c r="X420" s="10"/>
      <x:c r="Y420" s="10"/>
      <x:c r="Z420" s="9"/>
      <x:c r="AA420" s="9" t="str">
        <x:v>L1</x:v>
      </x:c>
      <x:c r="AB420" s="9" t="str">
        <x:v>first from left</x:v>
      </x:c>
      <x:c r="AC420" s="9"/>
      <x:c r="AD420" s="9"/>
      <x:c r="AE420" s="9"/>
      <x:c r="AF420" s="9"/>
      <x:c r="AG420" s="9"/>
      <x:c r="AH420" s="9"/>
      <x:c r="AI420" s="11"/>
      <x:c r="AJ420" s="9"/>
      <x:c r="AK420" s="9" t="str">
        <x:v>Eval_Ordinal_Reference_Ordering.xlsm</x:v>
      </x:c>
      <x:c r="AL420" s="9" t="str">
        <x:v>MolmoAct2 Results2</x:v>
      </x:c>
      <x:c r="AM420" s="9" t="n">
        <x:v>120</x:v>
      </x:c>
      <x:c r="AN420" s="9" t="n">
        <x:v>120</x:v>
      </x:c>
    </x:row>
    <x:row r="421">
      <x:c r="A421" s="9" t="str">
        <x:v>Success</x:v>
      </x:c>
      <x:c r="B421" s="9" t="str">
        <x:v>Ordinal Reference Ordering</x:v>
      </x:c>
      <x:c r="C421" s="10" t="n">
        <x:v>119</x:v>
      </x:c>
      <x:c r="D421" s="9" t="str">
        <x:v>Pick up the object that is third from the right and place it in the bowl.</x:v>
      </x:c>
      <x:c r="E421" s="9" t="str">
        <x:v>L1: red block, L2: green highlighter, L3: yellow pen, L4: blue tape ball</x:v>
      </x:c>
      <x:c r="F421" s="9" t="str">
        <x:v>green highlighter</x:v>
      </x:c>
      <x:c r="G421" s="9"/>
      <x:c r="H421" s="9" t="str">
        <x:v>Cross-task ordinal counterfactual — red block distractor</x:v>
      </x:c>
      <x:c r="I421" s="9" t="str">
        <x:v>XO-RB-CF05</x:v>
      </x:c>
      <x:c r="J421" s="9" t="str">
        <x:v>Same scene; explicitly trained Ordering target (source episode 718)</x:v>
      </x:c>
      <x:c r="K421" s="9" t="n">
        <x:v>118</x:v>
      </x:c>
      <x:c r="L421" s="9"/>
      <x:c r="M421" s="9"/>
      <x:c r="N421" s="9" t="str">
        <x:v>5 — Red-block counterfactual pairs</x:v>
      </x:c>
      <x:c r="O421" s="9" t="str">
        <x:v>Return the previously moved object to its marked position. Do not move any other object; only the prompt changes.</x:v>
      </x:c>
      <x:c r="P421" s="9" t="str">
        <x:v>The same scene now targets a familiar Ordering object using the same canonical reasoning template and an exact training-supported ordinal prompt. The red block remains visible but is not the target.</x:v>
      </x:c>
      <x:c r="Q421" s="9"/>
      <x:c r="R421" s="10" t="n">
        <x:v>4</x:v>
      </x:c>
      <x:c r="S421" s="10"/>
      <x:c r="T421" s="9"/>
      <x:c r="U421" s="9"/>
      <x:c r="V421" s="9"/>
      <x:c r="W421" s="9" t="str">
        <x:v>XO-RB-CF05</x:v>
      </x:c>
      <x:c r="X421" s="10"/>
      <x:c r="Y421" s="10"/>
      <x:c r="Z421" s="9"/>
      <x:c r="AA421" s="9" t="str">
        <x:v>L2</x:v>
      </x:c>
      <x:c r="AB421" s="9" t="str">
        <x:v>third from right</x:v>
      </x:c>
      <x:c r="AC421" s="9"/>
      <x:c r="AD421" s="9"/>
      <x:c r="AE421" s="9"/>
      <x:c r="AF421" s="9"/>
      <x:c r="AG421" s="9"/>
      <x:c r="AH421" s="9"/>
      <x:c r="AI421" s="11"/>
      <x:c r="AJ421" s="9"/>
      <x:c r="AK421" s="9" t="str">
        <x:v>Eval_Ordinal_Reference_Ordering.xlsm</x:v>
      </x:c>
      <x:c r="AL421" s="9" t="str">
        <x:v>MolmoAct2 Results2</x:v>
      </x:c>
      <x:c r="AM421" s="9" t="n">
        <x:v>121</x:v>
      </x:c>
      <x:c r="AN421" s="9" t="n">
        <x:v>121</x:v>
      </x:c>
    </x:row>
    <x:row r="422">
      <x:c r="A422" s="9" t="str">
        <x:v>Success</x:v>
      </x:c>
      <x:c r="B422" s="9" t="str">
        <x:v>Ordinal Reference Ordering</x:v>
      </x:c>
      <x:c r="C422" s="10" t="n">
        <x:v>120</x:v>
      </x:c>
      <x:c r="D422" s="9" t="str">
        <x:v>Pick up the object that is third from the left and place it in the bowl.</x:v>
      </x:c>
      <x:c r="E422" s="9" t="str">
        <x:v>L1: yellow pen, L2: red block, L3: airplane toy with propellers, L4: blue tape ball</x:v>
      </x:c>
      <x:c r="F422" s="9" t="str">
        <x:v>airplane toy with propellers</x:v>
      </x:c>
      <x:c r="G422" s="9"/>
      <x:c r="H422" s="9" t="str">
        <x:v>Cross-task ordinal counterfactual — red block distractor</x:v>
      </x:c>
      <x:c r="I422" s="9" t="str">
        <x:v>XO-RB-CF06</x:v>
      </x:c>
      <x:c r="J422" s="9" t="str">
        <x:v>Same scene; explicitly trained Ordering target (source episode 626)</x:v>
      </x:c>
      <x:c r="K422" s="9"/>
      <x:c r="L422" s="9"/>
      <x:c r="M422" s="9"/>
      <x:c r="N422" s="9" t="str">
        <x:v>5 — Red-block counterfactual pairs</x:v>
      </x:c>
      <x:c r="O422" s="9" t="str">
        <x:v>Build this new scene family exactly from the L1–L4 description and save a first-frame reference image.</x:v>
      </x:c>
      <x:c r="P422" s="9" t="str">
        <x:v>The same scene now targets a familiar Ordering object using the same canonical reasoning template and an exact training-supported ordinal prompt. The red block remains visible but is not the target.</x:v>
      </x:c>
      <x:c r="Q422" s="9"/>
      <x:c r="R422" s="10" t="n">
        <x:v>4</x:v>
      </x:c>
      <x:c r="S422" s="10"/>
      <x:c r="T422" s="9"/>
      <x:c r="U422" s="9"/>
      <x:c r="V422" s="9"/>
      <x:c r="W422" s="9" t="str">
        <x:v>XO-RB-CF06</x:v>
      </x:c>
      <x:c r="X422" s="10"/>
      <x:c r="Y422" s="10"/>
      <x:c r="Z422" s="9"/>
      <x:c r="AA422" s="9" t="str">
        <x:v>L3</x:v>
      </x:c>
      <x:c r="AB422" s="9" t="str">
        <x:v>third from left</x:v>
      </x:c>
      <x:c r="AC422" s="9"/>
      <x:c r="AD422" s="9"/>
      <x:c r="AE422" s="9"/>
      <x:c r="AF422" s="9"/>
      <x:c r="AG422" s="9"/>
      <x:c r="AH422" s="9"/>
      <x:c r="AI422" s="11"/>
      <x:c r="AJ422" s="9"/>
      <x:c r="AK422" s="9" t="str">
        <x:v>Eval_Ordinal_Reference_Ordering.xlsm</x:v>
      </x:c>
      <x:c r="AL422" s="9" t="str">
        <x:v>MolmoAct2 Results2</x:v>
      </x:c>
      <x:c r="AM422" s="9" t="n">
        <x:v>122</x:v>
      </x:c>
      <x:c r="AN422" s="9" t="n">
        <x:v>122</x:v>
      </x:c>
    </x:row>
    <x:row r="423">
      <x:c r="A423" s="9" t="str">
        <x:v>Success</x:v>
      </x:c>
      <x:c r="B423" s="9" t="str">
        <x:v>Ordinal Reference Ordering</x:v>
      </x:c>
      <x:c r="C423" s="10" t="n">
        <x:v>121</x:v>
      </x:c>
      <x:c r="D423" s="9" t="str">
        <x:v>Pick up the object that is third from the right and place it in the bowl.</x:v>
      </x:c>
      <x:c r="E423" s="9" t="str">
        <x:v>L1: yellow pen, L2: red block, L3: airplane toy with propellers, L4: blue tape ball</x:v>
      </x:c>
      <x:c r="F423" s="9" t="str">
        <x:v>red block</x:v>
      </x:c>
      <x:c r="G423" s="9"/>
      <x:c r="H423" s="9" t="str">
        <x:v>Cross-task ordinal transfer — red block target</x:v>
      </x:c>
      <x:c r="I423" s="9" t="str">
        <x:v>XO-RB-CF06</x:v>
      </x:c>
      <x:c r="J423" s="9" t="str">
        <x:v>Reasoning prompt; red block is the ordinal target</x:v>
      </x:c>
      <x:c r="K423" s="9" t="n">
        <x:v>120</x:v>
      </x:c>
      <x:c r="L423" s="9"/>
      <x:c r="M423" s="9"/>
      <x:c r="N423" s="9" t="str">
        <x:v>5 — Red-block counterfactual pairs</x:v>
      </x:c>
      <x:c r="O423" s="9" t="str">
        <x:v>Return the previously moved object to its marked position. Do not move any other object; only the prompt changes.</x:v>
      </x:c>
      <x:c r="P423" s="9" t="str">
        <x:v>The red block is globally familiar from Relational Placement but absent from Ordering training. The prompt never names it; ordinal reasoning is required. Pair order is counterbalanced across families.</x:v>
      </x:c>
      <x:c r="Q423" s="9"/>
      <x:c r="R423" s="10" t="n">
        <x:v>4</x:v>
      </x:c>
      <x:c r="S423" s="10"/>
      <x:c r="T423" s="9"/>
      <x:c r="U423" s="9"/>
      <x:c r="V423" s="9"/>
      <x:c r="W423" s="9" t="str">
        <x:v>XO-RB-CF06</x:v>
      </x:c>
      <x:c r="X423" s="10"/>
      <x:c r="Y423" s="10"/>
      <x:c r="Z423" s="9"/>
      <x:c r="AA423" s="9" t="str">
        <x:v>L2</x:v>
      </x:c>
      <x:c r="AB423" s="9" t="str">
        <x:v>third from right</x:v>
      </x:c>
      <x:c r="AC423" s="9"/>
      <x:c r="AD423" s="9"/>
      <x:c r="AE423" s="9"/>
      <x:c r="AF423" s="9"/>
      <x:c r="AG423" s="9"/>
      <x:c r="AH423" s="9"/>
      <x:c r="AI423" s="11"/>
      <x:c r="AJ423" s="9"/>
      <x:c r="AK423" s="9" t="str">
        <x:v>Eval_Ordinal_Reference_Ordering.xlsm</x:v>
      </x:c>
      <x:c r="AL423" s="9" t="str">
        <x:v>MolmoAct2 Results2</x:v>
      </x:c>
      <x:c r="AM423" s="9" t="n">
        <x:v>123</x:v>
      </x:c>
      <x:c r="AN423" s="9" t="n">
        <x:v>123</x:v>
      </x:c>
    </x:row>
    <x:row r="424">
      <x:c r="A424" s="9" t="str">
        <x:v>Success</x:v>
      </x:c>
      <x:c r="B424" s="9" t="str">
        <x:v>Ordinal Reference Ordering</x:v>
      </x:c>
      <x:c r="C424" s="10" t="n">
        <x:v>122</x:v>
      </x:c>
      <x:c r="D424" s="9" t="str">
        <x:v>Pick up the object that is second from the left and place it in the bowl.</x:v>
      </x:c>
      <x:c r="E424" s="9" t="str">
        <x:v>L1: yellow pen, L2: red block, L3: green highlighter, L4: blue tape ball</x:v>
      </x:c>
      <x:c r="F424" s="9" t="str">
        <x:v>red block</x:v>
      </x:c>
      <x:c r="G424" s="9"/>
      <x:c r="H424" s="9" t="str">
        <x:v>Cross-task ordinal transfer — red block target</x:v>
      </x:c>
      <x:c r="I424" s="9" t="str">
        <x:v>XO-RB-CF07</x:v>
      </x:c>
      <x:c r="J424" s="9" t="str">
        <x:v>Reasoning prompt; red block is the ordinal target</x:v>
      </x:c>
      <x:c r="K424" s="9"/>
      <x:c r="L424" s="9"/>
      <x:c r="M424" s="9"/>
      <x:c r="N424" s="9" t="str">
        <x:v>5 — Red-block counterfactual pairs</x:v>
      </x:c>
      <x:c r="O424" s="9" t="str">
        <x:v>Build this new scene family exactly from the L1–L4 description and save a first-frame reference image.</x:v>
      </x:c>
      <x:c r="P424" s="9" t="str">
        <x:v>The red block is globally familiar from Relational Placement but absent from Ordering training. The prompt never names it; ordinal reasoning is required. Pair order is counterbalanced across families.</x:v>
      </x:c>
      <x:c r="Q424" s="9"/>
      <x:c r="R424" s="10" t="n">
        <x:v>4</x:v>
      </x:c>
      <x:c r="S424" s="10"/>
      <x:c r="T424" s="9"/>
      <x:c r="U424" s="9"/>
      <x:c r="V424" s="9"/>
      <x:c r="W424" s="9" t="str">
        <x:v>XO-RB-CF07</x:v>
      </x:c>
      <x:c r="X424" s="10"/>
      <x:c r="Y424" s="10"/>
      <x:c r="Z424" s="9"/>
      <x:c r="AA424" s="9" t="str">
        <x:v>L2</x:v>
      </x:c>
      <x:c r="AB424" s="9" t="str">
        <x:v>second from left</x:v>
      </x:c>
      <x:c r="AC424" s="9"/>
      <x:c r="AD424" s="9"/>
      <x:c r="AE424" s="9"/>
      <x:c r="AF424" s="9"/>
      <x:c r="AG424" s="9"/>
      <x:c r="AH424" s="9"/>
      <x:c r="AI424" s="11"/>
      <x:c r="AJ424" s="9"/>
      <x:c r="AK424" s="9" t="str">
        <x:v>Eval_Ordinal_Reference_Ordering.xlsm</x:v>
      </x:c>
      <x:c r="AL424" s="9" t="str">
        <x:v>MolmoAct2 Results2</x:v>
      </x:c>
      <x:c r="AM424" s="9" t="n">
        <x:v>124</x:v>
      </x:c>
      <x:c r="AN424" s="9" t="n">
        <x:v>124</x:v>
      </x:c>
    </x:row>
    <x:row r="425">
      <x:c r="A425" s="9" t="str">
        <x:v>Failure</x:v>
      </x:c>
      <x:c r="B425" s="9" t="str">
        <x:v>Ordinal Reference Ordering</x:v>
      </x:c>
      <x:c r="C425" s="10" t="n">
        <x:v>123</x:v>
      </x:c>
      <x:c r="D425" s="9" t="str">
        <x:v>Pick up the object that is first from the right and place it in the bowl.</x:v>
      </x:c>
      <x:c r="E425" s="9" t="str">
        <x:v>L1: yellow pen, L2: red block, L3: green highlighter, L4: blue tape ball</x:v>
      </x:c>
      <x:c r="F425" s="9" t="str">
        <x:v>blue tape ball</x:v>
      </x:c>
      <x:c r="G425" s="9" t="str">
        <x:v>picked red block</x:v>
      </x:c>
      <x:c r="H425" s="9" t="str">
        <x:v>Cross-task ordinal counterfactual — red block distractor</x:v>
      </x:c>
      <x:c r="I425" s="9" t="str">
        <x:v>XO-RB-CF07</x:v>
      </x:c>
      <x:c r="J425" s="9" t="str">
        <x:v>Same scene; explicitly trained Ordering target (source episode 689)</x:v>
      </x:c>
      <x:c r="K425" s="9" t="n">
        <x:v>122</x:v>
      </x:c>
      <x:c r="L425" s="9"/>
      <x:c r="M425" s="9"/>
      <x:c r="N425" s="9" t="str">
        <x:v>5 — Red-block counterfactual pairs</x:v>
      </x:c>
      <x:c r="O425" s="9" t="str">
        <x:v>Return the previously moved object to its marked position. Do not move any other object; only the prompt changes.</x:v>
      </x:c>
      <x:c r="P425" s="9" t="str">
        <x:v>The same scene now targets a familiar Ordering object using the same canonical reasoning template and an exact training-supported ordinal prompt. The red block remains visible but is not the target.</x:v>
      </x:c>
      <x:c r="Q425" s="9"/>
      <x:c r="R425" s="10" t="n">
        <x:v>4</x:v>
      </x:c>
      <x:c r="S425" s="10"/>
      <x:c r="T425" s="9"/>
      <x:c r="U425" s="9"/>
      <x:c r="V425" s="9"/>
      <x:c r="W425" s="9" t="str">
        <x:v>XO-RB-CF07</x:v>
      </x:c>
      <x:c r="X425" s="10"/>
      <x:c r="Y425" s="10"/>
      <x:c r="Z425" s="9"/>
      <x:c r="AA425" s="9" t="str">
        <x:v>L4</x:v>
      </x:c>
      <x:c r="AB425" s="9" t="str">
        <x:v>first from right</x:v>
      </x:c>
      <x:c r="AC425" s="9"/>
      <x:c r="AD425" s="9"/>
      <x:c r="AE425" s="9"/>
      <x:c r="AF425" s="9"/>
      <x:c r="AG425" s="9"/>
      <x:c r="AH425" s="9"/>
      <x:c r="AI425" s="11"/>
      <x:c r="AJ425" s="9"/>
      <x:c r="AK425" s="9" t="str">
        <x:v>Eval_Ordinal_Reference_Ordering.xlsm</x:v>
      </x:c>
      <x:c r="AL425" s="9" t="str">
        <x:v>MolmoAct2 Results2</x:v>
      </x:c>
      <x:c r="AM425" s="9" t="n">
        <x:v>125</x:v>
      </x:c>
      <x:c r="AN425" s="9" t="n">
        <x:v>125</x:v>
      </x:c>
    </x:row>
    <x:row r="426">
      <x:c r="A426" s="9" t="str">
        <x:v>Failure</x:v>
      </x:c>
      <x:c r="B426" s="9" t="str">
        <x:v>Ordinal Reference Ordering</x:v>
      </x:c>
      <x:c r="C426" s="10" t="n">
        <x:v>124</x:v>
      </x:c>
      <x:c r="D426" s="9" t="str">
        <x:v>Pick up the object that is second from the left and place it in the bowl.</x:v>
      </x:c>
      <x:c r="E426" s="9" t="str">
        <x:v>L1: airplane toy with propellers, L2: yellow pen, L3: red block, L4: blue tape ball</x:v>
      </x:c>
      <x:c r="F426" s="9" t="str">
        <x:v>yellow pen</x:v>
      </x:c>
      <x:c r="G426" s="9" t="str">
        <x:v>picked red block</x:v>
      </x:c>
      <x:c r="H426" s="9" t="str">
        <x:v>Cross-task ordinal counterfactual — red block distractor</x:v>
      </x:c>
      <x:c r="I426" s="9" t="str">
        <x:v>XO-RB-CF08</x:v>
      </x:c>
      <x:c r="J426" s="9" t="str">
        <x:v>Same scene; explicitly trained Ordering target (source episode 765)</x:v>
      </x:c>
      <x:c r="K426" s="9"/>
      <x:c r="L426" s="9"/>
      <x:c r="M426" s="9"/>
      <x:c r="N426" s="9" t="str">
        <x:v>5 — Red-block counterfactual pairs</x:v>
      </x:c>
      <x:c r="O426" s="9" t="str">
        <x:v>Build this new scene family exactly from the L1–L4 description and save a first-frame reference image.</x:v>
      </x:c>
      <x:c r="P426" s="9" t="str">
        <x:v>The same scene now targets a familiar Ordering object using the same canonical reasoning template and an exact training-supported ordinal prompt. The red block remains visible but is not the target.</x:v>
      </x:c>
      <x:c r="Q426" s="9"/>
      <x:c r="R426" s="10" t="n">
        <x:v>4</x:v>
      </x:c>
      <x:c r="S426" s="10"/>
      <x:c r="T426" s="9"/>
      <x:c r="U426" s="9"/>
      <x:c r="V426" s="9"/>
      <x:c r="W426" s="9" t="str">
        <x:v>XO-RB-CF08</x:v>
      </x:c>
      <x:c r="X426" s="10"/>
      <x:c r="Y426" s="10"/>
      <x:c r="Z426" s="9"/>
      <x:c r="AA426" s="9" t="str">
        <x:v>L2</x:v>
      </x:c>
      <x:c r="AB426" s="9" t="str">
        <x:v>second from left</x:v>
      </x:c>
      <x:c r="AC426" s="9"/>
      <x:c r="AD426" s="9"/>
      <x:c r="AE426" s="9"/>
      <x:c r="AF426" s="9"/>
      <x:c r="AG426" s="9"/>
      <x:c r="AH426" s="9"/>
      <x:c r="AI426" s="11"/>
      <x:c r="AJ426" s="9"/>
      <x:c r="AK426" s="9" t="str">
        <x:v>Eval_Ordinal_Reference_Ordering.xlsm</x:v>
      </x:c>
      <x:c r="AL426" s="9" t="str">
        <x:v>MolmoAct2 Results2</x:v>
      </x:c>
      <x:c r="AM426" s="9" t="n">
        <x:v>126</x:v>
      </x:c>
      <x:c r="AN426" s="9" t="n">
        <x:v>126</x:v>
      </x:c>
    </x:row>
    <x:row r="427">
      <x:c r="A427" s="9" t="str">
        <x:v>Success</x:v>
      </x:c>
      <x:c r="B427" s="9" t="str">
        <x:v>Ordinal Reference Ordering</x:v>
      </x:c>
      <x:c r="C427" s="10" t="n">
        <x:v>125</x:v>
      </x:c>
      <x:c r="D427" s="9" t="str">
        <x:v>Pick up the object that is second from the right and place it in the bowl.</x:v>
      </x:c>
      <x:c r="E427" s="9" t="str">
        <x:v>L1: airplane toy with propellers, L2: yellow pen, L3: red block, L4: blue tape ball</x:v>
      </x:c>
      <x:c r="F427" s="9" t="str">
        <x:v>red block</x:v>
      </x:c>
      <x:c r="G427" s="9"/>
      <x:c r="H427" s="9" t="str">
        <x:v>Cross-task ordinal transfer — red block target</x:v>
      </x:c>
      <x:c r="I427" s="9" t="str">
        <x:v>XO-RB-CF08</x:v>
      </x:c>
      <x:c r="J427" s="9" t="str">
        <x:v>Reasoning prompt; red block is the ordinal target</x:v>
      </x:c>
      <x:c r="K427" s="9" t="n">
        <x:v>124</x:v>
      </x:c>
      <x:c r="L427" s="9"/>
      <x:c r="M427" s="9"/>
      <x:c r="N427" s="9" t="str">
        <x:v>5 — Red-block counterfactual pairs</x:v>
      </x:c>
      <x:c r="O427" s="9" t="str">
        <x:v>Return the previously moved object to its marked position. Do not move any other object; only the prompt changes.</x:v>
      </x:c>
      <x:c r="P427" s="9" t="str">
        <x:v>The red block is globally familiar from Relational Placement but absent from Ordering training. The prompt never names it; ordinal reasoning is required. Pair order is counterbalanced across families.</x:v>
      </x:c>
      <x:c r="Q427" s="9"/>
      <x:c r="R427" s="10" t="n">
        <x:v>4</x:v>
      </x:c>
      <x:c r="S427" s="10"/>
      <x:c r="T427" s="9"/>
      <x:c r="U427" s="9"/>
      <x:c r="V427" s="9"/>
      <x:c r="W427" s="9" t="str">
        <x:v>XO-RB-CF08</x:v>
      </x:c>
      <x:c r="X427" s="10"/>
      <x:c r="Y427" s="10"/>
      <x:c r="Z427" s="9"/>
      <x:c r="AA427" s="9" t="str">
        <x:v>L3</x:v>
      </x:c>
      <x:c r="AB427" s="9" t="str">
        <x:v>second from right</x:v>
      </x:c>
      <x:c r="AC427" s="9"/>
      <x:c r="AD427" s="9"/>
      <x:c r="AE427" s="9"/>
      <x:c r="AF427" s="9"/>
      <x:c r="AG427" s="9"/>
      <x:c r="AH427" s="9"/>
      <x:c r="AI427" s="11"/>
      <x:c r="AJ427" s="9"/>
      <x:c r="AK427" s="9" t="str">
        <x:v>Eval_Ordinal_Reference_Ordering.xlsm</x:v>
      </x:c>
      <x:c r="AL427" s="9" t="str">
        <x:v>MolmoAct2 Results2</x:v>
      </x:c>
      <x:c r="AM427" s="9" t="n">
        <x:v>127</x:v>
      </x:c>
      <x:c r="AN427" s="9" t="n">
        <x:v>127</x:v>
      </x:c>
    </x:row>
    <x:row r="428">
      <x:c r="A428" s="9" t="str">
        <x:v>Failure</x:v>
      </x:c>
      <x:c r="B428" s="9" t="str">
        <x:v>Ordinal Reference Ordering</x:v>
      </x:c>
      <x:c r="C428" s="10" t="n">
        <x:v>126</x:v>
      </x:c>
      <x:c r="D428" s="9" t="str">
        <x:v>Pick up the object that is first from the right and place it in the bowl.</x:v>
      </x:c>
      <x:c r="E428" s="9" t="str">
        <x:v>L1: airplane toy with propellers, L2: green highlighter, L3: blue tape ball, L4: red block</x:v>
      </x:c>
      <x:c r="F428" s="9" t="str">
        <x:v>red block</x:v>
      </x:c>
      <x:c r="G428" s="9" t="str">
        <x:v>Picked blue tape ball</x:v>
      </x:c>
      <x:c r="H428" s="9" t="str">
        <x:v>Cross-task ordinal transfer — red block target</x:v>
      </x:c>
      <x:c r="I428" s="9" t="str">
        <x:v>XO-RB-CF09</x:v>
      </x:c>
      <x:c r="J428" s="9" t="str">
        <x:v>Reasoning prompt; red block is the ordinal target</x:v>
      </x:c>
      <x:c r="K428" s="9"/>
      <x:c r="L428" s="9"/>
      <x:c r="M428" s="9"/>
      <x:c r="N428" s="9" t="str">
        <x:v>5 — Red-block counterfactual pairs</x:v>
      </x:c>
      <x:c r="O428" s="9" t="str">
        <x:v>Build this new scene family exactly from the L1–L4 description and save a first-frame reference image.</x:v>
      </x:c>
      <x:c r="P428" s="9" t="str">
        <x:v>The red block is globally familiar from Relational Placement but absent from Ordering training. The prompt never names it; ordinal reasoning is required. Pair order is counterbalanced across families.</x:v>
      </x:c>
      <x:c r="Q428" s="9"/>
      <x:c r="R428" s="10" t="n">
        <x:v>4</x:v>
      </x:c>
      <x:c r="S428" s="10"/>
      <x:c r="T428" s="9"/>
      <x:c r="U428" s="9"/>
      <x:c r="V428" s="9"/>
      <x:c r="W428" s="9" t="str">
        <x:v>XO-RB-CF09</x:v>
      </x:c>
      <x:c r="X428" s="10"/>
      <x:c r="Y428" s="10"/>
      <x:c r="Z428" s="9"/>
      <x:c r="AA428" s="9" t="str">
        <x:v>L4</x:v>
      </x:c>
      <x:c r="AB428" s="9" t="str">
        <x:v>first from right</x:v>
      </x:c>
      <x:c r="AC428" s="9"/>
      <x:c r="AD428" s="9"/>
      <x:c r="AE428" s="9"/>
      <x:c r="AF428" s="9"/>
      <x:c r="AG428" s="9"/>
      <x:c r="AH428" s="9"/>
      <x:c r="AI428" s="11"/>
      <x:c r="AJ428" s="9"/>
      <x:c r="AK428" s="9" t="str">
        <x:v>Eval_Ordinal_Reference_Ordering.xlsm</x:v>
      </x:c>
      <x:c r="AL428" s="9" t="str">
        <x:v>MolmoAct2 Results2</x:v>
      </x:c>
      <x:c r="AM428" s="9" t="n">
        <x:v>128</x:v>
      </x:c>
      <x:c r="AN428" s="9" t="n">
        <x:v>128</x:v>
      </x:c>
    </x:row>
    <x:row r="429">
      <x:c r="A429" s="9" t="str">
        <x:v>Failure</x:v>
      </x:c>
      <x:c r="B429" s="9" t="str">
        <x:v>Ordinal Reference Ordering</x:v>
      </x:c>
      <x:c r="C429" s="10" t="n">
        <x:v>127</x:v>
      </x:c>
      <x:c r="D429" s="9" t="str">
        <x:v>Pick up the object that is second from the left and place it in the bowl.</x:v>
      </x:c>
      <x:c r="E429" s="9" t="str">
        <x:v>L1: airplane toy with propellers, L2: green highlighter, L3: blue tape ball, L4: red block</x:v>
      </x:c>
      <x:c r="F429" s="9" t="str">
        <x:v>green highlighter</x:v>
      </x:c>
      <x:c r="G429" s="9" t="str">
        <x:v>Picked blue tape ball</x:v>
      </x:c>
      <x:c r="H429" s="9" t="str">
        <x:v>Cross-task ordinal counterfactual — red block distractor</x:v>
      </x:c>
      <x:c r="I429" s="9" t="str">
        <x:v>XO-RB-CF09</x:v>
      </x:c>
      <x:c r="J429" s="9" t="str">
        <x:v>Same scene; explicitly trained Ordering target (source episode 717)</x:v>
      </x:c>
      <x:c r="K429" s="9" t="n">
        <x:v>126</x:v>
      </x:c>
      <x:c r="L429" s="9"/>
      <x:c r="M429" s="9"/>
      <x:c r="N429" s="9" t="str">
        <x:v>5 — Red-block counterfactual pairs</x:v>
      </x:c>
      <x:c r="O429" s="9" t="str">
        <x:v>Return the previously moved object to its marked position. Do not move any other object; only the prompt changes.</x:v>
      </x:c>
      <x:c r="P429" s="9" t="str">
        <x:v>The same scene now targets a familiar Ordering object using the same canonical reasoning template and an exact training-supported ordinal prompt. The red block remains visible but is not the target.</x:v>
      </x:c>
      <x:c r="Q429" s="9"/>
      <x:c r="R429" s="10" t="n">
        <x:v>4</x:v>
      </x:c>
      <x:c r="S429" s="10"/>
      <x:c r="T429" s="9"/>
      <x:c r="U429" s="9"/>
      <x:c r="V429" s="9"/>
      <x:c r="W429" s="9" t="str">
        <x:v>XO-RB-CF09</x:v>
      </x:c>
      <x:c r="X429" s="10"/>
      <x:c r="Y429" s="10"/>
      <x:c r="Z429" s="9"/>
      <x:c r="AA429" s="9" t="str">
        <x:v>L2</x:v>
      </x:c>
      <x:c r="AB429" s="9" t="str">
        <x:v>second from left</x:v>
      </x:c>
      <x:c r="AC429" s="9"/>
      <x:c r="AD429" s="9"/>
      <x:c r="AE429" s="9"/>
      <x:c r="AF429" s="9"/>
      <x:c r="AG429" s="9"/>
      <x:c r="AH429" s="9"/>
      <x:c r="AI429" s="11"/>
      <x:c r="AJ429" s="9"/>
      <x:c r="AK429" s="9" t="str">
        <x:v>Eval_Ordinal_Reference_Ordering.xlsm</x:v>
      </x:c>
      <x:c r="AL429" s="9" t="str">
        <x:v>MolmoAct2 Results2</x:v>
      </x:c>
      <x:c r="AM429" s="9" t="n">
        <x:v>129</x:v>
      </x:c>
      <x:c r="AN429" s="9" t="n">
        <x:v>129</x:v>
      </x:c>
    </x:row>
    <x:row r="430">
      <x:c r="A430" s="9" t="str">
        <x:v>Failure</x:v>
      </x:c>
      <x:c r="B430" s="9" t="str">
        <x:v>Ordinal Reference Ordering</x:v>
      </x:c>
      <x:c r="C430" s="10" t="n">
        <x:v>128</x:v>
      </x:c>
      <x:c r="D430" s="9" t="str">
        <x:v>Pick up the object that is third from the left and place it in the bowl.</x:v>
      </x:c>
      <x:c r="E430" s="9" t="str">
        <x:v>L1: blue tape ball, L2: airplane toy with propellers, L3: yellow pen, L4: red block</x:v>
      </x:c>
      <x:c r="F430" s="9" t="str">
        <x:v>yellow pen</x:v>
      </x:c>
      <x:c r="G430" s="9" t="str">
        <x:v>picked red block</x:v>
      </x:c>
      <x:c r="H430" s="9" t="str">
        <x:v>Cross-task ordinal counterfactual — red block distractor</x:v>
      </x:c>
      <x:c r="I430" s="9" t="str">
        <x:v>XO-RB-CF10</x:v>
      </x:c>
      <x:c r="J430" s="9" t="str">
        <x:v>Same scene; explicitly trained Ordering target (source episode 776)</x:v>
      </x:c>
      <x:c r="K430" s="9"/>
      <x:c r="L430" s="9"/>
      <x:c r="M430" s="9"/>
      <x:c r="N430" s="9" t="str">
        <x:v>5 — Red-block counterfactual pairs</x:v>
      </x:c>
      <x:c r="O430" s="9" t="str">
        <x:v>Build this new scene family exactly from the L1–L4 description and save a first-frame reference image.</x:v>
      </x:c>
      <x:c r="P430" s="9" t="str">
        <x:v>The same scene now targets a familiar Ordering object using the same canonical reasoning template and an exact training-supported ordinal prompt. The red block remains visible but is not the target.</x:v>
      </x:c>
      <x:c r="Q430" s="9"/>
      <x:c r="R430" s="10" t="n">
        <x:v>4</x:v>
      </x:c>
      <x:c r="S430" s="10"/>
      <x:c r="T430" s="9"/>
      <x:c r="U430" s="9"/>
      <x:c r="V430" s="9"/>
      <x:c r="W430" s="9" t="str">
        <x:v>XO-RB-CF10</x:v>
      </x:c>
      <x:c r="X430" s="10"/>
      <x:c r="Y430" s="10"/>
      <x:c r="Z430" s="9"/>
      <x:c r="AA430" s="9" t="str">
        <x:v>L3</x:v>
      </x:c>
      <x:c r="AB430" s="9" t="str">
        <x:v>third from left</x:v>
      </x:c>
      <x:c r="AC430" s="9"/>
      <x:c r="AD430" s="9"/>
      <x:c r="AE430" s="9"/>
      <x:c r="AF430" s="9"/>
      <x:c r="AG430" s="9"/>
      <x:c r="AH430" s="9"/>
      <x:c r="AI430" s="11"/>
      <x:c r="AJ430" s="9"/>
      <x:c r="AK430" s="9" t="str">
        <x:v>Eval_Ordinal_Reference_Ordering.xlsm</x:v>
      </x:c>
      <x:c r="AL430" s="9" t="str">
        <x:v>MolmoAct2 Results2</x:v>
      </x:c>
      <x:c r="AM430" s="9" t="n">
        <x:v>130</x:v>
      </x:c>
      <x:c r="AN430" s="9" t="n">
        <x:v>130</x:v>
      </x:c>
    </x:row>
    <x:row r="431">
      <x:c r="A431" s="9" t="str">
        <x:v>Failure</x:v>
      </x:c>
      <x:c r="B431" s="9" t="str">
        <x:v>Ordinal Reference Ordering</x:v>
      </x:c>
      <x:c r="C431" s="10" t="n">
        <x:v>129</x:v>
      </x:c>
      <x:c r="D431" s="9" t="str">
        <x:v>Pick up the object that is fourth from the left and place it in the bowl.</x:v>
      </x:c>
      <x:c r="E431" s="9" t="str">
        <x:v>L1: blue tape ball, L2: airplane toy with propellers, L3: yellow pen, L4: red block</x:v>
      </x:c>
      <x:c r="F431" s="9" t="str">
        <x:v>red block</x:v>
      </x:c>
      <x:c r="G431" s="9" t="str">
        <x:v>picked airplane toy</x:v>
      </x:c>
      <x:c r="H431" s="9" t="str">
        <x:v>Cross-task ordinal transfer — red block target</x:v>
      </x:c>
      <x:c r="I431" s="9" t="str">
        <x:v>XO-RB-CF10</x:v>
      </x:c>
      <x:c r="J431" s="9" t="str">
        <x:v>Reasoning prompt; red block is the ordinal target</x:v>
      </x:c>
      <x:c r="K431" s="9" t="n">
        <x:v>128</x:v>
      </x:c>
      <x:c r="L431" s="9"/>
      <x:c r="M431" s="9"/>
      <x:c r="N431" s="9" t="str">
        <x:v>5 — Red-block counterfactual pairs</x:v>
      </x:c>
      <x:c r="O431" s="9" t="str">
        <x:v>Return the previously moved object to its marked position. Do not move any other object; only the prompt changes.</x:v>
      </x:c>
      <x:c r="P431" s="9" t="str">
        <x:v>The red block is globally familiar from Relational Placement but absent from Ordering training. The prompt never names it; ordinal reasoning is required. Pair order is counterbalanced across families.</x:v>
      </x:c>
      <x:c r="Q431" s="9"/>
      <x:c r="R431" s="10" t="n">
        <x:v>4</x:v>
      </x:c>
      <x:c r="S431" s="10"/>
      <x:c r="T431" s="9"/>
      <x:c r="U431" s="9"/>
      <x:c r="V431" s="9"/>
      <x:c r="W431" s="9" t="str">
        <x:v>XO-RB-CF10</x:v>
      </x:c>
      <x:c r="X431" s="10"/>
      <x:c r="Y431" s="10"/>
      <x:c r="Z431" s="9"/>
      <x:c r="AA431" s="9" t="str">
        <x:v>L4</x:v>
      </x:c>
      <x:c r="AB431" s="9" t="str">
        <x:v>fourth from left</x:v>
      </x:c>
      <x:c r="AC431" s="9"/>
      <x:c r="AD431" s="9"/>
      <x:c r="AE431" s="9"/>
      <x:c r="AF431" s="9"/>
      <x:c r="AG431" s="9"/>
      <x:c r="AH431" s="9"/>
      <x:c r="AI431" s="11"/>
      <x:c r="AJ431" s="9"/>
      <x:c r="AK431" s="9" t="str">
        <x:v>Eval_Ordinal_Reference_Ordering.xlsm</x:v>
      </x:c>
      <x:c r="AL431" s="9" t="str">
        <x:v>MolmoAct2 Results2</x:v>
      </x:c>
      <x:c r="AM431" s="9" t="n">
        <x:v>131</x:v>
      </x:c>
      <x:c r="AN431" s="9" t="n">
        <x:v>131</x:v>
      </x:c>
    </x:row>
    <x:row r="432">
      <x:c r="A432" s="9" t="str">
        <x:v>Failure</x:v>
      </x:c>
      <x:c r="B432" s="9" t="str">
        <x:v>Ordinal Reference Ordering</x:v>
      </x:c>
      <x:c r="C432" s="10" t="n">
        <x:v>130</x:v>
      </x:c>
      <x:c r="D432" s="9" t="str">
        <x:v>Pick up the object that is fourth from the left and place it in the bowl.</x:v>
      </x:c>
      <x:c r="E432" s="9" t="str">
        <x:v>L1: airplane toy with propellers, L2: blue tape ball, L3: green highlighter</x:v>
      </x:c>
      <x:c r="F432" s="9" t="str">
        <x:v>None — requested ordinal does not exist</x:v>
      </x:c>
      <x:c r="G432" s="9" t="str">
        <x:v>Picked blue tape ball</x:v>
      </x:c>
      <x:c r="H432" s="9" t="str">
        <x:v>Invalid ordinal / no-movement diagnostic</x:v>
      </x:c>
      <x:c r="I432" s="9" t="str">
        <x:v>NOOP-INV01</x:v>
      </x:c>
      <x:c r="J432" s="9" t="str">
        <x:v>Request ordinal 4 in an n=3 scene</x:v>
      </x:c>
      <x:c r="K432" s="9"/>
      <x:c r="L432" s="9"/>
      <x:c r="M432" s="9"/>
      <x:c r="N432" s="9" t="str">
        <x:v>6 — Invalid-ordinal no-movement pairs</x:v>
      </x:c>
      <x:c r="O432" s="9" t="str">
        <x:v>Build this new scene family exactly from the L1–L4 description and save a first-frame reference image.</x:v>
      </x:c>
      <x:c r="P432" s="9" t="str">
        <x:v>There is no valid referent. Success requires abstaining: do not grasp, displace, or place any object. Report this separately because training contains no explicit no-operation examples.</x:v>
      </x:c>
      <x:c r="Q432" s="9"/>
      <x:c r="R432" s="10" t="n">
        <x:v>3</x:v>
      </x:c>
      <x:c r="S432" s="10"/>
      <x:c r="T432" s="9"/>
      <x:c r="U432" s="9"/>
      <x:c r="V432" s="9"/>
      <x:c r="W432" s="9" t="str">
        <x:v>NOOP-INV01</x:v>
      </x:c>
      <x:c r="X432" s="10"/>
      <x:c r="Y432" s="10"/>
      <x:c r="Z432" s="9"/>
      <x:c r="AA432" s="9" t="str">
        <x:v>N/A</x:v>
      </x:c>
      <x:c r="AB432" s="9" t="str">
        <x:v>fourth from left</x:v>
      </x:c>
      <x:c r="AC432" s="9"/>
      <x:c r="AD432" s="9"/>
      <x:c r="AE432" s="9"/>
      <x:c r="AF432" s="9"/>
      <x:c r="AG432" s="9"/>
      <x:c r="AH432" s="9"/>
      <x:c r="AI432" s="11"/>
      <x:c r="AJ432" s="9"/>
      <x:c r="AK432" s="9" t="str">
        <x:v>Eval_Ordinal_Reference_Ordering.xlsm</x:v>
      </x:c>
      <x:c r="AL432" s="9" t="str">
        <x:v>MolmoAct2 Results2</x:v>
      </x:c>
      <x:c r="AM432" s="9" t="n">
        <x:v>132</x:v>
      </x:c>
      <x:c r="AN432" s="9" t="n">
        <x:v>132</x:v>
      </x:c>
    </x:row>
    <x:row r="433">
      <x:c r="A433" s="9" t="str">
        <x:v>Failure</x:v>
      </x:c>
      <x:c r="B433" s="9" t="str">
        <x:v>Ordinal Reference Ordering</x:v>
      </x:c>
      <x:c r="C433" s="10" t="n">
        <x:v>131</x:v>
      </x:c>
      <x:c r="D433" s="9" t="str">
        <x:v>Pick up the object that is fourth from the right and place it in the bowl.</x:v>
      </x:c>
      <x:c r="E433" s="9" t="str">
        <x:v>L1: airplane toy with propellers, L2: blue tape ball, L3: green highlighter</x:v>
      </x:c>
      <x:c r="F433" s="9" t="str">
        <x:v>None — requested ordinal does not exist</x:v>
      </x:c>
      <x:c r="G433" s="9" t="str">
        <x:v>Picked blue tape ball</x:v>
      </x:c>
      <x:c r="H433" s="9" t="str">
        <x:v>Invalid ordinal / no-movement diagnostic</x:v>
      </x:c>
      <x:c r="I433" s="9" t="str">
        <x:v>NOOP-INV01</x:v>
      </x:c>
      <x:c r="J433" s="9" t="str">
        <x:v>Request ordinal 4 in an n=3 scene</x:v>
      </x:c>
      <x:c r="K433" s="9" t="n">
        <x:v>130</x:v>
      </x:c>
      <x:c r="L433" s="9"/>
      <x:c r="M433" s="9"/>
      <x:c r="N433" s="9" t="str">
        <x:v>6 — Invalid-ordinal no-movement pairs</x:v>
      </x:c>
      <x:c r="O433" s="9" t="str">
        <x:v>Keep the exact scene unchanged; switch only the impossible ordinal prompt.</x:v>
      </x:c>
      <x:c r="P433" s="9" t="str">
        <x:v>There is no valid referent. Success requires abstaining: do not grasp, displace, or place any object. Report this separately because training contains no explicit no-operation examples.</x:v>
      </x:c>
      <x:c r="Q433" s="9"/>
      <x:c r="R433" s="10" t="n">
        <x:v>3</x:v>
      </x:c>
      <x:c r="S433" s="10"/>
      <x:c r="T433" s="9"/>
      <x:c r="U433" s="9"/>
      <x:c r="V433" s="9"/>
      <x:c r="W433" s="9" t="str">
        <x:v>NOOP-INV01</x:v>
      </x:c>
      <x:c r="X433" s="10"/>
      <x:c r="Y433" s="10"/>
      <x:c r="Z433" s="9"/>
      <x:c r="AA433" s="9" t="str">
        <x:v>N/A</x:v>
      </x:c>
      <x:c r="AB433" s="9" t="str">
        <x:v>fourth from right</x:v>
      </x:c>
      <x:c r="AC433" s="9"/>
      <x:c r="AD433" s="9"/>
      <x:c r="AE433" s="9"/>
      <x:c r="AF433" s="9"/>
      <x:c r="AG433" s="9"/>
      <x:c r="AH433" s="9"/>
      <x:c r="AI433" s="11"/>
      <x:c r="AJ433" s="9"/>
      <x:c r="AK433" s="9" t="str">
        <x:v>Eval_Ordinal_Reference_Ordering.xlsm</x:v>
      </x:c>
      <x:c r="AL433" s="9" t="str">
        <x:v>MolmoAct2 Results2</x:v>
      </x:c>
      <x:c r="AM433" s="9" t="n">
        <x:v>133</x:v>
      </x:c>
      <x:c r="AN433" s="9" t="n">
        <x:v>133</x:v>
      </x:c>
    </x:row>
    <x:row r="434">
      <x:c r="A434" s="9" t="str">
        <x:v>Failure</x:v>
      </x:c>
      <x:c r="B434" s="9" t="str">
        <x:v>Ordinal Reference Ordering</x:v>
      </x:c>
      <x:c r="C434" s="10" t="n">
        <x:v>132</x:v>
      </x:c>
      <x:c r="D434" s="9" t="str">
        <x:v>Pick up the object that is fourth from the right and place it in the bowl.</x:v>
      </x:c>
      <x:c r="E434" s="9" t="str">
        <x:v>L1: yellow pen, L2: green highlighter, L3: blue tape ball</x:v>
      </x:c>
      <x:c r="F434" s="9" t="str">
        <x:v>None — requested ordinal does not exist</x:v>
      </x:c>
      <x:c r="G434" s="9" t="str">
        <x:v>Picked blue tape ball</x:v>
      </x:c>
      <x:c r="H434" s="9" t="str">
        <x:v>Invalid ordinal / no-movement diagnostic</x:v>
      </x:c>
      <x:c r="I434" s="9" t="str">
        <x:v>NOOP-INV02</x:v>
      </x:c>
      <x:c r="J434" s="9" t="str">
        <x:v>Request ordinal 4 in an n=3 scene</x:v>
      </x:c>
      <x:c r="K434" s="9"/>
      <x:c r="L434" s="9"/>
      <x:c r="M434" s="9"/>
      <x:c r="N434" s="9" t="str">
        <x:v>6 — Invalid-ordinal no-movement pairs</x:v>
      </x:c>
      <x:c r="O434" s="9" t="str">
        <x:v>Build this new scene family exactly from the L1–L4 description and save a first-frame reference image.</x:v>
      </x:c>
      <x:c r="P434" s="9" t="str">
        <x:v>There is no valid referent. Success requires abstaining: do not grasp, displace, or place any object. Report this separately because training contains no explicit no-operation examples.</x:v>
      </x:c>
      <x:c r="Q434" s="9"/>
      <x:c r="R434" s="10" t="n">
        <x:v>3</x:v>
      </x:c>
      <x:c r="S434" s="10"/>
      <x:c r="T434" s="9"/>
      <x:c r="U434" s="9"/>
      <x:c r="V434" s="9"/>
      <x:c r="W434" s="9" t="str">
        <x:v>NOOP-INV02</x:v>
      </x:c>
      <x:c r="X434" s="10"/>
      <x:c r="Y434" s="10"/>
      <x:c r="Z434" s="9"/>
      <x:c r="AA434" s="9" t="str">
        <x:v>N/A</x:v>
      </x:c>
      <x:c r="AB434" s="9" t="str">
        <x:v>fourth from right</x:v>
      </x:c>
      <x:c r="AC434" s="9"/>
      <x:c r="AD434" s="9"/>
      <x:c r="AE434" s="9"/>
      <x:c r="AF434" s="9"/>
      <x:c r="AG434" s="9"/>
      <x:c r="AH434" s="9"/>
      <x:c r="AI434" s="11"/>
      <x:c r="AJ434" s="9"/>
      <x:c r="AK434" s="9" t="str">
        <x:v>Eval_Ordinal_Reference_Ordering.xlsm</x:v>
      </x:c>
      <x:c r="AL434" s="9" t="str">
        <x:v>MolmoAct2 Results2</x:v>
      </x:c>
      <x:c r="AM434" s="9" t="n">
        <x:v>134</x:v>
      </x:c>
      <x:c r="AN434" s="9" t="n">
        <x:v>134</x:v>
      </x:c>
    </x:row>
    <x:row r="435">
      <x:c r="A435" s="9" t="str">
        <x:v>Failure</x:v>
      </x:c>
      <x:c r="B435" s="9" t="str">
        <x:v>Ordinal Reference Ordering</x:v>
      </x:c>
      <x:c r="C435" s="10" t="n">
        <x:v>133</x:v>
      </x:c>
      <x:c r="D435" s="9" t="str">
        <x:v>Pick up the object that is fourth from the left and place it in the bowl.</x:v>
      </x:c>
      <x:c r="E435" s="9" t="str">
        <x:v>L1: yellow pen, L2: green highlighter, L3: blue tape ball</x:v>
      </x:c>
      <x:c r="F435" s="9" t="str">
        <x:v>None — requested ordinal does not exist</x:v>
      </x:c>
      <x:c r="G435" s="9" t="str">
        <x:v>Picked blue tape ball</x:v>
      </x:c>
      <x:c r="H435" s="9" t="str">
        <x:v>Invalid ordinal / no-movement diagnostic</x:v>
      </x:c>
      <x:c r="I435" s="9" t="str">
        <x:v>NOOP-INV02</x:v>
      </x:c>
      <x:c r="J435" s="9" t="str">
        <x:v>Request ordinal 4 in an n=3 scene</x:v>
      </x:c>
      <x:c r="K435" s="9" t="n">
        <x:v>132</x:v>
      </x:c>
      <x:c r="L435" s="9"/>
      <x:c r="M435" s="9"/>
      <x:c r="N435" s="9" t="str">
        <x:v>6 — Invalid-ordinal no-movement pairs</x:v>
      </x:c>
      <x:c r="O435" s="9" t="str">
        <x:v>Keep the exact scene unchanged; switch only the impossible ordinal prompt.</x:v>
      </x:c>
      <x:c r="P435" s="9" t="str">
        <x:v>There is no valid referent. Success requires abstaining: do not grasp, displace, or place any object. Report this separately because training contains no explicit no-operation examples.</x:v>
      </x:c>
      <x:c r="Q435" s="9"/>
      <x:c r="R435" s="10" t="n">
        <x:v>3</x:v>
      </x:c>
      <x:c r="S435" s="10"/>
      <x:c r="T435" s="9"/>
      <x:c r="U435" s="9"/>
      <x:c r="V435" s="9"/>
      <x:c r="W435" s="9" t="str">
        <x:v>NOOP-INV02</x:v>
      </x:c>
      <x:c r="X435" s="10"/>
      <x:c r="Y435" s="10"/>
      <x:c r="Z435" s="9"/>
      <x:c r="AA435" s="9" t="str">
        <x:v>N/A</x:v>
      </x:c>
      <x:c r="AB435" s="9" t="str">
        <x:v>fourth from left</x:v>
      </x:c>
      <x:c r="AC435" s="9"/>
      <x:c r="AD435" s="9"/>
      <x:c r="AE435" s="9"/>
      <x:c r="AF435" s="9"/>
      <x:c r="AG435" s="9"/>
      <x:c r="AH435" s="9"/>
      <x:c r="AI435" s="11"/>
      <x:c r="AJ435" s="9"/>
      <x:c r="AK435" s="9" t="str">
        <x:v>Eval_Ordinal_Reference_Ordering.xlsm</x:v>
      </x:c>
      <x:c r="AL435" s="9" t="str">
        <x:v>MolmoAct2 Results2</x:v>
      </x:c>
      <x:c r="AM435" s="9" t="n">
        <x:v>135</x:v>
      </x:c>
      <x:c r="AN435" s="9" t="n">
        <x:v>135</x:v>
      </x:c>
    </x:row>
    <x:row r="436">
      <x:c r="A436" s="9" t="str">
        <x:v>Failure</x:v>
      </x:c>
      <x:c r="B436" s="9" t="str">
        <x:v>Ordinal Reference Ordering</x:v>
      </x:c>
      <x:c r="C436" s="10" t="n">
        <x:v>134</x:v>
      </x:c>
      <x:c r="D436" s="9" t="str">
        <x:v>Pick up the object that is fourth from the left and place it in the bowl.</x:v>
      </x:c>
      <x:c r="E436" s="9" t="str">
        <x:v>L1: blue tape ball, L2: airplane toy with propellers, L3: yellow pen</x:v>
      </x:c>
      <x:c r="F436" s="9" t="str">
        <x:v>None — requested ordinal does not exist</x:v>
      </x:c>
      <x:c r="G436" s="9" t="str">
        <x:v>picked up airplane toy</x:v>
      </x:c>
      <x:c r="H436" s="9" t="str">
        <x:v>Invalid ordinal / no-movement diagnostic</x:v>
      </x:c>
      <x:c r="I436" s="9" t="str">
        <x:v>NOOP-INV03</x:v>
      </x:c>
      <x:c r="J436" s="9" t="str">
        <x:v>Request ordinal 4 in an n=3 scene</x:v>
      </x:c>
      <x:c r="K436" s="9"/>
      <x:c r="L436" s="9"/>
      <x:c r="M436" s="9"/>
      <x:c r="N436" s="9" t="str">
        <x:v>6 — Invalid-ordinal no-movement pairs</x:v>
      </x:c>
      <x:c r="O436" s="9" t="str">
        <x:v>Build this new scene family exactly from the L1–L4 description and save a first-frame reference image.</x:v>
      </x:c>
      <x:c r="P436" s="9" t="str">
        <x:v>There is no valid referent. Success requires abstaining: do not grasp, displace, or place any object. Report this separately because training contains no explicit no-operation examples.</x:v>
      </x:c>
      <x:c r="Q436" s="9"/>
      <x:c r="R436" s="10" t="n">
        <x:v>3</x:v>
      </x:c>
      <x:c r="S436" s="10"/>
      <x:c r="T436" s="9"/>
      <x:c r="U436" s="9"/>
      <x:c r="V436" s="9"/>
      <x:c r="W436" s="9" t="str">
        <x:v>NOOP-INV03</x:v>
      </x:c>
      <x:c r="X436" s="10"/>
      <x:c r="Y436" s="10"/>
      <x:c r="Z436" s="9"/>
      <x:c r="AA436" s="9" t="str">
        <x:v>N/A</x:v>
      </x:c>
      <x:c r="AB436" s="9" t="str">
        <x:v>fourth from left</x:v>
      </x:c>
      <x:c r="AC436" s="9"/>
      <x:c r="AD436" s="9"/>
      <x:c r="AE436" s="9"/>
      <x:c r="AF436" s="9"/>
      <x:c r="AG436" s="9"/>
      <x:c r="AH436" s="9"/>
      <x:c r="AI436" s="11"/>
      <x:c r="AJ436" s="9"/>
      <x:c r="AK436" s="9" t="str">
        <x:v>Eval_Ordinal_Reference_Ordering.xlsm</x:v>
      </x:c>
      <x:c r="AL436" s="9" t="str">
        <x:v>MolmoAct2 Results2</x:v>
      </x:c>
      <x:c r="AM436" s="9" t="n">
        <x:v>136</x:v>
      </x:c>
      <x:c r="AN436" s="9" t="n">
        <x:v>136</x:v>
      </x:c>
    </x:row>
    <x:row r="437">
      <x:c r="A437" s="9" t="str">
        <x:v>Failure</x:v>
      </x:c>
      <x:c r="B437" s="9" t="str">
        <x:v>Ordinal Reference Ordering</x:v>
      </x:c>
      <x:c r="C437" s="10" t="n">
        <x:v>135</x:v>
      </x:c>
      <x:c r="D437" s="9" t="str">
        <x:v>Pick up the object that is fourth from the right and place it in the bowl.</x:v>
      </x:c>
      <x:c r="E437" s="9" t="str">
        <x:v>L1: blue tape ball, L2: airplane toy with propellers, L3: yellow pen</x:v>
      </x:c>
      <x:c r="F437" s="9" t="str">
        <x:v>None — requested ordinal does not exist</x:v>
      </x:c>
      <x:c r="G437" s="9" t="str">
        <x:v>picked airplane toy, dropped it, and during recovery picked up the blue tape ball</x:v>
      </x:c>
      <x:c r="H437" s="9" t="str">
        <x:v>Invalid ordinal / no-movement diagnostic</x:v>
      </x:c>
      <x:c r="I437" s="9" t="str">
        <x:v>NOOP-INV03</x:v>
      </x:c>
      <x:c r="J437" s="9" t="str">
        <x:v>Request ordinal 4 in an n=3 scene</x:v>
      </x:c>
      <x:c r="K437" s="9" t="n">
        <x:v>134</x:v>
      </x:c>
      <x:c r="L437" s="9"/>
      <x:c r="M437" s="9"/>
      <x:c r="N437" s="9" t="str">
        <x:v>6 — Invalid-ordinal no-movement pairs</x:v>
      </x:c>
      <x:c r="O437" s="9" t="str">
        <x:v>Keep the exact scene unchanged; switch only the impossible ordinal prompt.</x:v>
      </x:c>
      <x:c r="P437" s="9" t="str">
        <x:v>There is no valid referent. Success requires abstaining: do not grasp, displace, or place any object. Report this separately because training contains no explicit no-operation examples.</x:v>
      </x:c>
      <x:c r="Q437" s="9"/>
      <x:c r="R437" s="10" t="n">
        <x:v>3</x:v>
      </x:c>
      <x:c r="S437" s="10"/>
      <x:c r="T437" s="9"/>
      <x:c r="U437" s="9"/>
      <x:c r="V437" s="9"/>
      <x:c r="W437" s="9" t="str">
        <x:v>NOOP-INV03</x:v>
      </x:c>
      <x:c r="X437" s="10"/>
      <x:c r="Y437" s="10"/>
      <x:c r="Z437" s="9"/>
      <x:c r="AA437" s="9" t="str">
        <x:v>N/A</x:v>
      </x:c>
      <x:c r="AB437" s="9" t="str">
        <x:v>fourth from right</x:v>
      </x:c>
      <x:c r="AC437" s="9"/>
      <x:c r="AD437" s="9"/>
      <x:c r="AE437" s="9"/>
      <x:c r="AF437" s="9"/>
      <x:c r="AG437" s="9"/>
      <x:c r="AH437" s="9"/>
      <x:c r="AI437" s="11"/>
      <x:c r="AJ437" s="9"/>
      <x:c r="AK437" s="9" t="str">
        <x:v>Eval_Ordinal_Reference_Ordering.xlsm</x:v>
      </x:c>
      <x:c r="AL437" s="9" t="str">
        <x:v>MolmoAct2 Results2</x:v>
      </x:c>
      <x:c r="AM437" s="9" t="n">
        <x:v>137</x:v>
      </x:c>
      <x:c r="AN437" s="9" t="n">
        <x:v>137</x:v>
      </x:c>
    </x:row>
    <x:row r="438">
      <x:c r="A438" s="9" t="str">
        <x:v>Failure</x:v>
      </x:c>
      <x:c r="B438" s="9" t="str">
        <x:v>Ordinal Reference Ordering</x:v>
      </x:c>
      <x:c r="C438" s="10" t="n">
        <x:v>136</x:v>
      </x:c>
      <x:c r="D438" s="9" t="str">
        <x:v>Pick up the object that is fourth from the right and place it in the bowl.</x:v>
      </x:c>
      <x:c r="E438" s="9" t="str">
        <x:v>L1: green highlighter, L2: yellow pen, L3: airplane toy with propellers</x:v>
      </x:c>
      <x:c r="F438" s="9" t="str">
        <x:v>None — requested ordinal does not exist</x:v>
      </x:c>
      <x:c r="G438" s="9" t="str">
        <x:v>picked green highlighter</x:v>
      </x:c>
      <x:c r="H438" s="9" t="str">
        <x:v>Invalid ordinal / no-movement diagnostic</x:v>
      </x:c>
      <x:c r="I438" s="9" t="str">
        <x:v>NOOP-INV04</x:v>
      </x:c>
      <x:c r="J438" s="9" t="str">
        <x:v>Request ordinal 4 in an n=3 scene</x:v>
      </x:c>
      <x:c r="K438" s="9"/>
      <x:c r="L438" s="9"/>
      <x:c r="M438" s="9"/>
      <x:c r="N438" s="9" t="str">
        <x:v>6 — Invalid-ordinal no-movement pairs</x:v>
      </x:c>
      <x:c r="O438" s="9" t="str">
        <x:v>Build this new scene family exactly from the L1–L4 description and save a first-frame reference image.</x:v>
      </x:c>
      <x:c r="P438" s="9" t="str">
        <x:v>There is no valid referent. Success requires abstaining: do not grasp, displace, or place any object. Report this separately because training contains no explicit no-operation examples.</x:v>
      </x:c>
      <x:c r="Q438" s="9"/>
      <x:c r="R438" s="10" t="n">
        <x:v>3</x:v>
      </x:c>
      <x:c r="S438" s="10"/>
      <x:c r="T438" s="9"/>
      <x:c r="U438" s="9"/>
      <x:c r="V438" s="9"/>
      <x:c r="W438" s="9" t="str">
        <x:v>NOOP-INV04</x:v>
      </x:c>
      <x:c r="X438" s="10"/>
      <x:c r="Y438" s="10"/>
      <x:c r="Z438" s="9"/>
      <x:c r="AA438" s="9" t="str">
        <x:v>N/A</x:v>
      </x:c>
      <x:c r="AB438" s="9" t="str">
        <x:v>fourth from right</x:v>
      </x:c>
      <x:c r="AC438" s="9"/>
      <x:c r="AD438" s="9"/>
      <x:c r="AE438" s="9"/>
      <x:c r="AF438" s="9"/>
      <x:c r="AG438" s="9"/>
      <x:c r="AH438" s="9"/>
      <x:c r="AI438" s="11"/>
      <x:c r="AJ438" s="9"/>
      <x:c r="AK438" s="9" t="str">
        <x:v>Eval_Ordinal_Reference_Ordering.xlsm</x:v>
      </x:c>
      <x:c r="AL438" s="9" t="str">
        <x:v>MolmoAct2 Results2</x:v>
      </x:c>
      <x:c r="AM438" s="9" t="n">
        <x:v>138</x:v>
      </x:c>
      <x:c r="AN438" s="9" t="n">
        <x:v>138</x:v>
      </x:c>
    </x:row>
    <x:row r="439">
      <x:c r="A439" s="9" t="str">
        <x:v>Failure</x:v>
      </x:c>
      <x:c r="B439" s="9" t="str">
        <x:v>Ordinal Reference Ordering</x:v>
      </x:c>
      <x:c r="C439" s="10" t="n">
        <x:v>137</x:v>
      </x:c>
      <x:c r="D439" s="9" t="str">
        <x:v>Pick up the object that is fourth from the left and place it in the bowl.</x:v>
      </x:c>
      <x:c r="E439" s="9" t="str">
        <x:v>L1: green highlighter, L2: yellow pen, L3: airplane toy with propellers</x:v>
      </x:c>
      <x:c r="F439" s="9" t="str">
        <x:v>None — requested ordinal does not exist</x:v>
      </x:c>
      <x:c r="G439" s="9" t="str">
        <x:v>picked green highlighter</x:v>
      </x:c>
      <x:c r="H439" s="9" t="str">
        <x:v>Invalid ordinal / no-movement diagnostic</x:v>
      </x:c>
      <x:c r="I439" s="9" t="str">
        <x:v>NOOP-INV04</x:v>
      </x:c>
      <x:c r="J439" s="9" t="str">
        <x:v>Request ordinal 4 in an n=3 scene</x:v>
      </x:c>
      <x:c r="K439" s="9" t="n">
        <x:v>136</x:v>
      </x:c>
      <x:c r="L439" s="9"/>
      <x:c r="M439" s="9"/>
      <x:c r="N439" s="9" t="str">
        <x:v>6 — Invalid-ordinal no-movement pairs</x:v>
      </x:c>
      <x:c r="O439" s="9" t="str">
        <x:v>Keep the exact scene unchanged; switch only the impossible ordinal prompt.</x:v>
      </x:c>
      <x:c r="P439" s="9" t="str">
        <x:v>There is no valid referent. Success requires abstaining: do not grasp, displace, or place any object. Report this separately because training contains no explicit no-operation examples.</x:v>
      </x:c>
      <x:c r="Q439" s="9"/>
      <x:c r="R439" s="10" t="n">
        <x:v>3</x:v>
      </x:c>
      <x:c r="S439" s="10"/>
      <x:c r="T439" s="9"/>
      <x:c r="U439" s="9"/>
      <x:c r="V439" s="9"/>
      <x:c r="W439" s="9" t="str">
        <x:v>NOOP-INV04</x:v>
      </x:c>
      <x:c r="X439" s="10"/>
      <x:c r="Y439" s="10"/>
      <x:c r="Z439" s="9"/>
      <x:c r="AA439" s="9" t="str">
        <x:v>N/A</x:v>
      </x:c>
      <x:c r="AB439" s="9" t="str">
        <x:v>fourth from left</x:v>
      </x:c>
      <x:c r="AC439" s="9"/>
      <x:c r="AD439" s="9"/>
      <x:c r="AE439" s="9"/>
      <x:c r="AF439" s="9"/>
      <x:c r="AG439" s="9"/>
      <x:c r="AH439" s="9"/>
      <x:c r="AI439" s="11"/>
      <x:c r="AJ439" s="9"/>
      <x:c r="AK439" s="9" t="str">
        <x:v>Eval_Ordinal_Reference_Ordering.xlsm</x:v>
      </x:c>
      <x:c r="AL439" s="9" t="str">
        <x:v>MolmoAct2 Results2</x:v>
      </x:c>
      <x:c r="AM439" s="9" t="n">
        <x:v>139</x:v>
      </x:c>
      <x:c r="AN439" s="9" t="n">
        <x:v>139</x:v>
      </x:c>
    </x:row>
    <x:row r="440">
      <x:c r="A440" s="9" t="str">
        <x:v>Failure</x:v>
      </x:c>
      <x:c r="B440" s="9" t="str">
        <x:v>Ordinal Reference Ordering</x:v>
      </x:c>
      <x:c r="C440" s="10" t="n">
        <x:v>138</x:v>
      </x:c>
      <x:c r="D440" s="9" t="str">
        <x:v>Pick up the object that is fourth from the left and place it in the bowl.</x:v>
      </x:c>
      <x:c r="E440" s="9" t="str">
        <x:v>L1: airplane toy with propellers, L2: yellow pen, L3: blue tape ball</x:v>
      </x:c>
      <x:c r="F440" s="9" t="str">
        <x:v>None — requested ordinal does not exist</x:v>
      </x:c>
      <x:c r="G440" s="9" t="str">
        <x:v>picked blue tape ball</x:v>
      </x:c>
      <x:c r="H440" s="9" t="str">
        <x:v>Invalid ordinal / no-movement diagnostic</x:v>
      </x:c>
      <x:c r="I440" s="9" t="str">
        <x:v>NOOP-INV05</x:v>
      </x:c>
      <x:c r="J440" s="9" t="str">
        <x:v>Request ordinal 4 in an n=3 scene</x:v>
      </x:c>
      <x:c r="K440" s="9"/>
      <x:c r="L440" s="9"/>
      <x:c r="M440" s="9"/>
      <x:c r="N440" s="9" t="str">
        <x:v>6 — Invalid-ordinal no-movement pairs</x:v>
      </x:c>
      <x:c r="O440" s="9" t="str">
        <x:v>Build this new scene family exactly from the L1–L4 description and save a first-frame reference image.</x:v>
      </x:c>
      <x:c r="P440" s="9" t="str">
        <x:v>There is no valid referent. Success requires abstaining: do not grasp, displace, or place any object. Report this separately because training contains no explicit no-operation examples.</x:v>
      </x:c>
      <x:c r="Q440" s="9"/>
      <x:c r="R440" s="10" t="n">
        <x:v>3</x:v>
      </x:c>
      <x:c r="S440" s="10"/>
      <x:c r="T440" s="9"/>
      <x:c r="U440" s="9"/>
      <x:c r="V440" s="9"/>
      <x:c r="W440" s="9" t="str">
        <x:v>NOOP-INV05</x:v>
      </x:c>
      <x:c r="X440" s="10"/>
      <x:c r="Y440" s="10"/>
      <x:c r="Z440" s="9"/>
      <x:c r="AA440" s="9" t="str">
        <x:v>N/A</x:v>
      </x:c>
      <x:c r="AB440" s="9" t="str">
        <x:v>fourth from left</x:v>
      </x:c>
      <x:c r="AC440" s="9"/>
      <x:c r="AD440" s="9"/>
      <x:c r="AE440" s="9"/>
      <x:c r="AF440" s="9"/>
      <x:c r="AG440" s="9"/>
      <x:c r="AH440" s="9"/>
      <x:c r="AI440" s="11"/>
      <x:c r="AJ440" s="9"/>
      <x:c r="AK440" s="9" t="str">
        <x:v>Eval_Ordinal_Reference_Ordering.xlsm</x:v>
      </x:c>
      <x:c r="AL440" s="9" t="str">
        <x:v>MolmoAct2 Results2</x:v>
      </x:c>
      <x:c r="AM440" s="9" t="n">
        <x:v>140</x:v>
      </x:c>
      <x:c r="AN440" s="9" t="n">
        <x:v>140</x:v>
      </x:c>
    </x:row>
    <x:row r="441">
      <x:c r="A441" s="9" t="str">
        <x:v>Failure</x:v>
      </x:c>
      <x:c r="B441" s="9" t="str">
        <x:v>Ordinal Reference Ordering</x:v>
      </x:c>
      <x:c r="C441" s="10" t="n">
        <x:v>139</x:v>
      </x:c>
      <x:c r="D441" s="9" t="str">
        <x:v>Pick up the object that is fourth from the right and place it in the bowl.</x:v>
      </x:c>
      <x:c r="E441" s="9" t="str">
        <x:v>L1: airplane toy with propellers, L2: yellow pen, L3: blue tape ball</x:v>
      </x:c>
      <x:c r="F441" s="9" t="str">
        <x:v>None — requested ordinal does not exist</x:v>
      </x:c>
      <x:c r="G441" s="9" t="str">
        <x:v>picked blue tape ball</x:v>
      </x:c>
      <x:c r="H441" s="9" t="str">
        <x:v>Invalid ordinal / no-movement diagnostic</x:v>
      </x:c>
      <x:c r="I441" s="9" t="str">
        <x:v>NOOP-INV05</x:v>
      </x:c>
      <x:c r="J441" s="9" t="str">
        <x:v>Request ordinal 4 in an n=3 scene</x:v>
      </x:c>
      <x:c r="K441" s="9" t="n">
        <x:v>138</x:v>
      </x:c>
      <x:c r="L441" s="9"/>
      <x:c r="M441" s="9"/>
      <x:c r="N441" s="9" t="str">
        <x:v>6 — Invalid-ordinal no-movement pairs</x:v>
      </x:c>
      <x:c r="O441" s="9" t="str">
        <x:v>Keep the exact scene unchanged; switch only the impossible ordinal prompt.</x:v>
      </x:c>
      <x:c r="P441" s="9" t="str">
        <x:v>There is no valid referent. Success requires abstaining: do not grasp, displace, or place any object. Report this separately because training contains no explicit no-operation examples.</x:v>
      </x:c>
      <x:c r="Q441" s="9"/>
      <x:c r="R441" s="10" t="n">
        <x:v>3</x:v>
      </x:c>
      <x:c r="S441" s="10"/>
      <x:c r="T441" s="9"/>
      <x:c r="U441" s="9"/>
      <x:c r="V441" s="9"/>
      <x:c r="W441" s="9" t="str">
        <x:v>NOOP-INV05</x:v>
      </x:c>
      <x:c r="X441" s="10"/>
      <x:c r="Y441" s="10"/>
      <x:c r="Z441" s="9"/>
      <x:c r="AA441" s="9" t="str">
        <x:v>N/A</x:v>
      </x:c>
      <x:c r="AB441" s="9" t="str">
        <x:v>fourth from right</x:v>
      </x:c>
      <x:c r="AC441" s="9"/>
      <x:c r="AD441" s="9"/>
      <x:c r="AE441" s="9"/>
      <x:c r="AF441" s="9"/>
      <x:c r="AG441" s="9"/>
      <x:c r="AH441" s="9"/>
      <x:c r="AI441" s="11"/>
      <x:c r="AJ441" s="9"/>
      <x:c r="AK441" s="9" t="str">
        <x:v>Eval_Ordinal_Reference_Ordering.xlsm</x:v>
      </x:c>
      <x:c r="AL441" s="9" t="str">
        <x:v>MolmoAct2 Results2</x:v>
      </x:c>
      <x:c r="AM441" s="9" t="n">
        <x:v>141</x:v>
      </x:c>
      <x:c r="AN441" s="9" t="n">
        <x:v>141</x:v>
      </x:c>
    </x:row>
    <x:row r="442">
      <x:c r="A442" s="9" t="str">
        <x:v>Failure</x:v>
      </x:c>
      <x:c r="B442" s="9" t="str">
        <x:v>Ordinal Reference Ordering</x:v>
      </x:c>
      <x:c r="C442" s="10" t="n">
        <x:v>140</x:v>
      </x:c>
      <x:c r="D442" s="9" t="str">
        <x:v>Pick up the object that is third from the right and place it in the bowl.</x:v>
      </x:c>
      <x:c r="E442" s="9" t="str">
        <x:v>L1: airplane toy with propellers, L2: blue tape ball</x:v>
      </x:c>
      <x:c r="F442" s="9" t="str">
        <x:v>None — requested ordinal does not exist</x:v>
      </x:c>
      <x:c r="G442" s="9" t="str">
        <x:v>picked airplane toy</x:v>
      </x:c>
      <x:c r="H442" s="9" t="str">
        <x:v>Invalid ordinal / no-movement diagnostic</x:v>
      </x:c>
      <x:c r="I442" s="9" t="str">
        <x:v>NOOP-INV06</x:v>
      </x:c>
      <x:c r="J442" s="9" t="str">
        <x:v>Request ordinal 3 in an n=2 scene</x:v>
      </x:c>
      <x:c r="K442" s="9"/>
      <x:c r="L442" s="9"/>
      <x:c r="M442" s="9"/>
      <x:c r="N442" s="9" t="str">
        <x:v>6 — Invalid-ordinal no-movement pairs</x:v>
      </x:c>
      <x:c r="O442" s="9" t="str">
        <x:v>Build this new scene family exactly from the L1–L4 description and save a first-frame reference image.</x:v>
      </x:c>
      <x:c r="P442" s="9" t="str">
        <x:v>There is no valid referent. Success requires abstaining: do not grasp, displace, or place any object. Report this separately because training contains no explicit no-operation examples.</x:v>
      </x:c>
      <x:c r="Q442" s="9"/>
      <x:c r="R442" s="10" t="n">
        <x:v>2</x:v>
      </x:c>
      <x:c r="S442" s="10"/>
      <x:c r="T442" s="9"/>
      <x:c r="U442" s="9"/>
      <x:c r="V442" s="9"/>
      <x:c r="W442" s="9" t="str">
        <x:v>NOOP-INV06</x:v>
      </x:c>
      <x:c r="X442" s="10"/>
      <x:c r="Y442" s="10"/>
      <x:c r="Z442" s="9"/>
      <x:c r="AA442" s="9" t="str">
        <x:v>N/A</x:v>
      </x:c>
      <x:c r="AB442" s="9" t="str">
        <x:v>third from right</x:v>
      </x:c>
      <x:c r="AC442" s="9"/>
      <x:c r="AD442" s="9"/>
      <x:c r="AE442" s="9"/>
      <x:c r="AF442" s="9"/>
      <x:c r="AG442" s="9"/>
      <x:c r="AH442" s="9"/>
      <x:c r="AI442" s="11"/>
      <x:c r="AJ442" s="9"/>
      <x:c r="AK442" s="9" t="str">
        <x:v>Eval_Ordinal_Reference_Ordering.xlsm</x:v>
      </x:c>
      <x:c r="AL442" s="9" t="str">
        <x:v>MolmoAct2 Results2</x:v>
      </x:c>
      <x:c r="AM442" s="9" t="n">
        <x:v>142</x:v>
      </x:c>
      <x:c r="AN442" s="9" t="n">
        <x:v>142</x:v>
      </x:c>
    </x:row>
    <x:row r="443">
      <x:c r="A443" s="9" t="str">
        <x:v>Failure</x:v>
      </x:c>
      <x:c r="B443" s="9" t="str">
        <x:v>Ordinal Reference Ordering</x:v>
      </x:c>
      <x:c r="C443" s="10" t="n">
        <x:v>141</x:v>
      </x:c>
      <x:c r="D443" s="9" t="str">
        <x:v>Pick up the object that is third from the left and place it in the bowl.</x:v>
      </x:c>
      <x:c r="E443" s="9" t="str">
        <x:v>L1: airplane toy with propellers, L2: blue tape ball</x:v>
      </x:c>
      <x:c r="F443" s="9" t="str">
        <x:v>None — requested ordinal does not exist</x:v>
      </x:c>
      <x:c r="G443" s="9" t="str">
        <x:v>picked airplane toy</x:v>
      </x:c>
      <x:c r="H443" s="9" t="str">
        <x:v>Invalid ordinal / no-movement diagnostic</x:v>
      </x:c>
      <x:c r="I443" s="9" t="str">
        <x:v>NOOP-INV06</x:v>
      </x:c>
      <x:c r="J443" s="9" t="str">
        <x:v>Request ordinal 3 in an n=2 scene</x:v>
      </x:c>
      <x:c r="K443" s="9" t="n">
        <x:v>140</x:v>
      </x:c>
      <x:c r="L443" s="9"/>
      <x:c r="M443" s="9"/>
      <x:c r="N443" s="9" t="str">
        <x:v>6 — Invalid-ordinal no-movement pairs</x:v>
      </x:c>
      <x:c r="O443" s="9" t="str">
        <x:v>Keep the exact scene unchanged; switch only the impossible ordinal prompt.</x:v>
      </x:c>
      <x:c r="P443" s="9" t="str">
        <x:v>There is no valid referent. Success requires abstaining: do not grasp, displace, or place any object. Report this separately because training contains no explicit no-operation examples.</x:v>
      </x:c>
      <x:c r="Q443" s="9"/>
      <x:c r="R443" s="10" t="n">
        <x:v>2</x:v>
      </x:c>
      <x:c r="S443" s="10"/>
      <x:c r="T443" s="9"/>
      <x:c r="U443" s="9"/>
      <x:c r="V443" s="9"/>
      <x:c r="W443" s="9" t="str">
        <x:v>NOOP-INV06</x:v>
      </x:c>
      <x:c r="X443" s="10"/>
      <x:c r="Y443" s="10"/>
      <x:c r="Z443" s="9"/>
      <x:c r="AA443" s="9" t="str">
        <x:v>N/A</x:v>
      </x:c>
      <x:c r="AB443" s="9" t="str">
        <x:v>third from left</x:v>
      </x:c>
      <x:c r="AC443" s="9"/>
      <x:c r="AD443" s="9"/>
      <x:c r="AE443" s="9"/>
      <x:c r="AF443" s="9"/>
      <x:c r="AG443" s="9"/>
      <x:c r="AH443" s="9"/>
      <x:c r="AI443" s="11"/>
      <x:c r="AJ443" s="9"/>
      <x:c r="AK443" s="9" t="str">
        <x:v>Eval_Ordinal_Reference_Ordering.xlsm</x:v>
      </x:c>
      <x:c r="AL443" s="9" t="str">
        <x:v>MolmoAct2 Results2</x:v>
      </x:c>
      <x:c r="AM443" s="9" t="n">
        <x:v>143</x:v>
      </x:c>
      <x:c r="AN443" s="9" t="n">
        <x:v>143</x:v>
      </x:c>
    </x:row>
    <x:row r="444">
      <x:c r="A444" s="9" t="str">
        <x:v>Failure</x:v>
      </x:c>
      <x:c r="B444" s="9" t="str">
        <x:v>Ordinal Reference Ordering</x:v>
      </x:c>
      <x:c r="C444" s="10" t="n">
        <x:v>142</x:v>
      </x:c>
      <x:c r="D444" s="9" t="str">
        <x:v>Pick up the object that is third from the left and place it in the bowl.</x:v>
      </x:c>
      <x:c r="E444" s="9" t="str">
        <x:v>L1: green highlighter, L2: yellow pen</x:v>
      </x:c>
      <x:c r="F444" s="9" t="str">
        <x:v>None — requested ordinal does not exist</x:v>
      </x:c>
      <x:c r="G444" s="9" t="str">
        <x:v>picked yellow pen</x:v>
      </x:c>
      <x:c r="H444" s="9" t="str">
        <x:v>Invalid ordinal / no-movement diagnostic</x:v>
      </x:c>
      <x:c r="I444" s="9" t="str">
        <x:v>NOOP-INV07</x:v>
      </x:c>
      <x:c r="J444" s="9" t="str">
        <x:v>Request ordinal 3 in an n=2 scene</x:v>
      </x:c>
      <x:c r="K444" s="9"/>
      <x:c r="L444" s="9"/>
      <x:c r="M444" s="9"/>
      <x:c r="N444" s="9" t="str">
        <x:v>6 — Invalid-ordinal no-movement pairs</x:v>
      </x:c>
      <x:c r="O444" s="9" t="str">
        <x:v>Build this new scene family exactly from the L1–L4 description and save a first-frame reference image.</x:v>
      </x:c>
      <x:c r="P444" s="9" t="str">
        <x:v>There is no valid referent. Success requires abstaining: do not grasp, displace, or place any object. Report this separately because training contains no explicit no-operation examples.</x:v>
      </x:c>
      <x:c r="Q444" s="9"/>
      <x:c r="R444" s="10" t="n">
        <x:v>2</x:v>
      </x:c>
      <x:c r="S444" s="10"/>
      <x:c r="T444" s="9"/>
      <x:c r="U444" s="9"/>
      <x:c r="V444" s="9"/>
      <x:c r="W444" s="9" t="str">
        <x:v>NOOP-INV07</x:v>
      </x:c>
      <x:c r="X444" s="10"/>
      <x:c r="Y444" s="10"/>
      <x:c r="Z444" s="9"/>
      <x:c r="AA444" s="9" t="str">
        <x:v>N/A</x:v>
      </x:c>
      <x:c r="AB444" s="9" t="str">
        <x:v>third from left</x:v>
      </x:c>
      <x:c r="AC444" s="9"/>
      <x:c r="AD444" s="9"/>
      <x:c r="AE444" s="9"/>
      <x:c r="AF444" s="9"/>
      <x:c r="AG444" s="9"/>
      <x:c r="AH444" s="9"/>
      <x:c r="AI444" s="11"/>
      <x:c r="AJ444" s="9"/>
      <x:c r="AK444" s="9" t="str">
        <x:v>Eval_Ordinal_Reference_Ordering.xlsm</x:v>
      </x:c>
      <x:c r="AL444" s="9" t="str">
        <x:v>MolmoAct2 Results2</x:v>
      </x:c>
      <x:c r="AM444" s="9" t="n">
        <x:v>144</x:v>
      </x:c>
      <x:c r="AN444" s="9" t="n">
        <x:v>144</x:v>
      </x:c>
    </x:row>
    <x:row r="445">
      <x:c r="A445" s="9" t="str">
        <x:v>Failure</x:v>
      </x:c>
      <x:c r="B445" s="9" t="str">
        <x:v>Ordinal Reference Ordering</x:v>
      </x:c>
      <x:c r="C445" s="10" t="n">
        <x:v>143</x:v>
      </x:c>
      <x:c r="D445" s="9" t="str">
        <x:v>Pick up the object that is third from the right and place it in the bowl.</x:v>
      </x:c>
      <x:c r="E445" s="9" t="str">
        <x:v>L1: green highlighter, L2: yellow pen</x:v>
      </x:c>
      <x:c r="F445" s="9" t="str">
        <x:v>None — requested ordinal does not exist</x:v>
      </x:c>
      <x:c r="G445" s="9" t="str">
        <x:v>picked yellow pen</x:v>
      </x:c>
      <x:c r="H445" s="9" t="str">
        <x:v>Invalid ordinal / no-movement diagnostic</x:v>
      </x:c>
      <x:c r="I445" s="9" t="str">
        <x:v>NOOP-INV07</x:v>
      </x:c>
      <x:c r="J445" s="9" t="str">
        <x:v>Request ordinal 3 in an n=2 scene</x:v>
      </x:c>
      <x:c r="K445" s="9" t="n">
        <x:v>142</x:v>
      </x:c>
      <x:c r="L445" s="9"/>
      <x:c r="M445" s="9"/>
      <x:c r="N445" s="9" t="str">
        <x:v>6 — Invalid-ordinal no-movement pairs</x:v>
      </x:c>
      <x:c r="O445" s="9" t="str">
        <x:v>Keep the exact scene unchanged; switch only the impossible ordinal prompt.</x:v>
      </x:c>
      <x:c r="P445" s="9" t="str">
        <x:v>There is no valid referent. Success requires abstaining: do not grasp, displace, or place any object. Report this separately because training contains no explicit no-operation examples.</x:v>
      </x:c>
      <x:c r="Q445" s="9"/>
      <x:c r="R445" s="10" t="n">
        <x:v>2</x:v>
      </x:c>
      <x:c r="S445" s="10"/>
      <x:c r="T445" s="9"/>
      <x:c r="U445" s="9"/>
      <x:c r="V445" s="9"/>
      <x:c r="W445" s="9" t="str">
        <x:v>NOOP-INV07</x:v>
      </x:c>
      <x:c r="X445" s="10"/>
      <x:c r="Y445" s="10"/>
      <x:c r="Z445" s="9"/>
      <x:c r="AA445" s="9" t="str">
        <x:v>N/A</x:v>
      </x:c>
      <x:c r="AB445" s="9" t="str">
        <x:v>third from right</x:v>
      </x:c>
      <x:c r="AC445" s="9"/>
      <x:c r="AD445" s="9"/>
      <x:c r="AE445" s="9"/>
      <x:c r="AF445" s="9"/>
      <x:c r="AG445" s="9"/>
      <x:c r="AH445" s="9"/>
      <x:c r="AI445" s="11"/>
      <x:c r="AJ445" s="9"/>
      <x:c r="AK445" s="9" t="str">
        <x:v>Eval_Ordinal_Reference_Ordering.xlsm</x:v>
      </x:c>
      <x:c r="AL445" s="9" t="str">
        <x:v>MolmoAct2 Results2</x:v>
      </x:c>
      <x:c r="AM445" s="9" t="n">
        <x:v>145</x:v>
      </x:c>
      <x:c r="AN445" s="9" t="n">
        <x:v>145</x:v>
      </x:c>
    </x:row>
    <x:row r="446">
      <x:c r="A446" s="9" t="str">
        <x:v>Failure</x:v>
      </x:c>
      <x:c r="B446" s="9" t="str">
        <x:v>Ordinal Reference Ordering</x:v>
      </x:c>
      <x:c r="C446" s="10" t="n">
        <x:v>144</x:v>
      </x:c>
      <x:c r="D446" s="9" t="str">
        <x:v>Pick up the object that is third from the right and place it in the bowl.</x:v>
      </x:c>
      <x:c r="E446" s="9" t="str">
        <x:v>L1: blue tape ball, L2: green highlighter</x:v>
      </x:c>
      <x:c r="F446" s="9" t="str">
        <x:v>None — requested ordinal does not exist</x:v>
      </x:c>
      <x:c r="G446" s="9" t="str">
        <x:v>picked green highlighter</x:v>
      </x:c>
      <x:c r="H446" s="9" t="str">
        <x:v>Invalid ordinal / no-movement diagnostic</x:v>
      </x:c>
      <x:c r="I446" s="9" t="str">
        <x:v>NOOP-INV08</x:v>
      </x:c>
      <x:c r="J446" s="9" t="str">
        <x:v>Request ordinal 3 in an n=2 scene</x:v>
      </x:c>
      <x:c r="K446" s="9"/>
      <x:c r="L446" s="9"/>
      <x:c r="M446" s="9"/>
      <x:c r="N446" s="9" t="str">
        <x:v>6 — Invalid-ordinal no-movement pairs</x:v>
      </x:c>
      <x:c r="O446" s="9" t="str">
        <x:v>Build this new scene family exactly from the L1–L4 description and save a first-frame reference image.</x:v>
      </x:c>
      <x:c r="P446" s="9" t="str">
        <x:v>There is no valid referent. Success requires abstaining: do not grasp, displace, or place any object. Report this separately because training contains no explicit no-operation examples.</x:v>
      </x:c>
      <x:c r="Q446" s="9"/>
      <x:c r="R446" s="10" t="n">
        <x:v>2</x:v>
      </x:c>
      <x:c r="S446" s="10"/>
      <x:c r="T446" s="9"/>
      <x:c r="U446" s="9"/>
      <x:c r="V446" s="9"/>
      <x:c r="W446" s="9" t="str">
        <x:v>NOOP-INV08</x:v>
      </x:c>
      <x:c r="X446" s="10"/>
      <x:c r="Y446" s="10"/>
      <x:c r="Z446" s="9"/>
      <x:c r="AA446" s="9" t="str">
        <x:v>N/A</x:v>
      </x:c>
      <x:c r="AB446" s="9" t="str">
        <x:v>third from right</x:v>
      </x:c>
      <x:c r="AC446" s="9"/>
      <x:c r="AD446" s="9"/>
      <x:c r="AE446" s="9"/>
      <x:c r="AF446" s="9"/>
      <x:c r="AG446" s="9"/>
      <x:c r="AH446" s="9"/>
      <x:c r="AI446" s="11"/>
      <x:c r="AJ446" s="9"/>
      <x:c r="AK446" s="9" t="str">
        <x:v>Eval_Ordinal_Reference_Ordering.xlsm</x:v>
      </x:c>
      <x:c r="AL446" s="9" t="str">
        <x:v>MolmoAct2 Results2</x:v>
      </x:c>
      <x:c r="AM446" s="9" t="n">
        <x:v>146</x:v>
      </x:c>
      <x:c r="AN446" s="9" t="n">
        <x:v>146</x:v>
      </x:c>
    </x:row>
    <x:row r="447">
      <x:c r="A447" s="9" t="str">
        <x:v>Failure</x:v>
      </x:c>
      <x:c r="B447" s="9" t="str">
        <x:v>Ordinal Reference Ordering</x:v>
      </x:c>
      <x:c r="C447" s="10" t="n">
        <x:v>145</x:v>
      </x:c>
      <x:c r="D447" s="9" t="str">
        <x:v>Pick up the object that is third from the left and place it in the bowl.</x:v>
      </x:c>
      <x:c r="E447" s="9" t="str">
        <x:v>L1: blue tape ball, L2: green highlighter</x:v>
      </x:c>
      <x:c r="F447" s="9" t="str">
        <x:v>None — requested ordinal does not exist</x:v>
      </x:c>
      <x:c r="G447" s="9" t="str">
        <x:v>picked green highlighter</x:v>
      </x:c>
      <x:c r="H447" s="9" t="str">
        <x:v>Invalid ordinal / no-movement diagnostic</x:v>
      </x:c>
      <x:c r="I447" s="9" t="str">
        <x:v>NOOP-INV08</x:v>
      </x:c>
      <x:c r="J447" s="9" t="str">
        <x:v>Request ordinal 3 in an n=2 scene</x:v>
      </x:c>
      <x:c r="K447" s="9" t="n">
        <x:v>144</x:v>
      </x:c>
      <x:c r="L447" s="9"/>
      <x:c r="M447" s="9"/>
      <x:c r="N447" s="9" t="str">
        <x:v>6 — Invalid-ordinal no-movement pairs</x:v>
      </x:c>
      <x:c r="O447" s="9" t="str">
        <x:v>Keep the exact scene unchanged; switch only the impossible ordinal prompt.</x:v>
      </x:c>
      <x:c r="P447" s="9" t="str">
        <x:v>There is no valid referent. Success requires abstaining: do not grasp, displace, or place any object. Report this separately because training contains no explicit no-operation examples.</x:v>
      </x:c>
      <x:c r="Q447" s="9"/>
      <x:c r="R447" s="10" t="n">
        <x:v>2</x:v>
      </x:c>
      <x:c r="S447" s="10"/>
      <x:c r="T447" s="9"/>
      <x:c r="U447" s="9"/>
      <x:c r="V447" s="9"/>
      <x:c r="W447" s="9" t="str">
        <x:v>NOOP-INV08</x:v>
      </x:c>
      <x:c r="X447" s="10"/>
      <x:c r="Y447" s="10"/>
      <x:c r="Z447" s="9"/>
      <x:c r="AA447" s="9" t="str">
        <x:v>N/A</x:v>
      </x:c>
      <x:c r="AB447" s="9" t="str">
        <x:v>third from left</x:v>
      </x:c>
      <x:c r="AC447" s="9"/>
      <x:c r="AD447" s="9"/>
      <x:c r="AE447" s="9"/>
      <x:c r="AF447" s="9"/>
      <x:c r="AG447" s="9"/>
      <x:c r="AH447" s="9"/>
      <x:c r="AI447" s="11"/>
      <x:c r="AJ447" s="9"/>
      <x:c r="AK447" s="9" t="str">
        <x:v>Eval_Ordinal_Reference_Ordering.xlsm</x:v>
      </x:c>
      <x:c r="AL447" s="9" t="str">
        <x:v>MolmoAct2 Results2</x:v>
      </x:c>
      <x:c r="AM447" s="9" t="n">
        <x:v>147</x:v>
      </x:c>
      <x:c r="AN447" s="9" t="n">
        <x:v>147</x:v>
      </x:c>
    </x:row>
    <x:row r="448">
      <x:c r="A448" s="9" t="str">
        <x:v>Failure</x:v>
      </x:c>
      <x:c r="B448" s="9" t="str">
        <x:v>Ordinal Reference Ordering</x:v>
      </x:c>
      <x:c r="C448" s="10" t="n">
        <x:v>146</x:v>
      </x:c>
      <x:c r="D448" s="9" t="str">
        <x:v>Pick up the object that is third from the left and place it in the bowl.</x:v>
      </x:c>
      <x:c r="E448" s="9" t="str">
        <x:v>L1: yellow pen, L2: airplane toy with propellers</x:v>
      </x:c>
      <x:c r="F448" s="9" t="str">
        <x:v>None — requested ordinal does not exist</x:v>
      </x:c>
      <x:c r="G448" s="9" t="str">
        <x:v>picked airplane toy</x:v>
      </x:c>
      <x:c r="H448" s="9" t="str">
        <x:v>Invalid ordinal / no-movement diagnostic</x:v>
      </x:c>
      <x:c r="I448" s="9" t="str">
        <x:v>NOOP-INV09</x:v>
      </x:c>
      <x:c r="J448" s="9" t="str">
        <x:v>Request ordinal 3 in an n=2 scene</x:v>
      </x:c>
      <x:c r="K448" s="9"/>
      <x:c r="L448" s="9"/>
      <x:c r="M448" s="9"/>
      <x:c r="N448" s="9" t="str">
        <x:v>6 — Invalid-ordinal no-movement pairs</x:v>
      </x:c>
      <x:c r="O448" s="9" t="str">
        <x:v>Build this new scene family exactly from the L1–L4 description and save a first-frame reference image.</x:v>
      </x:c>
      <x:c r="P448" s="9" t="str">
        <x:v>There is no valid referent. Success requires abstaining: do not grasp, displace, or place any object. Report this separately because training contains no explicit no-operation examples.</x:v>
      </x:c>
      <x:c r="Q448" s="9"/>
      <x:c r="R448" s="10" t="n">
        <x:v>2</x:v>
      </x:c>
      <x:c r="S448" s="10"/>
      <x:c r="T448" s="9"/>
      <x:c r="U448" s="9"/>
      <x:c r="V448" s="9"/>
      <x:c r="W448" s="9" t="str">
        <x:v>NOOP-INV09</x:v>
      </x:c>
      <x:c r="X448" s="10"/>
      <x:c r="Y448" s="10"/>
      <x:c r="Z448" s="9"/>
      <x:c r="AA448" s="9" t="str">
        <x:v>N/A</x:v>
      </x:c>
      <x:c r="AB448" s="9" t="str">
        <x:v>third from left</x:v>
      </x:c>
      <x:c r="AC448" s="9"/>
      <x:c r="AD448" s="9"/>
      <x:c r="AE448" s="9"/>
      <x:c r="AF448" s="9"/>
      <x:c r="AG448" s="9"/>
      <x:c r="AH448" s="9"/>
      <x:c r="AI448" s="11"/>
      <x:c r="AJ448" s="9"/>
      <x:c r="AK448" s="9" t="str">
        <x:v>Eval_Ordinal_Reference_Ordering.xlsm</x:v>
      </x:c>
      <x:c r="AL448" s="9" t="str">
        <x:v>MolmoAct2 Results2</x:v>
      </x:c>
      <x:c r="AM448" s="9" t="n">
        <x:v>148</x:v>
      </x:c>
      <x:c r="AN448" s="9" t="n">
        <x:v>148</x:v>
      </x:c>
    </x:row>
    <x:row r="449">
      <x:c r="A449" s="9" t="str">
        <x:v>Failure</x:v>
      </x:c>
      <x:c r="B449" s="9" t="str">
        <x:v>Ordinal Reference Ordering</x:v>
      </x:c>
      <x:c r="C449" s="10" t="n">
        <x:v>147</x:v>
      </x:c>
      <x:c r="D449" s="9" t="str">
        <x:v>Pick up the object that is third from the right and place it in the bowl.</x:v>
      </x:c>
      <x:c r="E449" s="9" t="str">
        <x:v>L1: yellow pen, L2: airplane toy with propellers</x:v>
      </x:c>
      <x:c r="F449" s="9" t="str">
        <x:v>None — requested ordinal does not exist</x:v>
      </x:c>
      <x:c r="G449" s="9" t="str">
        <x:v>picked airplane toy</x:v>
      </x:c>
      <x:c r="H449" s="9" t="str">
        <x:v>Invalid ordinal / no-movement diagnostic</x:v>
      </x:c>
      <x:c r="I449" s="9" t="str">
        <x:v>NOOP-INV09</x:v>
      </x:c>
      <x:c r="J449" s="9" t="str">
        <x:v>Request ordinal 3 in an n=2 scene</x:v>
      </x:c>
      <x:c r="K449" s="9" t="n">
        <x:v>146</x:v>
      </x:c>
      <x:c r="L449" s="9"/>
      <x:c r="M449" s="9"/>
      <x:c r="N449" s="9" t="str">
        <x:v>6 — Invalid-ordinal no-movement pairs</x:v>
      </x:c>
      <x:c r="O449" s="9" t="str">
        <x:v>Keep the exact scene unchanged; switch only the impossible ordinal prompt.</x:v>
      </x:c>
      <x:c r="P449" s="9" t="str">
        <x:v>There is no valid referent. Success requires abstaining: do not grasp, displace, or place any object. Report this separately because training contains no explicit no-operation examples.</x:v>
      </x:c>
      <x:c r="Q449" s="9"/>
      <x:c r="R449" s="10" t="n">
        <x:v>2</x:v>
      </x:c>
      <x:c r="S449" s="10"/>
      <x:c r="T449" s="9"/>
      <x:c r="U449" s="9"/>
      <x:c r="V449" s="9"/>
      <x:c r="W449" s="9" t="str">
        <x:v>NOOP-INV09</x:v>
      </x:c>
      <x:c r="X449" s="10"/>
      <x:c r="Y449" s="10"/>
      <x:c r="Z449" s="9"/>
      <x:c r="AA449" s="9" t="str">
        <x:v>N/A</x:v>
      </x:c>
      <x:c r="AB449" s="9" t="str">
        <x:v>third from right</x:v>
      </x:c>
      <x:c r="AC449" s="9"/>
      <x:c r="AD449" s="9"/>
      <x:c r="AE449" s="9"/>
      <x:c r="AF449" s="9"/>
      <x:c r="AG449" s="9"/>
      <x:c r="AH449" s="9"/>
      <x:c r="AI449" s="11"/>
      <x:c r="AJ449" s="9"/>
      <x:c r="AK449" s="9" t="str">
        <x:v>Eval_Ordinal_Reference_Ordering.xlsm</x:v>
      </x:c>
      <x:c r="AL449" s="9" t="str">
        <x:v>MolmoAct2 Results2</x:v>
      </x:c>
      <x:c r="AM449" s="9" t="n">
        <x:v>149</x:v>
      </x:c>
      <x:c r="AN449" s="9" t="n">
        <x:v>149</x:v>
      </x:c>
    </x:row>
    <x:row r="450">
      <x:c r="A450" s="9" t="str">
        <x:v>Failure</x:v>
      </x:c>
      <x:c r="B450" s="9" t="str">
        <x:v>Ordinal Reference Ordering</x:v>
      </x:c>
      <x:c r="C450" s="10" t="n">
        <x:v>148</x:v>
      </x:c>
      <x:c r="D450" s="9" t="str">
        <x:v>Pick up the object that is third from the right and place it in the bowl.</x:v>
      </x:c>
      <x:c r="E450" s="9" t="str">
        <x:v>L1: airplane toy with propellers, L2: green highlighter</x:v>
      </x:c>
      <x:c r="F450" s="9" t="str">
        <x:v>None — requested ordinal does not exist</x:v>
      </x:c>
      <x:c r="G450" s="9" t="str">
        <x:v>picked airplane toy</x:v>
      </x:c>
      <x:c r="H450" s="9" t="str">
        <x:v>Invalid ordinal / no-movement diagnostic</x:v>
      </x:c>
      <x:c r="I450" s="9" t="str">
        <x:v>NOOP-INV10</x:v>
      </x:c>
      <x:c r="J450" s="9" t="str">
        <x:v>Request ordinal 3 in an n=2 scene</x:v>
      </x:c>
      <x:c r="K450" s="9"/>
      <x:c r="L450" s="9"/>
      <x:c r="M450" s="9"/>
      <x:c r="N450" s="9" t="str">
        <x:v>6 — Invalid-ordinal no-movement pairs</x:v>
      </x:c>
      <x:c r="O450" s="9" t="str">
        <x:v>Build this new scene family exactly from the L1–L4 description and save a first-frame reference image.</x:v>
      </x:c>
      <x:c r="P450" s="9" t="str">
        <x:v>There is no valid referent. Success requires abstaining: do not grasp, displace, or place any object. Report this separately because training contains no explicit no-operation examples.</x:v>
      </x:c>
      <x:c r="Q450" s="9"/>
      <x:c r="R450" s="10" t="n">
        <x:v>2</x:v>
      </x:c>
      <x:c r="S450" s="10"/>
      <x:c r="T450" s="9"/>
      <x:c r="U450" s="9"/>
      <x:c r="V450" s="9"/>
      <x:c r="W450" s="9" t="str">
        <x:v>NOOP-INV10</x:v>
      </x:c>
      <x:c r="X450" s="10"/>
      <x:c r="Y450" s="10"/>
      <x:c r="Z450" s="9"/>
      <x:c r="AA450" s="9" t="str">
        <x:v>N/A</x:v>
      </x:c>
      <x:c r="AB450" s="9" t="str">
        <x:v>third from right</x:v>
      </x:c>
      <x:c r="AC450" s="9"/>
      <x:c r="AD450" s="9"/>
      <x:c r="AE450" s="9"/>
      <x:c r="AF450" s="9"/>
      <x:c r="AG450" s="9"/>
      <x:c r="AH450" s="9"/>
      <x:c r="AI450" s="11"/>
      <x:c r="AJ450" s="9"/>
      <x:c r="AK450" s="9" t="str">
        <x:v>Eval_Ordinal_Reference_Ordering.xlsm</x:v>
      </x:c>
      <x:c r="AL450" s="9" t="str">
        <x:v>MolmoAct2 Results2</x:v>
      </x:c>
      <x:c r="AM450" s="9" t="n">
        <x:v>150</x:v>
      </x:c>
      <x:c r="AN450" s="9" t="n">
        <x:v>150</x:v>
      </x:c>
    </x:row>
    <x:row r="451">
      <x:c r="A451" s="9" t="str">
        <x:v>Failure</x:v>
      </x:c>
      <x:c r="B451" s="9" t="str">
        <x:v>Ordinal Reference Ordering</x:v>
      </x:c>
      <x:c r="C451" s="10" t="n">
        <x:v>149</x:v>
      </x:c>
      <x:c r="D451" s="9" t="str">
        <x:v>Pick up the object that is third from the left and place it in the bowl.</x:v>
      </x:c>
      <x:c r="E451" s="9" t="str">
        <x:v>L1: airplane toy with propellers, L2: green highlighter</x:v>
      </x:c>
      <x:c r="F451" s="9" t="str">
        <x:v>None — requested ordinal does not exist</x:v>
      </x:c>
      <x:c r="G451" s="9" t="str">
        <x:v>picked airplane toy</x:v>
      </x:c>
      <x:c r="H451" s="9" t="str">
        <x:v>Invalid ordinal / no-movement diagnostic</x:v>
      </x:c>
      <x:c r="I451" s="9" t="str">
        <x:v>NOOP-INV10</x:v>
      </x:c>
      <x:c r="J451" s="9" t="str">
        <x:v>Request ordinal 3 in an n=2 scene</x:v>
      </x:c>
      <x:c r="K451" s="9" t="n">
        <x:v>148</x:v>
      </x:c>
      <x:c r="L451" s="9"/>
      <x:c r="M451" s="9"/>
      <x:c r="N451" s="9" t="str">
        <x:v>6 — Invalid-ordinal no-movement pairs</x:v>
      </x:c>
      <x:c r="O451" s="9" t="str">
        <x:v>Keep the exact scene unchanged; switch only the impossible ordinal prompt.</x:v>
      </x:c>
      <x:c r="P451" s="9" t="str">
        <x:v>There is no valid referent. Success requires abstaining: do not grasp, displace, or place any object. Report this separately because training contains no explicit no-operation examples.</x:v>
      </x:c>
      <x:c r="Q451" s="9"/>
      <x:c r="R451" s="10" t="n">
        <x:v>2</x:v>
      </x:c>
      <x:c r="S451" s="10"/>
      <x:c r="T451" s="9"/>
      <x:c r="U451" s="9"/>
      <x:c r="V451" s="9"/>
      <x:c r="W451" s="9" t="str">
        <x:v>NOOP-INV10</x:v>
      </x:c>
      <x:c r="X451" s="10"/>
      <x:c r="Y451" s="10"/>
      <x:c r="Z451" s="9"/>
      <x:c r="AA451" s="9" t="str">
        <x:v>N/A</x:v>
      </x:c>
      <x:c r="AB451" s="9" t="str">
        <x:v>third from left</x:v>
      </x:c>
      <x:c r="AC451" s="9"/>
      <x:c r="AD451" s="9"/>
      <x:c r="AE451" s="9"/>
      <x:c r="AF451" s="9"/>
      <x:c r="AG451" s="9"/>
      <x:c r="AH451" s="9"/>
      <x:c r="AI451" s="11"/>
      <x:c r="AJ451" s="9"/>
      <x:c r="AK451" s="9" t="str">
        <x:v>Eval_Ordinal_Reference_Ordering.xlsm</x:v>
      </x:c>
      <x:c r="AL451" s="9" t="str">
        <x:v>MolmoAct2 Results2</x:v>
      </x:c>
      <x:c r="AM451" s="9" t="n">
        <x:v>151</x:v>
      </x:c>
      <x:c r="AN451" s="9" t="n">
        <x:v>151</x:v>
      </x:c>
    </x:row>
    <x:row r="452">
      <x:c r="A452" s="9" t="str">
        <x:v>Success</x:v>
      </x:c>
      <x:c r="B452" s="9" t="str">
        <x:v>Relational Placement</x:v>
      </x:c>
      <x:c r="C452" s="10" t="n">
        <x:v>0</x:v>
      </x:c>
      <x:c r="D452" s="9" t="str">
        <x:v>Move the green pen to the front of the pink marker.</x:v>
      </x:c>
      <x:c r="E452" s="9" t="str">
        <x:v>green pen, pink marker, red block</x:v>
      </x:c>
      <x:c r="F452" s="9" t="str">
        <x:v>green pen → 2–8 cm edge gap in front of pink marker; centroid direction within ±45°.</x:v>
      </x:c>
      <x:c r="G452" s="9"/>
      <x:c r="H452" s="9" t="str">
        <x:v>In-distribution concept baseline</x:v>
      </x:c>
      <x:c r="I452" s="9" t="str">
        <x:v>RP-ID-CF01</x:v>
      </x:c>
      <x:c r="J452" s="9" t="str">
        <x:v>Four-way trained-cell counterfactual: front/behind polarity × target/reference role</x:v>
      </x:c>
      <x:c r="K452" s="9"/>
      <x:c r="L452" s="9" t="str">
        <x:v>204</x:v>
      </x:c>
      <x:c r="M452" s="9"/>
      <x:c r="N452" s="9"/>
      <x:c r="O452" s="9" t="str">
        <x:v>Build the listed neutral scene and save the first frame.</x:v>
      </x:c>
      <x:c r="P452" s="9" t="str">
        <x:v>Exact explicitly trained ordered relation-object cell from training episode 204. The four adjacent prompts share one initially unsatisfied scene.</x:v>
      </x:c>
      <x:c r="Q452" s="9"/>
      <x:c r="R452" s="10" t="n">
        <x:v>3</x:v>
      </x:c>
      <x:c r="S452" s="10"/>
      <x:c r="T452" s="9"/>
      <x:c r="U452" s="9"/>
      <x:c r="V452" s="9"/>
      <x:c r="W452" s="9"/>
      <x:c r="X452" s="10"/>
      <x:c r="Y452" s="10"/>
      <x:c r="Z452" s="9"/>
      <x:c r="AA452" s="9"/>
      <x:c r="AB452" s="9"/>
      <x:c r="AC452" s="9" t="str">
        <x:v>front</x:v>
      </x:c>
      <x:c r="AD452" s="9" t="str">
        <x:v>green pen</x:v>
      </x:c>
      <x:c r="AE452" s="9" t="str">
        <x:v>pink marker</x:v>
      </x:c>
      <x:c r="AF452" s="9" t="str">
        <x:v>None</x:v>
      </x:c>
      <x:c r="AG452" s="9"/>
      <x:c r="AH452" s="9"/>
      <x:c r="AI452" s="11"/>
      <x:c r="AJ452" s="9"/>
      <x:c r="AK452" s="9" t="str">
        <x:v>Eval_Relational_Placement (1).xlsm</x:v>
      </x:c>
      <x:c r="AL452" s="9" t="str">
        <x:v>MolmoAct2 Results</x:v>
      </x:c>
      <x:c r="AM452" s="9" t="n">
        <x:v>2</x:v>
      </x:c>
      <x:c r="AN452" s="9" t="n">
        <x:v>2</x:v>
      </x:c>
    </x:row>
    <x:row r="453">
      <x:c r="A453" s="9" t="str">
        <x:v>Success</x:v>
      </x:c>
      <x:c r="B453" s="9" t="str">
        <x:v>Relational Placement</x:v>
      </x:c>
      <x:c r="C453" s="10" t="n">
        <x:v>1</x:v>
      </x:c>
      <x:c r="D453" s="9" t="str">
        <x:v>Move the green pen to the back of the pink marker.</x:v>
      </x:c>
      <x:c r="E453" s="9" t="str">
        <x:v>green pen, pink marker, red block</x:v>
      </x:c>
      <x:c r="F453" s="9" t="str">
        <x:v>green pen → 2–8 cm edge gap behind pink marker; centroid direction within ±45°.</x:v>
      </x:c>
      <x:c r="G453" s="9"/>
      <x:c r="H453" s="9" t="str">
        <x:v>In-distribution concept baseline</x:v>
      </x:c>
      <x:c r="I453" s="9" t="str">
        <x:v>RP-ID-CF01</x:v>
      </x:c>
      <x:c r="J453" s="9" t="str">
        <x:v>Four-way trained-cell counterfactual: front/behind polarity × target/reference role</x:v>
      </x:c>
      <x:c r="K453" s="9" t="n">
        <x:v>0</x:v>
      </x:c>
      <x:c r="L453" s="9" t="str">
        <x:v>217</x:v>
      </x:c>
      <x:c r="M453" s="9"/>
      <x:c r="N453" s="9"/>
      <x:c r="O453" s="9" t="str">
        <x:v>Reset the moved object to its marked pose; preserve the exact scene and change only the instruction.</x:v>
      </x:c>
      <x:c r="P453" s="9" t="str">
        <x:v>Exact explicitly trained ordered relation-object cell from training episode 217. The four adjacent prompts share one initially unsatisfied scene.</x:v>
      </x:c>
      <x:c r="Q453" s="9"/>
      <x:c r="R453" s="10" t="n">
        <x:v>3</x:v>
      </x:c>
      <x:c r="S453" s="10"/>
      <x:c r="T453" s="9"/>
      <x:c r="U453" s="9"/>
      <x:c r="V453" s="9"/>
      <x:c r="W453" s="9"/>
      <x:c r="X453" s="10"/>
      <x:c r="Y453" s="10"/>
      <x:c r="Z453" s="9"/>
      <x:c r="AA453" s="9"/>
      <x:c r="AB453" s="9"/>
      <x:c r="AC453" s="9" t="str">
        <x:v>behind</x:v>
      </x:c>
      <x:c r="AD453" s="9" t="str">
        <x:v>green pen</x:v>
      </x:c>
      <x:c r="AE453" s="9" t="str">
        <x:v>pink marker</x:v>
      </x:c>
      <x:c r="AF453" s="9" t="str">
        <x:v>None</x:v>
      </x:c>
      <x:c r="AG453" s="9"/>
      <x:c r="AH453" s="9"/>
      <x:c r="AI453" s="11"/>
      <x:c r="AJ453" s="9"/>
      <x:c r="AK453" s="9" t="str">
        <x:v>Eval_Relational_Placement (1).xlsm</x:v>
      </x:c>
      <x:c r="AL453" s="9" t="str">
        <x:v>MolmoAct2 Results</x:v>
      </x:c>
      <x:c r="AM453" s="9" t="n">
        <x:v>3</x:v>
      </x:c>
      <x:c r="AN453" s="9" t="n">
        <x:v>3</x:v>
      </x:c>
    </x:row>
    <x:row r="454">
      <x:c r="A454" s="9" t="str">
        <x:v>Success</x:v>
      </x:c>
      <x:c r="B454" s="9" t="str">
        <x:v>Relational Placement</x:v>
      </x:c>
      <x:c r="C454" s="10" t="n">
        <x:v>2</x:v>
      </x:c>
      <x:c r="D454" s="9" t="str">
        <x:v>Move the pink marker to the front of the green pen.</x:v>
      </x:c>
      <x:c r="E454" s="9" t="str">
        <x:v>green pen, pink marker, red block</x:v>
      </x:c>
      <x:c r="F454" s="9" t="str">
        <x:v>pink marker → 2–8 cm edge gap in front of green pen; centroid direction within ±45°.</x:v>
      </x:c>
      <x:c r="G454" s="9"/>
      <x:c r="H454" s="9" t="str">
        <x:v>In-distribution concept baseline</x:v>
      </x:c>
      <x:c r="I454" s="9" t="str">
        <x:v>RP-ID-CF01</x:v>
      </x:c>
      <x:c r="J454" s="9" t="str">
        <x:v>Four-way trained-cell counterfactual: front/behind polarity × target/reference role</x:v>
      </x:c>
      <x:c r="K454" s="9" t="n">
        <x:v>0</x:v>
      </x:c>
      <x:c r="L454" s="9" t="str">
        <x:v>305</x:v>
      </x:c>
      <x:c r="M454" s="9"/>
      <x:c r="N454" s="9"/>
      <x:c r="O454" s="9" t="str">
        <x:v>Reset the moved object to its marked pose; preserve the exact scene and change only the instruction.</x:v>
      </x:c>
      <x:c r="P454" s="9" t="str">
        <x:v>Exact explicitly trained ordered relation-object cell from training episode 305. The four adjacent prompts share one initially unsatisfied scene.</x:v>
      </x:c>
      <x:c r="Q454" s="9"/>
      <x:c r="R454" s="10" t="n">
        <x:v>3</x:v>
      </x:c>
      <x:c r="S454" s="10"/>
      <x:c r="T454" s="9"/>
      <x:c r="U454" s="9"/>
      <x:c r="V454" s="9"/>
      <x:c r="W454" s="9"/>
      <x:c r="X454" s="10"/>
      <x:c r="Y454" s="10"/>
      <x:c r="Z454" s="9"/>
      <x:c r="AA454" s="9"/>
      <x:c r="AB454" s="9"/>
      <x:c r="AC454" s="9" t="str">
        <x:v>front</x:v>
      </x:c>
      <x:c r="AD454" s="9" t="str">
        <x:v>pink marker</x:v>
      </x:c>
      <x:c r="AE454" s="9" t="str">
        <x:v>green pen</x:v>
      </x:c>
      <x:c r="AF454" s="9" t="str">
        <x:v>None</x:v>
      </x:c>
      <x:c r="AG454" s="9"/>
      <x:c r="AH454" s="9"/>
      <x:c r="AI454" s="11"/>
      <x:c r="AJ454" s="9"/>
      <x:c r="AK454" s="9" t="str">
        <x:v>Eval_Relational_Placement (1).xlsm</x:v>
      </x:c>
      <x:c r="AL454" s="9" t="str">
        <x:v>MolmoAct2 Results</x:v>
      </x:c>
      <x:c r="AM454" s="9" t="n">
        <x:v>4</x:v>
      </x:c>
      <x:c r="AN454" s="9" t="n">
        <x:v>4</x:v>
      </x:c>
    </x:row>
    <x:row r="455">
      <x:c r="A455" s="9" t="str">
        <x:v>Success</x:v>
      </x:c>
      <x:c r="B455" s="9" t="str">
        <x:v>Relational Placement</x:v>
      </x:c>
      <x:c r="C455" s="10" t="n">
        <x:v>3</x:v>
      </x:c>
      <x:c r="D455" s="9" t="str">
        <x:v>Move the pink marker to the back of the green pen.</x:v>
      </x:c>
      <x:c r="E455" s="9" t="str">
        <x:v>green pen, pink marker, red block</x:v>
      </x:c>
      <x:c r="F455" s="9" t="str">
        <x:v>pink marker → 2–8 cm edge gap behind green pen; centroid direction within ±45°.</x:v>
      </x:c>
      <x:c r="G455" s="9"/>
      <x:c r="H455" s="9" t="str">
        <x:v>In-distribution concept baseline</x:v>
      </x:c>
      <x:c r="I455" s="9" t="str">
        <x:v>RP-ID-CF01</x:v>
      </x:c>
      <x:c r="J455" s="9" t="str">
        <x:v>Four-way trained-cell counterfactual: front/behind polarity × target/reference role</x:v>
      </x:c>
      <x:c r="K455" s="9" t="n">
        <x:v>0</x:v>
      </x:c>
      <x:c r="L455" s="9" t="str">
        <x:v>317</x:v>
      </x:c>
      <x:c r="M455" s="9"/>
      <x:c r="N455" s="9"/>
      <x:c r="O455" s="9" t="str">
        <x:v>Reset the moved object to its marked pose; preserve the exact scene and change only the instruction.</x:v>
      </x:c>
      <x:c r="P455" s="9" t="str">
        <x:v>Exact explicitly trained ordered relation-object cell from training episode 317. The four adjacent prompts share one initially unsatisfied scene.</x:v>
      </x:c>
      <x:c r="Q455" s="9"/>
      <x:c r="R455" s="10" t="n">
        <x:v>3</x:v>
      </x:c>
      <x:c r="S455" s="10"/>
      <x:c r="T455" s="9"/>
      <x:c r="U455" s="9"/>
      <x:c r="V455" s="9"/>
      <x:c r="W455" s="9"/>
      <x:c r="X455" s="10"/>
      <x:c r="Y455" s="10"/>
      <x:c r="Z455" s="9"/>
      <x:c r="AA455" s="9"/>
      <x:c r="AB455" s="9"/>
      <x:c r="AC455" s="9" t="str">
        <x:v>behind</x:v>
      </x:c>
      <x:c r="AD455" s="9" t="str">
        <x:v>pink marker</x:v>
      </x:c>
      <x:c r="AE455" s="9" t="str">
        <x:v>green pen</x:v>
      </x:c>
      <x:c r="AF455" s="9" t="str">
        <x:v>None</x:v>
      </x:c>
      <x:c r="AG455" s="9"/>
      <x:c r="AH455" s="9"/>
      <x:c r="AI455" s="11"/>
      <x:c r="AJ455" s="9"/>
      <x:c r="AK455" s="9" t="str">
        <x:v>Eval_Relational_Placement (1).xlsm</x:v>
      </x:c>
      <x:c r="AL455" s="9" t="str">
        <x:v>MolmoAct2 Results</x:v>
      </x:c>
      <x:c r="AM455" s="9" t="n">
        <x:v>5</x:v>
      </x:c>
      <x:c r="AN455" s="9" t="n">
        <x:v>5</x:v>
      </x:c>
    </x:row>
    <x:row r="456">
      <x:c r="A456" s="9" t="str">
        <x:v>Failure</x:v>
      </x:c>
      <x:c r="B456" s="9" t="str">
        <x:v>Relational Placement</x:v>
      </x:c>
      <x:c r="C456" s="10" t="n">
        <x:v>4</x:v>
      </x:c>
      <x:c r="D456" s="9" t="str">
        <x:v>Move the green pen to the front of the blue block.</x:v>
      </x:c>
      <x:c r="E456" s="9" t="str">
        <x:v>green pen, blue block, pink marker, red block</x:v>
      </x:c>
      <x:c r="F456" s="9" t="str">
        <x:v>green pen → 2–8 cm edge gap in front of blue block; centroid direction within ±45°.</x:v>
      </x:c>
      <x:c r="G456" s="9" t="str">
        <x:v>did like left front, but mostly left.</x:v>
      </x:c>
      <x:c r="H456" s="9" t="str">
        <x:v>In-distribution concept baseline</x:v>
      </x:c>
      <x:c r="I456" s="9" t="str">
        <x:v>RP-ID-CF02</x:v>
      </x:c>
      <x:c r="J456" s="9" t="str">
        <x:v>Four-way trained-cell counterfactual: front/behind polarity × target/reference role</x:v>
      </x:c>
      <x:c r="K456" s="9"/>
      <x:c r="L456" s="9" t="str">
        <x:v>208</x:v>
      </x:c>
      <x:c r="M456" s="9"/>
      <x:c r="N456" s="9"/>
      <x:c r="O456" s="9" t="str">
        <x:v>Build the listed neutral scene and save the first frame.</x:v>
      </x:c>
      <x:c r="P456" s="9" t="str">
        <x:v>Exact explicitly trained ordered relation-object cell from training episode 208. The four adjacent prompts share one initially unsatisfied scene.</x:v>
      </x:c>
      <x:c r="Q456" s="9"/>
      <x:c r="R456" s="10" t="n">
        <x:v>4</x:v>
      </x:c>
      <x:c r="S456" s="10"/>
      <x:c r="T456" s="9"/>
      <x:c r="U456" s="9"/>
      <x:c r="V456" s="9"/>
      <x:c r="W456" s="9"/>
      <x:c r="X456" s="10"/>
      <x:c r="Y456" s="10"/>
      <x:c r="Z456" s="9"/>
      <x:c r="AA456" s="9"/>
      <x:c r="AB456" s="9"/>
      <x:c r="AC456" s="9" t="str">
        <x:v>front</x:v>
      </x:c>
      <x:c r="AD456" s="9" t="str">
        <x:v>green pen</x:v>
      </x:c>
      <x:c r="AE456" s="9" t="str">
        <x:v>blue block</x:v>
      </x:c>
      <x:c r="AF456" s="9" t="str">
        <x:v>None</x:v>
      </x:c>
      <x:c r="AG456" s="9"/>
      <x:c r="AH456" s="9"/>
      <x:c r="AI456" s="11"/>
      <x:c r="AJ456" s="9"/>
      <x:c r="AK456" s="9" t="str">
        <x:v>Eval_Relational_Placement (1).xlsm</x:v>
      </x:c>
      <x:c r="AL456" s="9" t="str">
        <x:v>MolmoAct2 Results</x:v>
      </x:c>
      <x:c r="AM456" s="9" t="n">
        <x:v>6</x:v>
      </x:c>
      <x:c r="AN456" s="9" t="n">
        <x:v>6</x:v>
      </x:c>
    </x:row>
    <x:row r="457">
      <x:c r="A457" s="9" t="str">
        <x:v>Success</x:v>
      </x:c>
      <x:c r="B457" s="9" t="str">
        <x:v>Relational Placement</x:v>
      </x:c>
      <x:c r="C457" s="10" t="n">
        <x:v>5</x:v>
      </x:c>
      <x:c r="D457" s="9" t="str">
        <x:v>Move the green pen to the back of the blue block.</x:v>
      </x:c>
      <x:c r="E457" s="9" t="str">
        <x:v>green pen, blue block, pink marker, red block</x:v>
      </x:c>
      <x:c r="F457" s="9" t="str">
        <x:v>green pen → 2–8 cm edge gap behind blue block; centroid direction within ±45°.</x:v>
      </x:c>
      <x:c r="G457" s="9"/>
      <x:c r="H457" s="9" t="str">
        <x:v>In-distribution concept baseline</x:v>
      </x:c>
      <x:c r="I457" s="9" t="str">
        <x:v>RP-ID-CF02</x:v>
      </x:c>
      <x:c r="J457" s="9" t="str">
        <x:v>Four-way trained-cell counterfactual: front/behind polarity × target/reference role</x:v>
      </x:c>
      <x:c r="K457" s="9" t="n">
        <x:v>4</x:v>
      </x:c>
      <x:c r="L457" s="9" t="str">
        <x:v>221</x:v>
      </x:c>
      <x:c r="M457" s="9"/>
      <x:c r="N457" s="9"/>
      <x:c r="O457" s="9" t="str">
        <x:v>Reset the moved object to its marked pose; preserve the exact scene and change only the instruction.</x:v>
      </x:c>
      <x:c r="P457" s="9" t="str">
        <x:v>Exact explicitly trained ordered relation-object cell from training episode 221. The four adjacent prompts share one initially unsatisfied scene.</x:v>
      </x:c>
      <x:c r="Q457" s="9"/>
      <x:c r="R457" s="10" t="n">
        <x:v>4</x:v>
      </x:c>
      <x:c r="S457" s="10"/>
      <x:c r="T457" s="9"/>
      <x:c r="U457" s="9"/>
      <x:c r="V457" s="9"/>
      <x:c r="W457" s="9"/>
      <x:c r="X457" s="10"/>
      <x:c r="Y457" s="10"/>
      <x:c r="Z457" s="9"/>
      <x:c r="AA457" s="9"/>
      <x:c r="AB457" s="9"/>
      <x:c r="AC457" s="9" t="str">
        <x:v>behind</x:v>
      </x:c>
      <x:c r="AD457" s="9" t="str">
        <x:v>green pen</x:v>
      </x:c>
      <x:c r="AE457" s="9" t="str">
        <x:v>blue block</x:v>
      </x:c>
      <x:c r="AF457" s="9" t="str">
        <x:v>None</x:v>
      </x:c>
      <x:c r="AG457" s="9"/>
      <x:c r="AH457" s="9"/>
      <x:c r="AI457" s="11"/>
      <x:c r="AJ457" s="9"/>
      <x:c r="AK457" s="9" t="str">
        <x:v>Eval_Relational_Placement (1).xlsm</x:v>
      </x:c>
      <x:c r="AL457" s="9" t="str">
        <x:v>MolmoAct2 Results</x:v>
      </x:c>
      <x:c r="AM457" s="9" t="n">
        <x:v>7</x:v>
      </x:c>
      <x:c r="AN457" s="9" t="n">
        <x:v>7</x:v>
      </x:c>
    </x:row>
    <x:row r="458">
      <x:c r="A458" s="9" t="str">
        <x:v>Failure</x:v>
      </x:c>
      <x:c r="B458" s="9" t="str">
        <x:v>Relational Placement</x:v>
      </x:c>
      <x:c r="C458" s="10" t="n">
        <x:v>6</x:v>
      </x:c>
      <x:c r="D458" s="9" t="str">
        <x:v>Put the blue block on the table in front of the green pen.</x:v>
      </x:c>
      <x:c r="E458" s="9" t="str">
        <x:v>green pen, blue block, pink marker, red block</x:v>
      </x:c>
      <x:c r="F458" s="9" t="str">
        <x:v>blue block → 2–8 cm edge gap in front of green pen; centroid direction within ±45°.</x:v>
      </x:c>
      <x:c r="G458" s="9" t="str">
        <x:v>looked like it was going for front, but knocked the pen and dropped it such that it landed in the back.</x:v>
      </x:c>
      <x:c r="H458" s="9" t="str">
        <x:v>In-distribution concept baseline</x:v>
      </x:c>
      <x:c r="I458" s="9" t="str">
        <x:v>RP-ID-CF02</x:v>
      </x:c>
      <x:c r="J458" s="9" t="str">
        <x:v>Four-way trained-cell counterfactual: front/behind polarity × target/reference role</x:v>
      </x:c>
      <x:c r="K458" s="9" t="n">
        <x:v>4</x:v>
      </x:c>
      <x:c r="L458" s="9" t="str">
        <x:v>350</x:v>
      </x:c>
      <x:c r="M458" s="9"/>
      <x:c r="N458" s="9"/>
      <x:c r="O458" s="9" t="str">
        <x:v>Reset the moved object to its marked pose; preserve the exact scene and change only the instruction.</x:v>
      </x:c>
      <x:c r="P458" s="9" t="str">
        <x:v>Exact explicitly trained ordered relation-object cell from training episode 350. The four adjacent prompts share one initially unsatisfied scene.</x:v>
      </x:c>
      <x:c r="Q458" s="9"/>
      <x:c r="R458" s="10" t="n">
        <x:v>4</x:v>
      </x:c>
      <x:c r="S458" s="10"/>
      <x:c r="T458" s="9"/>
      <x:c r="U458" s="9"/>
      <x:c r="V458" s="9"/>
      <x:c r="W458" s="9"/>
      <x:c r="X458" s="10"/>
      <x:c r="Y458" s="10"/>
      <x:c r="Z458" s="9"/>
      <x:c r="AA458" s="9"/>
      <x:c r="AB458" s="9"/>
      <x:c r="AC458" s="9" t="str">
        <x:v>front</x:v>
      </x:c>
      <x:c r="AD458" s="9" t="str">
        <x:v>blue block</x:v>
      </x:c>
      <x:c r="AE458" s="9" t="str">
        <x:v>green pen</x:v>
      </x:c>
      <x:c r="AF458" s="9" t="str">
        <x:v>None</x:v>
      </x:c>
      <x:c r="AG458" s="9"/>
      <x:c r="AH458" s="9"/>
      <x:c r="AI458" s="11"/>
      <x:c r="AJ458" s="9"/>
      <x:c r="AK458" s="9" t="str">
        <x:v>Eval_Relational_Placement (1).xlsm</x:v>
      </x:c>
      <x:c r="AL458" s="9" t="str">
        <x:v>MolmoAct2 Results</x:v>
      </x:c>
      <x:c r="AM458" s="9" t="n">
        <x:v>8</x:v>
      </x:c>
      <x:c r="AN458" s="9" t="n">
        <x:v>8</x:v>
      </x:c>
    </x:row>
    <x:row r="459">
      <x:c r="A459" s="9" t="str">
        <x:v>Failure</x:v>
      </x:c>
      <x:c r="B459" s="9" t="str">
        <x:v>Relational Placement</x:v>
      </x:c>
      <x:c r="C459" s="10" t="n">
        <x:v>7</x:v>
      </x:c>
      <x:c r="D459" s="9" t="str">
        <x:v>Put the blue block on the table behind the green pen.</x:v>
      </x:c>
      <x:c r="E459" s="9" t="str">
        <x:v>green pen, blue block, pink marker, red block</x:v>
      </x:c>
      <x:c r="F459" s="9" t="str">
        <x:v>blue block → 2–8 cm edge gap behind green pen; centroid direction within ±45°.</x:v>
      </x:c>
      <x:c r="G459" s="9" t="str">
        <x:v>dropped the blue block to a position out of range. Went home and stayed still. </x:v>
      </x:c>
      <x:c r="H459" s="9" t="str">
        <x:v>In-distribution concept baseline</x:v>
      </x:c>
      <x:c r="I459" s="9" t="str">
        <x:v>RP-ID-CF02</x:v>
      </x:c>
      <x:c r="J459" s="9" t="str">
        <x:v>Four-way trained-cell counterfactual: front/behind polarity × target/reference role</x:v>
      </x:c>
      <x:c r="K459" s="9" t="n">
        <x:v>4</x:v>
      </x:c>
      <x:c r="L459" s="9" t="str">
        <x:v>362</x:v>
      </x:c>
      <x:c r="M459" s="9"/>
      <x:c r="N459" s="9"/>
      <x:c r="O459" s="9" t="str">
        <x:v>Reset the moved object to its marked pose; preserve the exact scene and change only the instruction.</x:v>
      </x:c>
      <x:c r="P459" s="9" t="str">
        <x:v>Exact explicitly trained ordered relation-object cell from training episode 362. The four adjacent prompts share one initially unsatisfied scene.</x:v>
      </x:c>
      <x:c r="Q459" s="9"/>
      <x:c r="R459" s="10" t="n">
        <x:v>4</x:v>
      </x:c>
      <x:c r="S459" s="10"/>
      <x:c r="T459" s="9"/>
      <x:c r="U459" s="9"/>
      <x:c r="V459" s="9"/>
      <x:c r="W459" s="9"/>
      <x:c r="X459" s="10"/>
      <x:c r="Y459" s="10"/>
      <x:c r="Z459" s="9"/>
      <x:c r="AA459" s="9"/>
      <x:c r="AB459" s="9"/>
      <x:c r="AC459" s="9" t="str">
        <x:v>behind</x:v>
      </x:c>
      <x:c r="AD459" s="9" t="str">
        <x:v>blue block</x:v>
      </x:c>
      <x:c r="AE459" s="9" t="str">
        <x:v>green pen</x:v>
      </x:c>
      <x:c r="AF459" s="9" t="str">
        <x:v>None</x:v>
      </x:c>
      <x:c r="AG459" s="9"/>
      <x:c r="AH459" s="9"/>
      <x:c r="AI459" s="11"/>
      <x:c r="AJ459" s="9"/>
      <x:c r="AK459" s="9" t="str">
        <x:v>Eval_Relational_Placement (1).xlsm</x:v>
      </x:c>
      <x:c r="AL459" s="9" t="str">
        <x:v>MolmoAct2 Results</x:v>
      </x:c>
      <x:c r="AM459" s="9" t="n">
        <x:v>9</x:v>
      </x:c>
      <x:c r="AN459" s="9" t="n">
        <x:v>9</x:v>
      </x:c>
    </x:row>
    <x:row r="460">
      <x:c r="A460" s="9" t="str">
        <x:v>Failure</x:v>
      </x:c>
      <x:c r="B460" s="9" t="str">
        <x:v>Relational Placement</x:v>
      </x:c>
      <x:c r="C460" s="10" t="n">
        <x:v>8</x:v>
      </x:c>
      <x:c r="D460" s="9" t="str">
        <x:v>Place the red block to the left of the pink marker.</x:v>
      </x:c>
      <x:c r="E460" s="9" t="str">
        <x:v>red block, pink marker, blue block</x:v>
      </x:c>
      <x:c r="F460" s="9" t="str">
        <x:v>red block → 2–8 cm edge gap to the left of pink marker; centroid direction within ±45°.</x:v>
      </x:c>
      <x:c r="G460" s="9" t="str">
        <x:v>placed on top and rolled to the right side</x:v>
      </x:c>
      <x:c r="H460" s="9" t="str">
        <x:v>In-distribution concept baseline</x:v>
      </x:c>
      <x:c r="I460" s="9" t="str">
        <x:v>RP-ID-CF03</x:v>
      </x:c>
      <x:c r="J460" s="9" t="str">
        <x:v>Four-way trained-cell counterfactual: left/right polarity × target/reference role</x:v>
      </x:c>
      <x:c r="K460" s="9"/>
      <x:c r="L460" s="9" t="str">
        <x:v>275</x:v>
      </x:c>
      <x:c r="M460" s="9"/>
      <x:c r="N460" s="9"/>
      <x:c r="O460" s="9" t="str">
        <x:v>Build the listed neutral scene and save the first frame.</x:v>
      </x:c>
      <x:c r="P460" s="9" t="str">
        <x:v>Exact explicitly trained ordered relation-object cell from training episode 275. The four adjacent prompts share one initially unsatisfied scene.</x:v>
      </x:c>
      <x:c r="Q460" s="9"/>
      <x:c r="R460" s="10" t="n">
        <x:v>3</x:v>
      </x:c>
      <x:c r="S460" s="10"/>
      <x:c r="T460" s="9"/>
      <x:c r="U460" s="9"/>
      <x:c r="V460" s="9"/>
      <x:c r="W460" s="9"/>
      <x:c r="X460" s="10"/>
      <x:c r="Y460" s="10"/>
      <x:c r="Z460" s="9"/>
      <x:c r="AA460" s="9"/>
      <x:c r="AB460" s="9"/>
      <x:c r="AC460" s="9" t="str">
        <x:v>left</x:v>
      </x:c>
      <x:c r="AD460" s="9" t="str">
        <x:v>red block</x:v>
      </x:c>
      <x:c r="AE460" s="9" t="str">
        <x:v>pink marker</x:v>
      </x:c>
      <x:c r="AF460" s="9" t="str">
        <x:v>None</x:v>
      </x:c>
      <x:c r="AG460" s="9"/>
      <x:c r="AH460" s="9"/>
      <x:c r="AI460" s="11"/>
      <x:c r="AJ460" s="9"/>
      <x:c r="AK460" s="9" t="str">
        <x:v>Eval_Relational_Placement (1).xlsm</x:v>
      </x:c>
      <x:c r="AL460" s="9" t="str">
        <x:v>MolmoAct2 Results</x:v>
      </x:c>
      <x:c r="AM460" s="9" t="n">
        <x:v>10</x:v>
      </x:c>
      <x:c r="AN460" s="9" t="n">
        <x:v>10</x:v>
      </x:c>
    </x:row>
    <x:row r="461">
      <x:c r="A461" s="9" t="str">
        <x:v>Success</x:v>
      </x:c>
      <x:c r="B461" s="9" t="str">
        <x:v>Relational Placement</x:v>
      </x:c>
      <x:c r="C461" s="10" t="n">
        <x:v>9</x:v>
      </x:c>
      <x:c r="D461" s="9" t="str">
        <x:v>Place the red block to the right of the pink marker.</x:v>
      </x:c>
      <x:c r="E461" s="9" t="str">
        <x:v>red block, pink marker, blue block</x:v>
      </x:c>
      <x:c r="F461" s="9" t="str">
        <x:v>red block → 2–8 cm edge gap to the right of pink marker; centroid direction within ±45°.</x:v>
      </x:c>
      <x:c r="G461" s="9" t="str">
        <x:v>put the block on the pen and pen spun around but block ended up in right position. </x:v>
      </x:c>
      <x:c r="H461" s="9" t="str">
        <x:v>In-distribution concept baseline</x:v>
      </x:c>
      <x:c r="I461" s="9" t="str">
        <x:v>RP-ID-CF03</x:v>
      </x:c>
      <x:c r="J461" s="9" t="str">
        <x:v>Four-way trained-cell counterfactual: left/right polarity × target/reference role</x:v>
      </x:c>
      <x:c r="K461" s="9" t="n">
        <x:v>8</x:v>
      </x:c>
      <x:c r="L461" s="9" t="str">
        <x:v>287</x:v>
      </x:c>
      <x:c r="M461" s="9"/>
      <x:c r="N461" s="9"/>
      <x:c r="O461" s="9" t="str">
        <x:v>Reset the moved object to its marked pose; preserve the exact scene and change only the instruction.</x:v>
      </x:c>
      <x:c r="P461" s="9" t="str">
        <x:v>Exact explicitly trained ordered relation-object cell from training episode 287. The four adjacent prompts share one initially unsatisfied scene.</x:v>
      </x:c>
      <x:c r="Q461" s="9"/>
      <x:c r="R461" s="10" t="n">
        <x:v>3</x:v>
      </x:c>
      <x:c r="S461" s="10"/>
      <x:c r="T461" s="9"/>
      <x:c r="U461" s="9"/>
      <x:c r="V461" s="9"/>
      <x:c r="W461" s="9"/>
      <x:c r="X461" s="10"/>
      <x:c r="Y461" s="10"/>
      <x:c r="Z461" s="9"/>
      <x:c r="AA461" s="9"/>
      <x:c r="AB461" s="9"/>
      <x:c r="AC461" s="9" t="str">
        <x:v>right</x:v>
      </x:c>
      <x:c r="AD461" s="9" t="str">
        <x:v>red block</x:v>
      </x:c>
      <x:c r="AE461" s="9" t="str">
        <x:v>pink marker</x:v>
      </x:c>
      <x:c r="AF461" s="9" t="str">
        <x:v>None</x:v>
      </x:c>
      <x:c r="AG461" s="9"/>
      <x:c r="AH461" s="9"/>
      <x:c r="AI461" s="11"/>
      <x:c r="AJ461" s="9"/>
      <x:c r="AK461" s="9" t="str">
        <x:v>Eval_Relational_Placement (1).xlsm</x:v>
      </x:c>
      <x:c r="AL461" s="9" t="str">
        <x:v>MolmoAct2 Results</x:v>
      </x:c>
      <x:c r="AM461" s="9" t="n">
        <x:v>11</x:v>
      </x:c>
      <x:c r="AN461" s="9" t="n">
        <x:v>11</x:v>
      </x:c>
    </x:row>
    <x:row r="462">
      <x:c r="A462" s="9" t="str">
        <x:v>Success</x:v>
      </x:c>
      <x:c r="B462" s="9" t="str">
        <x:v>Relational Placement</x:v>
      </x:c>
      <x:c r="C462" s="10" t="n">
        <x:v>10</x:v>
      </x:c>
      <x:c r="D462" s="9" t="str">
        <x:v>Place the pink marker to the left of the red block.</x:v>
      </x:c>
      <x:c r="E462" s="9" t="str">
        <x:v>red block, pink marker, blue block</x:v>
      </x:c>
      <x:c r="F462" s="9" t="str">
        <x:v>pink marker → 2–8 cm edge gap to the left of red block; centroid direction within ±45°.</x:v>
      </x:c>
      <x:c r="G462" s="9"/>
      <x:c r="H462" s="9" t="str">
        <x:v>In-distribution concept baseline</x:v>
      </x:c>
      <x:c r="I462" s="9" t="str">
        <x:v>RP-ID-CF03</x:v>
      </x:c>
      <x:c r="J462" s="9" t="str">
        <x:v>Four-way trained-cell counterfactual: left/right polarity × target/reference role</x:v>
      </x:c>
      <x:c r="K462" s="9" t="n">
        <x:v>8</x:v>
      </x:c>
      <x:c r="L462" s="9" t="str">
        <x:v>333</x:v>
      </x:c>
      <x:c r="M462" s="9"/>
      <x:c r="N462" s="9"/>
      <x:c r="O462" s="9" t="str">
        <x:v>Reset the moved object to its marked pose; preserve the exact scene and change only the instruction.</x:v>
      </x:c>
      <x:c r="P462" s="9" t="str">
        <x:v>Exact explicitly trained ordered relation-object cell from training episode 333. The four adjacent prompts share one initially unsatisfied scene.</x:v>
      </x:c>
      <x:c r="Q462" s="9"/>
      <x:c r="R462" s="10" t="n">
        <x:v>3</x:v>
      </x:c>
      <x:c r="S462" s="10"/>
      <x:c r="T462" s="9"/>
      <x:c r="U462" s="9"/>
      <x:c r="V462" s="9"/>
      <x:c r="W462" s="9"/>
      <x:c r="X462" s="10"/>
      <x:c r="Y462" s="10"/>
      <x:c r="Z462" s="9"/>
      <x:c r="AA462" s="9"/>
      <x:c r="AB462" s="9"/>
      <x:c r="AC462" s="9" t="str">
        <x:v>left</x:v>
      </x:c>
      <x:c r="AD462" s="9" t="str">
        <x:v>pink marker</x:v>
      </x:c>
      <x:c r="AE462" s="9" t="str">
        <x:v>red block</x:v>
      </x:c>
      <x:c r="AF462" s="9" t="str">
        <x:v>None</x:v>
      </x:c>
      <x:c r="AG462" s="9"/>
      <x:c r="AH462" s="9"/>
      <x:c r="AI462" s="11"/>
      <x:c r="AJ462" s="9"/>
      <x:c r="AK462" s="9" t="str">
        <x:v>Eval_Relational_Placement (1).xlsm</x:v>
      </x:c>
      <x:c r="AL462" s="9" t="str">
        <x:v>MolmoAct2 Results</x:v>
      </x:c>
      <x:c r="AM462" s="9" t="n">
        <x:v>12</x:v>
      </x:c>
      <x:c r="AN462" s="9" t="n">
        <x:v>12</x:v>
      </x:c>
    </x:row>
    <x:row r="463">
      <x:c r="A463" s="9" t="str">
        <x:v>Success</x:v>
      </x:c>
      <x:c r="B463" s="9" t="str">
        <x:v>Relational Placement</x:v>
      </x:c>
      <x:c r="C463" s="10" t="n">
        <x:v>11</x:v>
      </x:c>
      <x:c r="D463" s="9" t="str">
        <x:v>Place the pink marker to the right of the red block.</x:v>
      </x:c>
      <x:c r="E463" s="9" t="str">
        <x:v>red block, pink marker, blue block</x:v>
      </x:c>
      <x:c r="F463" s="9" t="str">
        <x:v>pink marker → 2–8 cm edge gap to the right of red block; centroid direction within ±45°.</x:v>
      </x:c>
      <x:c r="G463" s="9" t="str">
        <x:v>tried to pick the pink pen, but couldn't and it got thrown to the right of the red block. Technically ended up correct, but lowkey questionable if this should count</x:v>
      </x:c>
      <x:c r="H463" s="9" t="str">
        <x:v>In-distribution concept baseline</x:v>
      </x:c>
      <x:c r="I463" s="9" t="str">
        <x:v>RP-ID-CF03</x:v>
      </x:c>
      <x:c r="J463" s="9" t="str">
        <x:v>Four-way trained-cell counterfactual: left/right polarity × target/reference role</x:v>
      </x:c>
      <x:c r="K463" s="9" t="n">
        <x:v>8</x:v>
      </x:c>
      <x:c r="L463" s="9" t="str">
        <x:v>346</x:v>
      </x:c>
      <x:c r="M463" s="9"/>
      <x:c r="N463" s="9"/>
      <x:c r="O463" s="9" t="str">
        <x:v>Reset the moved object to its marked pose; preserve the exact scene and change only the instruction.</x:v>
      </x:c>
      <x:c r="P463" s="9" t="str">
        <x:v>Exact explicitly trained ordered relation-object cell from training episode 346. The four adjacent prompts share one initially unsatisfied scene.</x:v>
      </x:c>
      <x:c r="Q463" s="9"/>
      <x:c r="R463" s="10" t="n">
        <x:v>3</x:v>
      </x:c>
      <x:c r="S463" s="10"/>
      <x:c r="T463" s="9"/>
      <x:c r="U463" s="9"/>
      <x:c r="V463" s="9"/>
      <x:c r="W463" s="9"/>
      <x:c r="X463" s="10"/>
      <x:c r="Y463" s="10"/>
      <x:c r="Z463" s="9"/>
      <x:c r="AA463" s="9"/>
      <x:c r="AB463" s="9"/>
      <x:c r="AC463" s="9" t="str">
        <x:v>right</x:v>
      </x:c>
      <x:c r="AD463" s="9" t="str">
        <x:v>pink marker</x:v>
      </x:c>
      <x:c r="AE463" s="9" t="str">
        <x:v>red block</x:v>
      </x:c>
      <x:c r="AF463" s="9" t="str">
        <x:v>None</x:v>
      </x:c>
      <x:c r="AG463" s="9"/>
      <x:c r="AH463" s="9"/>
      <x:c r="AI463" s="11"/>
      <x:c r="AJ463" s="9"/>
      <x:c r="AK463" s="9" t="str">
        <x:v>Eval_Relational_Placement (1).xlsm</x:v>
      </x:c>
      <x:c r="AL463" s="9" t="str">
        <x:v>MolmoAct2 Results</x:v>
      </x:c>
      <x:c r="AM463" s="9" t="n">
        <x:v>13</x:v>
      </x:c>
      <x:c r="AN463" s="9" t="n">
        <x:v>13</x:v>
      </x:c>
    </x:row>
    <x:row r="464">
      <x:c r="A464" s="9" t="str">
        <x:v>Success</x:v>
      </x:c>
      <x:c r="B464" s="9" t="str">
        <x:v>Relational Placement</x:v>
      </x:c>
      <x:c r="C464" s="10" t="n">
        <x:v>12</x:v>
      </x:c>
      <x:c r="D464" s="9" t="str">
        <x:v>Place the red block to the left of the blue block.</x:v>
      </x:c>
      <x:c r="E464" s="9" t="str">
        <x:v>red block, blue block, green pen, pink marker</x:v>
      </x:c>
      <x:c r="F464" s="9" t="str">
        <x:v>red block → 2–8 cm edge gap to the left of blue block; centroid direction within ±45°.</x:v>
      </x:c>
      <x:c r="G464" s="9" t="str">
        <x:v>knocked blue block when it was placed red block down. Caused it to move, but ended up in right place.</x:v>
      </x:c>
      <x:c r="H464" s="9" t="str">
        <x:v>In-distribution concept baseline</x:v>
      </x:c>
      <x:c r="I464" s="9" t="str">
        <x:v>RP-ID-CF04</x:v>
      </x:c>
      <x:c r="J464" s="9" t="str">
        <x:v>Four-way trained-cell counterfactual: left/right polarity × target/reference role</x:v>
      </x:c>
      <x:c r="K464" s="9"/>
      <x:c r="L464" s="9" t="str">
        <x:v>279</x:v>
      </x:c>
      <x:c r="M464" s="9"/>
      <x:c r="N464" s="9"/>
      <x:c r="O464" s="9" t="str">
        <x:v>Build the listed neutral scene and save the first frame.</x:v>
      </x:c>
      <x:c r="P464" s="9" t="str">
        <x:v>Exact explicitly trained ordered relation-object cell from training episode 279. The four adjacent prompts share one initially unsatisfied scene.</x:v>
      </x:c>
      <x:c r="Q464" s="9"/>
      <x:c r="R464" s="10" t="n">
        <x:v>4</x:v>
      </x:c>
      <x:c r="S464" s="10"/>
      <x:c r="T464" s="9"/>
      <x:c r="U464" s="9"/>
      <x:c r="V464" s="9"/>
      <x:c r="W464" s="9"/>
      <x:c r="X464" s="10"/>
      <x:c r="Y464" s="10"/>
      <x:c r="Z464" s="9"/>
      <x:c r="AA464" s="9"/>
      <x:c r="AB464" s="9"/>
      <x:c r="AC464" s="9" t="str">
        <x:v>left</x:v>
      </x:c>
      <x:c r="AD464" s="9" t="str">
        <x:v>red block</x:v>
      </x:c>
      <x:c r="AE464" s="9" t="str">
        <x:v>blue block</x:v>
      </x:c>
      <x:c r="AF464" s="9" t="str">
        <x:v>None</x:v>
      </x:c>
      <x:c r="AG464" s="9"/>
      <x:c r="AH464" s="9"/>
      <x:c r="AI464" s="11"/>
      <x:c r="AJ464" s="9"/>
      <x:c r="AK464" s="9" t="str">
        <x:v>Eval_Relational_Placement (1).xlsm</x:v>
      </x:c>
      <x:c r="AL464" s="9" t="str">
        <x:v>MolmoAct2 Results</x:v>
      </x:c>
      <x:c r="AM464" s="9" t="n">
        <x:v>14</x:v>
      </x:c>
      <x:c r="AN464" s="9" t="n">
        <x:v>14</x:v>
      </x:c>
    </x:row>
    <x:row r="465">
      <x:c r="A465" s="9" t="str">
        <x:v>Success</x:v>
      </x:c>
      <x:c r="B465" s="9" t="str">
        <x:v>Relational Placement</x:v>
      </x:c>
      <x:c r="C465" s="10" t="n">
        <x:v>13</x:v>
      </x:c>
      <x:c r="D465" s="9" t="str">
        <x:v>Place the red block to the right of the blue block.</x:v>
      </x:c>
      <x:c r="E465" s="9" t="str">
        <x:v>red block, blue block, green pen, pink marker</x:v>
      </x:c>
      <x:c r="F465" s="9" t="str">
        <x:v>red block → 2–8 cm edge gap to the right of blue block; centroid direction within ±45°.</x:v>
      </x:c>
      <x:c r="G465" s="9"/>
      <x:c r="H465" s="9" t="str">
        <x:v>In-distribution concept baseline</x:v>
      </x:c>
      <x:c r="I465" s="9" t="str">
        <x:v>RP-ID-CF04</x:v>
      </x:c>
      <x:c r="J465" s="9" t="str">
        <x:v>Four-way trained-cell counterfactual: left/right polarity × target/reference role</x:v>
      </x:c>
      <x:c r="K465" s="9" t="n">
        <x:v>12</x:v>
      </x:c>
      <x:c r="L465" s="9" t="str">
        <x:v>292</x:v>
      </x:c>
      <x:c r="M465" s="9"/>
      <x:c r="N465" s="9"/>
      <x:c r="O465" s="9" t="str">
        <x:v>Reset the moved object to its marked pose; preserve the exact scene and change only the instruction.</x:v>
      </x:c>
      <x:c r="P465" s="9" t="str">
        <x:v>Exact explicitly trained ordered relation-object cell from training episode 292. The four adjacent prompts share one initially unsatisfied scene.</x:v>
      </x:c>
      <x:c r="Q465" s="9"/>
      <x:c r="R465" s="10" t="n">
        <x:v>4</x:v>
      </x:c>
      <x:c r="S465" s="10"/>
      <x:c r="T465" s="9"/>
      <x:c r="U465" s="9"/>
      <x:c r="V465" s="9"/>
      <x:c r="W465" s="9"/>
      <x:c r="X465" s="10"/>
      <x:c r="Y465" s="10"/>
      <x:c r="Z465" s="9"/>
      <x:c r="AA465" s="9"/>
      <x:c r="AB465" s="9"/>
      <x:c r="AC465" s="9" t="str">
        <x:v>right</x:v>
      </x:c>
      <x:c r="AD465" s="9" t="str">
        <x:v>red block</x:v>
      </x:c>
      <x:c r="AE465" s="9" t="str">
        <x:v>blue block</x:v>
      </x:c>
      <x:c r="AF465" s="9" t="str">
        <x:v>None</x:v>
      </x:c>
      <x:c r="AG465" s="9"/>
      <x:c r="AH465" s="9"/>
      <x:c r="AI465" s="11"/>
      <x:c r="AJ465" s="9"/>
      <x:c r="AK465" s="9" t="str">
        <x:v>Eval_Relational_Placement (1).xlsm</x:v>
      </x:c>
      <x:c r="AL465" s="9" t="str">
        <x:v>MolmoAct2 Results</x:v>
      </x:c>
      <x:c r="AM465" s="9" t="n">
        <x:v>15</x:v>
      </x:c>
      <x:c r="AN465" s="9" t="n">
        <x:v>15</x:v>
      </x:c>
    </x:row>
    <x:row r="466">
      <x:c r="A466" s="9" t="str">
        <x:v>Success</x:v>
      </x:c>
      <x:c r="B466" s="9" t="str">
        <x:v>Relational Placement</x:v>
      </x:c>
      <x:c r="C466" s="10" t="n">
        <x:v>14</x:v>
      </x:c>
      <x:c r="D466" s="9" t="str">
        <x:v>Place the blue block to the left of the red block.</x:v>
      </x:c>
      <x:c r="E466" s="9" t="str">
        <x:v>red block, blue block, green pen, pink marker</x:v>
      </x:c>
      <x:c r="F466" s="9" t="str">
        <x:v>blue block → 2–8 cm edge gap to the left of red block; centroid direction within ±45°.</x:v>
      </x:c>
      <x:c r="G466" s="9"/>
      <x:c r="H466" s="9" t="str">
        <x:v>In-distribution concept baseline</x:v>
      </x:c>
      <x:c r="I466" s="9" t="str">
        <x:v>RP-ID-CF04</x:v>
      </x:c>
      <x:c r="J466" s="9" t="str">
        <x:v>Four-way trained-cell counterfactual: left/right polarity × target/reference role</x:v>
      </x:c>
      <x:c r="K466" s="9" t="n">
        <x:v>12</x:v>
      </x:c>
      <x:c r="L466" s="9" t="str">
        <x:v>379</x:v>
      </x:c>
      <x:c r="M466" s="9"/>
      <x:c r="N466" s="9"/>
      <x:c r="O466" s="9" t="str">
        <x:v>Reset the moved object to its marked pose; preserve the exact scene and change only the instruction.</x:v>
      </x:c>
      <x:c r="P466" s="9" t="str">
        <x:v>Exact explicitly trained ordered relation-object cell from training episode 379. The four adjacent prompts share one initially unsatisfied scene.</x:v>
      </x:c>
      <x:c r="Q466" s="9"/>
      <x:c r="R466" s="10" t="n">
        <x:v>4</x:v>
      </x:c>
      <x:c r="S466" s="10"/>
      <x:c r="T466" s="9"/>
      <x:c r="U466" s="9"/>
      <x:c r="V466" s="9"/>
      <x:c r="W466" s="9"/>
      <x:c r="X466" s="10"/>
      <x:c r="Y466" s="10"/>
      <x:c r="Z466" s="9"/>
      <x:c r="AA466" s="9"/>
      <x:c r="AB466" s="9"/>
      <x:c r="AC466" s="9" t="str">
        <x:v>left</x:v>
      </x:c>
      <x:c r="AD466" s="9" t="str">
        <x:v>blue block</x:v>
      </x:c>
      <x:c r="AE466" s="9" t="str">
        <x:v>red block</x:v>
      </x:c>
      <x:c r="AF466" s="9" t="str">
        <x:v>None</x:v>
      </x:c>
      <x:c r="AG466" s="9"/>
      <x:c r="AH466" s="9"/>
      <x:c r="AI466" s="11"/>
      <x:c r="AJ466" s="9"/>
      <x:c r="AK466" s="9" t="str">
        <x:v>Eval_Relational_Placement (1).xlsm</x:v>
      </x:c>
      <x:c r="AL466" s="9" t="str">
        <x:v>MolmoAct2 Results</x:v>
      </x:c>
      <x:c r="AM466" s="9" t="n">
        <x:v>16</x:v>
      </x:c>
      <x:c r="AN466" s="9" t="n">
        <x:v>16</x:v>
      </x:c>
    </x:row>
    <x:row r="467">
      <x:c r="A467" s="9" t="str">
        <x:v>Success</x:v>
      </x:c>
      <x:c r="B467" s="9" t="str">
        <x:v>Relational Placement</x:v>
      </x:c>
      <x:c r="C467" s="10" t="n">
        <x:v>15</x:v>
      </x:c>
      <x:c r="D467" s="9" t="str">
        <x:v>Place the blue block to the right of the red block.</x:v>
      </x:c>
      <x:c r="E467" s="9" t="str">
        <x:v>red block, blue block, green pen, pink marker</x:v>
      </x:c>
      <x:c r="F467" s="9" t="str">
        <x:v>blue block → 2–8 cm edge gap to the right of red block; centroid direction within ±45°.</x:v>
      </x:c>
      <x:c r="G467" s="9"/>
      <x:c r="H467" s="9" t="str">
        <x:v>In-distribution concept baseline</x:v>
      </x:c>
      <x:c r="I467" s="9" t="str">
        <x:v>RP-ID-CF04</x:v>
      </x:c>
      <x:c r="J467" s="9" t="str">
        <x:v>Four-way trained-cell counterfactual: left/right polarity × target/reference role</x:v>
      </x:c>
      <x:c r="K467" s="9" t="n">
        <x:v>12</x:v>
      </x:c>
      <x:c r="L467" s="9" t="str">
        <x:v>392</x:v>
      </x:c>
      <x:c r="M467" s="9"/>
      <x:c r="N467" s="9"/>
      <x:c r="O467" s="9" t="str">
        <x:v>Reset the moved object to its marked pose; preserve the exact scene and change only the instruction.</x:v>
      </x:c>
      <x:c r="P467" s="9" t="str">
        <x:v>Exact explicitly trained ordered relation-object cell from training episode 392. The four adjacent prompts share one initially unsatisfied scene.</x:v>
      </x:c>
      <x:c r="Q467" s="9"/>
      <x:c r="R467" s="10" t="n">
        <x:v>4</x:v>
      </x:c>
      <x:c r="S467" s="10"/>
      <x:c r="T467" s="9"/>
      <x:c r="U467" s="9"/>
      <x:c r="V467" s="9"/>
      <x:c r="W467" s="9"/>
      <x:c r="X467" s="10"/>
      <x:c r="Y467" s="10"/>
      <x:c r="Z467" s="9"/>
      <x:c r="AA467" s="9"/>
      <x:c r="AB467" s="9"/>
      <x:c r="AC467" s="9" t="str">
        <x:v>right</x:v>
      </x:c>
      <x:c r="AD467" s="9" t="str">
        <x:v>blue block</x:v>
      </x:c>
      <x:c r="AE467" s="9" t="str">
        <x:v>red block</x:v>
      </x:c>
      <x:c r="AF467" s="9" t="str">
        <x:v>None</x:v>
      </x:c>
      <x:c r="AG467" s="9"/>
      <x:c r="AH467" s="9"/>
      <x:c r="AI467" s="11"/>
      <x:c r="AJ467" s="9"/>
      <x:c r="AK467" s="9" t="str">
        <x:v>Eval_Relational_Placement (1).xlsm</x:v>
      </x:c>
      <x:c r="AL467" s="9" t="str">
        <x:v>MolmoAct2 Results</x:v>
      </x:c>
      <x:c r="AM467" s="9" t="n">
        <x:v>17</x:v>
      </x:c>
      <x:c r="AN467" s="9" t="n">
        <x:v>17</x:v>
      </x:c>
    </x:row>
    <x:row r="468">
      <x:c r="A468" s="9" t="str">
        <x:v>Success</x:v>
      </x:c>
      <x:c r="B468" s="9" t="str">
        <x:v>Relational Placement</x:v>
      </x:c>
      <x:c r="C468" s="10" t="n">
        <x:v>16</x:v>
      </x:c>
      <x:c r="D468" s="9" t="str">
        <x:v>Place the green pen to the left of the pink marker.</x:v>
      </x:c>
      <x:c r="E468" s="9" t="str">
        <x:v>green pen, pink marker, red block, blue block</x:v>
      </x:c>
      <x:c r="F468" s="9" t="str">
        <x:v>green pen → 2–8 cm edge gap to the left of pink marker; centroid direction within ±45°.</x:v>
      </x:c>
      <x:c r="G468" s="9" t="str">
        <x:v>seemed like it couldn't decided whether to put on the left or the right. Ultimately put it on the left.</x:v>
      </x:c>
      <x:c r="H468" s="9" t="str">
        <x:v>In-distribution concept baseline</x:v>
      </x:c>
      <x:c r="I468" s="9" t="str">
        <x:v>RP-ID-CF05</x:v>
      </x:c>
      <x:c r="J468" s="9" t="str">
        <x:v>Four-prompt trained-cell mixed-axis counterfactual with all four target identities</x:v>
      </x:c>
      <x:c r="K468" s="9"/>
      <x:c r="L468" s="9" t="str">
        <x:v>229</x:v>
      </x:c>
      <x:c r="M468" s="9"/>
      <x:c r="N468" s="9"/>
      <x:c r="O468" s="9" t="str">
        <x:v>Build the listed neutral scene and save the first frame.</x:v>
      </x:c>
      <x:c r="P468" s="9" t="str">
        <x:v>Exact explicitly trained ordered relation-object cell from training episode 229. The four adjacent prompts share one initially unsatisfied scene.</x:v>
      </x:c>
      <x:c r="Q468" s="9"/>
      <x:c r="R468" s="10" t="n">
        <x:v>4</x:v>
      </x:c>
      <x:c r="S468" s="10"/>
      <x:c r="T468" s="9"/>
      <x:c r="U468" s="9"/>
      <x:c r="V468" s="9"/>
      <x:c r="W468" s="9"/>
      <x:c r="X468" s="10"/>
      <x:c r="Y468" s="10"/>
      <x:c r="Z468" s="9"/>
      <x:c r="AA468" s="9"/>
      <x:c r="AB468" s="9"/>
      <x:c r="AC468" s="9" t="str">
        <x:v>left</x:v>
      </x:c>
      <x:c r="AD468" s="9" t="str">
        <x:v>green pen</x:v>
      </x:c>
      <x:c r="AE468" s="9" t="str">
        <x:v>pink marker</x:v>
      </x:c>
      <x:c r="AF468" s="9" t="str">
        <x:v>None</x:v>
      </x:c>
      <x:c r="AG468" s="9"/>
      <x:c r="AH468" s="9"/>
      <x:c r="AI468" s="11"/>
      <x:c r="AJ468" s="9"/>
      <x:c r="AK468" s="9" t="str">
        <x:v>Eval_Relational_Placement (1).xlsm</x:v>
      </x:c>
      <x:c r="AL468" s="9" t="str">
        <x:v>MolmoAct2 Results</x:v>
      </x:c>
      <x:c r="AM468" s="9" t="n">
        <x:v>18</x:v>
      </x:c>
      <x:c r="AN468" s="9" t="n">
        <x:v>18</x:v>
      </x:c>
    </x:row>
    <x:row r="469">
      <x:c r="A469" s="9" t="str">
        <x:v>Success</x:v>
      </x:c>
      <x:c r="B469" s="9" t="str">
        <x:v>Relational Placement</x:v>
      </x:c>
      <x:c r="C469" s="10" t="n">
        <x:v>17</x:v>
      </x:c>
      <x:c r="D469" s="9" t="str">
        <x:v>Place the pink marker to the right of the green pen.</x:v>
      </x:c>
      <x:c r="E469" s="9" t="str">
        <x:v>green pen, pink marker, red block, blue block</x:v>
      </x:c>
      <x:c r="F469" s="9" t="str">
        <x:v>pink marker → 2–8 cm edge gap to the right of green pen; centroid direction within ±45°.</x:v>
      </x:c>
      <x:c r="G469" s="9"/>
      <x:c r="H469" s="9" t="str">
        <x:v>In-distribution concept baseline</x:v>
      </x:c>
      <x:c r="I469" s="9" t="str">
        <x:v>RP-ID-CF05</x:v>
      </x:c>
      <x:c r="J469" s="9" t="str">
        <x:v>Four-prompt trained-cell mixed-axis counterfactual with all four target identities</x:v>
      </x:c>
      <x:c r="K469" s="9" t="n">
        <x:v>16</x:v>
      </x:c>
      <x:c r="L469" s="9" t="str">
        <x:v>342</x:v>
      </x:c>
      <x:c r="M469" s="9"/>
      <x:c r="N469" s="9"/>
      <x:c r="O469" s="9" t="str">
        <x:v>Reset the moved object to its marked pose; preserve the exact scene and change only the instruction.</x:v>
      </x:c>
      <x:c r="P469" s="9" t="str">
        <x:v>Exact explicitly trained ordered relation-object cell from training episode 342. The four adjacent prompts share one initially unsatisfied scene.</x:v>
      </x:c>
      <x:c r="Q469" s="9"/>
      <x:c r="R469" s="10" t="n">
        <x:v>4</x:v>
      </x:c>
      <x:c r="S469" s="10"/>
      <x:c r="T469" s="9"/>
      <x:c r="U469" s="9"/>
      <x:c r="V469" s="9"/>
      <x:c r="W469" s="9"/>
      <x:c r="X469" s="10"/>
      <x:c r="Y469" s="10"/>
      <x:c r="Z469" s="9"/>
      <x:c r="AA469" s="9"/>
      <x:c r="AB469" s="9"/>
      <x:c r="AC469" s="9" t="str">
        <x:v>right</x:v>
      </x:c>
      <x:c r="AD469" s="9" t="str">
        <x:v>pink marker</x:v>
      </x:c>
      <x:c r="AE469" s="9" t="str">
        <x:v>green pen</x:v>
      </x:c>
      <x:c r="AF469" s="9" t="str">
        <x:v>None</x:v>
      </x:c>
      <x:c r="AG469" s="9"/>
      <x:c r="AH469" s="9"/>
      <x:c r="AI469" s="11"/>
      <x:c r="AJ469" s="9"/>
      <x:c r="AK469" s="9" t="str">
        <x:v>Eval_Relational_Placement (1).xlsm</x:v>
      </x:c>
      <x:c r="AL469" s="9" t="str">
        <x:v>MolmoAct2 Results</x:v>
      </x:c>
      <x:c r="AM469" s="9" t="n">
        <x:v>19</x:v>
      </x:c>
      <x:c r="AN469" s="9" t="n">
        <x:v>19</x:v>
      </x:c>
    </x:row>
    <x:row r="470">
      <x:c r="A470" s="9" t="str">
        <x:v>Success</x:v>
      </x:c>
      <x:c r="B470" s="9" t="str">
        <x:v>Relational Placement</x:v>
      </x:c>
      <x:c r="C470" s="10" t="n">
        <x:v>18</x:v>
      </x:c>
      <x:c r="D470" s="9" t="str">
        <x:v>Move the red block to the front of the blue block.</x:v>
      </x:c>
      <x:c r="E470" s="9" t="str">
        <x:v>green pen, pink marker, red block, blue block</x:v>
      </x:c>
      <x:c r="F470" s="9" t="str">
        <x:v>red block → 2–8 cm edge gap in front of blue block; centroid direction within ±45°.</x:v>
      </x:c>
      <x:c r="G470" s="9"/>
      <x:c r="H470" s="9" t="str">
        <x:v>In-distribution concept baseline</x:v>
      </x:c>
      <x:c r="I470" s="9" t="str">
        <x:v>RP-ID-CF05</x:v>
      </x:c>
      <x:c r="J470" s="9" t="str">
        <x:v>Four-prompt trained-cell mixed-axis counterfactual with all four target identities</x:v>
      </x:c>
      <x:c r="K470" s="9" t="n">
        <x:v>16</x:v>
      </x:c>
      <x:c r="L470" s="9" t="str">
        <x:v>254</x:v>
      </x:c>
      <x:c r="M470" s="9"/>
      <x:c r="N470" s="9"/>
      <x:c r="O470" s="9" t="str">
        <x:v>Reset the moved object to its marked pose; preserve the exact scene and change only the instruction.</x:v>
      </x:c>
      <x:c r="P470" s="9" t="str">
        <x:v>Exact explicitly trained ordered relation-object cell from training episode 254. The four adjacent prompts share one initially unsatisfied scene.</x:v>
      </x:c>
      <x:c r="Q470" s="9"/>
      <x:c r="R470" s="10" t="n">
        <x:v>4</x:v>
      </x:c>
      <x:c r="S470" s="10"/>
      <x:c r="T470" s="9"/>
      <x:c r="U470" s="9"/>
      <x:c r="V470" s="9"/>
      <x:c r="W470" s="9"/>
      <x:c r="X470" s="10"/>
      <x:c r="Y470" s="10"/>
      <x:c r="Z470" s="9"/>
      <x:c r="AA470" s="9"/>
      <x:c r="AB470" s="9"/>
      <x:c r="AC470" s="9" t="str">
        <x:v>front</x:v>
      </x:c>
      <x:c r="AD470" s="9" t="str">
        <x:v>red block</x:v>
      </x:c>
      <x:c r="AE470" s="9" t="str">
        <x:v>blue block</x:v>
      </x:c>
      <x:c r="AF470" s="9" t="str">
        <x:v>None</x:v>
      </x:c>
      <x:c r="AG470" s="9"/>
      <x:c r="AH470" s="9"/>
      <x:c r="AI470" s="11"/>
      <x:c r="AJ470" s="9"/>
      <x:c r="AK470" s="9" t="str">
        <x:v>Eval_Relational_Placement (1).xlsm</x:v>
      </x:c>
      <x:c r="AL470" s="9" t="str">
        <x:v>MolmoAct2 Results</x:v>
      </x:c>
      <x:c r="AM470" s="9" t="n">
        <x:v>20</x:v>
      </x:c>
      <x:c r="AN470" s="9" t="n">
        <x:v>20</x:v>
      </x:c>
    </x:row>
    <x:row r="471">
      <x:c r="A471" s="9" t="str">
        <x:v>Success</x:v>
      </x:c>
      <x:c r="B471" s="9" t="str">
        <x:v>Relational Placement</x:v>
      </x:c>
      <x:c r="C471" s="10" t="n">
        <x:v>19</x:v>
      </x:c>
      <x:c r="D471" s="9" t="str">
        <x:v>Place the blue block behind the red block.</x:v>
      </x:c>
      <x:c r="E471" s="9" t="str">
        <x:v>green pen, pink marker, red block, blue block</x:v>
      </x:c>
      <x:c r="F471" s="9" t="str">
        <x:v>blue block → 2–8 cm edge gap behind red block; centroid direction within ±45°.</x:v>
      </x:c>
      <x:c r="G471" s="9" t="str">
        <x:v>behind and to the right. kind of iffy, but I'll count it</x:v>
      </x:c>
      <x:c r="H471" s="9" t="str">
        <x:v>In-distribution concept baseline</x:v>
      </x:c>
      <x:c r="I471" s="9" t="str">
        <x:v>RP-ID-CF05</x:v>
      </x:c>
      <x:c r="J471" s="9" t="str">
        <x:v>Four-prompt trained-cell mixed-axis counterfactual with all four target identities</x:v>
      </x:c>
      <x:c r="K471" s="9" t="n">
        <x:v>16</x:v>
      </x:c>
      <x:c r="L471" s="9" t="str">
        <x:v>367</x:v>
      </x:c>
      <x:c r="M471" s="9"/>
      <x:c r="N471" s="9"/>
      <x:c r="O471" s="9" t="str">
        <x:v>Reset the moved object to its marked pose; preserve the exact scene and change only the instruction.</x:v>
      </x:c>
      <x:c r="P471" s="9" t="str">
        <x:v>Exact explicitly trained ordered relation-object cell from training episode 367. The four adjacent prompts share one initially unsatisfied scene.</x:v>
      </x:c>
      <x:c r="Q471" s="9"/>
      <x:c r="R471" s="10" t="n">
        <x:v>4</x:v>
      </x:c>
      <x:c r="S471" s="10"/>
      <x:c r="T471" s="9"/>
      <x:c r="U471" s="9"/>
      <x:c r="V471" s="9"/>
      <x:c r="W471" s="9"/>
      <x:c r="X471" s="10"/>
      <x:c r="Y471" s="10"/>
      <x:c r="Z471" s="9"/>
      <x:c r="AA471" s="9"/>
      <x:c r="AB471" s="9"/>
      <x:c r="AC471" s="9" t="str">
        <x:v>behind</x:v>
      </x:c>
      <x:c r="AD471" s="9" t="str">
        <x:v>blue block</x:v>
      </x:c>
      <x:c r="AE471" s="9" t="str">
        <x:v>red block</x:v>
      </x:c>
      <x:c r="AF471" s="9" t="str">
        <x:v>None</x:v>
      </x:c>
      <x:c r="AG471" s="9"/>
      <x:c r="AH471" s="9"/>
      <x:c r="AI471" s="11"/>
      <x:c r="AJ471" s="9"/>
      <x:c r="AK471" s="9" t="str">
        <x:v>Eval_Relational_Placement (1).xlsm</x:v>
      </x:c>
      <x:c r="AL471" s="9" t="str">
        <x:v>MolmoAct2 Results</x:v>
      </x:c>
      <x:c r="AM471" s="9" t="n">
        <x:v>21</x:v>
      </x:c>
      <x:c r="AN471" s="9" t="n">
        <x:v>21</x:v>
      </x:c>
    </x:row>
    <x:row r="472">
      <x:c r="A472" s="9" t="str">
        <x:v>Success</x:v>
      </x:c>
      <x:c r="B472" s="9" t="str">
        <x:v>Relational Placement</x:v>
      </x:c>
      <x:c r="C472" s="10" t="n">
        <x:v>20</x:v>
      </x:c>
      <x:c r="D472" s="9" t="str">
        <x:v>Place the green pen in front of the red block.</x:v>
      </x:c>
      <x:c r="E472" s="9" t="str">
        <x:v>green pen, red block, pink marker</x:v>
      </x:c>
      <x:c r="F472" s="9" t="str">
        <x:v>green pen → 2–8 cm edge gap in front of red block; centroid direction within ±45°.</x:v>
      </x:c>
      <x:c r="G472" s="9"/>
      <x:c r="H472" s="9" t="str">
        <x:v>Concept/compositional transfer</x:v>
      </x:c>
      <x:c r="I472" s="9" t="str">
        <x:v>RP-CT-CF01</x:v>
      </x:c>
      <x:c r="J472" s="9" t="str">
        <x:v>Four-way held-out counterfactual: relation polarity × target/reference role</x:v>
      </x:c>
      <x:c r="K472" s="9"/>
      <x:c r="L472" s="9" t="str">
        <x:v>201</x:v>
      </x:c>
      <x:c r="M472" s="9"/>
      <x:c r="N472" s="9"/>
      <x:c r="O472" s="9" t="str">
        <x:v>Build the listed neutral-axis scene and save the first frame.</x:v>
      </x:c>
      <x:c r="P472" s="9" t="str">
        <x:v>The directional word × ordered green-pen/red-block role is held out. Source episode 201 supplies the same target manipulation under a trained near/next-to/beside prompt. The orthogonal start prevents an inverse-start shortcut.</x:v>
      </x:c>
      <x:c r="Q472" s="9"/>
      <x:c r="R472" s="10" t="n">
        <x:v>3</x:v>
      </x:c>
      <x:c r="S472" s="10"/>
      <x:c r="T472" s="9"/>
      <x:c r="U472" s="9"/>
      <x:c r="V472" s="9"/>
      <x:c r="W472" s="9"/>
      <x:c r="X472" s="10"/>
      <x:c r="Y472" s="10"/>
      <x:c r="Z472" s="9"/>
      <x:c r="AA472" s="9"/>
      <x:c r="AB472" s="9"/>
      <x:c r="AC472" s="9" t="str">
        <x:v>front</x:v>
      </x:c>
      <x:c r="AD472" s="9" t="str">
        <x:v>green pen</x:v>
      </x:c>
      <x:c r="AE472" s="9" t="str">
        <x:v>red block</x:v>
      </x:c>
      <x:c r="AF472" s="9" t="str">
        <x:v>None</x:v>
      </x:c>
      <x:c r="AG472" s="9"/>
      <x:c r="AH472" s="9"/>
      <x:c r="AI472" s="11"/>
      <x:c r="AJ472" s="9"/>
      <x:c r="AK472" s="9" t="str">
        <x:v>Eval_Relational_Placement (1).xlsm</x:v>
      </x:c>
      <x:c r="AL472" s="9" t="str">
        <x:v>MolmoAct2 Results</x:v>
      </x:c>
      <x:c r="AM472" s="9" t="n">
        <x:v>22</x:v>
      </x:c>
      <x:c r="AN472" s="9" t="n">
        <x:v>22</x:v>
      </x:c>
    </x:row>
    <x:row r="473">
      <x:c r="A473" s="9" t="str">
        <x:v>Failure</x:v>
      </x:c>
      <x:c r="B473" s="9" t="str">
        <x:v>Relational Placement</x:v>
      </x:c>
      <x:c r="C473" s="10" t="n">
        <x:v>21</x:v>
      </x:c>
      <x:c r="D473" s="9" t="str">
        <x:v>Place the green pen behind the red block.</x:v>
      </x:c>
      <x:c r="E473" s="9" t="str">
        <x:v>green pen, red block, pink marker</x:v>
      </x:c>
      <x:c r="F473" s="9" t="str">
        <x:v>green pen → 2–8 cm edge gap behind red block; centroid direction within ±45°.</x:v>
      </x:c>
      <x:c r="G473" s="9" t="str">
        <x:v>placed more to the left and behind. mostly left so fail</x:v>
      </x:c>
      <x:c r="H473" s="9" t="str">
        <x:v>Concept/compositional transfer</x:v>
      </x:c>
      <x:c r="I473" s="9" t="str">
        <x:v>RP-CT-CF01</x:v>
      </x:c>
      <x:c r="J473" s="9" t="str">
        <x:v>Four-way held-out counterfactual: relation polarity × target/reference role</x:v>
      </x:c>
      <x:c r="K473" s="9" t="n">
        <x:v>20</x:v>
      </x:c>
      <x:c r="L473" s="9" t="str">
        <x:v>213</x:v>
      </x:c>
      <x:c r="M473" s="9"/>
      <x:c r="N473" s="9"/>
      <x:c r="O473" s="9" t="str">
        <x:v>Reset both core objects to their marked poses; preserve distractors, camera, and robot start; change only the instruction.</x:v>
      </x:c>
      <x:c r="P473" s="9" t="str">
        <x:v>The directional word × ordered green-pen/red-block role is held out. Source episode 213 supplies the same target manipulation under a trained near/next-to/beside prompt. The orthogonal start prevents an inverse-start shortcut.</x:v>
      </x:c>
      <x:c r="Q473" s="9"/>
      <x:c r="R473" s="10" t="n">
        <x:v>3</x:v>
      </x:c>
      <x:c r="S473" s="10"/>
      <x:c r="T473" s="9"/>
      <x:c r="U473" s="9"/>
      <x:c r="V473" s="9"/>
      <x:c r="W473" s="9"/>
      <x:c r="X473" s="10"/>
      <x:c r="Y473" s="10"/>
      <x:c r="Z473" s="9"/>
      <x:c r="AA473" s="9"/>
      <x:c r="AB473" s="9"/>
      <x:c r="AC473" s="9" t="str">
        <x:v>behind</x:v>
      </x:c>
      <x:c r="AD473" s="9" t="str">
        <x:v>green pen</x:v>
      </x:c>
      <x:c r="AE473" s="9" t="str">
        <x:v>red block</x:v>
      </x:c>
      <x:c r="AF473" s="9" t="str">
        <x:v>None</x:v>
      </x:c>
      <x:c r="AG473" s="9"/>
      <x:c r="AH473" s="9"/>
      <x:c r="AI473" s="11"/>
      <x:c r="AJ473" s="9"/>
      <x:c r="AK473" s="9" t="str">
        <x:v>Eval_Relational_Placement (1).xlsm</x:v>
      </x:c>
      <x:c r="AL473" s="9" t="str">
        <x:v>MolmoAct2 Results</x:v>
      </x:c>
      <x:c r="AM473" s="9" t="n">
        <x:v>23</x:v>
      </x:c>
      <x:c r="AN473" s="9" t="n">
        <x:v>23</x:v>
      </x:c>
    </x:row>
    <x:row r="474">
      <x:c r="A474" s="9" t="str">
        <x:v>Success</x:v>
      </x:c>
      <x:c r="B474" s="9" t="str">
        <x:v>Relational Placement</x:v>
      </x:c>
      <x:c r="C474" s="10" t="n">
        <x:v>22</x:v>
      </x:c>
      <x:c r="D474" s="9" t="str">
        <x:v>Place the red block in front of the green pen.</x:v>
      </x:c>
      <x:c r="E474" s="9" t="str">
        <x:v>green pen, red block, pink marker</x:v>
      </x:c>
      <x:c r="F474" s="9" t="str">
        <x:v>red block → 2–8 cm edge gap in front of green pen; centroid direction within ±45°.</x:v>
      </x:c>
      <x:c r="G474" s="9" t="str">
        <x:v>right and in front, but I think it counts</x:v>
      </x:c>
      <x:c r="H474" s="9" t="str">
        <x:v>Concept/compositional transfer</x:v>
      </x:c>
      <x:c r="I474" s="9" t="str">
        <x:v>RP-CT-CF01</x:v>
      </x:c>
      <x:c r="J474" s="9" t="str">
        <x:v>Four-way held-out counterfactual: relation polarity × target/reference role</x:v>
      </x:c>
      <x:c r="K474" s="9" t="n">
        <x:v>20</x:v>
      </x:c>
      <x:c r="L474" s="9" t="str">
        <x:v>259</x:v>
      </x:c>
      <x:c r="M474" s="9"/>
      <x:c r="N474" s="9"/>
      <x:c r="O474" s="9" t="str">
        <x:v>Reset both core objects to their marked poses; preserve distractors, camera, and robot start; change only the instruction.</x:v>
      </x:c>
      <x:c r="P474" s="9" t="str">
        <x:v>The directional word × ordered green-pen/red-block role is held out. Source episode 259 supplies the same target manipulation under a trained near/next-to/beside prompt. The orthogonal start prevents an inverse-start shortcut.</x:v>
      </x:c>
      <x:c r="Q474" s="9"/>
      <x:c r="R474" s="10" t="n">
        <x:v>3</x:v>
      </x:c>
      <x:c r="S474" s="10"/>
      <x:c r="T474" s="9"/>
      <x:c r="U474" s="9"/>
      <x:c r="V474" s="9"/>
      <x:c r="W474" s="9"/>
      <x:c r="X474" s="10"/>
      <x:c r="Y474" s="10"/>
      <x:c r="Z474" s="9"/>
      <x:c r="AA474" s="9"/>
      <x:c r="AB474" s="9"/>
      <x:c r="AC474" s="9" t="str">
        <x:v>front</x:v>
      </x:c>
      <x:c r="AD474" s="9" t="str">
        <x:v>red block</x:v>
      </x:c>
      <x:c r="AE474" s="9" t="str">
        <x:v>green pen</x:v>
      </x:c>
      <x:c r="AF474" s="9" t="str">
        <x:v>None</x:v>
      </x:c>
      <x:c r="AG474" s="9"/>
      <x:c r="AH474" s="9"/>
      <x:c r="AI474" s="11"/>
      <x:c r="AJ474" s="9"/>
      <x:c r="AK474" s="9" t="str">
        <x:v>Eval_Relational_Placement (1).xlsm</x:v>
      </x:c>
      <x:c r="AL474" s="9" t="str">
        <x:v>MolmoAct2 Results</x:v>
      </x:c>
      <x:c r="AM474" s="9" t="n">
        <x:v>24</x:v>
      </x:c>
      <x:c r="AN474" s="9" t="n">
        <x:v>24</x:v>
      </x:c>
    </x:row>
    <x:row r="475">
      <x:c r="A475" s="9" t="str">
        <x:v>Failure</x:v>
      </x:c>
      <x:c r="B475" s="9" t="str">
        <x:v>Relational Placement</x:v>
      </x:c>
      <x:c r="C475" s="10" t="n">
        <x:v>23</x:v>
      </x:c>
      <x:c r="D475" s="9" t="str">
        <x:v>Place the red block behind the green pen.</x:v>
      </x:c>
      <x:c r="E475" s="9" t="str">
        <x:v>green pen, red block, pink marker</x:v>
      </x:c>
      <x:c r="F475" s="9" t="str">
        <x:v>red block → 2–8 cm edge gap behind green pen; centroid direction within ±45°.</x:v>
      </x:c>
      <x:c r="G475" s="9" t="str">
        <x:v>had it in the correct spot originally but then kept grasping and releasing the block. The block eventually flung way back out of reach and robot couldn't recover. technically behind, but really far behind.</x:v>
      </x:c>
      <x:c r="H475" s="9" t="str">
        <x:v>Concept/compositional transfer</x:v>
      </x:c>
      <x:c r="I475" s="9" t="str">
        <x:v>RP-CT-CF01</x:v>
      </x:c>
      <x:c r="J475" s="9" t="str">
        <x:v>Four-way held-out counterfactual: relation polarity × target/reference role</x:v>
      </x:c>
      <x:c r="K475" s="9" t="n">
        <x:v>20</x:v>
      </x:c>
      <x:c r="L475" s="9" t="str">
        <x:v>272</x:v>
      </x:c>
      <x:c r="M475" s="9"/>
      <x:c r="N475" s="9"/>
      <x:c r="O475" s="9" t="str">
        <x:v>Reset both core objects to their marked poses; preserve distractors, camera, and robot start; change only the instruction.</x:v>
      </x:c>
      <x:c r="P475" s="9" t="str">
        <x:v>The directional word × ordered green-pen/red-block role is held out. Source episode 272 supplies the same target manipulation under a trained near/next-to/beside prompt. The orthogonal start prevents an inverse-start shortcut.</x:v>
      </x:c>
      <x:c r="Q475" s="9"/>
      <x:c r="R475" s="10" t="n">
        <x:v>3</x:v>
      </x:c>
      <x:c r="S475" s="10"/>
      <x:c r="T475" s="9"/>
      <x:c r="U475" s="9"/>
      <x:c r="V475" s="9"/>
      <x:c r="W475" s="9"/>
      <x:c r="X475" s="10"/>
      <x:c r="Y475" s="10"/>
      <x:c r="Z475" s="9"/>
      <x:c r="AA475" s="9"/>
      <x:c r="AB475" s="9"/>
      <x:c r="AC475" s="9" t="str">
        <x:v>behind</x:v>
      </x:c>
      <x:c r="AD475" s="9" t="str">
        <x:v>red block</x:v>
      </x:c>
      <x:c r="AE475" s="9" t="str">
        <x:v>green pen</x:v>
      </x:c>
      <x:c r="AF475" s="9" t="str">
        <x:v>None</x:v>
      </x:c>
      <x:c r="AG475" s="9"/>
      <x:c r="AH475" s="9"/>
      <x:c r="AI475" s="11"/>
      <x:c r="AJ475" s="9"/>
      <x:c r="AK475" s="9" t="str">
        <x:v>Eval_Relational_Placement (1).xlsm</x:v>
      </x:c>
      <x:c r="AL475" s="9" t="str">
        <x:v>MolmoAct2 Results</x:v>
      </x:c>
      <x:c r="AM475" s="9" t="n">
        <x:v>25</x:v>
      </x:c>
      <x:c r="AN475" s="9" t="n">
        <x:v>25</x:v>
      </x:c>
    </x:row>
    <x:row r="476">
      <x:c r="A476" s="9" t="str">
        <x:v>Failure</x:v>
      </x:c>
      <x:c r="B476" s="9" t="str">
        <x:v>Relational Placement</x:v>
      </x:c>
      <x:c r="C476" s="10" t="n">
        <x:v>24</x:v>
      </x:c>
      <x:c r="D476" s="9" t="str">
        <x:v>Place the green pen in front of the red block.</x:v>
      </x:c>
      <x:c r="E476" s="9" t="str">
        <x:v>green pen, red block, blue block, pink marker</x:v>
      </x:c>
      <x:c r="F476" s="9" t="str">
        <x:v>green pen → 2–8 cm edge gap in front of red block; centroid direction within ±45°.</x:v>
      </x:c>
      <x:c r="G476" s="9" t="str">
        <x:v>placed to the right. Also did the back and forth left right thing.</x:v>
      </x:c>
      <x:c r="H476" s="9" t="str">
        <x:v>Concept/compositional transfer</x:v>
      </x:c>
      <x:c r="I476" s="9" t="str">
        <x:v>RP-CT-CF02</x:v>
      </x:c>
      <x:c r="J476" s="9" t="str">
        <x:v>Four-way held-out counterfactual: relation polarity × target/reference role</x:v>
      </x:c>
      <x:c r="K476" s="9"/>
      <x:c r="L476" s="9" t="str">
        <x:v>202</x:v>
      </x:c>
      <x:c r="M476" s="9"/>
      <x:c r="N476" s="9"/>
      <x:c r="O476" s="9" t="str">
        <x:v>Build the listed neutral-axis scene and save the first frame.</x:v>
      </x:c>
      <x:c r="P476" s="9" t="str">
        <x:v>The directional word × ordered green-pen/red-block role is held out. Source episode 202 supplies the same target manipulation under a trained near/next-to/beside prompt. The orthogonal start prevents an inverse-start shortcut.</x:v>
      </x:c>
      <x:c r="Q476" s="9"/>
      <x:c r="R476" s="10" t="n">
        <x:v>4</x:v>
      </x:c>
      <x:c r="S476" s="10"/>
      <x:c r="T476" s="9"/>
      <x:c r="U476" s="9"/>
      <x:c r="V476" s="9"/>
      <x:c r="W476" s="9"/>
      <x:c r="X476" s="10"/>
      <x:c r="Y476" s="10"/>
      <x:c r="Z476" s="9"/>
      <x:c r="AA476" s="9"/>
      <x:c r="AB476" s="9"/>
      <x:c r="AC476" s="9" t="str">
        <x:v>front</x:v>
      </x:c>
      <x:c r="AD476" s="9" t="str">
        <x:v>green pen</x:v>
      </x:c>
      <x:c r="AE476" s="9" t="str">
        <x:v>red block</x:v>
      </x:c>
      <x:c r="AF476" s="9" t="str">
        <x:v>None</x:v>
      </x:c>
      <x:c r="AG476" s="9"/>
      <x:c r="AH476" s="9"/>
      <x:c r="AI476" s="11"/>
      <x:c r="AJ476" s="9"/>
      <x:c r="AK476" s="9" t="str">
        <x:v>Eval_Relational_Placement (1).xlsm</x:v>
      </x:c>
      <x:c r="AL476" s="9" t="str">
        <x:v>MolmoAct2 Results</x:v>
      </x:c>
      <x:c r="AM476" s="9" t="n">
        <x:v>26</x:v>
      </x:c>
      <x:c r="AN476" s="9" t="n">
        <x:v>26</x:v>
      </x:c>
    </x:row>
    <x:row r="477">
      <x:c r="A477" s="9" t="str">
        <x:v>Failure</x:v>
      </x:c>
      <x:c r="B477" s="9" t="str">
        <x:v>Relational Placement</x:v>
      </x:c>
      <x:c r="C477" s="10" t="n">
        <x:v>25</x:v>
      </x:c>
      <x:c r="D477" s="9" t="str">
        <x:v>Place the green pen behind the red block.</x:v>
      </x:c>
      <x:c r="E477" s="9" t="str">
        <x:v>green pen, red block, blue block, pink marker</x:v>
      </x:c>
      <x:c r="F477" s="9" t="str">
        <x:v>green pen → 2–8 cm edge gap behind red block; centroid direction within ±45°.</x:v>
      </x:c>
      <x:c r="G477" s="9" t="str">
        <x:v>failed to grasp the green pen and during recovery grabbed the blue block. started going back and forth and couldn't recover by putting the block down. </x:v>
      </x:c>
      <x:c r="H477" s="9" t="str">
        <x:v>Concept/compositional transfer</x:v>
      </x:c>
      <x:c r="I477" s="9" t="str">
        <x:v>RP-CT-CF02</x:v>
      </x:c>
      <x:c r="J477" s="9" t="str">
        <x:v>Four-way held-out counterfactual: relation polarity × target/reference role</x:v>
      </x:c>
      <x:c r="K477" s="9" t="n">
        <x:v>24</x:v>
      </x:c>
      <x:c r="L477" s="9" t="str">
        <x:v>214</x:v>
      </x:c>
      <x:c r="M477" s="9"/>
      <x:c r="N477" s="9"/>
      <x:c r="O477" s="9" t="str">
        <x:v>Reset both core objects to their marked poses; preserve distractors, camera, and robot start; change only the instruction.</x:v>
      </x:c>
      <x:c r="P477" s="9" t="str">
        <x:v>The directional word × ordered green-pen/red-block role is held out. Source episode 214 supplies the same target manipulation under a trained near/next-to/beside prompt. The orthogonal start prevents an inverse-start shortcut.</x:v>
      </x:c>
      <x:c r="Q477" s="9"/>
      <x:c r="R477" s="10" t="n">
        <x:v>4</x:v>
      </x:c>
      <x:c r="S477" s="10"/>
      <x:c r="T477" s="9"/>
      <x:c r="U477" s="9"/>
      <x:c r="V477" s="9"/>
      <x:c r="W477" s="9"/>
      <x:c r="X477" s="10"/>
      <x:c r="Y477" s="10"/>
      <x:c r="Z477" s="9"/>
      <x:c r="AA477" s="9"/>
      <x:c r="AB477" s="9"/>
      <x:c r="AC477" s="9" t="str">
        <x:v>behind</x:v>
      </x:c>
      <x:c r="AD477" s="9" t="str">
        <x:v>green pen</x:v>
      </x:c>
      <x:c r="AE477" s="9" t="str">
        <x:v>red block</x:v>
      </x:c>
      <x:c r="AF477" s="9" t="str">
        <x:v>None</x:v>
      </x:c>
      <x:c r="AG477" s="9"/>
      <x:c r="AH477" s="9"/>
      <x:c r="AI477" s="11"/>
      <x:c r="AJ477" s="9"/>
      <x:c r="AK477" s="9" t="str">
        <x:v>Eval_Relational_Placement (1).xlsm</x:v>
      </x:c>
      <x:c r="AL477" s="9" t="str">
        <x:v>MolmoAct2 Results</x:v>
      </x:c>
      <x:c r="AM477" s="9" t="n">
        <x:v>27</x:v>
      </x:c>
      <x:c r="AN477" s="9" t="n">
        <x:v>27</x:v>
      </x:c>
    </x:row>
    <x:row r="478">
      <x:c r="A478" s="9" t="str">
        <x:v>Success</x:v>
      </x:c>
      <x:c r="B478" s="9" t="str">
        <x:v>Relational Placement</x:v>
      </x:c>
      <x:c r="C478" s="10" t="n">
        <x:v>26</x:v>
      </x:c>
      <x:c r="D478" s="9" t="str">
        <x:v>Place the red block in front of the green pen.</x:v>
      </x:c>
      <x:c r="E478" s="9" t="str">
        <x:v>green pen, red block, blue block, pink marker</x:v>
      </x:c>
      <x:c r="F478" s="9" t="str">
        <x:v>red block → 2–8 cm edge gap in front of green pen; centroid direction within ±45°.</x:v>
      </x:c>
      <x:c r="G478" s="9"/>
      <x:c r="H478" s="9" t="str">
        <x:v>Concept/compositional transfer</x:v>
      </x:c>
      <x:c r="I478" s="9" t="str">
        <x:v>RP-CT-CF02</x:v>
      </x:c>
      <x:c r="J478" s="9" t="str">
        <x:v>Four-way held-out counterfactual: relation polarity × target/reference role</x:v>
      </x:c>
      <x:c r="K478" s="9" t="n">
        <x:v>24</x:v>
      </x:c>
      <x:c r="L478" s="9" t="str">
        <x:v>260</x:v>
      </x:c>
      <x:c r="M478" s="9"/>
      <x:c r="N478" s="9"/>
      <x:c r="O478" s="9" t="str">
        <x:v>Reset both core objects to their marked poses; preserve distractors, camera, and robot start; change only the instruction.</x:v>
      </x:c>
      <x:c r="P478" s="9" t="str">
        <x:v>The directional word × ordered green-pen/red-block role is held out. Source episode 260 supplies the same target manipulation under a trained near/next-to/beside prompt. The orthogonal start prevents an inverse-start shortcut.</x:v>
      </x:c>
      <x:c r="Q478" s="9"/>
      <x:c r="R478" s="10" t="n">
        <x:v>4</x:v>
      </x:c>
      <x:c r="S478" s="10"/>
      <x:c r="T478" s="9"/>
      <x:c r="U478" s="9"/>
      <x:c r="V478" s="9"/>
      <x:c r="W478" s="9"/>
      <x:c r="X478" s="10"/>
      <x:c r="Y478" s="10"/>
      <x:c r="Z478" s="9"/>
      <x:c r="AA478" s="9"/>
      <x:c r="AB478" s="9"/>
      <x:c r="AC478" s="9" t="str">
        <x:v>front</x:v>
      </x:c>
      <x:c r="AD478" s="9" t="str">
        <x:v>red block</x:v>
      </x:c>
      <x:c r="AE478" s="9" t="str">
        <x:v>green pen</x:v>
      </x:c>
      <x:c r="AF478" s="9" t="str">
        <x:v>None</x:v>
      </x:c>
      <x:c r="AG478" s="9"/>
      <x:c r="AH478" s="9"/>
      <x:c r="AI478" s="11"/>
      <x:c r="AJ478" s="9"/>
      <x:c r="AK478" s="9" t="str">
        <x:v>Eval_Relational_Placement (1).xlsm</x:v>
      </x:c>
      <x:c r="AL478" s="9" t="str">
        <x:v>MolmoAct2 Results</x:v>
      </x:c>
      <x:c r="AM478" s="9" t="n">
        <x:v>28</x:v>
      </x:c>
      <x:c r="AN478" s="9" t="n">
        <x:v>28</x:v>
      </x:c>
    </x:row>
    <x:row r="479">
      <x:c r="A479" s="9" t="str">
        <x:v>Success</x:v>
      </x:c>
      <x:c r="B479" s="9" t="str">
        <x:v>Relational Placement</x:v>
      </x:c>
      <x:c r="C479" s="10" t="n">
        <x:v>27</x:v>
      </x:c>
      <x:c r="D479" s="9" t="str">
        <x:v>Place the red block behind the green pen.</x:v>
      </x:c>
      <x:c r="E479" s="9" t="str">
        <x:v>green pen, red block, blue block, pink marker</x:v>
      </x:c>
      <x:c r="F479" s="9" t="str">
        <x:v>red block → 2–8 cm edge gap behind green pen; centroid direction within ±45°.</x:v>
      </x:c>
      <x:c r="G479" s="9"/>
      <x:c r="H479" s="9" t="str">
        <x:v>Concept/compositional transfer</x:v>
      </x:c>
      <x:c r="I479" s="9" t="str">
        <x:v>RP-CT-CF02</x:v>
      </x:c>
      <x:c r="J479" s="9" t="str">
        <x:v>Four-way held-out counterfactual: relation polarity × target/reference role</x:v>
      </x:c>
      <x:c r="K479" s="9" t="n">
        <x:v>24</x:v>
      </x:c>
      <x:c r="L479" s="9" t="str">
        <x:v>273</x:v>
      </x:c>
      <x:c r="M479" s="9"/>
      <x:c r="N479" s="9"/>
      <x:c r="O479" s="9" t="str">
        <x:v>Reset both core objects to their marked poses; preserve distractors, camera, and robot start; change only the instruction.</x:v>
      </x:c>
      <x:c r="P479" s="9" t="str">
        <x:v>The directional word × ordered green-pen/red-block role is held out. Source episode 273 supplies the same target manipulation under a trained near/next-to/beside prompt. The orthogonal start prevents an inverse-start shortcut.</x:v>
      </x:c>
      <x:c r="Q479" s="9"/>
      <x:c r="R479" s="10" t="n">
        <x:v>4</x:v>
      </x:c>
      <x:c r="S479" s="10"/>
      <x:c r="T479" s="9"/>
      <x:c r="U479" s="9"/>
      <x:c r="V479" s="9"/>
      <x:c r="W479" s="9"/>
      <x:c r="X479" s="10"/>
      <x:c r="Y479" s="10"/>
      <x:c r="Z479" s="9"/>
      <x:c r="AA479" s="9"/>
      <x:c r="AB479" s="9"/>
      <x:c r="AC479" s="9" t="str">
        <x:v>behind</x:v>
      </x:c>
      <x:c r="AD479" s="9" t="str">
        <x:v>red block</x:v>
      </x:c>
      <x:c r="AE479" s="9" t="str">
        <x:v>green pen</x:v>
      </x:c>
      <x:c r="AF479" s="9" t="str">
        <x:v>None</x:v>
      </x:c>
      <x:c r="AG479" s="9"/>
      <x:c r="AH479" s="9"/>
      <x:c r="AI479" s="11"/>
      <x:c r="AJ479" s="9"/>
      <x:c r="AK479" s="9" t="str">
        <x:v>Eval_Relational_Placement (1).xlsm</x:v>
      </x:c>
      <x:c r="AL479" s="9" t="str">
        <x:v>MolmoAct2 Results</x:v>
      </x:c>
      <x:c r="AM479" s="9" t="n">
        <x:v>29</x:v>
      </x:c>
      <x:c r="AN479" s="9" t="n">
        <x:v>29</x:v>
      </x:c>
    </x:row>
    <x:row r="480">
      <x:c r="A480" s="9" t="str">
        <x:v>Success</x:v>
      </x:c>
      <x:c r="B480" s="9" t="str">
        <x:v>Relational Placement</x:v>
      </x:c>
      <x:c r="C480" s="10" t="n">
        <x:v>28</x:v>
      </x:c>
      <x:c r="D480" s="9" t="str">
        <x:v>Place the green pen in front of the red block.</x:v>
      </x:c>
      <x:c r="E480" s="9" t="str">
        <x:v>green pen, red block, pink marker</x:v>
      </x:c>
      <x:c r="F480" s="9" t="str">
        <x:v>green pen → 2–8 cm edge gap in front of red block; centroid direction within ±45°.</x:v>
      </x:c>
      <x:c r="G480" s="9"/>
      <x:c r="H480" s="9" t="str">
        <x:v>Concept/compositional transfer</x:v>
      </x:c>
      <x:c r="I480" s="9" t="str">
        <x:v>RP-CT-CF03</x:v>
      </x:c>
      <x:c r="J480" s="9" t="str">
        <x:v>Four-way held-out counterfactual: relation polarity × target/reference role</x:v>
      </x:c>
      <x:c r="K480" s="9"/>
      <x:c r="L480" s="9" t="str">
        <x:v>203</x:v>
      </x:c>
      <x:c r="M480" s="9"/>
      <x:c r="N480" s="9"/>
      <x:c r="O480" s="9" t="str">
        <x:v>Build the listed neutral-axis scene and save the first frame.</x:v>
      </x:c>
      <x:c r="P480" s="9" t="str">
        <x:v>The directional word × ordered green-pen/red-block role is held out. Source episode 203 supplies the same target manipulation under a trained near/next-to/beside prompt. The orthogonal start prevents an inverse-start shortcut.</x:v>
      </x:c>
      <x:c r="Q480" s="9"/>
      <x:c r="R480" s="10" t="n">
        <x:v>3</x:v>
      </x:c>
      <x:c r="S480" s="10"/>
      <x:c r="T480" s="9"/>
      <x:c r="U480" s="9"/>
      <x:c r="V480" s="9"/>
      <x:c r="W480" s="9"/>
      <x:c r="X480" s="10"/>
      <x:c r="Y480" s="10"/>
      <x:c r="Z480" s="9"/>
      <x:c r="AA480" s="9"/>
      <x:c r="AB480" s="9"/>
      <x:c r="AC480" s="9" t="str">
        <x:v>front</x:v>
      </x:c>
      <x:c r="AD480" s="9" t="str">
        <x:v>green pen</x:v>
      </x:c>
      <x:c r="AE480" s="9" t="str">
        <x:v>red block</x:v>
      </x:c>
      <x:c r="AF480" s="9" t="str">
        <x:v>None</x:v>
      </x:c>
      <x:c r="AG480" s="9"/>
      <x:c r="AH480" s="9"/>
      <x:c r="AI480" s="11"/>
      <x:c r="AJ480" s="9"/>
      <x:c r="AK480" s="9" t="str">
        <x:v>Eval_Relational_Placement (1).xlsm</x:v>
      </x:c>
      <x:c r="AL480" s="9" t="str">
        <x:v>MolmoAct2 Results</x:v>
      </x:c>
      <x:c r="AM480" s="9" t="n">
        <x:v>30</x:v>
      </x:c>
      <x:c r="AN480" s="9" t="n">
        <x:v>30</x:v>
      </x:c>
    </x:row>
    <x:row r="481">
      <x:c r="A481" s="9" t="str">
        <x:v>Failure</x:v>
      </x:c>
      <x:c r="B481" s="9" t="str">
        <x:v>Relational Placement</x:v>
      </x:c>
      <x:c r="C481" s="10" t="n">
        <x:v>29</x:v>
      </x:c>
      <x:c r="D481" s="9" t="str">
        <x:v>Place the green pen behind the red block.</x:v>
      </x:c>
      <x:c r="E481" s="9" t="str">
        <x:v>green pen, red block, pink marker</x:v>
      </x:c>
      <x:c r="F481" s="9" t="str">
        <x:v>green pen → 2–8 cm edge gap behind red block; centroid direction within ±45°.</x:v>
      </x:c>
      <x:c r="G481" s="9" t="str">
        <x:v>placed in front again.</x:v>
      </x:c>
      <x:c r="H481" s="9" t="str">
        <x:v>Concept/compositional transfer</x:v>
      </x:c>
      <x:c r="I481" s="9" t="str">
        <x:v>RP-CT-CF03</x:v>
      </x:c>
      <x:c r="J481" s="9" t="str">
        <x:v>Four-way held-out counterfactual: relation polarity × target/reference role</x:v>
      </x:c>
      <x:c r="K481" s="9" t="n">
        <x:v>28</x:v>
      </x:c>
      <x:c r="L481" s="9" t="str">
        <x:v>215</x:v>
      </x:c>
      <x:c r="M481" s="9"/>
      <x:c r="N481" s="9"/>
      <x:c r="O481" s="9" t="str">
        <x:v>Reset both core objects to their marked poses; preserve distractors, camera, and robot start; change only the instruction.</x:v>
      </x:c>
      <x:c r="P481" s="9" t="str">
        <x:v>The directional word × ordered green-pen/red-block role is held out. Source episode 215 supplies the same target manipulation under a trained near/next-to/beside prompt. The orthogonal start prevents an inverse-start shortcut.</x:v>
      </x:c>
      <x:c r="Q481" s="9"/>
      <x:c r="R481" s="10" t="n">
        <x:v>3</x:v>
      </x:c>
      <x:c r="S481" s="10"/>
      <x:c r="T481" s="9"/>
      <x:c r="U481" s="9"/>
      <x:c r="V481" s="9"/>
      <x:c r="W481" s="9"/>
      <x:c r="X481" s="10"/>
      <x:c r="Y481" s="10"/>
      <x:c r="Z481" s="9"/>
      <x:c r="AA481" s="9"/>
      <x:c r="AB481" s="9"/>
      <x:c r="AC481" s="9" t="str">
        <x:v>behind</x:v>
      </x:c>
      <x:c r="AD481" s="9" t="str">
        <x:v>green pen</x:v>
      </x:c>
      <x:c r="AE481" s="9" t="str">
        <x:v>red block</x:v>
      </x:c>
      <x:c r="AF481" s="9" t="str">
        <x:v>None</x:v>
      </x:c>
      <x:c r="AG481" s="9"/>
      <x:c r="AH481" s="9"/>
      <x:c r="AI481" s="11"/>
      <x:c r="AJ481" s="9"/>
      <x:c r="AK481" s="9" t="str">
        <x:v>Eval_Relational_Placement (1).xlsm</x:v>
      </x:c>
      <x:c r="AL481" s="9" t="str">
        <x:v>MolmoAct2 Results</x:v>
      </x:c>
      <x:c r="AM481" s="9" t="n">
        <x:v>31</x:v>
      </x:c>
      <x:c r="AN481" s="9" t="n">
        <x:v>31</x:v>
      </x:c>
    </x:row>
    <x:row r="482">
      <x:c r="A482" s="9" t="str">
        <x:v>Success</x:v>
      </x:c>
      <x:c r="B482" s="9" t="str">
        <x:v>Relational Placement</x:v>
      </x:c>
      <x:c r="C482" s="10" t="n">
        <x:v>30</x:v>
      </x:c>
      <x:c r="D482" s="9" t="str">
        <x:v>Place the red block in front of the green pen.</x:v>
      </x:c>
      <x:c r="E482" s="9" t="str">
        <x:v>green pen, red block, pink marker</x:v>
      </x:c>
      <x:c r="F482" s="9" t="str">
        <x:v>red block → 2–8 cm edge gap in front of green pen; centroid direction within ±45°.</x:v>
      </x:c>
      <x:c r="G482" s="9"/>
      <x:c r="H482" s="9" t="str">
        <x:v>Concept/compositional transfer</x:v>
      </x:c>
      <x:c r="I482" s="9" t="str">
        <x:v>RP-CT-CF03</x:v>
      </x:c>
      <x:c r="J482" s="9" t="str">
        <x:v>Four-way held-out counterfactual: relation polarity × target/reference role</x:v>
      </x:c>
      <x:c r="K482" s="9" t="n">
        <x:v>28</x:v>
      </x:c>
      <x:c r="L482" s="9" t="str">
        <x:v>261</x:v>
      </x:c>
      <x:c r="M482" s="9"/>
      <x:c r="N482" s="9"/>
      <x:c r="O482" s="9" t="str">
        <x:v>Reset both core objects to their marked poses; preserve distractors, camera, and robot start; change only the instruction.</x:v>
      </x:c>
      <x:c r="P482" s="9" t="str">
        <x:v>The directional word × ordered green-pen/red-block role is held out. Source episode 261 supplies the same target manipulation under a trained near/next-to/beside prompt. The orthogonal start prevents an inverse-start shortcut.</x:v>
      </x:c>
      <x:c r="Q482" s="9"/>
      <x:c r="R482" s="10" t="n">
        <x:v>3</x:v>
      </x:c>
      <x:c r="S482" s="10"/>
      <x:c r="T482" s="9"/>
      <x:c r="U482" s="9"/>
      <x:c r="V482" s="9"/>
      <x:c r="W482" s="9"/>
      <x:c r="X482" s="10"/>
      <x:c r="Y482" s="10"/>
      <x:c r="Z482" s="9"/>
      <x:c r="AA482" s="9"/>
      <x:c r="AB482" s="9"/>
      <x:c r="AC482" s="9" t="str">
        <x:v>front</x:v>
      </x:c>
      <x:c r="AD482" s="9" t="str">
        <x:v>red block</x:v>
      </x:c>
      <x:c r="AE482" s="9" t="str">
        <x:v>green pen</x:v>
      </x:c>
      <x:c r="AF482" s="9" t="str">
        <x:v>None</x:v>
      </x:c>
      <x:c r="AG482" s="9"/>
      <x:c r="AH482" s="9"/>
      <x:c r="AI482" s="11"/>
      <x:c r="AJ482" s="9"/>
      <x:c r="AK482" s="9" t="str">
        <x:v>Eval_Relational_Placement (1).xlsm</x:v>
      </x:c>
      <x:c r="AL482" s="9" t="str">
        <x:v>MolmoAct2 Results</x:v>
      </x:c>
      <x:c r="AM482" s="9" t="n">
        <x:v>32</x:v>
      </x:c>
      <x:c r="AN482" s="9" t="n">
        <x:v>32</x:v>
      </x:c>
    </x:row>
    <x:row r="483">
      <x:c r="A483" s="9" t="str">
        <x:v>Success</x:v>
      </x:c>
      <x:c r="B483" s="9" t="str">
        <x:v>Relational Placement</x:v>
      </x:c>
      <x:c r="C483" s="10" t="n">
        <x:v>31</x:v>
      </x:c>
      <x:c r="D483" s="9" t="str">
        <x:v>Place the red block behind the green pen.</x:v>
      </x:c>
      <x:c r="E483" s="9" t="str">
        <x:v>green pen, red block, pink marker</x:v>
      </x:c>
      <x:c r="F483" s="9" t="str">
        <x:v>red block → 2–8 cm edge gap behind green pen; centroid direction within ±45°.</x:v>
      </x:c>
      <x:c r="G483" s="9"/>
      <x:c r="H483" s="9" t="str">
        <x:v>Concept/compositional transfer</x:v>
      </x:c>
      <x:c r="I483" s="9" t="str">
        <x:v>RP-CT-CF03</x:v>
      </x:c>
      <x:c r="J483" s="9" t="str">
        <x:v>Four-way held-out counterfactual: relation polarity × target/reference role</x:v>
      </x:c>
      <x:c r="K483" s="9" t="n">
        <x:v>28</x:v>
      </x:c>
      <x:c r="L483" s="9" t="str">
        <x:v>274</x:v>
      </x:c>
      <x:c r="M483" s="9"/>
      <x:c r="N483" s="9"/>
      <x:c r="O483" s="9" t="str">
        <x:v>Reset both core objects to their marked poses; preserve distractors, camera, and robot start; change only the instruction.</x:v>
      </x:c>
      <x:c r="P483" s="9" t="str">
        <x:v>The directional word × ordered green-pen/red-block role is held out. Source episode 274 supplies the same target manipulation under a trained near/next-to/beside prompt. The orthogonal start prevents an inverse-start shortcut.</x:v>
      </x:c>
      <x:c r="Q483" s="9"/>
      <x:c r="R483" s="10" t="n">
        <x:v>3</x:v>
      </x:c>
      <x:c r="S483" s="10"/>
      <x:c r="T483" s="9"/>
      <x:c r="U483" s="9"/>
      <x:c r="V483" s="9"/>
      <x:c r="W483" s="9"/>
      <x:c r="X483" s="10"/>
      <x:c r="Y483" s="10"/>
      <x:c r="Z483" s="9"/>
      <x:c r="AA483" s="9"/>
      <x:c r="AB483" s="9"/>
      <x:c r="AC483" s="9" t="str">
        <x:v>behind</x:v>
      </x:c>
      <x:c r="AD483" s="9" t="str">
        <x:v>red block</x:v>
      </x:c>
      <x:c r="AE483" s="9" t="str">
        <x:v>green pen</x:v>
      </x:c>
      <x:c r="AF483" s="9" t="str">
        <x:v>None</x:v>
      </x:c>
      <x:c r="AG483" s="9"/>
      <x:c r="AH483" s="9"/>
      <x:c r="AI483" s="11"/>
      <x:c r="AJ483" s="9"/>
      <x:c r="AK483" s="9" t="str">
        <x:v>Eval_Relational_Placement (1).xlsm</x:v>
      </x:c>
      <x:c r="AL483" s="9" t="str">
        <x:v>MolmoAct2 Results</x:v>
      </x:c>
      <x:c r="AM483" s="9" t="n">
        <x:v>33</x:v>
      </x:c>
      <x:c r="AN483" s="9" t="n">
        <x:v>33</x:v>
      </x:c>
    </x:row>
    <x:row r="484">
      <x:c r="A484" s="9" t="str">
        <x:v>Success</x:v>
      </x:c>
      <x:c r="B484" s="9" t="str">
        <x:v>Relational Placement</x:v>
      </x:c>
      <x:c r="C484" s="10" t="n">
        <x:v>32</x:v>
      </x:c>
      <x:c r="D484" s="9" t="str">
        <x:v>Place the green pen to the left of the red block.</x:v>
      </x:c>
      <x:c r="E484" s="9" t="str">
        <x:v>green pen, red block, blue block, pink marker</x:v>
      </x:c>
      <x:c r="F484" s="9" t="str">
        <x:v>green pen → 2–8 cm edge gap to the left of red block; centroid direction within ±45°.</x:v>
      </x:c>
      <x:c r="G484" s="9"/>
      <x:c r="H484" s="9" t="str">
        <x:v>Concept/compositional transfer</x:v>
      </x:c>
      <x:c r="I484" s="9" t="str">
        <x:v>RP-CT-CF04</x:v>
      </x:c>
      <x:c r="J484" s="9" t="str">
        <x:v>Four-way held-out counterfactual: relation polarity × target/reference role</x:v>
      </x:c>
      <x:c r="K484" s="9"/>
      <x:c r="L484" s="9" t="str">
        <x:v>227</x:v>
      </x:c>
      <x:c r="M484" s="9"/>
      <x:c r="N484" s="9"/>
      <x:c r="O484" s="9" t="str">
        <x:v>Build the listed neutral-axis scene and save the first frame.</x:v>
      </x:c>
      <x:c r="P484" s="9" t="str">
        <x:v>The directional word × ordered green-pen/red-block role is held out. Source episode 227 supplies the same target manipulation under a trained near/next-to/beside prompt. The orthogonal start prevents an inverse-start shortcut.</x:v>
      </x:c>
      <x:c r="Q484" s="9"/>
      <x:c r="R484" s="10" t="n">
        <x:v>4</x:v>
      </x:c>
      <x:c r="S484" s="10"/>
      <x:c r="T484" s="9"/>
      <x:c r="U484" s="9"/>
      <x:c r="V484" s="9"/>
      <x:c r="W484" s="9"/>
      <x:c r="X484" s="10"/>
      <x:c r="Y484" s="10"/>
      <x:c r="Z484" s="9"/>
      <x:c r="AA484" s="9"/>
      <x:c r="AB484" s="9"/>
      <x:c r="AC484" s="9" t="str">
        <x:v>left</x:v>
      </x:c>
      <x:c r="AD484" s="9" t="str">
        <x:v>green pen</x:v>
      </x:c>
      <x:c r="AE484" s="9" t="str">
        <x:v>red block</x:v>
      </x:c>
      <x:c r="AF484" s="9" t="str">
        <x:v>None</x:v>
      </x:c>
      <x:c r="AG484" s="9"/>
      <x:c r="AH484" s="9"/>
      <x:c r="AI484" s="11"/>
      <x:c r="AJ484" s="9"/>
      <x:c r="AK484" s="9" t="str">
        <x:v>Eval_Relational_Placement (1).xlsm</x:v>
      </x:c>
      <x:c r="AL484" s="9" t="str">
        <x:v>MolmoAct2 Results</x:v>
      </x:c>
      <x:c r="AM484" s="9" t="n">
        <x:v>34</x:v>
      </x:c>
      <x:c r="AN484" s="9" t="n">
        <x:v>34</x:v>
      </x:c>
    </x:row>
    <x:row r="485">
      <x:c r="A485" s="9" t="str">
        <x:v>Failure</x:v>
      </x:c>
      <x:c r="B485" s="9" t="str">
        <x:v>Relational Placement</x:v>
      </x:c>
      <x:c r="C485" s="10" t="n">
        <x:v>33</x:v>
      </x:c>
      <x:c r="D485" s="9" t="str">
        <x:v>Place the green pen to the right of the red block.</x:v>
      </x:c>
      <x:c r="E485" s="9" t="str">
        <x:v>green pen, red block, blue block, pink marker</x:v>
      </x:c>
      <x:c r="F485" s="9" t="str">
        <x:v>green pen → 2–8 cm edge gap to the right of red block; centroid direction within ±45°.</x:v>
      </x:c>
      <x:c r="G485" s="9" t="str">
        <x:v>did move the pen to the right of the block, but it couldn't let go of the block before time ran out. Kind of a success on reasoning?</x:v>
      </x:c>
      <x:c r="H485" s="9" t="str">
        <x:v>Concept/compositional transfer</x:v>
      </x:c>
      <x:c r="I485" s="9" t="str">
        <x:v>RP-CT-CF04</x:v>
      </x:c>
      <x:c r="J485" s="9" t="str">
        <x:v>Four-way held-out counterfactual: relation polarity × target/reference role</x:v>
      </x:c>
      <x:c r="K485" s="9" t="n">
        <x:v>32</x:v>
      </x:c>
      <x:c r="L485" s="9" t="str">
        <x:v>239</x:v>
      </x:c>
      <x:c r="M485" s="9"/>
      <x:c r="N485" s="9"/>
      <x:c r="O485" s="9" t="str">
        <x:v>Reset both core objects to their marked poses; preserve distractors, camera, and robot start; change only the instruction.</x:v>
      </x:c>
      <x:c r="P485" s="9" t="str">
        <x:v>The directional word × ordered green-pen/red-block role is held out. Source episode 239 supplies the same target manipulation under a trained near/next-to/beside prompt. The orthogonal start prevents an inverse-start shortcut.</x:v>
      </x:c>
      <x:c r="Q485" s="9"/>
      <x:c r="R485" s="10" t="n">
        <x:v>4</x:v>
      </x:c>
      <x:c r="S485" s="10"/>
      <x:c r="T485" s="9"/>
      <x:c r="U485" s="9"/>
      <x:c r="V485" s="9"/>
      <x:c r="W485" s="9"/>
      <x:c r="X485" s="10"/>
      <x:c r="Y485" s="10"/>
      <x:c r="Z485" s="9"/>
      <x:c r="AA485" s="9"/>
      <x:c r="AB485" s="9"/>
      <x:c r="AC485" s="9" t="str">
        <x:v>right</x:v>
      </x:c>
      <x:c r="AD485" s="9" t="str">
        <x:v>green pen</x:v>
      </x:c>
      <x:c r="AE485" s="9" t="str">
        <x:v>red block</x:v>
      </x:c>
      <x:c r="AF485" s="9" t="str">
        <x:v>None</x:v>
      </x:c>
      <x:c r="AG485" s="9"/>
      <x:c r="AH485" s="9"/>
      <x:c r="AI485" s="11"/>
      <x:c r="AJ485" s="9"/>
      <x:c r="AK485" s="9" t="str">
        <x:v>Eval_Relational_Placement (1).xlsm</x:v>
      </x:c>
      <x:c r="AL485" s="9" t="str">
        <x:v>MolmoAct2 Results</x:v>
      </x:c>
      <x:c r="AM485" s="9" t="n">
        <x:v>35</x:v>
      </x:c>
      <x:c r="AN485" s="9" t="n">
        <x:v>35</x:v>
      </x:c>
    </x:row>
    <x:row r="486">
      <x:c r="A486" s="9" t="str">
        <x:v>Failure</x:v>
      </x:c>
      <x:c r="B486" s="9" t="str">
        <x:v>Relational Placement</x:v>
      </x:c>
      <x:c r="C486" s="10" t="n">
        <x:v>34</x:v>
      </x:c>
      <x:c r="D486" s="9" t="str">
        <x:v>Place the red block to the left of the green pen.</x:v>
      </x:c>
      <x:c r="E486" s="9" t="str">
        <x:v>green pen, red block, blue block, pink marker</x:v>
      </x:c>
      <x:c r="F486" s="9" t="str">
        <x:v>red block → 2–8 cm edge gap to the left of green pen; centroid direction within ±45°.</x:v>
      </x:c>
      <x:c r="G486" s="9" t="str">
        <x:v>placed to the right of the pen</x:v>
      </x:c>
      <x:c r="H486" s="9" t="str">
        <x:v>Concept/compositional transfer</x:v>
      </x:c>
      <x:c r="I486" s="9" t="str">
        <x:v>RP-CT-CF04</x:v>
      </x:c>
      <x:c r="J486" s="9" t="str">
        <x:v>Four-way held-out counterfactual: relation polarity × target/reference role</x:v>
      </x:c>
      <x:c r="K486" s="9" t="n">
        <x:v>32</x:v>
      </x:c>
      <x:c r="L486" s="9" t="str">
        <x:v>285</x:v>
      </x:c>
      <x:c r="M486" s="9"/>
      <x:c r="N486" s="9"/>
      <x:c r="O486" s="9" t="str">
        <x:v>Reset both core objects to their marked poses; preserve distractors, camera, and robot start; change only the instruction.</x:v>
      </x:c>
      <x:c r="P486" s="9" t="str">
        <x:v>The directional word × ordered green-pen/red-block role is held out. Source episode 285 supplies the same target manipulation under a trained near/next-to/beside prompt. The orthogonal start prevents an inverse-start shortcut.</x:v>
      </x:c>
      <x:c r="Q486" s="9"/>
      <x:c r="R486" s="10" t="n">
        <x:v>4</x:v>
      </x:c>
      <x:c r="S486" s="10"/>
      <x:c r="T486" s="9"/>
      <x:c r="U486" s="9"/>
      <x:c r="V486" s="9"/>
      <x:c r="W486" s="9"/>
      <x:c r="X486" s="10"/>
      <x:c r="Y486" s="10"/>
      <x:c r="Z486" s="9"/>
      <x:c r="AA486" s="9"/>
      <x:c r="AB486" s="9"/>
      <x:c r="AC486" s="9" t="str">
        <x:v>left</x:v>
      </x:c>
      <x:c r="AD486" s="9" t="str">
        <x:v>red block</x:v>
      </x:c>
      <x:c r="AE486" s="9" t="str">
        <x:v>green pen</x:v>
      </x:c>
      <x:c r="AF486" s="9" t="str">
        <x:v>None</x:v>
      </x:c>
      <x:c r="AG486" s="9"/>
      <x:c r="AH486" s="9"/>
      <x:c r="AI486" s="11"/>
      <x:c r="AJ486" s="9"/>
      <x:c r="AK486" s="9" t="str">
        <x:v>Eval_Relational_Placement (1).xlsm</x:v>
      </x:c>
      <x:c r="AL486" s="9" t="str">
        <x:v>MolmoAct2 Results</x:v>
      </x:c>
      <x:c r="AM486" s="9" t="n">
        <x:v>36</x:v>
      </x:c>
      <x:c r="AN486" s="9" t="n">
        <x:v>36</x:v>
      </x:c>
    </x:row>
    <x:row r="487">
      <x:c r="A487" s="9" t="str">
        <x:v>Success</x:v>
      </x:c>
      <x:c r="B487" s="9" t="str">
        <x:v>Relational Placement</x:v>
      </x:c>
      <x:c r="C487" s="10" t="n">
        <x:v>35</x:v>
      </x:c>
      <x:c r="D487" s="9" t="str">
        <x:v>Place the red block to the right of the green pen.</x:v>
      </x:c>
      <x:c r="E487" s="9" t="str">
        <x:v>green pen, red block, blue block, pink marker</x:v>
      </x:c>
      <x:c r="F487" s="9" t="str">
        <x:v>red block → 2–8 cm edge gap to the right of green pen; centroid direction within ±45°.</x:v>
      </x:c>
      <x:c r="G487" s="9"/>
      <x:c r="H487" s="9" t="str">
        <x:v>Concept/compositional transfer</x:v>
      </x:c>
      <x:c r="I487" s="9" t="str">
        <x:v>RP-CT-CF04</x:v>
      </x:c>
      <x:c r="J487" s="9" t="str">
        <x:v>Four-way held-out counterfactual: relation polarity × target/reference role</x:v>
      </x:c>
      <x:c r="K487" s="9" t="n">
        <x:v>32</x:v>
      </x:c>
      <x:c r="L487" s="9" t="str">
        <x:v>298</x:v>
      </x:c>
      <x:c r="M487" s="9"/>
      <x:c r="N487" s="9"/>
      <x:c r="O487" s="9" t="str">
        <x:v>Reset both core objects to their marked poses; preserve distractors, camera, and robot start; change only the instruction.</x:v>
      </x:c>
      <x:c r="P487" s="9" t="str">
        <x:v>The directional word × ordered green-pen/red-block role is held out. Source episode 298 supplies the same target manipulation under a trained near/next-to/beside prompt. The orthogonal start prevents an inverse-start shortcut.</x:v>
      </x:c>
      <x:c r="Q487" s="9"/>
      <x:c r="R487" s="10" t="n">
        <x:v>4</x:v>
      </x:c>
      <x:c r="S487" s="10"/>
      <x:c r="T487" s="9"/>
      <x:c r="U487" s="9"/>
      <x:c r="V487" s="9"/>
      <x:c r="W487" s="9"/>
      <x:c r="X487" s="10"/>
      <x:c r="Y487" s="10"/>
      <x:c r="Z487" s="9"/>
      <x:c r="AA487" s="9"/>
      <x:c r="AB487" s="9"/>
      <x:c r="AC487" s="9" t="str">
        <x:v>right</x:v>
      </x:c>
      <x:c r="AD487" s="9" t="str">
        <x:v>red block</x:v>
      </x:c>
      <x:c r="AE487" s="9" t="str">
        <x:v>green pen</x:v>
      </x:c>
      <x:c r="AF487" s="9" t="str">
        <x:v>None</x:v>
      </x:c>
      <x:c r="AG487" s="9"/>
      <x:c r="AH487" s="9"/>
      <x:c r="AI487" s="11"/>
      <x:c r="AJ487" s="9"/>
      <x:c r="AK487" s="9" t="str">
        <x:v>Eval_Relational_Placement (1).xlsm</x:v>
      </x:c>
      <x:c r="AL487" s="9" t="str">
        <x:v>MolmoAct2 Results</x:v>
      </x:c>
      <x:c r="AM487" s="9" t="n">
        <x:v>37</x:v>
      </x:c>
      <x:c r="AN487" s="9" t="n">
        <x:v>37</x:v>
      </x:c>
    </x:row>
    <x:row r="488">
      <x:c r="A488" s="9" t="str">
        <x:v>Failure</x:v>
      </x:c>
      <x:c r="B488" s="9" t="str">
        <x:v>Relational Placement</x:v>
      </x:c>
      <x:c r="C488" s="10" t="n">
        <x:v>36</x:v>
      </x:c>
      <x:c r="D488" s="9" t="str">
        <x:v>Place the green pen to the left of the red block.</x:v>
      </x:c>
      <x:c r="E488" s="9" t="str">
        <x:v>green pen, red block, pink marker</x:v>
      </x:c>
      <x:c r="F488" s="9" t="str">
        <x:v>green pen → 2–8 cm edge gap to the left of red block; centroid direction within ±45°.</x:v>
      </x:c>
      <x:c r="G488" s="9" t="str">
        <x:v>placed to the right</x:v>
      </x:c>
      <x:c r="H488" s="9" t="str">
        <x:v>Concept/compositional transfer</x:v>
      </x:c>
      <x:c r="I488" s="9" t="str">
        <x:v>RP-CT-CF05</x:v>
      </x:c>
      <x:c r="J488" s="9" t="str">
        <x:v>Four-way held-out counterfactual: relation polarity × target/reference role</x:v>
      </x:c>
      <x:c r="K488" s="9"/>
      <x:c r="L488" s="9" t="str">
        <x:v>226</x:v>
      </x:c>
      <x:c r="M488" s="9"/>
      <x:c r="N488" s="9"/>
      <x:c r="O488" s="9" t="str">
        <x:v>Build the listed neutral-axis scene and save the first frame.</x:v>
      </x:c>
      <x:c r="P488" s="9" t="str">
        <x:v>The directional word × ordered green-pen/red-block role is held out. Source episode 226 supplies the same target manipulation under a trained near/next-to/beside prompt. The orthogonal start prevents an inverse-start shortcut.</x:v>
      </x:c>
      <x:c r="Q488" s="9"/>
      <x:c r="R488" s="10" t="n">
        <x:v>3</x:v>
      </x:c>
      <x:c r="S488" s="10"/>
      <x:c r="T488" s="9"/>
      <x:c r="U488" s="9"/>
      <x:c r="V488" s="9"/>
      <x:c r="W488" s="9"/>
      <x:c r="X488" s="10"/>
      <x:c r="Y488" s="10"/>
      <x:c r="Z488" s="9"/>
      <x:c r="AA488" s="9"/>
      <x:c r="AB488" s="9"/>
      <x:c r="AC488" s="9" t="str">
        <x:v>left</x:v>
      </x:c>
      <x:c r="AD488" s="9" t="str">
        <x:v>green pen</x:v>
      </x:c>
      <x:c r="AE488" s="9" t="str">
        <x:v>red block</x:v>
      </x:c>
      <x:c r="AF488" s="9" t="str">
        <x:v>None</x:v>
      </x:c>
      <x:c r="AG488" s="9"/>
      <x:c r="AH488" s="9"/>
      <x:c r="AI488" s="11"/>
      <x:c r="AJ488" s="9"/>
      <x:c r="AK488" s="9" t="str">
        <x:v>Eval_Relational_Placement (1).xlsm</x:v>
      </x:c>
      <x:c r="AL488" s="9" t="str">
        <x:v>MolmoAct2 Results</x:v>
      </x:c>
      <x:c r="AM488" s="9" t="n">
        <x:v>38</x:v>
      </x:c>
      <x:c r="AN488" s="9" t="n">
        <x:v>38</x:v>
      </x:c>
    </x:row>
    <x:row r="489">
      <x:c r="A489" s="9" t="str">
        <x:v>Success</x:v>
      </x:c>
      <x:c r="B489" s="9" t="str">
        <x:v>Relational Placement</x:v>
      </x:c>
      <x:c r="C489" s="10" t="n">
        <x:v>37</x:v>
      </x:c>
      <x:c r="D489" s="9" t="str">
        <x:v>Place the green pen to the right of the red block.</x:v>
      </x:c>
      <x:c r="E489" s="9" t="str">
        <x:v>green pen, red block, pink marker</x:v>
      </x:c>
      <x:c r="F489" s="9" t="str">
        <x:v>green pen → 2–8 cm edge gap to the right of red block; centroid direction within ±45°.</x:v>
      </x:c>
      <x:c r="G489" s="9"/>
      <x:c r="H489" s="9" t="str">
        <x:v>Concept/compositional transfer</x:v>
      </x:c>
      <x:c r="I489" s="9" t="str">
        <x:v>RP-CT-CF05</x:v>
      </x:c>
      <x:c r="J489" s="9" t="str">
        <x:v>Four-way held-out counterfactual: relation polarity × target/reference role</x:v>
      </x:c>
      <x:c r="K489" s="9" t="n">
        <x:v>36</x:v>
      </x:c>
      <x:c r="L489" s="9" t="str">
        <x:v>238</x:v>
      </x:c>
      <x:c r="M489" s="9"/>
      <x:c r="N489" s="9"/>
      <x:c r="O489" s="9" t="str">
        <x:v>Reset both core objects to their marked poses; preserve distractors, camera, and robot start; change only the instruction.</x:v>
      </x:c>
      <x:c r="P489" s="9" t="str">
        <x:v>The directional word × ordered green-pen/red-block role is held out. Source episode 238 supplies the same target manipulation under a trained near/next-to/beside prompt. The orthogonal start prevents an inverse-start shortcut.</x:v>
      </x:c>
      <x:c r="Q489" s="9"/>
      <x:c r="R489" s="10" t="n">
        <x:v>3</x:v>
      </x:c>
      <x:c r="S489" s="10"/>
      <x:c r="T489" s="9"/>
      <x:c r="U489" s="9"/>
      <x:c r="V489" s="9"/>
      <x:c r="W489" s="9"/>
      <x:c r="X489" s="10"/>
      <x:c r="Y489" s="10"/>
      <x:c r="Z489" s="9"/>
      <x:c r="AA489" s="9"/>
      <x:c r="AB489" s="9"/>
      <x:c r="AC489" s="9" t="str">
        <x:v>right</x:v>
      </x:c>
      <x:c r="AD489" s="9" t="str">
        <x:v>green pen</x:v>
      </x:c>
      <x:c r="AE489" s="9" t="str">
        <x:v>red block</x:v>
      </x:c>
      <x:c r="AF489" s="9" t="str">
        <x:v>None</x:v>
      </x:c>
      <x:c r="AG489" s="9"/>
      <x:c r="AH489" s="9"/>
      <x:c r="AI489" s="11"/>
      <x:c r="AJ489" s="9"/>
      <x:c r="AK489" s="9" t="str">
        <x:v>Eval_Relational_Placement (1).xlsm</x:v>
      </x:c>
      <x:c r="AL489" s="9" t="str">
        <x:v>MolmoAct2 Results</x:v>
      </x:c>
      <x:c r="AM489" s="9" t="n">
        <x:v>39</x:v>
      </x:c>
      <x:c r="AN489" s="9" t="n">
        <x:v>39</x:v>
      </x:c>
    </x:row>
    <x:row r="490">
      <x:c r="A490" s="9" t="str">
        <x:v>Success</x:v>
      </x:c>
      <x:c r="B490" s="9" t="str">
        <x:v>Relational Placement</x:v>
      </x:c>
      <x:c r="C490" s="10" t="n">
        <x:v>38</x:v>
      </x:c>
      <x:c r="D490" s="9" t="str">
        <x:v>Place the red block to the left of the green pen.</x:v>
      </x:c>
      <x:c r="E490" s="9" t="str">
        <x:v>green pen, red block, pink marker</x:v>
      </x:c>
      <x:c r="F490" s="9" t="str">
        <x:v>red block → 2–8 cm edge gap to the left of green pen; centroid direction within ±45°.</x:v>
      </x:c>
      <x:c r="G490" s="9"/>
      <x:c r="H490" s="9" t="str">
        <x:v>Concept/compositional transfer</x:v>
      </x:c>
      <x:c r="I490" s="9" t="str">
        <x:v>RP-CT-CF05</x:v>
      </x:c>
      <x:c r="J490" s="9" t="str">
        <x:v>Four-way held-out counterfactual: relation polarity × target/reference role</x:v>
      </x:c>
      <x:c r="K490" s="9" t="n">
        <x:v>36</x:v>
      </x:c>
      <x:c r="L490" s="9" t="str">
        <x:v>284</x:v>
      </x:c>
      <x:c r="M490" s="9"/>
      <x:c r="N490" s="9"/>
      <x:c r="O490" s="9" t="str">
        <x:v>Reset both core objects to their marked poses; preserve distractors, camera, and robot start; change only the instruction.</x:v>
      </x:c>
      <x:c r="P490" s="9" t="str">
        <x:v>The directional word × ordered green-pen/red-block role is held out. Source episode 284 supplies the same target manipulation under a trained near/next-to/beside prompt. The orthogonal start prevents an inverse-start shortcut.</x:v>
      </x:c>
      <x:c r="Q490" s="9"/>
      <x:c r="R490" s="10" t="n">
        <x:v>3</x:v>
      </x:c>
      <x:c r="S490" s="10"/>
      <x:c r="T490" s="9"/>
      <x:c r="U490" s="9"/>
      <x:c r="V490" s="9"/>
      <x:c r="W490" s="9"/>
      <x:c r="X490" s="10"/>
      <x:c r="Y490" s="10"/>
      <x:c r="Z490" s="9"/>
      <x:c r="AA490" s="9"/>
      <x:c r="AB490" s="9"/>
      <x:c r="AC490" s="9" t="str">
        <x:v>left</x:v>
      </x:c>
      <x:c r="AD490" s="9" t="str">
        <x:v>red block</x:v>
      </x:c>
      <x:c r="AE490" s="9" t="str">
        <x:v>green pen</x:v>
      </x:c>
      <x:c r="AF490" s="9" t="str">
        <x:v>None</x:v>
      </x:c>
      <x:c r="AG490" s="9"/>
      <x:c r="AH490" s="9"/>
      <x:c r="AI490" s="11"/>
      <x:c r="AJ490" s="9"/>
      <x:c r="AK490" s="9" t="str">
        <x:v>Eval_Relational_Placement (1).xlsm</x:v>
      </x:c>
      <x:c r="AL490" s="9" t="str">
        <x:v>MolmoAct2 Results</x:v>
      </x:c>
      <x:c r="AM490" s="9" t="n">
        <x:v>40</x:v>
      </x:c>
      <x:c r="AN490" s="9" t="n">
        <x:v>40</x:v>
      </x:c>
    </x:row>
    <x:row r="491">
      <x:c r="A491" s="9" t="str">
        <x:v>Failure</x:v>
      </x:c>
      <x:c r="B491" s="9" t="str">
        <x:v>Relational Placement</x:v>
      </x:c>
      <x:c r="C491" s="10" t="n">
        <x:v>39</x:v>
      </x:c>
      <x:c r="D491" s="9" t="str">
        <x:v>Place the red block to the right of the green pen.</x:v>
      </x:c>
      <x:c r="E491" s="9" t="str">
        <x:v>green pen, red block, pink marker</x:v>
      </x:c>
      <x:c r="F491" s="9" t="str">
        <x:v>red block → 2–8 cm edge gap to the right of green pen; centroid direction within ±45°.</x:v>
      </x:c>
      <x:c r="G491" s="9" t="str">
        <x:v>rotated the pen and block ended up behind</x:v>
      </x:c>
      <x:c r="H491" s="9" t="str">
        <x:v>Concept/compositional transfer</x:v>
      </x:c>
      <x:c r="I491" s="9" t="str">
        <x:v>RP-CT-CF05</x:v>
      </x:c>
      <x:c r="J491" s="9" t="str">
        <x:v>Four-way held-out counterfactual: relation polarity × target/reference role</x:v>
      </x:c>
      <x:c r="K491" s="9" t="n">
        <x:v>36</x:v>
      </x:c>
      <x:c r="L491" s="9" t="str">
        <x:v>297</x:v>
      </x:c>
      <x:c r="M491" s="9"/>
      <x:c r="N491" s="9"/>
      <x:c r="O491" s="9" t="str">
        <x:v>Reset both core objects to their marked poses; preserve distractors, camera, and robot start; change only the instruction.</x:v>
      </x:c>
      <x:c r="P491" s="9" t="str">
        <x:v>The directional word × ordered green-pen/red-block role is held out. Source episode 297 supplies the same target manipulation under a trained near/next-to/beside prompt. The orthogonal start prevents an inverse-start shortcut.</x:v>
      </x:c>
      <x:c r="Q491" s="9"/>
      <x:c r="R491" s="10" t="n">
        <x:v>3</x:v>
      </x:c>
      <x:c r="S491" s="10"/>
      <x:c r="T491" s="9"/>
      <x:c r="U491" s="9"/>
      <x:c r="V491" s="9"/>
      <x:c r="W491" s="9"/>
      <x:c r="X491" s="10"/>
      <x:c r="Y491" s="10"/>
      <x:c r="Z491" s="9"/>
      <x:c r="AA491" s="9"/>
      <x:c r="AB491" s="9"/>
      <x:c r="AC491" s="9" t="str">
        <x:v>right</x:v>
      </x:c>
      <x:c r="AD491" s="9" t="str">
        <x:v>red block</x:v>
      </x:c>
      <x:c r="AE491" s="9" t="str">
        <x:v>green pen</x:v>
      </x:c>
      <x:c r="AF491" s="9" t="str">
        <x:v>None</x:v>
      </x:c>
      <x:c r="AG491" s="9"/>
      <x:c r="AH491" s="9"/>
      <x:c r="AI491" s="11"/>
      <x:c r="AJ491" s="9"/>
      <x:c r="AK491" s="9" t="str">
        <x:v>Eval_Relational_Placement (1).xlsm</x:v>
      </x:c>
      <x:c r="AL491" s="9" t="str">
        <x:v>MolmoAct2 Results</x:v>
      </x:c>
      <x:c r="AM491" s="9" t="n">
        <x:v>41</x:v>
      </x:c>
      <x:c r="AN491" s="9" t="n">
        <x:v>41</x:v>
      </x:c>
    </x:row>
    <x:row r="492">
      <x:c r="A492" s="9" t="str">
        <x:v>Failure</x:v>
      </x:c>
      <x:c r="B492" s="9" t="str">
        <x:v>Relational Placement</x:v>
      </x:c>
      <x:c r="C492" s="10" t="n">
        <x:v>40</x:v>
      </x:c>
      <x:c r="D492" s="9" t="str">
        <x:v>Place the green pen to the left of the red block.</x:v>
      </x:c>
      <x:c r="E492" s="9" t="str">
        <x:v>green pen, red block, blue block, pink marker</x:v>
      </x:c>
      <x:c r="F492" s="9" t="str">
        <x:v>green pen → 2–8 cm edge gap to the left of red block; centroid direction within ±45°.</x:v>
      </x:c>
      <x:c r="G492" s="9" t="str">
        <x:v>more like bottom left, but mostly bottom</x:v>
      </x:c>
      <x:c r="H492" s="9" t="str">
        <x:v>Concept/compositional transfer</x:v>
      </x:c>
      <x:c r="I492" s="9" t="str">
        <x:v>RP-CT-CF06</x:v>
      </x:c>
      <x:c r="J492" s="9" t="str">
        <x:v>Four-way held-out counterfactual: relation polarity × target/reference role</x:v>
      </x:c>
      <x:c r="K492" s="9"/>
      <x:c r="L492" s="9" t="str">
        <x:v>227</x:v>
      </x:c>
      <x:c r="M492" s="9"/>
      <x:c r="N492" s="9"/>
      <x:c r="O492" s="9" t="str">
        <x:v>Build the listed neutral-axis scene and save the first frame.</x:v>
      </x:c>
      <x:c r="P492" s="9" t="str">
        <x:v>The directional word × ordered green-pen/red-block role is held out. Source episode 227 supplies the same target manipulation under a trained near/next-to/beside prompt. The orthogonal start prevents an inverse-start shortcut.</x:v>
      </x:c>
      <x:c r="Q492" s="9"/>
      <x:c r="R492" s="10" t="n">
        <x:v>4</x:v>
      </x:c>
      <x:c r="S492" s="10"/>
      <x:c r="T492" s="9"/>
      <x:c r="U492" s="9"/>
      <x:c r="V492" s="9"/>
      <x:c r="W492" s="9"/>
      <x:c r="X492" s="10"/>
      <x:c r="Y492" s="10"/>
      <x:c r="Z492" s="9"/>
      <x:c r="AA492" s="9"/>
      <x:c r="AB492" s="9"/>
      <x:c r="AC492" s="9" t="str">
        <x:v>left</x:v>
      </x:c>
      <x:c r="AD492" s="9" t="str">
        <x:v>green pen</x:v>
      </x:c>
      <x:c r="AE492" s="9" t="str">
        <x:v>red block</x:v>
      </x:c>
      <x:c r="AF492" s="9" t="str">
        <x:v>None</x:v>
      </x:c>
      <x:c r="AG492" s="9"/>
      <x:c r="AH492" s="9"/>
      <x:c r="AI492" s="11"/>
      <x:c r="AJ492" s="9"/>
      <x:c r="AK492" s="9" t="str">
        <x:v>Eval_Relational_Placement (1).xlsm</x:v>
      </x:c>
      <x:c r="AL492" s="9" t="str">
        <x:v>MolmoAct2 Results</x:v>
      </x:c>
      <x:c r="AM492" s="9" t="n">
        <x:v>42</x:v>
      </x:c>
      <x:c r="AN492" s="9" t="n">
        <x:v>42</x:v>
      </x:c>
    </x:row>
    <x:row r="493">
      <x:c r="A493" s="9" t="str">
        <x:v>Failure</x:v>
      </x:c>
      <x:c r="B493" s="9" t="str">
        <x:v>Relational Placement</x:v>
      </x:c>
      <x:c r="C493" s="10" t="n">
        <x:v>41</x:v>
      </x:c>
      <x:c r="D493" s="9" t="str">
        <x:v>Place the green pen to the right of the red block.</x:v>
      </x:c>
      <x:c r="E493" s="9" t="str">
        <x:v>green pen, red block, blue block, pink marker</x:v>
      </x:c>
      <x:c r="F493" s="9" t="str">
        <x:v>green pen → 2–8 cm edge gap to the right of red block; centroid direction within ±45°.</x:v>
      </x:c>
      <x:c r="G493" s="9" t="str">
        <x:v>pushed block and ended up placing it on the bottom </x:v>
      </x:c>
      <x:c r="H493" s="9" t="str">
        <x:v>Concept/compositional transfer</x:v>
      </x:c>
      <x:c r="I493" s="9" t="str">
        <x:v>RP-CT-CF06</x:v>
      </x:c>
      <x:c r="J493" s="9" t="str">
        <x:v>Four-way held-out counterfactual: relation polarity × target/reference role</x:v>
      </x:c>
      <x:c r="K493" s="9" t="n">
        <x:v>40</x:v>
      </x:c>
      <x:c r="L493" s="9" t="str">
        <x:v>241</x:v>
      </x:c>
      <x:c r="M493" s="9"/>
      <x:c r="N493" s="9"/>
      <x:c r="O493" s="9" t="str">
        <x:v>Reset both core objects to their marked poses; preserve distractors, camera, and robot start; change only the instruction.</x:v>
      </x:c>
      <x:c r="P493" s="9" t="str">
        <x:v>The directional word × ordered green-pen/red-block role is held out. Source episode 241 supplies the same target manipulation under a trained near/next-to/beside prompt. The orthogonal start prevents an inverse-start shortcut.</x:v>
      </x:c>
      <x:c r="Q493" s="9"/>
      <x:c r="R493" s="10" t="n">
        <x:v>4</x:v>
      </x:c>
      <x:c r="S493" s="10"/>
      <x:c r="T493" s="9"/>
      <x:c r="U493" s="9"/>
      <x:c r="V493" s="9"/>
      <x:c r="W493" s="9"/>
      <x:c r="X493" s="10"/>
      <x:c r="Y493" s="10"/>
      <x:c r="Z493" s="9"/>
      <x:c r="AA493" s="9"/>
      <x:c r="AB493" s="9"/>
      <x:c r="AC493" s="9" t="str">
        <x:v>right</x:v>
      </x:c>
      <x:c r="AD493" s="9" t="str">
        <x:v>green pen</x:v>
      </x:c>
      <x:c r="AE493" s="9" t="str">
        <x:v>red block</x:v>
      </x:c>
      <x:c r="AF493" s="9" t="str">
        <x:v>None</x:v>
      </x:c>
      <x:c r="AG493" s="9"/>
      <x:c r="AH493" s="9"/>
      <x:c r="AI493" s="11"/>
      <x:c r="AJ493" s="9"/>
      <x:c r="AK493" s="9" t="str">
        <x:v>Eval_Relational_Placement (1).xlsm</x:v>
      </x:c>
      <x:c r="AL493" s="9" t="str">
        <x:v>MolmoAct2 Results</x:v>
      </x:c>
      <x:c r="AM493" s="9" t="n">
        <x:v>43</x:v>
      </x:c>
      <x:c r="AN493" s="9" t="n">
        <x:v>43</x:v>
      </x:c>
    </x:row>
    <x:row r="494">
      <x:c r="A494" s="9" t="str">
        <x:v>Failure</x:v>
      </x:c>
      <x:c r="B494" s="9" t="str">
        <x:v>Relational Placement</x:v>
      </x:c>
      <x:c r="C494" s="10" t="n">
        <x:v>42</x:v>
      </x:c>
      <x:c r="D494" s="9" t="str">
        <x:v>Place the red block to the left of the green pen.</x:v>
      </x:c>
      <x:c r="E494" s="9" t="str">
        <x:v>green pen, red block, blue block, pink marker</x:v>
      </x:c>
      <x:c r="F494" s="9" t="str">
        <x:v>red block → 2–8 cm edge gap to the left of green pen; centroid direction within ±45°.</x:v>
      </x:c>
      <x:c r="G494" s="9" t="str">
        <x:v>placed behind</x:v>
      </x:c>
      <x:c r="H494" s="9" t="str">
        <x:v>Concept/compositional transfer</x:v>
      </x:c>
      <x:c r="I494" s="9" t="str">
        <x:v>RP-CT-CF06</x:v>
      </x:c>
      <x:c r="J494" s="9" t="str">
        <x:v>Four-way held-out counterfactual: relation polarity × target/reference role</x:v>
      </x:c>
      <x:c r="K494" s="9" t="n">
        <x:v>40</x:v>
      </x:c>
      <x:c r="L494" s="9" t="str">
        <x:v>285</x:v>
      </x:c>
      <x:c r="M494" s="9"/>
      <x:c r="N494" s="9"/>
      <x:c r="O494" s="9" t="str">
        <x:v>Reset both core objects to their marked poses; preserve distractors, camera, and robot start; change only the instruction.</x:v>
      </x:c>
      <x:c r="P494" s="9" t="str">
        <x:v>The directional word × ordered green-pen/red-block role is held out. Source episode 285 supplies the same target manipulation under a trained near/next-to/beside prompt. The orthogonal start prevents an inverse-start shortcut.</x:v>
      </x:c>
      <x:c r="Q494" s="9"/>
      <x:c r="R494" s="10" t="n">
        <x:v>4</x:v>
      </x:c>
      <x:c r="S494" s="10"/>
      <x:c r="T494" s="9"/>
      <x:c r="U494" s="9"/>
      <x:c r="V494" s="9"/>
      <x:c r="W494" s="9"/>
      <x:c r="X494" s="10"/>
      <x:c r="Y494" s="10"/>
      <x:c r="Z494" s="9"/>
      <x:c r="AA494" s="9"/>
      <x:c r="AB494" s="9"/>
      <x:c r="AC494" s="9" t="str">
        <x:v>left</x:v>
      </x:c>
      <x:c r="AD494" s="9" t="str">
        <x:v>red block</x:v>
      </x:c>
      <x:c r="AE494" s="9" t="str">
        <x:v>green pen</x:v>
      </x:c>
      <x:c r="AF494" s="9" t="str">
        <x:v>None</x:v>
      </x:c>
      <x:c r="AG494" s="9"/>
      <x:c r="AH494" s="9"/>
      <x:c r="AI494" s="11"/>
      <x:c r="AJ494" s="9"/>
      <x:c r="AK494" s="9" t="str">
        <x:v>Eval_Relational_Placement (1).xlsm</x:v>
      </x:c>
      <x:c r="AL494" s="9" t="str">
        <x:v>MolmoAct2 Results</x:v>
      </x:c>
      <x:c r="AM494" s="9" t="n">
        <x:v>44</x:v>
      </x:c>
      <x:c r="AN494" s="9" t="n">
        <x:v>44</x:v>
      </x:c>
    </x:row>
    <x:row r="495">
      <x:c r="A495" s="9" t="str">
        <x:v>Failure</x:v>
      </x:c>
      <x:c r="B495" s="9" t="str">
        <x:v>Relational Placement</x:v>
      </x:c>
      <x:c r="C495" s="10" t="n">
        <x:v>43</x:v>
      </x:c>
      <x:c r="D495" s="9" t="str">
        <x:v>Place the red block to the right of the green pen.</x:v>
      </x:c>
      <x:c r="E495" s="9" t="str">
        <x:v>green pen, red block, blue block, pink marker</x:v>
      </x:c>
      <x:c r="F495" s="9" t="str">
        <x:v>red block → 2–8 cm edge gap to the right of green pen; centroid direction within ±45°.</x:v>
      </x:c>
      <x:c r="G495" s="9" t="str">
        <x:v>placed behind</x:v>
      </x:c>
      <x:c r="H495" s="9" t="str">
        <x:v>Concept/compositional transfer</x:v>
      </x:c>
      <x:c r="I495" s="9" t="str">
        <x:v>RP-CT-CF06</x:v>
      </x:c>
      <x:c r="J495" s="9" t="str">
        <x:v>Four-way held-out counterfactual: relation polarity × target/reference role</x:v>
      </x:c>
      <x:c r="K495" s="9" t="n">
        <x:v>40</x:v>
      </x:c>
      <x:c r="L495" s="9" t="str">
        <x:v>298</x:v>
      </x:c>
      <x:c r="M495" s="9"/>
      <x:c r="N495" s="9"/>
      <x:c r="O495" s="9" t="str">
        <x:v>Reset both core objects to their marked poses; preserve distractors, camera, and robot start; change only the instruction.</x:v>
      </x:c>
      <x:c r="P495" s="9" t="str">
        <x:v>The directional word × ordered green-pen/red-block role is held out. Source episode 298 supplies the same target manipulation under a trained near/next-to/beside prompt. The orthogonal start prevents an inverse-start shortcut.</x:v>
      </x:c>
      <x:c r="Q495" s="9"/>
      <x:c r="R495" s="10" t="n">
        <x:v>4</x:v>
      </x:c>
      <x:c r="S495" s="10"/>
      <x:c r="T495" s="9"/>
      <x:c r="U495" s="9"/>
      <x:c r="V495" s="9"/>
      <x:c r="W495" s="9"/>
      <x:c r="X495" s="10"/>
      <x:c r="Y495" s="10"/>
      <x:c r="Z495" s="9"/>
      <x:c r="AA495" s="9"/>
      <x:c r="AB495" s="9"/>
      <x:c r="AC495" s="9" t="str">
        <x:v>right</x:v>
      </x:c>
      <x:c r="AD495" s="9" t="str">
        <x:v>red block</x:v>
      </x:c>
      <x:c r="AE495" s="9" t="str">
        <x:v>green pen</x:v>
      </x:c>
      <x:c r="AF495" s="9" t="str">
        <x:v>None</x:v>
      </x:c>
      <x:c r="AG495" s="9"/>
      <x:c r="AH495" s="9"/>
      <x:c r="AI495" s="11"/>
      <x:c r="AJ495" s="9"/>
      <x:c r="AK495" s="9" t="str">
        <x:v>Eval_Relational_Placement (1).xlsm</x:v>
      </x:c>
      <x:c r="AL495" s="9" t="str">
        <x:v>MolmoAct2 Results</x:v>
      </x:c>
      <x:c r="AM495" s="9" t="n">
        <x:v>45</x:v>
      </x:c>
      <x:c r="AN495" s="9" t="n">
        <x:v>45</x:v>
      </x:c>
    </x:row>
    <x:row r="496">
      <x:c r="A496" s="9" t="str">
        <x:v>Success</x:v>
      </x:c>
      <x:c r="B496" s="9" t="str">
        <x:v>Relational Placement</x:v>
      </x:c>
      <x:c r="C496" s="10" t="n">
        <x:v>44</x:v>
      </x:c>
      <x:c r="D496" s="9" t="str">
        <x:v>Place the green pen in front of the red block.</x:v>
      </x:c>
      <x:c r="E496" s="9" t="str">
        <x:v>green pen, red block, pink marker</x:v>
      </x:c>
      <x:c r="F496" s="9" t="str">
        <x:v>green pen → 2–8 cm edge gap in front of red block; centroid direction within ±45°.</x:v>
      </x:c>
      <x:c r="G496" s="9"/>
      <x:c r="H496" s="9" t="str">
        <x:v>Concept/compositional transfer</x:v>
      </x:c>
      <x:c r="I496" s="9" t="str">
        <x:v>RP-CT-N01</x:v>
      </x:c>
      <x:c r="J496" s="9" t="str">
        <x:v>Neutral-axis independent compositional-transfer scene</x:v>
      </x:c>
      <x:c r="K496" s="9"/>
      <x:c r="L496" s="9" t="str">
        <x:v>201</x:v>
      </x:c>
      <x:c r="M496" s="9"/>
      <x:c r="N496" s="9"/>
      <x:c r="O496" s="9" t="str">
        <x:v>Build the listed neutral-axis scene and save the first frame.</x:v>
      </x:c>
      <x:c r="P496" s="9" t="str">
        <x:v>Independent held-out-composition scene. Source episode 201 supplies target recognition/manipulation under the trained prompt “Place the green pen next to the red block.”. The orthogonal start removes the opposite-side shortcut.</x:v>
      </x:c>
      <x:c r="Q496" s="9"/>
      <x:c r="R496" s="10" t="n">
        <x:v>3</x:v>
      </x:c>
      <x:c r="S496" s="10"/>
      <x:c r="T496" s="9"/>
      <x:c r="U496" s="9"/>
      <x:c r="V496" s="9"/>
      <x:c r="W496" s="9"/>
      <x:c r="X496" s="10"/>
      <x:c r="Y496" s="10"/>
      <x:c r="Z496" s="9"/>
      <x:c r="AA496" s="9"/>
      <x:c r="AB496" s="9"/>
      <x:c r="AC496" s="9" t="str">
        <x:v>front</x:v>
      </x:c>
      <x:c r="AD496" s="9" t="str">
        <x:v>green pen</x:v>
      </x:c>
      <x:c r="AE496" s="9" t="str">
        <x:v>red block</x:v>
      </x:c>
      <x:c r="AF496" s="9" t="str">
        <x:v>None</x:v>
      </x:c>
      <x:c r="AG496" s="9"/>
      <x:c r="AH496" s="9"/>
      <x:c r="AI496" s="11"/>
      <x:c r="AJ496" s="9"/>
      <x:c r="AK496" s="9" t="str">
        <x:v>Eval_Relational_Placement (1).xlsm</x:v>
      </x:c>
      <x:c r="AL496" s="9" t="str">
        <x:v>MolmoAct2 Results</x:v>
      </x:c>
      <x:c r="AM496" s="9" t="n">
        <x:v>46</x:v>
      </x:c>
      <x:c r="AN496" s="9" t="n">
        <x:v>46</x:v>
      </x:c>
    </x:row>
    <x:row r="497">
      <x:c r="A497" s="9" t="str">
        <x:v>Success</x:v>
      </x:c>
      <x:c r="B497" s="9" t="str">
        <x:v>Relational Placement</x:v>
      </x:c>
      <x:c r="C497" s="10" t="n">
        <x:v>45</x:v>
      </x:c>
      <x:c r="D497" s="9" t="str">
        <x:v>Place the green pen next to the red block.</x:v>
      </x:c>
      <x:c r="E497" s="9" t="str">
        <x:v>green pen, red block, pink marker</x:v>
      </x:c>
      <x:c r="F497" s="9" t="str">
        <x:v>green pen → 2–8 cm edge gap near red block; no directional sector required.</x:v>
      </x:c>
      <x:c r="G497" s="9"/>
      <x:c r="H497" s="9" t="str">
        <x:v>Matched manipulation control</x:v>
      </x:c>
      <x:c r="I497" s="9" t="str">
        <x:v>RP-CT-N01</x:v>
      </x:c>
      <x:c r="J497" s="9" t="str">
        <x:v>Exact-scene masked manipulation control</x:v>
      </x:c>
      <x:c r="K497" s="9" t="n">
        <x:v>44</x:v>
      </x:c>
      <x:c r="L497" s="9" t="str">
        <x:v>201</x:v>
      </x:c>
      <x:c r="M497" s="9"/>
      <x:c r="N497" s="9"/>
      <x:c r="O497" s="9" t="str">
        <x:v>Reset P1 to its marked pose; preserve the exact scene and use the trained control instruction.</x:v>
      </x:c>
      <x:c r="P497" s="9" t="str">
        <x:v>Exact-scene control using the final training prompt from episode 201. The target, reference, distractors, camera, and robot start match the paired transfer row.</x:v>
      </x:c>
      <x:c r="Q497" s="9"/>
      <x:c r="R497" s="10" t="n">
        <x:v>3</x:v>
      </x:c>
      <x:c r="S497" s="10"/>
      <x:c r="T497" s="9"/>
      <x:c r="U497" s="9"/>
      <x:c r="V497" s="9"/>
      <x:c r="W497" s="9"/>
      <x:c r="X497" s="10"/>
      <x:c r="Y497" s="10"/>
      <x:c r="Z497" s="9"/>
      <x:c r="AA497" s="9"/>
      <x:c r="AB497" s="9"/>
      <x:c r="AC497" s="9" t="str">
        <x:v>front</x:v>
      </x:c>
      <x:c r="AD497" s="9" t="str">
        <x:v>green pen</x:v>
      </x:c>
      <x:c r="AE497" s="9" t="str">
        <x:v>red block</x:v>
      </x:c>
      <x:c r="AF497" s="9" t="str">
        <x:v>None</x:v>
      </x:c>
      <x:c r="AG497" s="9"/>
      <x:c r="AH497" s="9"/>
      <x:c r="AI497" s="11"/>
      <x:c r="AJ497" s="9"/>
      <x:c r="AK497" s="9" t="str">
        <x:v>Eval_Relational_Placement (1).xlsm</x:v>
      </x:c>
      <x:c r="AL497" s="9" t="str">
        <x:v>MolmoAct2 Results</x:v>
      </x:c>
      <x:c r="AM497" s="9" t="n">
        <x:v>47</x:v>
      </x:c>
      <x:c r="AN497" s="9" t="n">
        <x:v>47</x:v>
      </x:c>
    </x:row>
    <x:row r="498">
      <x:c r="A498" s="9" t="str">
        <x:v>Success</x:v>
      </x:c>
      <x:c r="B498" s="9" t="str">
        <x:v>Relational Placement</x:v>
      </x:c>
      <x:c r="C498" s="10" t="n">
        <x:v>46</x:v>
      </x:c>
      <x:c r="D498" s="9" t="str">
        <x:v>Position the green pen on the robot-facing side of the red block.</x:v>
      </x:c>
      <x:c r="E498" s="9" t="str">
        <x:v>green pen, red block, pink marker</x:v>
      </x:c>
      <x:c r="F498" s="9" t="str">
        <x:v>green pen → 2–8 cm edge gap in front of red block; centroid direction within ±45°.</x:v>
      </x:c>
      <x:c r="G498" s="9"/>
      <x:c r="H498" s="9" t="str">
        <x:v>Language robustness</x:v>
      </x:c>
      <x:c r="I498" s="9" t="str">
        <x:v>RP-CT-N01</x:v>
      </x:c>
      <x:c r="J498" s="9" t="str">
        <x:v>Transfer paraphrase of concept/compositional transfer</x:v>
      </x:c>
      <x:c r="K498" s="9" t="n">
        <x:v>44</x:v>
      </x:c>
      <x:c r="L498" s="9" t="str">
        <x:v>201</x:v>
      </x:c>
      <x:c r="M498" s="9"/>
      <x:c r="N498" s="9"/>
      <x:c r="O498" s="9" t="str">
        <x:v>Reset P1 to its marked pose; preserve the exact scene and change only the wording of the transfer instruction.</x:v>
      </x:c>
      <x:c r="P498" s="9" t="str">
        <x:v>Exact-scene paraphrase of the canonical compositional-transfer instruction.</x:v>
      </x:c>
      <x:c r="Q498" s="9"/>
      <x:c r="R498" s="10" t="n">
        <x:v>3</x:v>
      </x:c>
      <x:c r="S498" s="10"/>
      <x:c r="T498" s="9"/>
      <x:c r="U498" s="9"/>
      <x:c r="V498" s="9"/>
      <x:c r="W498" s="9"/>
      <x:c r="X498" s="10"/>
      <x:c r="Y498" s="10"/>
      <x:c r="Z498" s="9"/>
      <x:c r="AA498" s="9"/>
      <x:c r="AB498" s="9"/>
      <x:c r="AC498" s="9" t="str">
        <x:v>front</x:v>
      </x:c>
      <x:c r="AD498" s="9" t="str">
        <x:v>green pen</x:v>
      </x:c>
      <x:c r="AE498" s="9" t="str">
        <x:v>red block</x:v>
      </x:c>
      <x:c r="AF498" s="9" t="str">
        <x:v>None</x:v>
      </x:c>
      <x:c r="AG498" s="9"/>
      <x:c r="AH498" s="9"/>
      <x:c r="AI498" s="11"/>
      <x:c r="AJ498" s="9"/>
      <x:c r="AK498" s="9" t="str">
        <x:v>Eval_Relational_Placement (1).xlsm</x:v>
      </x:c>
      <x:c r="AL498" s="9" t="str">
        <x:v>MolmoAct2 Results</x:v>
      </x:c>
      <x:c r="AM498" s="9" t="n">
        <x:v>48</x:v>
      </x:c>
      <x:c r="AN498" s="9" t="n">
        <x:v>48</x:v>
      </x:c>
    </x:row>
    <x:row r="499">
      <x:c r="A499" s="9" t="str">
        <x:v>Success</x:v>
      </x:c>
      <x:c r="B499" s="9" t="str">
        <x:v>Relational Placement</x:v>
      </x:c>
      <x:c r="C499" s="10" t="n">
        <x:v>47</x:v>
      </x:c>
      <x:c r="D499" s="9" t="str">
        <x:v>Set the green pen down close to the red block.</x:v>
      </x:c>
      <x:c r="E499" s="9" t="str">
        <x:v>green pen, red block, pink marker</x:v>
      </x:c>
      <x:c r="F499" s="9" t="str">
        <x:v>green pen → 2–8 cm edge gap near red block; no directional sector required.</x:v>
      </x:c>
      <x:c r="G499" s="9"/>
      <x:c r="H499" s="9" t="str">
        <x:v>Language robustness</x:v>
      </x:c>
      <x:c r="I499" s="9" t="str">
        <x:v>RP-CT-N01</x:v>
      </x:c>
      <x:c r="J499" s="9" t="str">
        <x:v>Matched-control paraphrase</x:v>
      </x:c>
      <x:c r="K499" s="9" t="n">
        <x:v>45</x:v>
      </x:c>
      <x:c r="L499" s="9" t="str">
        <x:v>201</x:v>
      </x:c>
      <x:c r="M499" s="9"/>
      <x:c r="N499" s="9"/>
      <x:c r="O499" s="9" t="str">
        <x:v>Reset P1 to its marked pose; preserve the exact scene and change only the wording of the matched-control instruction.</x:v>
      </x:c>
      <x:c r="P499" s="9" t="str">
        <x:v>Exact-scene paraphrase of the training-supported control from episode 201.</x:v>
      </x:c>
      <x:c r="Q499" s="9"/>
      <x:c r="R499" s="10" t="n">
        <x:v>3</x:v>
      </x:c>
      <x:c r="S499" s="10"/>
      <x:c r="T499" s="9"/>
      <x:c r="U499" s="9"/>
      <x:c r="V499" s="9"/>
      <x:c r="W499" s="9"/>
      <x:c r="X499" s="10"/>
      <x:c r="Y499" s="10"/>
      <x:c r="Z499" s="9"/>
      <x:c r="AA499" s="9"/>
      <x:c r="AB499" s="9"/>
      <x:c r="AC499" s="9" t="str">
        <x:v>front</x:v>
      </x:c>
      <x:c r="AD499" s="9" t="str">
        <x:v>green pen</x:v>
      </x:c>
      <x:c r="AE499" s="9" t="str">
        <x:v>red block</x:v>
      </x:c>
      <x:c r="AF499" s="9" t="str">
        <x:v>None</x:v>
      </x:c>
      <x:c r="AG499" s="9"/>
      <x:c r="AH499" s="9"/>
      <x:c r="AI499" s="11"/>
      <x:c r="AJ499" s="9"/>
      <x:c r="AK499" s="9" t="str">
        <x:v>Eval_Relational_Placement (1).xlsm</x:v>
      </x:c>
      <x:c r="AL499" s="9" t="str">
        <x:v>MolmoAct2 Results</x:v>
      </x:c>
      <x:c r="AM499" s="9" t="n">
        <x:v>49</x:v>
      </x:c>
      <x:c r="AN499" s="9" t="n">
        <x:v>49</x:v>
      </x:c>
    </x:row>
    <x:row r="500">
      <x:c r="A500" s="9" t="str">
        <x:v>Failure</x:v>
      </x:c>
      <x:c r="B500" s="9" t="str">
        <x:v>Relational Placement</x:v>
      </x:c>
      <x:c r="C500" s="10" t="n">
        <x:v>48</x:v>
      </x:c>
      <x:c r="D500" s="9" t="str">
        <x:v>Place the green pen in front of the red block.</x:v>
      </x:c>
      <x:c r="E500" s="9" t="str">
        <x:v>green pen, red block, blue block, pink marker</x:v>
      </x:c>
      <x:c r="F500" s="9" t="str">
        <x:v>green pen → 2–8 cm edge gap in front of red block; centroid direction within ±45°.</x:v>
      </x:c>
      <x:c r="G500" s="9" t="str">
        <x:v>placed behind and to the left</x:v>
      </x:c>
      <x:c r="H500" s="9" t="str">
        <x:v>Concept/compositional transfer</x:v>
      </x:c>
      <x:c r="I500" s="9" t="str">
        <x:v>RP-CT-N02</x:v>
      </x:c>
      <x:c r="J500" s="9" t="str">
        <x:v>Neutral-axis independent compositional-transfer scene</x:v>
      </x:c>
      <x:c r="K500" s="9"/>
      <x:c r="L500" s="9" t="str">
        <x:v>202</x:v>
      </x:c>
      <x:c r="M500" s="9"/>
      <x:c r="N500" s="9"/>
      <x:c r="O500" s="9" t="str">
        <x:v>Build the listed neutral-axis scene and save the first frame.</x:v>
      </x:c>
      <x:c r="P500" s="9" t="str">
        <x:v>Independent held-out-composition scene. Source episode 202 supplies target recognition/manipulation under the trained prompt “Put the green pen beside the red block.”. The orthogonal start removes the opposite-side shortcut.</x:v>
      </x:c>
      <x:c r="Q500" s="9"/>
      <x:c r="R500" s="10" t="n">
        <x:v>4</x:v>
      </x:c>
      <x:c r="S500" s="10"/>
      <x:c r="T500" s="9"/>
      <x:c r="U500" s="9"/>
      <x:c r="V500" s="9"/>
      <x:c r="W500" s="9"/>
      <x:c r="X500" s="10"/>
      <x:c r="Y500" s="10"/>
      <x:c r="Z500" s="9"/>
      <x:c r="AA500" s="9"/>
      <x:c r="AB500" s="9"/>
      <x:c r="AC500" s="9" t="str">
        <x:v>front</x:v>
      </x:c>
      <x:c r="AD500" s="9" t="str">
        <x:v>green pen</x:v>
      </x:c>
      <x:c r="AE500" s="9" t="str">
        <x:v>red block</x:v>
      </x:c>
      <x:c r="AF500" s="9" t="str">
        <x:v>None</x:v>
      </x:c>
      <x:c r="AG500" s="9"/>
      <x:c r="AH500" s="9"/>
      <x:c r="AI500" s="11"/>
      <x:c r="AJ500" s="9"/>
      <x:c r="AK500" s="9" t="str">
        <x:v>Eval_Relational_Placement (1).xlsm</x:v>
      </x:c>
      <x:c r="AL500" s="9" t="str">
        <x:v>MolmoAct2 Results</x:v>
      </x:c>
      <x:c r="AM500" s="9" t="n">
        <x:v>50</x:v>
      </x:c>
      <x:c r="AN500" s="9" t="n">
        <x:v>50</x:v>
      </x:c>
    </x:row>
    <x:row r="501">
      <x:c r="A501" s="9" t="str">
        <x:v>Success</x:v>
      </x:c>
      <x:c r="B501" s="9" t="str">
        <x:v>Relational Placement</x:v>
      </x:c>
      <x:c r="C501" s="10" t="n">
        <x:v>49</x:v>
      </x:c>
      <x:c r="D501" s="9" t="str">
        <x:v>Put the green pen beside the red block.</x:v>
      </x:c>
      <x:c r="E501" s="9" t="str">
        <x:v>green pen, red block, blue block, pink marker</x:v>
      </x:c>
      <x:c r="F501" s="9" t="str">
        <x:v>green pen → 2–8 cm edge gap near red block; no directional sector required.</x:v>
      </x:c>
      <x:c r="G501" s="9"/>
      <x:c r="H501" s="9" t="str">
        <x:v>Matched manipulation control</x:v>
      </x:c>
      <x:c r="I501" s="9" t="str">
        <x:v>RP-CT-N02</x:v>
      </x:c>
      <x:c r="J501" s="9" t="str">
        <x:v>Exact-scene masked manipulation control</x:v>
      </x:c>
      <x:c r="K501" s="9" t="n">
        <x:v>48</x:v>
      </x:c>
      <x:c r="L501" s="9" t="str">
        <x:v>202</x:v>
      </x:c>
      <x:c r="M501" s="9"/>
      <x:c r="N501" s="9"/>
      <x:c r="O501" s="9" t="str">
        <x:v>Reset P1 to its marked pose; preserve the exact scene and use the trained control instruction.</x:v>
      </x:c>
      <x:c r="P501" s="9" t="str">
        <x:v>Exact-scene control using the final training prompt from episode 202. The target, reference, distractors, camera, and robot start match the paired transfer row.</x:v>
      </x:c>
      <x:c r="Q501" s="9"/>
      <x:c r="R501" s="10" t="n">
        <x:v>4</x:v>
      </x:c>
      <x:c r="S501" s="10"/>
      <x:c r="T501" s="9"/>
      <x:c r="U501" s="9"/>
      <x:c r="V501" s="9"/>
      <x:c r="W501" s="9"/>
      <x:c r="X501" s="10"/>
      <x:c r="Y501" s="10"/>
      <x:c r="Z501" s="9"/>
      <x:c r="AA501" s="9"/>
      <x:c r="AB501" s="9"/>
      <x:c r="AC501" s="9" t="str">
        <x:v>front</x:v>
      </x:c>
      <x:c r="AD501" s="9" t="str">
        <x:v>green pen</x:v>
      </x:c>
      <x:c r="AE501" s="9" t="str">
        <x:v>red block</x:v>
      </x:c>
      <x:c r="AF501" s="9" t="str">
        <x:v>None</x:v>
      </x:c>
      <x:c r="AG501" s="9"/>
      <x:c r="AH501" s="9"/>
      <x:c r="AI501" s="11"/>
      <x:c r="AJ501" s="9"/>
      <x:c r="AK501" s="9" t="str">
        <x:v>Eval_Relational_Placement (1).xlsm</x:v>
      </x:c>
      <x:c r="AL501" s="9" t="str">
        <x:v>MolmoAct2 Results</x:v>
      </x:c>
      <x:c r="AM501" s="9" t="n">
        <x:v>51</x:v>
      </x:c>
      <x:c r="AN501" s="9" t="n">
        <x:v>51</x:v>
      </x:c>
    </x:row>
    <x:row r="502">
      <x:c r="A502" s="9" t="str">
        <x:v>Failure</x:v>
      </x:c>
      <x:c r="B502" s="9" t="str">
        <x:v>Relational Placement</x:v>
      </x:c>
      <x:c r="C502" s="10" t="n">
        <x:v>50</x:v>
      </x:c>
      <x:c r="D502" s="9" t="str">
        <x:v>Position the green pen on the robot-facing side of the red block.</x:v>
      </x:c>
      <x:c r="E502" s="9" t="str">
        <x:v>green pen, red block, blue block, pink marker</x:v>
      </x:c>
      <x:c r="F502" s="9" t="str">
        <x:v>green pen → 2–8 cm edge gap in front of red block; centroid direction within ±45°.</x:v>
      </x:c>
      <x:c r="G502" s="9" t="str">
        <x:v>placed behind</x:v>
      </x:c>
      <x:c r="H502" s="9" t="str">
        <x:v>Language robustness</x:v>
      </x:c>
      <x:c r="I502" s="9" t="str">
        <x:v>RP-CT-N02</x:v>
      </x:c>
      <x:c r="J502" s="9" t="str">
        <x:v>Transfer paraphrase of concept/compositional transfer</x:v>
      </x:c>
      <x:c r="K502" s="9" t="n">
        <x:v>48</x:v>
      </x:c>
      <x:c r="L502" s="9" t="str">
        <x:v>202</x:v>
      </x:c>
      <x:c r="M502" s="9"/>
      <x:c r="N502" s="9"/>
      <x:c r="O502" s="9" t="str">
        <x:v>Reset P1 to its marked pose; preserve the exact scene and change only the wording of the transfer instruction.</x:v>
      </x:c>
      <x:c r="P502" s="9" t="str">
        <x:v>Exact-scene paraphrase of the canonical compositional-transfer instruction.</x:v>
      </x:c>
      <x:c r="Q502" s="9"/>
      <x:c r="R502" s="10" t="n">
        <x:v>4</x:v>
      </x:c>
      <x:c r="S502" s="10"/>
      <x:c r="T502" s="9"/>
      <x:c r="U502" s="9"/>
      <x:c r="V502" s="9"/>
      <x:c r="W502" s="9"/>
      <x:c r="X502" s="10"/>
      <x:c r="Y502" s="10"/>
      <x:c r="Z502" s="9"/>
      <x:c r="AA502" s="9"/>
      <x:c r="AB502" s="9"/>
      <x:c r="AC502" s="9" t="str">
        <x:v>front</x:v>
      </x:c>
      <x:c r="AD502" s="9" t="str">
        <x:v>green pen</x:v>
      </x:c>
      <x:c r="AE502" s="9" t="str">
        <x:v>red block</x:v>
      </x:c>
      <x:c r="AF502" s="9" t="str">
        <x:v>None</x:v>
      </x:c>
      <x:c r="AG502" s="9"/>
      <x:c r="AH502" s="9"/>
      <x:c r="AI502" s="11"/>
      <x:c r="AJ502" s="9"/>
      <x:c r="AK502" s="9" t="str">
        <x:v>Eval_Relational_Placement (1).xlsm</x:v>
      </x:c>
      <x:c r="AL502" s="9" t="str">
        <x:v>MolmoAct2 Results</x:v>
      </x:c>
      <x:c r="AM502" s="9" t="n">
        <x:v>52</x:v>
      </x:c>
      <x:c r="AN502" s="9" t="n">
        <x:v>52</x:v>
      </x:c>
    </x:row>
    <x:row r="503">
      <x:c r="A503" s="9" t="str">
        <x:v>Success</x:v>
      </x:c>
      <x:c r="B503" s="9" t="str">
        <x:v>Relational Placement</x:v>
      </x:c>
      <x:c r="C503" s="10" t="n">
        <x:v>51</x:v>
      </x:c>
      <x:c r="D503" s="9" t="str">
        <x:v>Set the green pen down close to the red block.</x:v>
      </x:c>
      <x:c r="E503" s="9" t="str">
        <x:v>green pen, red block, blue block, pink marker</x:v>
      </x:c>
      <x:c r="F503" s="9" t="str">
        <x:v>green pen → 2–8 cm edge gap near red block; no directional sector required.</x:v>
      </x:c>
      <x:c r="G503" s="9"/>
      <x:c r="H503" s="9" t="str">
        <x:v>Language robustness</x:v>
      </x:c>
      <x:c r="I503" s="9" t="str">
        <x:v>RP-CT-N02</x:v>
      </x:c>
      <x:c r="J503" s="9" t="str">
        <x:v>Matched-control paraphrase</x:v>
      </x:c>
      <x:c r="K503" s="9" t="n">
        <x:v>49</x:v>
      </x:c>
      <x:c r="L503" s="9" t="str">
        <x:v>202</x:v>
      </x:c>
      <x:c r="M503" s="9"/>
      <x:c r="N503" s="9"/>
      <x:c r="O503" s="9" t="str">
        <x:v>Reset P1 to its marked pose; preserve the exact scene and change only the wording of the matched-control instruction.</x:v>
      </x:c>
      <x:c r="P503" s="9" t="str">
        <x:v>Exact-scene paraphrase of the training-supported control from episode 202.</x:v>
      </x:c>
      <x:c r="Q503" s="9"/>
      <x:c r="R503" s="10" t="n">
        <x:v>4</x:v>
      </x:c>
      <x:c r="S503" s="10"/>
      <x:c r="T503" s="9"/>
      <x:c r="U503" s="9"/>
      <x:c r="V503" s="9"/>
      <x:c r="W503" s="9"/>
      <x:c r="X503" s="10"/>
      <x:c r="Y503" s="10"/>
      <x:c r="Z503" s="9"/>
      <x:c r="AA503" s="9"/>
      <x:c r="AB503" s="9"/>
      <x:c r="AC503" s="9" t="str">
        <x:v>front</x:v>
      </x:c>
      <x:c r="AD503" s="9" t="str">
        <x:v>green pen</x:v>
      </x:c>
      <x:c r="AE503" s="9" t="str">
        <x:v>red block</x:v>
      </x:c>
      <x:c r="AF503" s="9" t="str">
        <x:v>None</x:v>
      </x:c>
      <x:c r="AG503" s="9"/>
      <x:c r="AH503" s="9"/>
      <x:c r="AI503" s="11"/>
      <x:c r="AJ503" s="9"/>
      <x:c r="AK503" s="9" t="str">
        <x:v>Eval_Relational_Placement (1).xlsm</x:v>
      </x:c>
      <x:c r="AL503" s="9" t="str">
        <x:v>MolmoAct2 Results</x:v>
      </x:c>
      <x:c r="AM503" s="9" t="n">
        <x:v>53</x:v>
      </x:c>
      <x:c r="AN503" s="9" t="n">
        <x:v>53</x:v>
      </x:c>
    </x:row>
    <x:row r="504">
      <x:c r="A504" s="9" t="str">
        <x:v>Success</x:v>
      </x:c>
      <x:c r="B504" s="9" t="str">
        <x:v>Relational Placement</x:v>
      </x:c>
      <x:c r="C504" s="10" t="n">
        <x:v>52</x:v>
      </x:c>
      <x:c r="D504" s="9" t="str">
        <x:v>Place the red block in front of the green pen.</x:v>
      </x:c>
      <x:c r="E504" s="9" t="str">
        <x:v>red block, green pen, pink marker</x:v>
      </x:c>
      <x:c r="F504" s="9" t="str">
        <x:v>red block → 2–8 cm edge gap in front of green pen; centroid direction within ±45°.</x:v>
      </x:c>
      <x:c r="G504" s="9"/>
      <x:c r="H504" s="9" t="str">
        <x:v>Concept/compositional transfer</x:v>
      </x:c>
      <x:c r="I504" s="9" t="str">
        <x:v>RP-CT-N03</x:v>
      </x:c>
      <x:c r="J504" s="9" t="str">
        <x:v>Neutral-axis independent compositional-transfer scene</x:v>
      </x:c>
      <x:c r="K504" s="9"/>
      <x:c r="L504" s="9" t="str">
        <x:v>259</x:v>
      </x:c>
      <x:c r="M504" s="9"/>
      <x:c r="N504" s="9"/>
      <x:c r="O504" s="9" t="str">
        <x:v>Build the listed neutral-axis scene and save the first frame.</x:v>
      </x:c>
      <x:c r="P504" s="9" t="str">
        <x:v>Independent held-out-composition scene. Source episode 259 supplies target recognition/manipulation under the trained prompt “Put the red block beside the green pen.”. The orthogonal start removes the opposite-side shortcut.</x:v>
      </x:c>
      <x:c r="Q504" s="9"/>
      <x:c r="R504" s="10" t="n">
        <x:v>3</x:v>
      </x:c>
      <x:c r="S504" s="10"/>
      <x:c r="T504" s="9"/>
      <x:c r="U504" s="9"/>
      <x:c r="V504" s="9"/>
      <x:c r="W504" s="9"/>
      <x:c r="X504" s="10"/>
      <x:c r="Y504" s="10"/>
      <x:c r="Z504" s="9"/>
      <x:c r="AA504" s="9"/>
      <x:c r="AB504" s="9"/>
      <x:c r="AC504" s="9" t="str">
        <x:v>front</x:v>
      </x:c>
      <x:c r="AD504" s="9" t="str">
        <x:v>red block</x:v>
      </x:c>
      <x:c r="AE504" s="9" t="str">
        <x:v>green pen</x:v>
      </x:c>
      <x:c r="AF504" s="9" t="str">
        <x:v>None</x:v>
      </x:c>
      <x:c r="AG504" s="9"/>
      <x:c r="AH504" s="9"/>
      <x:c r="AI504" s="11"/>
      <x:c r="AJ504" s="9"/>
      <x:c r="AK504" s="9" t="str">
        <x:v>Eval_Relational_Placement (1).xlsm</x:v>
      </x:c>
      <x:c r="AL504" s="9" t="str">
        <x:v>MolmoAct2 Results</x:v>
      </x:c>
      <x:c r="AM504" s="9" t="n">
        <x:v>54</x:v>
      </x:c>
      <x:c r="AN504" s="9" t="n">
        <x:v>54</x:v>
      </x:c>
    </x:row>
    <x:row r="505">
      <x:c r="A505" s="9" t="str">
        <x:v>Success</x:v>
      </x:c>
      <x:c r="B505" s="9" t="str">
        <x:v>Relational Placement</x:v>
      </x:c>
      <x:c r="C505" s="10" t="n">
        <x:v>53</x:v>
      </x:c>
      <x:c r="D505" s="9" t="str">
        <x:v>Put the red block beside the green pen.</x:v>
      </x:c>
      <x:c r="E505" s="9" t="str">
        <x:v>red block, green pen, pink marker</x:v>
      </x:c>
      <x:c r="F505" s="9" t="str">
        <x:v>red block → 2–8 cm edge gap near green pen; no directional sector required.</x:v>
      </x:c>
      <x:c r="G505" s="9" t="str">
        <x:v>placed behind instead of in front</x:v>
      </x:c>
      <x:c r="H505" s="9" t="str">
        <x:v>Matched manipulation control</x:v>
      </x:c>
      <x:c r="I505" s="9" t="str">
        <x:v>RP-CT-N03</x:v>
      </x:c>
      <x:c r="J505" s="9" t="str">
        <x:v>Exact-scene masked manipulation control</x:v>
      </x:c>
      <x:c r="K505" s="9" t="n">
        <x:v>52</x:v>
      </x:c>
      <x:c r="L505" s="9" t="str">
        <x:v>259</x:v>
      </x:c>
      <x:c r="M505" s="9"/>
      <x:c r="N505" s="9"/>
      <x:c r="O505" s="9" t="str">
        <x:v>Reset P1 to its marked pose; preserve the exact scene and use the trained control instruction.</x:v>
      </x:c>
      <x:c r="P505" s="9" t="str">
        <x:v>Exact-scene control using the final training prompt from episode 259. The target, reference, distractors, camera, and robot start match the paired transfer row.</x:v>
      </x:c>
      <x:c r="Q505" s="9"/>
      <x:c r="R505" s="10" t="n">
        <x:v>3</x:v>
      </x:c>
      <x:c r="S505" s="10"/>
      <x:c r="T505" s="9"/>
      <x:c r="U505" s="9"/>
      <x:c r="V505" s="9"/>
      <x:c r="W505" s="9"/>
      <x:c r="X505" s="10"/>
      <x:c r="Y505" s="10"/>
      <x:c r="Z505" s="9"/>
      <x:c r="AA505" s="9"/>
      <x:c r="AB505" s="9"/>
      <x:c r="AC505" s="9" t="str">
        <x:v>front</x:v>
      </x:c>
      <x:c r="AD505" s="9" t="str">
        <x:v>red block</x:v>
      </x:c>
      <x:c r="AE505" s="9" t="str">
        <x:v>green pen</x:v>
      </x:c>
      <x:c r="AF505" s="9" t="str">
        <x:v>None</x:v>
      </x:c>
      <x:c r="AG505" s="9"/>
      <x:c r="AH505" s="9"/>
      <x:c r="AI505" s="11"/>
      <x:c r="AJ505" s="9"/>
      <x:c r="AK505" s="9" t="str">
        <x:v>Eval_Relational_Placement (1).xlsm</x:v>
      </x:c>
      <x:c r="AL505" s="9" t="str">
        <x:v>MolmoAct2 Results</x:v>
      </x:c>
      <x:c r="AM505" s="9" t="n">
        <x:v>55</x:v>
      </x:c>
      <x:c r="AN505" s="9" t="n">
        <x:v>55</x:v>
      </x:c>
    </x:row>
    <x:row r="506">
      <x:c r="A506" s="9" t="str">
        <x:v>Failure</x:v>
      </x:c>
      <x:c r="B506" s="9" t="str">
        <x:v>Relational Placement</x:v>
      </x:c>
      <x:c r="C506" s="10" t="n">
        <x:v>54</x:v>
      </x:c>
      <x:c r="D506" s="9" t="str">
        <x:v>Position the red block on the robot-facing side of the green pen.</x:v>
      </x:c>
      <x:c r="E506" s="9" t="str">
        <x:v>red block, green pen, pink marker</x:v>
      </x:c>
      <x:c r="F506" s="9" t="str">
        <x:v>red block → 2–8 cm edge gap in front of green pen; centroid direction within ±45°.</x:v>
      </x:c>
      <x:c r="G506" s="9" t="str">
        <x:v>placed behind instead of in front</x:v>
      </x:c>
      <x:c r="H506" s="9" t="str">
        <x:v>Language robustness</x:v>
      </x:c>
      <x:c r="I506" s="9" t="str">
        <x:v>RP-CT-N03</x:v>
      </x:c>
      <x:c r="J506" s="9" t="str">
        <x:v>Transfer paraphrase of concept/compositional transfer</x:v>
      </x:c>
      <x:c r="K506" s="9" t="n">
        <x:v>52</x:v>
      </x:c>
      <x:c r="L506" s="9" t="str">
        <x:v>259</x:v>
      </x:c>
      <x:c r="M506" s="9"/>
      <x:c r="N506" s="9"/>
      <x:c r="O506" s="9" t="str">
        <x:v>Reset P1 to its marked pose; preserve the exact scene and change only the wording of the transfer instruction.</x:v>
      </x:c>
      <x:c r="P506" s="9" t="str">
        <x:v>Exact-scene paraphrase of the canonical compositional-transfer instruction.</x:v>
      </x:c>
      <x:c r="Q506" s="9"/>
      <x:c r="R506" s="10" t="n">
        <x:v>3</x:v>
      </x:c>
      <x:c r="S506" s="10"/>
      <x:c r="T506" s="9"/>
      <x:c r="U506" s="9"/>
      <x:c r="V506" s="9"/>
      <x:c r="W506" s="9"/>
      <x:c r="X506" s="10"/>
      <x:c r="Y506" s="10"/>
      <x:c r="Z506" s="9"/>
      <x:c r="AA506" s="9"/>
      <x:c r="AB506" s="9"/>
      <x:c r="AC506" s="9" t="str">
        <x:v>front</x:v>
      </x:c>
      <x:c r="AD506" s="9" t="str">
        <x:v>red block</x:v>
      </x:c>
      <x:c r="AE506" s="9" t="str">
        <x:v>green pen</x:v>
      </x:c>
      <x:c r="AF506" s="9" t="str">
        <x:v>None</x:v>
      </x:c>
      <x:c r="AG506" s="9"/>
      <x:c r="AH506" s="9"/>
      <x:c r="AI506" s="11"/>
      <x:c r="AJ506" s="9"/>
      <x:c r="AK506" s="9" t="str">
        <x:v>Eval_Relational_Placement (1).xlsm</x:v>
      </x:c>
      <x:c r="AL506" s="9" t="str">
        <x:v>MolmoAct2 Results</x:v>
      </x:c>
      <x:c r="AM506" s="9" t="n">
        <x:v>56</x:v>
      </x:c>
      <x:c r="AN506" s="9" t="n">
        <x:v>56</x:v>
      </x:c>
    </x:row>
    <x:row r="507">
      <x:c r="A507" s="9" t="str">
        <x:v>Success</x:v>
      </x:c>
      <x:c r="B507" s="9" t="str">
        <x:v>Relational Placement</x:v>
      </x:c>
      <x:c r="C507" s="10" t="n">
        <x:v>55</x:v>
      </x:c>
      <x:c r="D507" s="9" t="str">
        <x:v>Set the red block down close to the green pen.</x:v>
      </x:c>
      <x:c r="E507" s="9" t="str">
        <x:v>red block, green pen, pink marker</x:v>
      </x:c>
      <x:c r="F507" s="9" t="str">
        <x:v>red block → 2–8 cm edge gap near green pen; no directional sector required.</x:v>
      </x:c>
      <x:c r="G507" s="9" t="str">
        <x:v>placed behind  </x:v>
      </x:c>
      <x:c r="H507" s="9" t="str">
        <x:v>Language robustness</x:v>
      </x:c>
      <x:c r="I507" s="9" t="str">
        <x:v>RP-CT-N03</x:v>
      </x:c>
      <x:c r="J507" s="9" t="str">
        <x:v>Matched-control paraphrase</x:v>
      </x:c>
      <x:c r="K507" s="9" t="n">
        <x:v>53</x:v>
      </x:c>
      <x:c r="L507" s="9" t="str">
        <x:v>259</x:v>
      </x:c>
      <x:c r="M507" s="9"/>
      <x:c r="N507" s="9"/>
      <x:c r="O507" s="9" t="str">
        <x:v>Reset P1 to its marked pose; preserve the exact scene and change only the wording of the matched-control instruction.</x:v>
      </x:c>
      <x:c r="P507" s="9" t="str">
        <x:v>Exact-scene paraphrase of the training-supported control from episode 259.</x:v>
      </x:c>
      <x:c r="Q507" s="9"/>
      <x:c r="R507" s="10" t="n">
        <x:v>3</x:v>
      </x:c>
      <x:c r="S507" s="10"/>
      <x:c r="T507" s="9"/>
      <x:c r="U507" s="9"/>
      <x:c r="V507" s="9"/>
      <x:c r="W507" s="9"/>
      <x:c r="X507" s="10"/>
      <x:c r="Y507" s="10"/>
      <x:c r="Z507" s="9"/>
      <x:c r="AA507" s="9"/>
      <x:c r="AB507" s="9"/>
      <x:c r="AC507" s="9" t="str">
        <x:v>front</x:v>
      </x:c>
      <x:c r="AD507" s="9" t="str">
        <x:v>red block</x:v>
      </x:c>
      <x:c r="AE507" s="9" t="str">
        <x:v>green pen</x:v>
      </x:c>
      <x:c r="AF507" s="9" t="str">
        <x:v>None</x:v>
      </x:c>
      <x:c r="AG507" s="9"/>
      <x:c r="AH507" s="9"/>
      <x:c r="AI507" s="11"/>
      <x:c r="AJ507" s="9"/>
      <x:c r="AK507" s="9" t="str">
        <x:v>Eval_Relational_Placement (1).xlsm</x:v>
      </x:c>
      <x:c r="AL507" s="9" t="str">
        <x:v>MolmoAct2 Results</x:v>
      </x:c>
      <x:c r="AM507" s="9" t="n">
        <x:v>57</x:v>
      </x:c>
      <x:c r="AN507" s="9" t="n">
        <x:v>57</x:v>
      </x:c>
    </x:row>
    <x:row r="508">
      <x:c r="A508" s="9" t="str">
        <x:v>Failure</x:v>
      </x:c>
      <x:c r="B508" s="9" t="str">
        <x:v>Relational Placement</x:v>
      </x:c>
      <x:c r="C508" s="10" t="n">
        <x:v>56</x:v>
      </x:c>
      <x:c r="D508" s="9" t="str">
        <x:v>Place the green pen behind the red block.</x:v>
      </x:c>
      <x:c r="E508" s="9" t="str">
        <x:v>green pen, red block, blue block, pink marker</x:v>
      </x:c>
      <x:c r="F508" s="9" t="str">
        <x:v>green pen → 2–8 cm edge gap behind red block; centroid direction within ±45°.</x:v>
      </x:c>
      <x:c r="G508" s="9" t="str">
        <x:v>placed behind and left</x:v>
      </x:c>
      <x:c r="H508" s="9" t="str">
        <x:v>Concept/compositional transfer</x:v>
      </x:c>
      <x:c r="I508" s="9" t="str">
        <x:v>RP-CT-N04</x:v>
      </x:c>
      <x:c r="J508" s="9" t="str">
        <x:v>Neutral-axis independent compositional-transfer scene</x:v>
      </x:c>
      <x:c r="K508" s="9"/>
      <x:c r="L508" s="9" t="str">
        <x:v>216</x:v>
      </x:c>
      <x:c r="M508" s="9"/>
      <x:c r="N508" s="9"/>
      <x:c r="O508" s="9" t="str">
        <x:v>Build the listed neutral-axis scene and save the first frame.</x:v>
      </x:c>
      <x:c r="P508" s="9" t="str">
        <x:v>Independent held-out-composition scene. Source episode 216 supplies target recognition/manipulation under the trained prompt “Place the green pen next to the red block.”. The orthogonal start removes the opposite-side shortcut.</x:v>
      </x:c>
      <x:c r="Q508" s="9"/>
      <x:c r="R508" s="10" t="n">
        <x:v>4</x:v>
      </x:c>
      <x:c r="S508" s="10"/>
      <x:c r="T508" s="9"/>
      <x:c r="U508" s="9"/>
      <x:c r="V508" s="9"/>
      <x:c r="W508" s="9"/>
      <x:c r="X508" s="10"/>
      <x:c r="Y508" s="10"/>
      <x:c r="Z508" s="9"/>
      <x:c r="AA508" s="9"/>
      <x:c r="AB508" s="9"/>
      <x:c r="AC508" s="9" t="str">
        <x:v>behind</x:v>
      </x:c>
      <x:c r="AD508" s="9" t="str">
        <x:v>green pen</x:v>
      </x:c>
      <x:c r="AE508" s="9" t="str">
        <x:v>red block</x:v>
      </x:c>
      <x:c r="AF508" s="9" t="str">
        <x:v>None</x:v>
      </x:c>
      <x:c r="AG508" s="9"/>
      <x:c r="AH508" s="9"/>
      <x:c r="AI508" s="11"/>
      <x:c r="AJ508" s="9"/>
      <x:c r="AK508" s="9" t="str">
        <x:v>Eval_Relational_Placement (1).xlsm</x:v>
      </x:c>
      <x:c r="AL508" s="9" t="str">
        <x:v>MolmoAct2 Results</x:v>
      </x:c>
      <x:c r="AM508" s="9" t="n">
        <x:v>58</x:v>
      </x:c>
      <x:c r="AN508" s="9" t="n">
        <x:v>58</x:v>
      </x:c>
    </x:row>
    <x:row r="509">
      <x:c r="A509" s="9" t="str">
        <x:v>Failure</x:v>
      </x:c>
      <x:c r="B509" s="9" t="str">
        <x:v>Relational Placement</x:v>
      </x:c>
      <x:c r="C509" s="10" t="n">
        <x:v>57</x:v>
      </x:c>
      <x:c r="D509" s="9" t="str">
        <x:v>Place the green pen next to the red block.</x:v>
      </x:c>
      <x:c r="E509" s="9" t="str">
        <x:v>green pen, red block, blue block, pink marker</x:v>
      </x:c>
      <x:c r="F509" s="9" t="str">
        <x:v>green pen → 2–8 cm edge gap near red block; no directional sector required.</x:v>
      </x:c>
      <x:c r="G509" s="9" t="str">
        <x:v>Got it behind, but wouldn't let go. I think succeeded reasoning, but just couldn't let go</x:v>
      </x:c>
      <x:c r="H509" s="9" t="str">
        <x:v>Matched manipulation control</x:v>
      </x:c>
      <x:c r="I509" s="9" t="str">
        <x:v>RP-CT-N04</x:v>
      </x:c>
      <x:c r="J509" s="9" t="str">
        <x:v>Exact-scene masked manipulation control</x:v>
      </x:c>
      <x:c r="K509" s="9" t="n">
        <x:v>56</x:v>
      </x:c>
      <x:c r="L509" s="9" t="str">
        <x:v>216</x:v>
      </x:c>
      <x:c r="M509" s="9"/>
      <x:c r="N509" s="9"/>
      <x:c r="O509" s="9" t="str">
        <x:v>Reset P1 to its marked pose; preserve the exact scene and use the trained control instruction.</x:v>
      </x:c>
      <x:c r="P509" s="9" t="str">
        <x:v>Exact-scene control using the final training prompt from episode 216. The target, reference, distractors, camera, and robot start match the paired transfer row.</x:v>
      </x:c>
      <x:c r="Q509" s="9"/>
      <x:c r="R509" s="10" t="n">
        <x:v>4</x:v>
      </x:c>
      <x:c r="S509" s="10"/>
      <x:c r="T509" s="9"/>
      <x:c r="U509" s="9"/>
      <x:c r="V509" s="9"/>
      <x:c r="W509" s="9"/>
      <x:c r="X509" s="10"/>
      <x:c r="Y509" s="10"/>
      <x:c r="Z509" s="9"/>
      <x:c r="AA509" s="9"/>
      <x:c r="AB509" s="9"/>
      <x:c r="AC509" s="9" t="str">
        <x:v>behind</x:v>
      </x:c>
      <x:c r="AD509" s="9" t="str">
        <x:v>green pen</x:v>
      </x:c>
      <x:c r="AE509" s="9" t="str">
        <x:v>red block</x:v>
      </x:c>
      <x:c r="AF509" s="9" t="str">
        <x:v>None</x:v>
      </x:c>
      <x:c r="AG509" s="9"/>
      <x:c r="AH509" s="9"/>
      <x:c r="AI509" s="11"/>
      <x:c r="AJ509" s="9"/>
      <x:c r="AK509" s="9" t="str">
        <x:v>Eval_Relational_Placement (1).xlsm</x:v>
      </x:c>
      <x:c r="AL509" s="9" t="str">
        <x:v>MolmoAct2 Results</x:v>
      </x:c>
      <x:c r="AM509" s="9" t="n">
        <x:v>59</x:v>
      </x:c>
      <x:c r="AN509" s="9" t="n">
        <x:v>59</x:v>
      </x:c>
    </x:row>
    <x:row r="510">
      <x:c r="A510" s="9" t="str">
        <x:v>Failure</x:v>
      </x:c>
      <x:c r="B510" s="9" t="str">
        <x:v>Relational Placement</x:v>
      </x:c>
      <x:c r="C510" s="10" t="n">
        <x:v>58</x:v>
      </x:c>
      <x:c r="D510" s="9" t="str">
        <x:v>Position the green pen on the far side of the red block, away from the robot.</x:v>
      </x:c>
      <x:c r="E510" s="9" t="str">
        <x:v>green pen, red block, blue block, pink marker</x:v>
      </x:c>
      <x:c r="F510" s="9" t="str">
        <x:v>green pen → 2–8 cm edge gap behind red block; centroid direction within ±45°.</x:v>
      </x:c>
      <x:c r="G510" s="9" t="str">
        <x:v>placed to the left of the block</x:v>
      </x:c>
      <x:c r="H510" s="9" t="str">
        <x:v>Language robustness</x:v>
      </x:c>
      <x:c r="I510" s="9" t="str">
        <x:v>RP-CT-N04</x:v>
      </x:c>
      <x:c r="J510" s="9" t="str">
        <x:v>Transfer paraphrase of concept/compositional transfer</x:v>
      </x:c>
      <x:c r="K510" s="9" t="n">
        <x:v>56</x:v>
      </x:c>
      <x:c r="L510" s="9" t="str">
        <x:v>216</x:v>
      </x:c>
      <x:c r="M510" s="9"/>
      <x:c r="N510" s="9"/>
      <x:c r="O510" s="9" t="str">
        <x:v>Reset P1 to its marked pose; preserve the exact scene and change only the wording of the transfer instruction.</x:v>
      </x:c>
      <x:c r="P510" s="9" t="str">
        <x:v>Exact-scene paraphrase of the canonical compositional-transfer instruction.</x:v>
      </x:c>
      <x:c r="Q510" s="9"/>
      <x:c r="R510" s="10" t="n">
        <x:v>4</x:v>
      </x:c>
      <x:c r="S510" s="10"/>
      <x:c r="T510" s="9"/>
      <x:c r="U510" s="9"/>
      <x:c r="V510" s="9"/>
      <x:c r="W510" s="9"/>
      <x:c r="X510" s="10"/>
      <x:c r="Y510" s="10"/>
      <x:c r="Z510" s="9"/>
      <x:c r="AA510" s="9"/>
      <x:c r="AB510" s="9"/>
      <x:c r="AC510" s="9" t="str">
        <x:v>behind</x:v>
      </x:c>
      <x:c r="AD510" s="9" t="str">
        <x:v>green pen</x:v>
      </x:c>
      <x:c r="AE510" s="9" t="str">
        <x:v>red block</x:v>
      </x:c>
      <x:c r="AF510" s="9" t="str">
        <x:v>None</x:v>
      </x:c>
      <x:c r="AG510" s="9"/>
      <x:c r="AH510" s="9"/>
      <x:c r="AI510" s="11"/>
      <x:c r="AJ510" s="9"/>
      <x:c r="AK510" s="9" t="str">
        <x:v>Eval_Relational_Placement (1).xlsm</x:v>
      </x:c>
      <x:c r="AL510" s="9" t="str">
        <x:v>MolmoAct2 Results</x:v>
      </x:c>
      <x:c r="AM510" s="9" t="n">
        <x:v>60</x:v>
      </x:c>
      <x:c r="AN510" s="9" t="n">
        <x:v>60</x:v>
      </x:c>
    </x:row>
    <x:row r="511">
      <x:c r="A511" s="9" t="str">
        <x:v>Success</x:v>
      </x:c>
      <x:c r="B511" s="9" t="str">
        <x:v>Relational Placement</x:v>
      </x:c>
      <x:c r="C511" s="10" t="n">
        <x:v>59</x:v>
      </x:c>
      <x:c r="D511" s="9" t="str">
        <x:v>Set the green pen down close to the red block.</x:v>
      </x:c>
      <x:c r="E511" s="9" t="str">
        <x:v>green pen, red block, blue block, pink marker</x:v>
      </x:c>
      <x:c r="F511" s="9" t="str">
        <x:v>green pen → 2–8 cm edge gap near red block; no directional sector required.</x:v>
      </x:c>
      <x:c r="G511" s="9"/>
      <x:c r="H511" s="9" t="str">
        <x:v>Language robustness</x:v>
      </x:c>
      <x:c r="I511" s="9" t="str">
        <x:v>RP-CT-N04</x:v>
      </x:c>
      <x:c r="J511" s="9" t="str">
        <x:v>Matched-control paraphrase</x:v>
      </x:c>
      <x:c r="K511" s="9" t="n">
        <x:v>57</x:v>
      </x:c>
      <x:c r="L511" s="9" t="str">
        <x:v>216</x:v>
      </x:c>
      <x:c r="M511" s="9"/>
      <x:c r="N511" s="9"/>
      <x:c r="O511" s="9" t="str">
        <x:v>Reset P1 to its marked pose; preserve the exact scene and change only the wording of the matched-control instruction.</x:v>
      </x:c>
      <x:c r="P511" s="9" t="str">
        <x:v>Exact-scene paraphrase of the training-supported control from episode 216.</x:v>
      </x:c>
      <x:c r="Q511" s="9"/>
      <x:c r="R511" s="10" t="n">
        <x:v>4</x:v>
      </x:c>
      <x:c r="S511" s="10"/>
      <x:c r="T511" s="9"/>
      <x:c r="U511" s="9"/>
      <x:c r="V511" s="9"/>
      <x:c r="W511" s="9"/>
      <x:c r="X511" s="10"/>
      <x:c r="Y511" s="10"/>
      <x:c r="Z511" s="9"/>
      <x:c r="AA511" s="9"/>
      <x:c r="AB511" s="9"/>
      <x:c r="AC511" s="9" t="str">
        <x:v>behind</x:v>
      </x:c>
      <x:c r="AD511" s="9" t="str">
        <x:v>green pen</x:v>
      </x:c>
      <x:c r="AE511" s="9" t="str">
        <x:v>red block</x:v>
      </x:c>
      <x:c r="AF511" s="9" t="str">
        <x:v>None</x:v>
      </x:c>
      <x:c r="AG511" s="9"/>
      <x:c r="AH511" s="9"/>
      <x:c r="AI511" s="11"/>
      <x:c r="AJ511" s="9"/>
      <x:c r="AK511" s="9" t="str">
        <x:v>Eval_Relational_Placement (1).xlsm</x:v>
      </x:c>
      <x:c r="AL511" s="9" t="str">
        <x:v>MolmoAct2 Results</x:v>
      </x:c>
      <x:c r="AM511" s="9" t="n">
        <x:v>61</x:v>
      </x:c>
      <x:c r="AN511" s="9" t="n">
        <x:v>61</x:v>
      </x:c>
    </x:row>
    <x:row r="512">
      <x:c r="A512" s="9" t="str">
        <x:v>Success</x:v>
      </x:c>
      <x:c r="B512" s="9" t="str">
        <x:v>Relational Placement</x:v>
      </x:c>
      <x:c r="C512" s="10" t="n">
        <x:v>60</x:v>
      </x:c>
      <x:c r="D512" s="9" t="str">
        <x:v>Place the red block behind the green pen.</x:v>
      </x:c>
      <x:c r="E512" s="9" t="str">
        <x:v>red block, green pen, pink marker</x:v>
      </x:c>
      <x:c r="F512" s="9" t="str">
        <x:v>red block → 2–8 cm edge gap behind green pen; centroid direction within ±45°.</x:v>
      </x:c>
      <x:c r="G512" s="9" t="str">
        <x:v>went back and forth front and behind before ending behind.</x:v>
      </x:c>
      <x:c r="H512" s="9" t="str">
        <x:v>Concept/compositional transfer</x:v>
      </x:c>
      <x:c r="I512" s="9" t="str">
        <x:v>RP-CT-N05</x:v>
      </x:c>
      <x:c r="J512" s="9" t="str">
        <x:v>Neutral-axis independent compositional-transfer scene</x:v>
      </x:c>
      <x:c r="K512" s="9"/>
      <x:c r="L512" s="9" t="str">
        <x:v>272</x:v>
      </x:c>
      <x:c r="M512" s="9"/>
      <x:c r="N512" s="9"/>
      <x:c r="O512" s="9" t="str">
        <x:v>Build the listed neutral-axis scene and save the first frame.</x:v>
      </x:c>
      <x:c r="P512" s="9" t="str">
        <x:v>Independent held-out-composition scene. Source episode 272 supplies target recognition/manipulation under the trained prompt “Move the red block near the green pen.”. The orthogonal start removes the opposite-side shortcut.</x:v>
      </x:c>
      <x:c r="Q512" s="9"/>
      <x:c r="R512" s="10" t="n">
        <x:v>3</x:v>
      </x:c>
      <x:c r="S512" s="10"/>
      <x:c r="T512" s="9"/>
      <x:c r="U512" s="9"/>
      <x:c r="V512" s="9"/>
      <x:c r="W512" s="9"/>
      <x:c r="X512" s="10"/>
      <x:c r="Y512" s="10"/>
      <x:c r="Z512" s="9"/>
      <x:c r="AA512" s="9"/>
      <x:c r="AB512" s="9"/>
      <x:c r="AC512" s="9" t="str">
        <x:v>behind</x:v>
      </x:c>
      <x:c r="AD512" s="9" t="str">
        <x:v>red block</x:v>
      </x:c>
      <x:c r="AE512" s="9" t="str">
        <x:v>green pen</x:v>
      </x:c>
      <x:c r="AF512" s="9" t="str">
        <x:v>None</x:v>
      </x:c>
      <x:c r="AG512" s="9"/>
      <x:c r="AH512" s="9"/>
      <x:c r="AI512" s="11"/>
      <x:c r="AJ512" s="9"/>
      <x:c r="AK512" s="9" t="str">
        <x:v>Eval_Relational_Placement (1).xlsm</x:v>
      </x:c>
      <x:c r="AL512" s="9" t="str">
        <x:v>MolmoAct2 Results</x:v>
      </x:c>
      <x:c r="AM512" s="9" t="n">
        <x:v>62</x:v>
      </x:c>
      <x:c r="AN512" s="9" t="n">
        <x:v>62</x:v>
      </x:c>
    </x:row>
    <x:row r="513">
      <x:c r="A513" s="9" t="str">
        <x:v>Success</x:v>
      </x:c>
      <x:c r="B513" s="9" t="str">
        <x:v>Relational Placement</x:v>
      </x:c>
      <x:c r="C513" s="10" t="n">
        <x:v>61</x:v>
      </x:c>
      <x:c r="D513" s="9" t="str">
        <x:v>Move the red block near the green pen.</x:v>
      </x:c>
      <x:c r="E513" s="9" t="str">
        <x:v>red block, green pen, pink marker</x:v>
      </x:c>
      <x:c r="F513" s="9" t="str">
        <x:v>red block → 2–8 cm edge gap near green pen; no directional sector required.</x:v>
      </x:c>
      <x:c r="G513" s="9"/>
      <x:c r="H513" s="9" t="str">
        <x:v>Matched manipulation control</x:v>
      </x:c>
      <x:c r="I513" s="9" t="str">
        <x:v>RP-CT-N05</x:v>
      </x:c>
      <x:c r="J513" s="9" t="str">
        <x:v>Exact-scene masked manipulation control</x:v>
      </x:c>
      <x:c r="K513" s="9" t="n">
        <x:v>60</x:v>
      </x:c>
      <x:c r="L513" s="9" t="str">
        <x:v>272</x:v>
      </x:c>
      <x:c r="M513" s="9"/>
      <x:c r="N513" s="9"/>
      <x:c r="O513" s="9" t="str">
        <x:v>Reset P1 to its marked pose; preserve the exact scene and use the trained control instruction.</x:v>
      </x:c>
      <x:c r="P513" s="9" t="str">
        <x:v>Exact-scene control using the final training prompt from episode 272. The target, reference, distractors, camera, and robot start match the paired transfer row.</x:v>
      </x:c>
      <x:c r="Q513" s="9"/>
      <x:c r="R513" s="10" t="n">
        <x:v>3</x:v>
      </x:c>
      <x:c r="S513" s="10"/>
      <x:c r="T513" s="9"/>
      <x:c r="U513" s="9"/>
      <x:c r="V513" s="9"/>
      <x:c r="W513" s="9"/>
      <x:c r="X513" s="10"/>
      <x:c r="Y513" s="10"/>
      <x:c r="Z513" s="9"/>
      <x:c r="AA513" s="9"/>
      <x:c r="AB513" s="9"/>
      <x:c r="AC513" s="9" t="str">
        <x:v>behind</x:v>
      </x:c>
      <x:c r="AD513" s="9" t="str">
        <x:v>red block</x:v>
      </x:c>
      <x:c r="AE513" s="9" t="str">
        <x:v>green pen</x:v>
      </x:c>
      <x:c r="AF513" s="9" t="str">
        <x:v>None</x:v>
      </x:c>
      <x:c r="AG513" s="9"/>
      <x:c r="AH513" s="9"/>
      <x:c r="AI513" s="11"/>
      <x:c r="AJ513" s="9"/>
      <x:c r="AK513" s="9" t="str">
        <x:v>Eval_Relational_Placement (1).xlsm</x:v>
      </x:c>
      <x:c r="AL513" s="9" t="str">
        <x:v>MolmoAct2 Results</x:v>
      </x:c>
      <x:c r="AM513" s="9" t="n">
        <x:v>63</x:v>
      </x:c>
      <x:c r="AN513" s="9" t="n">
        <x:v>63</x:v>
      </x:c>
    </x:row>
    <x:row r="514">
      <x:c r="A514" s="9" t="str">
        <x:v>Success</x:v>
      </x:c>
      <x:c r="B514" s="9" t="str">
        <x:v>Relational Placement</x:v>
      </x:c>
      <x:c r="C514" s="10" t="n">
        <x:v>62</x:v>
      </x:c>
      <x:c r="D514" s="9" t="str">
        <x:v>Position the red block on the far side of the green pen, away from the robot.</x:v>
      </x:c>
      <x:c r="E514" s="9" t="str">
        <x:v>red block, green pen, pink marker</x:v>
      </x:c>
      <x:c r="F514" s="9" t="str">
        <x:v>red block → 2–8 cm edge gap behind green pen; centroid direction within ±45°.</x:v>
      </x:c>
      <x:c r="G514" s="9"/>
      <x:c r="H514" s="9" t="str">
        <x:v>Language robustness</x:v>
      </x:c>
      <x:c r="I514" s="9" t="str">
        <x:v>RP-CT-N05</x:v>
      </x:c>
      <x:c r="J514" s="9" t="str">
        <x:v>Transfer paraphrase of concept/compositional transfer</x:v>
      </x:c>
      <x:c r="K514" s="9" t="n">
        <x:v>60</x:v>
      </x:c>
      <x:c r="L514" s="9" t="str">
        <x:v>272</x:v>
      </x:c>
      <x:c r="M514" s="9"/>
      <x:c r="N514" s="9"/>
      <x:c r="O514" s="9" t="str">
        <x:v>Reset P1 to its marked pose; preserve the exact scene and change only the wording of the transfer instruction.</x:v>
      </x:c>
      <x:c r="P514" s="9" t="str">
        <x:v>Exact-scene paraphrase of the canonical compositional-transfer instruction.</x:v>
      </x:c>
      <x:c r="Q514" s="9"/>
      <x:c r="R514" s="10" t="n">
        <x:v>3</x:v>
      </x:c>
      <x:c r="S514" s="10"/>
      <x:c r="T514" s="9"/>
      <x:c r="U514" s="9"/>
      <x:c r="V514" s="9"/>
      <x:c r="W514" s="9"/>
      <x:c r="X514" s="10"/>
      <x:c r="Y514" s="10"/>
      <x:c r="Z514" s="9"/>
      <x:c r="AA514" s="9"/>
      <x:c r="AB514" s="9"/>
      <x:c r="AC514" s="9" t="str">
        <x:v>behind</x:v>
      </x:c>
      <x:c r="AD514" s="9" t="str">
        <x:v>red block</x:v>
      </x:c>
      <x:c r="AE514" s="9" t="str">
        <x:v>green pen</x:v>
      </x:c>
      <x:c r="AF514" s="9" t="str">
        <x:v>None</x:v>
      </x:c>
      <x:c r="AG514" s="9"/>
      <x:c r="AH514" s="9"/>
      <x:c r="AI514" s="11"/>
      <x:c r="AJ514" s="9"/>
      <x:c r="AK514" s="9" t="str">
        <x:v>Eval_Relational_Placement (1).xlsm</x:v>
      </x:c>
      <x:c r="AL514" s="9" t="str">
        <x:v>MolmoAct2 Results</x:v>
      </x:c>
      <x:c r="AM514" s="9" t="n">
        <x:v>64</x:v>
      </x:c>
      <x:c r="AN514" s="9" t="n">
        <x:v>64</x:v>
      </x:c>
    </x:row>
    <x:row r="515">
      <x:c r="A515" s="9" t="str">
        <x:v>Success</x:v>
      </x:c>
      <x:c r="B515" s="9" t="str">
        <x:v>Relational Placement</x:v>
      </x:c>
      <x:c r="C515" s="10" t="n">
        <x:v>63</x:v>
      </x:c>
      <x:c r="D515" s="9" t="str">
        <x:v>Set the red block down close to the green pen.</x:v>
      </x:c>
      <x:c r="E515" s="9" t="str">
        <x:v>red block, green pen, pink marker</x:v>
      </x:c>
      <x:c r="F515" s="9" t="str">
        <x:v>red block → 2–8 cm edge gap near green pen; no directional sector required.</x:v>
      </x:c>
      <x:c r="G515" s="9" t="str">
        <x:v>placed in front</x:v>
      </x:c>
      <x:c r="H515" s="9" t="str">
        <x:v>Language robustness</x:v>
      </x:c>
      <x:c r="I515" s="9" t="str">
        <x:v>RP-CT-N05</x:v>
      </x:c>
      <x:c r="J515" s="9" t="str">
        <x:v>Matched-control paraphrase</x:v>
      </x:c>
      <x:c r="K515" s="9" t="n">
        <x:v>61</x:v>
      </x:c>
      <x:c r="L515" s="9" t="str">
        <x:v>272</x:v>
      </x:c>
      <x:c r="M515" s="9"/>
      <x:c r="N515" s="9"/>
      <x:c r="O515" s="9" t="str">
        <x:v>Reset P1 to its marked pose; preserve the exact scene and change only the wording of the matched-control instruction.</x:v>
      </x:c>
      <x:c r="P515" s="9" t="str">
        <x:v>Exact-scene paraphrase of the training-supported control from episode 272.</x:v>
      </x:c>
      <x:c r="Q515" s="9"/>
      <x:c r="R515" s="10" t="n">
        <x:v>3</x:v>
      </x:c>
      <x:c r="S515" s="10"/>
      <x:c r="T515" s="9"/>
      <x:c r="U515" s="9"/>
      <x:c r="V515" s="9"/>
      <x:c r="W515" s="9"/>
      <x:c r="X515" s="10"/>
      <x:c r="Y515" s="10"/>
      <x:c r="Z515" s="9"/>
      <x:c r="AA515" s="9"/>
      <x:c r="AB515" s="9"/>
      <x:c r="AC515" s="9" t="str">
        <x:v>behind</x:v>
      </x:c>
      <x:c r="AD515" s="9" t="str">
        <x:v>red block</x:v>
      </x:c>
      <x:c r="AE515" s="9" t="str">
        <x:v>green pen</x:v>
      </x:c>
      <x:c r="AF515" s="9" t="str">
        <x:v>None</x:v>
      </x:c>
      <x:c r="AG515" s="9"/>
      <x:c r="AH515" s="9"/>
      <x:c r="AI515" s="11"/>
      <x:c r="AJ515" s="9"/>
      <x:c r="AK515" s="9" t="str">
        <x:v>Eval_Relational_Placement (1).xlsm</x:v>
      </x:c>
      <x:c r="AL515" s="9" t="str">
        <x:v>MolmoAct2 Results</x:v>
      </x:c>
      <x:c r="AM515" s="9" t="n">
        <x:v>65</x:v>
      </x:c>
      <x:c r="AN515" s="9" t="n">
        <x:v>65</x:v>
      </x:c>
    </x:row>
    <x:row r="516">
      <x:c r="A516" s="9" t="str">
        <x:v>Success</x:v>
      </x:c>
      <x:c r="B516" s="9" t="str">
        <x:v>Relational Placement</x:v>
      </x:c>
      <x:c r="C516" s="10" t="n">
        <x:v>64</x:v>
      </x:c>
      <x:c r="D516" s="9" t="str">
        <x:v>Place the red block behind the green pen.</x:v>
      </x:c>
      <x:c r="E516" s="9" t="str">
        <x:v>red block, green pen, blue block, pink marker</x:v>
      </x:c>
      <x:c r="F516" s="9" t="str">
        <x:v>red block → 2–8 cm edge gap behind green pen; centroid direction within ±45°.</x:v>
      </x:c>
      <x:c r="G516" s="9" t="str">
        <x:v>placed behind</x:v>
      </x:c>
      <x:c r="H516" s="9" t="str">
        <x:v>Concept/compositional transfer</x:v>
      </x:c>
      <x:c r="I516" s="9" t="str">
        <x:v>RP-CT-N06</x:v>
      </x:c>
      <x:c r="J516" s="9" t="str">
        <x:v>Neutral-axis independent compositional-transfer scene</x:v>
      </x:c>
      <x:c r="K516" s="9"/>
      <x:c r="L516" s="9" t="str">
        <x:v>273</x:v>
      </x:c>
      <x:c r="M516" s="9"/>
      <x:c r="N516" s="9"/>
      <x:c r="O516" s="9" t="str">
        <x:v>Build the listed neutral-axis scene and save the first frame.</x:v>
      </x:c>
      <x:c r="P516" s="9" t="str">
        <x:v>Independent held-out-composition scene. Source episode 273 supplies target recognition/manipulation under the trained prompt “Place the red block next to the green pen.”. The orthogonal start removes the opposite-side shortcut.</x:v>
      </x:c>
      <x:c r="Q516" s="9"/>
      <x:c r="R516" s="10" t="n">
        <x:v>4</x:v>
      </x:c>
      <x:c r="S516" s="10"/>
      <x:c r="T516" s="9"/>
      <x:c r="U516" s="9"/>
      <x:c r="V516" s="9"/>
      <x:c r="W516" s="9"/>
      <x:c r="X516" s="10"/>
      <x:c r="Y516" s="10"/>
      <x:c r="Z516" s="9"/>
      <x:c r="AA516" s="9"/>
      <x:c r="AB516" s="9"/>
      <x:c r="AC516" s="9" t="str">
        <x:v>behind</x:v>
      </x:c>
      <x:c r="AD516" s="9" t="str">
        <x:v>red block</x:v>
      </x:c>
      <x:c r="AE516" s="9" t="str">
        <x:v>green pen</x:v>
      </x:c>
      <x:c r="AF516" s="9" t="str">
        <x:v>None</x:v>
      </x:c>
      <x:c r="AG516" s="9"/>
      <x:c r="AH516" s="9"/>
      <x:c r="AI516" s="11"/>
      <x:c r="AJ516" s="9"/>
      <x:c r="AK516" s="9" t="str">
        <x:v>Eval_Relational_Placement (1).xlsm</x:v>
      </x:c>
      <x:c r="AL516" s="9" t="str">
        <x:v>MolmoAct2 Results</x:v>
      </x:c>
      <x:c r="AM516" s="9" t="n">
        <x:v>66</x:v>
      </x:c>
      <x:c r="AN516" s="9" t="n">
        <x:v>66</x:v>
      </x:c>
    </x:row>
    <x:row r="517">
      <x:c r="A517" s="9" t="str">
        <x:v>Success</x:v>
      </x:c>
      <x:c r="B517" s="9" t="str">
        <x:v>Relational Placement</x:v>
      </x:c>
      <x:c r="C517" s="10" t="n">
        <x:v>65</x:v>
      </x:c>
      <x:c r="D517" s="9" t="str">
        <x:v>Place the red block next to the green pen.</x:v>
      </x:c>
      <x:c r="E517" s="9" t="str">
        <x:v>red block, green pen, blue block, pink marker</x:v>
      </x:c>
      <x:c r="F517" s="9" t="str">
        <x:v>red block → 2–8 cm edge gap near green pen; no directional sector required.</x:v>
      </x:c>
      <x:c r="G517" s="9" t="str">
        <x:v>placed in front</x:v>
      </x:c>
      <x:c r="H517" s="9" t="str">
        <x:v>Matched manipulation control</x:v>
      </x:c>
      <x:c r="I517" s="9" t="str">
        <x:v>RP-CT-N06</x:v>
      </x:c>
      <x:c r="J517" s="9" t="str">
        <x:v>Exact-scene masked manipulation control</x:v>
      </x:c>
      <x:c r="K517" s="9" t="n">
        <x:v>64</x:v>
      </x:c>
      <x:c r="L517" s="9" t="str">
        <x:v>273</x:v>
      </x:c>
      <x:c r="M517" s="9"/>
      <x:c r="N517" s="9"/>
      <x:c r="O517" s="9" t="str">
        <x:v>Reset P1 to its marked pose; preserve the exact scene and use the trained control instruction.</x:v>
      </x:c>
      <x:c r="P517" s="9" t="str">
        <x:v>Exact-scene control using the final training prompt from episode 273. The target, reference, distractors, camera, and robot start match the paired transfer row.</x:v>
      </x:c>
      <x:c r="Q517" s="9"/>
      <x:c r="R517" s="10" t="n">
        <x:v>4</x:v>
      </x:c>
      <x:c r="S517" s="10"/>
      <x:c r="T517" s="9"/>
      <x:c r="U517" s="9"/>
      <x:c r="V517" s="9"/>
      <x:c r="W517" s="9"/>
      <x:c r="X517" s="10"/>
      <x:c r="Y517" s="10"/>
      <x:c r="Z517" s="9"/>
      <x:c r="AA517" s="9"/>
      <x:c r="AB517" s="9"/>
      <x:c r="AC517" s="9" t="str">
        <x:v>behind</x:v>
      </x:c>
      <x:c r="AD517" s="9" t="str">
        <x:v>red block</x:v>
      </x:c>
      <x:c r="AE517" s="9" t="str">
        <x:v>green pen</x:v>
      </x:c>
      <x:c r="AF517" s="9" t="str">
        <x:v>None</x:v>
      </x:c>
      <x:c r="AG517" s="9"/>
      <x:c r="AH517" s="9"/>
      <x:c r="AI517" s="11"/>
      <x:c r="AJ517" s="9"/>
      <x:c r="AK517" s="9" t="str">
        <x:v>Eval_Relational_Placement (1).xlsm</x:v>
      </x:c>
      <x:c r="AL517" s="9" t="str">
        <x:v>MolmoAct2 Results</x:v>
      </x:c>
      <x:c r="AM517" s="9" t="n">
        <x:v>67</x:v>
      </x:c>
      <x:c r="AN517" s="9" t="n">
        <x:v>67</x:v>
      </x:c>
    </x:row>
    <x:row r="518">
      <x:c r="A518" s="9" t="str">
        <x:v>Success</x:v>
      </x:c>
      <x:c r="B518" s="9" t="str">
        <x:v>Relational Placement</x:v>
      </x:c>
      <x:c r="C518" s="10" t="n">
        <x:v>66</x:v>
      </x:c>
      <x:c r="D518" s="9" t="str">
        <x:v>Position the red block on the far side of the green pen, away from the robot.</x:v>
      </x:c>
      <x:c r="E518" s="9" t="str">
        <x:v>red block, green pen, blue block, pink marker</x:v>
      </x:c>
      <x:c r="F518" s="9" t="str">
        <x:v>red block → 2–8 cm edge gap behind green pen; centroid direction within ±45°.</x:v>
      </x:c>
      <x:c r="G518" s="9"/>
      <x:c r="H518" s="9" t="str">
        <x:v>Language robustness</x:v>
      </x:c>
      <x:c r="I518" s="9" t="str">
        <x:v>RP-CT-N06</x:v>
      </x:c>
      <x:c r="J518" s="9" t="str">
        <x:v>Transfer paraphrase of concept/compositional transfer</x:v>
      </x:c>
      <x:c r="K518" s="9" t="n">
        <x:v>64</x:v>
      </x:c>
      <x:c r="L518" s="9" t="str">
        <x:v>273</x:v>
      </x:c>
      <x:c r="M518" s="9"/>
      <x:c r="N518" s="9"/>
      <x:c r="O518" s="9" t="str">
        <x:v>Reset P1 to its marked pose; preserve the exact scene and change only the wording of the transfer instruction.</x:v>
      </x:c>
      <x:c r="P518" s="9" t="str">
        <x:v>Exact-scene paraphrase of the canonical compositional-transfer instruction.</x:v>
      </x:c>
      <x:c r="Q518" s="9"/>
      <x:c r="R518" s="10" t="n">
        <x:v>4</x:v>
      </x:c>
      <x:c r="S518" s="10"/>
      <x:c r="T518" s="9"/>
      <x:c r="U518" s="9"/>
      <x:c r="V518" s="9"/>
      <x:c r="W518" s="9"/>
      <x:c r="X518" s="10"/>
      <x:c r="Y518" s="10"/>
      <x:c r="Z518" s="9"/>
      <x:c r="AA518" s="9"/>
      <x:c r="AB518" s="9"/>
      <x:c r="AC518" s="9" t="str">
        <x:v>behind</x:v>
      </x:c>
      <x:c r="AD518" s="9" t="str">
        <x:v>red block</x:v>
      </x:c>
      <x:c r="AE518" s="9" t="str">
        <x:v>green pen</x:v>
      </x:c>
      <x:c r="AF518" s="9" t="str">
        <x:v>None</x:v>
      </x:c>
      <x:c r="AG518" s="9"/>
      <x:c r="AH518" s="9"/>
      <x:c r="AI518" s="11"/>
      <x:c r="AJ518" s="9"/>
      <x:c r="AK518" s="9" t="str">
        <x:v>Eval_Relational_Placement (1).xlsm</x:v>
      </x:c>
      <x:c r="AL518" s="9" t="str">
        <x:v>MolmoAct2 Results</x:v>
      </x:c>
      <x:c r="AM518" s="9" t="n">
        <x:v>68</x:v>
      </x:c>
      <x:c r="AN518" s="9" t="n">
        <x:v>68</x:v>
      </x:c>
    </x:row>
    <x:row r="519">
      <x:c r="A519" s="9" t="str">
        <x:v>Success</x:v>
      </x:c>
      <x:c r="B519" s="9" t="str">
        <x:v>Relational Placement</x:v>
      </x:c>
      <x:c r="C519" s="10" t="n">
        <x:v>67</x:v>
      </x:c>
      <x:c r="D519" s="9" t="str">
        <x:v>Set the red block down close to the green pen.</x:v>
      </x:c>
      <x:c r="E519" s="9" t="str">
        <x:v>red block, green pen, blue block, pink marker</x:v>
      </x:c>
      <x:c r="F519" s="9" t="str">
        <x:v>red block → 2–8 cm edge gap near green pen; no directional sector required.</x:v>
      </x:c>
      <x:c r="G519" s="9" t="str">
        <x:v>placed to the right</x:v>
      </x:c>
      <x:c r="H519" s="9" t="str">
        <x:v>Language robustness</x:v>
      </x:c>
      <x:c r="I519" s="9" t="str">
        <x:v>RP-CT-N06</x:v>
      </x:c>
      <x:c r="J519" s="9" t="str">
        <x:v>Matched-control paraphrase</x:v>
      </x:c>
      <x:c r="K519" s="9" t="n">
        <x:v>65</x:v>
      </x:c>
      <x:c r="L519" s="9" t="str">
        <x:v>273</x:v>
      </x:c>
      <x:c r="M519" s="9"/>
      <x:c r="N519" s="9"/>
      <x:c r="O519" s="9" t="str">
        <x:v>Reset P1 to its marked pose; preserve the exact scene and change only the wording of the matched-control instruction.</x:v>
      </x:c>
      <x:c r="P519" s="9" t="str">
        <x:v>Exact-scene paraphrase of the training-supported control from episode 273.</x:v>
      </x:c>
      <x:c r="Q519" s="9"/>
      <x:c r="R519" s="10" t="n">
        <x:v>4</x:v>
      </x:c>
      <x:c r="S519" s="10"/>
      <x:c r="T519" s="9"/>
      <x:c r="U519" s="9"/>
      <x:c r="V519" s="9"/>
      <x:c r="W519" s="9"/>
      <x:c r="X519" s="10"/>
      <x:c r="Y519" s="10"/>
      <x:c r="Z519" s="9"/>
      <x:c r="AA519" s="9"/>
      <x:c r="AB519" s="9"/>
      <x:c r="AC519" s="9" t="str">
        <x:v>behind</x:v>
      </x:c>
      <x:c r="AD519" s="9" t="str">
        <x:v>red block</x:v>
      </x:c>
      <x:c r="AE519" s="9" t="str">
        <x:v>green pen</x:v>
      </x:c>
      <x:c r="AF519" s="9" t="str">
        <x:v>None</x:v>
      </x:c>
      <x:c r="AG519" s="9"/>
      <x:c r="AH519" s="9"/>
      <x:c r="AI519" s="11"/>
      <x:c r="AJ519" s="9"/>
      <x:c r="AK519" s="9" t="str">
        <x:v>Eval_Relational_Placement (1).xlsm</x:v>
      </x:c>
      <x:c r="AL519" s="9" t="str">
        <x:v>MolmoAct2 Results</x:v>
      </x:c>
      <x:c r="AM519" s="9" t="n">
        <x:v>69</x:v>
      </x:c>
      <x:c r="AN519" s="9" t="n">
        <x:v>69</x:v>
      </x:c>
    </x:row>
    <x:row r="520">
      <x:c r="A520" s="9" t="str">
        <x:v>Success</x:v>
      </x:c>
      <x:c r="B520" s="9" t="str">
        <x:v>Relational Placement</x:v>
      </x:c>
      <x:c r="C520" s="10" t="n">
        <x:v>68</x:v>
      </x:c>
      <x:c r="D520" s="9" t="str">
        <x:v>Place the green pen to the left of the red block.</x:v>
      </x:c>
      <x:c r="E520" s="9" t="str">
        <x:v>green pen, red block, pink marker</x:v>
      </x:c>
      <x:c r="F520" s="9" t="str">
        <x:v>green pen → 2–8 cm edge gap to the left of red block; centroid direction within ±45°.</x:v>
      </x:c>
      <x:c r="G520" s="9"/>
      <x:c r="H520" s="9" t="str">
        <x:v>Concept/compositional transfer</x:v>
      </x:c>
      <x:c r="I520" s="9" t="str">
        <x:v>RP-CT-N07</x:v>
      </x:c>
      <x:c r="J520" s="9" t="str">
        <x:v>Neutral-axis independent compositional-transfer scene</x:v>
      </x:c>
      <x:c r="K520" s="9"/>
      <x:c r="L520" s="9" t="str">
        <x:v>228</x:v>
      </x:c>
      <x:c r="M520" s="9"/>
      <x:c r="N520" s="9"/>
      <x:c r="O520" s="9" t="str">
        <x:v>Build the listed neutral-axis scene and save the first frame.</x:v>
      </x:c>
      <x:c r="P520" s="9" t="str">
        <x:v>Independent held-out-composition scene. Source episode 228 supplies target recognition/manipulation under the trained prompt “Place the green pen next to the red block.”. The orthogonal start removes the opposite-side shortcut.</x:v>
      </x:c>
      <x:c r="Q520" s="9"/>
      <x:c r="R520" s="10" t="n">
        <x:v>3</x:v>
      </x:c>
      <x:c r="S520" s="10"/>
      <x:c r="T520" s="9"/>
      <x:c r="U520" s="9"/>
      <x:c r="V520" s="9"/>
      <x:c r="W520" s="9"/>
      <x:c r="X520" s="10"/>
      <x:c r="Y520" s="10"/>
      <x:c r="Z520" s="9"/>
      <x:c r="AA520" s="9"/>
      <x:c r="AB520" s="9"/>
      <x:c r="AC520" s="9" t="str">
        <x:v>left</x:v>
      </x:c>
      <x:c r="AD520" s="9" t="str">
        <x:v>green pen</x:v>
      </x:c>
      <x:c r="AE520" s="9" t="str">
        <x:v>red block</x:v>
      </x:c>
      <x:c r="AF520" s="9" t="str">
        <x:v>None</x:v>
      </x:c>
      <x:c r="AG520" s="9"/>
      <x:c r="AH520" s="9"/>
      <x:c r="AI520" s="11"/>
      <x:c r="AJ520" s="9"/>
      <x:c r="AK520" s="9" t="str">
        <x:v>Eval_Relational_Placement (1).xlsm</x:v>
      </x:c>
      <x:c r="AL520" s="9" t="str">
        <x:v>MolmoAct2 Results</x:v>
      </x:c>
      <x:c r="AM520" s="9" t="n">
        <x:v>70</x:v>
      </x:c>
      <x:c r="AN520" s="9" t="n">
        <x:v>70</x:v>
      </x:c>
    </x:row>
    <x:row r="521">
      <x:c r="A521" s="9" t="str">
        <x:v>Success</x:v>
      </x:c>
      <x:c r="B521" s="9" t="str">
        <x:v>Relational Placement</x:v>
      </x:c>
      <x:c r="C521" s="10" t="n">
        <x:v>69</x:v>
      </x:c>
      <x:c r="D521" s="9" t="str">
        <x:v>Place the green pen next to the red block.</x:v>
      </x:c>
      <x:c r="E521" s="9" t="str">
        <x:v>green pen, red block, pink marker</x:v>
      </x:c>
      <x:c r="F521" s="9" t="str">
        <x:v>green pen → 2–8 cm edge gap near red block; no directional sector required.</x:v>
      </x:c>
      <x:c r="G521" s="9" t="str">
        <x:v>placed in front</x:v>
      </x:c>
      <x:c r="H521" s="9" t="str">
        <x:v>Matched manipulation control</x:v>
      </x:c>
      <x:c r="I521" s="9" t="str">
        <x:v>RP-CT-N07</x:v>
      </x:c>
      <x:c r="J521" s="9" t="str">
        <x:v>Exact-scene masked manipulation control</x:v>
      </x:c>
      <x:c r="K521" s="9" t="n">
        <x:v>68</x:v>
      </x:c>
      <x:c r="L521" s="9" t="str">
        <x:v>228</x:v>
      </x:c>
      <x:c r="M521" s="9"/>
      <x:c r="N521" s="9"/>
      <x:c r="O521" s="9" t="str">
        <x:v>Reset P1 to its marked pose; preserve the exact scene and use the trained control instruction.</x:v>
      </x:c>
      <x:c r="P521" s="9" t="str">
        <x:v>Exact-scene control using the final training prompt from episode 228. The target, reference, distractors, camera, and robot start match the paired transfer row.</x:v>
      </x:c>
      <x:c r="Q521" s="9"/>
      <x:c r="R521" s="10" t="n">
        <x:v>3</x:v>
      </x:c>
      <x:c r="S521" s="10"/>
      <x:c r="T521" s="9"/>
      <x:c r="U521" s="9"/>
      <x:c r="V521" s="9"/>
      <x:c r="W521" s="9"/>
      <x:c r="X521" s="10"/>
      <x:c r="Y521" s="10"/>
      <x:c r="Z521" s="9"/>
      <x:c r="AA521" s="9"/>
      <x:c r="AB521" s="9"/>
      <x:c r="AC521" s="9" t="str">
        <x:v>left</x:v>
      </x:c>
      <x:c r="AD521" s="9" t="str">
        <x:v>green pen</x:v>
      </x:c>
      <x:c r="AE521" s="9" t="str">
        <x:v>red block</x:v>
      </x:c>
      <x:c r="AF521" s="9" t="str">
        <x:v>None</x:v>
      </x:c>
      <x:c r="AG521" s="9"/>
      <x:c r="AH521" s="9"/>
      <x:c r="AI521" s="11"/>
      <x:c r="AJ521" s="9"/>
      <x:c r="AK521" s="9" t="str">
        <x:v>Eval_Relational_Placement (1).xlsm</x:v>
      </x:c>
      <x:c r="AL521" s="9" t="str">
        <x:v>MolmoAct2 Results</x:v>
      </x:c>
      <x:c r="AM521" s="9" t="n">
        <x:v>71</x:v>
      </x:c>
      <x:c r="AN521" s="9" t="n">
        <x:v>71</x:v>
      </x:c>
    </x:row>
    <x:row r="522">
      <x:c r="A522" s="9" t="str">
        <x:v>Failure</x:v>
      </x:c>
      <x:c r="B522" s="9" t="str">
        <x:v>Relational Placement</x:v>
      </x:c>
      <x:c r="C522" s="10" t="n">
        <x:v>70</x:v>
      </x:c>
      <x:c r="D522" s="9" t="str">
        <x:v>Position the green pen on the robot's left-hand side of the red block.</x:v>
      </x:c>
      <x:c r="E522" s="9" t="str">
        <x:v>green pen, red block, pink marker</x:v>
      </x:c>
      <x:c r="F522" s="9" t="str">
        <x:v>green pen → 2–8 cm edge gap to the left of red block; centroid direction within ±45°.</x:v>
      </x:c>
      <x:c r="G522" s="9" t="str">
        <x:v>placed on the bottom, but majority of the pen's body was on the left side.</x:v>
      </x:c>
      <x:c r="H522" s="9" t="str">
        <x:v>Language robustness</x:v>
      </x:c>
      <x:c r="I522" s="9" t="str">
        <x:v>RP-CT-N07</x:v>
      </x:c>
      <x:c r="J522" s="9" t="str">
        <x:v>Transfer paraphrase of concept/compositional transfer</x:v>
      </x:c>
      <x:c r="K522" s="9" t="n">
        <x:v>68</x:v>
      </x:c>
      <x:c r="L522" s="9" t="str">
        <x:v>228</x:v>
      </x:c>
      <x:c r="M522" s="9"/>
      <x:c r="N522" s="9"/>
      <x:c r="O522" s="9" t="str">
        <x:v>Reset P1 to its marked pose; preserve the exact scene and change only the wording of the transfer instruction.</x:v>
      </x:c>
      <x:c r="P522" s="9" t="str">
        <x:v>Exact-scene paraphrase of the canonical compositional-transfer instruction.</x:v>
      </x:c>
      <x:c r="Q522" s="9"/>
      <x:c r="R522" s="10" t="n">
        <x:v>3</x:v>
      </x:c>
      <x:c r="S522" s="10"/>
      <x:c r="T522" s="9"/>
      <x:c r="U522" s="9"/>
      <x:c r="V522" s="9"/>
      <x:c r="W522" s="9"/>
      <x:c r="X522" s="10"/>
      <x:c r="Y522" s="10"/>
      <x:c r="Z522" s="9"/>
      <x:c r="AA522" s="9"/>
      <x:c r="AB522" s="9"/>
      <x:c r="AC522" s="9" t="str">
        <x:v>left</x:v>
      </x:c>
      <x:c r="AD522" s="9" t="str">
        <x:v>green pen</x:v>
      </x:c>
      <x:c r="AE522" s="9" t="str">
        <x:v>red block</x:v>
      </x:c>
      <x:c r="AF522" s="9" t="str">
        <x:v>None</x:v>
      </x:c>
      <x:c r="AG522" s="9"/>
      <x:c r="AH522" s="9"/>
      <x:c r="AI522" s="11"/>
      <x:c r="AJ522" s="9"/>
      <x:c r="AK522" s="9" t="str">
        <x:v>Eval_Relational_Placement (1).xlsm</x:v>
      </x:c>
      <x:c r="AL522" s="9" t="str">
        <x:v>MolmoAct2 Results</x:v>
      </x:c>
      <x:c r="AM522" s="9" t="n">
        <x:v>72</x:v>
      </x:c>
      <x:c r="AN522" s="9" t="n">
        <x:v>72</x:v>
      </x:c>
    </x:row>
    <x:row r="523">
      <x:c r="A523" s="9" t="str">
        <x:v>Success</x:v>
      </x:c>
      <x:c r="B523" s="9" t="str">
        <x:v>Relational Placement</x:v>
      </x:c>
      <x:c r="C523" s="10" t="n">
        <x:v>71</x:v>
      </x:c>
      <x:c r="D523" s="9" t="str">
        <x:v>Set the green pen down close to the red block.</x:v>
      </x:c>
      <x:c r="E523" s="9" t="str">
        <x:v>green pen, red block, pink marker</x:v>
      </x:c>
      <x:c r="F523" s="9" t="str">
        <x:v>green pen → 2–8 cm edge gap near red block; no directional sector required.</x:v>
      </x:c>
      <x:c r="G523" s="9" t="str">
        <x:v>placed on bottom</x:v>
      </x:c>
      <x:c r="H523" s="9" t="str">
        <x:v>Language robustness</x:v>
      </x:c>
      <x:c r="I523" s="9" t="str">
        <x:v>RP-CT-N07</x:v>
      </x:c>
      <x:c r="J523" s="9" t="str">
        <x:v>Matched-control paraphrase</x:v>
      </x:c>
      <x:c r="K523" s="9" t="n">
        <x:v>69</x:v>
      </x:c>
      <x:c r="L523" s="9" t="str">
        <x:v>228</x:v>
      </x:c>
      <x:c r="M523" s="9"/>
      <x:c r="N523" s="9"/>
      <x:c r="O523" s="9" t="str">
        <x:v>Reset P1 to its marked pose; preserve the exact scene and change only the wording of the matched-control instruction.</x:v>
      </x:c>
      <x:c r="P523" s="9" t="str">
        <x:v>Exact-scene paraphrase of the training-supported control from episode 228.</x:v>
      </x:c>
      <x:c r="Q523" s="9"/>
      <x:c r="R523" s="10" t="n">
        <x:v>3</x:v>
      </x:c>
      <x:c r="S523" s="10"/>
      <x:c r="T523" s="9"/>
      <x:c r="U523" s="9"/>
      <x:c r="V523" s="9"/>
      <x:c r="W523" s="9"/>
      <x:c r="X523" s="10"/>
      <x:c r="Y523" s="10"/>
      <x:c r="Z523" s="9"/>
      <x:c r="AA523" s="9"/>
      <x:c r="AB523" s="9"/>
      <x:c r="AC523" s="9" t="str">
        <x:v>left</x:v>
      </x:c>
      <x:c r="AD523" s="9" t="str">
        <x:v>green pen</x:v>
      </x:c>
      <x:c r="AE523" s="9" t="str">
        <x:v>red block</x:v>
      </x:c>
      <x:c r="AF523" s="9" t="str">
        <x:v>None</x:v>
      </x:c>
      <x:c r="AG523" s="9"/>
      <x:c r="AH523" s="9"/>
      <x:c r="AI523" s="11"/>
      <x:c r="AJ523" s="9"/>
      <x:c r="AK523" s="9" t="str">
        <x:v>Eval_Relational_Placement (1).xlsm</x:v>
      </x:c>
      <x:c r="AL523" s="9" t="str">
        <x:v>MolmoAct2 Results</x:v>
      </x:c>
      <x:c r="AM523" s="9" t="n">
        <x:v>73</x:v>
      </x:c>
      <x:c r="AN523" s="9" t="n">
        <x:v>73</x:v>
      </x:c>
    </x:row>
    <x:row r="524">
      <x:c r="A524" s="9" t="str">
        <x:v>Success</x:v>
      </x:c>
      <x:c r="B524" s="9" t="str">
        <x:v>Relational Placement</x:v>
      </x:c>
      <x:c r="C524" s="10" t="n">
        <x:v>72</x:v>
      </x:c>
      <x:c r="D524" s="9" t="str">
        <x:v>Place the red block to the left of the green pen.</x:v>
      </x:c>
      <x:c r="E524" s="9" t="str">
        <x:v>red block, green pen, blue block, pink marker</x:v>
      </x:c>
      <x:c r="F524" s="9" t="str">
        <x:v>red block → 2–8 cm edge gap to the left of green pen; centroid direction within ±45°.</x:v>
      </x:c>
      <x:c r="G524" s="9"/>
      <x:c r="H524" s="9" t="str">
        <x:v>Concept/compositional transfer</x:v>
      </x:c>
      <x:c r="I524" s="9" t="str">
        <x:v>RP-CT-N08</x:v>
      </x:c>
      <x:c r="J524" s="9" t="str">
        <x:v>Neutral-axis independent compositional-transfer scene</x:v>
      </x:c>
      <x:c r="K524" s="9"/>
      <x:c r="L524" s="9" t="str">
        <x:v>285</x:v>
      </x:c>
      <x:c r="M524" s="9"/>
      <x:c r="N524" s="9"/>
      <x:c r="O524" s="9" t="str">
        <x:v>Build the listed neutral-axis scene and save the first frame.</x:v>
      </x:c>
      <x:c r="P524" s="9" t="str">
        <x:v>Independent held-out-composition scene. Source episode 285 supplies target recognition/manipulation under the trained prompt “Place the red block next to the green pen.”. The orthogonal start removes the opposite-side shortcut.</x:v>
      </x:c>
      <x:c r="Q524" s="9"/>
      <x:c r="R524" s="10" t="n">
        <x:v>4</x:v>
      </x:c>
      <x:c r="S524" s="10"/>
      <x:c r="T524" s="9"/>
      <x:c r="U524" s="9"/>
      <x:c r="V524" s="9"/>
      <x:c r="W524" s="9"/>
      <x:c r="X524" s="10"/>
      <x:c r="Y524" s="10"/>
      <x:c r="Z524" s="9"/>
      <x:c r="AA524" s="9"/>
      <x:c r="AB524" s="9"/>
      <x:c r="AC524" s="9" t="str">
        <x:v>left</x:v>
      </x:c>
      <x:c r="AD524" s="9" t="str">
        <x:v>red block</x:v>
      </x:c>
      <x:c r="AE524" s="9" t="str">
        <x:v>green pen</x:v>
      </x:c>
      <x:c r="AF524" s="9" t="str">
        <x:v>None</x:v>
      </x:c>
      <x:c r="AG524" s="9"/>
      <x:c r="AH524" s="9"/>
      <x:c r="AI524" s="11"/>
      <x:c r="AJ524" s="9"/>
      <x:c r="AK524" s="9" t="str">
        <x:v>Eval_Relational_Placement (1).xlsm</x:v>
      </x:c>
      <x:c r="AL524" s="9" t="str">
        <x:v>MolmoAct2 Results</x:v>
      </x:c>
      <x:c r="AM524" s="9" t="n">
        <x:v>74</x:v>
      </x:c>
      <x:c r="AN524" s="9" t="n">
        <x:v>74</x:v>
      </x:c>
    </x:row>
    <x:row r="525">
      <x:c r="A525" s="9" t="str">
        <x:v>Success</x:v>
      </x:c>
      <x:c r="B525" s="9" t="str">
        <x:v>Relational Placement</x:v>
      </x:c>
      <x:c r="C525" s="10" t="n">
        <x:v>73</x:v>
      </x:c>
      <x:c r="D525" s="9" t="str">
        <x:v>Place the red block next to the green pen.</x:v>
      </x:c>
      <x:c r="E525" s="9" t="str">
        <x:v>red block, green pen, blue block, pink marker</x:v>
      </x:c>
      <x:c r="F525" s="9" t="str">
        <x:v>red block → 2–8 cm edge gap near green pen; no directional sector required.</x:v>
      </x:c>
      <x:c r="G525" s="9" t="str">
        <x:v>placed left </x:v>
      </x:c>
      <x:c r="H525" s="9" t="str">
        <x:v>Matched manipulation control</x:v>
      </x:c>
      <x:c r="I525" s="9" t="str">
        <x:v>RP-CT-N08</x:v>
      </x:c>
      <x:c r="J525" s="9" t="str">
        <x:v>Exact-scene masked manipulation control</x:v>
      </x:c>
      <x:c r="K525" s="9" t="n">
        <x:v>72</x:v>
      </x:c>
      <x:c r="L525" s="9" t="str">
        <x:v>285</x:v>
      </x:c>
      <x:c r="M525" s="9"/>
      <x:c r="N525" s="9"/>
      <x:c r="O525" s="9" t="str">
        <x:v>Reset P1 to its marked pose; preserve the exact scene and use the trained control instruction.</x:v>
      </x:c>
      <x:c r="P525" s="9" t="str">
        <x:v>Exact-scene control using the final training prompt from episode 285. The target, reference, distractors, camera, and robot start match the paired transfer row.</x:v>
      </x:c>
      <x:c r="Q525" s="9"/>
      <x:c r="R525" s="10" t="n">
        <x:v>4</x:v>
      </x:c>
      <x:c r="S525" s="10"/>
      <x:c r="T525" s="9"/>
      <x:c r="U525" s="9"/>
      <x:c r="V525" s="9"/>
      <x:c r="W525" s="9"/>
      <x:c r="X525" s="10"/>
      <x:c r="Y525" s="10"/>
      <x:c r="Z525" s="9"/>
      <x:c r="AA525" s="9"/>
      <x:c r="AB525" s="9"/>
      <x:c r="AC525" s="9" t="str">
        <x:v>left</x:v>
      </x:c>
      <x:c r="AD525" s="9" t="str">
        <x:v>red block</x:v>
      </x:c>
      <x:c r="AE525" s="9" t="str">
        <x:v>green pen</x:v>
      </x:c>
      <x:c r="AF525" s="9" t="str">
        <x:v>None</x:v>
      </x:c>
      <x:c r="AG525" s="9"/>
      <x:c r="AH525" s="9"/>
      <x:c r="AI525" s="11"/>
      <x:c r="AJ525" s="9"/>
      <x:c r="AK525" s="9" t="str">
        <x:v>Eval_Relational_Placement (1).xlsm</x:v>
      </x:c>
      <x:c r="AL525" s="9" t="str">
        <x:v>MolmoAct2 Results</x:v>
      </x:c>
      <x:c r="AM525" s="9" t="n">
        <x:v>75</x:v>
      </x:c>
      <x:c r="AN525" s="9" t="n">
        <x:v>75</x:v>
      </x:c>
    </x:row>
    <x:row r="526">
      <x:c r="A526" s="9" t="str">
        <x:v>Success</x:v>
      </x:c>
      <x:c r="B526" s="9" t="str">
        <x:v>Relational Placement</x:v>
      </x:c>
      <x:c r="C526" s="10" t="n">
        <x:v>74</x:v>
      </x:c>
      <x:c r="D526" s="9" t="str">
        <x:v>Position the red block on the robot's left-hand side of the green pen.</x:v>
      </x:c>
      <x:c r="E526" s="9" t="str">
        <x:v>red block, green pen, blue block, pink marker</x:v>
      </x:c>
      <x:c r="F526" s="9" t="str">
        <x:v>red block → 2–8 cm edge gap to the left of green pen; centroid direction within ±45°.</x:v>
      </x:c>
      <x:c r="G526" s="9"/>
      <x:c r="H526" s="9" t="str">
        <x:v>Language robustness</x:v>
      </x:c>
      <x:c r="I526" s="9" t="str">
        <x:v>RP-CT-N08</x:v>
      </x:c>
      <x:c r="J526" s="9" t="str">
        <x:v>Transfer paraphrase of concept/compositional transfer</x:v>
      </x:c>
      <x:c r="K526" s="9" t="n">
        <x:v>72</x:v>
      </x:c>
      <x:c r="L526" s="9" t="str">
        <x:v>285</x:v>
      </x:c>
      <x:c r="M526" s="9"/>
      <x:c r="N526" s="9"/>
      <x:c r="O526" s="9" t="str">
        <x:v>Reset P1 to its marked pose; preserve the exact scene and change only the wording of the transfer instruction.</x:v>
      </x:c>
      <x:c r="P526" s="9" t="str">
        <x:v>Exact-scene paraphrase of the canonical compositional-transfer instruction.</x:v>
      </x:c>
      <x:c r="Q526" s="9"/>
      <x:c r="R526" s="10" t="n">
        <x:v>4</x:v>
      </x:c>
      <x:c r="S526" s="10"/>
      <x:c r="T526" s="9"/>
      <x:c r="U526" s="9"/>
      <x:c r="V526" s="9"/>
      <x:c r="W526" s="9"/>
      <x:c r="X526" s="10"/>
      <x:c r="Y526" s="10"/>
      <x:c r="Z526" s="9"/>
      <x:c r="AA526" s="9"/>
      <x:c r="AB526" s="9"/>
      <x:c r="AC526" s="9" t="str">
        <x:v>left</x:v>
      </x:c>
      <x:c r="AD526" s="9" t="str">
        <x:v>red block</x:v>
      </x:c>
      <x:c r="AE526" s="9" t="str">
        <x:v>green pen</x:v>
      </x:c>
      <x:c r="AF526" s="9" t="str">
        <x:v>None</x:v>
      </x:c>
      <x:c r="AG526" s="9"/>
      <x:c r="AH526" s="9"/>
      <x:c r="AI526" s="11"/>
      <x:c r="AJ526" s="9"/>
      <x:c r="AK526" s="9" t="str">
        <x:v>Eval_Relational_Placement (1).xlsm</x:v>
      </x:c>
      <x:c r="AL526" s="9" t="str">
        <x:v>MolmoAct2 Results</x:v>
      </x:c>
      <x:c r="AM526" s="9" t="n">
        <x:v>76</x:v>
      </x:c>
      <x:c r="AN526" s="9" t="n">
        <x:v>76</x:v>
      </x:c>
    </x:row>
    <x:row r="527">
      <x:c r="A527" s="9" t="str">
        <x:v>Success</x:v>
      </x:c>
      <x:c r="B527" s="9" t="str">
        <x:v>Relational Placement</x:v>
      </x:c>
      <x:c r="C527" s="10" t="n">
        <x:v>75</x:v>
      </x:c>
      <x:c r="D527" s="9" t="str">
        <x:v>Set the red block down close to the green pen.</x:v>
      </x:c>
      <x:c r="E527" s="9" t="str">
        <x:v>red block, green pen, blue block, pink marker</x:v>
      </x:c>
      <x:c r="F527" s="9" t="str">
        <x:v>red block → 2–8 cm edge gap near green pen; no directional sector required.</x:v>
      </x:c>
      <x:c r="G527" s="9" t="str">
        <x:v>placed in front of because it moved it around a bunch</x:v>
      </x:c>
      <x:c r="H527" s="9" t="str">
        <x:v>Language robustness</x:v>
      </x:c>
      <x:c r="I527" s="9" t="str">
        <x:v>RP-CT-N08</x:v>
      </x:c>
      <x:c r="J527" s="9" t="str">
        <x:v>Matched-control paraphrase</x:v>
      </x:c>
      <x:c r="K527" s="9" t="n">
        <x:v>73</x:v>
      </x:c>
      <x:c r="L527" s="9" t="str">
        <x:v>285</x:v>
      </x:c>
      <x:c r="M527" s="9"/>
      <x:c r="N527" s="9"/>
      <x:c r="O527" s="9" t="str">
        <x:v>Reset P1 to its marked pose; preserve the exact scene and change only the wording of the matched-control instruction.</x:v>
      </x:c>
      <x:c r="P527" s="9" t="str">
        <x:v>Exact-scene paraphrase of the training-supported control from episode 285.</x:v>
      </x:c>
      <x:c r="Q527" s="9"/>
      <x:c r="R527" s="10" t="n">
        <x:v>4</x:v>
      </x:c>
      <x:c r="S527" s="10"/>
      <x:c r="T527" s="9"/>
      <x:c r="U527" s="9"/>
      <x:c r="V527" s="9"/>
      <x:c r="W527" s="9"/>
      <x:c r="X527" s="10"/>
      <x:c r="Y527" s="10"/>
      <x:c r="Z527" s="9"/>
      <x:c r="AA527" s="9"/>
      <x:c r="AB527" s="9"/>
      <x:c r="AC527" s="9" t="str">
        <x:v>left</x:v>
      </x:c>
      <x:c r="AD527" s="9" t="str">
        <x:v>red block</x:v>
      </x:c>
      <x:c r="AE527" s="9" t="str">
        <x:v>green pen</x:v>
      </x:c>
      <x:c r="AF527" s="9" t="str">
        <x:v>None</x:v>
      </x:c>
      <x:c r="AG527" s="9"/>
      <x:c r="AH527" s="9"/>
      <x:c r="AI527" s="11"/>
      <x:c r="AJ527" s="9"/>
      <x:c r="AK527" s="9" t="str">
        <x:v>Eval_Relational_Placement (1).xlsm</x:v>
      </x:c>
      <x:c r="AL527" s="9" t="str">
        <x:v>MolmoAct2 Results</x:v>
      </x:c>
      <x:c r="AM527" s="9" t="n">
        <x:v>77</x:v>
      </x:c>
      <x:c r="AN527" s="9" t="n">
        <x:v>77</x:v>
      </x:c>
    </x:row>
    <x:row r="528">
      <x:c r="A528" s="9" t="str">
        <x:v>Success</x:v>
      </x:c>
      <x:c r="B528" s="9" t="str">
        <x:v>Relational Placement</x:v>
      </x:c>
      <x:c r="C528" s="10" t="n">
        <x:v>76</x:v>
      </x:c>
      <x:c r="D528" s="9" t="str">
        <x:v>Place the green pen to the right of the red block.</x:v>
      </x:c>
      <x:c r="E528" s="9" t="str">
        <x:v>green pen, red block, pink marker</x:v>
      </x:c>
      <x:c r="F528" s="9" t="str">
        <x:v>green pen → 2–8 cm edge gap to the right of red block; centroid direction within ±45°.</x:v>
      </x:c>
      <x:c r="G528" s="9"/>
      <x:c r="H528" s="9" t="str">
        <x:v>Concept/compositional transfer</x:v>
      </x:c>
      <x:c r="I528" s="9" t="str">
        <x:v>RP-CT-N09</x:v>
      </x:c>
      <x:c r="J528" s="9" t="str">
        <x:v>Neutral-axis independent compositional-transfer scene</x:v>
      </x:c>
      <x:c r="K528" s="9"/>
      <x:c r="L528" s="9" t="str">
        <x:v>240</x:v>
      </x:c>
      <x:c r="M528" s="9"/>
      <x:c r="N528" s="9"/>
      <x:c r="O528" s="9" t="str">
        <x:v>Build the listed neutral-axis scene and save the first frame.</x:v>
      </x:c>
      <x:c r="P528" s="9" t="str">
        <x:v>Independent held-out-composition scene. Source episode 240 supplies target recognition/manipulation under the trained prompt “Place the green pen next to the red block.”. The orthogonal start removes the opposite-side shortcut.</x:v>
      </x:c>
      <x:c r="Q528" s="9"/>
      <x:c r="R528" s="10" t="n">
        <x:v>3</x:v>
      </x:c>
      <x:c r="S528" s="10"/>
      <x:c r="T528" s="9"/>
      <x:c r="U528" s="9"/>
      <x:c r="V528" s="9"/>
      <x:c r="W528" s="9"/>
      <x:c r="X528" s="10"/>
      <x:c r="Y528" s="10"/>
      <x:c r="Z528" s="9"/>
      <x:c r="AA528" s="9"/>
      <x:c r="AB528" s="9"/>
      <x:c r="AC528" s="9" t="str">
        <x:v>right</x:v>
      </x:c>
      <x:c r="AD528" s="9" t="str">
        <x:v>green pen</x:v>
      </x:c>
      <x:c r="AE528" s="9" t="str">
        <x:v>red block</x:v>
      </x:c>
      <x:c r="AF528" s="9" t="str">
        <x:v>None</x:v>
      </x:c>
      <x:c r="AG528" s="9"/>
      <x:c r="AH528" s="9"/>
      <x:c r="AI528" s="11"/>
      <x:c r="AJ528" s="9"/>
      <x:c r="AK528" s="9" t="str">
        <x:v>Eval_Relational_Placement (1).xlsm</x:v>
      </x:c>
      <x:c r="AL528" s="9" t="str">
        <x:v>MolmoAct2 Results</x:v>
      </x:c>
      <x:c r="AM528" s="9" t="n">
        <x:v>78</x:v>
      </x:c>
      <x:c r="AN528" s="9" t="n">
        <x:v>78</x:v>
      </x:c>
    </x:row>
    <x:row r="529">
      <x:c r="A529" s="9" t="str">
        <x:v>Success</x:v>
      </x:c>
      <x:c r="B529" s="9" t="str">
        <x:v>Relational Placement</x:v>
      </x:c>
      <x:c r="C529" s="10" t="n">
        <x:v>77</x:v>
      </x:c>
      <x:c r="D529" s="9" t="str">
        <x:v>Place the green pen next to the red block.</x:v>
      </x:c>
      <x:c r="E529" s="9" t="str">
        <x:v>green pen, red block, pink marker</x:v>
      </x:c>
      <x:c r="F529" s="9" t="str">
        <x:v>green pen → 2–8 cm edge gap near red block; no directional sector required.</x:v>
      </x:c>
      <x:c r="G529" s="9" t="str">
        <x:v>placed on left</x:v>
      </x:c>
      <x:c r="H529" s="9" t="str">
        <x:v>Matched manipulation control</x:v>
      </x:c>
      <x:c r="I529" s="9" t="str">
        <x:v>RP-CT-N09</x:v>
      </x:c>
      <x:c r="J529" s="9" t="str">
        <x:v>Exact-scene masked manipulation control</x:v>
      </x:c>
      <x:c r="K529" s="9" t="n">
        <x:v>76</x:v>
      </x:c>
      <x:c r="L529" s="9" t="str">
        <x:v>240</x:v>
      </x:c>
      <x:c r="M529" s="9"/>
      <x:c r="N529" s="9"/>
      <x:c r="O529" s="9" t="str">
        <x:v>Reset P1 to its marked pose; preserve the exact scene and use the trained control instruction.</x:v>
      </x:c>
      <x:c r="P529" s="9" t="str">
        <x:v>Exact-scene control using the final training prompt from episode 240. The target, reference, distractors, camera, and robot start match the paired transfer row.</x:v>
      </x:c>
      <x:c r="Q529" s="9"/>
      <x:c r="R529" s="10" t="n">
        <x:v>3</x:v>
      </x:c>
      <x:c r="S529" s="10"/>
      <x:c r="T529" s="9"/>
      <x:c r="U529" s="9"/>
      <x:c r="V529" s="9"/>
      <x:c r="W529" s="9"/>
      <x:c r="X529" s="10"/>
      <x:c r="Y529" s="10"/>
      <x:c r="Z529" s="9"/>
      <x:c r="AA529" s="9"/>
      <x:c r="AB529" s="9"/>
      <x:c r="AC529" s="9" t="str">
        <x:v>right</x:v>
      </x:c>
      <x:c r="AD529" s="9" t="str">
        <x:v>green pen</x:v>
      </x:c>
      <x:c r="AE529" s="9" t="str">
        <x:v>red block</x:v>
      </x:c>
      <x:c r="AF529" s="9" t="str">
        <x:v>None</x:v>
      </x:c>
      <x:c r="AG529" s="9"/>
      <x:c r="AH529" s="9"/>
      <x:c r="AI529" s="11"/>
      <x:c r="AJ529" s="9"/>
      <x:c r="AK529" s="9" t="str">
        <x:v>Eval_Relational_Placement (1).xlsm</x:v>
      </x:c>
      <x:c r="AL529" s="9" t="str">
        <x:v>MolmoAct2 Results</x:v>
      </x:c>
      <x:c r="AM529" s="9" t="n">
        <x:v>79</x:v>
      </x:c>
      <x:c r="AN529" s="9" t="n">
        <x:v>79</x:v>
      </x:c>
    </x:row>
    <x:row r="530">
      <x:c r="A530" s="9" t="str">
        <x:v>Failure</x:v>
      </x:c>
      <x:c r="B530" s="9" t="str">
        <x:v>Relational Placement</x:v>
      </x:c>
      <x:c r="C530" s="10" t="n">
        <x:v>78</x:v>
      </x:c>
      <x:c r="D530" s="9" t="str">
        <x:v>Position the green pen on the robot's right-hand side of the red block.</x:v>
      </x:c>
      <x:c r="E530" s="9" t="str">
        <x:v>green pen, red block, pink marker</x:v>
      </x:c>
      <x:c r="F530" s="9" t="str">
        <x:v>green pen → 2–8 cm edge gap to the right of red block; centroid direction within ±45°.</x:v>
      </x:c>
      <x:c r="G530" s="9" t="str">
        <x:v>placed in front</x:v>
      </x:c>
      <x:c r="H530" s="9" t="str">
        <x:v>Language robustness</x:v>
      </x:c>
      <x:c r="I530" s="9" t="str">
        <x:v>RP-CT-N09</x:v>
      </x:c>
      <x:c r="J530" s="9" t="str">
        <x:v>Transfer paraphrase of concept/compositional transfer</x:v>
      </x:c>
      <x:c r="K530" s="9" t="n">
        <x:v>76</x:v>
      </x:c>
      <x:c r="L530" s="9" t="str">
        <x:v>240</x:v>
      </x:c>
      <x:c r="M530" s="9"/>
      <x:c r="N530" s="9"/>
      <x:c r="O530" s="9" t="str">
        <x:v>Reset P1 to its marked pose; preserve the exact scene and change only the wording of the transfer instruction.</x:v>
      </x:c>
      <x:c r="P530" s="9" t="str">
        <x:v>Exact-scene paraphrase of the canonical compositional-transfer instruction.</x:v>
      </x:c>
      <x:c r="Q530" s="9"/>
      <x:c r="R530" s="10" t="n">
        <x:v>3</x:v>
      </x:c>
      <x:c r="S530" s="10"/>
      <x:c r="T530" s="9"/>
      <x:c r="U530" s="9"/>
      <x:c r="V530" s="9"/>
      <x:c r="W530" s="9"/>
      <x:c r="X530" s="10"/>
      <x:c r="Y530" s="10"/>
      <x:c r="Z530" s="9"/>
      <x:c r="AA530" s="9"/>
      <x:c r="AB530" s="9"/>
      <x:c r="AC530" s="9" t="str">
        <x:v>right</x:v>
      </x:c>
      <x:c r="AD530" s="9" t="str">
        <x:v>green pen</x:v>
      </x:c>
      <x:c r="AE530" s="9" t="str">
        <x:v>red block</x:v>
      </x:c>
      <x:c r="AF530" s="9" t="str">
        <x:v>None</x:v>
      </x:c>
      <x:c r="AG530" s="9"/>
      <x:c r="AH530" s="9"/>
      <x:c r="AI530" s="11"/>
      <x:c r="AJ530" s="9"/>
      <x:c r="AK530" s="9" t="str">
        <x:v>Eval_Relational_Placement (1).xlsm</x:v>
      </x:c>
      <x:c r="AL530" s="9" t="str">
        <x:v>MolmoAct2 Results</x:v>
      </x:c>
      <x:c r="AM530" s="9" t="n">
        <x:v>80</x:v>
      </x:c>
      <x:c r="AN530" s="9" t="n">
        <x:v>80</x:v>
      </x:c>
    </x:row>
    <x:row r="531">
      <x:c r="A531" s="9" t="str">
        <x:v>Success</x:v>
      </x:c>
      <x:c r="B531" s="9" t="str">
        <x:v>Relational Placement</x:v>
      </x:c>
      <x:c r="C531" s="10" t="n">
        <x:v>79</x:v>
      </x:c>
      <x:c r="D531" s="9" t="str">
        <x:v>Set the green pen down close to the red block.</x:v>
      </x:c>
      <x:c r="E531" s="9" t="str">
        <x:v>green pen, red block, pink marker</x:v>
      </x:c>
      <x:c r="F531" s="9" t="str">
        <x:v>green pen → 2–8 cm edge gap near red block; no directional sector required.</x:v>
      </x:c>
      <x:c r="G531" s="9" t="str">
        <x:v>placed to the right</x:v>
      </x:c>
      <x:c r="H531" s="9" t="str">
        <x:v>Language robustness</x:v>
      </x:c>
      <x:c r="I531" s="9" t="str">
        <x:v>RP-CT-N09</x:v>
      </x:c>
      <x:c r="J531" s="9" t="str">
        <x:v>Matched-control paraphrase</x:v>
      </x:c>
      <x:c r="K531" s="9" t="n">
        <x:v>77</x:v>
      </x:c>
      <x:c r="L531" s="9" t="str">
        <x:v>240</x:v>
      </x:c>
      <x:c r="M531" s="9"/>
      <x:c r="N531" s="9"/>
      <x:c r="O531" s="9" t="str">
        <x:v>Reset P1 to its marked pose; preserve the exact scene and change only the wording of the matched-control instruction.</x:v>
      </x:c>
      <x:c r="P531" s="9" t="str">
        <x:v>Exact-scene paraphrase of the training-supported control from episode 240.</x:v>
      </x:c>
      <x:c r="Q531" s="9"/>
      <x:c r="R531" s="10" t="n">
        <x:v>3</x:v>
      </x:c>
      <x:c r="S531" s="10"/>
      <x:c r="T531" s="9"/>
      <x:c r="U531" s="9"/>
      <x:c r="V531" s="9"/>
      <x:c r="W531" s="9"/>
      <x:c r="X531" s="10"/>
      <x:c r="Y531" s="10"/>
      <x:c r="Z531" s="9"/>
      <x:c r="AA531" s="9"/>
      <x:c r="AB531" s="9"/>
      <x:c r="AC531" s="9" t="str">
        <x:v>right</x:v>
      </x:c>
      <x:c r="AD531" s="9" t="str">
        <x:v>green pen</x:v>
      </x:c>
      <x:c r="AE531" s="9" t="str">
        <x:v>red block</x:v>
      </x:c>
      <x:c r="AF531" s="9" t="str">
        <x:v>None</x:v>
      </x:c>
      <x:c r="AG531" s="9"/>
      <x:c r="AH531" s="9"/>
      <x:c r="AI531" s="11"/>
      <x:c r="AJ531" s="9"/>
      <x:c r="AK531" s="9" t="str">
        <x:v>Eval_Relational_Placement (1).xlsm</x:v>
      </x:c>
      <x:c r="AL531" s="9" t="str">
        <x:v>MolmoAct2 Results</x:v>
      </x:c>
      <x:c r="AM531" s="9" t="n">
        <x:v>81</x:v>
      </x:c>
      <x:c r="AN531" s="9" t="n">
        <x:v>81</x:v>
      </x:c>
    </x:row>
    <x:row r="532">
      <x:c r="A532" s="9" t="str">
        <x:v>Failure</x:v>
      </x:c>
      <x:c r="B532" s="9" t="str">
        <x:v>Relational Placement</x:v>
      </x:c>
      <x:c r="C532" s="10" t="n">
        <x:v>80</x:v>
      </x:c>
      <x:c r="D532" s="9" t="str">
        <x:v>Place the red block to the right of the green pen.</x:v>
      </x:c>
      <x:c r="E532" s="9" t="str">
        <x:v>red block, green pen, blue block, pink marker</x:v>
      </x:c>
      <x:c r="F532" s="9" t="str">
        <x:v>red block → 2–8 cm edge gap to the right of green pen; centroid direction within ±45°.</x:v>
      </x:c>
      <x:c r="G532" s="9" t="str">
        <x:v>placed to the left</x:v>
      </x:c>
      <x:c r="H532" s="9" t="str">
        <x:v>Concept/compositional transfer</x:v>
      </x:c>
      <x:c r="I532" s="9" t="str">
        <x:v>RP-CT-N10</x:v>
      </x:c>
      <x:c r="J532" s="9" t="str">
        <x:v>Neutral-axis independent compositional-transfer scene</x:v>
      </x:c>
      <x:c r="K532" s="9"/>
      <x:c r="L532" s="9" t="str">
        <x:v>298</x:v>
      </x:c>
      <x:c r="M532" s="9"/>
      <x:c r="N532" s="9"/>
      <x:c r="O532" s="9" t="str">
        <x:v>Build the listed neutral-axis scene and save the first frame.</x:v>
      </x:c>
      <x:c r="P532" s="9" t="str">
        <x:v>Independent held-out-composition scene. Source episode 298 supplies target recognition/manipulation under the trained prompt “Put the red block beside the green pen.”. The orthogonal start removes the opposite-side shortcut.</x:v>
      </x:c>
      <x:c r="Q532" s="9"/>
      <x:c r="R532" s="10" t="n">
        <x:v>4</x:v>
      </x:c>
      <x:c r="S532" s="10"/>
      <x:c r="T532" s="9"/>
      <x:c r="U532" s="9"/>
      <x:c r="V532" s="9"/>
      <x:c r="W532" s="9"/>
      <x:c r="X532" s="10"/>
      <x:c r="Y532" s="10"/>
      <x:c r="Z532" s="9"/>
      <x:c r="AA532" s="9"/>
      <x:c r="AB532" s="9"/>
      <x:c r="AC532" s="9" t="str">
        <x:v>right</x:v>
      </x:c>
      <x:c r="AD532" s="9" t="str">
        <x:v>red block</x:v>
      </x:c>
      <x:c r="AE532" s="9" t="str">
        <x:v>green pen</x:v>
      </x:c>
      <x:c r="AF532" s="9" t="str">
        <x:v>None</x:v>
      </x:c>
      <x:c r="AG532" s="9"/>
      <x:c r="AH532" s="9"/>
      <x:c r="AI532" s="11"/>
      <x:c r="AJ532" s="9"/>
      <x:c r="AK532" s="9" t="str">
        <x:v>Eval_Relational_Placement (1).xlsm</x:v>
      </x:c>
      <x:c r="AL532" s="9" t="str">
        <x:v>MolmoAct2 Results</x:v>
      </x:c>
      <x:c r="AM532" s="9" t="n">
        <x:v>82</x:v>
      </x:c>
      <x:c r="AN532" s="9" t="n">
        <x:v>82</x:v>
      </x:c>
    </x:row>
    <x:row r="533">
      <x:c r="A533" s="9" t="str">
        <x:v>Failure</x:v>
      </x:c>
      <x:c r="B533" s="9" t="str">
        <x:v>Relational Placement</x:v>
      </x:c>
      <x:c r="C533" s="10" t="n">
        <x:v>81</x:v>
      </x:c>
      <x:c r="D533" s="9" t="str">
        <x:v>Put the red block beside the green pen.</x:v>
      </x:c>
      <x:c r="E533" s="9" t="str">
        <x:v>red block, green pen, blue block, pink marker</x:v>
      </x:c>
      <x:c r="F533" s="9" t="str">
        <x:v>red block → 2–8 cm edge gap near green pen; no directional sector required.</x:v>
      </x:c>
      <x:c r="G533" s="9" t="str">
        <x:v>couldn't grasp the red block, knocked it around out of range, then picked up the blue block and put it beside the green pen</x:v>
      </x:c>
      <x:c r="H533" s="9" t="str">
        <x:v>Matched manipulation control</x:v>
      </x:c>
      <x:c r="I533" s="9" t="str">
        <x:v>RP-CT-N10</x:v>
      </x:c>
      <x:c r="J533" s="9" t="str">
        <x:v>Exact-scene masked manipulation control</x:v>
      </x:c>
      <x:c r="K533" s="9" t="n">
        <x:v>80</x:v>
      </x:c>
      <x:c r="L533" s="9" t="str">
        <x:v>298</x:v>
      </x:c>
      <x:c r="M533" s="9"/>
      <x:c r="N533" s="9"/>
      <x:c r="O533" s="9" t="str">
        <x:v>Reset P1 to its marked pose; preserve the exact scene and use the trained control instruction.</x:v>
      </x:c>
      <x:c r="P533" s="9" t="str">
        <x:v>Exact-scene control using the final training prompt from episode 298. The target, reference, distractors, camera, and robot start match the paired transfer row.</x:v>
      </x:c>
      <x:c r="Q533" s="9"/>
      <x:c r="R533" s="10" t="n">
        <x:v>4</x:v>
      </x:c>
      <x:c r="S533" s="10"/>
      <x:c r="T533" s="9"/>
      <x:c r="U533" s="9"/>
      <x:c r="V533" s="9"/>
      <x:c r="W533" s="9"/>
      <x:c r="X533" s="10"/>
      <x:c r="Y533" s="10"/>
      <x:c r="Z533" s="9"/>
      <x:c r="AA533" s="9"/>
      <x:c r="AB533" s="9"/>
      <x:c r="AC533" s="9" t="str">
        <x:v>right</x:v>
      </x:c>
      <x:c r="AD533" s="9" t="str">
        <x:v>red block</x:v>
      </x:c>
      <x:c r="AE533" s="9" t="str">
        <x:v>green pen</x:v>
      </x:c>
      <x:c r="AF533" s="9" t="str">
        <x:v>None</x:v>
      </x:c>
      <x:c r="AG533" s="9"/>
      <x:c r="AH533" s="9"/>
      <x:c r="AI533" s="11"/>
      <x:c r="AJ533" s="9"/>
      <x:c r="AK533" s="9" t="str">
        <x:v>Eval_Relational_Placement (1).xlsm</x:v>
      </x:c>
      <x:c r="AL533" s="9" t="str">
        <x:v>MolmoAct2 Results</x:v>
      </x:c>
      <x:c r="AM533" s="9" t="n">
        <x:v>83</x:v>
      </x:c>
      <x:c r="AN533" s="9" t="n">
        <x:v>83</x:v>
      </x:c>
    </x:row>
    <x:row r="534">
      <x:c r="A534" s="9" t="str">
        <x:v>Failure</x:v>
      </x:c>
      <x:c r="B534" s="9" t="str">
        <x:v>Relational Placement</x:v>
      </x:c>
      <x:c r="C534" s="10" t="n">
        <x:v>82</x:v>
      </x:c>
      <x:c r="D534" s="9" t="str">
        <x:v>Position the red block on the robot's right-hand side of the green pen.</x:v>
      </x:c>
      <x:c r="E534" s="9" t="str">
        <x:v>red block, green pen, blue block, pink marker</x:v>
      </x:c>
      <x:c r="F534" s="9" t="str">
        <x:v>red block → 2–8 cm edge gap to the right of green pen; centroid direction within ±45°.</x:v>
      </x:c>
      <x:c r="G534" s="9" t="str">
        <x:v>placed to the left</x:v>
      </x:c>
      <x:c r="H534" s="9" t="str">
        <x:v>Language robustness</x:v>
      </x:c>
      <x:c r="I534" s="9" t="str">
        <x:v>RP-CT-N10</x:v>
      </x:c>
      <x:c r="J534" s="9" t="str">
        <x:v>Transfer paraphrase of concept/compositional transfer</x:v>
      </x:c>
      <x:c r="K534" s="9" t="n">
        <x:v>80</x:v>
      </x:c>
      <x:c r="L534" s="9" t="str">
        <x:v>298</x:v>
      </x:c>
      <x:c r="M534" s="9"/>
      <x:c r="N534" s="9"/>
      <x:c r="O534" s="9" t="str">
        <x:v>Reset P1 to its marked pose; preserve the exact scene and change only the wording of the transfer instruction.</x:v>
      </x:c>
      <x:c r="P534" s="9" t="str">
        <x:v>Exact-scene paraphrase of the canonical compositional-transfer instruction.</x:v>
      </x:c>
      <x:c r="Q534" s="9"/>
      <x:c r="R534" s="10" t="n">
        <x:v>4</x:v>
      </x:c>
      <x:c r="S534" s="10"/>
      <x:c r="T534" s="9"/>
      <x:c r="U534" s="9"/>
      <x:c r="V534" s="9"/>
      <x:c r="W534" s="9"/>
      <x:c r="X534" s="10"/>
      <x:c r="Y534" s="10"/>
      <x:c r="Z534" s="9"/>
      <x:c r="AA534" s="9"/>
      <x:c r="AB534" s="9"/>
      <x:c r="AC534" s="9" t="str">
        <x:v>right</x:v>
      </x:c>
      <x:c r="AD534" s="9" t="str">
        <x:v>red block</x:v>
      </x:c>
      <x:c r="AE534" s="9" t="str">
        <x:v>green pen</x:v>
      </x:c>
      <x:c r="AF534" s="9" t="str">
        <x:v>None</x:v>
      </x:c>
      <x:c r="AG534" s="9"/>
      <x:c r="AH534" s="9"/>
      <x:c r="AI534" s="11"/>
      <x:c r="AJ534" s="9"/>
      <x:c r="AK534" s="9" t="str">
        <x:v>Eval_Relational_Placement (1).xlsm</x:v>
      </x:c>
      <x:c r="AL534" s="9" t="str">
        <x:v>MolmoAct2 Results</x:v>
      </x:c>
      <x:c r="AM534" s="9" t="n">
        <x:v>84</x:v>
      </x:c>
      <x:c r="AN534" s="9" t="n">
        <x:v>84</x:v>
      </x:c>
    </x:row>
    <x:row r="535">
      <x:c r="A535" s="9" t="str">
        <x:v>Success</x:v>
      </x:c>
      <x:c r="B535" s="9" t="str">
        <x:v>Relational Placement</x:v>
      </x:c>
      <x:c r="C535" s="10" t="n">
        <x:v>83</x:v>
      </x:c>
      <x:c r="D535" s="9" t="str">
        <x:v>Set the red block down close to the green pen.</x:v>
      </x:c>
      <x:c r="E535" s="9" t="str">
        <x:v>red block, green pen, blue block, pink marker</x:v>
      </x:c>
      <x:c r="F535" s="9" t="str">
        <x:v>red block → 2–8 cm edge gap near green pen; no directional sector required.</x:v>
      </x:c>
      <x:c r="G535" s="9"/>
      <x:c r="H535" s="9" t="str">
        <x:v>Language robustness</x:v>
      </x:c>
      <x:c r="I535" s="9" t="str">
        <x:v>RP-CT-N10</x:v>
      </x:c>
      <x:c r="J535" s="9" t="str">
        <x:v>Matched-control paraphrase</x:v>
      </x:c>
      <x:c r="K535" s="9" t="n">
        <x:v>81</x:v>
      </x:c>
      <x:c r="L535" s="9" t="str">
        <x:v>298</x:v>
      </x:c>
      <x:c r="M535" s="9"/>
      <x:c r="N535" s="9"/>
      <x:c r="O535" s="9" t="str">
        <x:v>Reset P1 to its marked pose; preserve the exact scene and change only the wording of the matched-control instruction.</x:v>
      </x:c>
      <x:c r="P535" s="9" t="str">
        <x:v>Exact-scene paraphrase of the training-supported control from episode 298.</x:v>
      </x:c>
      <x:c r="Q535" s="9"/>
      <x:c r="R535" s="10" t="n">
        <x:v>4</x:v>
      </x:c>
      <x:c r="S535" s="10"/>
      <x:c r="T535" s="9"/>
      <x:c r="U535" s="9"/>
      <x:c r="V535" s="9"/>
      <x:c r="W535" s="9"/>
      <x:c r="X535" s="10"/>
      <x:c r="Y535" s="10"/>
      <x:c r="Z535" s="9"/>
      <x:c r="AA535" s="9"/>
      <x:c r="AB535" s="9"/>
      <x:c r="AC535" s="9" t="str">
        <x:v>right</x:v>
      </x:c>
      <x:c r="AD535" s="9" t="str">
        <x:v>red block</x:v>
      </x:c>
      <x:c r="AE535" s="9" t="str">
        <x:v>green pen</x:v>
      </x:c>
      <x:c r="AF535" s="9" t="str">
        <x:v>None</x:v>
      </x:c>
      <x:c r="AG535" s="9"/>
      <x:c r="AH535" s="9"/>
      <x:c r="AI535" s="11"/>
      <x:c r="AJ535" s="9"/>
      <x:c r="AK535" s="9" t="str">
        <x:v>Eval_Relational_Placement (1).xlsm</x:v>
      </x:c>
      <x:c r="AL535" s="9" t="str">
        <x:v>MolmoAct2 Results</x:v>
      </x:c>
      <x:c r="AM535" s="9" t="n">
        <x:v>85</x:v>
      </x:c>
      <x:c r="AN535" s="9" t="n">
        <x:v>85</x:v>
      </x:c>
    </x:row>
    <x:row r="536">
      <x:c r="A536" s="9" t="str">
        <x:v>Success</x:v>
      </x:c>
      <x:c r="B536" s="9" t="str">
        <x:v>Relational Placement</x:v>
      </x:c>
      <x:c r="C536" s="10" t="n">
        <x:v>84</x:v>
      </x:c>
      <x:c r="D536" s="9" t="str">
        <x:v>Place the green pen in front of the red block.</x:v>
      </x:c>
      <x:c r="E536" s="9" t="str">
        <x:v>green pen, red block, pink marker, blue block</x:v>
      </x:c>
      <x:c r="F536" s="9" t="str">
        <x:v>green pen → 2–8 cm edge gap in front of red block; centroid direction within ±45°.</x:v>
      </x:c>
      <x:c r="G536" s="9"/>
      <x:c r="H536" s="9" t="str">
        <x:v>Concept/compositional transfer</x:v>
      </x:c>
      <x:c r="I536" s="9" t="str">
        <x:v>RP-CT-N11</x:v>
      </x:c>
      <x:c r="J536" s="9" t="str">
        <x:v>Neutral-axis independent compositional-transfer scene</x:v>
      </x:c>
      <x:c r="K536" s="9"/>
      <x:c r="L536" s="9" t="str">
        <x:v>202</x:v>
      </x:c>
      <x:c r="M536" s="9"/>
      <x:c r="N536" s="9"/>
      <x:c r="O536" s="9" t="str">
        <x:v>Build the listed neutral-axis scene and save the first frame.</x:v>
      </x:c>
      <x:c r="P536" s="9" t="str">
        <x:v>Independent held-out-composition scene. Source episode 202 supplies target recognition/manipulation under the trained prompt “Put the green pen beside the red block.”. The orthogonal start removes the opposite-side shortcut.</x:v>
      </x:c>
      <x:c r="Q536" s="9"/>
      <x:c r="R536" s="10" t="n">
        <x:v>4</x:v>
      </x:c>
      <x:c r="S536" s="10"/>
      <x:c r="T536" s="9"/>
      <x:c r="U536" s="9"/>
      <x:c r="V536" s="9"/>
      <x:c r="W536" s="9"/>
      <x:c r="X536" s="10"/>
      <x:c r="Y536" s="10"/>
      <x:c r="Z536" s="9"/>
      <x:c r="AA536" s="9"/>
      <x:c r="AB536" s="9"/>
      <x:c r="AC536" s="9" t="str">
        <x:v>front</x:v>
      </x:c>
      <x:c r="AD536" s="9" t="str">
        <x:v>green pen</x:v>
      </x:c>
      <x:c r="AE536" s="9" t="str">
        <x:v>red block</x:v>
      </x:c>
      <x:c r="AF536" s="9" t="str">
        <x:v>None</x:v>
      </x:c>
      <x:c r="AG536" s="9"/>
      <x:c r="AH536" s="9"/>
      <x:c r="AI536" s="11"/>
      <x:c r="AJ536" s="9"/>
      <x:c r="AK536" s="9" t="str">
        <x:v>Eval_Relational_Placement (1).xlsm</x:v>
      </x:c>
      <x:c r="AL536" s="9" t="str">
        <x:v>MolmoAct2 Results</x:v>
      </x:c>
      <x:c r="AM536" s="9" t="n">
        <x:v>86</x:v>
      </x:c>
      <x:c r="AN536" s="9" t="n">
        <x:v>86</x:v>
      </x:c>
    </x:row>
    <x:row r="537">
      <x:c r="A537" s="9" t="str">
        <x:v>Success</x:v>
      </x:c>
      <x:c r="B537" s="9" t="str">
        <x:v>Relational Placement</x:v>
      </x:c>
      <x:c r="C537" s="10" t="n">
        <x:v>85</x:v>
      </x:c>
      <x:c r="D537" s="9" t="str">
        <x:v>Put the green pen beside the red block.</x:v>
      </x:c>
      <x:c r="E537" s="9" t="str">
        <x:v>green pen, red block, pink marker, blue block</x:v>
      </x:c>
      <x:c r="F537" s="9" t="str">
        <x:v>green pen → 2–8 cm edge gap near red block; no directional sector required.</x:v>
      </x:c>
      <x:c r="G537" s="9" t="str">
        <x:v>placed to left</x:v>
      </x:c>
      <x:c r="H537" s="9" t="str">
        <x:v>Matched manipulation control</x:v>
      </x:c>
      <x:c r="I537" s="9" t="str">
        <x:v>RP-CT-N11</x:v>
      </x:c>
      <x:c r="J537" s="9" t="str">
        <x:v>Exact-scene masked manipulation control</x:v>
      </x:c>
      <x:c r="K537" s="9" t="n">
        <x:v>84</x:v>
      </x:c>
      <x:c r="L537" s="9" t="str">
        <x:v>202</x:v>
      </x:c>
      <x:c r="M537" s="9"/>
      <x:c r="N537" s="9"/>
      <x:c r="O537" s="9" t="str">
        <x:v>Reset P1 to its marked pose; preserve the exact scene and use the trained control instruction.</x:v>
      </x:c>
      <x:c r="P537" s="9" t="str">
        <x:v>Exact-scene control using the final training prompt from episode 202. The target, reference, distractors, camera, and robot start match the paired transfer row.</x:v>
      </x:c>
      <x:c r="Q537" s="9"/>
      <x:c r="R537" s="10" t="n">
        <x:v>4</x:v>
      </x:c>
      <x:c r="S537" s="10"/>
      <x:c r="T537" s="9"/>
      <x:c r="U537" s="9"/>
      <x:c r="V537" s="9"/>
      <x:c r="W537" s="9"/>
      <x:c r="X537" s="10"/>
      <x:c r="Y537" s="10"/>
      <x:c r="Z537" s="9"/>
      <x:c r="AA537" s="9"/>
      <x:c r="AB537" s="9"/>
      <x:c r="AC537" s="9" t="str">
        <x:v>front</x:v>
      </x:c>
      <x:c r="AD537" s="9" t="str">
        <x:v>green pen</x:v>
      </x:c>
      <x:c r="AE537" s="9" t="str">
        <x:v>red block</x:v>
      </x:c>
      <x:c r="AF537" s="9" t="str">
        <x:v>None</x:v>
      </x:c>
      <x:c r="AG537" s="9"/>
      <x:c r="AH537" s="9"/>
      <x:c r="AI537" s="11"/>
      <x:c r="AJ537" s="9"/>
      <x:c r="AK537" s="9" t="str">
        <x:v>Eval_Relational_Placement (1).xlsm</x:v>
      </x:c>
      <x:c r="AL537" s="9" t="str">
        <x:v>MolmoAct2 Results</x:v>
      </x:c>
      <x:c r="AM537" s="9" t="n">
        <x:v>87</x:v>
      </x:c>
      <x:c r="AN537" s="9" t="n">
        <x:v>87</x:v>
      </x:c>
    </x:row>
    <x:row r="538">
      <x:c r="A538" s="9" t="str">
        <x:v>Success</x:v>
      </x:c>
      <x:c r="B538" s="9" t="str">
        <x:v>Relational Placement</x:v>
      </x:c>
      <x:c r="C538" s="10" t="n">
        <x:v>86</x:v>
      </x:c>
      <x:c r="D538" s="9" t="str">
        <x:v>Place the red block in front of the green pen.</x:v>
      </x:c>
      <x:c r="E538" s="9" t="str">
        <x:v>red block, green pen, blue block</x:v>
      </x:c>
      <x:c r="F538" s="9" t="str">
        <x:v>red block → 2–8 cm edge gap in front of green pen; centroid direction within ±45°.</x:v>
      </x:c>
      <x:c r="G538" s="9"/>
      <x:c r="H538" s="9" t="str">
        <x:v>Concept/compositional transfer</x:v>
      </x:c>
      <x:c r="I538" s="9" t="str">
        <x:v>RP-CT-N12</x:v>
      </x:c>
      <x:c r="J538" s="9" t="str">
        <x:v>Neutral-axis independent compositional-transfer scene</x:v>
      </x:c>
      <x:c r="K538" s="9"/>
      <x:c r="L538" s="9" t="str">
        <x:v>261</x:v>
      </x:c>
      <x:c r="M538" s="9"/>
      <x:c r="N538" s="9"/>
      <x:c r="O538" s="9" t="str">
        <x:v>Build the listed neutral-axis scene and save the first frame.</x:v>
      </x:c>
      <x:c r="P538" s="9" t="str">
        <x:v>Independent held-out-composition scene. Source episode 261 supplies target recognition/manipulation under the trained prompt “Place the red block next to the green pen.”. The orthogonal start removes the opposite-side shortcut.</x:v>
      </x:c>
      <x:c r="Q538" s="9"/>
      <x:c r="R538" s="10" t="n">
        <x:v>3</x:v>
      </x:c>
      <x:c r="S538" s="10"/>
      <x:c r="T538" s="9"/>
      <x:c r="U538" s="9"/>
      <x:c r="V538" s="9"/>
      <x:c r="W538" s="9"/>
      <x:c r="X538" s="10"/>
      <x:c r="Y538" s="10"/>
      <x:c r="Z538" s="9"/>
      <x:c r="AA538" s="9"/>
      <x:c r="AB538" s="9"/>
      <x:c r="AC538" s="9" t="str">
        <x:v>front</x:v>
      </x:c>
      <x:c r="AD538" s="9" t="str">
        <x:v>red block</x:v>
      </x:c>
      <x:c r="AE538" s="9" t="str">
        <x:v>green pen</x:v>
      </x:c>
      <x:c r="AF538" s="9" t="str">
        <x:v>None</x:v>
      </x:c>
      <x:c r="AG538" s="9"/>
      <x:c r="AH538" s="9"/>
      <x:c r="AI538" s="11"/>
      <x:c r="AJ538" s="9"/>
      <x:c r="AK538" s="9" t="str">
        <x:v>Eval_Relational_Placement (1).xlsm</x:v>
      </x:c>
      <x:c r="AL538" s="9" t="str">
        <x:v>MolmoAct2 Results</x:v>
      </x:c>
      <x:c r="AM538" s="9" t="n">
        <x:v>88</x:v>
      </x:c>
      <x:c r="AN538" s="9" t="n">
        <x:v>88</x:v>
      </x:c>
    </x:row>
    <x:row r="539">
      <x:c r="A539" s="9" t="str">
        <x:v>Success</x:v>
      </x:c>
      <x:c r="B539" s="9" t="str">
        <x:v>Relational Placement</x:v>
      </x:c>
      <x:c r="C539" s="10" t="n">
        <x:v>87</x:v>
      </x:c>
      <x:c r="D539" s="9" t="str">
        <x:v>Place the red block next to the green pen.</x:v>
      </x:c>
      <x:c r="E539" s="9" t="str">
        <x:v>red block, green pen, blue block</x:v>
      </x:c>
      <x:c r="F539" s="9" t="str">
        <x:v>red block → 2–8 cm edge gap near green pen; no directional sector required.</x:v>
      </x:c>
      <x:c r="G539" s="9"/>
      <x:c r="H539" s="9" t="str">
        <x:v>Matched manipulation control</x:v>
      </x:c>
      <x:c r="I539" s="9" t="str">
        <x:v>RP-CT-N12</x:v>
      </x:c>
      <x:c r="J539" s="9" t="str">
        <x:v>Exact-scene masked manipulation control</x:v>
      </x:c>
      <x:c r="K539" s="9" t="n">
        <x:v>86</x:v>
      </x:c>
      <x:c r="L539" s="9" t="str">
        <x:v>261</x:v>
      </x:c>
      <x:c r="M539" s="9"/>
      <x:c r="N539" s="9"/>
      <x:c r="O539" s="9" t="str">
        <x:v>Reset P1 to its marked pose; preserve the exact scene and use the trained control instruction.</x:v>
      </x:c>
      <x:c r="P539" s="9" t="str">
        <x:v>Exact-scene control using the final training prompt from episode 261. The target, reference, distractors, camera, and robot start match the paired transfer row.</x:v>
      </x:c>
      <x:c r="Q539" s="9"/>
      <x:c r="R539" s="10" t="n">
        <x:v>3</x:v>
      </x:c>
      <x:c r="S539" s="10"/>
      <x:c r="T539" s="9"/>
      <x:c r="U539" s="9"/>
      <x:c r="V539" s="9"/>
      <x:c r="W539" s="9"/>
      <x:c r="X539" s="10"/>
      <x:c r="Y539" s="10"/>
      <x:c r="Z539" s="9"/>
      <x:c r="AA539" s="9"/>
      <x:c r="AB539" s="9"/>
      <x:c r="AC539" s="9" t="str">
        <x:v>front</x:v>
      </x:c>
      <x:c r="AD539" s="9" t="str">
        <x:v>red block</x:v>
      </x:c>
      <x:c r="AE539" s="9" t="str">
        <x:v>green pen</x:v>
      </x:c>
      <x:c r="AF539" s="9" t="str">
        <x:v>None</x:v>
      </x:c>
      <x:c r="AG539" s="9"/>
      <x:c r="AH539" s="9"/>
      <x:c r="AI539" s="11"/>
      <x:c r="AJ539" s="9"/>
      <x:c r="AK539" s="9" t="str">
        <x:v>Eval_Relational_Placement (1).xlsm</x:v>
      </x:c>
      <x:c r="AL539" s="9" t="str">
        <x:v>MolmoAct2 Results</x:v>
      </x:c>
      <x:c r="AM539" s="9" t="n">
        <x:v>89</x:v>
      </x:c>
      <x:c r="AN539" s="9" t="n">
        <x:v>89</x:v>
      </x:c>
    </x:row>
    <x:row r="540">
      <x:c r="A540" s="9" t="str">
        <x:v>Success</x:v>
      </x:c>
      <x:c r="B540" s="9" t="str">
        <x:v>Relational Placement</x:v>
      </x:c>
      <x:c r="C540" s="10" t="n">
        <x:v>88</x:v>
      </x:c>
      <x:c r="D540" s="9" t="str">
        <x:v>Place the green pen behind the red block.</x:v>
      </x:c>
      <x:c r="E540" s="9" t="str">
        <x:v>green pen, red block, pink marker</x:v>
      </x:c>
      <x:c r="F540" s="9" t="str">
        <x:v>green pen → 2–8 cm edge gap behind red block; centroid direction within ±45°.</x:v>
      </x:c>
      <x:c r="G540" s="9"/>
      <x:c r="H540" s="9" t="str">
        <x:v>Concept/compositional transfer</x:v>
      </x:c>
      <x:c r="I540" s="9" t="str">
        <x:v>RP-CT-N13</x:v>
      </x:c>
      <x:c r="J540" s="9" t="str">
        <x:v>Neutral-axis independent compositional-transfer scene</x:v>
      </x:c>
      <x:c r="K540" s="9"/>
      <x:c r="L540" s="9" t="str">
        <x:v>213</x:v>
      </x:c>
      <x:c r="M540" s="9"/>
      <x:c r="N540" s="9"/>
      <x:c r="O540" s="9" t="str">
        <x:v>Build the listed neutral-axis scene and save the first frame.</x:v>
      </x:c>
      <x:c r="P540" s="9" t="str">
        <x:v>Independent held-out-composition scene. Source episode 213 supplies target recognition/manipulation under the trained prompt “Place the green pen next to the red block.”. The orthogonal start removes the opposite-side shortcut.</x:v>
      </x:c>
      <x:c r="Q540" s="9"/>
      <x:c r="R540" s="10" t="n">
        <x:v>3</x:v>
      </x:c>
      <x:c r="S540" s="10"/>
      <x:c r="T540" s="9"/>
      <x:c r="U540" s="9"/>
      <x:c r="V540" s="9"/>
      <x:c r="W540" s="9"/>
      <x:c r="X540" s="10"/>
      <x:c r="Y540" s="10"/>
      <x:c r="Z540" s="9"/>
      <x:c r="AA540" s="9"/>
      <x:c r="AB540" s="9"/>
      <x:c r="AC540" s="9" t="str">
        <x:v>behind</x:v>
      </x:c>
      <x:c r="AD540" s="9" t="str">
        <x:v>green pen</x:v>
      </x:c>
      <x:c r="AE540" s="9" t="str">
        <x:v>red block</x:v>
      </x:c>
      <x:c r="AF540" s="9" t="str">
        <x:v>None</x:v>
      </x:c>
      <x:c r="AG540" s="9"/>
      <x:c r="AH540" s="9"/>
      <x:c r="AI540" s="11"/>
      <x:c r="AJ540" s="9"/>
      <x:c r="AK540" s="9" t="str">
        <x:v>Eval_Relational_Placement (1).xlsm</x:v>
      </x:c>
      <x:c r="AL540" s="9" t="str">
        <x:v>MolmoAct2 Results</x:v>
      </x:c>
      <x:c r="AM540" s="9" t="n">
        <x:v>90</x:v>
      </x:c>
      <x:c r="AN540" s="9" t="n">
        <x:v>90</x:v>
      </x:c>
    </x:row>
    <x:row r="541">
      <x:c r="A541" s="9" t="str">
        <x:v>Success</x:v>
      </x:c>
      <x:c r="B541" s="9" t="str">
        <x:v>Relational Placement</x:v>
      </x:c>
      <x:c r="C541" s="10" t="n">
        <x:v>89</x:v>
      </x:c>
      <x:c r="D541" s="9" t="str">
        <x:v>Place the green pen next to the red block.</x:v>
      </x:c>
      <x:c r="E541" s="9" t="str">
        <x:v>green pen, red block, pink marker</x:v>
      </x:c>
      <x:c r="F541" s="9" t="str">
        <x:v>green pen → 2–8 cm edge gap near red block; no directional sector required.</x:v>
      </x:c>
      <x:c r="G541" s="9" t="str">
        <x:v>placed in front</x:v>
      </x:c>
      <x:c r="H541" s="9" t="str">
        <x:v>Matched manipulation control</x:v>
      </x:c>
      <x:c r="I541" s="9" t="str">
        <x:v>RP-CT-N13</x:v>
      </x:c>
      <x:c r="J541" s="9" t="str">
        <x:v>Exact-scene masked manipulation control</x:v>
      </x:c>
      <x:c r="K541" s="9" t="n">
        <x:v>88</x:v>
      </x:c>
      <x:c r="L541" s="9" t="str">
        <x:v>213</x:v>
      </x:c>
      <x:c r="M541" s="9"/>
      <x:c r="N541" s="9"/>
      <x:c r="O541" s="9" t="str">
        <x:v>Reset P1 to its marked pose; preserve the exact scene and use the trained control instruction.</x:v>
      </x:c>
      <x:c r="P541" s="9" t="str">
        <x:v>Exact-scene control using the final training prompt from episode 213. The target, reference, distractors, camera, and robot start match the paired transfer row.</x:v>
      </x:c>
      <x:c r="Q541" s="9"/>
      <x:c r="R541" s="10" t="n">
        <x:v>3</x:v>
      </x:c>
      <x:c r="S541" s="10"/>
      <x:c r="T541" s="9"/>
      <x:c r="U541" s="9"/>
      <x:c r="V541" s="9"/>
      <x:c r="W541" s="9"/>
      <x:c r="X541" s="10"/>
      <x:c r="Y541" s="10"/>
      <x:c r="Z541" s="9"/>
      <x:c r="AA541" s="9"/>
      <x:c r="AB541" s="9"/>
      <x:c r="AC541" s="9" t="str">
        <x:v>behind</x:v>
      </x:c>
      <x:c r="AD541" s="9" t="str">
        <x:v>green pen</x:v>
      </x:c>
      <x:c r="AE541" s="9" t="str">
        <x:v>red block</x:v>
      </x:c>
      <x:c r="AF541" s="9" t="str">
        <x:v>None</x:v>
      </x:c>
      <x:c r="AG541" s="9"/>
      <x:c r="AH541" s="9"/>
      <x:c r="AI541" s="11"/>
      <x:c r="AJ541" s="9"/>
      <x:c r="AK541" s="9" t="str">
        <x:v>Eval_Relational_Placement (1).xlsm</x:v>
      </x:c>
      <x:c r="AL541" s="9" t="str">
        <x:v>MolmoAct2 Results</x:v>
      </x:c>
      <x:c r="AM541" s="9" t="n">
        <x:v>91</x:v>
      </x:c>
      <x:c r="AN541" s="9" t="n">
        <x:v>91</x:v>
      </x:c>
    </x:row>
    <x:row r="542">
      <x:c r="A542" s="9" t="str">
        <x:v>Failure</x:v>
      </x:c>
      <x:c r="B542" s="9" t="str">
        <x:v>Relational Placement</x:v>
      </x:c>
      <x:c r="C542" s="10" t="n">
        <x:v>90</x:v>
      </x:c>
      <x:c r="D542" s="9" t="str">
        <x:v>Place the red block behind the green pen.</x:v>
      </x:c>
      <x:c r="E542" s="9" t="str">
        <x:v>red block, green pen, blue block, pink marker</x:v>
      </x:c>
      <x:c r="F542" s="9" t="str">
        <x:v>red block → 2–8 cm edge gap behind green pen; centroid direction within ±45°.</x:v>
      </x:c>
      <x:c r="G542" s="9" t="str">
        <x:v>robot didn't move</x:v>
      </x:c>
      <x:c r="H542" s="9" t="str">
        <x:v>Concept/compositional transfer</x:v>
      </x:c>
      <x:c r="I542" s="9" t="str">
        <x:v>RP-CT-N14</x:v>
      </x:c>
      <x:c r="J542" s="9" t="str">
        <x:v>Neutral-axis independent compositional-transfer scene</x:v>
      </x:c>
      <x:c r="K542" s="9"/>
      <x:c r="L542" s="9" t="str">
        <x:v>273</x:v>
      </x:c>
      <x:c r="M542" s="9"/>
      <x:c r="N542" s="9"/>
      <x:c r="O542" s="9" t="str">
        <x:v>Build the listed neutral-axis scene and save the first frame.</x:v>
      </x:c>
      <x:c r="P542" s="9" t="str">
        <x:v>Independent held-out-composition scene. Source episode 273 supplies target recognition/manipulation under the trained prompt “Place the red block next to the green pen.”. The orthogonal start removes the opposite-side shortcut.</x:v>
      </x:c>
      <x:c r="Q542" s="9"/>
      <x:c r="R542" s="10" t="n">
        <x:v>4</x:v>
      </x:c>
      <x:c r="S542" s="10"/>
      <x:c r="T542" s="9"/>
      <x:c r="U542" s="9"/>
      <x:c r="V542" s="9"/>
      <x:c r="W542" s="9"/>
      <x:c r="X542" s="10"/>
      <x:c r="Y542" s="10"/>
      <x:c r="Z542" s="9"/>
      <x:c r="AA542" s="9"/>
      <x:c r="AB542" s="9"/>
      <x:c r="AC542" s="9" t="str">
        <x:v>behind</x:v>
      </x:c>
      <x:c r="AD542" s="9" t="str">
        <x:v>red block</x:v>
      </x:c>
      <x:c r="AE542" s="9" t="str">
        <x:v>green pen</x:v>
      </x:c>
      <x:c r="AF542" s="9" t="str">
        <x:v>None</x:v>
      </x:c>
      <x:c r="AG542" s="9"/>
      <x:c r="AH542" s="9"/>
      <x:c r="AI542" s="11"/>
      <x:c r="AJ542" s="9"/>
      <x:c r="AK542" s="9" t="str">
        <x:v>Eval_Relational_Placement (1).xlsm</x:v>
      </x:c>
      <x:c r="AL542" s="9" t="str">
        <x:v>MolmoAct2 Results</x:v>
      </x:c>
      <x:c r="AM542" s="9" t="n">
        <x:v>92</x:v>
      </x:c>
      <x:c r="AN542" s="9" t="n">
        <x:v>92</x:v>
      </x:c>
    </x:row>
    <x:row r="543">
      <x:c r="A543" s="9" t="str">
        <x:v>Success</x:v>
      </x:c>
      <x:c r="B543" s="9" t="str">
        <x:v>Relational Placement</x:v>
      </x:c>
      <x:c r="C543" s="10" t="n">
        <x:v>91</x:v>
      </x:c>
      <x:c r="D543" s="9" t="str">
        <x:v>Place the red block next to the green pen.</x:v>
      </x:c>
      <x:c r="E543" s="9" t="str">
        <x:v>red block, green pen, blue block, pink marker</x:v>
      </x:c>
      <x:c r="F543" s="9" t="str">
        <x:v>red block → 2–8 cm edge gap near green pen; no directional sector required.</x:v>
      </x:c>
      <x:c r="G543" s="9" t="str">
        <x:v>super long pause before movement</x:v>
      </x:c>
      <x:c r="H543" s="9" t="str">
        <x:v>Matched manipulation control</x:v>
      </x:c>
      <x:c r="I543" s="9" t="str">
        <x:v>RP-CT-N14</x:v>
      </x:c>
      <x:c r="J543" s="9" t="str">
        <x:v>Exact-scene masked manipulation control</x:v>
      </x:c>
      <x:c r="K543" s="9" t="n">
        <x:v>90</x:v>
      </x:c>
      <x:c r="L543" s="9" t="str">
        <x:v>273</x:v>
      </x:c>
      <x:c r="M543" s="9"/>
      <x:c r="N543" s="9"/>
      <x:c r="O543" s="9" t="str">
        <x:v>Reset P1 to its marked pose; preserve the exact scene and use the trained control instruction.</x:v>
      </x:c>
      <x:c r="P543" s="9" t="str">
        <x:v>Exact-scene control using the final training prompt from episode 273. The target, reference, distractors, camera, and robot start match the paired transfer row.</x:v>
      </x:c>
      <x:c r="Q543" s="9"/>
      <x:c r="R543" s="10" t="n">
        <x:v>4</x:v>
      </x:c>
      <x:c r="S543" s="10"/>
      <x:c r="T543" s="9"/>
      <x:c r="U543" s="9"/>
      <x:c r="V543" s="9"/>
      <x:c r="W543" s="9"/>
      <x:c r="X543" s="10"/>
      <x:c r="Y543" s="10"/>
      <x:c r="Z543" s="9"/>
      <x:c r="AA543" s="9"/>
      <x:c r="AB543" s="9"/>
      <x:c r="AC543" s="9" t="str">
        <x:v>behind</x:v>
      </x:c>
      <x:c r="AD543" s="9" t="str">
        <x:v>red block</x:v>
      </x:c>
      <x:c r="AE543" s="9" t="str">
        <x:v>green pen</x:v>
      </x:c>
      <x:c r="AF543" s="9" t="str">
        <x:v>None</x:v>
      </x:c>
      <x:c r="AG543" s="9"/>
      <x:c r="AH543" s="9"/>
      <x:c r="AI543" s="11"/>
      <x:c r="AJ543" s="9"/>
      <x:c r="AK543" s="9" t="str">
        <x:v>Eval_Relational_Placement (1).xlsm</x:v>
      </x:c>
      <x:c r="AL543" s="9" t="str">
        <x:v>MolmoAct2 Results</x:v>
      </x:c>
      <x:c r="AM543" s="9" t="n">
        <x:v>93</x:v>
      </x:c>
      <x:c r="AN543" s="9" t="n">
        <x:v>93</x:v>
      </x:c>
    </x:row>
    <x:row r="544">
      <x:c r="A544" s="9" t="str">
        <x:v>Failure</x:v>
      </x:c>
      <x:c r="B544" s="9" t="str">
        <x:v>Relational Placement</x:v>
      </x:c>
      <x:c r="C544" s="10" t="n">
        <x:v>92</x:v>
      </x:c>
      <x:c r="D544" s="9" t="str">
        <x:v>Place the green pen to the left of the red block.</x:v>
      </x:c>
      <x:c r="E544" s="9" t="str">
        <x:v>green pen, red block, pink marker, blue block</x:v>
      </x:c>
      <x:c r="F544" s="9" t="str">
        <x:v>green pen → 2–8 cm edge gap to the left of red block; centroid direction within ±45°.</x:v>
      </x:c>
      <x:c r="G544" s="9" t="str">
        <x:v>tried to put it on the left, knocked block, and wouldn't let got of pen</x:v>
      </x:c>
      <x:c r="H544" s="9" t="str">
        <x:v>Concept/compositional transfer</x:v>
      </x:c>
      <x:c r="I544" s="9" t="str">
        <x:v>RP-CT-N15</x:v>
      </x:c>
      <x:c r="J544" s="9" t="str">
        <x:v>Neutral-axis independent compositional-transfer scene</x:v>
      </x:c>
      <x:c r="K544" s="9"/>
      <x:c r="L544" s="9" t="str">
        <x:v>227</x:v>
      </x:c>
      <x:c r="M544" s="9"/>
      <x:c r="N544" s="9"/>
      <x:c r="O544" s="9" t="str">
        <x:v>Build the listed neutral-axis scene and save the first frame.</x:v>
      </x:c>
      <x:c r="P544" s="9" t="str">
        <x:v>Independent held-out-composition scene. Source episode 227 supplies target recognition/manipulation under the trained prompt “Move the green pen near the red block.”. The orthogonal start removes the opposite-side shortcut.</x:v>
      </x:c>
      <x:c r="Q544" s="9"/>
      <x:c r="R544" s="10" t="n">
        <x:v>4</x:v>
      </x:c>
      <x:c r="S544" s="10"/>
      <x:c r="T544" s="9"/>
      <x:c r="U544" s="9"/>
      <x:c r="V544" s="9"/>
      <x:c r="W544" s="9"/>
      <x:c r="X544" s="10"/>
      <x:c r="Y544" s="10"/>
      <x:c r="Z544" s="9"/>
      <x:c r="AA544" s="9"/>
      <x:c r="AB544" s="9"/>
      <x:c r="AC544" s="9" t="str">
        <x:v>left</x:v>
      </x:c>
      <x:c r="AD544" s="9" t="str">
        <x:v>green pen</x:v>
      </x:c>
      <x:c r="AE544" s="9" t="str">
        <x:v>red block</x:v>
      </x:c>
      <x:c r="AF544" s="9" t="str">
        <x:v>None</x:v>
      </x:c>
      <x:c r="AG544" s="9"/>
      <x:c r="AH544" s="9"/>
      <x:c r="AI544" s="11"/>
      <x:c r="AJ544" s="9"/>
      <x:c r="AK544" s="9" t="str">
        <x:v>Eval_Relational_Placement (1).xlsm</x:v>
      </x:c>
      <x:c r="AL544" s="9" t="str">
        <x:v>MolmoAct2 Results</x:v>
      </x:c>
      <x:c r="AM544" s="9" t="n">
        <x:v>94</x:v>
      </x:c>
      <x:c r="AN544" s="9" t="n">
        <x:v>94</x:v>
      </x:c>
    </x:row>
    <x:row r="545">
      <x:c r="A545" s="9" t="str">
        <x:v>Success</x:v>
      </x:c>
      <x:c r="B545" s="9" t="str">
        <x:v>Relational Placement</x:v>
      </x:c>
      <x:c r="C545" s="10" t="n">
        <x:v>93</x:v>
      </x:c>
      <x:c r="D545" s="9" t="str">
        <x:v>Move the green pen near the red block.</x:v>
      </x:c>
      <x:c r="E545" s="9" t="str">
        <x:v>green pen, red block, pink marker, blue block</x:v>
      </x:c>
      <x:c r="F545" s="9" t="str">
        <x:v>green pen → 2–8 cm edge gap near red block; no directional sector required.</x:v>
      </x:c>
      <x:c r="G545" s="9"/>
      <x:c r="H545" s="9" t="str">
        <x:v>Matched manipulation control</x:v>
      </x:c>
      <x:c r="I545" s="9" t="str">
        <x:v>RP-CT-N15</x:v>
      </x:c>
      <x:c r="J545" s="9" t="str">
        <x:v>Exact-scene masked manipulation control</x:v>
      </x:c>
      <x:c r="K545" s="9" t="n">
        <x:v>92</x:v>
      </x:c>
      <x:c r="L545" s="9" t="str">
        <x:v>227</x:v>
      </x:c>
      <x:c r="M545" s="9"/>
      <x:c r="N545" s="9"/>
      <x:c r="O545" s="9" t="str">
        <x:v>Reset P1 to its marked pose; preserve the exact scene and use the trained control instruction.</x:v>
      </x:c>
      <x:c r="P545" s="9" t="str">
        <x:v>Exact-scene control using the final training prompt from episode 227. The target, reference, distractors, camera, and robot start match the paired transfer row.</x:v>
      </x:c>
      <x:c r="Q545" s="9"/>
      <x:c r="R545" s="10" t="n">
        <x:v>4</x:v>
      </x:c>
      <x:c r="S545" s="10"/>
      <x:c r="T545" s="9"/>
      <x:c r="U545" s="9"/>
      <x:c r="V545" s="9"/>
      <x:c r="W545" s="9"/>
      <x:c r="X545" s="10"/>
      <x:c r="Y545" s="10"/>
      <x:c r="Z545" s="9"/>
      <x:c r="AA545" s="9"/>
      <x:c r="AB545" s="9"/>
      <x:c r="AC545" s="9" t="str">
        <x:v>left</x:v>
      </x:c>
      <x:c r="AD545" s="9" t="str">
        <x:v>green pen</x:v>
      </x:c>
      <x:c r="AE545" s="9" t="str">
        <x:v>red block</x:v>
      </x:c>
      <x:c r="AF545" s="9" t="str">
        <x:v>None</x:v>
      </x:c>
      <x:c r="AG545" s="9"/>
      <x:c r="AH545" s="9"/>
      <x:c r="AI545" s="11"/>
      <x:c r="AJ545" s="9"/>
      <x:c r="AK545" s="9" t="str">
        <x:v>Eval_Relational_Placement (1).xlsm</x:v>
      </x:c>
      <x:c r="AL545" s="9" t="str">
        <x:v>MolmoAct2 Results</x:v>
      </x:c>
      <x:c r="AM545" s="9" t="n">
        <x:v>95</x:v>
      </x:c>
      <x:c r="AN545" s="9" t="n">
        <x:v>95</x:v>
      </x:c>
    </x:row>
    <x:row r="546">
      <x:c r="A546" s="9" t="str">
        <x:v>Success</x:v>
      </x:c>
      <x:c r="B546" s="9" t="str">
        <x:v>Relational Placement</x:v>
      </x:c>
      <x:c r="C546" s="10" t="n">
        <x:v>94</x:v>
      </x:c>
      <x:c r="D546" s="9" t="str">
        <x:v>Place the red block to the left of the green pen.</x:v>
      </x:c>
      <x:c r="E546" s="9" t="str">
        <x:v>red block, green pen, blue block</x:v>
      </x:c>
      <x:c r="F546" s="9" t="str">
        <x:v>red block → 2–8 cm edge gap to the left of green pen; centroid direction within ±45°.</x:v>
      </x:c>
      <x:c r="G546" s="9"/>
      <x:c r="H546" s="9" t="str">
        <x:v>Concept/compositional transfer</x:v>
      </x:c>
      <x:c r="I546" s="9" t="str">
        <x:v>RP-CT-N16</x:v>
      </x:c>
      <x:c r="J546" s="9" t="str">
        <x:v>Neutral-axis independent compositional-transfer scene</x:v>
      </x:c>
      <x:c r="K546" s="9"/>
      <x:c r="L546" s="9" t="str">
        <x:v>286</x:v>
      </x:c>
      <x:c r="M546" s="9"/>
      <x:c r="N546" s="9"/>
      <x:c r="O546" s="9" t="str">
        <x:v>Build the listed neutral-axis scene and save the first frame.</x:v>
      </x:c>
      <x:c r="P546" s="9" t="str">
        <x:v>Independent held-out-composition scene. Source episode 286 supplies target recognition/manipulation under the trained prompt “Put the red block beside the green pen.”. The orthogonal start removes the opposite-side shortcut.</x:v>
      </x:c>
      <x:c r="Q546" s="9"/>
      <x:c r="R546" s="10" t="n">
        <x:v>3</x:v>
      </x:c>
      <x:c r="S546" s="10"/>
      <x:c r="T546" s="9"/>
      <x:c r="U546" s="9"/>
      <x:c r="V546" s="9"/>
      <x:c r="W546" s="9"/>
      <x:c r="X546" s="10"/>
      <x:c r="Y546" s="10"/>
      <x:c r="Z546" s="9"/>
      <x:c r="AA546" s="9"/>
      <x:c r="AB546" s="9"/>
      <x:c r="AC546" s="9" t="str">
        <x:v>left</x:v>
      </x:c>
      <x:c r="AD546" s="9" t="str">
        <x:v>red block</x:v>
      </x:c>
      <x:c r="AE546" s="9" t="str">
        <x:v>green pen</x:v>
      </x:c>
      <x:c r="AF546" s="9" t="str">
        <x:v>None</x:v>
      </x:c>
      <x:c r="AG546" s="9"/>
      <x:c r="AH546" s="9"/>
      <x:c r="AI546" s="11"/>
      <x:c r="AJ546" s="9"/>
      <x:c r="AK546" s="9" t="str">
        <x:v>Eval_Relational_Placement (1).xlsm</x:v>
      </x:c>
      <x:c r="AL546" s="9" t="str">
        <x:v>MolmoAct2 Results</x:v>
      </x:c>
      <x:c r="AM546" s="9" t="n">
        <x:v>96</x:v>
      </x:c>
      <x:c r="AN546" s="9" t="n">
        <x:v>96</x:v>
      </x:c>
    </x:row>
    <x:row r="547">
      <x:c r="A547" s="9" t="str">
        <x:v>Failure</x:v>
      </x:c>
      <x:c r="B547" s="9" t="str">
        <x:v>Relational Placement</x:v>
      </x:c>
      <x:c r="C547" s="10" t="n">
        <x:v>95</x:v>
      </x:c>
      <x:c r="D547" s="9" t="str">
        <x:v>Put the red block beside the green pen.</x:v>
      </x:c>
      <x:c r="E547" s="9" t="str">
        <x:v>red block, green pen, blue block</x:v>
      </x:c>
      <x:c r="F547" s="9" t="str">
        <x:v>red block → 2–8 cm edge gap near green pen; no directional sector required.</x:v>
      </x:c>
      <x:c r="G547" s="9" t="str">
        <x:v>grasping failure. knocked block out and couldn't recover</x:v>
      </x:c>
      <x:c r="H547" s="9" t="str">
        <x:v>Matched manipulation control</x:v>
      </x:c>
      <x:c r="I547" s="9" t="str">
        <x:v>RP-CT-N16</x:v>
      </x:c>
      <x:c r="J547" s="9" t="str">
        <x:v>Exact-scene masked manipulation control</x:v>
      </x:c>
      <x:c r="K547" s="9" t="n">
        <x:v>94</x:v>
      </x:c>
      <x:c r="L547" s="9" t="str">
        <x:v>286</x:v>
      </x:c>
      <x:c r="M547" s="9"/>
      <x:c r="N547" s="9"/>
      <x:c r="O547" s="9" t="str">
        <x:v>Reset P1 to its marked pose; preserve the exact scene and use the trained control instruction.</x:v>
      </x:c>
      <x:c r="P547" s="9" t="str">
        <x:v>Exact-scene control using the final training prompt from episode 286. The target, reference, distractors, camera, and robot start match the paired transfer row.</x:v>
      </x:c>
      <x:c r="Q547" s="9"/>
      <x:c r="R547" s="10" t="n">
        <x:v>3</x:v>
      </x:c>
      <x:c r="S547" s="10"/>
      <x:c r="T547" s="9"/>
      <x:c r="U547" s="9"/>
      <x:c r="V547" s="9"/>
      <x:c r="W547" s="9"/>
      <x:c r="X547" s="10"/>
      <x:c r="Y547" s="10"/>
      <x:c r="Z547" s="9"/>
      <x:c r="AA547" s="9"/>
      <x:c r="AB547" s="9"/>
      <x:c r="AC547" s="9" t="str">
        <x:v>left</x:v>
      </x:c>
      <x:c r="AD547" s="9" t="str">
        <x:v>red block</x:v>
      </x:c>
      <x:c r="AE547" s="9" t="str">
        <x:v>green pen</x:v>
      </x:c>
      <x:c r="AF547" s="9" t="str">
        <x:v>None</x:v>
      </x:c>
      <x:c r="AG547" s="9"/>
      <x:c r="AH547" s="9"/>
      <x:c r="AI547" s="11"/>
      <x:c r="AJ547" s="9"/>
      <x:c r="AK547" s="9" t="str">
        <x:v>Eval_Relational_Placement (1).xlsm</x:v>
      </x:c>
      <x:c r="AL547" s="9" t="str">
        <x:v>MolmoAct2 Results</x:v>
      </x:c>
      <x:c r="AM547" s="9" t="n">
        <x:v>97</x:v>
      </x:c>
      <x:c r="AN547" s="9" t="n">
        <x:v>97</x:v>
      </x:c>
    </x:row>
    <x:row r="548">
      <x:c r="A548" s="9" t="str">
        <x:v>Failure</x:v>
      </x:c>
      <x:c r="B548" s="9" t="str">
        <x:v>Relational Placement</x:v>
      </x:c>
      <x:c r="C548" s="10" t="n">
        <x:v>96</x:v>
      </x:c>
      <x:c r="D548" s="9" t="str">
        <x:v>Place the red block to the left of the green pen.</x:v>
      </x:c>
      <x:c r="E548" s="9" t="str">
        <x:v>red block, green pen, pink marker, blue block</x:v>
      </x:c>
      <x:c r="F548" s="9" t="str">
        <x:v>red block → 2–8 cm edge gap to the left of green pen; centroid direction within ±45°.</x:v>
      </x:c>
      <x:c r="G548" s="9" t="str">
        <x:v>placed on top and slid to the right</x:v>
      </x:c>
      <x:c r="H548" s="9" t="str">
        <x:v>Concept/compositional transfer</x:v>
      </x:c>
      <x:c r="I548" s="9" t="str">
        <x:v>RP-CT-N17</x:v>
      </x:c>
      <x:c r="J548" s="9" t="str">
        <x:v>Neutral-axis independent compositional-transfer scene</x:v>
      </x:c>
      <x:c r="K548" s="9"/>
      <x:c r="L548" s="9" t="str">
        <x:v>285</x:v>
      </x:c>
      <x:c r="M548" s="9"/>
      <x:c r="N548" s="9"/>
      <x:c r="O548" s="9" t="str">
        <x:v>Build the listed neutral-axis scene and save the first frame.</x:v>
      </x:c>
      <x:c r="P548" s="9" t="str">
        <x:v>Independent held-out-composition scene. Source episode 285 supplies target recognition/manipulation under the trained prompt “Place the red block next to the green pen.”. The orthogonal start removes the opposite-side shortcut.</x:v>
      </x:c>
      <x:c r="Q548" s="9"/>
      <x:c r="R548" s="10" t="n">
        <x:v>4</x:v>
      </x:c>
      <x:c r="S548" s="10"/>
      <x:c r="T548" s="9"/>
      <x:c r="U548" s="9"/>
      <x:c r="V548" s="9"/>
      <x:c r="W548" s="9"/>
      <x:c r="X548" s="10"/>
      <x:c r="Y548" s="10"/>
      <x:c r="Z548" s="9"/>
      <x:c r="AA548" s="9"/>
      <x:c r="AB548" s="9"/>
      <x:c r="AC548" s="9" t="str">
        <x:v>left</x:v>
      </x:c>
      <x:c r="AD548" s="9" t="str">
        <x:v>red block</x:v>
      </x:c>
      <x:c r="AE548" s="9" t="str">
        <x:v>green pen</x:v>
      </x:c>
      <x:c r="AF548" s="9" t="str">
        <x:v>None</x:v>
      </x:c>
      <x:c r="AG548" s="9"/>
      <x:c r="AH548" s="9"/>
      <x:c r="AI548" s="11"/>
      <x:c r="AJ548" s="9"/>
      <x:c r="AK548" s="9" t="str">
        <x:v>Eval_Relational_Placement (1).xlsm</x:v>
      </x:c>
      <x:c r="AL548" s="9" t="str">
        <x:v>MolmoAct2 Results</x:v>
      </x:c>
      <x:c r="AM548" s="9" t="n">
        <x:v>98</x:v>
      </x:c>
      <x:c r="AN548" s="9" t="n">
        <x:v>98</x:v>
      </x:c>
    </x:row>
    <x:row r="549">
      <x:c r="A549" s="9" t="str">
        <x:v>Success</x:v>
      </x:c>
      <x:c r="B549" s="9" t="str">
        <x:v>Relational Placement</x:v>
      </x:c>
      <x:c r="C549" s="10" t="n">
        <x:v>97</x:v>
      </x:c>
      <x:c r="D549" s="9" t="str">
        <x:v>Place the red block next to the green pen.</x:v>
      </x:c>
      <x:c r="E549" s="9" t="str">
        <x:v>red block, green pen, pink marker, blue block</x:v>
      </x:c>
      <x:c r="F549" s="9" t="str">
        <x:v>red block → 2–8 cm edge gap near green pen; no directional sector required.</x:v>
      </x:c>
      <x:c r="G549" s="9" t="str">
        <x:v>placed on top and slid to the left</x:v>
      </x:c>
      <x:c r="H549" s="9" t="str">
        <x:v>Matched manipulation control</x:v>
      </x:c>
      <x:c r="I549" s="9" t="str">
        <x:v>RP-CT-N17</x:v>
      </x:c>
      <x:c r="J549" s="9" t="str">
        <x:v>Exact-scene masked manipulation control</x:v>
      </x:c>
      <x:c r="K549" s="9" t="n">
        <x:v>96</x:v>
      </x:c>
      <x:c r="L549" s="9" t="str">
        <x:v>285</x:v>
      </x:c>
      <x:c r="M549" s="9"/>
      <x:c r="N549" s="9"/>
      <x:c r="O549" s="9" t="str">
        <x:v>Reset P1 to its marked pose; preserve the exact scene and use the trained control instruction.</x:v>
      </x:c>
      <x:c r="P549" s="9" t="str">
        <x:v>Exact-scene control using the final training prompt from episode 285. The target, reference, distractors, camera, and robot start match the paired transfer row.</x:v>
      </x:c>
      <x:c r="Q549" s="9"/>
      <x:c r="R549" s="10" t="n">
        <x:v>4</x:v>
      </x:c>
      <x:c r="S549" s="10"/>
      <x:c r="T549" s="9"/>
      <x:c r="U549" s="9"/>
      <x:c r="V549" s="9"/>
      <x:c r="W549" s="9"/>
      <x:c r="X549" s="10"/>
      <x:c r="Y549" s="10"/>
      <x:c r="Z549" s="9"/>
      <x:c r="AA549" s="9"/>
      <x:c r="AB549" s="9"/>
      <x:c r="AC549" s="9" t="str">
        <x:v>left</x:v>
      </x:c>
      <x:c r="AD549" s="9" t="str">
        <x:v>red block</x:v>
      </x:c>
      <x:c r="AE549" s="9" t="str">
        <x:v>green pen</x:v>
      </x:c>
      <x:c r="AF549" s="9" t="str">
        <x:v>None</x:v>
      </x:c>
      <x:c r="AG549" s="9"/>
      <x:c r="AH549" s="9"/>
      <x:c r="AI549" s="11"/>
      <x:c r="AJ549" s="9"/>
      <x:c r="AK549" s="9" t="str">
        <x:v>Eval_Relational_Placement (1).xlsm</x:v>
      </x:c>
      <x:c r="AL549" s="9" t="str">
        <x:v>MolmoAct2 Results</x:v>
      </x:c>
      <x:c r="AM549" s="9" t="n">
        <x:v>99</x:v>
      </x:c>
      <x:c r="AN549" s="9" t="n">
        <x:v>99</x:v>
      </x:c>
    </x:row>
    <x:row r="550">
      <x:c r="A550" s="9" t="str">
        <x:v>Failure</x:v>
      </x:c>
      <x:c r="B550" s="9" t="str">
        <x:v>Relational Placement</x:v>
      </x:c>
      <x:c r="C550" s="10" t="n">
        <x:v>98</x:v>
      </x:c>
      <x:c r="D550" s="9" t="str">
        <x:v>Place the green pen to the right of the red block.</x:v>
      </x:c>
      <x:c r="E550" s="9" t="str">
        <x:v>green pen, red block, blue block</x:v>
      </x:c>
      <x:c r="F550" s="9" t="str">
        <x:v>green pen → 2–8 cm edge gap to the right of red block; centroid direction within ±45°.</x:v>
      </x:c>
      <x:c r="G550" s="9" t="str">
        <x:v>placed on the top</x:v>
      </x:c>
      <x:c r="H550" s="9" t="str">
        <x:v>Concept/compositional transfer</x:v>
      </x:c>
      <x:c r="I550" s="9" t="str">
        <x:v>RP-CT-N18</x:v>
      </x:c>
      <x:c r="J550" s="9" t="str">
        <x:v>Neutral-axis independent compositional-transfer scene</x:v>
      </x:c>
      <x:c r="K550" s="9"/>
      <x:c r="L550" s="9" t="str">
        <x:v>238</x:v>
      </x:c>
      <x:c r="M550" s="9"/>
      <x:c r="N550" s="9"/>
      <x:c r="O550" s="9" t="str">
        <x:v>Build the listed neutral-axis scene and save the first frame.</x:v>
      </x:c>
      <x:c r="P550" s="9" t="str">
        <x:v>Independent held-out-composition scene. Source episode 238 supplies target recognition/manipulation under the trained prompt “Put the green pen beside the red block.”. The orthogonal start removes the opposite-side shortcut.</x:v>
      </x:c>
      <x:c r="Q550" s="9"/>
      <x:c r="R550" s="10" t="n">
        <x:v>3</x:v>
      </x:c>
      <x:c r="S550" s="10"/>
      <x:c r="T550" s="9"/>
      <x:c r="U550" s="9"/>
      <x:c r="V550" s="9"/>
      <x:c r="W550" s="9"/>
      <x:c r="X550" s="10"/>
      <x:c r="Y550" s="10"/>
      <x:c r="Z550" s="9"/>
      <x:c r="AA550" s="9"/>
      <x:c r="AB550" s="9"/>
      <x:c r="AC550" s="9" t="str">
        <x:v>right</x:v>
      </x:c>
      <x:c r="AD550" s="9" t="str">
        <x:v>green pen</x:v>
      </x:c>
      <x:c r="AE550" s="9" t="str">
        <x:v>red block</x:v>
      </x:c>
      <x:c r="AF550" s="9" t="str">
        <x:v>None</x:v>
      </x:c>
      <x:c r="AG550" s="9"/>
      <x:c r="AH550" s="9"/>
      <x:c r="AI550" s="11"/>
      <x:c r="AJ550" s="9"/>
      <x:c r="AK550" s="9" t="str">
        <x:v>Eval_Relational_Placement (1).xlsm</x:v>
      </x:c>
      <x:c r="AL550" s="9" t="str">
        <x:v>MolmoAct2 Results</x:v>
      </x:c>
      <x:c r="AM550" s="9" t="n">
        <x:v>100</x:v>
      </x:c>
      <x:c r="AN550" s="9" t="n">
        <x:v>100</x:v>
      </x:c>
    </x:row>
    <x:row r="551">
      <x:c r="A551" s="9" t="str">
        <x:v>Success</x:v>
      </x:c>
      <x:c r="B551" s="9" t="str">
        <x:v>Relational Placement</x:v>
      </x:c>
      <x:c r="C551" s="10" t="n">
        <x:v>99</x:v>
      </x:c>
      <x:c r="D551" s="9" t="str">
        <x:v>Put the green pen beside the red block.</x:v>
      </x:c>
      <x:c r="E551" s="9" t="str">
        <x:v>green pen, red block, blue block</x:v>
      </x:c>
      <x:c r="F551" s="9" t="str">
        <x:v>green pen → 2–8 cm edge gap near red block; no directional sector required.</x:v>
      </x:c>
      <x:c r="G551" s="9" t="str">
        <x:v>placed in front</x:v>
      </x:c>
      <x:c r="H551" s="9" t="str">
        <x:v>Matched manipulation control</x:v>
      </x:c>
      <x:c r="I551" s="9" t="str">
        <x:v>RP-CT-N18</x:v>
      </x:c>
      <x:c r="J551" s="9" t="str">
        <x:v>Exact-scene masked manipulation control</x:v>
      </x:c>
      <x:c r="K551" s="9" t="n">
        <x:v>98</x:v>
      </x:c>
      <x:c r="L551" s="9" t="str">
        <x:v>238</x:v>
      </x:c>
      <x:c r="M551" s="9"/>
      <x:c r="N551" s="9"/>
      <x:c r="O551" s="9" t="str">
        <x:v>Reset P1 to its marked pose; preserve the exact scene and use the trained control instruction.</x:v>
      </x:c>
      <x:c r="P551" s="9" t="str">
        <x:v>Exact-scene control using the final training prompt from episode 238. The target, reference, distractors, camera, and robot start match the paired transfer row.</x:v>
      </x:c>
      <x:c r="Q551" s="9"/>
      <x:c r="R551" s="10" t="n">
        <x:v>3</x:v>
      </x:c>
      <x:c r="S551" s="10"/>
      <x:c r="T551" s="9"/>
      <x:c r="U551" s="9"/>
      <x:c r="V551" s="9"/>
      <x:c r="W551" s="9"/>
      <x:c r="X551" s="10"/>
      <x:c r="Y551" s="10"/>
      <x:c r="Z551" s="9"/>
      <x:c r="AA551" s="9"/>
      <x:c r="AB551" s="9"/>
      <x:c r="AC551" s="9" t="str">
        <x:v>right</x:v>
      </x:c>
      <x:c r="AD551" s="9" t="str">
        <x:v>green pen</x:v>
      </x:c>
      <x:c r="AE551" s="9" t="str">
        <x:v>red block</x:v>
      </x:c>
      <x:c r="AF551" s="9" t="str">
        <x:v>None</x:v>
      </x:c>
      <x:c r="AG551" s="9"/>
      <x:c r="AH551" s="9"/>
      <x:c r="AI551" s="11"/>
      <x:c r="AJ551" s="9"/>
      <x:c r="AK551" s="9" t="str">
        <x:v>Eval_Relational_Placement (1).xlsm</x:v>
      </x:c>
      <x:c r="AL551" s="9" t="str">
        <x:v>MolmoAct2 Results</x:v>
      </x:c>
      <x:c r="AM551" s="9" t="n">
        <x:v>101</x:v>
      </x:c>
      <x:c r="AN551" s="9" t="n">
        <x:v>101</x:v>
      </x:c>
    </x:row>
    <x:row r="552">
      <x:c r="A552" s="9" t="str">
        <x:v>Failure</x:v>
      </x:c>
      <x:c r="B552" s="9" t="str">
        <x:v>Relational Placement</x:v>
      </x:c>
      <x:c r="C552" s="10" t="n">
        <x:v>100</x:v>
      </x:c>
      <x:c r="D552" s="9" t="str">
        <x:v>Place the green pen to the right of the red block.</x:v>
      </x:c>
      <x:c r="E552" s="9" t="str">
        <x:v>green pen, red block, pink marker, blue block</x:v>
      </x:c>
      <x:c r="F552" s="9" t="str">
        <x:v>green pen → 2–8 cm edge gap to the right of red block; centroid direction within ±45°.</x:v>
      </x:c>
      <x:c r="G552" s="9" t="str">
        <x:v>placed in front</x:v>
      </x:c>
      <x:c r="H552" s="9" t="str">
        <x:v>Concept/compositional transfer</x:v>
      </x:c>
      <x:c r="I552" s="9" t="str">
        <x:v>RP-CT-N19</x:v>
      </x:c>
      <x:c r="J552" s="9" t="str">
        <x:v>Neutral-axis independent compositional-transfer scene</x:v>
      </x:c>
      <x:c r="K552" s="9"/>
      <x:c r="L552" s="9" t="str">
        <x:v>239</x:v>
      </x:c>
      <x:c r="M552" s="9"/>
      <x:c r="N552" s="9"/>
      <x:c r="O552" s="9" t="str">
        <x:v>Build the listed neutral-axis scene and save the first frame.</x:v>
      </x:c>
      <x:c r="P552" s="9" t="str">
        <x:v>Independent held-out-composition scene. Source episode 239 supplies target recognition/manipulation under the trained prompt “Move the green pen near the red block.”. The orthogonal start removes the opposite-side shortcut.</x:v>
      </x:c>
      <x:c r="Q552" s="9"/>
      <x:c r="R552" s="10" t="n">
        <x:v>4</x:v>
      </x:c>
      <x:c r="S552" s="10"/>
      <x:c r="T552" s="9"/>
      <x:c r="U552" s="9"/>
      <x:c r="V552" s="9"/>
      <x:c r="W552" s="9"/>
      <x:c r="X552" s="10"/>
      <x:c r="Y552" s="10"/>
      <x:c r="Z552" s="9"/>
      <x:c r="AA552" s="9"/>
      <x:c r="AB552" s="9"/>
      <x:c r="AC552" s="9" t="str">
        <x:v>right</x:v>
      </x:c>
      <x:c r="AD552" s="9" t="str">
        <x:v>green pen</x:v>
      </x:c>
      <x:c r="AE552" s="9" t="str">
        <x:v>red block</x:v>
      </x:c>
      <x:c r="AF552" s="9" t="str">
        <x:v>None</x:v>
      </x:c>
      <x:c r="AG552" s="9"/>
      <x:c r="AH552" s="9"/>
      <x:c r="AI552" s="11"/>
      <x:c r="AJ552" s="9"/>
      <x:c r="AK552" s="9" t="str">
        <x:v>Eval_Relational_Placement (1).xlsm</x:v>
      </x:c>
      <x:c r="AL552" s="9" t="str">
        <x:v>MolmoAct2 Results</x:v>
      </x:c>
      <x:c r="AM552" s="9" t="n">
        <x:v>102</x:v>
      </x:c>
      <x:c r="AN552" s="9" t="n">
        <x:v>102</x:v>
      </x:c>
    </x:row>
    <x:row r="553">
      <x:c r="A553" s="9" t="str">
        <x:v>Success</x:v>
      </x:c>
      <x:c r="B553" s="9" t="str">
        <x:v>Relational Placement</x:v>
      </x:c>
      <x:c r="C553" s="10" t="n">
        <x:v>101</x:v>
      </x:c>
      <x:c r="D553" s="9" t="str">
        <x:v>Move the green pen near the red block.</x:v>
      </x:c>
      <x:c r="E553" s="9" t="str">
        <x:v>green pen, red block, pink marker, blue block</x:v>
      </x:c>
      <x:c r="F553" s="9" t="str">
        <x:v>green pen → 2–8 cm edge gap near red block; no directional sector required.</x:v>
      </x:c>
      <x:c r="G553" s="9" t="str">
        <x:v>gripper was 90 degrees off until knocked pen correctly. kind of dropped pen but landed to the right of the red block.</x:v>
      </x:c>
      <x:c r="H553" s="9" t="str">
        <x:v>Matched manipulation control</x:v>
      </x:c>
      <x:c r="I553" s="9" t="str">
        <x:v>RP-CT-N19</x:v>
      </x:c>
      <x:c r="J553" s="9" t="str">
        <x:v>Exact-scene masked manipulation control</x:v>
      </x:c>
      <x:c r="K553" s="9" t="n">
        <x:v>100</x:v>
      </x:c>
      <x:c r="L553" s="9" t="str">
        <x:v>239</x:v>
      </x:c>
      <x:c r="M553" s="9"/>
      <x:c r="N553" s="9"/>
      <x:c r="O553" s="9" t="str">
        <x:v>Reset P1 to its marked pose; preserve the exact scene and use the trained control instruction.</x:v>
      </x:c>
      <x:c r="P553" s="9" t="str">
        <x:v>Exact-scene control using the final training prompt from episode 239. The target, reference, distractors, camera, and robot start match the paired transfer row.</x:v>
      </x:c>
      <x:c r="Q553" s="9"/>
      <x:c r="R553" s="10" t="n">
        <x:v>4</x:v>
      </x:c>
      <x:c r="S553" s="10"/>
      <x:c r="T553" s="9"/>
      <x:c r="U553" s="9"/>
      <x:c r="V553" s="9"/>
      <x:c r="W553" s="9"/>
      <x:c r="X553" s="10"/>
      <x:c r="Y553" s="10"/>
      <x:c r="Z553" s="9"/>
      <x:c r="AA553" s="9"/>
      <x:c r="AB553" s="9"/>
      <x:c r="AC553" s="9" t="str">
        <x:v>right</x:v>
      </x:c>
      <x:c r="AD553" s="9" t="str">
        <x:v>green pen</x:v>
      </x:c>
      <x:c r="AE553" s="9" t="str">
        <x:v>red block</x:v>
      </x:c>
      <x:c r="AF553" s="9" t="str">
        <x:v>None</x:v>
      </x:c>
      <x:c r="AG553" s="9"/>
      <x:c r="AH553" s="9"/>
      <x:c r="AI553" s="11"/>
      <x:c r="AJ553" s="9"/>
      <x:c r="AK553" s="9" t="str">
        <x:v>Eval_Relational_Placement (1).xlsm</x:v>
      </x:c>
      <x:c r="AL553" s="9" t="str">
        <x:v>MolmoAct2 Results</x:v>
      </x:c>
      <x:c r="AM553" s="9" t="n">
        <x:v>103</x:v>
      </x:c>
      <x:c r="AN553" s="9" t="n">
        <x:v>103</x:v>
      </x:c>
    </x:row>
    <x:row r="554">
      <x:c r="A554" s="9" t="str">
        <x:v>Success</x:v>
      </x:c>
      <x:c r="B554" s="9" t="str">
        <x:v>Relational Placement</x:v>
      </x:c>
      <x:c r="C554" s="10" t="n">
        <x:v>102</x:v>
      </x:c>
      <x:c r="D554" s="9" t="str">
        <x:v>Place the red block to the right of the green pen.</x:v>
      </x:c>
      <x:c r="E554" s="9" t="str">
        <x:v>red block, green pen, blue block</x:v>
      </x:c>
      <x:c r="F554" s="9" t="str">
        <x:v>red block → 2–8 cm edge gap to the right of green pen; centroid direction within ±45°.</x:v>
      </x:c>
      <x:c r="G554" s="9"/>
      <x:c r="H554" s="9" t="str">
        <x:v>Concept/compositional transfer</x:v>
      </x:c>
      <x:c r="I554" s="9" t="str">
        <x:v>RP-CT-N20</x:v>
      </x:c>
      <x:c r="J554" s="9" t="str">
        <x:v>Neutral-axis independent compositional-transfer scene</x:v>
      </x:c>
      <x:c r="K554" s="9"/>
      <x:c r="L554" s="9" t="str">
        <x:v>299</x:v>
      </x:c>
      <x:c r="M554" s="9"/>
      <x:c r="N554" s="9"/>
      <x:c r="O554" s="9" t="str">
        <x:v>Build the listed neutral-axis scene and save the first frame.</x:v>
      </x:c>
      <x:c r="P554" s="9" t="str">
        <x:v>Independent held-out-composition scene. Source episode 299 supplies target recognition/manipulation under the trained prompt “Move the red block near the green pen.”. The orthogonal start removes the opposite-side shortcut.</x:v>
      </x:c>
      <x:c r="Q554" s="9"/>
      <x:c r="R554" s="10" t="n">
        <x:v>3</x:v>
      </x:c>
      <x:c r="S554" s="10"/>
      <x:c r="T554" s="9"/>
      <x:c r="U554" s="9"/>
      <x:c r="V554" s="9"/>
      <x:c r="W554" s="9"/>
      <x:c r="X554" s="10"/>
      <x:c r="Y554" s="10"/>
      <x:c r="Z554" s="9"/>
      <x:c r="AA554" s="9"/>
      <x:c r="AB554" s="9"/>
      <x:c r="AC554" s="9" t="str">
        <x:v>right</x:v>
      </x:c>
      <x:c r="AD554" s="9" t="str">
        <x:v>red block</x:v>
      </x:c>
      <x:c r="AE554" s="9" t="str">
        <x:v>green pen</x:v>
      </x:c>
      <x:c r="AF554" s="9" t="str">
        <x:v>None</x:v>
      </x:c>
      <x:c r="AG554" s="9"/>
      <x:c r="AH554" s="9"/>
      <x:c r="AI554" s="11"/>
      <x:c r="AJ554" s="9"/>
      <x:c r="AK554" s="9" t="str">
        <x:v>Eval_Relational_Placement (1).xlsm</x:v>
      </x:c>
      <x:c r="AL554" s="9" t="str">
        <x:v>MolmoAct2 Results</x:v>
      </x:c>
      <x:c r="AM554" s="9" t="n">
        <x:v>104</x:v>
      </x:c>
      <x:c r="AN554" s="9" t="n">
        <x:v>104</x:v>
      </x:c>
    </x:row>
    <x:row r="555">
      <x:c r="A555" s="9" t="str">
        <x:v>Success</x:v>
      </x:c>
      <x:c r="B555" s="9" t="str">
        <x:v>Relational Placement</x:v>
      </x:c>
      <x:c r="C555" s="10" t="n">
        <x:v>103</x:v>
      </x:c>
      <x:c r="D555" s="9" t="str">
        <x:v>Move the red block near the green pen.</x:v>
      </x:c>
      <x:c r="E555" s="9" t="str">
        <x:v>red block, green pen, blue block</x:v>
      </x:c>
      <x:c r="F555" s="9" t="str">
        <x:v>red block → 2–8 cm edge gap near green pen; no directional sector required.</x:v>
      </x:c>
      <x:c r="G555" s="9" t="str">
        <x:v>placed to the left</x:v>
      </x:c>
      <x:c r="H555" s="9" t="str">
        <x:v>Matched manipulation control</x:v>
      </x:c>
      <x:c r="I555" s="9" t="str">
        <x:v>RP-CT-N20</x:v>
      </x:c>
      <x:c r="J555" s="9" t="str">
        <x:v>Exact-scene masked manipulation control</x:v>
      </x:c>
      <x:c r="K555" s="9" t="n">
        <x:v>102</x:v>
      </x:c>
      <x:c r="L555" s="9" t="str">
        <x:v>299</x:v>
      </x:c>
      <x:c r="M555" s="9"/>
      <x:c r="N555" s="9"/>
      <x:c r="O555" s="9" t="str">
        <x:v>Reset P1 to its marked pose; preserve the exact scene and use the trained control instruction.</x:v>
      </x:c>
      <x:c r="P555" s="9" t="str">
        <x:v>Exact-scene control using the final training prompt from episode 299. The target, reference, distractors, camera, and robot start match the paired transfer row.</x:v>
      </x:c>
      <x:c r="Q555" s="9"/>
      <x:c r="R555" s="10" t="n">
        <x:v>3</x:v>
      </x:c>
      <x:c r="S555" s="10"/>
      <x:c r="T555" s="9"/>
      <x:c r="U555" s="9"/>
      <x:c r="V555" s="9"/>
      <x:c r="W555" s="9"/>
      <x:c r="X555" s="10"/>
      <x:c r="Y555" s="10"/>
      <x:c r="Z555" s="9"/>
      <x:c r="AA555" s="9"/>
      <x:c r="AB555" s="9"/>
      <x:c r="AC555" s="9" t="str">
        <x:v>right</x:v>
      </x:c>
      <x:c r="AD555" s="9" t="str">
        <x:v>red block</x:v>
      </x:c>
      <x:c r="AE555" s="9" t="str">
        <x:v>green pen</x:v>
      </x:c>
      <x:c r="AF555" s="9" t="str">
        <x:v>None</x:v>
      </x:c>
      <x:c r="AG555" s="9"/>
      <x:c r="AH555" s="9"/>
      <x:c r="AI555" s="11"/>
      <x:c r="AJ555" s="9"/>
      <x:c r="AK555" s="9" t="str">
        <x:v>Eval_Relational_Placement (1).xlsm</x:v>
      </x:c>
      <x:c r="AL555" s="9" t="str">
        <x:v>MolmoAct2 Results</x:v>
      </x:c>
      <x:c r="AM555" s="9" t="n">
        <x:v>105</x:v>
      </x:c>
      <x:c r="AN555" s="9" t="n">
        <x:v>105</x:v>
      </x:c>
    </x:row>
    <x:row r="556">
      <x:c r="A556" s="9" t="str">
        <x:v>Failure</x:v>
      </x:c>
      <x:c r="B556" s="9" t="str">
        <x:v>Relational Placement</x:v>
      </x:c>
      <x:c r="C556" s="10" t="n">
        <x:v>104</x:v>
      </x:c>
      <x:c r="D556" s="9" t="str">
        <x:v>Place the green pen in front of the red block.</x:v>
      </x:c>
      <x:c r="E556" s="9" t="str">
        <x:v>green pen, red block, pink marker</x:v>
      </x:c>
      <x:c r="F556" s="9" t="str">
        <x:v>green pen → 2–8 cm edge gap in front of red block; centroid direction within ±45°.</x:v>
      </x:c>
      <x:c r="G556" s="9" t="str">
        <x:v>failed to grasp the green pen</x:v>
      </x:c>
      <x:c r="H556" s="9" t="str">
        <x:v>Concept/compositional transfer</x:v>
      </x:c>
      <x:c r="I556" s="9" t="str">
        <x:v>RP-CT-N21</x:v>
      </x:c>
      <x:c r="J556" s="9" t="str">
        <x:v>Neutral-axis independent compositional-transfer scene</x:v>
      </x:c>
      <x:c r="K556" s="9"/>
      <x:c r="L556" s="9" t="str">
        <x:v>203</x:v>
      </x:c>
      <x:c r="M556" s="9"/>
      <x:c r="N556" s="9"/>
      <x:c r="O556" s="9" t="str">
        <x:v>Build the listed neutral-axis scene and save the first frame.</x:v>
      </x:c>
      <x:c r="P556" s="9" t="str">
        <x:v>Independent held-out-composition scene. Source episode 203 supplies target recognition/manipulation under the trained prompt “Move the green pen near the red block.”. The orthogonal start removes the opposite-side shortcut.</x:v>
      </x:c>
      <x:c r="Q556" s="9"/>
      <x:c r="R556" s="10" t="n">
        <x:v>3</x:v>
      </x:c>
      <x:c r="S556" s="10"/>
      <x:c r="T556" s="9"/>
      <x:c r="U556" s="9"/>
      <x:c r="V556" s="9"/>
      <x:c r="W556" s="9"/>
      <x:c r="X556" s="10"/>
      <x:c r="Y556" s="10"/>
      <x:c r="Z556" s="9"/>
      <x:c r="AA556" s="9"/>
      <x:c r="AB556" s="9"/>
      <x:c r="AC556" s="9" t="str">
        <x:v>front</x:v>
      </x:c>
      <x:c r="AD556" s="9" t="str">
        <x:v>green pen</x:v>
      </x:c>
      <x:c r="AE556" s="9" t="str">
        <x:v>red block</x:v>
      </x:c>
      <x:c r="AF556" s="9" t="str">
        <x:v>None</x:v>
      </x:c>
      <x:c r="AG556" s="9"/>
      <x:c r="AH556" s="9"/>
      <x:c r="AI556" s="11"/>
      <x:c r="AJ556" s="9"/>
      <x:c r="AK556" s="9" t="str">
        <x:v>Eval_Relational_Placement (1).xlsm</x:v>
      </x:c>
      <x:c r="AL556" s="9" t="str">
        <x:v>MolmoAct2 Results</x:v>
      </x:c>
      <x:c r="AM556" s="9" t="n">
        <x:v>106</x:v>
      </x:c>
      <x:c r="AN556" s="9" t="n">
        <x:v>106</x:v>
      </x:c>
    </x:row>
    <x:row r="557">
      <x:c r="A557" s="9" t="str">
        <x:v>Success</x:v>
      </x:c>
      <x:c r="B557" s="9" t="str">
        <x:v>Relational Placement</x:v>
      </x:c>
      <x:c r="C557" s="10" t="n">
        <x:v>105</x:v>
      </x:c>
      <x:c r="D557" s="9" t="str">
        <x:v>Place the red block in front of the green pen.</x:v>
      </x:c>
      <x:c r="E557" s="9" t="str">
        <x:v>red block, green pen, blue block, pink marker</x:v>
      </x:c>
      <x:c r="F557" s="9" t="str">
        <x:v>red block → 2–8 cm edge gap in front of green pen; centroid direction within ±45°.</x:v>
      </x:c>
      <x:c r="G557" s="9"/>
      <x:c r="H557" s="9" t="str">
        <x:v>Concept/compositional transfer</x:v>
      </x:c>
      <x:c r="I557" s="9" t="str">
        <x:v>RP-CT-N22</x:v>
      </x:c>
      <x:c r="J557" s="9" t="str">
        <x:v>Neutral-axis independent compositional-transfer scene</x:v>
      </x:c>
      <x:c r="K557" s="9"/>
      <x:c r="L557" s="9" t="str">
        <x:v>260</x:v>
      </x:c>
      <x:c r="M557" s="9"/>
      <x:c r="N557" s="9"/>
      <x:c r="O557" s="9" t="str">
        <x:v>Build the listed neutral-axis scene and save the first frame.</x:v>
      </x:c>
      <x:c r="P557" s="9" t="str">
        <x:v>Independent held-out-composition scene. Source episode 260 supplies target recognition/manipulation under the trained prompt “Move the red block near the green pen.”. The orthogonal start removes the opposite-side shortcut.</x:v>
      </x:c>
      <x:c r="Q557" s="9"/>
      <x:c r="R557" s="10" t="n">
        <x:v>4</x:v>
      </x:c>
      <x:c r="S557" s="10"/>
      <x:c r="T557" s="9"/>
      <x:c r="U557" s="9"/>
      <x:c r="V557" s="9"/>
      <x:c r="W557" s="9"/>
      <x:c r="X557" s="10"/>
      <x:c r="Y557" s="10"/>
      <x:c r="Z557" s="9"/>
      <x:c r="AA557" s="9"/>
      <x:c r="AB557" s="9"/>
      <x:c r="AC557" s="9" t="str">
        <x:v>front</x:v>
      </x:c>
      <x:c r="AD557" s="9" t="str">
        <x:v>red block</x:v>
      </x:c>
      <x:c r="AE557" s="9" t="str">
        <x:v>green pen</x:v>
      </x:c>
      <x:c r="AF557" s="9" t="str">
        <x:v>None</x:v>
      </x:c>
      <x:c r="AG557" s="9"/>
      <x:c r="AH557" s="9"/>
      <x:c r="AI557" s="11"/>
      <x:c r="AJ557" s="9"/>
      <x:c r="AK557" s="9" t="str">
        <x:v>Eval_Relational_Placement (1).xlsm</x:v>
      </x:c>
      <x:c r="AL557" s="9" t="str">
        <x:v>MolmoAct2 Results</x:v>
      </x:c>
      <x:c r="AM557" s="9" t="n">
        <x:v>107</x:v>
      </x:c>
      <x:c r="AN557" s="9" t="n">
        <x:v>107</x:v>
      </x:c>
    </x:row>
    <x:row r="558">
      <x:c r="A558" s="9" t="str">
        <x:v>Success</x:v>
      </x:c>
      <x:c r="B558" s="9" t="str">
        <x:v>Relational Placement</x:v>
      </x:c>
      <x:c r="C558" s="10" t="n">
        <x:v>106</x:v>
      </x:c>
      <x:c r="D558" s="9" t="str">
        <x:v>Place the green pen behind the red block.</x:v>
      </x:c>
      <x:c r="E558" s="9" t="str">
        <x:v>green pen, red block, pink marker, blue block</x:v>
      </x:c>
      <x:c r="F558" s="9" t="str">
        <x:v>green pen → 2–8 cm edge gap behind red block; centroid direction within ±45°.</x:v>
      </x:c>
      <x:c r="G558" s="9"/>
      <x:c r="H558" s="9" t="str">
        <x:v>Concept/compositional transfer</x:v>
      </x:c>
      <x:c r="I558" s="9" t="str">
        <x:v>RP-CT-N23</x:v>
      </x:c>
      <x:c r="J558" s="9" t="str">
        <x:v>Neutral-axis independent compositional-transfer scene</x:v>
      </x:c>
      <x:c r="K558" s="9"/>
      <x:c r="L558" s="9" t="str">
        <x:v>214</x:v>
      </x:c>
      <x:c r="M558" s="9"/>
      <x:c r="N558" s="9"/>
      <x:c r="O558" s="9" t="str">
        <x:v>Build the listed neutral-axis scene and save the first frame.</x:v>
      </x:c>
      <x:c r="P558" s="9" t="str">
        <x:v>Independent held-out-composition scene. Source episode 214 supplies target recognition/manipulation under the trained prompt “Put the green pen beside the red block.”. The orthogonal start removes the opposite-side shortcut.</x:v>
      </x:c>
      <x:c r="Q558" s="9"/>
      <x:c r="R558" s="10" t="n">
        <x:v>4</x:v>
      </x:c>
      <x:c r="S558" s="10"/>
      <x:c r="T558" s="9"/>
      <x:c r="U558" s="9"/>
      <x:c r="V558" s="9"/>
      <x:c r="W558" s="9"/>
      <x:c r="X558" s="10"/>
      <x:c r="Y558" s="10"/>
      <x:c r="Z558" s="9"/>
      <x:c r="AA558" s="9"/>
      <x:c r="AB558" s="9"/>
      <x:c r="AC558" s="9" t="str">
        <x:v>behind</x:v>
      </x:c>
      <x:c r="AD558" s="9" t="str">
        <x:v>green pen</x:v>
      </x:c>
      <x:c r="AE558" s="9" t="str">
        <x:v>red block</x:v>
      </x:c>
      <x:c r="AF558" s="9" t="str">
        <x:v>None</x:v>
      </x:c>
      <x:c r="AG558" s="9"/>
      <x:c r="AH558" s="9"/>
      <x:c r="AI558" s="11"/>
      <x:c r="AJ558" s="9"/>
      <x:c r="AK558" s="9" t="str">
        <x:v>Eval_Relational_Placement (1).xlsm</x:v>
      </x:c>
      <x:c r="AL558" s="9" t="str">
        <x:v>MolmoAct2 Results</x:v>
      </x:c>
      <x:c r="AM558" s="9" t="n">
        <x:v>108</x:v>
      </x:c>
      <x:c r="AN558" s="9" t="n">
        <x:v>108</x:v>
      </x:c>
    </x:row>
    <x:row r="559">
      <x:c r="A559" s="9" t="str">
        <x:v>Failure</x:v>
      </x:c>
      <x:c r="B559" s="9" t="str">
        <x:v>Relational Placement</x:v>
      </x:c>
      <x:c r="C559" s="10" t="n">
        <x:v>107</x:v>
      </x:c>
      <x:c r="D559" s="9" t="str">
        <x:v>Place the red block behind the green pen.</x:v>
      </x:c>
      <x:c r="E559" s="9" t="str">
        <x:v>red block, green pen, blue block</x:v>
      </x:c>
      <x:c r="F559" s="9" t="str">
        <x:v>red block → 2–8 cm edge gap behind green pen; centroid direction within ±45°.</x:v>
      </x:c>
      <x:c r="G559" s="9" t="str">
        <x:v>robot didn't move</x:v>
      </x:c>
      <x:c r="H559" s="9" t="str">
        <x:v>Concept/compositional transfer</x:v>
      </x:c>
      <x:c r="I559" s="9" t="str">
        <x:v>RP-CT-N24</x:v>
      </x:c>
      <x:c r="J559" s="9" t="str">
        <x:v>Neutral-axis independent compositional-transfer scene</x:v>
      </x:c>
      <x:c r="K559" s="9"/>
      <x:c r="L559" s="9" t="str">
        <x:v>274</x:v>
      </x:c>
      <x:c r="M559" s="9"/>
      <x:c r="N559" s="9"/>
      <x:c r="O559" s="9" t="str">
        <x:v>Build the listed neutral-axis scene and save the first frame.</x:v>
      </x:c>
      <x:c r="P559" s="9" t="str">
        <x:v>Independent held-out-composition scene. Source episode 274 supplies target recognition/manipulation under the trained prompt “Put the red block beside the green pen.”. The orthogonal start removes the opposite-side shortcut.</x:v>
      </x:c>
      <x:c r="Q559" s="9"/>
      <x:c r="R559" s="10" t="n">
        <x:v>3</x:v>
      </x:c>
      <x:c r="S559" s="10"/>
      <x:c r="T559" s="9"/>
      <x:c r="U559" s="9"/>
      <x:c r="V559" s="9"/>
      <x:c r="W559" s="9"/>
      <x:c r="X559" s="10"/>
      <x:c r="Y559" s="10"/>
      <x:c r="Z559" s="9"/>
      <x:c r="AA559" s="9"/>
      <x:c r="AB559" s="9"/>
      <x:c r="AC559" s="9" t="str">
        <x:v>behind</x:v>
      </x:c>
      <x:c r="AD559" s="9" t="str">
        <x:v>red block</x:v>
      </x:c>
      <x:c r="AE559" s="9" t="str">
        <x:v>green pen</x:v>
      </x:c>
      <x:c r="AF559" s="9" t="str">
        <x:v>None</x:v>
      </x:c>
      <x:c r="AG559" s="9"/>
      <x:c r="AH559" s="9"/>
      <x:c r="AI559" s="11"/>
      <x:c r="AJ559" s="9"/>
      <x:c r="AK559" s="9" t="str">
        <x:v>Eval_Relational_Placement (1).xlsm</x:v>
      </x:c>
      <x:c r="AL559" s="9" t="str">
        <x:v>MolmoAct2 Results</x:v>
      </x:c>
      <x:c r="AM559" s="9" t="n">
        <x:v>109</x:v>
      </x:c>
      <x:c r="AN559" s="9" t="n">
        <x:v>109</x:v>
      </x:c>
    </x:row>
    <x:row r="560">
      <x:c r="A560" s="9" t="str">
        <x:v>Failure</x:v>
      </x:c>
      <x:c r="B560" s="9" t="str">
        <x:v>Relational Placement</x:v>
      </x:c>
      <x:c r="C560" s="10" t="n">
        <x:v>108</x:v>
      </x:c>
      <x:c r="D560" s="9" t="str">
        <x:v>Place the green pen to the left of the red block.</x:v>
      </x:c>
      <x:c r="E560" s="9" t="str">
        <x:v>green pen, red block, pink marker</x:v>
      </x:c>
      <x:c r="F560" s="9" t="str">
        <x:v>green pen → 2–8 cm edge gap to the left of red block; centroid direction within ±45°.</x:v>
      </x:c>
      <x:c r="G560" s="9" t="str">
        <x:v>placed in front. Also had trouble grasping the pen</x:v>
      </x:c>
      <x:c r="H560" s="9" t="str">
        <x:v>Concept/compositional transfer</x:v>
      </x:c>
      <x:c r="I560" s="9" t="str">
        <x:v>RP-CT-N25</x:v>
      </x:c>
      <x:c r="J560" s="9" t="str">
        <x:v>Neutral-axis independent compositional-transfer scene</x:v>
      </x:c>
      <x:c r="K560" s="9"/>
      <x:c r="L560" s="9" t="str">
        <x:v>226</x:v>
      </x:c>
      <x:c r="M560" s="9"/>
      <x:c r="N560" s="9"/>
      <x:c r="O560" s="9" t="str">
        <x:v>Build the listed neutral-axis scene and save the first frame.</x:v>
      </x:c>
      <x:c r="P560" s="9" t="str">
        <x:v>Independent held-out-composition scene. Source episode 226 supplies target recognition/manipulation under the trained prompt “Put the green pen beside the red block.”. The orthogonal start removes the opposite-side shortcut.</x:v>
      </x:c>
      <x:c r="Q560" s="9"/>
      <x:c r="R560" s="10" t="n">
        <x:v>3</x:v>
      </x:c>
      <x:c r="S560" s="10"/>
      <x:c r="T560" s="9"/>
      <x:c r="U560" s="9"/>
      <x:c r="V560" s="9"/>
      <x:c r="W560" s="9"/>
      <x:c r="X560" s="10"/>
      <x:c r="Y560" s="10"/>
      <x:c r="Z560" s="9"/>
      <x:c r="AA560" s="9"/>
      <x:c r="AB560" s="9"/>
      <x:c r="AC560" s="9" t="str">
        <x:v>left</x:v>
      </x:c>
      <x:c r="AD560" s="9" t="str">
        <x:v>green pen</x:v>
      </x:c>
      <x:c r="AE560" s="9" t="str">
        <x:v>red block</x:v>
      </x:c>
      <x:c r="AF560" s="9" t="str">
        <x:v>None</x:v>
      </x:c>
      <x:c r="AG560" s="9"/>
      <x:c r="AH560" s="9"/>
      <x:c r="AI560" s="11"/>
      <x:c r="AJ560" s="9"/>
      <x:c r="AK560" s="9" t="str">
        <x:v>Eval_Relational_Placement (1).xlsm</x:v>
      </x:c>
      <x:c r="AL560" s="9" t="str">
        <x:v>MolmoAct2 Results</x:v>
      </x:c>
      <x:c r="AM560" s="9" t="n">
        <x:v>110</x:v>
      </x:c>
      <x:c r="AN560" s="9" t="n">
        <x:v>110</x:v>
      </x:c>
    </x:row>
    <x:row r="561">
      <x:c r="A561" s="9" t="str">
        <x:v>Failure</x:v>
      </x:c>
      <x:c r="B561" s="9" t="str">
        <x:v>Relational Placement</x:v>
      </x:c>
      <x:c r="C561" s="10" t="n">
        <x:v>109</x:v>
      </x:c>
      <x:c r="D561" s="9" t="str">
        <x:v>Place the red block to the right of the green pen.</x:v>
      </x:c>
      <x:c r="E561" s="9" t="str">
        <x:v>red block, green pen, blue block, pink marker</x:v>
      </x:c>
      <x:c r="F561" s="9" t="str">
        <x:v>red block → 2–8 cm edge gap to the right of green pen; centroid direction within ±45°.</x:v>
      </x:c>
      <x:c r="G561" s="9" t="str">
        <x:v>placed behind</x:v>
      </x:c>
      <x:c r="H561" s="9" t="str">
        <x:v>Concept/compositional transfer</x:v>
      </x:c>
      <x:c r="I561" s="9" t="str">
        <x:v>RP-CT-N26</x:v>
      </x:c>
      <x:c r="J561" s="9" t="str">
        <x:v>Neutral-axis independent compositional-transfer scene</x:v>
      </x:c>
      <x:c r="K561" s="9"/>
      <x:c r="L561" s="9" t="str">
        <x:v>298</x:v>
      </x:c>
      <x:c r="M561" s="9"/>
      <x:c r="N561" s="9"/>
      <x:c r="O561" s="9" t="str">
        <x:v>Build the listed neutral-axis scene and save the first frame.</x:v>
      </x:c>
      <x:c r="P561" s="9" t="str">
        <x:v>Independent held-out-composition scene. Source episode 298 supplies target recognition/manipulation under the trained prompt “Put the red block beside the green pen.”. The orthogonal start removes the opposite-side shortcut.</x:v>
      </x:c>
      <x:c r="Q561" s="9"/>
      <x:c r="R561" s="10" t="n">
        <x:v>4</x:v>
      </x:c>
      <x:c r="S561" s="10"/>
      <x:c r="T561" s="9"/>
      <x:c r="U561" s="9"/>
      <x:c r="V561" s="9"/>
      <x:c r="W561" s="9"/>
      <x:c r="X561" s="10"/>
      <x:c r="Y561" s="10"/>
      <x:c r="Z561" s="9"/>
      <x:c r="AA561" s="9"/>
      <x:c r="AB561" s="9"/>
      <x:c r="AC561" s="9" t="str">
        <x:v>right</x:v>
      </x:c>
      <x:c r="AD561" s="9" t="str">
        <x:v>red block</x:v>
      </x:c>
      <x:c r="AE561" s="9" t="str">
        <x:v>green pen</x:v>
      </x:c>
      <x:c r="AF561" s="9" t="str">
        <x:v>None</x:v>
      </x:c>
      <x:c r="AG561" s="9"/>
      <x:c r="AH561" s="9"/>
      <x:c r="AI561" s="11"/>
      <x:c r="AJ561" s="9"/>
      <x:c r="AK561" s="9" t="str">
        <x:v>Eval_Relational_Placement (1).xlsm</x:v>
      </x:c>
      <x:c r="AL561" s="9" t="str">
        <x:v>MolmoAct2 Results</x:v>
      </x:c>
      <x:c r="AM561" s="9" t="n">
        <x:v>111</x:v>
      </x:c>
      <x:c r="AN561" s="9" t="n">
        <x:v>111</x:v>
      </x:c>
    </x:row>
    <x:row r="562">
      <x:c r="A562" s="9" t="str">
        <x:v>Success</x:v>
      </x:c>
      <x:c r="B562" s="9" t="str">
        <x:v>Relational Placement</x:v>
      </x:c>
      <x:c r="C562" s="10" t="n">
        <x:v>110</x:v>
      </x:c>
      <x:c r="D562" s="9" t="str">
        <x:v>Place the juggling ball in front of the pink marker.</x:v>
      </x:c>
      <x:c r="E562" s="9" t="str">
        <x:v>juggling ball, pink marker, green pen</x:v>
      </x:c>
      <x:c r="F562" s="9" t="str">
        <x:v>juggling ball → 2–8 cm edge gap in front of pink marker; centroid direction within ±45°.</x:v>
      </x:c>
      <x:c r="G562" s="9"/>
      <x:c r="H562" s="9" t="str">
        <x:v>Cross-task-object directional reasoning</x:v>
      </x:c>
      <x:c r="I562" s="9" t="str">
        <x:v>RP-XT-CF01</x:v>
      </x:c>
      <x:c r="J562" s="9" t="str">
        <x:v>Four-way cross-task counterfactual: front/behind polarity × juggling-ball target/reference role</x:v>
      </x:c>
      <x:c r="K562" s="9"/>
      <x:c r="L562" s="9" t="str">
        <x:v>1100 (juggling-ball exposure); 204 (front relation)</x:v>
      </x:c>
      <x:c r="M562" s="9"/>
      <x:c r="N562" s="9"/>
      <x:c r="O562" s="9" t="str">
        <x:v>Build the listed neutral-axis scene and save the first frame.</x:v>
      </x:c>
      <x:c r="P562" s="9" t="str">
        <x:v>The juggling ball is globally familiar but absent from Relational Placement training. This exact-scene family crosses direction with its target role and contains no direct-name control.</x:v>
      </x:c>
      <x:c r="Q562" s="9"/>
      <x:c r="R562" s="10" t="n">
        <x:v>3</x:v>
      </x:c>
      <x:c r="S562" s="10"/>
      <x:c r="T562" s="9"/>
      <x:c r="U562" s="9"/>
      <x:c r="V562" s="9"/>
      <x:c r="W562" s="9"/>
      <x:c r="X562" s="10"/>
      <x:c r="Y562" s="10"/>
      <x:c r="Z562" s="9"/>
      <x:c r="AA562" s="9"/>
      <x:c r="AB562" s="9"/>
      <x:c r="AC562" s="9" t="str">
        <x:v>front</x:v>
      </x:c>
      <x:c r="AD562" s="9" t="str">
        <x:v>juggling ball</x:v>
      </x:c>
      <x:c r="AE562" s="9" t="str">
        <x:v>pink marker</x:v>
      </x:c>
      <x:c r="AF562" s="9" t="str">
        <x:v>Target</x:v>
      </x:c>
      <x:c r="AG562" s="9"/>
      <x:c r="AH562" s="9"/>
      <x:c r="AI562" s="11"/>
      <x:c r="AJ562" s="9"/>
      <x:c r="AK562" s="9" t="str">
        <x:v>Eval_Relational_Placement (1).xlsm</x:v>
      </x:c>
      <x:c r="AL562" s="9" t="str">
        <x:v>MolmoAct2 Results</x:v>
      </x:c>
      <x:c r="AM562" s="9" t="n">
        <x:v>112</x:v>
      </x:c>
      <x:c r="AN562" s="9" t="n">
        <x:v>112</x:v>
      </x:c>
    </x:row>
    <x:row r="563">
      <x:c r="A563" s="9" t="str">
        <x:v>Failure</x:v>
      </x:c>
      <x:c r="B563" s="9" t="str">
        <x:v>Relational Placement</x:v>
      </x:c>
      <x:c r="C563" s="10" t="n">
        <x:v>111</x:v>
      </x:c>
      <x:c r="D563" s="9" t="str">
        <x:v>Place the juggling ball behind the pink marker.</x:v>
      </x:c>
      <x:c r="E563" s="9" t="str">
        <x:v>juggling ball, pink marker, green pen</x:v>
      </x:c>
      <x:c r="F563" s="9" t="str">
        <x:v>juggling ball → 2–8 cm edge gap behind pink marker; centroid direction within ±45°.</x:v>
      </x:c>
      <x:c r="G563" s="9" t="str">
        <x:v>placed to left. Seemed to be hesitant upon release</x:v>
      </x:c>
      <x:c r="H563" s="9" t="str">
        <x:v>Cross-task-object directional reasoning</x:v>
      </x:c>
      <x:c r="I563" s="9" t="str">
        <x:v>RP-XT-CF01</x:v>
      </x:c>
      <x:c r="J563" s="9" t="str">
        <x:v>Four-way cross-task counterfactual: front/behind polarity × juggling-ball target/reference role</x:v>
      </x:c>
      <x:c r="K563" s="9" t="n">
        <x:v>110</x:v>
      </x:c>
      <x:c r="L563" s="9" t="str">
        <x:v>1100 (juggling-ball exposure); 217 (behind relation)</x:v>
      </x:c>
      <x:c r="M563" s="9"/>
      <x:c r="N563" s="9"/>
      <x:c r="O563" s="9" t="str">
        <x:v>Reset every manipulated core object to its marked pose; preserve the exact scene and change only the instruction.</x:v>
      </x:c>
      <x:c r="P563" s="9" t="str">
        <x:v>The juggling ball is globally familiar but absent from Relational Placement training. This exact-scene family crosses direction with its target role and contains no direct-name control.</x:v>
      </x:c>
      <x:c r="Q563" s="9"/>
      <x:c r="R563" s="10" t="n">
        <x:v>3</x:v>
      </x:c>
      <x:c r="S563" s="10"/>
      <x:c r="T563" s="9"/>
      <x:c r="U563" s="9"/>
      <x:c r="V563" s="9"/>
      <x:c r="W563" s="9"/>
      <x:c r="X563" s="10"/>
      <x:c r="Y563" s="10"/>
      <x:c r="Z563" s="9"/>
      <x:c r="AA563" s="9"/>
      <x:c r="AB563" s="9"/>
      <x:c r="AC563" s="9" t="str">
        <x:v>behind</x:v>
      </x:c>
      <x:c r="AD563" s="9" t="str">
        <x:v>juggling ball</x:v>
      </x:c>
      <x:c r="AE563" s="9" t="str">
        <x:v>pink marker</x:v>
      </x:c>
      <x:c r="AF563" s="9" t="str">
        <x:v>Target</x:v>
      </x:c>
      <x:c r="AG563" s="9"/>
      <x:c r="AH563" s="9"/>
      <x:c r="AI563" s="11"/>
      <x:c r="AJ563" s="9"/>
      <x:c r="AK563" s="9" t="str">
        <x:v>Eval_Relational_Placement (1).xlsm</x:v>
      </x:c>
      <x:c r="AL563" s="9" t="str">
        <x:v>MolmoAct2 Results</x:v>
      </x:c>
      <x:c r="AM563" s="9" t="n">
        <x:v>113</x:v>
      </x:c>
      <x:c r="AN563" s="9" t="n">
        <x:v>113</x:v>
      </x:c>
    </x:row>
    <x:row r="564">
      <x:c r="A564" s="9" t="str">
        <x:v>Success</x:v>
      </x:c>
      <x:c r="B564" s="9" t="str">
        <x:v>Relational Placement</x:v>
      </x:c>
      <x:c r="C564" s="10" t="n">
        <x:v>112</x:v>
      </x:c>
      <x:c r="D564" s="9" t="str">
        <x:v>Place the pink marker in front of the juggling ball.</x:v>
      </x:c>
      <x:c r="E564" s="9" t="str">
        <x:v>juggling ball, pink marker, green pen</x:v>
      </x:c>
      <x:c r="F564" s="9" t="str">
        <x:v>pink marker → 2–8 cm edge gap in front of juggling ball; centroid direction within ±45°.</x:v>
      </x:c>
      <x:c r="G564" s="9"/>
      <x:c r="H564" s="9" t="str">
        <x:v>Cross-task-object directional reasoning</x:v>
      </x:c>
      <x:c r="I564" s="9" t="str">
        <x:v>RP-XT-CF01</x:v>
      </x:c>
      <x:c r="J564" s="9" t="str">
        <x:v>Four-way cross-task counterfactual: front/behind polarity × juggling-ball target/reference role</x:v>
      </x:c>
      <x:c r="K564" s="9" t="n">
        <x:v>110</x:v>
      </x:c>
      <x:c r="L564" s="9" t="str">
        <x:v>1100 (juggling-ball exposure); 305 (front relation with pink marker as target)</x:v>
      </x:c>
      <x:c r="M564" s="9"/>
      <x:c r="N564" s="9"/>
      <x:c r="O564" s="9" t="str">
        <x:v>Reset every manipulated core object to its marked pose; preserve the exact scene and change only the instruction.</x:v>
      </x:c>
      <x:c r="P564" s="9" t="str">
        <x:v>The juggling ball is globally familiar but absent from Relational Placement training. This exact-scene family crosses direction with its reference role and contains no direct-name control.</x:v>
      </x:c>
      <x:c r="Q564" s="9"/>
      <x:c r="R564" s="10" t="n">
        <x:v>3</x:v>
      </x:c>
      <x:c r="S564" s="10"/>
      <x:c r="T564" s="9"/>
      <x:c r="U564" s="9"/>
      <x:c r="V564" s="9"/>
      <x:c r="W564" s="9"/>
      <x:c r="X564" s="10"/>
      <x:c r="Y564" s="10"/>
      <x:c r="Z564" s="9"/>
      <x:c r="AA564" s="9"/>
      <x:c r="AB564" s="9"/>
      <x:c r="AC564" s="9" t="str">
        <x:v>front</x:v>
      </x:c>
      <x:c r="AD564" s="9" t="str">
        <x:v>pink marker</x:v>
      </x:c>
      <x:c r="AE564" s="9" t="str">
        <x:v>juggling ball</x:v>
      </x:c>
      <x:c r="AF564" s="9" t="str">
        <x:v>Reference</x:v>
      </x:c>
      <x:c r="AG564" s="9"/>
      <x:c r="AH564" s="9"/>
      <x:c r="AI564" s="11"/>
      <x:c r="AJ564" s="9"/>
      <x:c r="AK564" s="9" t="str">
        <x:v>Eval_Relational_Placement (1).xlsm</x:v>
      </x:c>
      <x:c r="AL564" s="9" t="str">
        <x:v>MolmoAct2 Results</x:v>
      </x:c>
      <x:c r="AM564" s="9" t="n">
        <x:v>114</x:v>
      </x:c>
      <x:c r="AN564" s="9" t="n">
        <x:v>114</x:v>
      </x:c>
    </x:row>
    <x:row r="565">
      <x:c r="A565" s="9" t="str">
        <x:v>Failure</x:v>
      </x:c>
      <x:c r="B565" s="9" t="str">
        <x:v>Relational Placement</x:v>
      </x:c>
      <x:c r="C565" s="10" t="n">
        <x:v>113</x:v>
      </x:c>
      <x:c r="D565" s="9" t="str">
        <x:v>Place the pink marker behind the juggling ball.</x:v>
      </x:c>
      <x:c r="E565" s="9" t="str">
        <x:v>juggling ball, pink marker, green pen</x:v>
      </x:c>
      <x:c r="F565" s="9" t="str">
        <x:v>pink marker → 2–8 cm edge gap behind juggling ball; centroid direction within ±45°.</x:v>
      </x:c>
      <x:c r="G565" s="9" t="str">
        <x:v>it was behind, but it dropped where the marker rolled out of range to be close enough for a success</x:v>
      </x:c>
      <x:c r="H565" s="9" t="str">
        <x:v>Cross-task-object directional reasoning</x:v>
      </x:c>
      <x:c r="I565" s="9" t="str">
        <x:v>RP-XT-CF01</x:v>
      </x:c>
      <x:c r="J565" s="9" t="str">
        <x:v>Four-way cross-task counterfactual: front/behind polarity × juggling-ball target/reference role</x:v>
      </x:c>
      <x:c r="K565" s="9" t="n">
        <x:v>110</x:v>
      </x:c>
      <x:c r="L565" s="9" t="str">
        <x:v>1100 (juggling-ball exposure); 317 (behind relation with pink marker as target)</x:v>
      </x:c>
      <x:c r="M565" s="9"/>
      <x:c r="N565" s="9"/>
      <x:c r="O565" s="9" t="str">
        <x:v>Reset every manipulated core object to its marked pose; preserve the exact scene and change only the instruction.</x:v>
      </x:c>
      <x:c r="P565" s="9" t="str">
        <x:v>The juggling ball is globally familiar but absent from Relational Placement training. This exact-scene family crosses direction with its reference role and contains no direct-name control.</x:v>
      </x:c>
      <x:c r="Q565" s="9"/>
      <x:c r="R565" s="10" t="n">
        <x:v>3</x:v>
      </x:c>
      <x:c r="S565" s="10"/>
      <x:c r="T565" s="9"/>
      <x:c r="U565" s="9"/>
      <x:c r="V565" s="9"/>
      <x:c r="W565" s="9"/>
      <x:c r="X565" s="10"/>
      <x:c r="Y565" s="10"/>
      <x:c r="Z565" s="9"/>
      <x:c r="AA565" s="9"/>
      <x:c r="AB565" s="9"/>
      <x:c r="AC565" s="9" t="str">
        <x:v>behind</x:v>
      </x:c>
      <x:c r="AD565" s="9" t="str">
        <x:v>pink marker</x:v>
      </x:c>
      <x:c r="AE565" s="9" t="str">
        <x:v>juggling ball</x:v>
      </x:c>
      <x:c r="AF565" s="9" t="str">
        <x:v>Reference</x:v>
      </x:c>
      <x:c r="AG565" s="9"/>
      <x:c r="AH565" s="9"/>
      <x:c r="AI565" s="11"/>
      <x:c r="AJ565" s="9"/>
      <x:c r="AK565" s="9" t="str">
        <x:v>Eval_Relational_Placement (1).xlsm</x:v>
      </x:c>
      <x:c r="AL565" s="9" t="str">
        <x:v>MolmoAct2 Results</x:v>
      </x:c>
      <x:c r="AM565" s="9" t="n">
        <x:v>115</x:v>
      </x:c>
      <x:c r="AN565" s="9" t="n">
        <x:v>115</x:v>
      </x:c>
    </x:row>
    <x:row r="566">
      <x:c r="A566" s="9" t="str">
        <x:v>Success</x:v>
      </x:c>
      <x:c r="B566" s="9" t="str">
        <x:v>Relational Placement</x:v>
      </x:c>
      <x:c r="C566" s="10" t="n">
        <x:v>114</x:v>
      </x:c>
      <x:c r="D566" s="9" t="str">
        <x:v>Place the juggling ball in front of the blue block.</x:v>
      </x:c>
      <x:c r="E566" s="9" t="str">
        <x:v>juggling ball, blue block, red block, pink marker</x:v>
      </x:c>
      <x:c r="F566" s="9" t="str">
        <x:v>juggling ball → 2–8 cm edge gap in front of blue block; centroid direction within ±45°.</x:v>
      </x:c>
      <x:c r="G566" s="9"/>
      <x:c r="H566" s="9" t="str">
        <x:v>Cross-task-object directional reasoning</x:v>
      </x:c>
      <x:c r="I566" s="9" t="str">
        <x:v>RP-XT-CF02</x:v>
      </x:c>
      <x:c r="J566" s="9" t="str">
        <x:v>Four-way cross-task counterfactual: front/behind polarity × juggling-ball target/reference role</x:v>
      </x:c>
      <x:c r="K566" s="9"/>
      <x:c r="L566" s="9" t="str">
        <x:v>1101 (juggling-ball exposure); 208 (front relation)</x:v>
      </x:c>
      <x:c r="M566" s="9"/>
      <x:c r="N566" s="9"/>
      <x:c r="O566" s="9" t="str">
        <x:v>Build the listed neutral-axis scene and save the first frame.</x:v>
      </x:c>
      <x:c r="P566" s="9" t="str">
        <x:v>The juggling ball is globally familiar but absent from Relational Placement training. This exact-scene family crosses direction with its target role and contains no direct-name control.</x:v>
      </x:c>
      <x:c r="Q566" s="9"/>
      <x:c r="R566" s="10" t="n">
        <x:v>4</x:v>
      </x:c>
      <x:c r="S566" s="10"/>
      <x:c r="T566" s="9"/>
      <x:c r="U566" s="9"/>
      <x:c r="V566" s="9"/>
      <x:c r="W566" s="9"/>
      <x:c r="X566" s="10"/>
      <x:c r="Y566" s="10"/>
      <x:c r="Z566" s="9"/>
      <x:c r="AA566" s="9"/>
      <x:c r="AB566" s="9"/>
      <x:c r="AC566" s="9" t="str">
        <x:v>front</x:v>
      </x:c>
      <x:c r="AD566" s="9" t="str">
        <x:v>juggling ball</x:v>
      </x:c>
      <x:c r="AE566" s="9" t="str">
        <x:v>blue block</x:v>
      </x:c>
      <x:c r="AF566" s="9" t="str">
        <x:v>Target</x:v>
      </x:c>
      <x:c r="AG566" s="9"/>
      <x:c r="AH566" s="9"/>
      <x:c r="AI566" s="11"/>
      <x:c r="AJ566" s="9"/>
      <x:c r="AK566" s="9" t="str">
        <x:v>Eval_Relational_Placement (1).xlsm</x:v>
      </x:c>
      <x:c r="AL566" s="9" t="str">
        <x:v>MolmoAct2 Results</x:v>
      </x:c>
      <x:c r="AM566" s="9" t="n">
        <x:v>116</x:v>
      </x:c>
      <x:c r="AN566" s="9" t="n">
        <x:v>116</x:v>
      </x:c>
    </x:row>
    <x:row r="567">
      <x:c r="A567" s="9" t="str">
        <x:v>Failure</x:v>
      </x:c>
      <x:c r="B567" s="9" t="str">
        <x:v>Relational Placement</x:v>
      </x:c>
      <x:c r="C567" s="10" t="n">
        <x:v>115</x:v>
      </x:c>
      <x:c r="D567" s="9" t="str">
        <x:v>Place the juggling ball behind the blue block.</x:v>
      </x:c>
      <x:c r="E567" s="9" t="str">
        <x:v>juggling ball, blue block, red block, pink marker</x:v>
      </x:c>
      <x:c r="F567" s="9" t="str">
        <x:v>juggling ball → 2–8 cm edge gap behind blue block; centroid direction within ±45°.</x:v>
      </x:c>
      <x:c r="G567" s="9" t="str">
        <x:v>placed to the left. placed directly on top, then moved the block.</x:v>
      </x:c>
      <x:c r="H567" s="9" t="str">
        <x:v>Cross-task-object directional reasoning</x:v>
      </x:c>
      <x:c r="I567" s="9" t="str">
        <x:v>RP-XT-CF02</x:v>
      </x:c>
      <x:c r="J567" s="9" t="str">
        <x:v>Four-way cross-task counterfactual: front/behind polarity × juggling-ball target/reference role</x:v>
      </x:c>
      <x:c r="K567" s="9" t="n">
        <x:v>114</x:v>
      </x:c>
      <x:c r="L567" s="9" t="str">
        <x:v>1101 (juggling-ball exposure); 221 (behind relation)</x:v>
      </x:c>
      <x:c r="M567" s="9"/>
      <x:c r="N567" s="9"/>
      <x:c r="O567" s="9" t="str">
        <x:v>Reset every manipulated core object to its marked pose; preserve the exact scene and change only the instruction.</x:v>
      </x:c>
      <x:c r="P567" s="9" t="str">
        <x:v>The juggling ball is globally familiar but absent from Relational Placement training. This exact-scene family crosses direction with its target role and contains no direct-name control.</x:v>
      </x:c>
      <x:c r="Q567" s="9"/>
      <x:c r="R567" s="10" t="n">
        <x:v>4</x:v>
      </x:c>
      <x:c r="S567" s="10"/>
      <x:c r="T567" s="9"/>
      <x:c r="U567" s="9"/>
      <x:c r="V567" s="9"/>
      <x:c r="W567" s="9"/>
      <x:c r="X567" s="10"/>
      <x:c r="Y567" s="10"/>
      <x:c r="Z567" s="9"/>
      <x:c r="AA567" s="9"/>
      <x:c r="AB567" s="9"/>
      <x:c r="AC567" s="9" t="str">
        <x:v>behind</x:v>
      </x:c>
      <x:c r="AD567" s="9" t="str">
        <x:v>juggling ball</x:v>
      </x:c>
      <x:c r="AE567" s="9" t="str">
        <x:v>blue block</x:v>
      </x:c>
      <x:c r="AF567" s="9" t="str">
        <x:v>Target</x:v>
      </x:c>
      <x:c r="AG567" s="9"/>
      <x:c r="AH567" s="9"/>
      <x:c r="AI567" s="11"/>
      <x:c r="AJ567" s="9"/>
      <x:c r="AK567" s="9" t="str">
        <x:v>Eval_Relational_Placement (1).xlsm</x:v>
      </x:c>
      <x:c r="AL567" s="9" t="str">
        <x:v>MolmoAct2 Results</x:v>
      </x:c>
      <x:c r="AM567" s="9" t="n">
        <x:v>117</x:v>
      </x:c>
      <x:c r="AN567" s="9" t="n">
        <x:v>117</x:v>
      </x:c>
    </x:row>
    <x:row r="568">
      <x:c r="A568" s="9" t="str">
        <x:v>Failure</x:v>
      </x:c>
      <x:c r="B568" s="9" t="str">
        <x:v>Relational Placement</x:v>
      </x:c>
      <x:c r="C568" s="10" t="n">
        <x:v>116</x:v>
      </x:c>
      <x:c r="D568" s="9" t="str">
        <x:v>Place the blue block in front of the juggling ball.</x:v>
      </x:c>
      <x:c r="E568" s="9" t="str">
        <x:v>juggling ball, blue block, red block, pink marker</x:v>
      </x:c>
      <x:c r="F568" s="9" t="str">
        <x:v>blue block → 2–8 cm edge gap in front of juggling ball; centroid direction within ±45°.</x:v>
      </x:c>
      <x:c r="G568" s="9" t="str">
        <x:v>didn't release the block. Was jittering around near the left of the juggling ball</x:v>
      </x:c>
      <x:c r="H568" s="9" t="str">
        <x:v>Cross-task-object directional reasoning</x:v>
      </x:c>
      <x:c r="I568" s="9" t="str">
        <x:v>RP-XT-CF02</x:v>
      </x:c>
      <x:c r="J568" s="9" t="str">
        <x:v>Four-way cross-task counterfactual: front/behind polarity × juggling-ball target/reference role</x:v>
      </x:c>
      <x:c r="K568" s="9" t="n">
        <x:v>114</x:v>
      </x:c>
      <x:c r="L568" s="9" t="str">
        <x:v>1101 (juggling-ball exposure); 350 (front relation with blue block as target)</x:v>
      </x:c>
      <x:c r="M568" s="9"/>
      <x:c r="N568" s="9"/>
      <x:c r="O568" s="9" t="str">
        <x:v>Reset every manipulated core object to its marked pose; preserve the exact scene and change only the instruction.</x:v>
      </x:c>
      <x:c r="P568" s="9" t="str">
        <x:v>The juggling ball is globally familiar but absent from Relational Placement training. This exact-scene family crosses direction with its reference role and contains no direct-name control.</x:v>
      </x:c>
      <x:c r="Q568" s="9"/>
      <x:c r="R568" s="10" t="n">
        <x:v>4</x:v>
      </x:c>
      <x:c r="S568" s="10"/>
      <x:c r="T568" s="9"/>
      <x:c r="U568" s="9"/>
      <x:c r="V568" s="9"/>
      <x:c r="W568" s="9"/>
      <x:c r="X568" s="10"/>
      <x:c r="Y568" s="10"/>
      <x:c r="Z568" s="9"/>
      <x:c r="AA568" s="9"/>
      <x:c r="AB568" s="9"/>
      <x:c r="AC568" s="9" t="str">
        <x:v>front</x:v>
      </x:c>
      <x:c r="AD568" s="9" t="str">
        <x:v>blue block</x:v>
      </x:c>
      <x:c r="AE568" s="9" t="str">
        <x:v>juggling ball</x:v>
      </x:c>
      <x:c r="AF568" s="9" t="str">
        <x:v>Reference</x:v>
      </x:c>
      <x:c r="AG568" s="9"/>
      <x:c r="AH568" s="9"/>
      <x:c r="AI568" s="11"/>
      <x:c r="AJ568" s="9"/>
      <x:c r="AK568" s="9" t="str">
        <x:v>Eval_Relational_Placement (1).xlsm</x:v>
      </x:c>
      <x:c r="AL568" s="9" t="str">
        <x:v>MolmoAct2 Results</x:v>
      </x:c>
      <x:c r="AM568" s="9" t="n">
        <x:v>118</x:v>
      </x:c>
      <x:c r="AN568" s="9" t="n">
        <x:v>118</x:v>
      </x:c>
    </x:row>
    <x:row r="569">
      <x:c r="A569" s="9" t="str">
        <x:v>Failure</x:v>
      </x:c>
      <x:c r="B569" s="9" t="str">
        <x:v>Relational Placement</x:v>
      </x:c>
      <x:c r="C569" s="10" t="n">
        <x:v>117</x:v>
      </x:c>
      <x:c r="D569" s="9" t="str">
        <x:v>Place the blue block behind the juggling ball.</x:v>
      </x:c>
      <x:c r="E569" s="9" t="str">
        <x:v>juggling ball, blue block, red block, pink marker</x:v>
      </x:c>
      <x:c r="F569" s="9" t="str">
        <x:v>blue block → 2–8 cm edge gap behind juggling ball; centroid direction within ±45°.</x:v>
      </x:c>
      <x:c r="G569" s="9" t="str">
        <x:v>dropped blue block and kind of went out of range. Seemed like it was trying to place the blue block by the red block.</x:v>
      </x:c>
      <x:c r="H569" s="9" t="str">
        <x:v>Cross-task-object directional reasoning</x:v>
      </x:c>
      <x:c r="I569" s="9" t="str">
        <x:v>RP-XT-CF02</x:v>
      </x:c>
      <x:c r="J569" s="9" t="str">
        <x:v>Four-way cross-task counterfactual: front/behind polarity × juggling-ball target/reference role</x:v>
      </x:c>
      <x:c r="K569" s="9" t="n">
        <x:v>114</x:v>
      </x:c>
      <x:c r="L569" s="9" t="str">
        <x:v>1101 (juggling-ball exposure); 362 (behind relation with blue block as target)</x:v>
      </x:c>
      <x:c r="M569" s="9"/>
      <x:c r="N569" s="9"/>
      <x:c r="O569" s="9" t="str">
        <x:v>Reset every manipulated core object to its marked pose; preserve the exact scene and change only the instruction.</x:v>
      </x:c>
      <x:c r="P569" s="9" t="str">
        <x:v>The juggling ball is globally familiar but absent from Relational Placement training. This exact-scene family crosses direction with its reference role and contains no direct-name control.</x:v>
      </x:c>
      <x:c r="Q569" s="9"/>
      <x:c r="R569" s="10" t="n">
        <x:v>4</x:v>
      </x:c>
      <x:c r="S569" s="10"/>
      <x:c r="T569" s="9"/>
      <x:c r="U569" s="9"/>
      <x:c r="V569" s="9"/>
      <x:c r="W569" s="9"/>
      <x:c r="X569" s="10"/>
      <x:c r="Y569" s="10"/>
      <x:c r="Z569" s="9"/>
      <x:c r="AA569" s="9"/>
      <x:c r="AB569" s="9"/>
      <x:c r="AC569" s="9" t="str">
        <x:v>behind</x:v>
      </x:c>
      <x:c r="AD569" s="9" t="str">
        <x:v>blue block</x:v>
      </x:c>
      <x:c r="AE569" s="9" t="str">
        <x:v>juggling ball</x:v>
      </x:c>
      <x:c r="AF569" s="9" t="str">
        <x:v>Reference</x:v>
      </x:c>
      <x:c r="AG569" s="9"/>
      <x:c r="AH569" s="9"/>
      <x:c r="AI569" s="11"/>
      <x:c r="AJ569" s="9"/>
      <x:c r="AK569" s="9" t="str">
        <x:v>Eval_Relational_Placement (1).xlsm</x:v>
      </x:c>
      <x:c r="AL569" s="9" t="str">
        <x:v>MolmoAct2 Results</x:v>
      </x:c>
      <x:c r="AM569" s="9" t="n">
        <x:v>119</x:v>
      </x:c>
      <x:c r="AN569" s="9" t="n">
        <x:v>119</x:v>
      </x:c>
    </x:row>
    <x:row r="570">
      <x:c r="A570" s="9" t="str">
        <x:v>Success</x:v>
      </x:c>
      <x:c r="B570" s="9" t="str">
        <x:v>Relational Placement</x:v>
      </x:c>
      <x:c r="C570" s="10" t="n">
        <x:v>118</x:v>
      </x:c>
      <x:c r="D570" s="9" t="str">
        <x:v>Place the juggling ball to the left of the green pen.</x:v>
      </x:c>
      <x:c r="E570" s="9" t="str">
        <x:v>juggling ball, green pen, blue block</x:v>
      </x:c>
      <x:c r="F570" s="9" t="str">
        <x:v>juggling ball → 2–8 cm edge gap to the left of green pen; centroid direction within ±45°.</x:v>
      </x:c>
      <x:c r="G570" s="9"/>
      <x:c r="H570" s="9" t="str">
        <x:v>Cross-task-object directional reasoning</x:v>
      </x:c>
      <x:c r="I570" s="9" t="str">
        <x:v>RP-XT-CF03</x:v>
      </x:c>
      <x:c r="J570" s="9" t="str">
        <x:v>Four-way cross-task counterfactual: left/right polarity × juggling-ball target/reference role</x:v>
      </x:c>
      <x:c r="K570" s="9"/>
      <x:c r="L570" s="9" t="str">
        <x:v>1102 (juggling-ball exposure); 229 (left relation)</x:v>
      </x:c>
      <x:c r="M570" s="9"/>
      <x:c r="N570" s="9"/>
      <x:c r="O570" s="9" t="str">
        <x:v>Build the listed neutral-axis scene and save the first frame.</x:v>
      </x:c>
      <x:c r="P570" s="9" t="str">
        <x:v>The juggling ball is globally familiar but absent from Relational Placement training. This exact-scene family crosses direction with its target role and contains no direct-name control.</x:v>
      </x:c>
      <x:c r="Q570" s="9"/>
      <x:c r="R570" s="10" t="n">
        <x:v>3</x:v>
      </x:c>
      <x:c r="S570" s="10"/>
      <x:c r="T570" s="9"/>
      <x:c r="U570" s="9"/>
      <x:c r="V570" s="9"/>
      <x:c r="W570" s="9"/>
      <x:c r="X570" s="10"/>
      <x:c r="Y570" s="10"/>
      <x:c r="Z570" s="9"/>
      <x:c r="AA570" s="9"/>
      <x:c r="AB570" s="9"/>
      <x:c r="AC570" s="9" t="str">
        <x:v>left</x:v>
      </x:c>
      <x:c r="AD570" s="9" t="str">
        <x:v>juggling ball</x:v>
      </x:c>
      <x:c r="AE570" s="9" t="str">
        <x:v>green pen</x:v>
      </x:c>
      <x:c r="AF570" s="9" t="str">
        <x:v>Target</x:v>
      </x:c>
      <x:c r="AG570" s="9"/>
      <x:c r="AH570" s="9"/>
      <x:c r="AI570" s="11"/>
      <x:c r="AJ570" s="9"/>
      <x:c r="AK570" s="9" t="str">
        <x:v>Eval_Relational_Placement (1).xlsm</x:v>
      </x:c>
      <x:c r="AL570" s="9" t="str">
        <x:v>MolmoAct2 Results</x:v>
      </x:c>
      <x:c r="AM570" s="9" t="n">
        <x:v>120</x:v>
      </x:c>
      <x:c r="AN570" s="9" t="n">
        <x:v>120</x:v>
      </x:c>
    </x:row>
    <x:row r="571">
      <x:c r="A571" s="9" t="str">
        <x:v>Failure</x:v>
      </x:c>
      <x:c r="B571" s="9" t="str">
        <x:v>Relational Placement</x:v>
      </x:c>
      <x:c r="C571" s="10" t="n">
        <x:v>119</x:v>
      </x:c>
      <x:c r="D571" s="9" t="str">
        <x:v>Place the juggling ball to the right of the green pen.</x:v>
      </x:c>
      <x:c r="E571" s="9" t="str">
        <x:v>juggling ball, green pen, blue block</x:v>
      </x:c>
      <x:c r="F571" s="9" t="str">
        <x:v>juggling ball → 2–8 cm edge gap to the right of green pen; centroid direction within ±45°.</x:v>
      </x:c>
      <x:c r="G571" s="9" t="str">
        <x:v>placed to left</x:v>
      </x:c>
      <x:c r="H571" s="9" t="str">
        <x:v>Cross-task-object directional reasoning</x:v>
      </x:c>
      <x:c r="I571" s="9" t="str">
        <x:v>RP-XT-CF03</x:v>
      </x:c>
      <x:c r="J571" s="9" t="str">
        <x:v>Four-way cross-task counterfactual: left/right polarity × juggling-ball target/reference role</x:v>
      </x:c>
      <x:c r="K571" s="9" t="n">
        <x:v>118</x:v>
      </x:c>
      <x:c r="L571" s="9" t="str">
        <x:v>1102 (juggling-ball exposure); 243 (right relation)</x:v>
      </x:c>
      <x:c r="M571" s="9"/>
      <x:c r="N571" s="9"/>
      <x:c r="O571" s="9" t="str">
        <x:v>Reset every manipulated core object to its marked pose; preserve the exact scene and change only the instruction.</x:v>
      </x:c>
      <x:c r="P571" s="9" t="str">
        <x:v>The juggling ball is globally familiar but absent from Relational Placement training. This exact-scene family crosses direction with its target role and contains no direct-name control.</x:v>
      </x:c>
      <x:c r="Q571" s="9"/>
      <x:c r="R571" s="10" t="n">
        <x:v>3</x:v>
      </x:c>
      <x:c r="S571" s="10"/>
      <x:c r="T571" s="9"/>
      <x:c r="U571" s="9"/>
      <x:c r="V571" s="9"/>
      <x:c r="W571" s="9"/>
      <x:c r="X571" s="10"/>
      <x:c r="Y571" s="10"/>
      <x:c r="Z571" s="9"/>
      <x:c r="AA571" s="9"/>
      <x:c r="AB571" s="9"/>
      <x:c r="AC571" s="9" t="str">
        <x:v>right</x:v>
      </x:c>
      <x:c r="AD571" s="9" t="str">
        <x:v>juggling ball</x:v>
      </x:c>
      <x:c r="AE571" s="9" t="str">
        <x:v>green pen</x:v>
      </x:c>
      <x:c r="AF571" s="9" t="str">
        <x:v>Target</x:v>
      </x:c>
      <x:c r="AG571" s="9"/>
      <x:c r="AH571" s="9"/>
      <x:c r="AI571" s="11"/>
      <x:c r="AJ571" s="9"/>
      <x:c r="AK571" s="9" t="str">
        <x:v>Eval_Relational_Placement (1).xlsm</x:v>
      </x:c>
      <x:c r="AL571" s="9" t="str">
        <x:v>MolmoAct2 Results</x:v>
      </x:c>
      <x:c r="AM571" s="9" t="n">
        <x:v>121</x:v>
      </x:c>
      <x:c r="AN571" s="9" t="n">
        <x:v>121</x:v>
      </x:c>
    </x:row>
    <x:row r="572">
      <x:c r="A572" s="9" t="str">
        <x:v>Failure</x:v>
      </x:c>
      <x:c r="B572" s="9" t="str">
        <x:v>Relational Placement</x:v>
      </x:c>
      <x:c r="C572" s="10" t="n">
        <x:v>120</x:v>
      </x:c>
      <x:c r="D572" s="9" t="str">
        <x:v>Place the green pen to the left of the juggling ball.</x:v>
      </x:c>
      <x:c r="E572" s="9" t="str">
        <x:v>juggling ball, green pen, blue block</x:v>
      </x:c>
      <x:c r="F572" s="9" t="str">
        <x:v>green pen → 2–8 cm edge gap to the left of juggling ball; centroid direction within ±45°.</x:v>
      </x:c>
      <x:c r="G572" s="9" t="str">
        <x:v>placed right</x:v>
      </x:c>
      <x:c r="H572" s="9" t="str">
        <x:v>Cross-task-object directional reasoning</x:v>
      </x:c>
      <x:c r="I572" s="9" t="str">
        <x:v>RP-XT-CF03</x:v>
      </x:c>
      <x:c r="J572" s="9" t="str">
        <x:v>Four-way cross-task counterfactual: left/right polarity × juggling-ball target/reference role</x:v>
      </x:c>
      <x:c r="K572" s="9" t="n">
        <x:v>118</x:v>
      </x:c>
      <x:c r="L572" s="9" t="str">
        <x:v>1102 (juggling-ball exposure); 229 (left relation with green pen as target)</x:v>
      </x:c>
      <x:c r="M572" s="9"/>
      <x:c r="N572" s="9"/>
      <x:c r="O572" s="9" t="str">
        <x:v>Reset every manipulated core object to its marked pose; preserve the exact scene and change only the instruction.</x:v>
      </x:c>
      <x:c r="P572" s="9" t="str">
        <x:v>The juggling ball is globally familiar but absent from Relational Placement training. This exact-scene family crosses direction with its reference role and contains no direct-name control.</x:v>
      </x:c>
      <x:c r="Q572" s="9"/>
      <x:c r="R572" s="10" t="n">
        <x:v>3</x:v>
      </x:c>
      <x:c r="S572" s="10"/>
      <x:c r="T572" s="9"/>
      <x:c r="U572" s="9"/>
      <x:c r="V572" s="9"/>
      <x:c r="W572" s="9"/>
      <x:c r="X572" s="10"/>
      <x:c r="Y572" s="10"/>
      <x:c r="Z572" s="9"/>
      <x:c r="AA572" s="9"/>
      <x:c r="AB572" s="9"/>
      <x:c r="AC572" s="9" t="str">
        <x:v>left</x:v>
      </x:c>
      <x:c r="AD572" s="9" t="str">
        <x:v>green pen</x:v>
      </x:c>
      <x:c r="AE572" s="9" t="str">
        <x:v>juggling ball</x:v>
      </x:c>
      <x:c r="AF572" s="9" t="str">
        <x:v>Reference</x:v>
      </x:c>
      <x:c r="AG572" s="9"/>
      <x:c r="AH572" s="9"/>
      <x:c r="AI572" s="11"/>
      <x:c r="AJ572" s="9"/>
      <x:c r="AK572" s="9" t="str">
        <x:v>Eval_Relational_Placement (1).xlsm</x:v>
      </x:c>
      <x:c r="AL572" s="9" t="str">
        <x:v>MolmoAct2 Results</x:v>
      </x:c>
      <x:c r="AM572" s="9" t="n">
        <x:v>122</x:v>
      </x:c>
      <x:c r="AN572" s="9" t="n">
        <x:v>122</x:v>
      </x:c>
    </x:row>
    <x:row r="573">
      <x:c r="A573" s="9" t="str">
        <x:v>Failure</x:v>
      </x:c>
      <x:c r="B573" s="9" t="str">
        <x:v>Relational Placement</x:v>
      </x:c>
      <x:c r="C573" s="10" t="n">
        <x:v>121</x:v>
      </x:c>
      <x:c r="D573" s="9" t="str">
        <x:v>Place the green pen to the right of the juggling ball.</x:v>
      </x:c>
      <x:c r="E573" s="9" t="str">
        <x:v>juggling ball, green pen, blue block</x:v>
      </x:c>
      <x:c r="F573" s="9" t="str">
        <x:v>green pen → 2–8 cm edge gap to the right of juggling ball; centroid direction within ±45°.</x:v>
      </x:c>
      <x:c r="G573" s="9" t="str">
        <x:v>placed to the left of the blue block. went back for a it a few times, but kept leaving it in basically the same spot</x:v>
      </x:c>
      <x:c r="H573" s="9" t="str">
        <x:v>Cross-task-object directional reasoning</x:v>
      </x:c>
      <x:c r="I573" s="9" t="str">
        <x:v>RP-XT-CF03</x:v>
      </x:c>
      <x:c r="J573" s="9" t="str">
        <x:v>Four-way cross-task counterfactual: left/right polarity × juggling-ball target/reference role</x:v>
      </x:c>
      <x:c r="K573" s="9" t="n">
        <x:v>118</x:v>
      </x:c>
      <x:c r="L573" s="9" t="str">
        <x:v>1102 (juggling-ball exposure); 243 (right relation with green pen as target)</x:v>
      </x:c>
      <x:c r="M573" s="9"/>
      <x:c r="N573" s="9"/>
      <x:c r="O573" s="9" t="str">
        <x:v>Reset every manipulated core object to its marked pose; preserve the exact scene and change only the instruction.</x:v>
      </x:c>
      <x:c r="P573" s="9" t="str">
        <x:v>The juggling ball is globally familiar but absent from Relational Placement training. This exact-scene family crosses direction with its reference role and contains no direct-name control.</x:v>
      </x:c>
      <x:c r="Q573" s="9"/>
      <x:c r="R573" s="10" t="n">
        <x:v>3</x:v>
      </x:c>
      <x:c r="S573" s="10"/>
      <x:c r="T573" s="9"/>
      <x:c r="U573" s="9"/>
      <x:c r="V573" s="9"/>
      <x:c r="W573" s="9"/>
      <x:c r="X573" s="10"/>
      <x:c r="Y573" s="10"/>
      <x:c r="Z573" s="9"/>
      <x:c r="AA573" s="9"/>
      <x:c r="AB573" s="9"/>
      <x:c r="AC573" s="9" t="str">
        <x:v>right</x:v>
      </x:c>
      <x:c r="AD573" s="9" t="str">
        <x:v>green pen</x:v>
      </x:c>
      <x:c r="AE573" s="9" t="str">
        <x:v>juggling ball</x:v>
      </x:c>
      <x:c r="AF573" s="9" t="str">
        <x:v>Reference</x:v>
      </x:c>
      <x:c r="AG573" s="9"/>
      <x:c r="AH573" s="9"/>
      <x:c r="AI573" s="11"/>
      <x:c r="AJ573" s="9"/>
      <x:c r="AK573" s="9" t="str">
        <x:v>Eval_Relational_Placement (1).xlsm</x:v>
      </x:c>
      <x:c r="AL573" s="9" t="str">
        <x:v>MolmoAct2 Results</x:v>
      </x:c>
      <x:c r="AM573" s="9" t="n">
        <x:v>123</x:v>
      </x:c>
      <x:c r="AN573" s="9" t="n">
        <x:v>123</x:v>
      </x:c>
    </x:row>
    <x:row r="574">
      <x:c r="A574" s="9" t="str">
        <x:v>Failure</x:v>
      </x:c>
      <x:c r="B574" s="9" t="str">
        <x:v>Relational Placement</x:v>
      </x:c>
      <x:c r="C574" s="10" t="n">
        <x:v>122</x:v>
      </x:c>
      <x:c r="D574" s="9" t="str">
        <x:v>Place the juggling ball to the left of the red block.</x:v>
      </x:c>
      <x:c r="E574" s="9" t="str">
        <x:v>juggling ball, red block, pink marker, blue block</x:v>
      </x:c>
      <x:c r="F574" s="9" t="str">
        <x:v>juggling ball → 2–8 cm edge gap to the left of red block; centroid direction within ±45°.</x:v>
      </x:c>
      <x:c r="G574" s="9" t="str">
        <x:v>placed in front. started to put it on the left, hesitated, then put in front</x:v>
      </x:c>
      <x:c r="H574" s="9" t="str">
        <x:v>Cross-task-object directional reasoning</x:v>
      </x:c>
      <x:c r="I574" s="9" t="str">
        <x:v>RP-XT-CF04</x:v>
      </x:c>
      <x:c r="J574" s="9" t="str">
        <x:v>Four-way cross-task counterfactual: left/right polarity × juggling-ball target/reference role</x:v>
      </x:c>
      <x:c r="K574" s="9"/>
      <x:c r="L574" s="9" t="str">
        <x:v>1103 (juggling-ball exposure); 275 (left relation)</x:v>
      </x:c>
      <x:c r="M574" s="9"/>
      <x:c r="N574" s="9"/>
      <x:c r="O574" s="9" t="str">
        <x:v>Build the listed neutral-axis scene and save the first frame.</x:v>
      </x:c>
      <x:c r="P574" s="9" t="str">
        <x:v>The juggling ball is globally familiar but absent from Relational Placement training. This exact-scene family crosses direction with its target role and contains no direct-name control.</x:v>
      </x:c>
      <x:c r="Q574" s="9"/>
      <x:c r="R574" s="10" t="n">
        <x:v>4</x:v>
      </x:c>
      <x:c r="S574" s="10"/>
      <x:c r="T574" s="9"/>
      <x:c r="U574" s="9"/>
      <x:c r="V574" s="9"/>
      <x:c r="W574" s="9"/>
      <x:c r="X574" s="10"/>
      <x:c r="Y574" s="10"/>
      <x:c r="Z574" s="9"/>
      <x:c r="AA574" s="9"/>
      <x:c r="AB574" s="9"/>
      <x:c r="AC574" s="9" t="str">
        <x:v>left</x:v>
      </x:c>
      <x:c r="AD574" s="9" t="str">
        <x:v>juggling ball</x:v>
      </x:c>
      <x:c r="AE574" s="9" t="str">
        <x:v>red block</x:v>
      </x:c>
      <x:c r="AF574" s="9" t="str">
        <x:v>Target</x:v>
      </x:c>
      <x:c r="AG574" s="9"/>
      <x:c r="AH574" s="9"/>
      <x:c r="AI574" s="11"/>
      <x:c r="AJ574" s="9"/>
      <x:c r="AK574" s="9" t="str">
        <x:v>Eval_Relational_Placement (1).xlsm</x:v>
      </x:c>
      <x:c r="AL574" s="9" t="str">
        <x:v>MolmoAct2 Results</x:v>
      </x:c>
      <x:c r="AM574" s="9" t="n">
        <x:v>124</x:v>
      </x:c>
      <x:c r="AN574" s="9" t="n">
        <x:v>124</x:v>
      </x:c>
    </x:row>
    <x:row r="575">
      <x:c r="A575" s="9" t="str">
        <x:v>Failure</x:v>
      </x:c>
      <x:c r="B575" s="9" t="str">
        <x:v>Relational Placement</x:v>
      </x:c>
      <x:c r="C575" s="10" t="n">
        <x:v>123</x:v>
      </x:c>
      <x:c r="D575" s="9" t="str">
        <x:v>Place the juggling ball to the right of the red block.</x:v>
      </x:c>
      <x:c r="E575" s="9" t="str">
        <x:v>juggling ball, red block, pink marker, blue block</x:v>
      </x:c>
      <x:c r="F575" s="9" t="str">
        <x:v>juggling ball → 2–8 cm edge gap to the right of red block; centroid direction within ±45°.</x:v>
      </x:c>
      <x:c r="G575" s="9" t="str">
        <x:v>placed on front left</x:v>
      </x:c>
      <x:c r="H575" s="9" t="str">
        <x:v>Cross-task-object directional reasoning</x:v>
      </x:c>
      <x:c r="I575" s="9" t="str">
        <x:v>RP-XT-CF04</x:v>
      </x:c>
      <x:c r="J575" s="9" t="str">
        <x:v>Four-way cross-task counterfactual: left/right polarity × juggling-ball target/reference role</x:v>
      </x:c>
      <x:c r="K575" s="9" t="n">
        <x:v>122</x:v>
      </x:c>
      <x:c r="L575" s="9" t="str">
        <x:v>1103 (juggling-ball exposure); 287 (right relation)</x:v>
      </x:c>
      <x:c r="M575" s="9"/>
      <x:c r="N575" s="9"/>
      <x:c r="O575" s="9" t="str">
        <x:v>Reset every manipulated core object to its marked pose; preserve the exact scene and change only the instruction.</x:v>
      </x:c>
      <x:c r="P575" s="9" t="str">
        <x:v>The juggling ball is globally familiar but absent from Relational Placement training. This exact-scene family crosses direction with its target role and contains no direct-name control.</x:v>
      </x:c>
      <x:c r="Q575" s="9"/>
      <x:c r="R575" s="10" t="n">
        <x:v>4</x:v>
      </x:c>
      <x:c r="S575" s="10"/>
      <x:c r="T575" s="9"/>
      <x:c r="U575" s="9"/>
      <x:c r="V575" s="9"/>
      <x:c r="W575" s="9"/>
      <x:c r="X575" s="10"/>
      <x:c r="Y575" s="10"/>
      <x:c r="Z575" s="9"/>
      <x:c r="AA575" s="9"/>
      <x:c r="AB575" s="9"/>
      <x:c r="AC575" s="9" t="str">
        <x:v>right</x:v>
      </x:c>
      <x:c r="AD575" s="9" t="str">
        <x:v>juggling ball</x:v>
      </x:c>
      <x:c r="AE575" s="9" t="str">
        <x:v>red block</x:v>
      </x:c>
      <x:c r="AF575" s="9" t="str">
        <x:v>Target</x:v>
      </x:c>
      <x:c r="AG575" s="9"/>
      <x:c r="AH575" s="9"/>
      <x:c r="AI575" s="11"/>
      <x:c r="AJ575" s="9"/>
      <x:c r="AK575" s="9" t="str">
        <x:v>Eval_Relational_Placement (1).xlsm</x:v>
      </x:c>
      <x:c r="AL575" s="9" t="str">
        <x:v>MolmoAct2 Results</x:v>
      </x:c>
      <x:c r="AM575" s="9" t="n">
        <x:v>125</x:v>
      </x:c>
      <x:c r="AN575" s="9" t="n">
        <x:v>125</x:v>
      </x:c>
    </x:row>
    <x:row r="576">
      <x:c r="A576" s="9" t="str">
        <x:v>Failure</x:v>
      </x:c>
      <x:c r="B576" s="9" t="str">
        <x:v>Relational Placement</x:v>
      </x:c>
      <x:c r="C576" s="10" t="n">
        <x:v>124</x:v>
      </x:c>
      <x:c r="D576" s="9" t="str">
        <x:v>Place the red block to the left of the juggling ball.</x:v>
      </x:c>
      <x:c r="E576" s="9" t="str">
        <x:v>juggling ball, red block, pink marker, blue block</x:v>
      </x:c>
      <x:c r="F576" s="9" t="str">
        <x:v>red block → 2–8 cm edge gap to the left of juggling ball; centroid direction within ±45°.</x:v>
      </x:c>
      <x:c r="G576" s="9" t="str">
        <x:v>placed on top of the juggling ball</x:v>
      </x:c>
      <x:c r="H576" s="9" t="str">
        <x:v>Cross-task-object directional reasoning</x:v>
      </x:c>
      <x:c r="I576" s="9" t="str">
        <x:v>RP-XT-CF04</x:v>
      </x:c>
      <x:c r="J576" s="9" t="str">
        <x:v>Four-way cross-task counterfactual: left/right polarity × juggling-ball target/reference role</x:v>
      </x:c>
      <x:c r="K576" s="9" t="n">
        <x:v>122</x:v>
      </x:c>
      <x:c r="L576" s="9" t="str">
        <x:v>1103 (juggling-ball exposure); 275 (left relation with red block as target)</x:v>
      </x:c>
      <x:c r="M576" s="9"/>
      <x:c r="N576" s="9"/>
      <x:c r="O576" s="9" t="str">
        <x:v>Reset every manipulated core object to its marked pose; preserve the exact scene and change only the instruction.</x:v>
      </x:c>
      <x:c r="P576" s="9" t="str">
        <x:v>The juggling ball is globally familiar but absent from Relational Placement training. This exact-scene family crosses direction with its reference role and contains no direct-name control.</x:v>
      </x:c>
      <x:c r="Q576" s="9"/>
      <x:c r="R576" s="10" t="n">
        <x:v>4</x:v>
      </x:c>
      <x:c r="S576" s="10"/>
      <x:c r="T576" s="9"/>
      <x:c r="U576" s="9"/>
      <x:c r="V576" s="9"/>
      <x:c r="W576" s="9"/>
      <x:c r="X576" s="10"/>
      <x:c r="Y576" s="10"/>
      <x:c r="Z576" s="9"/>
      <x:c r="AA576" s="9"/>
      <x:c r="AB576" s="9"/>
      <x:c r="AC576" s="9" t="str">
        <x:v>left</x:v>
      </x:c>
      <x:c r="AD576" s="9" t="str">
        <x:v>red block</x:v>
      </x:c>
      <x:c r="AE576" s="9" t="str">
        <x:v>juggling ball</x:v>
      </x:c>
      <x:c r="AF576" s="9" t="str">
        <x:v>Reference</x:v>
      </x:c>
      <x:c r="AG576" s="9"/>
      <x:c r="AH576" s="9"/>
      <x:c r="AI576" s="11"/>
      <x:c r="AJ576" s="9"/>
      <x:c r="AK576" s="9" t="str">
        <x:v>Eval_Relational_Placement (1).xlsm</x:v>
      </x:c>
      <x:c r="AL576" s="9" t="str">
        <x:v>MolmoAct2 Results</x:v>
      </x:c>
      <x:c r="AM576" s="9" t="n">
        <x:v>126</x:v>
      </x:c>
      <x:c r="AN576" s="9" t="n">
        <x:v>126</x:v>
      </x:c>
    </x:row>
    <x:row r="577">
      <x:c r="A577" s="9" t="str">
        <x:v>Failure</x:v>
      </x:c>
      <x:c r="B577" s="9" t="str">
        <x:v>Relational Placement</x:v>
      </x:c>
      <x:c r="C577" s="10" t="n">
        <x:v>125</x:v>
      </x:c>
      <x:c r="D577" s="9" t="str">
        <x:v>Place the red block to the right of the juggling ball.</x:v>
      </x:c>
      <x:c r="E577" s="9" t="str">
        <x:v>juggling ball, red block, pink marker, blue block</x:v>
      </x:c>
      <x:c r="F577" s="9" t="str">
        <x:v>red block → 2–8 cm edge gap to the right of juggling ball; centroid direction within ±45°.</x:v>
      </x:c>
      <x:c r="G577" s="9" t="str">
        <x:v>placed on left back </x:v>
      </x:c>
      <x:c r="H577" s="9" t="str">
        <x:v>Cross-task-object directional reasoning</x:v>
      </x:c>
      <x:c r="I577" s="9" t="str">
        <x:v>RP-XT-CF04</x:v>
      </x:c>
      <x:c r="J577" s="9" t="str">
        <x:v>Four-way cross-task counterfactual: left/right polarity × juggling-ball target/reference role</x:v>
      </x:c>
      <x:c r="K577" s="9" t="n">
        <x:v>122</x:v>
      </x:c>
      <x:c r="L577" s="9" t="str">
        <x:v>1103 (juggling-ball exposure); 287 (right relation with red block as target)</x:v>
      </x:c>
      <x:c r="M577" s="9"/>
      <x:c r="N577" s="9"/>
      <x:c r="O577" s="9" t="str">
        <x:v>Reset every manipulated core object to its marked pose; preserve the exact scene and change only the instruction.</x:v>
      </x:c>
      <x:c r="P577" s="9" t="str">
        <x:v>The juggling ball is globally familiar but absent from Relational Placement training. This exact-scene family crosses direction with its reference role and contains no direct-name control.</x:v>
      </x:c>
      <x:c r="Q577" s="9"/>
      <x:c r="R577" s="10" t="n">
        <x:v>4</x:v>
      </x:c>
      <x:c r="S577" s="10"/>
      <x:c r="T577" s="9"/>
      <x:c r="U577" s="9"/>
      <x:c r="V577" s="9"/>
      <x:c r="W577" s="9"/>
      <x:c r="X577" s="10"/>
      <x:c r="Y577" s="10"/>
      <x:c r="Z577" s="9"/>
      <x:c r="AA577" s="9"/>
      <x:c r="AB577" s="9"/>
      <x:c r="AC577" s="9" t="str">
        <x:v>right</x:v>
      </x:c>
      <x:c r="AD577" s="9" t="str">
        <x:v>red block</x:v>
      </x:c>
      <x:c r="AE577" s="9" t="str">
        <x:v>juggling ball</x:v>
      </x:c>
      <x:c r="AF577" s="9" t="str">
        <x:v>Reference</x:v>
      </x:c>
      <x:c r="AG577" s="9"/>
      <x:c r="AH577" s="9"/>
      <x:c r="AI577" s="11"/>
      <x:c r="AJ577" s="9"/>
      <x:c r="AK577" s="9" t="str">
        <x:v>Eval_Relational_Placement (1).xlsm</x:v>
      </x:c>
      <x:c r="AL577" s="9" t="str">
        <x:v>MolmoAct2 Results</x:v>
      </x:c>
      <x:c r="AM577" s="9" t="n">
        <x:v>127</x:v>
      </x:c>
      <x:c r="AN577" s="9" t="n">
        <x:v>127</x:v>
      </x:c>
    </x:row>
    <x:row r="578">
      <x:c r="A578" s="9" t="str">
        <x:v>Success</x:v>
      </x:c>
      <x:c r="B578" s="9" t="str">
        <x:v>Relational Placement</x:v>
      </x:c>
      <x:c r="C578" s="10" t="n">
        <x:v>126</x:v>
      </x:c>
      <x:c r="D578" s="9" t="str">
        <x:v>Place the juggling ball in front of the red block.</x:v>
      </x:c>
      <x:c r="E578" s="9" t="str">
        <x:v>juggling ball, red block, green pen, blue block</x:v>
      </x:c>
      <x:c r="F578" s="9" t="str">
        <x:v>juggling ball → 2–8 cm edge gap in front of red block; centroid direction within ±45°.</x:v>
      </x:c>
      <x:c r="G578" s="9"/>
      <x:c r="H578" s="9" t="str">
        <x:v>Cross-task-object directional reasoning</x:v>
      </x:c>
      <x:c r="I578" s="9" t="str">
        <x:v>RP-XT-CF05</x:v>
      </x:c>
      <x:c r="J578" s="9" t="str">
        <x:v>Four-prompt mixed-axis cross-task counterfactual with two juggling-ball targets and two references</x:v>
      </x:c>
      <x:c r="K578" s="9"/>
      <x:c r="L578" s="9" t="str">
        <x:v>1104 (juggling-ball exposure); 254 (front relation)</x:v>
      </x:c>
      <x:c r="M578" s="9"/>
      <x:c r="N578" s="9"/>
      <x:c r="O578" s="9" t="str">
        <x:v>Build the listed neutral-axis scene and save the first frame.</x:v>
      </x:c>
      <x:c r="P578" s="9" t="str">
        <x:v>The juggling ball is globally familiar but absent from Relational Placement training. This exact-scene family crosses direction with its target role and contains no direct-name control.</x:v>
      </x:c>
      <x:c r="Q578" s="9"/>
      <x:c r="R578" s="10" t="n">
        <x:v>4</x:v>
      </x:c>
      <x:c r="S578" s="10"/>
      <x:c r="T578" s="9"/>
      <x:c r="U578" s="9"/>
      <x:c r="V578" s="9"/>
      <x:c r="W578" s="9"/>
      <x:c r="X578" s="10"/>
      <x:c r="Y578" s="10"/>
      <x:c r="Z578" s="9"/>
      <x:c r="AA578" s="9"/>
      <x:c r="AB578" s="9"/>
      <x:c r="AC578" s="9" t="str">
        <x:v>front</x:v>
      </x:c>
      <x:c r="AD578" s="9" t="str">
        <x:v>juggling ball</x:v>
      </x:c>
      <x:c r="AE578" s="9" t="str">
        <x:v>red block</x:v>
      </x:c>
      <x:c r="AF578" s="9" t="str">
        <x:v>Target</x:v>
      </x:c>
      <x:c r="AG578" s="9"/>
      <x:c r="AH578" s="9"/>
      <x:c r="AI578" s="11"/>
      <x:c r="AJ578" s="9"/>
      <x:c r="AK578" s="9" t="str">
        <x:v>Eval_Relational_Placement (1).xlsm</x:v>
      </x:c>
      <x:c r="AL578" s="9" t="str">
        <x:v>MolmoAct2 Results</x:v>
      </x:c>
      <x:c r="AM578" s="9" t="n">
        <x:v>128</x:v>
      </x:c>
      <x:c r="AN578" s="9" t="n">
        <x:v>128</x:v>
      </x:c>
    </x:row>
    <x:row r="579">
      <x:c r="A579" s="9" t="str">
        <x:v>Failure</x:v>
      </x:c>
      <x:c r="B579" s="9" t="str">
        <x:v>Relational Placement</x:v>
      </x:c>
      <x:c r="C579" s="10" t="n">
        <x:v>127</x:v>
      </x:c>
      <x:c r="D579" s="9" t="str">
        <x:v>Place the red block behind the juggling ball.</x:v>
      </x:c>
      <x:c r="E579" s="9" t="str">
        <x:v>juggling ball, red block, green pen, blue block</x:v>
      </x:c>
      <x:c r="F579" s="9" t="str">
        <x:v>red block → 2–8 cm edge gap behind juggling ball; centroid direction within ±45°.</x:v>
      </x:c>
      <x:c r="G579" s="9" t="str">
        <x:v>placed on top of juggling ball</x:v>
      </x:c>
      <x:c r="H579" s="9" t="str">
        <x:v>Cross-task-object directional reasoning</x:v>
      </x:c>
      <x:c r="I579" s="9" t="str">
        <x:v>RP-XT-CF05</x:v>
      </x:c>
      <x:c r="J579" s="9" t="str">
        <x:v>Four-prompt mixed-axis cross-task counterfactual with two juggling-ball targets and two references</x:v>
      </x:c>
      <x:c r="K579" s="9" t="n">
        <x:v>126</x:v>
      </x:c>
      <x:c r="L579" s="9" t="str">
        <x:v>1104 (juggling-ball exposure); 270 (behind relation with red block as target)</x:v>
      </x:c>
      <x:c r="M579" s="9"/>
      <x:c r="N579" s="9"/>
      <x:c r="O579" s="9" t="str">
        <x:v>Reset every manipulated core object to its marked pose; preserve the exact scene and change only the instruction.</x:v>
      </x:c>
      <x:c r="P579" s="9" t="str">
        <x:v>The juggling ball is globally familiar but absent from Relational Placement training. This exact-scene family crosses direction with its reference role and contains no direct-name control.</x:v>
      </x:c>
      <x:c r="Q579" s="9"/>
      <x:c r="R579" s="10" t="n">
        <x:v>4</x:v>
      </x:c>
      <x:c r="S579" s="10"/>
      <x:c r="T579" s="9"/>
      <x:c r="U579" s="9"/>
      <x:c r="V579" s="9"/>
      <x:c r="W579" s="9"/>
      <x:c r="X579" s="10"/>
      <x:c r="Y579" s="10"/>
      <x:c r="Z579" s="9"/>
      <x:c r="AA579" s="9"/>
      <x:c r="AB579" s="9"/>
      <x:c r="AC579" s="9" t="str">
        <x:v>behind</x:v>
      </x:c>
      <x:c r="AD579" s="9" t="str">
        <x:v>red block</x:v>
      </x:c>
      <x:c r="AE579" s="9" t="str">
        <x:v>juggling ball</x:v>
      </x:c>
      <x:c r="AF579" s="9" t="str">
        <x:v>Reference</x:v>
      </x:c>
      <x:c r="AG579" s="9"/>
      <x:c r="AH579" s="9"/>
      <x:c r="AI579" s="11"/>
      <x:c r="AJ579" s="9"/>
      <x:c r="AK579" s="9" t="str">
        <x:v>Eval_Relational_Placement (1).xlsm</x:v>
      </x:c>
      <x:c r="AL579" s="9" t="str">
        <x:v>MolmoAct2 Results</x:v>
      </x:c>
      <x:c r="AM579" s="9" t="n">
        <x:v>129</x:v>
      </x:c>
      <x:c r="AN579" s="9" t="n">
        <x:v>129</x:v>
      </x:c>
    </x:row>
    <x:row r="580">
      <x:c r="A580" s="9" t="str">
        <x:v>Success</x:v>
      </x:c>
      <x:c r="B580" s="9" t="str">
        <x:v>Relational Placement</x:v>
      </x:c>
      <x:c r="C580" s="10" t="n">
        <x:v>128</x:v>
      </x:c>
      <x:c r="D580" s="9" t="str">
        <x:v>Place the juggling ball to the left of the green pen.</x:v>
      </x:c>
      <x:c r="E580" s="9" t="str">
        <x:v>juggling ball, red block, green pen, blue block</x:v>
      </x:c>
      <x:c r="F580" s="9" t="str">
        <x:v>juggling ball → 2–8 cm edge gap to the left of green pen; centroid direction within ±45°.</x:v>
      </x:c>
      <x:c r="G580" s="9"/>
      <x:c r="H580" s="9" t="str">
        <x:v>Cross-task-object directional reasoning</x:v>
      </x:c>
      <x:c r="I580" s="9" t="str">
        <x:v>RP-XT-CF05</x:v>
      </x:c>
      <x:c r="J580" s="9" t="str">
        <x:v>Four-prompt mixed-axis cross-task counterfactual with two juggling-ball targets and two references</x:v>
      </x:c>
      <x:c r="K580" s="9" t="n">
        <x:v>126</x:v>
      </x:c>
      <x:c r="L580" s="9" t="str">
        <x:v>1104 (juggling-ball exposure); 229 (left relation)</x:v>
      </x:c>
      <x:c r="M580" s="9"/>
      <x:c r="N580" s="9"/>
      <x:c r="O580" s="9" t="str">
        <x:v>Reset every manipulated core object to its marked pose; preserve the exact scene and change only the instruction.</x:v>
      </x:c>
      <x:c r="P580" s="9" t="str">
        <x:v>The juggling ball is globally familiar but absent from Relational Placement training. This exact-scene family crosses direction with its target role and contains no direct-name control.</x:v>
      </x:c>
      <x:c r="Q580" s="9"/>
      <x:c r="R580" s="10" t="n">
        <x:v>4</x:v>
      </x:c>
      <x:c r="S580" s="10"/>
      <x:c r="T580" s="9"/>
      <x:c r="U580" s="9"/>
      <x:c r="V580" s="9"/>
      <x:c r="W580" s="9"/>
      <x:c r="X580" s="10"/>
      <x:c r="Y580" s="10"/>
      <x:c r="Z580" s="9"/>
      <x:c r="AA580" s="9"/>
      <x:c r="AB580" s="9"/>
      <x:c r="AC580" s="9" t="str">
        <x:v>left</x:v>
      </x:c>
      <x:c r="AD580" s="9" t="str">
        <x:v>juggling ball</x:v>
      </x:c>
      <x:c r="AE580" s="9" t="str">
        <x:v>green pen</x:v>
      </x:c>
      <x:c r="AF580" s="9" t="str">
        <x:v>Target</x:v>
      </x:c>
      <x:c r="AG580" s="9"/>
      <x:c r="AH580" s="9"/>
      <x:c r="AI580" s="11"/>
      <x:c r="AJ580" s="9"/>
      <x:c r="AK580" s="9" t="str">
        <x:v>Eval_Relational_Placement (1).xlsm</x:v>
      </x:c>
      <x:c r="AL580" s="9" t="str">
        <x:v>MolmoAct2 Results</x:v>
      </x:c>
      <x:c r="AM580" s="9" t="n">
        <x:v>130</x:v>
      </x:c>
      <x:c r="AN580" s="9" t="n">
        <x:v>130</x:v>
      </x:c>
    </x:row>
    <x:row r="581">
      <x:c r="A581" s="9" t="str">
        <x:v>Failure</x:v>
      </x:c>
      <x:c r="B581" s="9" t="str">
        <x:v>Relational Placement</x:v>
      </x:c>
      <x:c r="C581" s="10" t="n">
        <x:v>129</x:v>
      </x:c>
      <x:c r="D581" s="9" t="str">
        <x:v>Place the green pen to the right of the juggling ball.</x:v>
      </x:c>
      <x:c r="E581" s="9" t="str">
        <x:v>juggling ball, red block, green pen, blue block</x:v>
      </x:c>
      <x:c r="F581" s="9" t="str">
        <x:v>green pen → 2–8 cm edge gap to the right of juggling ball; centroid direction within ±45°.</x:v>
      </x:c>
      <x:c r="G581" s="9" t="str">
        <x:v>didn't move. green pen was pretty close to the left of the juggling ball</x:v>
      </x:c>
      <x:c r="H581" s="9" t="str">
        <x:v>Cross-task-object directional reasoning</x:v>
      </x:c>
      <x:c r="I581" s="9" t="str">
        <x:v>RP-XT-CF05</x:v>
      </x:c>
      <x:c r="J581" s="9" t="str">
        <x:v>Four-prompt mixed-axis cross-task counterfactual with two juggling-ball targets and two references</x:v>
      </x:c>
      <x:c r="K581" s="9" t="n">
        <x:v>126</x:v>
      </x:c>
      <x:c r="L581" s="9" t="str">
        <x:v>1104 (juggling-ball exposure); 243 (right relation with green pen as target)</x:v>
      </x:c>
      <x:c r="M581" s="9"/>
      <x:c r="N581" s="9"/>
      <x:c r="O581" s="9" t="str">
        <x:v>Reset every manipulated core object to its marked pose; preserve the exact scene and change only the instruction.</x:v>
      </x:c>
      <x:c r="P581" s="9" t="str">
        <x:v>The juggling ball is globally familiar but absent from Relational Placement training. This exact-scene family crosses direction with its reference role and contains no direct-name control.</x:v>
      </x:c>
      <x:c r="Q581" s="9"/>
      <x:c r="R581" s="10" t="n">
        <x:v>4</x:v>
      </x:c>
      <x:c r="S581" s="10"/>
      <x:c r="T581" s="9"/>
      <x:c r="U581" s="9"/>
      <x:c r="V581" s="9"/>
      <x:c r="W581" s="9"/>
      <x:c r="X581" s="10"/>
      <x:c r="Y581" s="10"/>
      <x:c r="Z581" s="9"/>
      <x:c r="AA581" s="9"/>
      <x:c r="AB581" s="9"/>
      <x:c r="AC581" s="9" t="str">
        <x:v>right</x:v>
      </x:c>
      <x:c r="AD581" s="9" t="str">
        <x:v>green pen</x:v>
      </x:c>
      <x:c r="AE581" s="9" t="str">
        <x:v>juggling ball</x:v>
      </x:c>
      <x:c r="AF581" s="9" t="str">
        <x:v>Reference</x:v>
      </x:c>
      <x:c r="AG581" s="9"/>
      <x:c r="AH581" s="9"/>
      <x:c r="AI581" s="11"/>
      <x:c r="AJ581" s="9"/>
      <x:c r="AK581" s="9" t="str">
        <x:v>Eval_Relational_Placement (1).xlsm</x:v>
      </x:c>
      <x:c r="AL581" s="9" t="str">
        <x:v>MolmoAct2 Results</x:v>
      </x:c>
      <x:c r="AM581" s="9" t="n">
        <x:v>131</x:v>
      </x:c>
      <x:c r="AN581" s="9" t="n">
        <x:v>131</x:v>
      </x:c>
    </x:row>
    <x:row r="582">
      <x:c r="A582" s="9" t="str">
        <x:v>Failure</x:v>
      </x:c>
      <x:c r="B582" s="9" t="str">
        <x:v>Relational Placement</x:v>
      </x:c>
      <x:c r="C582" s="10" t="n">
        <x:v>130</x:v>
      </x:c>
      <x:c r="D582" s="9" t="str">
        <x:v>Place the green pen to the left of the pink marker.</x:v>
      </x:c>
      <x:c r="E582" s="9" t="str">
        <x:v>green pen, pink marker, blue block</x:v>
      </x:c>
      <x:c r="F582" s="9" t="str">
        <x:v>NO MOVEMENT — requested relation is already satisfied at the start: green pen → 2–8 cm edge gap to the left of pink marker; centroid direction within ±45°.</x:v>
      </x:c>
      <x:c r="G582" s="9" t="str">
        <x:v>moved it, but kept it on the left. Maybe should count as success?</x:v>
      </x:c>
      <x:c r="H582" s="9" t="str">
        <x:v>Goal already satisfied / no movement</x:v>
      </x:c>
      <x:c r="I582" s="9" t="str">
        <x:v>RP-AG01</x:v>
      </x:c>
      <x:c r="J582" s="9" t="str">
        <x:v>In-distribution satisfied-state action-gating diagnostic</x:v>
      </x:c>
      <x:c r="K582" s="9"/>
      <x:c r="L582" s="9" t="str">
        <x:v>232</x:v>
      </x:c>
      <x:c r="M582" s="9"/>
      <x:c r="N582" s="9"/>
      <x:c r="O582" s="9" t="str">
        <x:v>Build the listed already-satisfied scene and save the first frame.</x:v>
      </x:c>
      <x:c r="P582" s="9" t="str">
        <x:v>Uses the ordinary explicitly trained prompt from episode 232. Its prompt-matched movement-required counterpart is in the same four-row family.</x:v>
      </x:c>
      <x:c r="Q582" s="9"/>
      <x:c r="R582" s="10" t="n">
        <x:v>3</x:v>
      </x:c>
      <x:c r="S582" s="10"/>
      <x:c r="T582" s="9"/>
      <x:c r="U582" s="9"/>
      <x:c r="V582" s="9"/>
      <x:c r="W582" s="9"/>
      <x:c r="X582" s="10"/>
      <x:c r="Y582" s="10"/>
      <x:c r="Z582" s="9"/>
      <x:c r="AA582" s="9"/>
      <x:c r="AB582" s="9"/>
      <x:c r="AC582" s="9" t="str">
        <x:v>left</x:v>
      </x:c>
      <x:c r="AD582" s="9" t="str">
        <x:v>green pen</x:v>
      </x:c>
      <x:c r="AE582" s="9" t="str">
        <x:v>pink marker</x:v>
      </x:c>
      <x:c r="AF582" s="9" t="str">
        <x:v>None</x:v>
      </x:c>
      <x:c r="AG582" s="9"/>
      <x:c r="AH582" s="9"/>
      <x:c r="AI582" s="11"/>
      <x:c r="AJ582" s="9"/>
      <x:c r="AK582" s="9" t="str">
        <x:v>Eval_Relational_Placement (1).xlsm</x:v>
      </x:c>
      <x:c r="AL582" s="9" t="str">
        <x:v>MolmoAct2 Results</x:v>
      </x:c>
      <x:c r="AM582" s="9" t="n">
        <x:v>132</x:v>
      </x:c>
      <x:c r="AN582" s="9" t="n">
        <x:v>132</x:v>
      </x:c>
    </x:row>
    <x:row r="583">
      <x:c r="A583" s="9" t="str">
        <x:v>Success</x:v>
      </x:c>
      <x:c r="B583" s="9" t="str">
        <x:v>Relational Placement</x:v>
      </x:c>
      <x:c r="C583" s="10" t="n">
        <x:v>131</x:v>
      </x:c>
      <x:c r="D583" s="9" t="str">
        <x:v>Place the pink marker to the right of the green pen.</x:v>
      </x:c>
      <x:c r="E583" s="9" t="str">
        <x:v>green pen, pink marker, blue block</x:v>
      </x:c>
      <x:c r="F583" s="9" t="str">
        <x:v>NO MOVEMENT — requested relation is already satisfied at the start: pink marker → 2–8 cm edge gap to the right of green pen; centroid direction within ±45°.</x:v>
      </x:c>
      <x:c r="G583" s="9"/>
      <x:c r="H583" s="9" t="str">
        <x:v>Goal already satisfied / no movement</x:v>
      </x:c>
      <x:c r="I583" s="9" t="str">
        <x:v>RP-AG01</x:v>
      </x:c>
      <x:c r="J583" s="9" t="str">
        <x:v>In-distribution satisfied-state action-gating diagnostic</x:v>
      </x:c>
      <x:c r="K583" s="9" t="n">
        <x:v>130</x:v>
      </x:c>
      <x:c r="L583" s="9" t="str">
        <x:v>345</x:v>
      </x:c>
      <x:c r="M583" s="9"/>
      <x:c r="N583" s="9"/>
      <x:c r="O583" s="9" t="str">
        <x:v>Preserve the exact scene; change only the reciprocal target/reference instruction.</x:v>
      </x:c>
      <x:c r="P583" s="9" t="str">
        <x:v>Uses the reciprocal explicitly trained prompt from episode 345. Both rows in this state pair are simultaneously satisfied.</x:v>
      </x:c>
      <x:c r="Q583" s="9"/>
      <x:c r="R583" s="10" t="n">
        <x:v>3</x:v>
      </x:c>
      <x:c r="S583" s="10"/>
      <x:c r="T583" s="9"/>
      <x:c r="U583" s="9"/>
      <x:c r="V583" s="9"/>
      <x:c r="W583" s="9"/>
      <x:c r="X583" s="10"/>
      <x:c r="Y583" s="10"/>
      <x:c r="Z583" s="9"/>
      <x:c r="AA583" s="9"/>
      <x:c r="AB583" s="9"/>
      <x:c r="AC583" s="9" t="str">
        <x:v>right</x:v>
      </x:c>
      <x:c r="AD583" s="9" t="str">
        <x:v>pink marker</x:v>
      </x:c>
      <x:c r="AE583" s="9" t="str">
        <x:v>green pen</x:v>
      </x:c>
      <x:c r="AF583" s="9" t="str">
        <x:v>None</x:v>
      </x:c>
      <x:c r="AG583" s="9"/>
      <x:c r="AH583" s="9"/>
      <x:c r="AI583" s="11"/>
      <x:c r="AJ583" s="9"/>
      <x:c r="AK583" s="9" t="str">
        <x:v>Eval_Relational_Placement (1).xlsm</x:v>
      </x:c>
      <x:c r="AL583" s="9" t="str">
        <x:v>MolmoAct2 Results</x:v>
      </x:c>
      <x:c r="AM583" s="9" t="n">
        <x:v>133</x:v>
      </x:c>
      <x:c r="AN583" s="9" t="n">
        <x:v>133</x:v>
      </x:c>
    </x:row>
    <x:row r="584">
      <x:c r="A584" s="9" t="str">
        <x:v>Failure</x:v>
      </x:c>
      <x:c r="B584" s="9" t="str">
        <x:v>Relational Placement</x:v>
      </x:c>
      <x:c r="C584" s="10" t="n">
        <x:v>132</x:v>
      </x:c>
      <x:c r="D584" s="9" t="str">
        <x:v>Place the green pen to the left of the pink marker.</x:v>
      </x:c>
      <x:c r="E584" s="9" t="str">
        <x:v>green pen, pink marker, blue block</x:v>
      </x:c>
      <x:c r="F584" s="9" t="str">
        <x:v>green pen → 2–8 cm edge gap to the left of pink marker; centroid direction within ±45°.</x:v>
      </x:c>
      <x:c r="G584" s="9" t="str">
        <x:v>moved towards pen, then went home 3 times. grabbed it the last time, but didn't move it</x:v>
      </x:c>
      <x:c r="H584" s="9" t="str">
        <x:v>Violated-relation correction control</x:v>
      </x:c>
      <x:c r="I584" s="9" t="str">
        <x:v>RP-AG01</x:v>
      </x:c>
      <x:c r="J584" s="9" t="str">
        <x:v>Matched opposite-sector movement-required control</x:v>
      </x:c>
      <x:c r="K584" s="9"/>
      <x:c r="L584" s="9" t="str">
        <x:v>232</x:v>
      </x:c>
      <x:c r="M584" s="9"/>
      <x:c r="N584" s="9"/>
      <x:c r="O584" s="9" t="str">
        <x:v>Move only P1 to the listed opposite-sector violated 5 cm position; preserve P2, every distractor, and the camera/robot setup.</x:v>
      </x:c>
      <x:c r="P584" s="9" t="str">
        <x:v>Uses the ordinary explicitly trained prompt from episode 232. Its prompt-matched no-movement counterpart is in the same four-row family.</x:v>
      </x:c>
      <x:c r="Q584" s="9"/>
      <x:c r="R584" s="10" t="n">
        <x:v>3</x:v>
      </x:c>
      <x:c r="S584" s="10"/>
      <x:c r="T584" s="9"/>
      <x:c r="U584" s="9"/>
      <x:c r="V584" s="9"/>
      <x:c r="W584" s="9"/>
      <x:c r="X584" s="10"/>
      <x:c r="Y584" s="10"/>
      <x:c r="Z584" s="9"/>
      <x:c r="AA584" s="9"/>
      <x:c r="AB584" s="9"/>
      <x:c r="AC584" s="9" t="str">
        <x:v>left</x:v>
      </x:c>
      <x:c r="AD584" s="9" t="str">
        <x:v>green pen</x:v>
      </x:c>
      <x:c r="AE584" s="9" t="str">
        <x:v>pink marker</x:v>
      </x:c>
      <x:c r="AF584" s="9" t="str">
        <x:v>None</x:v>
      </x:c>
      <x:c r="AG584" s="9"/>
      <x:c r="AH584" s="9"/>
      <x:c r="AI584" s="11"/>
      <x:c r="AJ584" s="9"/>
      <x:c r="AK584" s="9" t="str">
        <x:v>Eval_Relational_Placement (1).xlsm</x:v>
      </x:c>
      <x:c r="AL584" s="9" t="str">
        <x:v>MolmoAct2 Results</x:v>
      </x:c>
      <x:c r="AM584" s="9" t="n">
        <x:v>134</x:v>
      </x:c>
      <x:c r="AN584" s="9" t="n">
        <x:v>134</x:v>
      </x:c>
    </x:row>
    <x:row r="585">
      <x:c r="A585" s="9" t="str">
        <x:v>Failure</x:v>
      </x:c>
      <x:c r="B585" s="9" t="str">
        <x:v>Relational Placement</x:v>
      </x:c>
      <x:c r="C585" s="10" t="n">
        <x:v>133</x:v>
      </x:c>
      <x:c r="D585" s="9" t="str">
        <x:v>Place the pink marker to the right of the green pen.</x:v>
      </x:c>
      <x:c r="E585" s="9" t="str">
        <x:v>green pen, pink marker, blue block</x:v>
      </x:c>
      <x:c r="F585" s="9" t="str">
        <x:v>pink marker → 2–8 cm edge gap to the right of green pen; centroid direction within ±45°.</x:v>
      </x:c>
      <x:c r="G585" s="9" t="str">
        <x:v>did not move</x:v>
      </x:c>
      <x:c r="H585" s="9" t="str">
        <x:v>Violated-relation correction control</x:v>
      </x:c>
      <x:c r="I585" s="9" t="str">
        <x:v>RP-AG01</x:v>
      </x:c>
      <x:c r="J585" s="9" t="str">
        <x:v>Matched opposite-sector movement-required control</x:v>
      </x:c>
      <x:c r="K585" s="9" t="n">
        <x:v>132</x:v>
      </x:c>
      <x:c r="L585" s="9" t="str">
        <x:v>345</x:v>
      </x:c>
      <x:c r="M585" s="9"/>
      <x:c r="N585" s="9"/>
      <x:c r="O585" s="9" t="str">
        <x:v>Preserve the exact scene; change only the reciprocal target/reference instruction.</x:v>
      </x:c>
      <x:c r="P585" s="9" t="str">
        <x:v>Uses the reciprocal explicitly trained prompt from episode 345. Both rows in this state pair are simultaneously violated.</x:v>
      </x:c>
      <x:c r="Q585" s="9"/>
      <x:c r="R585" s="10" t="n">
        <x:v>3</x:v>
      </x:c>
      <x:c r="S585" s="10"/>
      <x:c r="T585" s="9"/>
      <x:c r="U585" s="9"/>
      <x:c r="V585" s="9"/>
      <x:c r="W585" s="9"/>
      <x:c r="X585" s="10"/>
      <x:c r="Y585" s="10"/>
      <x:c r="Z585" s="9"/>
      <x:c r="AA585" s="9"/>
      <x:c r="AB585" s="9"/>
      <x:c r="AC585" s="9" t="str">
        <x:v>right</x:v>
      </x:c>
      <x:c r="AD585" s="9" t="str">
        <x:v>pink marker</x:v>
      </x:c>
      <x:c r="AE585" s="9" t="str">
        <x:v>green pen</x:v>
      </x:c>
      <x:c r="AF585" s="9" t="str">
        <x:v>None</x:v>
      </x:c>
      <x:c r="AG585" s="9"/>
      <x:c r="AH585" s="9"/>
      <x:c r="AI585" s="11"/>
      <x:c r="AJ585" s="9"/>
      <x:c r="AK585" s="9" t="str">
        <x:v>Eval_Relational_Placement (1).xlsm</x:v>
      </x:c>
      <x:c r="AL585" s="9" t="str">
        <x:v>MolmoAct2 Results</x:v>
      </x:c>
      <x:c r="AM585" s="9" t="n">
        <x:v>135</x:v>
      </x:c>
      <x:c r="AN585" s="9" t="n">
        <x:v>135</x:v>
      </x:c>
    </x:row>
    <x:row r="586">
      <x:c r="A586" s="9" t="str">
        <x:v>Failure</x:v>
      </x:c>
      <x:c r="B586" s="9" t="str">
        <x:v>Relational Placement</x:v>
      </x:c>
      <x:c r="C586" s="10" t="n">
        <x:v>134</x:v>
      </x:c>
      <x:c r="D586" s="9" t="str">
        <x:v>Place the green pen to the right of the pink marker.</x:v>
      </x:c>
      <x:c r="E586" s="9" t="str">
        <x:v>green pen, pink marker, red block, blue block</x:v>
      </x:c>
      <x:c r="F586" s="9" t="str">
        <x:v>green pen → 2–8 cm edge gap to the right of pink marker; centroid direction within ±45°.</x:v>
      </x:c>
      <x:c r="G586" s="9" t="str">
        <x:v>went for green pen 1 times, didn't move it</x:v>
      </x:c>
      <x:c r="H586" s="9" t="str">
        <x:v>Violated-relation correction control</x:v>
      </x:c>
      <x:c r="I586" s="9" t="str">
        <x:v>RP-AG02</x:v>
      </x:c>
      <x:c r="J586" s="9" t="str">
        <x:v>Matched opposite-sector movement-required control</x:v>
      </x:c>
      <x:c r="K586" s="9"/>
      <x:c r="L586" s="9" t="str">
        <x:v>244</x:v>
      </x:c>
      <x:c r="M586" s="9"/>
      <x:c r="N586" s="9"/>
      <x:c r="O586" s="9" t="str">
        <x:v>Build the listed opposite-sector violated scene and save the first frame.</x:v>
      </x:c>
      <x:c r="P586" s="9" t="str">
        <x:v>Uses the ordinary explicitly trained prompt from episode 244. Its prompt-matched no-movement counterpart is in the same four-row family.</x:v>
      </x:c>
      <x:c r="Q586" s="9"/>
      <x:c r="R586" s="10" t="n">
        <x:v>4</x:v>
      </x:c>
      <x:c r="S586" s="10"/>
      <x:c r="T586" s="9"/>
      <x:c r="U586" s="9"/>
      <x:c r="V586" s="9"/>
      <x:c r="W586" s="9"/>
      <x:c r="X586" s="10"/>
      <x:c r="Y586" s="10"/>
      <x:c r="Z586" s="9"/>
      <x:c r="AA586" s="9"/>
      <x:c r="AB586" s="9"/>
      <x:c r="AC586" s="9" t="str">
        <x:v>right</x:v>
      </x:c>
      <x:c r="AD586" s="9" t="str">
        <x:v>green pen</x:v>
      </x:c>
      <x:c r="AE586" s="9" t="str">
        <x:v>pink marker</x:v>
      </x:c>
      <x:c r="AF586" s="9" t="str">
        <x:v>None</x:v>
      </x:c>
      <x:c r="AG586" s="9"/>
      <x:c r="AH586" s="9"/>
      <x:c r="AI586" s="11"/>
      <x:c r="AJ586" s="9"/>
      <x:c r="AK586" s="9" t="str">
        <x:v>Eval_Relational_Placement (1).xlsm</x:v>
      </x:c>
      <x:c r="AL586" s="9" t="str">
        <x:v>MolmoAct2 Results</x:v>
      </x:c>
      <x:c r="AM586" s="9" t="n">
        <x:v>136</x:v>
      </x:c>
      <x:c r="AN586" s="9" t="n">
        <x:v>136</x:v>
      </x:c>
    </x:row>
    <x:row r="587">
      <x:c r="A587" s="9" t="str">
        <x:v>Failure</x:v>
      </x:c>
      <x:c r="B587" s="9" t="str">
        <x:v>Relational Placement</x:v>
      </x:c>
      <x:c r="C587" s="10" t="n">
        <x:v>135</x:v>
      </x:c>
      <x:c r="D587" s="9" t="str">
        <x:v>Place the pink marker to the left of the green pen.</x:v>
      </x:c>
      <x:c r="E587" s="9" t="str">
        <x:v>green pen, pink marker, red block, blue block</x:v>
      </x:c>
      <x:c r="F587" s="9" t="str">
        <x:v>pink marker → 2–8 cm edge gap to the left of green pen; centroid direction within ±45°.</x:v>
      </x:c>
      <x:c r="G587" s="9" t="str">
        <x:v>went for pink pen 3 times, didn't move it</x:v>
      </x:c>
      <x:c r="H587" s="9" t="str">
        <x:v>Violated-relation correction control</x:v>
      </x:c>
      <x:c r="I587" s="9" t="str">
        <x:v>RP-AG02</x:v>
      </x:c>
      <x:c r="J587" s="9" t="str">
        <x:v>Matched opposite-sector movement-required control</x:v>
      </x:c>
      <x:c r="K587" s="9" t="n">
        <x:v>134</x:v>
      </x:c>
      <x:c r="L587" s="9" t="str">
        <x:v>331</x:v>
      </x:c>
      <x:c r="M587" s="9"/>
      <x:c r="N587" s="9"/>
      <x:c r="O587" s="9" t="str">
        <x:v>Preserve the exact scene; change only the reciprocal target/reference instruction.</x:v>
      </x:c>
      <x:c r="P587" s="9" t="str">
        <x:v>Uses the reciprocal explicitly trained prompt from episode 331. Both rows in this state pair are simultaneously violated.</x:v>
      </x:c>
      <x:c r="Q587" s="9"/>
      <x:c r="R587" s="10" t="n">
        <x:v>4</x:v>
      </x:c>
      <x:c r="S587" s="10"/>
      <x:c r="T587" s="9"/>
      <x:c r="U587" s="9"/>
      <x:c r="V587" s="9"/>
      <x:c r="W587" s="9"/>
      <x:c r="X587" s="10"/>
      <x:c r="Y587" s="10"/>
      <x:c r="Z587" s="9"/>
      <x:c r="AA587" s="9"/>
      <x:c r="AB587" s="9"/>
      <x:c r="AC587" s="9" t="str">
        <x:v>left</x:v>
      </x:c>
      <x:c r="AD587" s="9" t="str">
        <x:v>pink marker</x:v>
      </x:c>
      <x:c r="AE587" s="9" t="str">
        <x:v>green pen</x:v>
      </x:c>
      <x:c r="AF587" s="9" t="str">
        <x:v>None</x:v>
      </x:c>
      <x:c r="AG587" s="9"/>
      <x:c r="AH587" s="9"/>
      <x:c r="AI587" s="11"/>
      <x:c r="AJ587" s="9"/>
      <x:c r="AK587" s="9" t="str">
        <x:v>Eval_Relational_Placement (1).xlsm</x:v>
      </x:c>
      <x:c r="AL587" s="9" t="str">
        <x:v>MolmoAct2 Results</x:v>
      </x:c>
      <x:c r="AM587" s="9" t="n">
        <x:v>137</x:v>
      </x:c>
      <x:c r="AN587" s="9" t="n">
        <x:v>137</x:v>
      </x:c>
    </x:row>
    <x:row r="588">
      <x:c r="A588" s="9" t="str">
        <x:v>Failure</x:v>
      </x:c>
      <x:c r="B588" s="9" t="str">
        <x:v>Relational Placement</x:v>
      </x:c>
      <x:c r="C588" s="10" t="n">
        <x:v>136</x:v>
      </x:c>
      <x:c r="D588" s="9" t="str">
        <x:v>Place the green pen to the right of the pink marker.</x:v>
      </x:c>
      <x:c r="E588" s="9" t="str">
        <x:v>green pen, pink marker, red block, blue block</x:v>
      </x:c>
      <x:c r="F588" s="9" t="str">
        <x:v>NO MOVEMENT — requested relation is already satisfied at the start: green pen → 2–8 cm edge gap to the right of pink marker; centroid direction within ±45°.</x:v>
      </x:c>
      <x:c r="G588" s="9" t="str">
        <x:v>moved to green pen 5 times but didn't change its location. Did nudge it around a little bit.</x:v>
      </x:c>
      <x:c r="H588" s="9" t="str">
        <x:v>Goal already satisfied / no movement</x:v>
      </x:c>
      <x:c r="I588" s="9" t="str">
        <x:v>RP-AG02</x:v>
      </x:c>
      <x:c r="J588" s="9" t="str">
        <x:v>In-distribution satisfied-state action-gating diagnostic</x:v>
      </x:c>
      <x:c r="K588" s="9"/>
      <x:c r="L588" s="9" t="str">
        <x:v>244</x:v>
      </x:c>
      <x:c r="M588" s="9"/>
      <x:c r="N588" s="9"/>
      <x:c r="O588" s="9" t="str">
        <x:v>Move only P1 to the listed already-satisfied 5 cm position; preserve P2, every distractor, and the camera/robot setup.</x:v>
      </x:c>
      <x:c r="P588" s="9" t="str">
        <x:v>Uses the ordinary explicitly trained prompt from episode 244. Its prompt-matched movement-required counterpart is in the same four-row family.</x:v>
      </x:c>
      <x:c r="Q588" s="9"/>
      <x:c r="R588" s="10" t="n">
        <x:v>4</x:v>
      </x:c>
      <x:c r="S588" s="10"/>
      <x:c r="T588" s="9"/>
      <x:c r="U588" s="9"/>
      <x:c r="V588" s="9"/>
      <x:c r="W588" s="9"/>
      <x:c r="X588" s="10"/>
      <x:c r="Y588" s="10"/>
      <x:c r="Z588" s="9"/>
      <x:c r="AA588" s="9"/>
      <x:c r="AB588" s="9"/>
      <x:c r="AC588" s="9" t="str">
        <x:v>right</x:v>
      </x:c>
      <x:c r="AD588" s="9" t="str">
        <x:v>green pen</x:v>
      </x:c>
      <x:c r="AE588" s="9" t="str">
        <x:v>pink marker</x:v>
      </x:c>
      <x:c r="AF588" s="9" t="str">
        <x:v>None</x:v>
      </x:c>
      <x:c r="AG588" s="9"/>
      <x:c r="AH588" s="9"/>
      <x:c r="AI588" s="11"/>
      <x:c r="AJ588" s="9"/>
      <x:c r="AK588" s="9" t="str">
        <x:v>Eval_Relational_Placement (1).xlsm</x:v>
      </x:c>
      <x:c r="AL588" s="9" t="str">
        <x:v>MolmoAct2 Results</x:v>
      </x:c>
      <x:c r="AM588" s="9" t="n">
        <x:v>138</x:v>
      </x:c>
      <x:c r="AN588" s="9" t="n">
        <x:v>138</x:v>
      </x:c>
    </x:row>
    <x:row r="589">
      <x:c r="A589" s="9" t="str">
        <x:v>Success</x:v>
      </x:c>
      <x:c r="B589" s="9" t="str">
        <x:v>Relational Placement</x:v>
      </x:c>
      <x:c r="C589" s="10" t="n">
        <x:v>137</x:v>
      </x:c>
      <x:c r="D589" s="9" t="str">
        <x:v>Place the pink marker to the left of the green pen.</x:v>
      </x:c>
      <x:c r="E589" s="9" t="str">
        <x:v>green pen, pink marker, red block, blue block</x:v>
      </x:c>
      <x:c r="F589" s="9" t="str">
        <x:v>NO MOVEMENT — requested relation is already satisfied at the start: pink marker → 2–8 cm edge gap to the left of green pen; centroid direction within ±45°.</x:v>
      </x:c>
      <x:c r="G589" s="9"/>
      <x:c r="H589" s="9" t="str">
        <x:v>Goal already satisfied / no movement</x:v>
      </x:c>
      <x:c r="I589" s="9" t="str">
        <x:v>RP-AG02</x:v>
      </x:c>
      <x:c r="J589" s="9" t="str">
        <x:v>In-distribution satisfied-state action-gating diagnostic</x:v>
      </x:c>
      <x:c r="K589" s="9" t="n">
        <x:v>136</x:v>
      </x:c>
      <x:c r="L589" s="9" t="str">
        <x:v>331</x:v>
      </x:c>
      <x:c r="M589" s="9"/>
      <x:c r="N589" s="9"/>
      <x:c r="O589" s="9" t="str">
        <x:v>Preserve the exact scene; change only the reciprocal target/reference instruction.</x:v>
      </x:c>
      <x:c r="P589" s="9" t="str">
        <x:v>Uses the reciprocal explicitly trained prompt from episode 331. Both rows in this state pair are simultaneously satisfied.</x:v>
      </x:c>
      <x:c r="Q589" s="9"/>
      <x:c r="R589" s="10" t="n">
        <x:v>4</x:v>
      </x:c>
      <x:c r="S589" s="10"/>
      <x:c r="T589" s="9"/>
      <x:c r="U589" s="9"/>
      <x:c r="V589" s="9"/>
      <x:c r="W589" s="9"/>
      <x:c r="X589" s="10"/>
      <x:c r="Y589" s="10"/>
      <x:c r="Z589" s="9"/>
      <x:c r="AA589" s="9"/>
      <x:c r="AB589" s="9"/>
      <x:c r="AC589" s="9" t="str">
        <x:v>left</x:v>
      </x:c>
      <x:c r="AD589" s="9" t="str">
        <x:v>pink marker</x:v>
      </x:c>
      <x:c r="AE589" s="9" t="str">
        <x:v>green pen</x:v>
      </x:c>
      <x:c r="AF589" s="9" t="str">
        <x:v>None</x:v>
      </x:c>
      <x:c r="AG589" s="9"/>
      <x:c r="AH589" s="9"/>
      <x:c r="AI589" s="11"/>
      <x:c r="AJ589" s="9"/>
      <x:c r="AK589" s="9" t="str">
        <x:v>Eval_Relational_Placement (1).xlsm</x:v>
      </x:c>
      <x:c r="AL589" s="9" t="str">
        <x:v>MolmoAct2 Results</x:v>
      </x:c>
      <x:c r="AM589" s="9" t="n">
        <x:v>139</x:v>
      </x:c>
      <x:c r="AN589" s="9" t="n">
        <x:v>139</x:v>
      </x:c>
    </x:row>
    <x:row r="590">
      <x:c r="A590" s="9" t="str">
        <x:v>Failure</x:v>
      </x:c>
      <x:c r="B590" s="9" t="str">
        <x:v>Relational Placement</x:v>
      </x:c>
      <x:c r="C590" s="10" t="n">
        <x:v>138</x:v>
      </x:c>
      <x:c r="D590" s="9" t="str">
        <x:v>Place the green pen to the left of the blue block.</x:v>
      </x:c>
      <x:c r="E590" s="9" t="str">
        <x:v>green pen, blue block, pink marker</x:v>
      </x:c>
      <x:c r="F590" s="9" t="str">
        <x:v>NO MOVEMENT — requested relation is already satisfied at the start: green pen → 2–8 cm edge gap to the left of blue block; centroid direction within ±45°.</x:v>
      </x:c>
      <x:c r="G590" s="9" t="str">
        <x:v>went to the pen 1 time and moved it a bit</x:v>
      </x:c>
      <x:c r="H590" s="9" t="str">
        <x:v>Goal already satisfied / no movement</x:v>
      </x:c>
      <x:c r="I590" s="9" t="str">
        <x:v>RP-AG03</x:v>
      </x:c>
      <x:c r="J590" s="9" t="str">
        <x:v>In-distribution satisfied-state action-gating diagnostic</x:v>
      </x:c>
      <x:c r="K590" s="9"/>
      <x:c r="L590" s="9" t="str">
        <x:v>236</x:v>
      </x:c>
      <x:c r="M590" s="9"/>
      <x:c r="N590" s="9"/>
      <x:c r="O590" s="9" t="str">
        <x:v>Build the listed already-satisfied scene and save the first frame.</x:v>
      </x:c>
      <x:c r="P590" s="9" t="str">
        <x:v>Uses the ordinary explicitly trained prompt from episode 236. Its prompt-matched movement-required counterpart is in the same four-row family.</x:v>
      </x:c>
      <x:c r="Q590" s="9"/>
      <x:c r="R590" s="10" t="n">
        <x:v>3</x:v>
      </x:c>
      <x:c r="S590" s="10"/>
      <x:c r="T590" s="9"/>
      <x:c r="U590" s="9"/>
      <x:c r="V590" s="9"/>
      <x:c r="W590" s="9"/>
      <x:c r="X590" s="10"/>
      <x:c r="Y590" s="10"/>
      <x:c r="Z590" s="9"/>
      <x:c r="AA590" s="9"/>
      <x:c r="AB590" s="9"/>
      <x:c r="AC590" s="9" t="str">
        <x:v>left</x:v>
      </x:c>
      <x:c r="AD590" s="9" t="str">
        <x:v>green pen</x:v>
      </x:c>
      <x:c r="AE590" s="9" t="str">
        <x:v>blue block</x:v>
      </x:c>
      <x:c r="AF590" s="9" t="str">
        <x:v>None</x:v>
      </x:c>
      <x:c r="AG590" s="9"/>
      <x:c r="AH590" s="9"/>
      <x:c r="AI590" s="11"/>
      <x:c r="AJ590" s="9"/>
      <x:c r="AK590" s="9" t="str">
        <x:v>Eval_Relational_Placement (1).xlsm</x:v>
      </x:c>
      <x:c r="AL590" s="9" t="str">
        <x:v>MolmoAct2 Results</x:v>
      </x:c>
      <x:c r="AM590" s="9" t="n">
        <x:v>140</x:v>
      </x:c>
      <x:c r="AN590" s="9" t="n">
        <x:v>140</x:v>
      </x:c>
    </x:row>
    <x:row r="591">
      <x:c r="A591" s="9" t="str">
        <x:v>Failure</x:v>
      </x:c>
      <x:c r="B591" s="9" t="str">
        <x:v>Relational Placement</x:v>
      </x:c>
      <x:c r="C591" s="10" t="n">
        <x:v>139</x:v>
      </x:c>
      <x:c r="D591" s="9" t="str">
        <x:v>Place the blue block to the right of the green pen.</x:v>
      </x:c>
      <x:c r="E591" s="9" t="str">
        <x:v>green pen, blue block, pink marker</x:v>
      </x:c>
      <x:c r="F591" s="9" t="str">
        <x:v>NO MOVEMENT — requested relation is already satisfied at the start: blue block → 2–8 cm edge gap to the right of green pen; centroid direction within ±45°.</x:v>
      </x:c>
      <x:c r="G591" s="9" t="str">
        <x:v>went to the pen 5 times, but didn't move it </x:v>
      </x:c>
      <x:c r="H591" s="9" t="str">
        <x:v>Goal already satisfied / no movement</x:v>
      </x:c>
      <x:c r="I591" s="9" t="str">
        <x:v>RP-AG03</x:v>
      </x:c>
      <x:c r="J591" s="9" t="str">
        <x:v>In-distribution satisfied-state action-gating diagnostic</x:v>
      </x:c>
      <x:c r="K591" s="9" t="n">
        <x:v>138</x:v>
      </x:c>
      <x:c r="L591" s="9" t="str">
        <x:v>390</x:v>
      </x:c>
      <x:c r="M591" s="9"/>
      <x:c r="N591" s="9"/>
      <x:c r="O591" s="9" t="str">
        <x:v>Preserve the exact scene; change only the reciprocal target/reference instruction.</x:v>
      </x:c>
      <x:c r="P591" s="9" t="str">
        <x:v>Uses the reciprocal explicitly trained prompt from episode 390. Both rows in this state pair are simultaneously satisfied.</x:v>
      </x:c>
      <x:c r="Q591" s="9"/>
      <x:c r="R591" s="10" t="n">
        <x:v>3</x:v>
      </x:c>
      <x:c r="S591" s="10"/>
      <x:c r="T591" s="9"/>
      <x:c r="U591" s="9"/>
      <x:c r="V591" s="9"/>
      <x:c r="W591" s="9"/>
      <x:c r="X591" s="10"/>
      <x:c r="Y591" s="10"/>
      <x:c r="Z591" s="9"/>
      <x:c r="AA591" s="9"/>
      <x:c r="AB591" s="9"/>
      <x:c r="AC591" s="9" t="str">
        <x:v>right</x:v>
      </x:c>
      <x:c r="AD591" s="9" t="str">
        <x:v>blue block</x:v>
      </x:c>
      <x:c r="AE591" s="9" t="str">
        <x:v>green pen</x:v>
      </x:c>
      <x:c r="AF591" s="9" t="str">
        <x:v>None</x:v>
      </x:c>
      <x:c r="AG591" s="9"/>
      <x:c r="AH591" s="9"/>
      <x:c r="AI591" s="11"/>
      <x:c r="AJ591" s="9"/>
      <x:c r="AK591" s="9" t="str">
        <x:v>Eval_Relational_Placement (1).xlsm</x:v>
      </x:c>
      <x:c r="AL591" s="9" t="str">
        <x:v>MolmoAct2 Results</x:v>
      </x:c>
      <x:c r="AM591" s="9" t="n">
        <x:v>141</x:v>
      </x:c>
      <x:c r="AN591" s="9" t="n">
        <x:v>141</x:v>
      </x:c>
    </x:row>
    <x:row r="592">
      <x:c r="A592" s="9" t="str">
        <x:v>Failure</x:v>
      </x:c>
      <x:c r="B592" s="9" t="str">
        <x:v>Relational Placement</x:v>
      </x:c>
      <x:c r="C592" s="10" t="n">
        <x:v>140</x:v>
      </x:c>
      <x:c r="D592" s="9" t="str">
        <x:v>Place the green pen to the left of the blue block.</x:v>
      </x:c>
      <x:c r="E592" s="9" t="str">
        <x:v>green pen, blue block, pink marker</x:v>
      </x:c>
      <x:c r="F592" s="9" t="str">
        <x:v>green pen → 2–8 cm edge gap to the left of blue block; centroid direction within ±45°.</x:v>
      </x:c>
      <x:c r="G592" s="9" t="str">
        <x:v>moved around the home position</x:v>
      </x:c>
      <x:c r="H592" s="9" t="str">
        <x:v>Violated-relation correction control</x:v>
      </x:c>
      <x:c r="I592" s="9" t="str">
        <x:v>RP-AG03</x:v>
      </x:c>
      <x:c r="J592" s="9" t="str">
        <x:v>Matched opposite-sector movement-required control</x:v>
      </x:c>
      <x:c r="K592" s="9"/>
      <x:c r="L592" s="9" t="str">
        <x:v>236</x:v>
      </x:c>
      <x:c r="M592" s="9"/>
      <x:c r="N592" s="9"/>
      <x:c r="O592" s="9" t="str">
        <x:v>Move only P1 to the listed opposite-sector violated 5 cm position; preserve P2, every distractor, and the camera/robot setup.</x:v>
      </x:c>
      <x:c r="P592" s="9" t="str">
        <x:v>Uses the ordinary explicitly trained prompt from episode 236. Its prompt-matched no-movement counterpart is in the same four-row family.</x:v>
      </x:c>
      <x:c r="Q592" s="9"/>
      <x:c r="R592" s="10" t="n">
        <x:v>3</x:v>
      </x:c>
      <x:c r="S592" s="10"/>
      <x:c r="T592" s="9"/>
      <x:c r="U592" s="9"/>
      <x:c r="V592" s="9"/>
      <x:c r="W592" s="9"/>
      <x:c r="X592" s="10"/>
      <x:c r="Y592" s="10"/>
      <x:c r="Z592" s="9"/>
      <x:c r="AA592" s="9"/>
      <x:c r="AB592" s="9"/>
      <x:c r="AC592" s="9" t="str">
        <x:v>left</x:v>
      </x:c>
      <x:c r="AD592" s="9" t="str">
        <x:v>green pen</x:v>
      </x:c>
      <x:c r="AE592" s="9" t="str">
        <x:v>blue block</x:v>
      </x:c>
      <x:c r="AF592" s="9" t="str">
        <x:v>None</x:v>
      </x:c>
      <x:c r="AG592" s="9"/>
      <x:c r="AH592" s="9"/>
      <x:c r="AI592" s="11"/>
      <x:c r="AJ592" s="9"/>
      <x:c r="AK592" s="9" t="str">
        <x:v>Eval_Relational_Placement (1).xlsm</x:v>
      </x:c>
      <x:c r="AL592" s="9" t="str">
        <x:v>MolmoAct2 Results</x:v>
      </x:c>
      <x:c r="AM592" s="9" t="n">
        <x:v>142</x:v>
      </x:c>
      <x:c r="AN592" s="9" t="n">
        <x:v>142</x:v>
      </x:c>
    </x:row>
    <x:row r="593">
      <x:c r="A593" s="9" t="str">
        <x:v>Failure</x:v>
      </x:c>
      <x:c r="B593" s="9" t="str">
        <x:v>Relational Placement</x:v>
      </x:c>
      <x:c r="C593" s="10" t="n">
        <x:v>141</x:v>
      </x:c>
      <x:c r="D593" s="9" t="str">
        <x:v>Place the blue block to the right of the green pen.</x:v>
      </x:c>
      <x:c r="E593" s="9" t="str">
        <x:v>green pen, blue block, pink marker</x:v>
      </x:c>
      <x:c r="F593" s="9" t="str">
        <x:v>blue block → 2–8 cm edge gap to the right of green pen; centroid direction within ±45°.</x:v>
      </x:c>
      <x:c r="G593" s="9" t="str">
        <x:v>didn't move</x:v>
      </x:c>
      <x:c r="H593" s="9" t="str">
        <x:v>Violated-relation correction control</x:v>
      </x:c>
      <x:c r="I593" s="9" t="str">
        <x:v>RP-AG03</x:v>
      </x:c>
      <x:c r="J593" s="9" t="str">
        <x:v>Matched opposite-sector movement-required control</x:v>
      </x:c>
      <x:c r="K593" s="9" t="n">
        <x:v>140</x:v>
      </x:c>
      <x:c r="L593" s="9" t="str">
        <x:v>390</x:v>
      </x:c>
      <x:c r="M593" s="9"/>
      <x:c r="N593" s="9"/>
      <x:c r="O593" s="9" t="str">
        <x:v>Preserve the exact scene; change only the reciprocal target/reference instruction.</x:v>
      </x:c>
      <x:c r="P593" s="9" t="str">
        <x:v>Uses the reciprocal explicitly trained prompt from episode 390. Both rows in this state pair are simultaneously violated.</x:v>
      </x:c>
      <x:c r="Q593" s="9"/>
      <x:c r="R593" s="10" t="n">
        <x:v>3</x:v>
      </x:c>
      <x:c r="S593" s="10"/>
      <x:c r="T593" s="9"/>
      <x:c r="U593" s="9"/>
      <x:c r="V593" s="9"/>
      <x:c r="W593" s="9"/>
      <x:c r="X593" s="10"/>
      <x:c r="Y593" s="10"/>
      <x:c r="Z593" s="9"/>
      <x:c r="AA593" s="9"/>
      <x:c r="AB593" s="9"/>
      <x:c r="AC593" s="9" t="str">
        <x:v>right</x:v>
      </x:c>
      <x:c r="AD593" s="9" t="str">
        <x:v>blue block</x:v>
      </x:c>
      <x:c r="AE593" s="9" t="str">
        <x:v>green pen</x:v>
      </x:c>
      <x:c r="AF593" s="9" t="str">
        <x:v>None</x:v>
      </x:c>
      <x:c r="AG593" s="9"/>
      <x:c r="AH593" s="9"/>
      <x:c r="AI593" s="11"/>
      <x:c r="AJ593" s="9"/>
      <x:c r="AK593" s="9" t="str">
        <x:v>Eval_Relational_Placement (1).xlsm</x:v>
      </x:c>
      <x:c r="AL593" s="9" t="str">
        <x:v>MolmoAct2 Results</x:v>
      </x:c>
      <x:c r="AM593" s="9" t="n">
        <x:v>143</x:v>
      </x:c>
      <x:c r="AN593" s="9" t="n">
        <x:v>143</x:v>
      </x:c>
    </x:row>
    <x:row r="594">
      <x:c r="A594" s="9" t="str">
        <x:v>Failure</x:v>
      </x:c>
      <x:c r="B594" s="9" t="str">
        <x:v>Relational Placement</x:v>
      </x:c>
      <x:c r="C594" s="10" t="n">
        <x:v>142</x:v>
      </x:c>
      <x:c r="D594" s="9" t="str">
        <x:v>Place the red block to the right of the pink marker.</x:v>
      </x:c>
      <x:c r="E594" s="9" t="str">
        <x:v>red block, pink marker, green pen, blue block</x:v>
      </x:c>
      <x:c r="F594" s="9" t="str">
        <x:v>red block → 2–8 cm edge gap to the right of pink marker; centroid direction within ±45°.</x:v>
      </x:c>
      <x:c r="G594" s="9" t="str">
        <x:v>didn't move</x:v>
      </x:c>
      <x:c r="H594" s="9" t="str">
        <x:v>Violated-relation correction control</x:v>
      </x:c>
      <x:c r="I594" s="9" t="str">
        <x:v>RP-AG04</x:v>
      </x:c>
      <x:c r="J594" s="9" t="str">
        <x:v>Matched opposite-sector movement-required control</x:v>
      </x:c>
      <x:c r="K594" s="9"/>
      <x:c r="L594" s="9" t="str">
        <x:v>289</x:v>
      </x:c>
      <x:c r="M594" s="9"/>
      <x:c r="N594" s="9"/>
      <x:c r="O594" s="9" t="str">
        <x:v>Build the listed opposite-sector violated scene and save the first frame.</x:v>
      </x:c>
      <x:c r="P594" s="9" t="str">
        <x:v>Uses the ordinary explicitly trained prompt from episode 289. Its prompt-matched no-movement counterpart is in the same four-row family.</x:v>
      </x:c>
      <x:c r="Q594" s="9"/>
      <x:c r="R594" s="10" t="n">
        <x:v>4</x:v>
      </x:c>
      <x:c r="S594" s="10"/>
      <x:c r="T594" s="9"/>
      <x:c r="U594" s="9"/>
      <x:c r="V594" s="9"/>
      <x:c r="W594" s="9"/>
      <x:c r="X594" s="10"/>
      <x:c r="Y594" s="10"/>
      <x:c r="Z594" s="9"/>
      <x:c r="AA594" s="9"/>
      <x:c r="AB594" s="9"/>
      <x:c r="AC594" s="9" t="str">
        <x:v>right</x:v>
      </x:c>
      <x:c r="AD594" s="9" t="str">
        <x:v>red block</x:v>
      </x:c>
      <x:c r="AE594" s="9" t="str">
        <x:v>pink marker</x:v>
      </x:c>
      <x:c r="AF594" s="9" t="str">
        <x:v>None</x:v>
      </x:c>
      <x:c r="AG594" s="9"/>
      <x:c r="AH594" s="9"/>
      <x:c r="AI594" s="11"/>
      <x:c r="AJ594" s="9"/>
      <x:c r="AK594" s="9" t="str">
        <x:v>Eval_Relational_Placement (1).xlsm</x:v>
      </x:c>
      <x:c r="AL594" s="9" t="str">
        <x:v>MolmoAct2 Results</x:v>
      </x:c>
      <x:c r="AM594" s="9" t="n">
        <x:v>144</x:v>
      </x:c>
      <x:c r="AN594" s="9" t="n">
        <x:v>144</x:v>
      </x:c>
    </x:row>
    <x:row r="595">
      <x:c r="A595" s="9" t="str">
        <x:v>Failure</x:v>
      </x:c>
      <x:c r="B595" s="9" t="str">
        <x:v>Relational Placement</x:v>
      </x:c>
      <x:c r="C595" s="10" t="n">
        <x:v>143</x:v>
      </x:c>
      <x:c r="D595" s="9" t="str">
        <x:v>Place the pink marker to the left of the red block.</x:v>
      </x:c>
      <x:c r="E595" s="9" t="str">
        <x:v>red block, pink marker, green pen, blue block</x:v>
      </x:c>
      <x:c r="F595" s="9" t="str">
        <x:v>pink marker → 2–8 cm edge gap to the left of red block; centroid direction within ±45°.</x:v>
      </x:c>
      <x:c r="G595" s="9" t="str">
        <x:v>didn't move</x:v>
      </x:c>
      <x:c r="H595" s="9" t="str">
        <x:v>Violated-relation correction control</x:v>
      </x:c>
      <x:c r="I595" s="9" t="str">
        <x:v>RP-AG04</x:v>
      </x:c>
      <x:c r="J595" s="9" t="str">
        <x:v>Matched opposite-sector movement-required control</x:v>
      </x:c>
      <x:c r="K595" s="9" t="n">
        <x:v>142</x:v>
      </x:c>
      <x:c r="L595" s="9" t="str">
        <x:v>335</x:v>
      </x:c>
      <x:c r="M595" s="9"/>
      <x:c r="N595" s="9"/>
      <x:c r="O595" s="9" t="str">
        <x:v>Preserve the exact scene; change only the reciprocal target/reference instruction.</x:v>
      </x:c>
      <x:c r="P595" s="9" t="str">
        <x:v>Uses the reciprocal explicitly trained prompt from episode 335. Both rows in this state pair are simultaneously violated.</x:v>
      </x:c>
      <x:c r="Q595" s="9"/>
      <x:c r="R595" s="10" t="n">
        <x:v>4</x:v>
      </x:c>
      <x:c r="S595" s="10"/>
      <x:c r="T595" s="9"/>
      <x:c r="U595" s="9"/>
      <x:c r="V595" s="9"/>
      <x:c r="W595" s="9"/>
      <x:c r="X595" s="10"/>
      <x:c r="Y595" s="10"/>
      <x:c r="Z595" s="9"/>
      <x:c r="AA595" s="9"/>
      <x:c r="AB595" s="9"/>
      <x:c r="AC595" s="9" t="str">
        <x:v>left</x:v>
      </x:c>
      <x:c r="AD595" s="9" t="str">
        <x:v>pink marker</x:v>
      </x:c>
      <x:c r="AE595" s="9" t="str">
        <x:v>red block</x:v>
      </x:c>
      <x:c r="AF595" s="9" t="str">
        <x:v>None</x:v>
      </x:c>
      <x:c r="AG595" s="9"/>
      <x:c r="AH595" s="9"/>
      <x:c r="AI595" s="11"/>
      <x:c r="AJ595" s="9"/>
      <x:c r="AK595" s="9" t="str">
        <x:v>Eval_Relational_Placement (1).xlsm</x:v>
      </x:c>
      <x:c r="AL595" s="9" t="str">
        <x:v>MolmoAct2 Results</x:v>
      </x:c>
      <x:c r="AM595" s="9" t="n">
        <x:v>145</x:v>
      </x:c>
      <x:c r="AN595" s="9" t="n">
        <x:v>145</x:v>
      </x:c>
    </x:row>
    <x:row r="596">
      <x:c r="A596" s="9" t="str">
        <x:v>Success</x:v>
      </x:c>
      <x:c r="B596" s="9" t="str">
        <x:v>Relational Placement</x:v>
      </x:c>
      <x:c r="C596" s="10" t="n">
        <x:v>144</x:v>
      </x:c>
      <x:c r="D596" s="9" t="str">
        <x:v>Place the red block to the right of the pink marker.</x:v>
      </x:c>
      <x:c r="E596" s="9" t="str">
        <x:v>red block, pink marker, green pen, blue block</x:v>
      </x:c>
      <x:c r="F596" s="9" t="str">
        <x:v>NO MOVEMENT — requested relation is already satisfied at the start: red block → 2–8 cm edge gap to the right of pink marker; centroid direction within ±45°.</x:v>
      </x:c>
      <x:c r="G596" s="9"/>
      <x:c r="H596" s="9" t="str">
        <x:v>Goal already satisfied / no movement</x:v>
      </x:c>
      <x:c r="I596" s="9" t="str">
        <x:v>RP-AG04</x:v>
      </x:c>
      <x:c r="J596" s="9" t="str">
        <x:v>In-distribution satisfied-state action-gating diagnostic</x:v>
      </x:c>
      <x:c r="K596" s="9"/>
      <x:c r="L596" s="9" t="str">
        <x:v>289</x:v>
      </x:c>
      <x:c r="M596" s="9"/>
      <x:c r="N596" s="9"/>
      <x:c r="O596" s="9" t="str">
        <x:v>Move only P1 to the listed already-satisfied 5 cm position; preserve P2, every distractor, and the camera/robot setup.</x:v>
      </x:c>
      <x:c r="P596" s="9" t="str">
        <x:v>Uses the ordinary explicitly trained prompt from episode 289. Its prompt-matched movement-required counterpart is in the same four-row family.</x:v>
      </x:c>
      <x:c r="Q596" s="9"/>
      <x:c r="R596" s="10" t="n">
        <x:v>4</x:v>
      </x:c>
      <x:c r="S596" s="10"/>
      <x:c r="T596" s="9"/>
      <x:c r="U596" s="9"/>
      <x:c r="V596" s="9"/>
      <x:c r="W596" s="9"/>
      <x:c r="X596" s="10"/>
      <x:c r="Y596" s="10"/>
      <x:c r="Z596" s="9"/>
      <x:c r="AA596" s="9"/>
      <x:c r="AB596" s="9"/>
      <x:c r="AC596" s="9" t="str">
        <x:v>right</x:v>
      </x:c>
      <x:c r="AD596" s="9" t="str">
        <x:v>red block</x:v>
      </x:c>
      <x:c r="AE596" s="9" t="str">
        <x:v>pink marker</x:v>
      </x:c>
      <x:c r="AF596" s="9" t="str">
        <x:v>None</x:v>
      </x:c>
      <x:c r="AG596" s="9"/>
      <x:c r="AH596" s="9"/>
      <x:c r="AI596" s="11"/>
      <x:c r="AJ596" s="9"/>
      <x:c r="AK596" s="9" t="str">
        <x:v>Eval_Relational_Placement (1).xlsm</x:v>
      </x:c>
      <x:c r="AL596" s="9" t="str">
        <x:v>MolmoAct2 Results</x:v>
      </x:c>
      <x:c r="AM596" s="9" t="n">
        <x:v>146</x:v>
      </x:c>
      <x:c r="AN596" s="9" t="n">
        <x:v>146</x:v>
      </x:c>
    </x:row>
    <x:row r="597">
      <x:c r="A597" s="9" t="str">
        <x:v>Success</x:v>
      </x:c>
      <x:c r="B597" s="9" t="str">
        <x:v>Relational Placement</x:v>
      </x:c>
      <x:c r="C597" s="10" t="n">
        <x:v>145</x:v>
      </x:c>
      <x:c r="D597" s="9" t="str">
        <x:v>Place the pink marker to the left of the red block.</x:v>
      </x:c>
      <x:c r="E597" s="9" t="str">
        <x:v>red block, pink marker, green pen, blue block</x:v>
      </x:c>
      <x:c r="F597" s="9" t="str">
        <x:v>NO MOVEMENT — requested relation is already satisfied at the start: pink marker → 2–8 cm edge gap to the left of red block; centroid direction within ±45°.</x:v>
      </x:c>
      <x:c r="G597" s="9"/>
      <x:c r="H597" s="9" t="str">
        <x:v>Goal already satisfied / no movement</x:v>
      </x:c>
      <x:c r="I597" s="9" t="str">
        <x:v>RP-AG04</x:v>
      </x:c>
      <x:c r="J597" s="9" t="str">
        <x:v>In-distribution satisfied-state action-gating diagnostic</x:v>
      </x:c>
      <x:c r="K597" s="9" t="n">
        <x:v>144</x:v>
      </x:c>
      <x:c r="L597" s="9" t="str">
        <x:v>335</x:v>
      </x:c>
      <x:c r="M597" s="9"/>
      <x:c r="N597" s="9"/>
      <x:c r="O597" s="9" t="str">
        <x:v>Preserve the exact scene; change only the reciprocal target/reference instruction.</x:v>
      </x:c>
      <x:c r="P597" s="9" t="str">
        <x:v>Uses the reciprocal explicitly trained prompt from episode 335. Both rows in this state pair are simultaneously satisfied.</x:v>
      </x:c>
      <x:c r="Q597" s="9"/>
      <x:c r="R597" s="10" t="n">
        <x:v>4</x:v>
      </x:c>
      <x:c r="S597" s="10"/>
      <x:c r="T597" s="9"/>
      <x:c r="U597" s="9"/>
      <x:c r="V597" s="9"/>
      <x:c r="W597" s="9"/>
      <x:c r="X597" s="10"/>
      <x:c r="Y597" s="10"/>
      <x:c r="Z597" s="9"/>
      <x:c r="AA597" s="9"/>
      <x:c r="AB597" s="9"/>
      <x:c r="AC597" s="9" t="str">
        <x:v>left</x:v>
      </x:c>
      <x:c r="AD597" s="9" t="str">
        <x:v>pink marker</x:v>
      </x:c>
      <x:c r="AE597" s="9" t="str">
        <x:v>red block</x:v>
      </x:c>
      <x:c r="AF597" s="9" t="str">
        <x:v>None</x:v>
      </x:c>
      <x:c r="AG597" s="9"/>
      <x:c r="AH597" s="9"/>
      <x:c r="AI597" s="11"/>
      <x:c r="AJ597" s="9"/>
      <x:c r="AK597" s="9" t="str">
        <x:v>Eval_Relational_Placement (1).xlsm</x:v>
      </x:c>
      <x:c r="AL597" s="9" t="str">
        <x:v>MolmoAct2 Results</x:v>
      </x:c>
      <x:c r="AM597" s="9" t="n">
        <x:v>147</x:v>
      </x:c>
      <x:c r="AN597" s="9" t="n">
        <x:v>147</x:v>
      </x:c>
    </x:row>
    <x:row r="598">
      <x:c r="A598" s="9" t="str">
        <x:v>Success</x:v>
      </x:c>
      <x:c r="B598" s="9" t="str">
        <x:v>Relational Placement</x:v>
      </x:c>
      <x:c r="C598" s="10" t="n">
        <x:v>146</x:v>
      </x:c>
      <x:c r="D598" s="9" t="str">
        <x:v>Place the red block to the left of the blue block.</x:v>
      </x:c>
      <x:c r="E598" s="9" t="str">
        <x:v>red block, blue block, pink marker</x:v>
      </x:c>
      <x:c r="F598" s="9" t="str">
        <x:v>NO MOVEMENT — requested relation is already satisfied at the start: red block → 2–8 cm edge gap to the left of blue block; centroid direction within ±45°.</x:v>
      </x:c>
      <x:c r="G598" s="9"/>
      <x:c r="H598" s="9" t="str">
        <x:v>Goal already satisfied / no movement</x:v>
      </x:c>
      <x:c r="I598" s="9" t="str">
        <x:v>RP-AG05</x:v>
      </x:c>
      <x:c r="J598" s="9" t="str">
        <x:v>In-distribution satisfied-state action-gating diagnostic</x:v>
      </x:c>
      <x:c r="K598" s="9"/>
      <x:c r="L598" s="9" t="str">
        <x:v>282</x:v>
      </x:c>
      <x:c r="M598" s="9"/>
      <x:c r="N598" s="9"/>
      <x:c r="O598" s="9" t="str">
        <x:v>Build the listed already-satisfied scene and save the first frame.</x:v>
      </x:c>
      <x:c r="P598" s="9" t="str">
        <x:v>Uses the ordinary explicitly trained prompt from episode 282. Its prompt-matched movement-required counterpart is in the same four-row family.</x:v>
      </x:c>
      <x:c r="Q598" s="9"/>
      <x:c r="R598" s="10" t="n">
        <x:v>3</x:v>
      </x:c>
      <x:c r="S598" s="10"/>
      <x:c r="T598" s="9"/>
      <x:c r="U598" s="9"/>
      <x:c r="V598" s="9"/>
      <x:c r="W598" s="9"/>
      <x:c r="X598" s="10"/>
      <x:c r="Y598" s="10"/>
      <x:c r="Z598" s="9"/>
      <x:c r="AA598" s="9"/>
      <x:c r="AB598" s="9"/>
      <x:c r="AC598" s="9" t="str">
        <x:v>left</x:v>
      </x:c>
      <x:c r="AD598" s="9" t="str">
        <x:v>red block</x:v>
      </x:c>
      <x:c r="AE598" s="9" t="str">
        <x:v>blue block</x:v>
      </x:c>
      <x:c r="AF598" s="9" t="str">
        <x:v>None</x:v>
      </x:c>
      <x:c r="AG598" s="9"/>
      <x:c r="AH598" s="9"/>
      <x:c r="AI598" s="11"/>
      <x:c r="AJ598" s="9"/>
      <x:c r="AK598" s="9" t="str">
        <x:v>Eval_Relational_Placement (1).xlsm</x:v>
      </x:c>
      <x:c r="AL598" s="9" t="str">
        <x:v>MolmoAct2 Results</x:v>
      </x:c>
      <x:c r="AM598" s="9" t="n">
        <x:v>148</x:v>
      </x:c>
      <x:c r="AN598" s="9" t="n">
        <x:v>148</x:v>
      </x:c>
    </x:row>
    <x:row r="599">
      <x:c r="A599" s="9" t="str">
        <x:v>Failure</x:v>
      </x:c>
      <x:c r="B599" s="9" t="str">
        <x:v>Relational Placement</x:v>
      </x:c>
      <x:c r="C599" s="10" t="n">
        <x:v>147</x:v>
      </x:c>
      <x:c r="D599" s="9" t="str">
        <x:v>Place the blue block to the right of the red block.</x:v>
      </x:c>
      <x:c r="E599" s="9" t="str">
        <x:v>red block, blue block, pink marker</x:v>
      </x:c>
      <x:c r="F599" s="9" t="str">
        <x:v>NO MOVEMENT — requested relation is already satisfied at the start: blue block → 2–8 cm edge gap to the right of red block; centroid direction within ±45°.</x:v>
      </x:c>
      <x:c r="G599" s="9" t="str">
        <x:v>went to blue block 5 times, but didn't move it</x:v>
      </x:c>
      <x:c r="H599" s="9" t="str">
        <x:v>Goal already satisfied / no movement</x:v>
      </x:c>
      <x:c r="I599" s="9" t="str">
        <x:v>RP-AG05</x:v>
      </x:c>
      <x:c r="J599" s="9" t="str">
        <x:v>In-distribution satisfied-state action-gating diagnostic</x:v>
      </x:c>
      <x:c r="K599" s="9" t="n">
        <x:v>146</x:v>
      </x:c>
      <x:c r="L599" s="9" t="str">
        <x:v>395</x:v>
      </x:c>
      <x:c r="M599" s="9"/>
      <x:c r="N599" s="9"/>
      <x:c r="O599" s="9" t="str">
        <x:v>Preserve the exact scene; change only the reciprocal target/reference instruction.</x:v>
      </x:c>
      <x:c r="P599" s="9" t="str">
        <x:v>Uses the reciprocal explicitly trained prompt from episode 395. Both rows in this state pair are simultaneously satisfied.</x:v>
      </x:c>
      <x:c r="Q599" s="9"/>
      <x:c r="R599" s="10" t="n">
        <x:v>3</x:v>
      </x:c>
      <x:c r="S599" s="10"/>
      <x:c r="T599" s="9"/>
      <x:c r="U599" s="9"/>
      <x:c r="V599" s="9"/>
      <x:c r="W599" s="9"/>
      <x:c r="X599" s="10"/>
      <x:c r="Y599" s="10"/>
      <x:c r="Z599" s="9"/>
      <x:c r="AA599" s="9"/>
      <x:c r="AB599" s="9"/>
      <x:c r="AC599" s="9" t="str">
        <x:v>right</x:v>
      </x:c>
      <x:c r="AD599" s="9" t="str">
        <x:v>blue block</x:v>
      </x:c>
      <x:c r="AE599" s="9" t="str">
        <x:v>red block</x:v>
      </x:c>
      <x:c r="AF599" s="9" t="str">
        <x:v>None</x:v>
      </x:c>
      <x:c r="AG599" s="9"/>
      <x:c r="AH599" s="9"/>
      <x:c r="AI599" s="11"/>
      <x:c r="AJ599" s="9"/>
      <x:c r="AK599" s="9" t="str">
        <x:v>Eval_Relational_Placement (1).xlsm</x:v>
      </x:c>
      <x:c r="AL599" s="9" t="str">
        <x:v>MolmoAct2 Results</x:v>
      </x:c>
      <x:c r="AM599" s="9" t="n">
        <x:v>149</x:v>
      </x:c>
      <x:c r="AN599" s="9" t="n">
        <x:v>149</x:v>
      </x:c>
    </x:row>
    <x:row r="600">
      <x:c r="A600" s="9" t="str">
        <x:v>Failure</x:v>
      </x:c>
      <x:c r="B600" s="9" t="str">
        <x:v>Relational Placement</x:v>
      </x:c>
      <x:c r="C600" s="10" t="n">
        <x:v>148</x:v>
      </x:c>
      <x:c r="D600" s="9" t="str">
        <x:v>Place the red block to the left of the blue block.</x:v>
      </x:c>
      <x:c r="E600" s="9" t="str">
        <x:v>red block, blue block, pink marker</x:v>
      </x:c>
      <x:c r="F600" s="9" t="str">
        <x:v>red block → 2–8 cm edge gap to the left of blue block; centroid direction within ±45°.</x:v>
      </x:c>
      <x:c r="G600" s="9" t="str">
        <x:v>went for red block 1 time, but didn't move it.</x:v>
      </x:c>
      <x:c r="H600" s="9" t="str">
        <x:v>Violated-relation correction control</x:v>
      </x:c>
      <x:c r="I600" s="9" t="str">
        <x:v>RP-AG05</x:v>
      </x:c>
      <x:c r="J600" s="9" t="str">
        <x:v>Matched opposite-sector movement-required control</x:v>
      </x:c>
      <x:c r="K600" s="9"/>
      <x:c r="L600" s="9" t="str">
        <x:v>282</x:v>
      </x:c>
      <x:c r="M600" s="9"/>
      <x:c r="N600" s="9"/>
      <x:c r="O600" s="9" t="str">
        <x:v>Move only P1 to the listed opposite-sector violated 5 cm position; preserve P2, every distractor, and the camera/robot setup.</x:v>
      </x:c>
      <x:c r="P600" s="9" t="str">
        <x:v>Uses the ordinary explicitly trained prompt from episode 282. Its prompt-matched no-movement counterpart is in the same four-row family.</x:v>
      </x:c>
      <x:c r="Q600" s="9"/>
      <x:c r="R600" s="10" t="n">
        <x:v>3</x:v>
      </x:c>
      <x:c r="S600" s="10"/>
      <x:c r="T600" s="9"/>
      <x:c r="U600" s="9"/>
      <x:c r="V600" s="9"/>
      <x:c r="W600" s="9"/>
      <x:c r="X600" s="10"/>
      <x:c r="Y600" s="10"/>
      <x:c r="Z600" s="9"/>
      <x:c r="AA600" s="9"/>
      <x:c r="AB600" s="9"/>
      <x:c r="AC600" s="9" t="str">
        <x:v>left</x:v>
      </x:c>
      <x:c r="AD600" s="9" t="str">
        <x:v>red block</x:v>
      </x:c>
      <x:c r="AE600" s="9" t="str">
        <x:v>blue block</x:v>
      </x:c>
      <x:c r="AF600" s="9" t="str">
        <x:v>None</x:v>
      </x:c>
      <x:c r="AG600" s="9"/>
      <x:c r="AH600" s="9"/>
      <x:c r="AI600" s="11"/>
      <x:c r="AJ600" s="9"/>
      <x:c r="AK600" s="9" t="str">
        <x:v>Eval_Relational_Placement (1).xlsm</x:v>
      </x:c>
      <x:c r="AL600" s="9" t="str">
        <x:v>MolmoAct2 Results</x:v>
      </x:c>
      <x:c r="AM600" s="9" t="n">
        <x:v>150</x:v>
      </x:c>
      <x:c r="AN600" s="9" t="n">
        <x:v>150</x:v>
      </x:c>
    </x:row>
    <x:row r="601">
      <x:c r="A601" s="9" t="str">
        <x:v>Failure</x:v>
      </x:c>
      <x:c r="B601" s="9" t="str">
        <x:v>Relational Placement</x:v>
      </x:c>
      <x:c r="C601" s="10" t="n">
        <x:v>149</x:v>
      </x:c>
      <x:c r="D601" s="9" t="str">
        <x:v>Place the blue block to the right of the red block.</x:v>
      </x:c>
      <x:c r="E601" s="9" t="str">
        <x:v>red block, blue block, pink marker</x:v>
      </x:c>
      <x:c r="F601" s="9" t="str">
        <x:v>blue block → 2–8 cm edge gap to the right of red block; centroid direction within ±45°.</x:v>
      </x:c>
      <x:c r="G601" s="9" t="str">
        <x:v>went for blue block 4 times, but didn't move it.</x:v>
      </x:c>
      <x:c r="H601" s="9" t="str">
        <x:v>Violated-relation correction control</x:v>
      </x:c>
      <x:c r="I601" s="9" t="str">
        <x:v>RP-AG05</x:v>
      </x:c>
      <x:c r="J601" s="9" t="str">
        <x:v>Matched opposite-sector movement-required control</x:v>
      </x:c>
      <x:c r="K601" s="9" t="n">
        <x:v>148</x:v>
      </x:c>
      <x:c r="L601" s="9" t="str">
        <x:v>395</x:v>
      </x:c>
      <x:c r="M601" s="9"/>
      <x:c r="N601" s="9"/>
      <x:c r="O601" s="9" t="str">
        <x:v>Preserve the exact scene; change only the reciprocal target/reference instruction.</x:v>
      </x:c>
      <x:c r="P601" s="9" t="str">
        <x:v>Uses the reciprocal explicitly trained prompt from episode 395. Both rows in this state pair are simultaneously violated.</x:v>
      </x:c>
      <x:c r="Q601" s="9"/>
      <x:c r="R601" s="10" t="n">
        <x:v>3</x:v>
      </x:c>
      <x:c r="S601" s="10"/>
      <x:c r="T601" s="9"/>
      <x:c r="U601" s="9"/>
      <x:c r="V601" s="9"/>
      <x:c r="W601" s="9"/>
      <x:c r="X601" s="10"/>
      <x:c r="Y601" s="10"/>
      <x:c r="Z601" s="9"/>
      <x:c r="AA601" s="9"/>
      <x:c r="AB601" s="9"/>
      <x:c r="AC601" s="9" t="str">
        <x:v>right</x:v>
      </x:c>
      <x:c r="AD601" s="9" t="str">
        <x:v>blue block</x:v>
      </x:c>
      <x:c r="AE601" s="9" t="str">
        <x:v>red block</x:v>
      </x:c>
      <x:c r="AF601" s="9" t="str">
        <x:v>None</x:v>
      </x:c>
      <x:c r="AG601" s="9"/>
      <x:c r="AH601" s="9"/>
      <x:c r="AI601" s="11"/>
      <x:c r="AJ601" s="9"/>
      <x:c r="AK601" s="9" t="str">
        <x:v>Eval_Relational_Placement (1).xlsm</x:v>
      </x:c>
      <x:c r="AL601" s="9" t="str">
        <x:v>MolmoAct2 Results</x:v>
      </x:c>
      <x:c r="AM601" s="9" t="n">
        <x:v>151</x:v>
      </x:c>
      <x:c r="AN601" s="9" t="n">
        <x:v>151</x:v>
      </x:c>
    </x:row>
    <x:row r="602">
      <x:c r="A602" s="9" t="str">
        <x:v>Failure</x:v>
      </x:c>
      <x:c r="B602" s="9" t="str">
        <x:v>Relational Placement</x:v>
      </x:c>
      <x:c r="C602" s="10" t="n">
        <x:v>150</x:v>
      </x:c>
      <x:c r="D602" s="9" t="str">
        <x:v>Put the green pen on the table in front of the pink marker.</x:v>
      </x:c>
      <x:c r="E602" s="9" t="str">
        <x:v>green pen, pink marker, red block, blue block</x:v>
      </x:c>
      <x:c r="F602" s="9" t="str">
        <x:v>green pen → 2–8 cm edge gap in front of pink marker; centroid direction within ±45°.</x:v>
      </x:c>
      <x:c r="G602" s="9" t="str">
        <x:v>didn't move</x:v>
      </x:c>
      <x:c r="H602" s="9" t="str">
        <x:v>Violated-relation correction control</x:v>
      </x:c>
      <x:c r="I602" s="9" t="str">
        <x:v>RP-AG06</x:v>
      </x:c>
      <x:c r="J602" s="9" t="str">
        <x:v>Matched opposite-sector movement-required control</x:v>
      </x:c>
      <x:c r="K602" s="9"/>
      <x:c r="L602" s="9" t="str">
        <x:v>206</x:v>
      </x:c>
      <x:c r="M602" s="9"/>
      <x:c r="N602" s="9"/>
      <x:c r="O602" s="9" t="str">
        <x:v>Build the listed opposite-sector violated scene and save the first frame.</x:v>
      </x:c>
      <x:c r="P602" s="9" t="str">
        <x:v>Uses the ordinary explicitly trained prompt from episode 206. Its prompt-matched no-movement counterpart is in the same four-row family.</x:v>
      </x:c>
      <x:c r="Q602" s="9"/>
      <x:c r="R602" s="10" t="n">
        <x:v>4</x:v>
      </x:c>
      <x:c r="S602" s="10"/>
      <x:c r="T602" s="9"/>
      <x:c r="U602" s="9"/>
      <x:c r="V602" s="9"/>
      <x:c r="W602" s="9"/>
      <x:c r="X602" s="10"/>
      <x:c r="Y602" s="10"/>
      <x:c r="Z602" s="9"/>
      <x:c r="AA602" s="9"/>
      <x:c r="AB602" s="9"/>
      <x:c r="AC602" s="9" t="str">
        <x:v>front</x:v>
      </x:c>
      <x:c r="AD602" s="9" t="str">
        <x:v>green pen</x:v>
      </x:c>
      <x:c r="AE602" s="9" t="str">
        <x:v>pink marker</x:v>
      </x:c>
      <x:c r="AF602" s="9" t="str">
        <x:v>None</x:v>
      </x:c>
      <x:c r="AG602" s="9"/>
      <x:c r="AH602" s="9"/>
      <x:c r="AI602" s="11"/>
      <x:c r="AJ602" s="9"/>
      <x:c r="AK602" s="9" t="str">
        <x:v>Eval_Relational_Placement (1).xlsm</x:v>
      </x:c>
      <x:c r="AL602" s="9" t="str">
        <x:v>MolmoAct2 Results</x:v>
      </x:c>
      <x:c r="AM602" s="9" t="n">
        <x:v>152</x:v>
      </x:c>
      <x:c r="AN602" s="9" t="n">
        <x:v>152</x:v>
      </x:c>
    </x:row>
    <x:row r="603">
      <x:c r="A603" s="9" t="str">
        <x:v>Failure</x:v>
      </x:c>
      <x:c r="B603" s="9" t="str">
        <x:v>Relational Placement</x:v>
      </x:c>
      <x:c r="C603" s="10" t="n">
        <x:v>151</x:v>
      </x:c>
      <x:c r="D603" s="9" t="str">
        <x:v>Move the pink marker to the back of the green pen.</x:v>
      </x:c>
      <x:c r="E603" s="9" t="str">
        <x:v>green pen, pink marker, red block, blue block</x:v>
      </x:c>
      <x:c r="F603" s="9" t="str">
        <x:v>pink marker → 2–8 cm edge gap behind green pen; centroid direction within ±45°.</x:v>
      </x:c>
      <x:c r="G603" s="9"/>
      <x:c r="H603" s="9" t="str">
        <x:v>Violated-relation correction control</x:v>
      </x:c>
      <x:c r="I603" s="9" t="str">
        <x:v>RP-AG06</x:v>
      </x:c>
      <x:c r="J603" s="9" t="str">
        <x:v>Matched opposite-sector movement-required control</x:v>
      </x:c>
      <x:c r="K603" s="9" t="n">
        <x:v>150</x:v>
      </x:c>
      <x:c r="L603" s="9" t="str">
        <x:v>319</x:v>
      </x:c>
      <x:c r="M603" s="9"/>
      <x:c r="N603" s="9"/>
      <x:c r="O603" s="9" t="str">
        <x:v>Preserve the exact scene; change only the reciprocal target/reference instruction.</x:v>
      </x:c>
      <x:c r="P603" s="9" t="str">
        <x:v>Uses the reciprocal explicitly trained prompt from episode 319. Both rows in this state pair are simultaneously violated.</x:v>
      </x:c>
      <x:c r="Q603" s="9"/>
      <x:c r="R603" s="10" t="n">
        <x:v>4</x:v>
      </x:c>
      <x:c r="S603" s="10"/>
      <x:c r="T603" s="9"/>
      <x:c r="U603" s="9"/>
      <x:c r="V603" s="9"/>
      <x:c r="W603" s="9"/>
      <x:c r="X603" s="10"/>
      <x:c r="Y603" s="10"/>
      <x:c r="Z603" s="9"/>
      <x:c r="AA603" s="9"/>
      <x:c r="AB603" s="9"/>
      <x:c r="AC603" s="9" t="str">
        <x:v>behind</x:v>
      </x:c>
      <x:c r="AD603" s="9" t="str">
        <x:v>pink marker</x:v>
      </x:c>
      <x:c r="AE603" s="9" t="str">
        <x:v>green pen</x:v>
      </x:c>
      <x:c r="AF603" s="9" t="str">
        <x:v>None</x:v>
      </x:c>
      <x:c r="AG603" s="9"/>
      <x:c r="AH603" s="9"/>
      <x:c r="AI603" s="11"/>
      <x:c r="AJ603" s="9"/>
      <x:c r="AK603" s="9" t="str">
        <x:v>Eval_Relational_Placement (1).xlsm</x:v>
      </x:c>
      <x:c r="AL603" s="9" t="str">
        <x:v>MolmoAct2 Results</x:v>
      </x:c>
      <x:c r="AM603" s="9" t="n">
        <x:v>153</x:v>
      </x:c>
      <x:c r="AN603" s="9" t="n">
        <x:v>153</x:v>
      </x:c>
    </x:row>
    <x:row r="604">
      <x:c r="A604" s="9" t="str">
        <x:v>Success</x:v>
      </x:c>
      <x:c r="B604" s="9" t="str">
        <x:v>Relational Placement</x:v>
      </x:c>
      <x:c r="C604" s="10" t="n">
        <x:v>152</x:v>
      </x:c>
      <x:c r="D604" s="9" t="str">
        <x:v>Put the green pen on the table in front of the pink marker.</x:v>
      </x:c>
      <x:c r="E604" s="9" t="str">
        <x:v>green pen, pink marker, red block, blue block</x:v>
      </x:c>
      <x:c r="F604" s="9" t="str">
        <x:v>NO MOVEMENT — requested relation is already satisfied at the start: green pen → 2–8 cm edge gap in front of pink marker; centroid direction within ±45°.</x:v>
      </x:c>
      <x:c r="G604" s="9"/>
      <x:c r="H604" s="9" t="str">
        <x:v>Goal already satisfied / no movement</x:v>
      </x:c>
      <x:c r="I604" s="9" t="str">
        <x:v>RP-AG06</x:v>
      </x:c>
      <x:c r="J604" s="9" t="str">
        <x:v>In-distribution satisfied-state action-gating diagnostic</x:v>
      </x:c>
      <x:c r="K604" s="9"/>
      <x:c r="L604" s="9" t="str">
        <x:v>206</x:v>
      </x:c>
      <x:c r="M604" s="9"/>
      <x:c r="N604" s="9"/>
      <x:c r="O604" s="9" t="str">
        <x:v>Move only P1 to the listed already-satisfied 5 cm position; preserve P2, every distractor, and the camera/robot setup.</x:v>
      </x:c>
      <x:c r="P604" s="9" t="str">
        <x:v>Uses the ordinary explicitly trained prompt from episode 206. Its prompt-matched movement-required counterpart is in the same four-row family.</x:v>
      </x:c>
      <x:c r="Q604" s="9"/>
      <x:c r="R604" s="10" t="n">
        <x:v>4</x:v>
      </x:c>
      <x:c r="S604" s="10"/>
      <x:c r="T604" s="9"/>
      <x:c r="U604" s="9"/>
      <x:c r="V604" s="9"/>
      <x:c r="W604" s="9"/>
      <x:c r="X604" s="10"/>
      <x:c r="Y604" s="10"/>
      <x:c r="Z604" s="9"/>
      <x:c r="AA604" s="9"/>
      <x:c r="AB604" s="9"/>
      <x:c r="AC604" s="9" t="str">
        <x:v>front</x:v>
      </x:c>
      <x:c r="AD604" s="9" t="str">
        <x:v>green pen</x:v>
      </x:c>
      <x:c r="AE604" s="9" t="str">
        <x:v>pink marker</x:v>
      </x:c>
      <x:c r="AF604" s="9" t="str">
        <x:v>None</x:v>
      </x:c>
      <x:c r="AG604" s="9"/>
      <x:c r="AH604" s="9"/>
      <x:c r="AI604" s="11"/>
      <x:c r="AJ604" s="9"/>
      <x:c r="AK604" s="9" t="str">
        <x:v>Eval_Relational_Placement (1).xlsm</x:v>
      </x:c>
      <x:c r="AL604" s="9" t="str">
        <x:v>MolmoAct2 Results</x:v>
      </x:c>
      <x:c r="AM604" s="9" t="n">
        <x:v>154</x:v>
      </x:c>
      <x:c r="AN604" s="9" t="n">
        <x:v>154</x:v>
      </x:c>
    </x:row>
    <x:row r="605">
      <x:c r="A605" s="9" t="str">
        <x:v>Success</x:v>
      </x:c>
      <x:c r="B605" s="9" t="str">
        <x:v>Relational Placement</x:v>
      </x:c>
      <x:c r="C605" s="10" t="n">
        <x:v>153</x:v>
      </x:c>
      <x:c r="D605" s="9" t="str">
        <x:v>Move the pink marker to the back of the green pen.</x:v>
      </x:c>
      <x:c r="E605" s="9" t="str">
        <x:v>green pen, pink marker, red block, blue block</x:v>
      </x:c>
      <x:c r="F605" s="9" t="str">
        <x:v>NO MOVEMENT — requested relation is already satisfied at the start: pink marker → 2–8 cm edge gap behind green pen; centroid direction within ±45°.</x:v>
      </x:c>
      <x:c r="G605" s="9"/>
      <x:c r="H605" s="9" t="str">
        <x:v>Goal already satisfied / no movement</x:v>
      </x:c>
      <x:c r="I605" s="9" t="str">
        <x:v>RP-AG06</x:v>
      </x:c>
      <x:c r="J605" s="9" t="str">
        <x:v>In-distribution satisfied-state action-gating diagnostic</x:v>
      </x:c>
      <x:c r="K605" s="9" t="n">
        <x:v>152</x:v>
      </x:c>
      <x:c r="L605" s="9" t="str">
        <x:v>319</x:v>
      </x:c>
      <x:c r="M605" s="9"/>
      <x:c r="N605" s="9"/>
      <x:c r="O605" s="9" t="str">
        <x:v>Preserve the exact scene; change only the reciprocal target/reference instruction.</x:v>
      </x:c>
      <x:c r="P605" s="9" t="str">
        <x:v>Uses the reciprocal explicitly trained prompt from episode 319. Both rows in this state pair are simultaneously satisfied.</x:v>
      </x:c>
      <x:c r="Q605" s="9"/>
      <x:c r="R605" s="10" t="n">
        <x:v>4</x:v>
      </x:c>
      <x:c r="S605" s="10"/>
      <x:c r="T605" s="9"/>
      <x:c r="U605" s="9"/>
      <x:c r="V605" s="9"/>
      <x:c r="W605" s="9"/>
      <x:c r="X605" s="10"/>
      <x:c r="Y605" s="10"/>
      <x:c r="Z605" s="9"/>
      <x:c r="AA605" s="9"/>
      <x:c r="AB605" s="9"/>
      <x:c r="AC605" s="9" t="str">
        <x:v>behind</x:v>
      </x:c>
      <x:c r="AD605" s="9" t="str">
        <x:v>pink marker</x:v>
      </x:c>
      <x:c r="AE605" s="9" t="str">
        <x:v>green pen</x:v>
      </x:c>
      <x:c r="AF605" s="9" t="str">
        <x:v>None</x:v>
      </x:c>
      <x:c r="AG605" s="9"/>
      <x:c r="AH605" s="9"/>
      <x:c r="AI605" s="11"/>
      <x:c r="AJ605" s="9"/>
      <x:c r="AK605" s="9" t="str">
        <x:v>Eval_Relational_Placement (1).xlsm</x:v>
      </x:c>
      <x:c r="AL605" s="9" t="str">
        <x:v>MolmoAct2 Results</x:v>
      </x:c>
      <x:c r="AM605" s="9" t="n">
        <x:v>155</x:v>
      </x:c>
      <x:c r="AN605" s="9" t="n">
        <x:v>155</x:v>
      </x:c>
    </x:row>
    <x:row r="606">
      <x:c r="A606" s="9" t="str">
        <x:v>Success</x:v>
      </x:c>
      <x:c r="B606" s="9" t="str">
        <x:v>Relational Placement</x:v>
      </x:c>
      <x:c r="C606" s="10" t="n">
        <x:v>154</x:v>
      </x:c>
      <x:c r="D606" s="9" t="str">
        <x:v>Put the green pen on the table behind the blue block.</x:v>
      </x:c>
      <x:c r="E606" s="9" t="str">
        <x:v>green pen, blue block, pink marker</x:v>
      </x:c>
      <x:c r="F606" s="9" t="str">
        <x:v>NO MOVEMENT — requested relation is already satisfied at the start: green pen → 2–8 cm edge gap behind blue block; centroid direction within ±45°.</x:v>
      </x:c>
      <x:c r="G606" s="9"/>
      <x:c r="H606" s="9" t="str">
        <x:v>Goal already satisfied / no movement</x:v>
      </x:c>
      <x:c r="I606" s="9" t="str">
        <x:v>RP-AG07</x:v>
      </x:c>
      <x:c r="J606" s="9" t="str">
        <x:v>In-distribution satisfied-state action-gating diagnostic</x:v>
      </x:c>
      <x:c r="K606" s="9"/>
      <x:c r="L606" s="9" t="str">
        <x:v>224</x:v>
      </x:c>
      <x:c r="M606" s="9"/>
      <x:c r="N606" s="9"/>
      <x:c r="O606" s="9" t="str">
        <x:v>Build the listed already-satisfied scene and save the first frame.</x:v>
      </x:c>
      <x:c r="P606" s="9" t="str">
        <x:v>Uses the ordinary explicitly trained prompt from episode 224. Its prompt-matched movement-required counterpart is in the same four-row family.</x:v>
      </x:c>
      <x:c r="Q606" s="9"/>
      <x:c r="R606" s="10" t="n">
        <x:v>3</x:v>
      </x:c>
      <x:c r="S606" s="10"/>
      <x:c r="T606" s="9"/>
      <x:c r="U606" s="9"/>
      <x:c r="V606" s="9"/>
      <x:c r="W606" s="9"/>
      <x:c r="X606" s="10"/>
      <x:c r="Y606" s="10"/>
      <x:c r="Z606" s="9"/>
      <x:c r="AA606" s="9"/>
      <x:c r="AB606" s="9"/>
      <x:c r="AC606" s="9" t="str">
        <x:v>behind</x:v>
      </x:c>
      <x:c r="AD606" s="9" t="str">
        <x:v>green pen</x:v>
      </x:c>
      <x:c r="AE606" s="9" t="str">
        <x:v>blue block</x:v>
      </x:c>
      <x:c r="AF606" s="9" t="str">
        <x:v>None</x:v>
      </x:c>
      <x:c r="AG606" s="9"/>
      <x:c r="AH606" s="9"/>
      <x:c r="AI606" s="11"/>
      <x:c r="AJ606" s="9"/>
      <x:c r="AK606" s="9" t="str">
        <x:v>Eval_Relational_Placement (1).xlsm</x:v>
      </x:c>
      <x:c r="AL606" s="9" t="str">
        <x:v>MolmoAct2 Results</x:v>
      </x:c>
      <x:c r="AM606" s="9" t="n">
        <x:v>156</x:v>
      </x:c>
      <x:c r="AN606" s="9" t="n">
        <x:v>156</x:v>
      </x:c>
    </x:row>
    <x:row r="607">
      <x:c r="A607" s="9" t="str">
        <x:v>Success</x:v>
      </x:c>
      <x:c r="B607" s="9" t="str">
        <x:v>Relational Placement</x:v>
      </x:c>
      <x:c r="C607" s="10" t="n">
        <x:v>155</x:v>
      </x:c>
      <x:c r="D607" s="9" t="str">
        <x:v>Move the blue block to the front of the green pen.</x:v>
      </x:c>
      <x:c r="E607" s="9" t="str">
        <x:v>green pen, blue block, pink marker</x:v>
      </x:c>
      <x:c r="F607" s="9" t="str">
        <x:v>NO MOVEMENT — requested relation is already satisfied at the start: blue block → 2–8 cm edge gap in front of green pen; centroid direction within ±45°.</x:v>
      </x:c>
      <x:c r="G607" s="9"/>
      <x:c r="H607" s="9" t="str">
        <x:v>Goal already satisfied / no movement</x:v>
      </x:c>
      <x:c r="I607" s="9" t="str">
        <x:v>RP-AG07</x:v>
      </x:c>
      <x:c r="J607" s="9" t="str">
        <x:v>In-distribution satisfied-state action-gating diagnostic</x:v>
      </x:c>
      <x:c r="K607" s="9" t="n">
        <x:v>154</x:v>
      </x:c>
      <x:c r="L607" s="9" t="str">
        <x:v>353</x:v>
      </x:c>
      <x:c r="M607" s="9"/>
      <x:c r="N607" s="9"/>
      <x:c r="O607" s="9" t="str">
        <x:v>Preserve the exact scene; change only the reciprocal target/reference instruction.</x:v>
      </x:c>
      <x:c r="P607" s="9" t="str">
        <x:v>Uses the reciprocal explicitly trained prompt from episode 353. Both rows in this state pair are simultaneously satisfied.</x:v>
      </x:c>
      <x:c r="Q607" s="9"/>
      <x:c r="R607" s="10" t="n">
        <x:v>3</x:v>
      </x:c>
      <x:c r="S607" s="10"/>
      <x:c r="T607" s="9"/>
      <x:c r="U607" s="9"/>
      <x:c r="V607" s="9"/>
      <x:c r="W607" s="9"/>
      <x:c r="X607" s="10"/>
      <x:c r="Y607" s="10"/>
      <x:c r="Z607" s="9"/>
      <x:c r="AA607" s="9"/>
      <x:c r="AB607" s="9"/>
      <x:c r="AC607" s="9" t="str">
        <x:v>front</x:v>
      </x:c>
      <x:c r="AD607" s="9" t="str">
        <x:v>blue block</x:v>
      </x:c>
      <x:c r="AE607" s="9" t="str">
        <x:v>green pen</x:v>
      </x:c>
      <x:c r="AF607" s="9" t="str">
        <x:v>None</x:v>
      </x:c>
      <x:c r="AG607" s="9"/>
      <x:c r="AH607" s="9"/>
      <x:c r="AI607" s="11"/>
      <x:c r="AJ607" s="9"/>
      <x:c r="AK607" s="9" t="str">
        <x:v>Eval_Relational_Placement (1).xlsm</x:v>
      </x:c>
      <x:c r="AL607" s="9" t="str">
        <x:v>MolmoAct2 Results</x:v>
      </x:c>
      <x:c r="AM607" s="9" t="n">
        <x:v>157</x:v>
      </x:c>
      <x:c r="AN607" s="9" t="n">
        <x:v>157</x:v>
      </x:c>
    </x:row>
    <x:row r="608">
      <x:c r="A608" s="9" t="str">
        <x:v>Failure</x:v>
      </x:c>
      <x:c r="B608" s="9" t="str">
        <x:v>Relational Placement</x:v>
      </x:c>
      <x:c r="C608" s="10" t="n">
        <x:v>156</x:v>
      </x:c>
      <x:c r="D608" s="9" t="str">
        <x:v>Put the green pen on the table behind the blue block.</x:v>
      </x:c>
      <x:c r="E608" s="9" t="str">
        <x:v>green pen, blue block, pink marker</x:v>
      </x:c>
      <x:c r="F608" s="9" t="str">
        <x:v>green pen → 2–8 cm edge gap behind blue block; centroid direction within ±45°.</x:v>
      </x:c>
      <x:c r="G608" s="9" t="str">
        <x:v>didn't move</x:v>
      </x:c>
      <x:c r="H608" s="9" t="str">
        <x:v>Violated-relation correction control</x:v>
      </x:c>
      <x:c r="I608" s="9" t="str">
        <x:v>RP-AG07</x:v>
      </x:c>
      <x:c r="J608" s="9" t="str">
        <x:v>Matched opposite-sector movement-required control</x:v>
      </x:c>
      <x:c r="K608" s="9"/>
      <x:c r="L608" s="9" t="str">
        <x:v>224</x:v>
      </x:c>
      <x:c r="M608" s="9"/>
      <x:c r="N608" s="9"/>
      <x:c r="O608" s="9" t="str">
        <x:v>Move only P1 to the listed opposite-sector violated 5 cm position; preserve P2, every distractor, and the camera/robot setup.</x:v>
      </x:c>
      <x:c r="P608" s="9" t="str">
        <x:v>Uses the ordinary explicitly trained prompt from episode 224. Its prompt-matched no-movement counterpart is in the same four-row family.</x:v>
      </x:c>
      <x:c r="Q608" s="9"/>
      <x:c r="R608" s="10" t="n">
        <x:v>3</x:v>
      </x:c>
      <x:c r="S608" s="10"/>
      <x:c r="T608" s="9"/>
      <x:c r="U608" s="9"/>
      <x:c r="V608" s="9"/>
      <x:c r="W608" s="9"/>
      <x:c r="X608" s="10"/>
      <x:c r="Y608" s="10"/>
      <x:c r="Z608" s="9"/>
      <x:c r="AA608" s="9"/>
      <x:c r="AB608" s="9"/>
      <x:c r="AC608" s="9" t="str">
        <x:v>behind</x:v>
      </x:c>
      <x:c r="AD608" s="9" t="str">
        <x:v>green pen</x:v>
      </x:c>
      <x:c r="AE608" s="9" t="str">
        <x:v>blue block</x:v>
      </x:c>
      <x:c r="AF608" s="9" t="str">
        <x:v>None</x:v>
      </x:c>
      <x:c r="AG608" s="9"/>
      <x:c r="AH608" s="9"/>
      <x:c r="AI608" s="11"/>
      <x:c r="AJ608" s="9"/>
      <x:c r="AK608" s="9" t="str">
        <x:v>Eval_Relational_Placement (1).xlsm</x:v>
      </x:c>
      <x:c r="AL608" s="9" t="str">
        <x:v>MolmoAct2 Results</x:v>
      </x:c>
      <x:c r="AM608" s="9" t="n">
        <x:v>158</x:v>
      </x:c>
      <x:c r="AN608" s="9" t="n">
        <x:v>158</x:v>
      </x:c>
    </x:row>
    <x:row r="609">
      <x:c r="A609" s="9" t="str">
        <x:v>Success</x:v>
      </x:c>
      <x:c r="B609" s="9" t="str">
        <x:v>Relational Placement</x:v>
      </x:c>
      <x:c r="C609" s="10" t="n">
        <x:v>157</x:v>
      </x:c>
      <x:c r="D609" s="9" t="str">
        <x:v>Move the blue block to the front of the green pen.</x:v>
      </x:c>
      <x:c r="E609" s="9" t="str">
        <x:v>green pen, blue block, pink marker</x:v>
      </x:c>
      <x:c r="F609" s="9" t="str">
        <x:v>blue block → 2–8 cm edge gap in front of green pen; centroid direction within ±45°.</x:v>
      </x:c>
      <x:c r="G609" s="9" t="str">
        <x:v>moved to the blue block 5 times, then finally fixed it. After the fix, went back to the blue block, but time ran out before it came back.</x:v>
      </x:c>
      <x:c r="H609" s="9" t="str">
        <x:v>Violated-relation correction control</x:v>
      </x:c>
      <x:c r="I609" s="9" t="str">
        <x:v>RP-AG07</x:v>
      </x:c>
      <x:c r="J609" s="9" t="str">
        <x:v>Matched opposite-sector movement-required control</x:v>
      </x:c>
      <x:c r="K609" s="9" t="n">
        <x:v>156</x:v>
      </x:c>
      <x:c r="L609" s="9" t="str">
        <x:v>353</x:v>
      </x:c>
      <x:c r="M609" s="9"/>
      <x:c r="N609" s="9"/>
      <x:c r="O609" s="9" t="str">
        <x:v>Preserve the exact scene; change only the reciprocal target/reference instruction.</x:v>
      </x:c>
      <x:c r="P609" s="9" t="str">
        <x:v>Uses the reciprocal explicitly trained prompt from episode 353. Both rows in this state pair are simultaneously violated.</x:v>
      </x:c>
      <x:c r="Q609" s="9"/>
      <x:c r="R609" s="10" t="n">
        <x:v>3</x:v>
      </x:c>
      <x:c r="S609" s="10"/>
      <x:c r="T609" s="9"/>
      <x:c r="U609" s="9"/>
      <x:c r="V609" s="9"/>
      <x:c r="W609" s="9"/>
      <x:c r="X609" s="10"/>
      <x:c r="Y609" s="10"/>
      <x:c r="Z609" s="9"/>
      <x:c r="AA609" s="9"/>
      <x:c r="AB609" s="9"/>
      <x:c r="AC609" s="9" t="str">
        <x:v>front</x:v>
      </x:c>
      <x:c r="AD609" s="9" t="str">
        <x:v>blue block</x:v>
      </x:c>
      <x:c r="AE609" s="9" t="str">
        <x:v>green pen</x:v>
      </x:c>
      <x:c r="AF609" s="9" t="str">
        <x:v>None</x:v>
      </x:c>
      <x:c r="AG609" s="9"/>
      <x:c r="AH609" s="9"/>
      <x:c r="AI609" s="11"/>
      <x:c r="AJ609" s="9"/>
      <x:c r="AK609" s="9" t="str">
        <x:v>Eval_Relational_Placement (1).xlsm</x:v>
      </x:c>
      <x:c r="AL609" s="9" t="str">
        <x:v>MolmoAct2 Results</x:v>
      </x:c>
      <x:c r="AM609" s="9" t="n">
        <x:v>159</x:v>
      </x:c>
      <x:c r="AN609" s="9" t="n">
        <x:v>159</x:v>
      </x:c>
    </x:row>
    <x:row r="610">
      <x:c r="A610" s="9" t="str">
        <x:v>Failure</x:v>
      </x:c>
      <x:c r="B610" s="9" t="str">
        <x:v>Relational Placement</x:v>
      </x:c>
      <x:c r="C610" s="10" t="n">
        <x:v>158</x:v>
      </x:c>
      <x:c r="D610" s="9" t="str">
        <x:v>Move the red block to the front of the pink marker.</x:v>
      </x:c>
      <x:c r="E610" s="9" t="str">
        <x:v>red block, pink marker, green pen, blue block</x:v>
      </x:c>
      <x:c r="F610" s="9" t="str">
        <x:v>red block → 2–8 cm edge gap in front of pink marker; centroid direction within ±45°.</x:v>
      </x:c>
      <x:c r="G610" s="9" t="str">
        <x:v>didn't move</x:v>
      </x:c>
      <x:c r="H610" s="9" t="str">
        <x:v>Violated-relation correction control</x:v>
      </x:c>
      <x:c r="I610" s="9" t="str">
        <x:v>RP-AG08</x:v>
      </x:c>
      <x:c r="J610" s="9" t="str">
        <x:v>Matched opposite-sector movement-required control</x:v>
      </x:c>
      <x:c r="K610" s="9"/>
      <x:c r="L610" s="9" t="str">
        <x:v>252</x:v>
      </x:c>
      <x:c r="M610" s="9"/>
      <x:c r="N610" s="9"/>
      <x:c r="O610" s="9" t="str">
        <x:v>Build the listed opposite-sector violated scene and save the first frame.</x:v>
      </x:c>
      <x:c r="P610" s="9" t="str">
        <x:v>Uses the ordinary explicitly trained prompt from episode 252. Its prompt-matched no-movement counterpart is in the same four-row family.</x:v>
      </x:c>
      <x:c r="Q610" s="9"/>
      <x:c r="R610" s="10" t="n">
        <x:v>4</x:v>
      </x:c>
      <x:c r="S610" s="10"/>
      <x:c r="T610" s="9"/>
      <x:c r="U610" s="9"/>
      <x:c r="V610" s="9"/>
      <x:c r="W610" s="9"/>
      <x:c r="X610" s="10"/>
      <x:c r="Y610" s="10"/>
      <x:c r="Z610" s="9"/>
      <x:c r="AA610" s="9"/>
      <x:c r="AB610" s="9"/>
      <x:c r="AC610" s="9" t="str">
        <x:v>front</x:v>
      </x:c>
      <x:c r="AD610" s="9" t="str">
        <x:v>red block</x:v>
      </x:c>
      <x:c r="AE610" s="9" t="str">
        <x:v>pink marker</x:v>
      </x:c>
      <x:c r="AF610" s="9" t="str">
        <x:v>None</x:v>
      </x:c>
      <x:c r="AG610" s="9"/>
      <x:c r="AH610" s="9"/>
      <x:c r="AI610" s="11"/>
      <x:c r="AJ610" s="9"/>
      <x:c r="AK610" s="9" t="str">
        <x:v>Eval_Relational_Placement (1).xlsm</x:v>
      </x:c>
      <x:c r="AL610" s="9" t="str">
        <x:v>MolmoAct2 Results</x:v>
      </x:c>
      <x:c r="AM610" s="9" t="n">
        <x:v>160</x:v>
      </x:c>
      <x:c r="AN610" s="9" t="n">
        <x:v>160</x:v>
      </x:c>
    </x:row>
    <x:row r="611">
      <x:c r="A611" s="9" t="str">
        <x:v>Failure</x:v>
      </x:c>
      <x:c r="B611" s="9" t="str">
        <x:v>Relational Placement</x:v>
      </x:c>
      <x:c r="C611" s="10" t="n">
        <x:v>159</x:v>
      </x:c>
      <x:c r="D611" s="9" t="str">
        <x:v>Put the pink marker on the table behind the red block.</x:v>
      </x:c>
      <x:c r="E611" s="9" t="str">
        <x:v>red block, pink marker, green pen, blue block</x:v>
      </x:c>
      <x:c r="F611" s="9" t="str">
        <x:v>pink marker → 2–8 cm edge gap behind red block; centroid direction within ±45°.</x:v>
      </x:c>
      <x:c r="G611" s="9" t="str">
        <x:v>didn't move</x:v>
      </x:c>
      <x:c r="H611" s="9" t="str">
        <x:v>Violated-relation correction control</x:v>
      </x:c>
      <x:c r="I611" s="9" t="str">
        <x:v>RP-AG08</x:v>
      </x:c>
      <x:c r="J611" s="9" t="str">
        <x:v>Matched opposite-sector movement-required control</x:v>
      </x:c>
      <x:c r="K611" s="9" t="n">
        <x:v>158</x:v>
      </x:c>
      <x:c r="L611" s="9" t="str">
        <x:v>323</x:v>
      </x:c>
      <x:c r="M611" s="9"/>
      <x:c r="N611" s="9"/>
      <x:c r="O611" s="9" t="str">
        <x:v>Preserve the exact scene; change only the reciprocal target/reference instruction.</x:v>
      </x:c>
      <x:c r="P611" s="9" t="str">
        <x:v>Uses the reciprocal explicitly trained prompt from episode 323. Both rows in this state pair are simultaneously violated.</x:v>
      </x:c>
      <x:c r="Q611" s="9"/>
      <x:c r="R611" s="10" t="n">
        <x:v>4</x:v>
      </x:c>
      <x:c r="S611" s="10"/>
      <x:c r="T611" s="9"/>
      <x:c r="U611" s="9"/>
      <x:c r="V611" s="9"/>
      <x:c r="W611" s="9"/>
      <x:c r="X611" s="10"/>
      <x:c r="Y611" s="10"/>
      <x:c r="Z611" s="9"/>
      <x:c r="AA611" s="9"/>
      <x:c r="AB611" s="9"/>
      <x:c r="AC611" s="9" t="str">
        <x:v>behind</x:v>
      </x:c>
      <x:c r="AD611" s="9" t="str">
        <x:v>pink marker</x:v>
      </x:c>
      <x:c r="AE611" s="9" t="str">
        <x:v>red block</x:v>
      </x:c>
      <x:c r="AF611" s="9" t="str">
        <x:v>None</x:v>
      </x:c>
      <x:c r="AG611" s="9"/>
      <x:c r="AH611" s="9"/>
      <x:c r="AI611" s="11"/>
      <x:c r="AJ611" s="9"/>
      <x:c r="AK611" s="9" t="str">
        <x:v>Eval_Relational_Placement (1).xlsm</x:v>
      </x:c>
      <x:c r="AL611" s="9" t="str">
        <x:v>MolmoAct2 Results</x:v>
      </x:c>
      <x:c r="AM611" s="9" t="n">
        <x:v>161</x:v>
      </x:c>
      <x:c r="AN611" s="9" t="n">
        <x:v>161</x:v>
      </x:c>
    </x:row>
    <x:row r="612">
      <x:c r="A612" s="9" t="str">
        <x:v>Success</x:v>
      </x:c>
      <x:c r="B612" s="9" t="str">
        <x:v>Relational Placement</x:v>
      </x:c>
      <x:c r="C612" s="10" t="n">
        <x:v>160</x:v>
      </x:c>
      <x:c r="D612" s="9" t="str">
        <x:v>Move the red block to the front of the pink marker.</x:v>
      </x:c>
      <x:c r="E612" s="9" t="str">
        <x:v>red block, pink marker, green pen, blue block</x:v>
      </x:c>
      <x:c r="F612" s="9" t="str">
        <x:v>NO MOVEMENT — requested relation is already satisfied at the start: red block → 2–8 cm edge gap in front of pink marker; centroid direction within ±45°.</x:v>
      </x:c>
      <x:c r="G612" s="9"/>
      <x:c r="H612" s="9" t="str">
        <x:v>Goal already satisfied / no movement</x:v>
      </x:c>
      <x:c r="I612" s="9" t="str">
        <x:v>RP-AG08</x:v>
      </x:c>
      <x:c r="J612" s="9" t="str">
        <x:v>In-distribution satisfied-state action-gating diagnostic</x:v>
      </x:c>
      <x:c r="K612" s="9"/>
      <x:c r="L612" s="9" t="str">
        <x:v>252</x:v>
      </x:c>
      <x:c r="M612" s="9"/>
      <x:c r="N612" s="9"/>
      <x:c r="O612" s="9" t="str">
        <x:v>Move only P1 to the listed already-satisfied 5 cm position; preserve P2, every distractor, and the camera/robot setup.</x:v>
      </x:c>
      <x:c r="P612" s="9" t="str">
        <x:v>Uses the ordinary explicitly trained prompt from episode 252. Its prompt-matched movement-required counterpart is in the same four-row family.</x:v>
      </x:c>
      <x:c r="Q612" s="9"/>
      <x:c r="R612" s="10" t="n">
        <x:v>4</x:v>
      </x:c>
      <x:c r="S612" s="10"/>
      <x:c r="T612" s="9"/>
      <x:c r="U612" s="9"/>
      <x:c r="V612" s="9"/>
      <x:c r="W612" s="9"/>
      <x:c r="X612" s="10"/>
      <x:c r="Y612" s="10"/>
      <x:c r="Z612" s="9"/>
      <x:c r="AA612" s="9"/>
      <x:c r="AB612" s="9"/>
      <x:c r="AC612" s="9" t="str">
        <x:v>front</x:v>
      </x:c>
      <x:c r="AD612" s="9" t="str">
        <x:v>red block</x:v>
      </x:c>
      <x:c r="AE612" s="9" t="str">
        <x:v>pink marker</x:v>
      </x:c>
      <x:c r="AF612" s="9" t="str">
        <x:v>None</x:v>
      </x:c>
      <x:c r="AG612" s="9"/>
      <x:c r="AH612" s="9"/>
      <x:c r="AI612" s="11"/>
      <x:c r="AJ612" s="9"/>
      <x:c r="AK612" s="9" t="str">
        <x:v>Eval_Relational_Placement (1).xlsm</x:v>
      </x:c>
      <x:c r="AL612" s="9" t="str">
        <x:v>MolmoAct2 Results</x:v>
      </x:c>
      <x:c r="AM612" s="9" t="n">
        <x:v>162</x:v>
      </x:c>
      <x:c r="AN612" s="9" t="n">
        <x:v>162</x:v>
      </x:c>
    </x:row>
    <x:row r="613">
      <x:c r="A613" s="9" t="str">
        <x:v>Success</x:v>
      </x:c>
      <x:c r="B613" s="9" t="str">
        <x:v>Relational Placement</x:v>
      </x:c>
      <x:c r="C613" s="10" t="n">
        <x:v>161</x:v>
      </x:c>
      <x:c r="D613" s="9" t="str">
        <x:v>Put the pink marker on the table behind the red block.</x:v>
      </x:c>
      <x:c r="E613" s="9" t="str">
        <x:v>red block, pink marker, green pen, blue block</x:v>
      </x:c>
      <x:c r="F613" s="9" t="str">
        <x:v>NO MOVEMENT — requested relation is already satisfied at the start: pink marker → 2–8 cm edge gap behind red block; centroid direction within ±45°.</x:v>
      </x:c>
      <x:c r="G613" s="9"/>
      <x:c r="H613" s="9" t="str">
        <x:v>Goal already satisfied / no movement</x:v>
      </x:c>
      <x:c r="I613" s="9" t="str">
        <x:v>RP-AG08</x:v>
      </x:c>
      <x:c r="J613" s="9" t="str">
        <x:v>In-distribution satisfied-state action-gating diagnostic</x:v>
      </x:c>
      <x:c r="K613" s="9" t="n">
        <x:v>160</x:v>
      </x:c>
      <x:c r="L613" s="9" t="str">
        <x:v>323</x:v>
      </x:c>
      <x:c r="M613" s="9"/>
      <x:c r="N613" s="9"/>
      <x:c r="O613" s="9" t="str">
        <x:v>Preserve the exact scene; change only the reciprocal target/reference instruction.</x:v>
      </x:c>
      <x:c r="P613" s="9" t="str">
        <x:v>Uses the reciprocal explicitly trained prompt from episode 323. Both rows in this state pair are simultaneously satisfied.</x:v>
      </x:c>
      <x:c r="Q613" s="9"/>
      <x:c r="R613" s="10" t="n">
        <x:v>4</x:v>
      </x:c>
      <x:c r="S613" s="10"/>
      <x:c r="T613" s="9"/>
      <x:c r="U613" s="9"/>
      <x:c r="V613" s="9"/>
      <x:c r="W613" s="9"/>
      <x:c r="X613" s="10"/>
      <x:c r="Y613" s="10"/>
      <x:c r="Z613" s="9"/>
      <x:c r="AA613" s="9"/>
      <x:c r="AB613" s="9"/>
      <x:c r="AC613" s="9" t="str">
        <x:v>behind</x:v>
      </x:c>
      <x:c r="AD613" s="9" t="str">
        <x:v>pink marker</x:v>
      </x:c>
      <x:c r="AE613" s="9" t="str">
        <x:v>red block</x:v>
      </x:c>
      <x:c r="AF613" s="9" t="str">
        <x:v>None</x:v>
      </x:c>
      <x:c r="AG613" s="9"/>
      <x:c r="AH613" s="9"/>
      <x:c r="AI613" s="11"/>
      <x:c r="AJ613" s="9"/>
      <x:c r="AK613" s="9" t="str">
        <x:v>Eval_Relational_Placement (1).xlsm</x:v>
      </x:c>
      <x:c r="AL613" s="9" t="str">
        <x:v>MolmoAct2 Results</x:v>
      </x:c>
      <x:c r="AM613" s="9" t="n">
        <x:v>163</x:v>
      </x:c>
      <x:c r="AN613" s="9" t="n">
        <x:v>163</x:v>
      </x:c>
    </x:row>
    <x:row r="614">
      <x:c r="A614" s="9" t="str">
        <x:v>Success</x:v>
      </x:c>
      <x:c r="B614" s="9" t="str">
        <x:v>Relational Placement</x:v>
      </x:c>
      <x:c r="C614" s="10" t="n">
        <x:v>162</x:v>
      </x:c>
      <x:c r="D614" s="9" t="str">
        <x:v>Put the red block on the table behind the blue block.</x:v>
      </x:c>
      <x:c r="E614" s="9" t="str">
        <x:v>red block, blue block, pink marker</x:v>
      </x:c>
      <x:c r="F614" s="9" t="str">
        <x:v>NO MOVEMENT — requested relation is already satisfied at the start: red block → 2–8 cm edge gap behind blue block; centroid direction within ±45°.</x:v>
      </x:c>
      <x:c r="G614" s="9"/>
      <x:c r="H614" s="9" t="str">
        <x:v>Goal already satisfied / no movement</x:v>
      </x:c>
      <x:c r="I614" s="9" t="str">
        <x:v>RP-AG09</x:v>
      </x:c>
      <x:c r="J614" s="9" t="str">
        <x:v>In-distribution satisfied-state action-gating diagnostic</x:v>
      </x:c>
      <x:c r="K614" s="9"/>
      <x:c r="L614" s="9" t="str">
        <x:v>270</x:v>
      </x:c>
      <x:c r="M614" s="9"/>
      <x:c r="N614" s="9"/>
      <x:c r="O614" s="9" t="str">
        <x:v>Build the listed already-satisfied scene and save the first frame.</x:v>
      </x:c>
      <x:c r="P614" s="9" t="str">
        <x:v>Uses the ordinary explicitly trained prompt from episode 270. Its prompt-matched movement-required counterpart is in the same four-row family.</x:v>
      </x:c>
      <x:c r="Q614" s="9"/>
      <x:c r="R614" s="10" t="n">
        <x:v>3</x:v>
      </x:c>
      <x:c r="S614" s="10"/>
      <x:c r="T614" s="9"/>
      <x:c r="U614" s="9"/>
      <x:c r="V614" s="9"/>
      <x:c r="W614" s="9"/>
      <x:c r="X614" s="10"/>
      <x:c r="Y614" s="10"/>
      <x:c r="Z614" s="9"/>
      <x:c r="AA614" s="9"/>
      <x:c r="AB614" s="9"/>
      <x:c r="AC614" s="9" t="str">
        <x:v>behind</x:v>
      </x:c>
      <x:c r="AD614" s="9" t="str">
        <x:v>red block</x:v>
      </x:c>
      <x:c r="AE614" s="9" t="str">
        <x:v>blue block</x:v>
      </x:c>
      <x:c r="AF614" s="9" t="str">
        <x:v>None</x:v>
      </x:c>
      <x:c r="AG614" s="9"/>
      <x:c r="AH614" s="9"/>
      <x:c r="AI614" s="11"/>
      <x:c r="AJ614" s="9"/>
      <x:c r="AK614" s="9" t="str">
        <x:v>Eval_Relational_Placement (1).xlsm</x:v>
      </x:c>
      <x:c r="AL614" s="9" t="str">
        <x:v>MolmoAct2 Results</x:v>
      </x:c>
      <x:c r="AM614" s="9" t="n">
        <x:v>164</x:v>
      </x:c>
      <x:c r="AN614" s="9" t="n">
        <x:v>164</x:v>
      </x:c>
    </x:row>
    <x:row r="615">
      <x:c r="A615" s="9" t="str">
        <x:v>Success</x:v>
      </x:c>
      <x:c r="B615" s="9" t="str">
        <x:v>Relational Placement</x:v>
      </x:c>
      <x:c r="C615" s="10" t="n">
        <x:v>163</x:v>
      </x:c>
      <x:c r="D615" s="9" t="str">
        <x:v>Move the blue block to the front of the red block.</x:v>
      </x:c>
      <x:c r="E615" s="9" t="str">
        <x:v>red block, blue block, pink marker</x:v>
      </x:c>
      <x:c r="F615" s="9" t="str">
        <x:v>NO MOVEMENT — requested relation is already satisfied at the start: blue block → 2–8 cm edge gap in front of red block; centroid direction within ±45°.</x:v>
      </x:c>
      <x:c r="G615" s="9"/>
      <x:c r="H615" s="9" t="str">
        <x:v>Goal already satisfied / no movement</x:v>
      </x:c>
      <x:c r="I615" s="9" t="str">
        <x:v>RP-AG09</x:v>
      </x:c>
      <x:c r="J615" s="9" t="str">
        <x:v>In-distribution satisfied-state action-gating diagnostic</x:v>
      </x:c>
      <x:c r="K615" s="9" t="n">
        <x:v>162</x:v>
      </x:c>
      <x:c r="L615" s="9" t="str">
        <x:v>357</x:v>
      </x:c>
      <x:c r="M615" s="9"/>
      <x:c r="N615" s="9"/>
      <x:c r="O615" s="9" t="str">
        <x:v>Preserve the exact scene; change only the reciprocal target/reference instruction.</x:v>
      </x:c>
      <x:c r="P615" s="9" t="str">
        <x:v>Uses the reciprocal explicitly trained prompt from episode 357. Both rows in this state pair are simultaneously satisfied.</x:v>
      </x:c>
      <x:c r="Q615" s="9"/>
      <x:c r="R615" s="10" t="n">
        <x:v>3</x:v>
      </x:c>
      <x:c r="S615" s="10"/>
      <x:c r="T615" s="9"/>
      <x:c r="U615" s="9"/>
      <x:c r="V615" s="9"/>
      <x:c r="W615" s="9"/>
      <x:c r="X615" s="10"/>
      <x:c r="Y615" s="10"/>
      <x:c r="Z615" s="9"/>
      <x:c r="AA615" s="9"/>
      <x:c r="AB615" s="9"/>
      <x:c r="AC615" s="9" t="str">
        <x:v>front</x:v>
      </x:c>
      <x:c r="AD615" s="9" t="str">
        <x:v>blue block</x:v>
      </x:c>
      <x:c r="AE615" s="9" t="str">
        <x:v>red block</x:v>
      </x:c>
      <x:c r="AF615" s="9" t="str">
        <x:v>None</x:v>
      </x:c>
      <x:c r="AG615" s="9"/>
      <x:c r="AH615" s="9"/>
      <x:c r="AI615" s="11"/>
      <x:c r="AJ615" s="9"/>
      <x:c r="AK615" s="9" t="str">
        <x:v>Eval_Relational_Placement (1).xlsm</x:v>
      </x:c>
      <x:c r="AL615" s="9" t="str">
        <x:v>MolmoAct2 Results</x:v>
      </x:c>
      <x:c r="AM615" s="9" t="n">
        <x:v>165</x:v>
      </x:c>
      <x:c r="AN615" s="9" t="n">
        <x:v>165</x:v>
      </x:c>
    </x:row>
    <x:row r="616">
      <x:c r="A616" s="9" t="str">
        <x:v>Failure</x:v>
      </x:c>
      <x:c r="B616" s="9" t="str">
        <x:v>Relational Placement</x:v>
      </x:c>
      <x:c r="C616" s="10" t="n">
        <x:v>164</x:v>
      </x:c>
      <x:c r="D616" s="9" t="str">
        <x:v>Put the red block on the table behind the blue block.</x:v>
      </x:c>
      <x:c r="E616" s="9" t="str">
        <x:v>red block, blue block, pink marker</x:v>
      </x:c>
      <x:c r="F616" s="9" t="str">
        <x:v>red block → 2–8 cm edge gap behind blue block; centroid direction within ±45°.</x:v>
      </x:c>
      <x:c r="G616" s="9" t="str">
        <x:v>didn't move</x:v>
      </x:c>
      <x:c r="H616" s="9" t="str">
        <x:v>Violated-relation correction control</x:v>
      </x:c>
      <x:c r="I616" s="9" t="str">
        <x:v>RP-AG09</x:v>
      </x:c>
      <x:c r="J616" s="9" t="str">
        <x:v>Matched opposite-sector movement-required control</x:v>
      </x:c>
      <x:c r="K616" s="9"/>
      <x:c r="L616" s="9" t="str">
        <x:v>270</x:v>
      </x:c>
      <x:c r="M616" s="9"/>
      <x:c r="N616" s="9"/>
      <x:c r="O616" s="9" t="str">
        <x:v>Move only P1 to the listed opposite-sector violated 5 cm position; preserve P2, every distractor, and the camera/robot setup.</x:v>
      </x:c>
      <x:c r="P616" s="9" t="str">
        <x:v>Uses the ordinary explicitly trained prompt from episode 270. Its prompt-matched no-movement counterpart is in the same four-row family.</x:v>
      </x:c>
      <x:c r="Q616" s="9"/>
      <x:c r="R616" s="10" t="n">
        <x:v>3</x:v>
      </x:c>
      <x:c r="S616" s="10"/>
      <x:c r="T616" s="9"/>
      <x:c r="U616" s="9"/>
      <x:c r="V616" s="9"/>
      <x:c r="W616" s="9"/>
      <x:c r="X616" s="10"/>
      <x:c r="Y616" s="10"/>
      <x:c r="Z616" s="9"/>
      <x:c r="AA616" s="9"/>
      <x:c r="AB616" s="9"/>
      <x:c r="AC616" s="9" t="str">
        <x:v>behind</x:v>
      </x:c>
      <x:c r="AD616" s="9" t="str">
        <x:v>red block</x:v>
      </x:c>
      <x:c r="AE616" s="9" t="str">
        <x:v>blue block</x:v>
      </x:c>
      <x:c r="AF616" s="9" t="str">
        <x:v>None</x:v>
      </x:c>
      <x:c r="AG616" s="9"/>
      <x:c r="AH616" s="9"/>
      <x:c r="AI616" s="11"/>
      <x:c r="AJ616" s="9"/>
      <x:c r="AK616" s="9" t="str">
        <x:v>Eval_Relational_Placement (1).xlsm</x:v>
      </x:c>
      <x:c r="AL616" s="9" t="str">
        <x:v>MolmoAct2 Results</x:v>
      </x:c>
      <x:c r="AM616" s="9" t="n">
        <x:v>166</x:v>
      </x:c>
      <x:c r="AN616" s="9" t="n">
        <x:v>166</x:v>
      </x:c>
    </x:row>
    <x:row r="617">
      <x:c r="A617" s="9" t="str">
        <x:v>Failure</x:v>
      </x:c>
      <x:c r="B617" s="9" t="str">
        <x:v>Relational Placement</x:v>
      </x:c>
      <x:c r="C617" s="10" t="n">
        <x:v>165</x:v>
      </x:c>
      <x:c r="D617" s="9" t="str">
        <x:v>Move the blue block to the front of the red block.</x:v>
      </x:c>
      <x:c r="E617" s="9" t="str">
        <x:v>red block, blue block, pink marker</x:v>
      </x:c>
      <x:c r="F617" s="9" t="str">
        <x:v>blue block → 2–8 cm edge gap in front of red block; centroid direction within ±45°.</x:v>
      </x:c>
      <x:c r="G617" s="9" t="str">
        <x:v>didn't move</x:v>
      </x:c>
      <x:c r="H617" s="9" t="str">
        <x:v>Violated-relation correction control</x:v>
      </x:c>
      <x:c r="I617" s="9" t="str">
        <x:v>RP-AG09</x:v>
      </x:c>
      <x:c r="J617" s="9" t="str">
        <x:v>Matched opposite-sector movement-required control</x:v>
      </x:c>
      <x:c r="K617" s="9" t="n">
        <x:v>164</x:v>
      </x:c>
      <x:c r="L617" s="9" t="str">
        <x:v>357</x:v>
      </x:c>
      <x:c r="M617" s="9"/>
      <x:c r="N617" s="9"/>
      <x:c r="O617" s="9" t="str">
        <x:v>Preserve the exact scene; change only the reciprocal target/reference instruction.</x:v>
      </x:c>
      <x:c r="P617" s="9" t="str">
        <x:v>Uses the reciprocal explicitly trained prompt from episode 357. Both rows in this state pair are simultaneously violated.</x:v>
      </x:c>
      <x:c r="Q617" s="9"/>
      <x:c r="R617" s="10" t="n">
        <x:v>3</x:v>
      </x:c>
      <x:c r="S617" s="10"/>
      <x:c r="T617" s="9"/>
      <x:c r="U617" s="9"/>
      <x:c r="V617" s="9"/>
      <x:c r="W617" s="9"/>
      <x:c r="X617" s="10"/>
      <x:c r="Y617" s="10"/>
      <x:c r="Z617" s="9"/>
      <x:c r="AA617" s="9"/>
      <x:c r="AB617" s="9"/>
      <x:c r="AC617" s="9" t="str">
        <x:v>front</x:v>
      </x:c>
      <x:c r="AD617" s="9" t="str">
        <x:v>blue block</x:v>
      </x:c>
      <x:c r="AE617" s="9" t="str">
        <x:v>red block</x:v>
      </x:c>
      <x:c r="AF617" s="9" t="str">
        <x:v>None</x:v>
      </x:c>
      <x:c r="AG617" s="9"/>
      <x:c r="AH617" s="9"/>
      <x:c r="AI617" s="11"/>
      <x:c r="AJ617" s="9"/>
      <x:c r="AK617" s="9" t="str">
        <x:v>Eval_Relational_Placement (1).xlsm</x:v>
      </x:c>
      <x:c r="AL617" s="9" t="str">
        <x:v>MolmoAct2 Results</x:v>
      </x:c>
      <x:c r="AM617" s="9" t="n">
        <x:v>167</x:v>
      </x:c>
      <x:c r="AN617" s="9" t="n">
        <x:v>167</x:v>
      </x:c>
    </x:row>
    <x:row r="618">
      <x:c r="A618" s="9" t="str">
        <x:v>Failure</x:v>
      </x:c>
      <x:c r="B618" s="9" t="str">
        <x:v>Relational Placement</x:v>
      </x:c>
      <x:c r="C618" s="10" t="n">
        <x:v>166</x:v>
      </x:c>
      <x:c r="D618" s="9" t="str">
        <x:v>Place the red block in front of the blue block.</x:v>
      </x:c>
      <x:c r="E618" s="9" t="str">
        <x:v>red block, blue block, green pen, pink marker</x:v>
      </x:c>
      <x:c r="F618" s="9" t="str">
        <x:v>red block → 2–8 cm edge gap in front of blue block; centroid direction within ±45°.</x:v>
      </x:c>
      <x:c r="G618" s="9" t="str">
        <x:v>didn't move</x:v>
      </x:c>
      <x:c r="H618" s="9" t="str">
        <x:v>Violated-relation correction control</x:v>
      </x:c>
      <x:c r="I618" s="9" t="str">
        <x:v>RP-AG10</x:v>
      </x:c>
      <x:c r="J618" s="9" t="str">
        <x:v>Matched opposite-sector movement-required control</x:v>
      </x:c>
      <x:c r="K618" s="9"/>
      <x:c r="L618" s="9" t="str">
        <x:v>256</x:v>
      </x:c>
      <x:c r="M618" s="9"/>
      <x:c r="N618" s="9"/>
      <x:c r="O618" s="9" t="str">
        <x:v>Build the listed opposite-sector violated scene and save the first frame.</x:v>
      </x:c>
      <x:c r="P618" s="9" t="str">
        <x:v>Uses the ordinary explicitly trained prompt from episode 256. Its prompt-matched no-movement counterpart is in the same four-row family.</x:v>
      </x:c>
      <x:c r="Q618" s="9"/>
      <x:c r="R618" s="10" t="n">
        <x:v>4</x:v>
      </x:c>
      <x:c r="S618" s="10"/>
      <x:c r="T618" s="9"/>
      <x:c r="U618" s="9"/>
      <x:c r="V618" s="9"/>
      <x:c r="W618" s="9"/>
      <x:c r="X618" s="10"/>
      <x:c r="Y618" s="10"/>
      <x:c r="Z618" s="9"/>
      <x:c r="AA618" s="9"/>
      <x:c r="AB618" s="9"/>
      <x:c r="AC618" s="9" t="str">
        <x:v>front</x:v>
      </x:c>
      <x:c r="AD618" s="9" t="str">
        <x:v>red block</x:v>
      </x:c>
      <x:c r="AE618" s="9" t="str">
        <x:v>blue block</x:v>
      </x:c>
      <x:c r="AF618" s="9" t="str">
        <x:v>None</x:v>
      </x:c>
      <x:c r="AG618" s="9"/>
      <x:c r="AH618" s="9"/>
      <x:c r="AI618" s="11"/>
      <x:c r="AJ618" s="9"/>
      <x:c r="AK618" s="9" t="str">
        <x:v>Eval_Relational_Placement (1).xlsm</x:v>
      </x:c>
      <x:c r="AL618" s="9" t="str">
        <x:v>MolmoAct2 Results</x:v>
      </x:c>
      <x:c r="AM618" s="9" t="n">
        <x:v>168</x:v>
      </x:c>
      <x:c r="AN618" s="9" t="n">
        <x:v>168</x:v>
      </x:c>
    </x:row>
    <x:row r="619">
      <x:c r="A619" s="9" t="str">
        <x:v>Failure</x:v>
      </x:c>
      <x:c r="B619" s="9" t="str">
        <x:v>Relational Placement</x:v>
      </x:c>
      <x:c r="C619" s="10" t="n">
        <x:v>167</x:v>
      </x:c>
      <x:c r="D619" s="9" t="str">
        <x:v>Put the blue block on the table behind the red block.</x:v>
      </x:c>
      <x:c r="E619" s="9" t="str">
        <x:v>red block, blue block, green pen, pink marker</x:v>
      </x:c>
      <x:c r="F619" s="9" t="str">
        <x:v>blue block → 2–8 cm edge gap behind red block; centroid direction within ±45°.</x:v>
      </x:c>
      <x:c r="G619" s="9" t="str">
        <x:v>didn't move</x:v>
      </x:c>
      <x:c r="H619" s="9" t="str">
        <x:v>Violated-relation correction control</x:v>
      </x:c>
      <x:c r="I619" s="9" t="str">
        <x:v>RP-AG10</x:v>
      </x:c>
      <x:c r="J619" s="9" t="str">
        <x:v>Matched opposite-sector movement-required control</x:v>
      </x:c>
      <x:c r="K619" s="9" t="n">
        <x:v>166</x:v>
      </x:c>
      <x:c r="L619" s="9" t="str">
        <x:v>369</x:v>
      </x:c>
      <x:c r="M619" s="9"/>
      <x:c r="N619" s="9"/>
      <x:c r="O619" s="9" t="str">
        <x:v>Preserve the exact scene; change only the reciprocal target/reference instruction.</x:v>
      </x:c>
      <x:c r="P619" s="9" t="str">
        <x:v>Uses the reciprocal explicitly trained prompt from episode 369. Both rows in this state pair are simultaneously violated.</x:v>
      </x:c>
      <x:c r="Q619" s="9"/>
      <x:c r="R619" s="10" t="n">
        <x:v>4</x:v>
      </x:c>
      <x:c r="S619" s="10"/>
      <x:c r="T619" s="9"/>
      <x:c r="U619" s="9"/>
      <x:c r="V619" s="9"/>
      <x:c r="W619" s="9"/>
      <x:c r="X619" s="10"/>
      <x:c r="Y619" s="10"/>
      <x:c r="Z619" s="9"/>
      <x:c r="AA619" s="9"/>
      <x:c r="AB619" s="9"/>
      <x:c r="AC619" s="9" t="str">
        <x:v>behind</x:v>
      </x:c>
      <x:c r="AD619" s="9" t="str">
        <x:v>blue block</x:v>
      </x:c>
      <x:c r="AE619" s="9" t="str">
        <x:v>red block</x:v>
      </x:c>
      <x:c r="AF619" s="9" t="str">
        <x:v>None</x:v>
      </x:c>
      <x:c r="AG619" s="9"/>
      <x:c r="AH619" s="9"/>
      <x:c r="AI619" s="11"/>
      <x:c r="AJ619" s="9"/>
      <x:c r="AK619" s="9" t="str">
        <x:v>Eval_Relational_Placement (1).xlsm</x:v>
      </x:c>
      <x:c r="AL619" s="9" t="str">
        <x:v>MolmoAct2 Results</x:v>
      </x:c>
      <x:c r="AM619" s="9" t="n">
        <x:v>169</x:v>
      </x:c>
      <x:c r="AN619" s="9" t="n">
        <x:v>169</x:v>
      </x:c>
    </x:row>
    <x:row r="620">
      <x:c r="A620" s="9" t="str">
        <x:v>Success</x:v>
      </x:c>
      <x:c r="B620" s="9" t="str">
        <x:v>Relational Placement</x:v>
      </x:c>
      <x:c r="C620" s="10" t="n">
        <x:v>168</x:v>
      </x:c>
      <x:c r="D620" s="9" t="str">
        <x:v>Place the red block in front of the blue block.</x:v>
      </x:c>
      <x:c r="E620" s="9" t="str">
        <x:v>red block, blue block, green pen, pink marker</x:v>
      </x:c>
      <x:c r="F620" s="9" t="str">
        <x:v>NO MOVEMENT — requested relation is already satisfied at the start: red block → 2–8 cm edge gap in front of blue block; centroid direction within ±45°.</x:v>
      </x:c>
      <x:c r="G620" s="9"/>
      <x:c r="H620" s="9" t="str">
        <x:v>Goal already satisfied / no movement</x:v>
      </x:c>
      <x:c r="I620" s="9" t="str">
        <x:v>RP-AG10</x:v>
      </x:c>
      <x:c r="J620" s="9" t="str">
        <x:v>In-distribution satisfied-state action-gating diagnostic</x:v>
      </x:c>
      <x:c r="K620" s="9"/>
      <x:c r="L620" s="9" t="str">
        <x:v>256</x:v>
      </x:c>
      <x:c r="M620" s="9"/>
      <x:c r="N620" s="9"/>
      <x:c r="O620" s="9" t="str">
        <x:v>Move only P1 to the listed already-satisfied 5 cm position; preserve P2, every distractor, and the camera/robot setup.</x:v>
      </x:c>
      <x:c r="P620" s="9" t="str">
        <x:v>Uses the ordinary explicitly trained prompt from episode 256. Its prompt-matched movement-required counterpart is in the same four-row family.</x:v>
      </x:c>
      <x:c r="Q620" s="9"/>
      <x:c r="R620" s="10" t="n">
        <x:v>4</x:v>
      </x:c>
      <x:c r="S620" s="10"/>
      <x:c r="T620" s="9"/>
      <x:c r="U620" s="9"/>
      <x:c r="V620" s="9"/>
      <x:c r="W620" s="9"/>
      <x:c r="X620" s="10"/>
      <x:c r="Y620" s="10"/>
      <x:c r="Z620" s="9"/>
      <x:c r="AA620" s="9"/>
      <x:c r="AB620" s="9"/>
      <x:c r="AC620" s="9" t="str">
        <x:v>front</x:v>
      </x:c>
      <x:c r="AD620" s="9" t="str">
        <x:v>red block</x:v>
      </x:c>
      <x:c r="AE620" s="9" t="str">
        <x:v>blue block</x:v>
      </x:c>
      <x:c r="AF620" s="9" t="str">
        <x:v>None</x:v>
      </x:c>
      <x:c r="AG620" s="9"/>
      <x:c r="AH620" s="9"/>
      <x:c r="AI620" s="11"/>
      <x:c r="AJ620" s="9"/>
      <x:c r="AK620" s="9" t="str">
        <x:v>Eval_Relational_Placement (1).xlsm</x:v>
      </x:c>
      <x:c r="AL620" s="9" t="str">
        <x:v>MolmoAct2 Results</x:v>
      </x:c>
      <x:c r="AM620" s="9" t="n">
        <x:v>170</x:v>
      </x:c>
      <x:c r="AN620" s="9" t="n">
        <x:v>170</x:v>
      </x:c>
    </x:row>
    <x:row r="621">
      <x:c r="A621" s="9" t="str">
        <x:v>Success</x:v>
      </x:c>
      <x:c r="B621" s="9" t="str">
        <x:v>Relational Placement</x:v>
      </x:c>
      <x:c r="C621" s="10" t="n">
        <x:v>169</x:v>
      </x:c>
      <x:c r="D621" s="9" t="str">
        <x:v>Put the blue block on the table behind the red block.</x:v>
      </x:c>
      <x:c r="E621" s="9" t="str">
        <x:v>red block, blue block, green pen, pink marker</x:v>
      </x:c>
      <x:c r="F621" s="9" t="str">
        <x:v>NO MOVEMENT — requested relation is already satisfied at the start: blue block → 2–8 cm edge gap behind red block; centroid direction within ±45°.</x:v>
      </x:c>
      <x:c r="G621" s="9"/>
      <x:c r="H621" s="9" t="str">
        <x:v>Goal already satisfied / no movement</x:v>
      </x:c>
      <x:c r="I621" s="9" t="str">
        <x:v>RP-AG10</x:v>
      </x:c>
      <x:c r="J621" s="9" t="str">
        <x:v>In-distribution satisfied-state action-gating diagnostic</x:v>
      </x:c>
      <x:c r="K621" s="9" t="n">
        <x:v>168</x:v>
      </x:c>
      <x:c r="L621" s="9" t="str">
        <x:v>369</x:v>
      </x:c>
      <x:c r="M621" s="9"/>
      <x:c r="N621" s="9"/>
      <x:c r="O621" s="9" t="str">
        <x:v>Preserve the exact scene; change only the reciprocal target/reference instruction.</x:v>
      </x:c>
      <x:c r="P621" s="9" t="str">
        <x:v>Uses the reciprocal explicitly trained prompt from episode 369. Both rows in this state pair are simultaneously satisfied.</x:v>
      </x:c>
      <x:c r="Q621" s="9"/>
      <x:c r="R621" s="10" t="n">
        <x:v>4</x:v>
      </x:c>
      <x:c r="S621" s="10"/>
      <x:c r="T621" s="9"/>
      <x:c r="U621" s="9"/>
      <x:c r="V621" s="9"/>
      <x:c r="W621" s="9"/>
      <x:c r="X621" s="10"/>
      <x:c r="Y621" s="10"/>
      <x:c r="Z621" s="9"/>
      <x:c r="AA621" s="9"/>
      <x:c r="AB621" s="9"/>
      <x:c r="AC621" s="9" t="str">
        <x:v>behind</x:v>
      </x:c>
      <x:c r="AD621" s="9" t="str">
        <x:v>blue block</x:v>
      </x:c>
      <x:c r="AE621" s="9" t="str">
        <x:v>red block</x:v>
      </x:c>
      <x:c r="AF621" s="9" t="str">
        <x:v>None</x:v>
      </x:c>
      <x:c r="AG621" s="9"/>
      <x:c r="AH621" s="9"/>
      <x:c r="AI621" s="11"/>
      <x:c r="AJ621" s="9"/>
      <x:c r="AK621" s="9" t="str">
        <x:v>Eval_Relational_Placement (1).xlsm</x:v>
      </x:c>
      <x:c r="AL621" s="9" t="str">
        <x:v>MolmoAct2 Results</x:v>
      </x:c>
      <x:c r="AM621" s="9" t="n">
        <x:v>171</x:v>
      </x:c>
      <x:c r="AN621" s="9" t="n">
        <x:v>171</x:v>
      </x:c>
    </x:row>
    <x:row r="622">
      <x:c r="A622" s="9" t="str">
        <x:v>Success</x:v>
      </x:c>
      <x:c r="B622" s="9" t="str">
        <x:v>Referential Disambiguation</x:v>
      </x:c>
      <x:c r="C622" s="10" t="n">
        <x:v>0</x:v>
      </x:c>
      <x:c r="D622" s="9" t="str">
        <x:v>Move the crushed soda can lying between the green pencil sharpener and the green pen into the bowl.</x:v>
      </x:c>
      <x:c r="E622" s="9" t="str">
        <x:v>crushed Coke can; crushed Pepsi can; green pencil sharpener; green pen</x:v>
      </x:c>
      <x:c r="F622" s="9" t="str">
        <x:v>crushed Coke can</x:v>
      </x:c>
      <x:c r="G622" s="9"/>
      <x:c r="H622" s="9" t="str">
        <x:v>In-distribution concept baseline</x:v>
      </x:c>
      <x:c r="I622" s="9" t="str">
        <x:v>RD-ID01</x:v>
      </x:c>
      <x:c r="J622" s="9" t="str">
        <x:v>Exact training-supported relation × candidate-category baseline</x:v>
      </x:c>
      <x:c r="K622" s="9"/>
      <x:c r="L622" s="9" t="str">
        <x:v>430</x:v>
      </x:c>
      <x:c r="M622" s="9" t="str">
        <x:v>Exact manifest cell: prompt, relation × candidate-category combination, target identity, and object membership are explicitly represented in training; physical positions are manually recreated with a clear margin.</x:v>
      </x:c>
      <x:c r="N622" s="9" t="n">
        <x:v>1</x:v>
      </x:c>
      <x:c r="O622" s="9" t="str">
        <x:v>Place the 4 listed objects. Arrange Expected Target as the unique answer to the prompt; keep the bowl empty.</x:v>
      </x:c>
      <x:c r="P622" s="9" t="str">
        <x:v>The relation, candidate category, target identity, and object membership occur together in the cited training episode.</x:v>
      </x:c>
      <x:c r="Q622" s="9"/>
      <x:c r="R622" s="10" t="n">
        <x:v>4</x:v>
      </x:c>
      <x:c r="S622" s="10" t="n">
        <x:v>1</x:v>
      </x:c>
      <x:c r="T622" s="9" t="str">
        <x:v>Empty</x:v>
      </x:c>
      <x:c r="U622" s="9"/>
      <x:c r="V622" s="9"/>
      <x:c r="W622" s="9"/>
      <x:c r="X622" s="10"/>
      <x:c r="Y622" s="10"/>
      <x:c r="Z622" s="9"/>
      <x:c r="AA622" s="9"/>
      <x:c r="AB622" s="9" t="str">
        <x:v>between</x:v>
      </x:c>
      <x:c r="AC622" s="9"/>
      <x:c r="AD622" s="9"/>
      <x:c r="AE622" s="9"/>
      <x:c r="AF622" s="9"/>
      <x:c r="AG622" s="9" t="str">
        <x:v>crushed soda can</x:v>
      </x:c>
      <x:c r="AH622" s="9"/>
      <x:c r="AI622" s="11"/>
      <x:c r="AJ622" s="9"/>
      <x:c r="AK622" s="9" t="str">
        <x:v>Eval_Referential_Disambiguation.xlsm</x:v>
      </x:c>
      <x:c r="AL622" s="9" t="str">
        <x:v>MolmoAct2 Results</x:v>
      </x:c>
      <x:c r="AM622" s="9" t="n">
        <x:v>2</x:v>
      </x:c>
      <x:c r="AN622" s="9" t="n">
        <x:v>2</x:v>
      </x:c>
    </x:row>
    <x:row r="623">
      <x:c r="A623" s="9" t="str">
        <x:v>Success</x:v>
      </x:c>
      <x:c r="B623" s="9" t="str">
        <x:v>Referential Disambiguation</x:v>
      </x:c>
      <x:c r="C623" s="10" t="n">
        <x:v>1</x:v>
      </x:c>
      <x:c r="D623" s="9" t="str">
        <x:v>Pick up the crushed soda can positioned between the airplane toy with propellers and the green pen, then place it in the bowl.</x:v>
      </x:c>
      <x:c r="E623" s="9" t="str">
        <x:v>crushed Coke can; crushed Pepsi can; airplane toy with propellers; green pen; green pencil sharpener</x:v>
      </x:c>
      <x:c r="F623" s="9" t="str">
        <x:v>crushed Coke can</x:v>
      </x:c>
      <x:c r="G623" s="9"/>
      <x:c r="H623" s="9" t="str">
        <x:v>In-distribution concept baseline</x:v>
      </x:c>
      <x:c r="I623" s="9" t="str">
        <x:v>RD-ID02</x:v>
      </x:c>
      <x:c r="J623" s="9" t="str">
        <x:v>Exact training-supported relation × candidate-category baseline</x:v>
      </x:c>
      <x:c r="K623" s="9"/>
      <x:c r="L623" s="9" t="str">
        <x:v>432</x:v>
      </x:c>
      <x:c r="M623" s="9" t="str">
        <x:v>Exact manifest cell: prompt, relation × candidate-category combination, target identity, and object membership are explicitly represented in training; physical positions are manually recreated with a clear margin.</x:v>
      </x:c>
      <x:c r="N623" s="9" t="n">
        <x:v>1</x:v>
      </x:c>
      <x:c r="O623" s="9" t="str">
        <x:v>Place the 5 listed objects. Arrange Expected Target as the unique answer to the prompt; keep the bowl empty.</x:v>
      </x:c>
      <x:c r="P623" s="9" t="str">
        <x:v>The relation, candidate category, target identity, and object membership occur together in the cited training episode.</x:v>
      </x:c>
      <x:c r="Q623" s="9"/>
      <x:c r="R623" s="10" t="n">
        <x:v>5</x:v>
      </x:c>
      <x:c r="S623" s="10" t="n">
        <x:v>1</x:v>
      </x:c>
      <x:c r="T623" s="9" t="str">
        <x:v>Empty</x:v>
      </x:c>
      <x:c r="U623" s="9"/>
      <x:c r="V623" s="9"/>
      <x:c r="W623" s="9"/>
      <x:c r="X623" s="10"/>
      <x:c r="Y623" s="10"/>
      <x:c r="Z623" s="9"/>
      <x:c r="AA623" s="9"/>
      <x:c r="AB623" s="9" t="str">
        <x:v>between</x:v>
      </x:c>
      <x:c r="AC623" s="9"/>
      <x:c r="AD623" s="9"/>
      <x:c r="AE623" s="9"/>
      <x:c r="AF623" s="9"/>
      <x:c r="AG623" s="9" t="str">
        <x:v>crushed soda can</x:v>
      </x:c>
      <x:c r="AH623" s="9"/>
      <x:c r="AI623" s="11"/>
      <x:c r="AJ623" s="9"/>
      <x:c r="AK623" s="9" t="str">
        <x:v>Eval_Referential_Disambiguation.xlsm</x:v>
      </x:c>
      <x:c r="AL623" s="9" t="str">
        <x:v>MolmoAct2 Results</x:v>
      </x:c>
      <x:c r="AM623" s="9" t="n">
        <x:v>3</x:v>
      </x:c>
      <x:c r="AN623" s="9" t="n">
        <x:v>3</x:v>
      </x:c>
    </x:row>
    <x:row r="624">
      <x:c r="A624" s="9" t="str">
        <x:v>Success</x:v>
      </x:c>
      <x:c r="B624" s="9" t="str">
        <x:v>Referential Disambiguation</x:v>
      </x:c>
      <x:c r="C624" s="10" t="n">
        <x:v>2</x:v>
      </x:c>
      <x:c r="D624" s="9" t="str">
        <x:v>Pick up the crushed soda can positioned between the airplane toy with propellers and the green pencil sharpener, then place it in the bowl.</x:v>
      </x:c>
      <x:c r="E624" s="9" t="str">
        <x:v>crushed Coke can; crushed Pepsi can; airplane toy with propellers; green pencil sharpener</x:v>
      </x:c>
      <x:c r="F624" s="9" t="str">
        <x:v>crushed Coke can</x:v>
      </x:c>
      <x:c r="G624" s="9"/>
      <x:c r="H624" s="9" t="str">
        <x:v>In-distribution concept baseline</x:v>
      </x:c>
      <x:c r="I624" s="9" t="str">
        <x:v>RD-ID03</x:v>
      </x:c>
      <x:c r="J624" s="9" t="str">
        <x:v>Exact training-supported relation × candidate-category baseline</x:v>
      </x:c>
      <x:c r="K624" s="9"/>
      <x:c r="L624" s="9" t="str">
        <x:v>431</x:v>
      </x:c>
      <x:c r="M624" s="9" t="str">
        <x:v>Exact manifest cell: prompt, relation × candidate-category combination, target identity, and object membership are explicitly represented in training; physical positions are manually recreated with a clear margin.</x:v>
      </x:c>
      <x:c r="N624" s="9" t="n">
        <x:v>1</x:v>
      </x:c>
      <x:c r="O624" s="9" t="str">
        <x:v>Place the 4 listed objects. Arrange Expected Target as the unique answer to the prompt; keep the bowl empty.</x:v>
      </x:c>
      <x:c r="P624" s="9" t="str">
        <x:v>The relation, candidate category, target identity, and object membership occur together in the cited training episode.</x:v>
      </x:c>
      <x:c r="Q624" s="9"/>
      <x:c r="R624" s="10" t="n">
        <x:v>4</x:v>
      </x:c>
      <x:c r="S624" s="10" t="n">
        <x:v>1</x:v>
      </x:c>
      <x:c r="T624" s="9" t="str">
        <x:v>Empty</x:v>
      </x:c>
      <x:c r="U624" s="9"/>
      <x:c r="V624" s="9"/>
      <x:c r="W624" s="9"/>
      <x:c r="X624" s="10"/>
      <x:c r="Y624" s="10"/>
      <x:c r="Z624" s="9"/>
      <x:c r="AA624" s="9"/>
      <x:c r="AB624" s="9" t="str">
        <x:v>between</x:v>
      </x:c>
      <x:c r="AC624" s="9"/>
      <x:c r="AD624" s="9"/>
      <x:c r="AE624" s="9"/>
      <x:c r="AF624" s="9"/>
      <x:c r="AG624" s="9" t="str">
        <x:v>crushed soda can</x:v>
      </x:c>
      <x:c r="AH624" s="9"/>
      <x:c r="AI624" s="11"/>
      <x:c r="AJ624" s="9"/>
      <x:c r="AK624" s="9" t="str">
        <x:v>Eval_Referential_Disambiguation.xlsm</x:v>
      </x:c>
      <x:c r="AL624" s="9" t="str">
        <x:v>MolmoAct2 Results</x:v>
      </x:c>
      <x:c r="AM624" s="9" t="n">
        <x:v>4</x:v>
      </x:c>
      <x:c r="AN624" s="9" t="n">
        <x:v>4</x:v>
      </x:c>
    </x:row>
    <x:row r="625">
      <x:c r="A625" s="9" t="str">
        <x:v>Success</x:v>
      </x:c>
      <x:c r="B625" s="9" t="str">
        <x:v>Referential Disambiguation</x:v>
      </x:c>
      <x:c r="C625" s="10" t="n">
        <x:v>3</x:v>
      </x:c>
      <x:c r="D625" s="9" t="str">
        <x:v>Pick up the crushed soda can furthest from the green pen and place it in the bowl.</x:v>
      </x:c>
      <x:c r="E625" s="9" t="str">
        <x:v>crushed Coke can; crushed Pepsi can; green pen</x:v>
      </x:c>
      <x:c r="F625" s="9" t="str">
        <x:v>crushed Pepsi can</x:v>
      </x:c>
      <x:c r="G625" s="9"/>
      <x:c r="H625" s="9" t="str">
        <x:v>In-distribution concept baseline</x:v>
      </x:c>
      <x:c r="I625" s="9" t="str">
        <x:v>RD-ID04</x:v>
      </x:c>
      <x:c r="J625" s="9" t="str">
        <x:v>Exact training-supported relation × candidate-category baseline</x:v>
      </x:c>
      <x:c r="K625" s="9"/>
      <x:c r="L625" s="9" t="str">
        <x:v>415</x:v>
      </x:c>
      <x:c r="M625" s="9" t="str">
        <x:v>Exact manifest cell: prompt, relation × candidate-category combination, target identity, and object membership are explicitly represented in training; physical positions are manually recreated with a clear margin.</x:v>
      </x:c>
      <x:c r="N625" s="9" t="n">
        <x:v>1</x:v>
      </x:c>
      <x:c r="O625" s="9" t="str">
        <x:v>Place the 3 listed objects. Arrange Expected Target as the unique answer to the prompt; keep the bowl empty.</x:v>
      </x:c>
      <x:c r="P625" s="9" t="str">
        <x:v>The relation, candidate category, target identity, and object membership occur together in the cited training episode.</x:v>
      </x:c>
      <x:c r="Q625" s="9"/>
      <x:c r="R625" s="10" t="n">
        <x:v>3</x:v>
      </x:c>
      <x:c r="S625" s="10" t="n">
        <x:v>1</x:v>
      </x:c>
      <x:c r="T625" s="9" t="str">
        <x:v>Empty</x:v>
      </x:c>
      <x:c r="U625" s="9"/>
      <x:c r="V625" s="9"/>
      <x:c r="W625" s="9"/>
      <x:c r="X625" s="10"/>
      <x:c r="Y625" s="10"/>
      <x:c r="Z625" s="9"/>
      <x:c r="AA625" s="9"/>
      <x:c r="AB625" s="9" t="str">
        <x:v>furthest</x:v>
      </x:c>
      <x:c r="AC625" s="9"/>
      <x:c r="AD625" s="9"/>
      <x:c r="AE625" s="9"/>
      <x:c r="AF625" s="9"/>
      <x:c r="AG625" s="9" t="str">
        <x:v>crushed soda can</x:v>
      </x:c>
      <x:c r="AH625" s="9"/>
      <x:c r="AI625" s="11"/>
      <x:c r="AJ625" s="9"/>
      <x:c r="AK625" s="9" t="str">
        <x:v>Eval_Referential_Disambiguation.xlsm</x:v>
      </x:c>
      <x:c r="AL625" s="9" t="str">
        <x:v>MolmoAct2 Results</x:v>
      </x:c>
      <x:c r="AM625" s="9" t="n">
        <x:v>5</x:v>
      </x:c>
      <x:c r="AN625" s="9" t="n">
        <x:v>5</x:v>
      </x:c>
    </x:row>
    <x:row r="626">
      <x:c r="A626" s="9" t="str">
        <x:v>Success</x:v>
      </x:c>
      <x:c r="B626" s="9" t="str">
        <x:v>Referential Disambiguation</x:v>
      </x:c>
      <x:c r="C626" s="10" t="n">
        <x:v>4</x:v>
      </x:c>
      <x:c r="D626" s="9" t="str">
        <x:v>Pick up the crushed soda can furthest from the yellow pen and place it in the bowl.</x:v>
      </x:c>
      <x:c r="E626" s="9" t="str">
        <x:v>crushed Coke can; crushed Pepsi can; yellow pen; airplane toy with propellers</x:v>
      </x:c>
      <x:c r="F626" s="9" t="str">
        <x:v>crushed Coke can</x:v>
      </x:c>
      <x:c r="G626" s="9"/>
      <x:c r="H626" s="9" t="str">
        <x:v>In-distribution concept baseline</x:v>
      </x:c>
      <x:c r="I626" s="9" t="str">
        <x:v>RD-ID05</x:v>
      </x:c>
      <x:c r="J626" s="9" t="str">
        <x:v>Exact training-supported relation × candidate-category baseline</x:v>
      </x:c>
      <x:c r="K626" s="9"/>
      <x:c r="L626" s="9" t="str">
        <x:v>416</x:v>
      </x:c>
      <x:c r="M626" s="9" t="str">
        <x:v>Exact manifest cell: prompt, relation × candidate-category combination, target identity, and object membership are explicitly represented in training; physical positions are manually recreated with a clear margin.</x:v>
      </x:c>
      <x:c r="N626" s="9" t="n">
        <x:v>1</x:v>
      </x:c>
      <x:c r="O626" s="9" t="str">
        <x:v>Place the 4 listed objects. Arrange Expected Target as the unique answer to the prompt; keep the bowl empty.</x:v>
      </x:c>
      <x:c r="P626" s="9" t="str">
        <x:v>The relation, candidate category, target identity, and object membership occur together in the cited training episode.</x:v>
      </x:c>
      <x:c r="Q626" s="9"/>
      <x:c r="R626" s="10" t="n">
        <x:v>4</x:v>
      </x:c>
      <x:c r="S626" s="10" t="n">
        <x:v>1</x:v>
      </x:c>
      <x:c r="T626" s="9" t="str">
        <x:v>Empty</x:v>
      </x:c>
      <x:c r="U626" s="9"/>
      <x:c r="V626" s="9"/>
      <x:c r="W626" s="9"/>
      <x:c r="X626" s="10"/>
      <x:c r="Y626" s="10"/>
      <x:c r="Z626" s="9"/>
      <x:c r="AA626" s="9"/>
      <x:c r="AB626" s="9" t="str">
        <x:v>furthest</x:v>
      </x:c>
      <x:c r="AC626" s="9"/>
      <x:c r="AD626" s="9"/>
      <x:c r="AE626" s="9"/>
      <x:c r="AF626" s="9"/>
      <x:c r="AG626" s="9" t="str">
        <x:v>crushed soda can</x:v>
      </x:c>
      <x:c r="AH626" s="9"/>
      <x:c r="AI626" s="11"/>
      <x:c r="AJ626" s="9"/>
      <x:c r="AK626" s="9" t="str">
        <x:v>Eval_Referential_Disambiguation.xlsm</x:v>
      </x:c>
      <x:c r="AL626" s="9" t="str">
        <x:v>MolmoAct2 Results</x:v>
      </x:c>
      <x:c r="AM626" s="9" t="n">
        <x:v>6</x:v>
      </x:c>
      <x:c r="AN626" s="9" t="n">
        <x:v>6</x:v>
      </x:c>
    </x:row>
    <x:row r="627">
      <x:c r="A627" s="9" t="str">
        <x:v>Failure</x:v>
      </x:c>
      <x:c r="B627" s="9" t="str">
        <x:v>Referential Disambiguation</x:v>
      </x:c>
      <x:c r="C627" s="10" t="n">
        <x:v>5</x:v>
      </x:c>
      <x:c r="D627" s="9" t="str">
        <x:v>Pick up the pencil sharpener nearest to the crushed Coke can and place it in the bowl.</x:v>
      </x:c>
      <x:c r="E627" s="9" t="str">
        <x:v>green pencil sharpener; red pencil sharpener; crushed Coke can</x:v>
      </x:c>
      <x:c r="F627" s="9" t="str">
        <x:v>green pencil sharpener</x:v>
      </x:c>
      <x:c r="G627" s="9" t="str">
        <x:v>Successfully went for the green pencil sharpener. Knocked the coke can completely though and moved the sharpener. Couldn't recover and pick up the pencil sharpener. Reasoning was good though!</x:v>
      </x:c>
      <x:c r="H627" s="9" t="str">
        <x:v>In-distribution concept baseline</x:v>
      </x:c>
      <x:c r="I627" s="9" t="str">
        <x:v>RD-ID06</x:v>
      </x:c>
      <x:c r="J627" s="9" t="str">
        <x:v>Exact training-supported relation × candidate-category baseline</x:v>
      </x:c>
      <x:c r="K627" s="9"/>
      <x:c r="L627" s="9" t="str">
        <x:v>450</x:v>
      </x:c>
      <x:c r="M627" s="9" t="str">
        <x:v>Exact manifest cell: prompt, relation × candidate-category combination, target identity, and object membership are explicitly represented in training; physical positions are manually recreated with a clear margin.</x:v>
      </x:c>
      <x:c r="N627" s="9" t="n">
        <x:v>1</x:v>
      </x:c>
      <x:c r="O627" s="9" t="str">
        <x:v>Place the 3 listed objects. Arrange Expected Target as the unique answer to the prompt; keep the bowl empty.</x:v>
      </x:c>
      <x:c r="P627" s="9" t="str">
        <x:v>The relation, candidate category, target identity, and object membership occur together in the cited training episode.</x:v>
      </x:c>
      <x:c r="Q627" s="9"/>
      <x:c r="R627" s="10" t="n">
        <x:v>3</x:v>
      </x:c>
      <x:c r="S627" s="10" t="n">
        <x:v>1</x:v>
      </x:c>
      <x:c r="T627" s="9" t="str">
        <x:v>Empty</x:v>
      </x:c>
      <x:c r="U627" s="9"/>
      <x:c r="V627" s="9"/>
      <x:c r="W627" s="9"/>
      <x:c r="X627" s="10"/>
      <x:c r="Y627" s="10"/>
      <x:c r="Z627" s="9"/>
      <x:c r="AA627" s="9"/>
      <x:c r="AB627" s="9" t="str">
        <x:v>closest</x:v>
      </x:c>
      <x:c r="AC627" s="9"/>
      <x:c r="AD627" s="9"/>
      <x:c r="AE627" s="9"/>
      <x:c r="AF627" s="9"/>
      <x:c r="AG627" s="9" t="str">
        <x:v>pencil sharpener</x:v>
      </x:c>
      <x:c r="AH627" s="9"/>
      <x:c r="AI627" s="11"/>
      <x:c r="AJ627" s="9"/>
      <x:c r="AK627" s="9" t="str">
        <x:v>Eval_Referential_Disambiguation.xlsm</x:v>
      </x:c>
      <x:c r="AL627" s="9" t="str">
        <x:v>MolmoAct2 Results</x:v>
      </x:c>
      <x:c r="AM627" s="9" t="n">
        <x:v>7</x:v>
      </x:c>
      <x:c r="AN627" s="9" t="n">
        <x:v>7</x:v>
      </x:c>
    </x:row>
    <x:row r="628">
      <x:c r="A628" s="9" t="str">
        <x:v>Success</x:v>
      </x:c>
      <x:c r="B628" s="9" t="str">
        <x:v>Referential Disambiguation</x:v>
      </x:c>
      <x:c r="C628" s="10" t="n">
        <x:v>6</x:v>
      </x:c>
      <x:c r="D628" s="9" t="str">
        <x:v>Move the pencil sharpener that is closest to the crushed Pepsi can into the bowl.</x:v>
      </x:c>
      <x:c r="E628" s="9" t="str">
        <x:v>green pencil sharpener; red pencil sharpener; crushed Pepsi can; airplane toy with propellers</x:v>
      </x:c>
      <x:c r="F628" s="9" t="str">
        <x:v>red pencil sharpener</x:v>
      </x:c>
      <x:c r="G628" s="9"/>
      <x:c r="H628" s="9" t="str">
        <x:v>In-distribution concept baseline</x:v>
      </x:c>
      <x:c r="I628" s="9" t="str">
        <x:v>RD-ID07</x:v>
      </x:c>
      <x:c r="J628" s="9" t="str">
        <x:v>Exact training-supported relation × candidate-category baseline</x:v>
      </x:c>
      <x:c r="K628" s="9"/>
      <x:c r="L628" s="9" t="str">
        <x:v>451</x:v>
      </x:c>
      <x:c r="M628" s="9" t="str">
        <x:v>Exact manifest cell: prompt, relation × candidate-category combination, target identity, and object membership are explicitly represented in training; physical positions are manually recreated with a clear margin.</x:v>
      </x:c>
      <x:c r="N628" s="9" t="n">
        <x:v>1</x:v>
      </x:c>
      <x:c r="O628" s="9" t="str">
        <x:v>Place the 4 listed objects. Arrange Expected Target as the unique answer to the prompt; keep the bowl empty.</x:v>
      </x:c>
      <x:c r="P628" s="9" t="str">
        <x:v>The relation, candidate category, target identity, and object membership occur together in the cited training episode.</x:v>
      </x:c>
      <x:c r="Q628" s="9"/>
      <x:c r="R628" s="10" t="n">
        <x:v>4</x:v>
      </x:c>
      <x:c r="S628" s="10" t="n">
        <x:v>1</x:v>
      </x:c>
      <x:c r="T628" s="9" t="str">
        <x:v>Empty</x:v>
      </x:c>
      <x:c r="U628" s="9"/>
      <x:c r="V628" s="9"/>
      <x:c r="W628" s="9"/>
      <x:c r="X628" s="10"/>
      <x:c r="Y628" s="10"/>
      <x:c r="Z628" s="9"/>
      <x:c r="AA628" s="9"/>
      <x:c r="AB628" s="9" t="str">
        <x:v>closest</x:v>
      </x:c>
      <x:c r="AC628" s="9"/>
      <x:c r="AD628" s="9"/>
      <x:c r="AE628" s="9"/>
      <x:c r="AF628" s="9"/>
      <x:c r="AG628" s="9" t="str">
        <x:v>pencil sharpener</x:v>
      </x:c>
      <x:c r="AH628" s="9"/>
      <x:c r="AI628" s="11"/>
      <x:c r="AJ628" s="9"/>
      <x:c r="AK628" s="9" t="str">
        <x:v>Eval_Referential_Disambiguation.xlsm</x:v>
      </x:c>
      <x:c r="AL628" s="9" t="str">
        <x:v>MolmoAct2 Results</x:v>
      </x:c>
      <x:c r="AM628" s="9" t="n">
        <x:v>8</x:v>
      </x:c>
      <x:c r="AN628" s="9" t="n">
        <x:v>8</x:v>
      </x:c>
    </x:row>
    <x:row r="629">
      <x:c r="A629" s="9" t="str">
        <x:v>Success</x:v>
      </x:c>
      <x:c r="B629" s="9" t="str">
        <x:v>Referential Disambiguation</x:v>
      </x:c>
      <x:c r="C629" s="10" t="n">
        <x:v>7</x:v>
      </x:c>
      <x:c r="D629" s="9" t="str">
        <x:v>Move the pencil sharpener that is closest to the green pen into the bowl.</x:v>
      </x:c>
      <x:c r="E629" s="9" t="str">
        <x:v>green pencil sharpener; red pencil sharpener; green pen</x:v>
      </x:c>
      <x:c r="F629" s="9" t="str">
        <x:v>green pencil sharpener</x:v>
      </x:c>
      <x:c r="G629" s="9"/>
      <x:c r="H629" s="9" t="str">
        <x:v>In-distribution concept baseline</x:v>
      </x:c>
      <x:c r="I629" s="9" t="str">
        <x:v>RD-ID08</x:v>
      </x:c>
      <x:c r="J629" s="9" t="str">
        <x:v>Exact training-supported relation × candidate-category baseline</x:v>
      </x:c>
      <x:c r="K629" s="9"/>
      <x:c r="L629" s="9" t="str">
        <x:v>452</x:v>
      </x:c>
      <x:c r="M629" s="9" t="str">
        <x:v>Exact manifest cell: prompt, relation × candidate-category combination, target identity, and object membership are explicitly represented in training; physical positions are manually recreated with a clear margin.</x:v>
      </x:c>
      <x:c r="N629" s="9" t="n">
        <x:v>1</x:v>
      </x:c>
      <x:c r="O629" s="9" t="str">
        <x:v>Place the 3 listed objects. Arrange Expected Target as the unique answer to the prompt; keep the bowl empty.</x:v>
      </x:c>
      <x:c r="P629" s="9" t="str">
        <x:v>The relation, candidate category, target identity, and object membership occur together in the cited training episode.</x:v>
      </x:c>
      <x:c r="Q629" s="9"/>
      <x:c r="R629" s="10" t="n">
        <x:v>3</x:v>
      </x:c>
      <x:c r="S629" s="10" t="n">
        <x:v>1</x:v>
      </x:c>
      <x:c r="T629" s="9" t="str">
        <x:v>Empty</x:v>
      </x:c>
      <x:c r="U629" s="9"/>
      <x:c r="V629" s="9"/>
      <x:c r="W629" s="9"/>
      <x:c r="X629" s="10"/>
      <x:c r="Y629" s="10"/>
      <x:c r="Z629" s="9"/>
      <x:c r="AA629" s="9"/>
      <x:c r="AB629" s="9" t="str">
        <x:v>closest</x:v>
      </x:c>
      <x:c r="AC629" s="9"/>
      <x:c r="AD629" s="9"/>
      <x:c r="AE629" s="9"/>
      <x:c r="AF629" s="9"/>
      <x:c r="AG629" s="9" t="str">
        <x:v>pencil sharpener</x:v>
      </x:c>
      <x:c r="AH629" s="9"/>
      <x:c r="AI629" s="11"/>
      <x:c r="AJ629" s="9"/>
      <x:c r="AK629" s="9" t="str">
        <x:v>Eval_Referential_Disambiguation.xlsm</x:v>
      </x:c>
      <x:c r="AL629" s="9" t="str">
        <x:v>MolmoAct2 Results</x:v>
      </x:c>
      <x:c r="AM629" s="9" t="n">
        <x:v>9</x:v>
      </x:c>
      <x:c r="AN629" s="9" t="n">
        <x:v>9</x:v>
      </x:c>
    </x:row>
    <x:row r="630">
      <x:c r="A630" s="9" t="str">
        <x:v>Failure</x:v>
      </x:c>
      <x:c r="B630" s="9" t="str">
        <x:v>Referential Disambiguation</x:v>
      </x:c>
      <x:c r="C630" s="10" t="n">
        <x:v>8</x:v>
      </x:c>
      <x:c r="D630" s="9" t="str">
        <x:v>Pick up the pencil sharpener furthest from the yellow pen and place it in the bowl.</x:v>
      </x:c>
      <x:c r="E630" s="9" t="str">
        <x:v>green pencil sharpener; red pencil sharpener; yellow pen; airplane toy without propellers</x:v>
      </x:c>
      <x:c r="F630" s="9" t="str">
        <x:v>green pencil sharpener</x:v>
      </x:c>
      <x:c r="G630" s="9" t="str">
        <x:v>went for the red pencil sharpener. Arranged it in between the yellow pen and airplane toy. Failed reasoning.</x:v>
      </x:c>
      <x:c r="H630" s="9" t="str">
        <x:v>In-distribution concept baseline</x:v>
      </x:c>
      <x:c r="I630" s="9" t="str">
        <x:v>RD-ID09</x:v>
      </x:c>
      <x:c r="J630" s="9" t="str">
        <x:v>Exact training-supported relation × candidate-category baseline</x:v>
      </x:c>
      <x:c r="K630" s="9"/>
      <x:c r="L630" s="9" t="str">
        <x:v>466</x:v>
      </x:c>
      <x:c r="M630" s="9" t="str">
        <x:v>Exact manifest cell: prompt, relation × candidate-category combination, target identity, and object membership are explicitly represented in training; physical positions are manually recreated with a clear margin.</x:v>
      </x:c>
      <x:c r="N630" s="9" t="n">
        <x:v>1</x:v>
      </x:c>
      <x:c r="O630" s="9" t="str">
        <x:v>Place the 4 listed objects. Arrange Expected Target as the unique answer to the prompt; keep the bowl empty.</x:v>
      </x:c>
      <x:c r="P630" s="9" t="str">
        <x:v>The relation, candidate category, target identity, and object membership occur together in the cited training episode.</x:v>
      </x:c>
      <x:c r="Q630" s="9"/>
      <x:c r="R630" s="10" t="n">
        <x:v>4</x:v>
      </x:c>
      <x:c r="S630" s="10" t="n">
        <x:v>1</x:v>
      </x:c>
      <x:c r="T630" s="9" t="str">
        <x:v>Empty</x:v>
      </x:c>
      <x:c r="U630" s="9"/>
      <x:c r="V630" s="9"/>
      <x:c r="W630" s="9"/>
      <x:c r="X630" s="10"/>
      <x:c r="Y630" s="10"/>
      <x:c r="Z630" s="9"/>
      <x:c r="AA630" s="9"/>
      <x:c r="AB630" s="9" t="str">
        <x:v>furthest</x:v>
      </x:c>
      <x:c r="AC630" s="9"/>
      <x:c r="AD630" s="9"/>
      <x:c r="AE630" s="9"/>
      <x:c r="AF630" s="9"/>
      <x:c r="AG630" s="9" t="str">
        <x:v>pencil sharpener</x:v>
      </x:c>
      <x:c r="AH630" s="9"/>
      <x:c r="AI630" s="11"/>
      <x:c r="AJ630" s="9"/>
      <x:c r="AK630" s="9" t="str">
        <x:v>Eval_Referential_Disambiguation.xlsm</x:v>
      </x:c>
      <x:c r="AL630" s="9" t="str">
        <x:v>MolmoAct2 Results</x:v>
      </x:c>
      <x:c r="AM630" s="9" t="n">
        <x:v>10</x:v>
      </x:c>
      <x:c r="AN630" s="9" t="n">
        <x:v>10</x:v>
      </x:c>
    </x:row>
    <x:row r="631">
      <x:c r="A631" s="9" t="str">
        <x:v>Success</x:v>
      </x:c>
      <x:c r="B631" s="9" t="str">
        <x:v>Referential Disambiguation</x:v>
      </x:c>
      <x:c r="C631" s="10" t="n">
        <x:v>9</x:v>
      </x:c>
      <x:c r="D631" s="9" t="str">
        <x:v>Pick up the pencil sharpener furthest from the green pen and place it in the bowl.</x:v>
      </x:c>
      <x:c r="E631" s="9" t="str">
        <x:v>green pencil sharpener; red pencil sharpener; green pen</x:v>
      </x:c>
      <x:c r="F631" s="9" t="str">
        <x:v>red pencil sharpener</x:v>
      </x:c>
      <x:c r="G631" s="9"/>
      <x:c r="H631" s="9" t="str">
        <x:v>In-distribution concept baseline</x:v>
      </x:c>
      <x:c r="I631" s="9" t="str">
        <x:v>RD-ID10</x:v>
      </x:c>
      <x:c r="J631" s="9" t="str">
        <x:v>Exact training-supported relation × candidate-category baseline</x:v>
      </x:c>
      <x:c r="K631" s="9"/>
      <x:c r="L631" s="9" t="str">
        <x:v>465</x:v>
      </x:c>
      <x:c r="M631" s="9" t="str">
        <x:v>Exact manifest cell: prompt, relation × candidate-category combination, target identity, and object membership are explicitly represented in training; physical positions are manually recreated with a clear margin.</x:v>
      </x:c>
      <x:c r="N631" s="9" t="n">
        <x:v>1</x:v>
      </x:c>
      <x:c r="O631" s="9" t="str">
        <x:v>Place the 3 listed objects. Arrange Expected Target as the unique answer to the prompt; keep the bowl empty.</x:v>
      </x:c>
      <x:c r="P631" s="9" t="str">
        <x:v>The relation, candidate category, target identity, and object membership occur together in the cited training episode.</x:v>
      </x:c>
      <x:c r="Q631" s="9"/>
      <x:c r="R631" s="10" t="n">
        <x:v>3</x:v>
      </x:c>
      <x:c r="S631" s="10" t="n">
        <x:v>1</x:v>
      </x:c>
      <x:c r="T631" s="9" t="str">
        <x:v>Empty</x:v>
      </x:c>
      <x:c r="U631" s="9"/>
      <x:c r="V631" s="9"/>
      <x:c r="W631" s="9"/>
      <x:c r="X631" s="10"/>
      <x:c r="Y631" s="10"/>
      <x:c r="Z631" s="9"/>
      <x:c r="AA631" s="9"/>
      <x:c r="AB631" s="9" t="str">
        <x:v>furthest</x:v>
      </x:c>
      <x:c r="AC631" s="9"/>
      <x:c r="AD631" s="9"/>
      <x:c r="AE631" s="9"/>
      <x:c r="AF631" s="9"/>
      <x:c r="AG631" s="9" t="str">
        <x:v>pencil sharpener</x:v>
      </x:c>
      <x:c r="AH631" s="9"/>
      <x:c r="AI631" s="11"/>
      <x:c r="AJ631" s="9"/>
      <x:c r="AK631" s="9" t="str">
        <x:v>Eval_Referential_Disambiguation.xlsm</x:v>
      </x:c>
      <x:c r="AL631" s="9" t="str">
        <x:v>MolmoAct2 Results</x:v>
      </x:c>
      <x:c r="AM631" s="9" t="n">
        <x:v>11</x:v>
      </x:c>
      <x:c r="AN631" s="9" t="n">
        <x:v>11</x:v>
      </x:c>
    </x:row>
    <x:row r="632">
      <x:c r="A632" s="9" t="str">
        <x:v>Failure</x:v>
      </x:c>
      <x:c r="B632" s="9" t="str">
        <x:v>Referential Disambiguation</x:v>
      </x:c>
      <x:c r="C632" s="10" t="n">
        <x:v>10</x:v>
      </x:c>
      <x:c r="D632" s="9" t="str">
        <x:v>Put the airplane toy closest to the green pencil sharpener in the bowl.</x:v>
      </x:c>
      <x:c r="E632" s="9" t="str">
        <x:v>airplane toy with propellers; airplane toy without propellers; green pencil sharpener; red pencil sharpener</x:v>
      </x:c>
      <x:c r="F632" s="9" t="str">
        <x:v>airplane toy with propellers</x:v>
      </x:c>
      <x:c r="G632" s="9" t="str">
        <x:v>Went for the one closest to the red pencil sharpener. Failed reasoning</x:v>
      </x:c>
      <x:c r="H632" s="9" t="str">
        <x:v>In-distribution concept baseline</x:v>
      </x:c>
      <x:c r="I632" s="9" t="str">
        <x:v>RD-ID11</x:v>
      </x:c>
      <x:c r="J632" s="9" t="str">
        <x:v>Exact training-supported relation × candidate-category baseline</x:v>
      </x:c>
      <x:c r="K632" s="9"/>
      <x:c r="L632" s="9" t="str">
        <x:v>564</x:v>
      </x:c>
      <x:c r="M632" s="9" t="str">
        <x:v>Exact manifest cell: prompt, relation × candidate-category combination, target identity, and object membership are explicitly represented in training; physical positions are manually recreated with a clear margin.</x:v>
      </x:c>
      <x:c r="N632" s="9" t="n">
        <x:v>1</x:v>
      </x:c>
      <x:c r="O632" s="9" t="str">
        <x:v>Place the 4 listed objects. Arrange Expected Target as the unique answer to the prompt; keep the bowl empty.</x:v>
      </x:c>
      <x:c r="P632" s="9" t="str">
        <x:v>The relation, candidate category, target identity, and object membership occur together in the cited training episode.</x:v>
      </x:c>
      <x:c r="Q632" s="9"/>
      <x:c r="R632" s="10" t="n">
        <x:v>4</x:v>
      </x:c>
      <x:c r="S632" s="10" t="n">
        <x:v>1</x:v>
      </x:c>
      <x:c r="T632" s="9" t="str">
        <x:v>Empty</x:v>
      </x:c>
      <x:c r="U632" s="9"/>
      <x:c r="V632" s="9"/>
      <x:c r="W632" s="9"/>
      <x:c r="X632" s="10"/>
      <x:c r="Y632" s="10"/>
      <x:c r="Z632" s="9"/>
      <x:c r="AA632" s="9"/>
      <x:c r="AB632" s="9" t="str">
        <x:v>closest</x:v>
      </x:c>
      <x:c r="AC632" s="9"/>
      <x:c r="AD632" s="9"/>
      <x:c r="AE632" s="9"/>
      <x:c r="AF632" s="9"/>
      <x:c r="AG632" s="9" t="str">
        <x:v>airplane toy</x:v>
      </x:c>
      <x:c r="AH632" s="9"/>
      <x:c r="AI632" s="11"/>
      <x:c r="AJ632" s="9"/>
      <x:c r="AK632" s="9" t="str">
        <x:v>Eval_Referential_Disambiguation.xlsm</x:v>
      </x:c>
      <x:c r="AL632" s="9" t="str">
        <x:v>MolmoAct2 Results</x:v>
      </x:c>
      <x:c r="AM632" s="9" t="n">
        <x:v>12</x:v>
      </x:c>
      <x:c r="AN632" s="9" t="n">
        <x:v>12</x:v>
      </x:c>
    </x:row>
    <x:row r="633">
      <x:c r="A633" s="9" t="str">
        <x:v>Success</x:v>
      </x:c>
      <x:c r="B633" s="9" t="str">
        <x:v>Referential Disambiguation</x:v>
      </x:c>
      <x:c r="C633" s="10" t="n">
        <x:v>11</x:v>
      </x:c>
      <x:c r="D633" s="9" t="str">
        <x:v>Put the airplane toy closest to the green pen in the bowl.</x:v>
      </x:c>
      <x:c r="E633" s="9" t="str">
        <x:v>airplane toy with propellers; airplane toy without propellers; green pen</x:v>
      </x:c>
      <x:c r="F633" s="9" t="str">
        <x:v>airplane toy with propellers</x:v>
      </x:c>
      <x:c r="G633" s="9"/>
      <x:c r="H633" s="9" t="str">
        <x:v>In-distribution concept baseline</x:v>
      </x:c>
      <x:c r="I633" s="9" t="str">
        <x:v>RD-ID12</x:v>
      </x:c>
      <x:c r="J633" s="9" t="str">
        <x:v>Exact training-supported relation × candidate-category baseline</x:v>
      </x:c>
      <x:c r="K633" s="9"/>
      <x:c r="L633" s="9" t="str">
        <x:v>550</x:v>
      </x:c>
      <x:c r="M633" s="9" t="str">
        <x:v>Exact manifest cell: prompt, relation × candidate-category combination, target identity, and object membership are explicitly represented in training; physical positions are manually recreated with a clear margin.</x:v>
      </x:c>
      <x:c r="N633" s="9" t="n">
        <x:v>1</x:v>
      </x:c>
      <x:c r="O633" s="9" t="str">
        <x:v>Place the 3 listed objects. Arrange Expected Target as the unique answer to the prompt; keep the bowl empty.</x:v>
      </x:c>
      <x:c r="P633" s="9" t="str">
        <x:v>The relation, candidate category, target identity, and object membership occur together in the cited training episode.</x:v>
      </x:c>
      <x:c r="Q633" s="9"/>
      <x:c r="R633" s="10" t="n">
        <x:v>3</x:v>
      </x:c>
      <x:c r="S633" s="10" t="n">
        <x:v>1</x:v>
      </x:c>
      <x:c r="T633" s="9" t="str">
        <x:v>Empty</x:v>
      </x:c>
      <x:c r="U633" s="9"/>
      <x:c r="V633" s="9"/>
      <x:c r="W633" s="9"/>
      <x:c r="X633" s="10"/>
      <x:c r="Y633" s="10"/>
      <x:c r="Z633" s="9"/>
      <x:c r="AA633" s="9"/>
      <x:c r="AB633" s="9" t="str">
        <x:v>closest</x:v>
      </x:c>
      <x:c r="AC633" s="9"/>
      <x:c r="AD633" s="9"/>
      <x:c r="AE633" s="9"/>
      <x:c r="AF633" s="9"/>
      <x:c r="AG633" s="9" t="str">
        <x:v>airplane toy</x:v>
      </x:c>
      <x:c r="AH633" s="9"/>
      <x:c r="AI633" s="11"/>
      <x:c r="AJ633" s="9"/>
      <x:c r="AK633" s="9" t="str">
        <x:v>Eval_Referential_Disambiguation.xlsm</x:v>
      </x:c>
      <x:c r="AL633" s="9" t="str">
        <x:v>MolmoAct2 Results</x:v>
      </x:c>
      <x:c r="AM633" s="9" t="n">
        <x:v>13</x:v>
      </x:c>
      <x:c r="AN633" s="9" t="n">
        <x:v>13</x:v>
      </x:c>
    </x:row>
    <x:row r="634">
      <x:c r="A634" s="9" t="str">
        <x:v>Success</x:v>
      </x:c>
      <x:c r="B634" s="9" t="str">
        <x:v>Referential Disambiguation</x:v>
      </x:c>
      <x:c r="C634" s="10" t="n">
        <x:v>12</x:v>
      </x:c>
      <x:c r="D634" s="9" t="str">
        <x:v>Move the airplane toy lying between the crushed Coke can and the green pencil sharpener into the bowl.</x:v>
      </x:c>
      <x:c r="E634" s="9" t="str">
        <x:v>airplane toy with propellers; airplane toy without propellers; crushed Coke can; green pencil sharpener; red pencil sharpener</x:v>
      </x:c>
      <x:c r="F634" s="9" t="str">
        <x:v>airplane toy with propellers</x:v>
      </x:c>
      <x:c r="G634" s="9" t="str">
        <x:v>Dropped and successfully recovered</x:v>
      </x:c>
      <x:c r="H634" s="9" t="str">
        <x:v>In-distribution concept baseline</x:v>
      </x:c>
      <x:c r="I634" s="9" t="str">
        <x:v>RD-ID13</x:v>
      </x:c>
      <x:c r="J634" s="9" t="str">
        <x:v>Exact training-supported relation × candidate-category baseline</x:v>
      </x:c>
      <x:c r="K634" s="9"/>
      <x:c r="L634" s="9" t="str">
        <x:v>587</x:v>
      </x:c>
      <x:c r="M634" s="9" t="str">
        <x:v>Exact manifest cell: prompt, relation × candidate-category combination, target identity, and object membership are explicitly represented in training; physical positions are manually recreated with a clear margin.</x:v>
      </x:c>
      <x:c r="N634" s="9" t="n">
        <x:v>1</x:v>
      </x:c>
      <x:c r="O634" s="9" t="str">
        <x:v>Place the 5 listed objects. Arrange Expected Target as the unique answer to the prompt; keep the bowl empty.</x:v>
      </x:c>
      <x:c r="P634" s="9" t="str">
        <x:v>The relation, candidate category, target identity, and object membership occur together in the cited training episode.</x:v>
      </x:c>
      <x:c r="Q634" s="9"/>
      <x:c r="R634" s="10" t="n">
        <x:v>5</x:v>
      </x:c>
      <x:c r="S634" s="10" t="n">
        <x:v>1</x:v>
      </x:c>
      <x:c r="T634" s="9" t="str">
        <x:v>Empty</x:v>
      </x:c>
      <x:c r="U634" s="9"/>
      <x:c r="V634" s="9"/>
      <x:c r="W634" s="9"/>
      <x:c r="X634" s="10"/>
      <x:c r="Y634" s="10"/>
      <x:c r="Z634" s="9"/>
      <x:c r="AA634" s="9"/>
      <x:c r="AB634" s="9" t="str">
        <x:v>between</x:v>
      </x:c>
      <x:c r="AC634" s="9"/>
      <x:c r="AD634" s="9"/>
      <x:c r="AE634" s="9"/>
      <x:c r="AF634" s="9"/>
      <x:c r="AG634" s="9" t="str">
        <x:v>airplane toy</x:v>
      </x:c>
      <x:c r="AH634" s="9"/>
      <x:c r="AI634" s="11"/>
      <x:c r="AJ634" s="9"/>
      <x:c r="AK634" s="9" t="str">
        <x:v>Eval_Referential_Disambiguation.xlsm</x:v>
      </x:c>
      <x:c r="AL634" s="9" t="str">
        <x:v>MolmoAct2 Results</x:v>
      </x:c>
      <x:c r="AM634" s="9" t="n">
        <x:v>14</x:v>
      </x:c>
      <x:c r="AN634" s="9" t="n">
        <x:v>14</x:v>
      </x:c>
    </x:row>
    <x:row r="635">
      <x:c r="A635" s="9" t="str">
        <x:v>Failure</x:v>
      </x:c>
      <x:c r="B635" s="9" t="str">
        <x:v>Referential Disambiguation</x:v>
      </x:c>
      <x:c r="C635" s="10" t="n">
        <x:v>13</x:v>
      </x:c>
      <x:c r="D635" s="9" t="str">
        <x:v>Put the airplane toy between the crushed Coke can and the green pen in the bowl.</x:v>
      </x:c>
      <x:c r="E635" s="9" t="str">
        <x:v>airplane toy with propellers; airplane toy without propellers; crushed Coke can; green pen</x:v>
      </x:c>
      <x:c r="F635" s="9" t="str">
        <x:v>airplane toy without propellers</x:v>
      </x:c>
      <x:c r="G635" s="9" t="str">
        <x:v>Picked the other airplane toy</x:v>
      </x:c>
      <x:c r="H635" s="9" t="str">
        <x:v>In-distribution concept baseline</x:v>
      </x:c>
      <x:c r="I635" s="9" t="str">
        <x:v>RD-ID14</x:v>
      </x:c>
      <x:c r="J635" s="9" t="str">
        <x:v>Exact training-supported relation × candidate-category baseline</x:v>
      </x:c>
      <x:c r="K635" s="9"/>
      <x:c r="L635" s="9" t="str">
        <x:v>586</x:v>
      </x:c>
      <x:c r="M635" s="9" t="str">
        <x:v>Exact manifest cell: prompt, relation × candidate-category combination, target identity, and object membership are explicitly represented in training; physical positions are manually recreated with a clear margin.</x:v>
      </x:c>
      <x:c r="N635" s="9" t="n">
        <x:v>1</x:v>
      </x:c>
      <x:c r="O635" s="9" t="str">
        <x:v>Place the 4 listed objects. Arrange Expected Target as the unique answer to the prompt; keep the bowl empty.</x:v>
      </x:c>
      <x:c r="P635" s="9" t="str">
        <x:v>The relation, candidate category, target identity, and object membership occur together in the cited training episode.</x:v>
      </x:c>
      <x:c r="Q635" s="9"/>
      <x:c r="R635" s="10" t="n">
        <x:v>4</x:v>
      </x:c>
      <x:c r="S635" s="10" t="n">
        <x:v>1</x:v>
      </x:c>
      <x:c r="T635" s="9" t="str">
        <x:v>Empty</x:v>
      </x:c>
      <x:c r="U635" s="9"/>
      <x:c r="V635" s="9"/>
      <x:c r="W635" s="9"/>
      <x:c r="X635" s="10"/>
      <x:c r="Y635" s="10"/>
      <x:c r="Z635" s="9"/>
      <x:c r="AA635" s="9"/>
      <x:c r="AB635" s="9" t="str">
        <x:v>between</x:v>
      </x:c>
      <x:c r="AC635" s="9"/>
      <x:c r="AD635" s="9"/>
      <x:c r="AE635" s="9"/>
      <x:c r="AF635" s="9"/>
      <x:c r="AG635" s="9" t="str">
        <x:v>airplane toy</x:v>
      </x:c>
      <x:c r="AH635" s="9"/>
      <x:c r="AI635" s="11"/>
      <x:c r="AJ635" s="9"/>
      <x:c r="AK635" s="9" t="str">
        <x:v>Eval_Referential_Disambiguation.xlsm</x:v>
      </x:c>
      <x:c r="AL635" s="9" t="str">
        <x:v>MolmoAct2 Results</x:v>
      </x:c>
      <x:c r="AM635" s="9" t="n">
        <x:v>15</x:v>
      </x:c>
      <x:c r="AN635" s="9" t="n">
        <x:v>15</x:v>
      </x:c>
    </x:row>
    <x:row r="636">
      <x:c r="A636" s="9" t="str">
        <x:v>Success</x:v>
      </x:c>
      <x:c r="B636" s="9" t="str">
        <x:v>Referential Disambiguation</x:v>
      </x:c>
      <x:c r="C636" s="10" t="n">
        <x:v>14</x:v>
      </x:c>
      <x:c r="D636" s="9" t="str">
        <x:v>Pick up the airplane toy positioned between the yellow pen and the crushed Coke can, then place it in the bowl.</x:v>
      </x:c>
      <x:c r="E636" s="9" t="str">
        <x:v>airplane toy with propellers; airplane toy without propellers; yellow pen; crushed Coke can; crushed Pepsi can</x:v>
      </x:c>
      <x:c r="F636" s="9" t="str">
        <x:v>airplane toy with propellers</x:v>
      </x:c>
      <x:c r="G636" s="9"/>
      <x:c r="H636" s="9" t="str">
        <x:v>In-distribution concept baseline</x:v>
      </x:c>
      <x:c r="I636" s="9" t="str">
        <x:v>RD-ID15</x:v>
      </x:c>
      <x:c r="J636" s="9" t="str">
        <x:v>Exact training-supported relation × candidate-category baseline</x:v>
      </x:c>
      <x:c r="K636" s="9"/>
      <x:c r="L636" s="9" t="str">
        <x:v>589</x:v>
      </x:c>
      <x:c r="M636" s="9" t="str">
        <x:v>Exact manifest cell: prompt, relation × candidate-category combination, target identity, and object membership are explicitly represented in training; physical positions are manually recreated with a clear margin.</x:v>
      </x:c>
      <x:c r="N636" s="9" t="n">
        <x:v>1</x:v>
      </x:c>
      <x:c r="O636" s="9" t="str">
        <x:v>Place the 5 listed objects. Arrange Expected Target as the unique answer to the prompt; keep the bowl empty.</x:v>
      </x:c>
      <x:c r="P636" s="9" t="str">
        <x:v>The relation, candidate category, target identity, and object membership occur together in the cited training episode.</x:v>
      </x:c>
      <x:c r="Q636" s="9"/>
      <x:c r="R636" s="10" t="n">
        <x:v>5</x:v>
      </x:c>
      <x:c r="S636" s="10" t="n">
        <x:v>1</x:v>
      </x:c>
      <x:c r="T636" s="9" t="str">
        <x:v>Empty</x:v>
      </x:c>
      <x:c r="U636" s="9"/>
      <x:c r="V636" s="9"/>
      <x:c r="W636" s="9"/>
      <x:c r="X636" s="10"/>
      <x:c r="Y636" s="10"/>
      <x:c r="Z636" s="9"/>
      <x:c r="AA636" s="9"/>
      <x:c r="AB636" s="9" t="str">
        <x:v>between</x:v>
      </x:c>
      <x:c r="AC636" s="9"/>
      <x:c r="AD636" s="9"/>
      <x:c r="AE636" s="9"/>
      <x:c r="AF636" s="9"/>
      <x:c r="AG636" s="9" t="str">
        <x:v>airplane toy</x:v>
      </x:c>
      <x:c r="AH636" s="9"/>
      <x:c r="AI636" s="11"/>
      <x:c r="AJ636" s="9"/>
      <x:c r="AK636" s="9" t="str">
        <x:v>Eval_Referential_Disambiguation.xlsm</x:v>
      </x:c>
      <x:c r="AL636" s="9" t="str">
        <x:v>MolmoAct2 Results</x:v>
      </x:c>
      <x:c r="AM636" s="9" t="n">
        <x:v>16</x:v>
      </x:c>
      <x:c r="AN636" s="9" t="n">
        <x:v>16</x:v>
      </x:c>
    </x:row>
    <x:row r="637">
      <x:c r="A637" s="9" t="str">
        <x:v>Failure</x:v>
      </x:c>
      <x:c r="B637" s="9" t="str">
        <x:v>Referential Disambiguation</x:v>
      </x:c>
      <x:c r="C637" s="10" t="n">
        <x:v>15</x:v>
      </x:c>
      <x:c r="D637" s="9" t="str">
        <x:v>Put the pen closest to the crushed Coke can in the bowl.</x:v>
      </x:c>
      <x:c r="E637" s="9" t="str">
        <x:v>green pen; yellow pen; crushed Coke can; crushed Pepsi can</x:v>
      </x:c>
      <x:c r="F637" s="9" t="str">
        <x:v>green pen</x:v>
      </x:c>
      <x:c r="G637" s="9" t="str">
        <x:v>Wrist is rotated 90 degrees off for the picking up part. Reasoning was good, but grasping failed.</x:v>
      </x:c>
      <x:c r="H637" s="9" t="str">
        <x:v>In-distribution concept baseline</x:v>
      </x:c>
      <x:c r="I637" s="9" t="str">
        <x:v>RD-ID16</x:v>
      </x:c>
      <x:c r="J637" s="9" t="str">
        <x:v>Exact training-supported relation × candidate-category baseline</x:v>
      </x:c>
      <x:c r="K637" s="9"/>
      <x:c r="L637" s="9" t="str">
        <x:v>514</x:v>
      </x:c>
      <x:c r="M637" s="9" t="str">
        <x:v>Exact manifest cell: prompt, relation × candidate-category combination, target identity, and object membership are explicitly represented in training; physical positions are manually recreated with a clear margin.</x:v>
      </x:c>
      <x:c r="N637" s="9" t="n">
        <x:v>1</x:v>
      </x:c>
      <x:c r="O637" s="9" t="str">
        <x:v>Place the 4 listed objects. Arrange Expected Target as the unique answer to the prompt; keep the bowl empty.</x:v>
      </x:c>
      <x:c r="P637" s="9" t="str">
        <x:v>The relation, candidate category, target identity, and object membership occur together in the cited training episode.</x:v>
      </x:c>
      <x:c r="Q637" s="9"/>
      <x:c r="R637" s="10" t="n">
        <x:v>4</x:v>
      </x:c>
      <x:c r="S637" s="10" t="n">
        <x:v>1</x:v>
      </x:c>
      <x:c r="T637" s="9" t="str">
        <x:v>Empty</x:v>
      </x:c>
      <x:c r="U637" s="9"/>
      <x:c r="V637" s="9"/>
      <x:c r="W637" s="9"/>
      <x:c r="X637" s="10"/>
      <x:c r="Y637" s="10"/>
      <x:c r="Z637" s="9"/>
      <x:c r="AA637" s="9"/>
      <x:c r="AB637" s="9" t="str">
        <x:v>closest</x:v>
      </x:c>
      <x:c r="AC637" s="9"/>
      <x:c r="AD637" s="9"/>
      <x:c r="AE637" s="9"/>
      <x:c r="AF637" s="9"/>
      <x:c r="AG637" s="9" t="str">
        <x:v>pen</x:v>
      </x:c>
      <x:c r="AH637" s="9"/>
      <x:c r="AI637" s="11"/>
      <x:c r="AJ637" s="9"/>
      <x:c r="AK637" s="9" t="str">
        <x:v>Eval_Referential_Disambiguation.xlsm</x:v>
      </x:c>
      <x:c r="AL637" s="9" t="str">
        <x:v>MolmoAct2 Results</x:v>
      </x:c>
      <x:c r="AM637" s="9" t="n">
        <x:v>17</x:v>
      </x:c>
      <x:c r="AN637" s="9" t="n">
        <x:v>17</x:v>
      </x:c>
    </x:row>
    <x:row r="638">
      <x:c r="A638" s="9" t="str">
        <x:v>Success</x:v>
      </x:c>
      <x:c r="B638" s="9" t="str">
        <x:v>Referential Disambiguation</x:v>
      </x:c>
      <x:c r="C638" s="10" t="n">
        <x:v>16</x:v>
      </x:c>
      <x:c r="D638" s="9" t="str">
        <x:v>Put the pen closest to the red pencil sharpener in the bowl.</x:v>
      </x:c>
      <x:c r="E638" s="9" t="str">
        <x:v>green pen; yellow pen; red pencil sharpener; airplane toy without propellers</x:v>
      </x:c>
      <x:c r="F638" s="9" t="str">
        <x:v>yellow pen</x:v>
      </x:c>
      <x:c r="G638" s="9" t="str">
        <x:v>Lowkey went for the green pen first, then jittered its way to the yellow pen.</x:v>
      </x:c>
      <x:c r="H638" s="9" t="str">
        <x:v>In-distribution concept baseline</x:v>
      </x:c>
      <x:c r="I638" s="9" t="str">
        <x:v>RD-ID17</x:v>
      </x:c>
      <x:c r="J638" s="9" t="str">
        <x:v>Exact training-supported relation × candidate-category baseline</x:v>
      </x:c>
      <x:c r="K638" s="9"/>
      <x:c r="L638" s="9" t="str">
        <x:v>501</x:v>
      </x:c>
      <x:c r="M638" s="9" t="str">
        <x:v>Exact manifest cell: prompt, relation × candidate-category combination, target identity, and object membership are explicitly represented in training; physical positions are manually recreated with a clear margin.</x:v>
      </x:c>
      <x:c r="N638" s="9" t="n">
        <x:v>1</x:v>
      </x:c>
      <x:c r="O638" s="9" t="str">
        <x:v>Place the 4 listed objects. Arrange Expected Target as the unique answer to the prompt; keep the bowl empty.</x:v>
      </x:c>
      <x:c r="P638" s="9" t="str">
        <x:v>The relation, candidate category, target identity, and object membership occur together in the cited training episode.</x:v>
      </x:c>
      <x:c r="Q638" s="9"/>
      <x:c r="R638" s="10" t="n">
        <x:v>4</x:v>
      </x:c>
      <x:c r="S638" s="10" t="n">
        <x:v>1</x:v>
      </x:c>
      <x:c r="T638" s="9" t="str">
        <x:v>Empty</x:v>
      </x:c>
      <x:c r="U638" s="9"/>
      <x:c r="V638" s="9"/>
      <x:c r="W638" s="9"/>
      <x:c r="X638" s="10"/>
      <x:c r="Y638" s="10"/>
      <x:c r="Z638" s="9"/>
      <x:c r="AA638" s="9"/>
      <x:c r="AB638" s="9" t="str">
        <x:v>closest</x:v>
      </x:c>
      <x:c r="AC638" s="9"/>
      <x:c r="AD638" s="9"/>
      <x:c r="AE638" s="9"/>
      <x:c r="AF638" s="9"/>
      <x:c r="AG638" s="9" t="str">
        <x:v>pen</x:v>
      </x:c>
      <x:c r="AH638" s="9"/>
      <x:c r="AI638" s="11"/>
      <x:c r="AJ638" s="9"/>
      <x:c r="AK638" s="9" t="str">
        <x:v>Eval_Referential_Disambiguation.xlsm</x:v>
      </x:c>
      <x:c r="AL638" s="9" t="str">
        <x:v>MolmoAct2 Results</x:v>
      </x:c>
      <x:c r="AM638" s="9" t="n">
        <x:v>18</x:v>
      </x:c>
      <x:c r="AN638" s="9" t="n">
        <x:v>18</x:v>
      </x:c>
    </x:row>
    <x:row r="639">
      <x:c r="A639" s="9" t="str">
        <x:v>Success</x:v>
      </x:c>
      <x:c r="B639" s="9" t="str">
        <x:v>Referential Disambiguation</x:v>
      </x:c>
      <x:c r="C639" s="10" t="n">
        <x:v>17</x:v>
      </x:c>
      <x:c r="D639" s="9" t="str">
        <x:v>Pick up the pen furthest from the crushed Coke can and place it in the bowl.</x:v>
      </x:c>
      <x:c r="E639" s="9" t="str">
        <x:v>green pen; yellow pen; crushed Coke can</x:v>
      </x:c>
      <x:c r="F639" s="9" t="str">
        <x:v>yellow pen</x:v>
      </x:c>
      <x:c r="G639" s="9" t="str">
        <x:v>Still had weird picking strategy</x:v>
      </x:c>
      <x:c r="H639" s="9" t="str">
        <x:v>In-distribution concept baseline</x:v>
      </x:c>
      <x:c r="I639" s="9" t="str">
        <x:v>RD-ID18</x:v>
      </x:c>
      <x:c r="J639" s="9" t="str">
        <x:v>Exact training-supported relation × candidate-category baseline</x:v>
      </x:c>
      <x:c r="K639" s="9"/>
      <x:c r="L639" s="9" t="str">
        <x:v>515</x:v>
      </x:c>
      <x:c r="M639" s="9" t="str">
        <x:v>Exact manifest cell: prompt, relation × candidate-category combination, target identity, and object membership are explicitly represented in training; physical positions are manually recreated with a clear margin.</x:v>
      </x:c>
      <x:c r="N639" s="9" t="n">
        <x:v>1</x:v>
      </x:c>
      <x:c r="O639" s="9" t="str">
        <x:v>Place the 3 listed objects. Arrange Expected Target as the unique answer to the prompt; keep the bowl empty.</x:v>
      </x:c>
      <x:c r="P639" s="9" t="str">
        <x:v>The relation, candidate category, target identity, and object membership occur together in the cited training episode.</x:v>
      </x:c>
      <x:c r="Q639" s="9"/>
      <x:c r="R639" s="10" t="n">
        <x:v>3</x:v>
      </x:c>
      <x:c r="S639" s="10" t="n">
        <x:v>1</x:v>
      </x:c>
      <x:c r="T639" s="9" t="str">
        <x:v>Empty</x:v>
      </x:c>
      <x:c r="U639" s="9"/>
      <x:c r="V639" s="9"/>
      <x:c r="W639" s="9"/>
      <x:c r="X639" s="10"/>
      <x:c r="Y639" s="10"/>
      <x:c r="Z639" s="9"/>
      <x:c r="AA639" s="9"/>
      <x:c r="AB639" s="9" t="str">
        <x:v>furthest</x:v>
      </x:c>
      <x:c r="AC639" s="9"/>
      <x:c r="AD639" s="9"/>
      <x:c r="AE639" s="9"/>
      <x:c r="AF639" s="9"/>
      <x:c r="AG639" s="9" t="str">
        <x:v>pen</x:v>
      </x:c>
      <x:c r="AH639" s="9"/>
      <x:c r="AI639" s="11"/>
      <x:c r="AJ639" s="9"/>
      <x:c r="AK639" s="9" t="str">
        <x:v>Eval_Referential_Disambiguation.xlsm</x:v>
      </x:c>
      <x:c r="AL639" s="9" t="str">
        <x:v>MolmoAct2 Results</x:v>
      </x:c>
      <x:c r="AM639" s="9" t="n">
        <x:v>19</x:v>
      </x:c>
      <x:c r="AN639" s="9" t="n">
        <x:v>19</x:v>
      </x:c>
    </x:row>
    <x:row r="640">
      <x:c r="A640" s="9" t="str">
        <x:v>Success</x:v>
      </x:c>
      <x:c r="B640" s="9" t="str">
        <x:v>Referential Disambiguation</x:v>
      </x:c>
      <x:c r="C640" s="10" t="n">
        <x:v>18</x:v>
      </x:c>
      <x:c r="D640" s="9" t="str">
        <x:v>Pick up the pen furthest from the crushed Pepsi can and place it in the bowl.</x:v>
      </x:c>
      <x:c r="E640" s="9" t="str">
        <x:v>green pen; yellow pen; crushed Pepsi can; green pencil sharpener</x:v>
      </x:c>
      <x:c r="F640" s="9" t="str">
        <x:v>green pen</x:v>
      </x:c>
      <x:c r="G640" s="9"/>
      <x:c r="H640" s="9" t="str">
        <x:v>In-distribution concept baseline</x:v>
      </x:c>
      <x:c r="I640" s="9" t="str">
        <x:v>RD-ID19</x:v>
      </x:c>
      <x:c r="J640" s="9" t="str">
        <x:v>Exact training-supported relation × candidate-category baseline</x:v>
      </x:c>
      <x:c r="K640" s="9"/>
      <x:c r="L640" s="9" t="str">
        <x:v>516</x:v>
      </x:c>
      <x:c r="M640" s="9" t="str">
        <x:v>Exact manifest cell: prompt, relation × candidate-category combination, target identity, and object membership are explicitly represented in training; physical positions are manually recreated with a clear margin.</x:v>
      </x:c>
      <x:c r="N640" s="9" t="n">
        <x:v>1</x:v>
      </x:c>
      <x:c r="O640" s="9" t="str">
        <x:v>Place the 4 listed objects. Arrange Expected Target as the unique answer to the prompt; keep the bowl empty.</x:v>
      </x:c>
      <x:c r="P640" s="9" t="str">
        <x:v>The relation, candidate category, target identity, and object membership occur together in the cited training episode.</x:v>
      </x:c>
      <x:c r="Q640" s="9"/>
      <x:c r="R640" s="10" t="n">
        <x:v>4</x:v>
      </x:c>
      <x:c r="S640" s="10" t="n">
        <x:v>1</x:v>
      </x:c>
      <x:c r="T640" s="9" t="str">
        <x:v>Empty</x:v>
      </x:c>
      <x:c r="U640" s="9"/>
      <x:c r="V640" s="9"/>
      <x:c r="W640" s="9"/>
      <x:c r="X640" s="10"/>
      <x:c r="Y640" s="10"/>
      <x:c r="Z640" s="9"/>
      <x:c r="AA640" s="9"/>
      <x:c r="AB640" s="9" t="str">
        <x:v>furthest</x:v>
      </x:c>
      <x:c r="AC640" s="9"/>
      <x:c r="AD640" s="9"/>
      <x:c r="AE640" s="9"/>
      <x:c r="AF640" s="9"/>
      <x:c r="AG640" s="9" t="str">
        <x:v>pen</x:v>
      </x:c>
      <x:c r="AH640" s="9"/>
      <x:c r="AI640" s="11"/>
      <x:c r="AJ640" s="9"/>
      <x:c r="AK640" s="9" t="str">
        <x:v>Eval_Referential_Disambiguation.xlsm</x:v>
      </x:c>
      <x:c r="AL640" s="9" t="str">
        <x:v>MolmoAct2 Results</x:v>
      </x:c>
      <x:c r="AM640" s="9" t="n">
        <x:v>20</x:v>
      </x:c>
      <x:c r="AN640" s="9" t="n">
        <x:v>20</x:v>
      </x:c>
    </x:row>
    <x:row r="641">
      <x:c r="A641" s="9" t="str">
        <x:v>Success</x:v>
      </x:c>
      <x:c r="B641" s="9" t="str">
        <x:v>Referential Disambiguation</x:v>
      </x:c>
      <x:c r="C641" s="10" t="n">
        <x:v>19</x:v>
      </x:c>
      <x:c r="D641" s="9" t="str">
        <x:v>Pick up the pen furthest from the airplane toy with propellers and place it in the bowl.</x:v>
      </x:c>
      <x:c r="E641" s="9" t="str">
        <x:v>green pen; yellow pen; airplane toy with propellers</x:v>
      </x:c>
      <x:c r="F641" s="9" t="str">
        <x:v>yellow pen</x:v>
      </x:c>
      <x:c r="G641" s="9"/>
      <x:c r="H641" s="9" t="str">
        <x:v>In-distribution concept baseline</x:v>
      </x:c>
      <x:c r="I641" s="9" t="str">
        <x:v>RD-ID20</x:v>
      </x:c>
      <x:c r="J641" s="9" t="str">
        <x:v>Exact training-supported relation × candidate-category baseline</x:v>
      </x:c>
      <x:c r="K641" s="9"/>
      <x:c r="L641" s="9" t="str">
        <x:v>517</x:v>
      </x:c>
      <x:c r="M641" s="9" t="str">
        <x:v>Exact manifest cell: prompt, relation × candidate-category combination, target identity, and object membership are explicitly represented in training; physical positions are manually recreated with a clear margin.</x:v>
      </x:c>
      <x:c r="N641" s="9" t="n">
        <x:v>1</x:v>
      </x:c>
      <x:c r="O641" s="9" t="str">
        <x:v>Place the 3 listed objects. Arrange Expected Target as the unique answer to the prompt; keep the bowl empty.</x:v>
      </x:c>
      <x:c r="P641" s="9" t="str">
        <x:v>The relation, candidate category, target identity, and object membership occur together in the cited training episode.</x:v>
      </x:c>
      <x:c r="Q641" s="9"/>
      <x:c r="R641" s="10" t="n">
        <x:v>3</x:v>
      </x:c>
      <x:c r="S641" s="10" t="n">
        <x:v>1</x:v>
      </x:c>
      <x:c r="T641" s="9" t="str">
        <x:v>Empty</x:v>
      </x:c>
      <x:c r="U641" s="9"/>
      <x:c r="V641" s="9"/>
      <x:c r="W641" s="9"/>
      <x:c r="X641" s="10"/>
      <x:c r="Y641" s="10"/>
      <x:c r="Z641" s="9"/>
      <x:c r="AA641" s="9"/>
      <x:c r="AB641" s="9" t="str">
        <x:v>furthest</x:v>
      </x:c>
      <x:c r="AC641" s="9"/>
      <x:c r="AD641" s="9"/>
      <x:c r="AE641" s="9"/>
      <x:c r="AF641" s="9"/>
      <x:c r="AG641" s="9" t="str">
        <x:v>pen</x:v>
      </x:c>
      <x:c r="AH641" s="9"/>
      <x:c r="AI641" s="11"/>
      <x:c r="AJ641" s="9"/>
      <x:c r="AK641" s="9" t="str">
        <x:v>Eval_Referential_Disambiguation.xlsm</x:v>
      </x:c>
      <x:c r="AL641" s="9" t="str">
        <x:v>MolmoAct2 Results</x:v>
      </x:c>
      <x:c r="AM641" s="9" t="n">
        <x:v>21</x:v>
      </x:c>
      <x:c r="AN641" s="9" t="n">
        <x:v>21</x:v>
      </x:c>
    </x:row>
    <x:row r="642">
      <x:c r="A642" s="9" t="str">
        <x:v>Success</x:v>
      </x:c>
      <x:c r="B642" s="9" t="str">
        <x:v>Referential Disambiguation</x:v>
      </x:c>
      <x:c r="C642" s="10" t="n">
        <x:v>20</x:v>
      </x:c>
      <x:c r="D642" s="9" t="str">
        <x:v>Pick up the airplane toy furthest from the green pen and place it in the bowl.</x:v>
      </x:c>
      <x:c r="E642" s="9" t="str">
        <x:v>airplane toy with propellers; airplane toy without propellers; green pen</x:v>
      </x:c>
      <x:c r="F642" s="9" t="str">
        <x:v>airplane toy with propellers</x:v>
      </x:c>
      <x:c r="G642" s="9"/>
      <x:c r="H642" s="9" t="str">
        <x:v>Concept/compositional transfer</x:v>
      </x:c>
      <x:c r="I642" s="9" t="str">
        <x:v>RD-CT01</x:v>
      </x:c>
      <x:c r="J642" s="9" t="str">
        <x:v>Primary held-out relation × candidate-category composition — Pick up</x:v>
      </x:c>
      <x:c r="K642" s="9"/>
      <x:c r="L642" s="9" t="str">
        <x:v>566</x:v>
      </x:c>
      <x:c r="M642" s="9" t="str">
        <x:v>Masked source trajectory: the target identity and physical manipulation are trained under a direct-name prompt, while this relation × candidate-category composition is intentionally absent.</x:v>
      </x:c>
      <x:c r="N642" s="9" t="n">
        <x:v>2</x:v>
      </x:c>
      <x:c r="O642" s="9" t="str">
        <x:v>Place the listed objects. Arrange Expected Target as the unique answer to the prompt; keep the bowl empty and save a reference image.</x:v>
      </x:c>
      <x:c r="P642" s="9" t="str">
        <x:v>Both candidates are present. The held-out relation is the only information that identifies the target.</x:v>
      </x:c>
      <x:c r="Q642" s="9"/>
      <x:c r="R642" s="10" t="n">
        <x:v>3</x:v>
      </x:c>
      <x:c r="S642" s="10" t="n">
        <x:v>1</x:v>
      </x:c>
      <x:c r="T642" s="9" t="str">
        <x:v>Empty</x:v>
      </x:c>
      <x:c r="U642" s="9"/>
      <x:c r="V642" s="9"/>
      <x:c r="W642" s="9"/>
      <x:c r="X642" s="10"/>
      <x:c r="Y642" s="10"/>
      <x:c r="Z642" s="9"/>
      <x:c r="AA642" s="9"/>
      <x:c r="AB642" s="9" t="str">
        <x:v>furthest</x:v>
      </x:c>
      <x:c r="AC642" s="9"/>
      <x:c r="AD642" s="9"/>
      <x:c r="AE642" s="9"/>
      <x:c r="AF642" s="9"/>
      <x:c r="AG642" s="9" t="str">
        <x:v>airplane toy</x:v>
      </x:c>
      <x:c r="AH642" s="9"/>
      <x:c r="AI642" s="11"/>
      <x:c r="AJ642" s="9"/>
      <x:c r="AK642" s="9" t="str">
        <x:v>Eval_Referential_Disambiguation.xlsm</x:v>
      </x:c>
      <x:c r="AL642" s="9" t="str">
        <x:v>MolmoAct2 Results</x:v>
      </x:c>
      <x:c r="AM642" s="9" t="n">
        <x:v>22</x:v>
      </x:c>
      <x:c r="AN642" s="9" t="n">
        <x:v>22</x:v>
      </x:c>
    </x:row>
    <x:row r="643">
      <x:c r="A643" s="9" t="str">
        <x:v>Success</x:v>
      </x:c>
      <x:c r="B643" s="9" t="str">
        <x:v>Referential Disambiguation</x:v>
      </x:c>
      <x:c r="C643" s="10" t="n">
        <x:v>21</x:v>
      </x:c>
      <x:c r="D643" s="9" t="str">
        <x:v>Put the airplane toy with propellers in the bowl.</x:v>
      </x:c>
      <x:c r="E643" s="9" t="str">
        <x:v>airplane toy with propellers; airplane toy without propellers; green pen</x:v>
      </x:c>
      <x:c r="F643" s="9" t="str">
        <x:v>airplane toy with propellers</x:v>
      </x:c>
      <x:c r="G643" s="9"/>
      <x:c r="H643" s="9" t="str">
        <x:v>Matched manipulation control</x:v>
      </x:c>
      <x:c r="I643" s="9" t="str">
        <x:v>RD-CT01</x:v>
      </x:c>
      <x:c r="J643" s="9" t="str">
        <x:v>Exact-scene direct-identity manipulation control</x:v>
      </x:c>
      <x:c r="K643" s="9" t="n">
        <x:v>20</x:v>
      </x:c>
      <x:c r="L643" s="9" t="str">
        <x:v>566</x:v>
      </x:c>
      <x:c r="M643" s="9" t="str">
        <x:v>Exact masked-cell training prompt for the same target identity. The evaluation scene and physical endpoint are identical to the paired transfer row.</x:v>
      </x:c>
      <x:c r="N643" s="9" t="n">
        <x:v>2</x:v>
      </x:c>
      <x:c r="O643" s="9" t="str">
        <x:v>Reset the moved object exactly; preserve the scene; change only the instruction.</x:v>
      </x:c>
      <x:c r="P643" s="9" t="str">
        <x:v>Controls recognition and manipulation of the same target without requiring referential reasoning.</x:v>
      </x:c>
      <x:c r="Q643" s="9"/>
      <x:c r="R643" s="10" t="n">
        <x:v>3</x:v>
      </x:c>
      <x:c r="S643" s="10" t="n">
        <x:v>1</x:v>
      </x:c>
      <x:c r="T643" s="9" t="str">
        <x:v>Empty</x:v>
      </x:c>
      <x:c r="U643" s="9"/>
      <x:c r="V643" s="9"/>
      <x:c r="W643" s="9"/>
      <x:c r="X643" s="10"/>
      <x:c r="Y643" s="10"/>
      <x:c r="Z643" s="9"/>
      <x:c r="AA643" s="9"/>
      <x:c r="AB643" s="9" t="str">
        <x:v>direct name</x:v>
      </x:c>
      <x:c r="AC643" s="9"/>
      <x:c r="AD643" s="9"/>
      <x:c r="AE643" s="9"/>
      <x:c r="AF643" s="9"/>
      <x:c r="AG643" s="9" t="str">
        <x:v>airplane toy</x:v>
      </x:c>
      <x:c r="AH643" s="9"/>
      <x:c r="AI643" s="11"/>
      <x:c r="AJ643" s="9"/>
      <x:c r="AK643" s="9" t="str">
        <x:v>Eval_Referential_Disambiguation.xlsm</x:v>
      </x:c>
      <x:c r="AL643" s="9" t="str">
        <x:v>MolmoAct2 Results</x:v>
      </x:c>
      <x:c r="AM643" s="9" t="n">
        <x:v>23</x:v>
      </x:c>
      <x:c r="AN643" s="9" t="n">
        <x:v>23</x:v>
      </x:c>
    </x:row>
    <x:row r="644">
      <x:c r="A644" s="9" t="str">
        <x:v>Success</x:v>
      </x:c>
      <x:c r="B644" s="9" t="str">
        <x:v>Referential Disambiguation</x:v>
      </x:c>
      <x:c r="C644" s="10" t="n">
        <x:v>22</x:v>
      </x:c>
      <x:c r="D644" s="9" t="str">
        <x:v>Choose the airplane toy farthest from the green pen and put it in the bowl.</x:v>
      </x:c>
      <x:c r="E644" s="9" t="str">
        <x:v>airplane toy with propellers; airplane toy without propellers; green pen</x:v>
      </x:c>
      <x:c r="F644" s="9" t="str">
        <x:v>airplane toy with propellers</x:v>
      </x:c>
      <x:c r="G644" s="9"/>
      <x:c r="H644" s="9" t="str">
        <x:v>Language robustness</x:v>
      </x:c>
      <x:c r="I644" s="9" t="str">
        <x:v>RD-CT01</x:v>
      </x:c>
      <x:c r="J644" s="9" t="str">
        <x:v>Primary compositional-transfer prompt paraphrase</x:v>
      </x:c>
      <x:c r="K644" s="9" t="n">
        <x:v>20</x:v>
      </x:c>
      <x:c r="L644" s="9" t="str">
        <x:v>566</x:v>
      </x:c>
      <x:c r="M644" s="9" t="str">
        <x:v>Exact canonical transfer scene and masked trajectory reference; only the instruction wording changes. This remains a separate language diagnostic.</x:v>
      </x:c>
      <x:c r="N644" s="9" t="n">
        <x:v>2</x:v>
      </x:c>
      <x:c r="O644" s="9" t="str">
        <x:v>Reset the moved object exactly; preserve the scene; change only the wording.</x:v>
      </x:c>
      <x:c r="P644" s="9" t="str">
        <x:v>One of 10 exact-scene paraphrases of canonical transfer trials.</x:v>
      </x:c>
      <x:c r="Q644" s="9"/>
      <x:c r="R644" s="10" t="n">
        <x:v>3</x:v>
      </x:c>
      <x:c r="S644" s="10" t="n">
        <x:v>1</x:v>
      </x:c>
      <x:c r="T644" s="9" t="str">
        <x:v>Empty</x:v>
      </x:c>
      <x:c r="U644" s="9"/>
      <x:c r="V644" s="9"/>
      <x:c r="W644" s="9"/>
      <x:c r="X644" s="10"/>
      <x:c r="Y644" s="10"/>
      <x:c r="Z644" s="9"/>
      <x:c r="AA644" s="9"/>
      <x:c r="AB644" s="9" t="str">
        <x:v>furthest</x:v>
      </x:c>
      <x:c r="AC644" s="9"/>
      <x:c r="AD644" s="9"/>
      <x:c r="AE644" s="9"/>
      <x:c r="AF644" s="9"/>
      <x:c r="AG644" s="9" t="str">
        <x:v>airplane toy</x:v>
      </x:c>
      <x:c r="AH644" s="9"/>
      <x:c r="AI644" s="11"/>
      <x:c r="AJ644" s="9"/>
      <x:c r="AK644" s="9" t="str">
        <x:v>Eval_Referential_Disambiguation.xlsm</x:v>
      </x:c>
      <x:c r="AL644" s="9" t="str">
        <x:v>MolmoAct2 Results</x:v>
      </x:c>
      <x:c r="AM644" s="9" t="n">
        <x:v>24</x:v>
      </x:c>
      <x:c r="AN644" s="9" t="n">
        <x:v>24</x:v>
      </x:c>
    </x:row>
    <x:row r="645">
      <x:c r="A645" s="9" t="str">
        <x:v>Success</x:v>
      </x:c>
      <x:c r="B645" s="9" t="str">
        <x:v>Referential Disambiguation</x:v>
      </x:c>
      <x:c r="C645" s="10" t="n">
        <x:v>23</x:v>
      </x:c>
      <x:c r="D645" s="9" t="str">
        <x:v>Take the airplane toy with propellers and set it in the bowl.</x:v>
      </x:c>
      <x:c r="E645" s="9" t="str">
        <x:v>airplane toy with propellers; airplane toy without propellers; green pen</x:v>
      </x:c>
      <x:c r="F645" s="9" t="str">
        <x:v>airplane toy with propellers</x:v>
      </x:c>
      <x:c r="G645" s="9"/>
      <x:c r="H645" s="9" t="str">
        <x:v>Language robustness</x:v>
      </x:c>
      <x:c r="I645" s="9" t="str">
        <x:v>RD-CT01</x:v>
      </x:c>
      <x:c r="J645" s="9" t="str">
        <x:v>Matched-control direct-name prompt paraphrase</x:v>
      </x:c>
      <x:c r="K645" s="9" t="n">
        <x:v>21</x:v>
      </x:c>
      <x:c r="L645" s="9" t="str">
        <x:v>566</x:v>
      </x:c>
      <x:c r="M645" s="9" t="str">
        <x:v>Exact matched-control scene and target; only the direct-name instruction wording changes.</x:v>
      </x:c>
      <x:c r="N645" s="9" t="n">
        <x:v>2</x:v>
      </x:c>
      <x:c r="O645" s="9" t="str">
        <x:v>Reset the moved object exactly; preserve the scene; change only the wording.</x:v>
      </x:c>
      <x:c r="P645" s="9" t="str">
        <x:v>One of 10 exact-scene paraphrases of matched manipulation controls.</x:v>
      </x:c>
      <x:c r="Q645" s="9"/>
      <x:c r="R645" s="10" t="n">
        <x:v>3</x:v>
      </x:c>
      <x:c r="S645" s="10" t="n">
        <x:v>1</x:v>
      </x:c>
      <x:c r="T645" s="9" t="str">
        <x:v>Empty</x:v>
      </x:c>
      <x:c r="U645" s="9"/>
      <x:c r="V645" s="9"/>
      <x:c r="W645" s="9"/>
      <x:c r="X645" s="10"/>
      <x:c r="Y645" s="10"/>
      <x:c r="Z645" s="9"/>
      <x:c r="AA645" s="9"/>
      <x:c r="AB645" s="9" t="str">
        <x:v>direct-name paraphrase</x:v>
      </x:c>
      <x:c r="AC645" s="9"/>
      <x:c r="AD645" s="9"/>
      <x:c r="AE645" s="9"/>
      <x:c r="AF645" s="9"/>
      <x:c r="AG645" s="9" t="str">
        <x:v>airplane toy</x:v>
      </x:c>
      <x:c r="AH645" s="9"/>
      <x:c r="AI645" s="11"/>
      <x:c r="AJ645" s="9"/>
      <x:c r="AK645" s="9" t="str">
        <x:v>Eval_Referential_Disambiguation.xlsm</x:v>
      </x:c>
      <x:c r="AL645" s="9" t="str">
        <x:v>MolmoAct2 Results</x:v>
      </x:c>
      <x:c r="AM645" s="9" t="n">
        <x:v>25</x:v>
      </x:c>
      <x:c r="AN645" s="9" t="n">
        <x:v>25</x:v>
      </x:c>
    </x:row>
    <x:row r="646">
      <x:c r="A646" s="9" t="str">
        <x:v>Success</x:v>
      </x:c>
      <x:c r="B646" s="9" t="str">
        <x:v>Referential Disambiguation</x:v>
      </x:c>
      <x:c r="C646" s="10" t="n">
        <x:v>24</x:v>
      </x:c>
      <x:c r="D646" s="9" t="str">
        <x:v>Pick up the crushed soda can closest to the green pen and place it in the bowl.</x:v>
      </x:c>
      <x:c r="E646" s="9" t="str">
        <x:v>crushed Coke can; crushed Pepsi can; green pen</x:v>
      </x:c>
      <x:c r="F646" s="9" t="str">
        <x:v>crushed Coke can</x:v>
      </x:c>
      <x:c r="G646" s="9"/>
      <x:c r="H646" s="9" t="str">
        <x:v>Concept/compositional transfer</x:v>
      </x:c>
      <x:c r="I646" s="9" t="str">
        <x:v>RD-CT02</x:v>
      </x:c>
      <x:c r="J646" s="9" t="str">
        <x:v>Primary held-out relation × candidate-category composition — Pick up</x:v>
      </x:c>
      <x:c r="K646" s="9"/>
      <x:c r="L646" s="9" t="str">
        <x:v>400</x:v>
      </x:c>
      <x:c r="M646" s="9" t="str">
        <x:v>Masked source trajectory: the target identity and physical manipulation are trained under a direct-name prompt, while this relation × candidate-category composition is intentionally absent.</x:v>
      </x:c>
      <x:c r="N646" s="9" t="n">
        <x:v>2</x:v>
      </x:c>
      <x:c r="O646" s="9" t="str">
        <x:v>Place the listed objects. Arrange Expected Target as the unique answer to the prompt; keep the bowl empty and save a reference image.</x:v>
      </x:c>
      <x:c r="P646" s="9" t="str">
        <x:v>Both candidates are present. The held-out relation is the only information that identifies the target.</x:v>
      </x:c>
      <x:c r="Q646" s="9"/>
      <x:c r="R646" s="10" t="n">
        <x:v>3</x:v>
      </x:c>
      <x:c r="S646" s="10" t="n">
        <x:v>1</x:v>
      </x:c>
      <x:c r="T646" s="9" t="str">
        <x:v>Empty</x:v>
      </x:c>
      <x:c r="U646" s="9"/>
      <x:c r="V646" s="9"/>
      <x:c r="W646" s="9"/>
      <x:c r="X646" s="10"/>
      <x:c r="Y646" s="10"/>
      <x:c r="Z646" s="9"/>
      <x:c r="AA646" s="9"/>
      <x:c r="AB646" s="9" t="str">
        <x:v>closest</x:v>
      </x:c>
      <x:c r="AC646" s="9"/>
      <x:c r="AD646" s="9"/>
      <x:c r="AE646" s="9"/>
      <x:c r="AF646" s="9"/>
      <x:c r="AG646" s="9" t="str">
        <x:v>crushed soda can</x:v>
      </x:c>
      <x:c r="AH646" s="9"/>
      <x:c r="AI646" s="11"/>
      <x:c r="AJ646" s="9"/>
      <x:c r="AK646" s="9" t="str">
        <x:v>Eval_Referential_Disambiguation.xlsm</x:v>
      </x:c>
      <x:c r="AL646" s="9" t="str">
        <x:v>MolmoAct2 Results</x:v>
      </x:c>
      <x:c r="AM646" s="9" t="n">
        <x:v>26</x:v>
      </x:c>
      <x:c r="AN646" s="9" t="n">
        <x:v>26</x:v>
      </x:c>
    </x:row>
    <x:row r="647">
      <x:c r="A647" s="9" t="str">
        <x:v>Success</x:v>
      </x:c>
      <x:c r="B647" s="9" t="str">
        <x:v>Referential Disambiguation</x:v>
      </x:c>
      <x:c r="C647" s="10" t="n">
        <x:v>25</x:v>
      </x:c>
      <x:c r="D647" s="9" t="str">
        <x:v>Put the crushed Coke can in the bowl.</x:v>
      </x:c>
      <x:c r="E647" s="9" t="str">
        <x:v>crushed Coke can; crushed Pepsi can; green pen</x:v>
      </x:c>
      <x:c r="F647" s="9" t="str">
        <x:v>crushed Coke can</x:v>
      </x:c>
      <x:c r="G647" s="9"/>
      <x:c r="H647" s="9" t="str">
        <x:v>Matched manipulation control</x:v>
      </x:c>
      <x:c r="I647" s="9" t="str">
        <x:v>RD-CT02</x:v>
      </x:c>
      <x:c r="J647" s="9" t="str">
        <x:v>Exact-scene direct-identity manipulation control</x:v>
      </x:c>
      <x:c r="K647" s="9" t="n">
        <x:v>24</x:v>
      </x:c>
      <x:c r="L647" s="9" t="str">
        <x:v>400</x:v>
      </x:c>
      <x:c r="M647" s="9" t="str">
        <x:v>Exact masked-cell training prompt for the same target identity. The evaluation scene and physical endpoint are identical to the paired transfer row.</x:v>
      </x:c>
      <x:c r="N647" s="9" t="n">
        <x:v>2</x:v>
      </x:c>
      <x:c r="O647" s="9" t="str">
        <x:v>Reset the moved object exactly; preserve the scene; change only the instruction.</x:v>
      </x:c>
      <x:c r="P647" s="9" t="str">
        <x:v>Controls recognition and manipulation of the same target without requiring referential reasoning.</x:v>
      </x:c>
      <x:c r="Q647" s="9"/>
      <x:c r="R647" s="10" t="n">
        <x:v>3</x:v>
      </x:c>
      <x:c r="S647" s="10" t="n">
        <x:v>1</x:v>
      </x:c>
      <x:c r="T647" s="9" t="str">
        <x:v>Empty</x:v>
      </x:c>
      <x:c r="U647" s="9"/>
      <x:c r="V647" s="9"/>
      <x:c r="W647" s="9"/>
      <x:c r="X647" s="10"/>
      <x:c r="Y647" s="10"/>
      <x:c r="Z647" s="9"/>
      <x:c r="AA647" s="9"/>
      <x:c r="AB647" s="9" t="str">
        <x:v>direct name</x:v>
      </x:c>
      <x:c r="AC647" s="9"/>
      <x:c r="AD647" s="9"/>
      <x:c r="AE647" s="9"/>
      <x:c r="AF647" s="9"/>
      <x:c r="AG647" s="9" t="str">
        <x:v>crushed soda can</x:v>
      </x:c>
      <x:c r="AH647" s="9"/>
      <x:c r="AI647" s="11"/>
      <x:c r="AJ647" s="9"/>
      <x:c r="AK647" s="9" t="str">
        <x:v>Eval_Referential_Disambiguation.xlsm</x:v>
      </x:c>
      <x:c r="AL647" s="9" t="str">
        <x:v>MolmoAct2 Results</x:v>
      </x:c>
      <x:c r="AM647" s="9" t="n">
        <x:v>27</x:v>
      </x:c>
      <x:c r="AN647" s="9" t="n">
        <x:v>27</x:v>
      </x:c>
    </x:row>
    <x:row r="648">
      <x:c r="A648" s="9" t="str">
        <x:v>Success</x:v>
      </x:c>
      <x:c r="B648" s="9" t="str">
        <x:v>Referential Disambiguation</x:v>
      </x:c>
      <x:c r="C648" s="10" t="n">
        <x:v>26</x:v>
      </x:c>
      <x:c r="D648" s="9" t="str">
        <x:v>Choose the crushed soda can nearest to the green pen and put it in the bowl.</x:v>
      </x:c>
      <x:c r="E648" s="9" t="str">
        <x:v>crushed Coke can; crushed Pepsi can; green pen</x:v>
      </x:c>
      <x:c r="F648" s="9" t="str">
        <x:v>crushed Coke can</x:v>
      </x:c>
      <x:c r="G648" s="9"/>
      <x:c r="H648" s="9" t="str">
        <x:v>Language robustness</x:v>
      </x:c>
      <x:c r="I648" s="9" t="str">
        <x:v>RD-CT02</x:v>
      </x:c>
      <x:c r="J648" s="9" t="str">
        <x:v>Primary compositional-transfer prompt paraphrase</x:v>
      </x:c>
      <x:c r="K648" s="9" t="n">
        <x:v>24</x:v>
      </x:c>
      <x:c r="L648" s="9" t="str">
        <x:v>400</x:v>
      </x:c>
      <x:c r="M648" s="9" t="str">
        <x:v>Exact canonical transfer scene and masked trajectory reference; only the instruction wording changes. This remains a separate language diagnostic.</x:v>
      </x:c>
      <x:c r="N648" s="9" t="n">
        <x:v>2</x:v>
      </x:c>
      <x:c r="O648" s="9" t="str">
        <x:v>Reset the moved object exactly; preserve the scene; change only the wording.</x:v>
      </x:c>
      <x:c r="P648" s="9" t="str">
        <x:v>One of 10 exact-scene paraphrases of canonical transfer trials.</x:v>
      </x:c>
      <x:c r="Q648" s="9"/>
      <x:c r="R648" s="10" t="n">
        <x:v>3</x:v>
      </x:c>
      <x:c r="S648" s="10" t="n">
        <x:v>1</x:v>
      </x:c>
      <x:c r="T648" s="9" t="str">
        <x:v>Empty</x:v>
      </x:c>
      <x:c r="U648" s="9"/>
      <x:c r="V648" s="9"/>
      <x:c r="W648" s="9"/>
      <x:c r="X648" s="10"/>
      <x:c r="Y648" s="10"/>
      <x:c r="Z648" s="9"/>
      <x:c r="AA648" s="9"/>
      <x:c r="AB648" s="9" t="str">
        <x:v>closest</x:v>
      </x:c>
      <x:c r="AC648" s="9"/>
      <x:c r="AD648" s="9"/>
      <x:c r="AE648" s="9"/>
      <x:c r="AF648" s="9"/>
      <x:c r="AG648" s="9" t="str">
        <x:v>crushed soda can</x:v>
      </x:c>
      <x:c r="AH648" s="9"/>
      <x:c r="AI648" s="11"/>
      <x:c r="AJ648" s="9"/>
      <x:c r="AK648" s="9" t="str">
        <x:v>Eval_Referential_Disambiguation.xlsm</x:v>
      </x:c>
      <x:c r="AL648" s="9" t="str">
        <x:v>MolmoAct2 Results</x:v>
      </x:c>
      <x:c r="AM648" s="9" t="n">
        <x:v>28</x:v>
      </x:c>
      <x:c r="AN648" s="9" t="n">
        <x:v>28</x:v>
      </x:c>
    </x:row>
    <x:row r="649">
      <x:c r="A649" s="9" t="str">
        <x:v>Success</x:v>
      </x:c>
      <x:c r="B649" s="9" t="str">
        <x:v>Referential Disambiguation</x:v>
      </x:c>
      <x:c r="C649" s="10" t="n">
        <x:v>27</x:v>
      </x:c>
      <x:c r="D649" s="9" t="str">
        <x:v>Take the crushed Coke can and set it in the bowl.</x:v>
      </x:c>
      <x:c r="E649" s="9" t="str">
        <x:v>crushed Coke can; crushed Pepsi can; green pen</x:v>
      </x:c>
      <x:c r="F649" s="9" t="str">
        <x:v>crushed Coke can</x:v>
      </x:c>
      <x:c r="G649" s="9"/>
      <x:c r="H649" s="9" t="str">
        <x:v>Language robustness</x:v>
      </x:c>
      <x:c r="I649" s="9" t="str">
        <x:v>RD-CT02</x:v>
      </x:c>
      <x:c r="J649" s="9" t="str">
        <x:v>Matched-control direct-name prompt paraphrase</x:v>
      </x:c>
      <x:c r="K649" s="9" t="n">
        <x:v>25</x:v>
      </x:c>
      <x:c r="L649" s="9" t="str">
        <x:v>400</x:v>
      </x:c>
      <x:c r="M649" s="9" t="str">
        <x:v>Exact matched-control scene and target; only the direct-name instruction wording changes.</x:v>
      </x:c>
      <x:c r="N649" s="9" t="n">
        <x:v>2</x:v>
      </x:c>
      <x:c r="O649" s="9" t="str">
        <x:v>Reset the moved object exactly; preserve the scene; change only the wording.</x:v>
      </x:c>
      <x:c r="P649" s="9" t="str">
        <x:v>One of 10 exact-scene paraphrases of matched manipulation controls.</x:v>
      </x:c>
      <x:c r="Q649" s="9"/>
      <x:c r="R649" s="10" t="n">
        <x:v>3</x:v>
      </x:c>
      <x:c r="S649" s="10" t="n">
        <x:v>1</x:v>
      </x:c>
      <x:c r="T649" s="9" t="str">
        <x:v>Empty</x:v>
      </x:c>
      <x:c r="U649" s="9"/>
      <x:c r="V649" s="9"/>
      <x:c r="W649" s="9"/>
      <x:c r="X649" s="10"/>
      <x:c r="Y649" s="10"/>
      <x:c r="Z649" s="9"/>
      <x:c r="AA649" s="9"/>
      <x:c r="AB649" s="9" t="str">
        <x:v>direct-name paraphrase</x:v>
      </x:c>
      <x:c r="AC649" s="9"/>
      <x:c r="AD649" s="9"/>
      <x:c r="AE649" s="9"/>
      <x:c r="AF649" s="9"/>
      <x:c r="AG649" s="9" t="str">
        <x:v>crushed soda can</x:v>
      </x:c>
      <x:c r="AH649" s="9"/>
      <x:c r="AI649" s="11"/>
      <x:c r="AJ649" s="9"/>
      <x:c r="AK649" s="9" t="str">
        <x:v>Eval_Referential_Disambiguation.xlsm</x:v>
      </x:c>
      <x:c r="AL649" s="9" t="str">
        <x:v>MolmoAct2 Results</x:v>
      </x:c>
      <x:c r="AM649" s="9" t="n">
        <x:v>29</x:v>
      </x:c>
      <x:c r="AN649" s="9" t="n">
        <x:v>29</x:v>
      </x:c>
    </x:row>
    <x:row r="650">
      <x:c r="A650" s="9" t="str">
        <x:v>Success</x:v>
      </x:c>
      <x:c r="B650" s="9" t="str">
        <x:v>Referential Disambiguation</x:v>
      </x:c>
      <x:c r="C650" s="10" t="n">
        <x:v>28</x:v>
      </x:c>
      <x:c r="D650" s="9" t="str">
        <x:v>Pick up the pencil sharpener between the green pen and the crushed Coke can and place it in the bowl.</x:v>
      </x:c>
      <x:c r="E650" s="9" t="str">
        <x:v>green pencil sharpener; red pencil sharpener; green pen; crushed Coke can</x:v>
      </x:c>
      <x:c r="F650" s="9" t="str">
        <x:v>green pencil sharpener</x:v>
      </x:c>
      <x:c r="G650" s="9"/>
      <x:c r="H650" s="9" t="str">
        <x:v>Concept/compositional transfer</x:v>
      </x:c>
      <x:c r="I650" s="9" t="str">
        <x:v>RD-CT03</x:v>
      </x:c>
      <x:c r="J650" s="9" t="str">
        <x:v>Primary held-out relation × candidate-category composition — Pick up</x:v>
      </x:c>
      <x:c r="K650" s="9"/>
      <x:c r="L650" s="9" t="str">
        <x:v>482</x:v>
      </x:c>
      <x:c r="M650" s="9" t="str">
        <x:v>Masked source trajectory: the target identity and physical manipulation are trained under a direct-name prompt, while this relation × candidate-category composition is intentionally absent.</x:v>
      </x:c>
      <x:c r="N650" s="9" t="n">
        <x:v>2</x:v>
      </x:c>
      <x:c r="O650" s="9" t="str">
        <x:v>Place the listed objects. Arrange Expected Target as the unique answer to the prompt; keep the bowl empty and save a reference image.</x:v>
      </x:c>
      <x:c r="P650" s="9" t="str">
        <x:v>Both candidates are present. The held-out relation is the only information that identifies the target.</x:v>
      </x:c>
      <x:c r="Q650" s="9"/>
      <x:c r="R650" s="10" t="n">
        <x:v>4</x:v>
      </x:c>
      <x:c r="S650" s="10" t="n">
        <x:v>1</x:v>
      </x:c>
      <x:c r="T650" s="9" t="str">
        <x:v>Empty</x:v>
      </x:c>
      <x:c r="U650" s="9"/>
      <x:c r="V650" s="9"/>
      <x:c r="W650" s="9"/>
      <x:c r="X650" s="10"/>
      <x:c r="Y650" s="10"/>
      <x:c r="Z650" s="9"/>
      <x:c r="AA650" s="9"/>
      <x:c r="AB650" s="9" t="str">
        <x:v>between</x:v>
      </x:c>
      <x:c r="AC650" s="9"/>
      <x:c r="AD650" s="9"/>
      <x:c r="AE650" s="9"/>
      <x:c r="AF650" s="9"/>
      <x:c r="AG650" s="9" t="str">
        <x:v>pencil sharpener</x:v>
      </x:c>
      <x:c r="AH650" s="9"/>
      <x:c r="AI650" s="11"/>
      <x:c r="AJ650" s="9"/>
      <x:c r="AK650" s="9" t="str">
        <x:v>Eval_Referential_Disambiguation.xlsm</x:v>
      </x:c>
      <x:c r="AL650" s="9" t="str">
        <x:v>MolmoAct2 Results</x:v>
      </x:c>
      <x:c r="AM650" s="9" t="n">
        <x:v>30</x:v>
      </x:c>
      <x:c r="AN650" s="9" t="n">
        <x:v>30</x:v>
      </x:c>
    </x:row>
    <x:row r="651">
      <x:c r="A651" s="9" t="str">
        <x:v>Failure</x:v>
      </x:c>
      <x:c r="B651" s="9" t="str">
        <x:v>Referential Disambiguation</x:v>
      </x:c>
      <x:c r="C651" s="10" t="n">
        <x:v>29</x:v>
      </x:c>
      <x:c r="D651" s="9" t="str">
        <x:v>Pick up the green pencil sharpener and place it in the bowl.</x:v>
      </x:c>
      <x:c r="E651" s="9" t="str">
        <x:v>green pencil sharpener; red pencil sharpener; green pen; crushed Coke can</x:v>
      </x:c>
      <x:c r="F651" s="9" t="str">
        <x:v>green pencil sharpener</x:v>
      </x:c>
      <x:c r="G651" s="9" t="str">
        <x:v>Failed to grasp but went for the green sharpener, which was correct. </x:v>
      </x:c>
      <x:c r="H651" s="9" t="str">
        <x:v>Matched manipulation control</x:v>
      </x:c>
      <x:c r="I651" s="9" t="str">
        <x:v>RD-CT03</x:v>
      </x:c>
      <x:c r="J651" s="9" t="str">
        <x:v>Exact-scene direct-identity manipulation control</x:v>
      </x:c>
      <x:c r="K651" s="9" t="n">
        <x:v>28</x:v>
      </x:c>
      <x:c r="L651" s="9" t="str">
        <x:v>482</x:v>
      </x:c>
      <x:c r="M651" s="9" t="str">
        <x:v>Exact masked-cell training prompt for the same target identity. The evaluation scene and physical endpoint are identical to the paired transfer row.</x:v>
      </x:c>
      <x:c r="N651" s="9" t="n">
        <x:v>2</x:v>
      </x:c>
      <x:c r="O651" s="9" t="str">
        <x:v>Reset the moved object exactly; preserve the scene; change only the instruction.</x:v>
      </x:c>
      <x:c r="P651" s="9" t="str">
        <x:v>Controls recognition and manipulation of the same target without requiring referential reasoning.</x:v>
      </x:c>
      <x:c r="Q651" s="9"/>
      <x:c r="R651" s="10" t="n">
        <x:v>4</x:v>
      </x:c>
      <x:c r="S651" s="10" t="n">
        <x:v>1</x:v>
      </x:c>
      <x:c r="T651" s="9" t="str">
        <x:v>Empty</x:v>
      </x:c>
      <x:c r="U651" s="9"/>
      <x:c r="V651" s="9"/>
      <x:c r="W651" s="9"/>
      <x:c r="X651" s="10"/>
      <x:c r="Y651" s="10"/>
      <x:c r="Z651" s="9"/>
      <x:c r="AA651" s="9"/>
      <x:c r="AB651" s="9" t="str">
        <x:v>direct name</x:v>
      </x:c>
      <x:c r="AC651" s="9"/>
      <x:c r="AD651" s="9"/>
      <x:c r="AE651" s="9"/>
      <x:c r="AF651" s="9"/>
      <x:c r="AG651" s="9" t="str">
        <x:v>pencil sharpener</x:v>
      </x:c>
      <x:c r="AH651" s="9"/>
      <x:c r="AI651" s="11"/>
      <x:c r="AJ651" s="9"/>
      <x:c r="AK651" s="9" t="str">
        <x:v>Eval_Referential_Disambiguation.xlsm</x:v>
      </x:c>
      <x:c r="AL651" s="9" t="str">
        <x:v>MolmoAct2 Results</x:v>
      </x:c>
      <x:c r="AM651" s="9" t="n">
        <x:v>31</x:v>
      </x:c>
      <x:c r="AN651" s="9" t="n">
        <x:v>31</x:v>
      </x:c>
    </x:row>
    <x:row r="652">
      <x:c r="A652" s="9" t="str">
        <x:v>Success</x:v>
      </x:c>
      <x:c r="B652" s="9" t="str">
        <x:v>Referential Disambiguation</x:v>
      </x:c>
      <x:c r="C652" s="10" t="n">
        <x:v>30</x:v>
      </x:c>
      <x:c r="D652" s="9" t="str">
        <x:v>Choose the pencil sharpener located in the middle of the green pen and the crushed Coke can, then put it in the bowl.</x:v>
      </x:c>
      <x:c r="E652" s="9" t="str">
        <x:v>green pencil sharpener; red pencil sharpener; green pen; crushed Coke can</x:v>
      </x:c>
      <x:c r="F652" s="9" t="str">
        <x:v>green pencil sharpener</x:v>
      </x:c>
      <x:c r="G652" s="9"/>
      <x:c r="H652" s="9" t="str">
        <x:v>Language robustness</x:v>
      </x:c>
      <x:c r="I652" s="9" t="str">
        <x:v>RD-CT03</x:v>
      </x:c>
      <x:c r="J652" s="9" t="str">
        <x:v>Primary compositional-transfer prompt paraphrase</x:v>
      </x:c>
      <x:c r="K652" s="9" t="n">
        <x:v>28</x:v>
      </x:c>
      <x:c r="L652" s="9" t="str">
        <x:v>482</x:v>
      </x:c>
      <x:c r="M652" s="9" t="str">
        <x:v>Exact canonical transfer scene and masked trajectory reference; only the instruction wording changes. This remains a separate language diagnostic.</x:v>
      </x:c>
      <x:c r="N652" s="9" t="n">
        <x:v>2</x:v>
      </x:c>
      <x:c r="O652" s="9" t="str">
        <x:v>Reset the moved object exactly; preserve the scene; change only the wording.</x:v>
      </x:c>
      <x:c r="P652" s="9" t="str">
        <x:v>One of 10 exact-scene paraphrases of canonical transfer trials.</x:v>
      </x:c>
      <x:c r="Q652" s="9"/>
      <x:c r="R652" s="10" t="n">
        <x:v>4</x:v>
      </x:c>
      <x:c r="S652" s="10" t="n">
        <x:v>1</x:v>
      </x:c>
      <x:c r="T652" s="9" t="str">
        <x:v>Empty</x:v>
      </x:c>
      <x:c r="U652" s="9"/>
      <x:c r="V652" s="9"/>
      <x:c r="W652" s="9"/>
      <x:c r="X652" s="10"/>
      <x:c r="Y652" s="10"/>
      <x:c r="Z652" s="9"/>
      <x:c r="AA652" s="9"/>
      <x:c r="AB652" s="9" t="str">
        <x:v>between</x:v>
      </x:c>
      <x:c r="AC652" s="9"/>
      <x:c r="AD652" s="9"/>
      <x:c r="AE652" s="9"/>
      <x:c r="AF652" s="9"/>
      <x:c r="AG652" s="9" t="str">
        <x:v>pencil sharpener</x:v>
      </x:c>
      <x:c r="AH652" s="9"/>
      <x:c r="AI652" s="11"/>
      <x:c r="AJ652" s="9"/>
      <x:c r="AK652" s="9" t="str">
        <x:v>Eval_Referential_Disambiguation.xlsm</x:v>
      </x:c>
      <x:c r="AL652" s="9" t="str">
        <x:v>MolmoAct2 Results</x:v>
      </x:c>
      <x:c r="AM652" s="9" t="n">
        <x:v>32</x:v>
      </x:c>
      <x:c r="AN652" s="9" t="n">
        <x:v>32</x:v>
      </x:c>
    </x:row>
    <x:row r="653">
      <x:c r="A653" s="9" t="str">
        <x:v>Success</x:v>
      </x:c>
      <x:c r="B653" s="9" t="str">
        <x:v>Referential Disambiguation</x:v>
      </x:c>
      <x:c r="C653" s="10" t="n">
        <x:v>31</x:v>
      </x:c>
      <x:c r="D653" s="9" t="str">
        <x:v>Take the green pencil sharpener and set it in the bowl.</x:v>
      </x:c>
      <x:c r="E653" s="9" t="str">
        <x:v>green pencil sharpener; red pencil sharpener; green pen; crushed Coke can</x:v>
      </x:c>
      <x:c r="F653" s="9" t="str">
        <x:v>green pencil sharpener</x:v>
      </x:c>
      <x:c r="G653" s="9"/>
      <x:c r="H653" s="9" t="str">
        <x:v>Language robustness</x:v>
      </x:c>
      <x:c r="I653" s="9" t="str">
        <x:v>RD-CT03</x:v>
      </x:c>
      <x:c r="J653" s="9" t="str">
        <x:v>Matched-control direct-name prompt paraphrase</x:v>
      </x:c>
      <x:c r="K653" s="9" t="n">
        <x:v>29</x:v>
      </x:c>
      <x:c r="L653" s="9" t="str">
        <x:v>482</x:v>
      </x:c>
      <x:c r="M653" s="9" t="str">
        <x:v>Exact matched-control scene and target; only the direct-name instruction wording changes.</x:v>
      </x:c>
      <x:c r="N653" s="9" t="n">
        <x:v>2</x:v>
      </x:c>
      <x:c r="O653" s="9" t="str">
        <x:v>Reset the moved object exactly; preserve the scene; change only the wording.</x:v>
      </x:c>
      <x:c r="P653" s="9" t="str">
        <x:v>One of 10 exact-scene paraphrases of matched manipulation controls.</x:v>
      </x:c>
      <x:c r="Q653" s="9"/>
      <x:c r="R653" s="10" t="n">
        <x:v>4</x:v>
      </x:c>
      <x:c r="S653" s="10" t="n">
        <x:v>1</x:v>
      </x:c>
      <x:c r="T653" s="9" t="str">
        <x:v>Empty</x:v>
      </x:c>
      <x:c r="U653" s="9"/>
      <x:c r="V653" s="9"/>
      <x:c r="W653" s="9"/>
      <x:c r="X653" s="10"/>
      <x:c r="Y653" s="10"/>
      <x:c r="Z653" s="9"/>
      <x:c r="AA653" s="9"/>
      <x:c r="AB653" s="9" t="str">
        <x:v>direct-name paraphrase</x:v>
      </x:c>
      <x:c r="AC653" s="9"/>
      <x:c r="AD653" s="9"/>
      <x:c r="AE653" s="9"/>
      <x:c r="AF653" s="9"/>
      <x:c r="AG653" s="9" t="str">
        <x:v>pencil sharpener</x:v>
      </x:c>
      <x:c r="AH653" s="9"/>
      <x:c r="AI653" s="11"/>
      <x:c r="AJ653" s="9"/>
      <x:c r="AK653" s="9" t="str">
        <x:v>Eval_Referential_Disambiguation.xlsm</x:v>
      </x:c>
      <x:c r="AL653" s="9" t="str">
        <x:v>MolmoAct2 Results</x:v>
      </x:c>
      <x:c r="AM653" s="9" t="n">
        <x:v>33</x:v>
      </x:c>
      <x:c r="AN653" s="9" t="n">
        <x:v>33</x:v>
      </x:c>
    </x:row>
    <x:row r="654">
      <x:c r="A654" s="9" t="str">
        <x:v>Success</x:v>
      </x:c>
      <x:c r="B654" s="9" t="str">
        <x:v>Referential Disambiguation</x:v>
      </x:c>
      <x:c r="C654" s="10" t="n">
        <x:v>32</x:v>
      </x:c>
      <x:c r="D654" s="9" t="str">
        <x:v>Put the airplane toy furthest from the crushed Coke can in the bowl.</x:v>
      </x:c>
      <x:c r="E654" s="9" t="str">
        <x:v>airplane toy with propellers; airplane toy without propellers; crushed Coke can; green pen</x:v>
      </x:c>
      <x:c r="F654" s="9" t="str">
        <x:v>airplane toy with propellers</x:v>
      </x:c>
      <x:c r="G654" s="9"/>
      <x:c r="H654" s="9" t="str">
        <x:v>Concept/compositional transfer</x:v>
      </x:c>
      <x:c r="I654" s="9" t="str">
        <x:v>RD-CT04</x:v>
      </x:c>
      <x:c r="J654" s="9" t="str">
        <x:v>Primary held-out relation × candidate-category composition — Put</x:v>
      </x:c>
      <x:c r="K654" s="9"/>
      <x:c r="L654" s="9" t="str">
        <x:v>568</x:v>
      </x:c>
      <x:c r="M654" s="9" t="str">
        <x:v>Masked source trajectory: the target identity and physical manipulation are trained under a direct-name prompt, while this relation × candidate-category composition is intentionally absent.</x:v>
      </x:c>
      <x:c r="N654" s="9" t="n">
        <x:v>2</x:v>
      </x:c>
      <x:c r="O654" s="9" t="str">
        <x:v>Place the listed objects. Arrange Expected Target as the unique answer to the prompt; keep the bowl empty and save a reference image.</x:v>
      </x:c>
      <x:c r="P654" s="9" t="str">
        <x:v>Both candidates are present. The held-out relation is the only information that identifies the target.</x:v>
      </x:c>
      <x:c r="Q654" s="9"/>
      <x:c r="R654" s="10" t="n">
        <x:v>4</x:v>
      </x:c>
      <x:c r="S654" s="10" t="n">
        <x:v>1</x:v>
      </x:c>
      <x:c r="T654" s="9" t="str">
        <x:v>Empty</x:v>
      </x:c>
      <x:c r="U654" s="9"/>
      <x:c r="V654" s="9"/>
      <x:c r="W654" s="9"/>
      <x:c r="X654" s="10"/>
      <x:c r="Y654" s="10"/>
      <x:c r="Z654" s="9"/>
      <x:c r="AA654" s="9"/>
      <x:c r="AB654" s="9" t="str">
        <x:v>furthest</x:v>
      </x:c>
      <x:c r="AC654" s="9"/>
      <x:c r="AD654" s="9"/>
      <x:c r="AE654" s="9"/>
      <x:c r="AF654" s="9"/>
      <x:c r="AG654" s="9" t="str">
        <x:v>airplane toy</x:v>
      </x:c>
      <x:c r="AH654" s="9"/>
      <x:c r="AI654" s="11"/>
      <x:c r="AJ654" s="9"/>
      <x:c r="AK654" s="9" t="str">
        <x:v>Eval_Referential_Disambiguation.xlsm</x:v>
      </x:c>
      <x:c r="AL654" s="9" t="str">
        <x:v>MolmoAct2 Results</x:v>
      </x:c>
      <x:c r="AM654" s="9" t="n">
        <x:v>34</x:v>
      </x:c>
      <x:c r="AN654" s="9" t="n">
        <x:v>34</x:v>
      </x:c>
    </x:row>
    <x:row r="655">
      <x:c r="A655" s="9" t="str">
        <x:v>Success</x:v>
      </x:c>
      <x:c r="B655" s="9" t="str">
        <x:v>Referential Disambiguation</x:v>
      </x:c>
      <x:c r="C655" s="10" t="n">
        <x:v>33</x:v>
      </x:c>
      <x:c r="D655" s="9" t="str">
        <x:v>Move the airplane toy with propellers into the bowl.</x:v>
      </x:c>
      <x:c r="E655" s="9" t="str">
        <x:v>airplane toy with propellers; airplane toy without propellers; crushed Coke can; green pen</x:v>
      </x:c>
      <x:c r="F655" s="9" t="str">
        <x:v>airplane toy with propellers</x:v>
      </x:c>
      <x:c r="G655" s="9"/>
      <x:c r="H655" s="9" t="str">
        <x:v>Matched manipulation control</x:v>
      </x:c>
      <x:c r="I655" s="9" t="str">
        <x:v>RD-CT04</x:v>
      </x:c>
      <x:c r="J655" s="9" t="str">
        <x:v>Exact-scene direct-identity manipulation control</x:v>
      </x:c>
      <x:c r="K655" s="9" t="n">
        <x:v>32</x:v>
      </x:c>
      <x:c r="L655" s="9" t="str">
        <x:v>568</x:v>
      </x:c>
      <x:c r="M655" s="9" t="str">
        <x:v>Exact masked-cell training prompt for the same target identity. The evaluation scene and physical endpoint are identical to the paired transfer row.</x:v>
      </x:c>
      <x:c r="N655" s="9" t="n">
        <x:v>2</x:v>
      </x:c>
      <x:c r="O655" s="9" t="str">
        <x:v>Reset the moved object exactly; preserve the scene; change only the instruction.</x:v>
      </x:c>
      <x:c r="P655" s="9" t="str">
        <x:v>Controls recognition and manipulation of the same target without requiring referential reasoning.</x:v>
      </x:c>
      <x:c r="Q655" s="9"/>
      <x:c r="R655" s="10" t="n">
        <x:v>4</x:v>
      </x:c>
      <x:c r="S655" s="10" t="n">
        <x:v>1</x:v>
      </x:c>
      <x:c r="T655" s="9" t="str">
        <x:v>Empty</x:v>
      </x:c>
      <x:c r="U655" s="9"/>
      <x:c r="V655" s="9"/>
      <x:c r="W655" s="9"/>
      <x:c r="X655" s="10"/>
      <x:c r="Y655" s="10"/>
      <x:c r="Z655" s="9"/>
      <x:c r="AA655" s="9"/>
      <x:c r="AB655" s="9" t="str">
        <x:v>direct name</x:v>
      </x:c>
      <x:c r="AC655" s="9"/>
      <x:c r="AD655" s="9"/>
      <x:c r="AE655" s="9"/>
      <x:c r="AF655" s="9"/>
      <x:c r="AG655" s="9" t="str">
        <x:v>airplane toy</x:v>
      </x:c>
      <x:c r="AH655" s="9"/>
      <x:c r="AI655" s="11"/>
      <x:c r="AJ655" s="9"/>
      <x:c r="AK655" s="9" t="str">
        <x:v>Eval_Referential_Disambiguation.xlsm</x:v>
      </x:c>
      <x:c r="AL655" s="9" t="str">
        <x:v>MolmoAct2 Results</x:v>
      </x:c>
      <x:c r="AM655" s="9" t="n">
        <x:v>35</x:v>
      </x:c>
      <x:c r="AN655" s="9" t="n">
        <x:v>35</x:v>
      </x:c>
    </x:row>
    <x:row r="656">
      <x:c r="A656" s="9" t="str">
        <x:v>Success</x:v>
      </x:c>
      <x:c r="B656" s="9" t="str">
        <x:v>Referential Disambiguation</x:v>
      </x:c>
      <x:c r="C656" s="10" t="n">
        <x:v>34</x:v>
      </x:c>
      <x:c r="D656" s="9" t="str">
        <x:v>Place the airplane toy with the greatest distance from the crushed Coke can in the bowl.</x:v>
      </x:c>
      <x:c r="E656" s="9" t="str">
        <x:v>airplane toy with propellers; airplane toy without propellers; crushed Coke can; green pen</x:v>
      </x:c>
      <x:c r="F656" s="9" t="str">
        <x:v>airplane toy with propellers</x:v>
      </x:c>
      <x:c r="G656" s="9"/>
      <x:c r="H656" s="9" t="str">
        <x:v>Language robustness</x:v>
      </x:c>
      <x:c r="I656" s="9" t="str">
        <x:v>RD-CT04</x:v>
      </x:c>
      <x:c r="J656" s="9" t="str">
        <x:v>Primary compositional-transfer prompt paraphrase</x:v>
      </x:c>
      <x:c r="K656" s="9" t="n">
        <x:v>32</x:v>
      </x:c>
      <x:c r="L656" s="9" t="str">
        <x:v>568</x:v>
      </x:c>
      <x:c r="M656" s="9" t="str">
        <x:v>Exact canonical transfer scene and masked trajectory reference; only the instruction wording changes. This remains a separate language diagnostic.</x:v>
      </x:c>
      <x:c r="N656" s="9" t="n">
        <x:v>2</x:v>
      </x:c>
      <x:c r="O656" s="9" t="str">
        <x:v>Reset the moved object exactly; preserve the scene; change only the wording.</x:v>
      </x:c>
      <x:c r="P656" s="9" t="str">
        <x:v>One of 10 exact-scene paraphrases of canonical transfer trials.</x:v>
      </x:c>
      <x:c r="Q656" s="9"/>
      <x:c r="R656" s="10" t="n">
        <x:v>4</x:v>
      </x:c>
      <x:c r="S656" s="10" t="n">
        <x:v>1</x:v>
      </x:c>
      <x:c r="T656" s="9" t="str">
        <x:v>Empty</x:v>
      </x:c>
      <x:c r="U656" s="9"/>
      <x:c r="V656" s="9"/>
      <x:c r="W656" s="9"/>
      <x:c r="X656" s="10"/>
      <x:c r="Y656" s="10"/>
      <x:c r="Z656" s="9"/>
      <x:c r="AA656" s="9"/>
      <x:c r="AB656" s="9" t="str">
        <x:v>furthest</x:v>
      </x:c>
      <x:c r="AC656" s="9"/>
      <x:c r="AD656" s="9"/>
      <x:c r="AE656" s="9"/>
      <x:c r="AF656" s="9"/>
      <x:c r="AG656" s="9" t="str">
        <x:v>airplane toy</x:v>
      </x:c>
      <x:c r="AH656" s="9"/>
      <x:c r="AI656" s="11"/>
      <x:c r="AJ656" s="9"/>
      <x:c r="AK656" s="9" t="str">
        <x:v>Eval_Referential_Disambiguation.xlsm</x:v>
      </x:c>
      <x:c r="AL656" s="9" t="str">
        <x:v>MolmoAct2 Results</x:v>
      </x:c>
      <x:c r="AM656" s="9" t="n">
        <x:v>36</x:v>
      </x:c>
      <x:c r="AN656" s="9" t="n">
        <x:v>36</x:v>
      </x:c>
    </x:row>
    <x:row r="657">
      <x:c r="A657" s="9" t="str">
        <x:v>Success</x:v>
      </x:c>
      <x:c r="B657" s="9" t="str">
        <x:v>Referential Disambiguation</x:v>
      </x:c>
      <x:c r="C657" s="10" t="n">
        <x:v>35</x:v>
      </x:c>
      <x:c r="D657" s="9" t="str">
        <x:v>Transfer the airplane toy with propellers into the bowl.</x:v>
      </x:c>
      <x:c r="E657" s="9" t="str">
        <x:v>airplane toy with propellers; airplane toy without propellers; crushed Coke can; green pen</x:v>
      </x:c>
      <x:c r="F657" s="9" t="str">
        <x:v>airplane toy with propellers</x:v>
      </x:c>
      <x:c r="G657" s="9"/>
      <x:c r="H657" s="9" t="str">
        <x:v>Language robustness</x:v>
      </x:c>
      <x:c r="I657" s="9" t="str">
        <x:v>RD-CT04</x:v>
      </x:c>
      <x:c r="J657" s="9" t="str">
        <x:v>Matched-control direct-name prompt paraphrase</x:v>
      </x:c>
      <x:c r="K657" s="9" t="n">
        <x:v>33</x:v>
      </x:c>
      <x:c r="L657" s="9" t="str">
        <x:v>568</x:v>
      </x:c>
      <x:c r="M657" s="9" t="str">
        <x:v>Exact matched-control scene and target; only the direct-name instruction wording changes.</x:v>
      </x:c>
      <x:c r="N657" s="9" t="n">
        <x:v>2</x:v>
      </x:c>
      <x:c r="O657" s="9" t="str">
        <x:v>Reset the moved object exactly; preserve the scene; change only the wording.</x:v>
      </x:c>
      <x:c r="P657" s="9" t="str">
        <x:v>One of 10 exact-scene paraphrases of matched manipulation controls.</x:v>
      </x:c>
      <x:c r="Q657" s="9"/>
      <x:c r="R657" s="10" t="n">
        <x:v>4</x:v>
      </x:c>
      <x:c r="S657" s="10" t="n">
        <x:v>1</x:v>
      </x:c>
      <x:c r="T657" s="9" t="str">
        <x:v>Empty</x:v>
      </x:c>
      <x:c r="U657" s="9"/>
      <x:c r="V657" s="9"/>
      <x:c r="W657" s="9"/>
      <x:c r="X657" s="10"/>
      <x:c r="Y657" s="10"/>
      <x:c r="Z657" s="9"/>
      <x:c r="AA657" s="9"/>
      <x:c r="AB657" s="9" t="str">
        <x:v>direct-name paraphrase</x:v>
      </x:c>
      <x:c r="AC657" s="9"/>
      <x:c r="AD657" s="9"/>
      <x:c r="AE657" s="9"/>
      <x:c r="AF657" s="9"/>
      <x:c r="AG657" s="9" t="str">
        <x:v>airplane toy</x:v>
      </x:c>
      <x:c r="AH657" s="9"/>
      <x:c r="AI657" s="11"/>
      <x:c r="AJ657" s="9"/>
      <x:c r="AK657" s="9" t="str">
        <x:v>Eval_Referential_Disambiguation.xlsm</x:v>
      </x:c>
      <x:c r="AL657" s="9" t="str">
        <x:v>MolmoAct2 Results</x:v>
      </x:c>
      <x:c r="AM657" s="9" t="n">
        <x:v>37</x:v>
      </x:c>
      <x:c r="AN657" s="9" t="n">
        <x:v>37</x:v>
      </x:c>
    </x:row>
    <x:row r="658">
      <x:c r="A658" s="9" t="str">
        <x:v>Success</x:v>
      </x:c>
      <x:c r="B658" s="9" t="str">
        <x:v>Referential Disambiguation</x:v>
      </x:c>
      <x:c r="C658" s="10" t="n">
        <x:v>36</x:v>
      </x:c>
      <x:c r="D658" s="9" t="str">
        <x:v>Put the crushed soda can closest to the airplane toy with propellers in the bowl.</x:v>
      </x:c>
      <x:c r="E658" s="9" t="str">
        <x:v>crushed Coke can; crushed Pepsi can; airplane toy with propellers; green pencil sharpener</x:v>
      </x:c>
      <x:c r="F658" s="9" t="str">
        <x:v>crushed Coke can</x:v>
      </x:c>
      <x:c r="G658" s="9"/>
      <x:c r="H658" s="9" t="str">
        <x:v>Concept/compositional transfer</x:v>
      </x:c>
      <x:c r="I658" s="9" t="str">
        <x:v>RD-CT05</x:v>
      </x:c>
      <x:c r="J658" s="9" t="str">
        <x:v>Primary held-out relation × candidate-category composition — Put</x:v>
      </x:c>
      <x:c r="K658" s="9"/>
      <x:c r="L658" s="9" t="str">
        <x:v>402</x:v>
      </x:c>
      <x:c r="M658" s="9" t="str">
        <x:v>Masked source trajectory: the target identity and physical manipulation are trained under a direct-name prompt, while this relation × candidate-category composition is intentionally absent.</x:v>
      </x:c>
      <x:c r="N658" s="9" t="n">
        <x:v>2</x:v>
      </x:c>
      <x:c r="O658" s="9" t="str">
        <x:v>Place the listed objects. Arrange Expected Target as the unique answer to the prompt; keep the bowl empty and save a reference image.</x:v>
      </x:c>
      <x:c r="P658" s="9" t="str">
        <x:v>Both candidates are present. The held-out relation is the only information that identifies the target.</x:v>
      </x:c>
      <x:c r="Q658" s="9"/>
      <x:c r="R658" s="10" t="n">
        <x:v>4</x:v>
      </x:c>
      <x:c r="S658" s="10" t="n">
        <x:v>1</x:v>
      </x:c>
      <x:c r="T658" s="9" t="str">
        <x:v>Empty</x:v>
      </x:c>
      <x:c r="U658" s="9"/>
      <x:c r="V658" s="9"/>
      <x:c r="W658" s="9"/>
      <x:c r="X658" s="10"/>
      <x:c r="Y658" s="10"/>
      <x:c r="Z658" s="9"/>
      <x:c r="AA658" s="9"/>
      <x:c r="AB658" s="9" t="str">
        <x:v>closest</x:v>
      </x:c>
      <x:c r="AC658" s="9"/>
      <x:c r="AD658" s="9"/>
      <x:c r="AE658" s="9"/>
      <x:c r="AF658" s="9"/>
      <x:c r="AG658" s="9" t="str">
        <x:v>crushed soda can</x:v>
      </x:c>
      <x:c r="AH658" s="9"/>
      <x:c r="AI658" s="11"/>
      <x:c r="AJ658" s="9"/>
      <x:c r="AK658" s="9" t="str">
        <x:v>Eval_Referential_Disambiguation.xlsm</x:v>
      </x:c>
      <x:c r="AL658" s="9" t="str">
        <x:v>MolmoAct2 Results</x:v>
      </x:c>
      <x:c r="AM658" s="9" t="n">
        <x:v>38</x:v>
      </x:c>
      <x:c r="AN658" s="9" t="n">
        <x:v>38</x:v>
      </x:c>
    </x:row>
    <x:row r="659">
      <x:c r="A659" s="9" t="str">
        <x:v>Success</x:v>
      </x:c>
      <x:c r="B659" s="9" t="str">
        <x:v>Referential Disambiguation</x:v>
      </x:c>
      <x:c r="C659" s="10" t="n">
        <x:v>37</x:v>
      </x:c>
      <x:c r="D659" s="9" t="str">
        <x:v>Move the crushed Coke can into the bowl.</x:v>
      </x:c>
      <x:c r="E659" s="9" t="str">
        <x:v>crushed Coke can; crushed Pepsi can; airplane toy with propellers; green pencil sharpener</x:v>
      </x:c>
      <x:c r="F659" s="9" t="str">
        <x:v>crushed Coke can</x:v>
      </x:c>
      <x:c r="G659" s="9"/>
      <x:c r="H659" s="9" t="str">
        <x:v>Matched manipulation control</x:v>
      </x:c>
      <x:c r="I659" s="9" t="str">
        <x:v>RD-CT05</x:v>
      </x:c>
      <x:c r="J659" s="9" t="str">
        <x:v>Exact-scene direct-identity manipulation control</x:v>
      </x:c>
      <x:c r="K659" s="9" t="n">
        <x:v>36</x:v>
      </x:c>
      <x:c r="L659" s="9" t="str">
        <x:v>402</x:v>
      </x:c>
      <x:c r="M659" s="9" t="str">
        <x:v>Exact masked-cell training prompt for the same target identity. The evaluation scene and physical endpoint are identical to the paired transfer row.</x:v>
      </x:c>
      <x:c r="N659" s="9" t="n">
        <x:v>2</x:v>
      </x:c>
      <x:c r="O659" s="9" t="str">
        <x:v>Reset the moved object exactly; preserve the scene; change only the instruction.</x:v>
      </x:c>
      <x:c r="P659" s="9" t="str">
        <x:v>Controls recognition and manipulation of the same target without requiring referential reasoning.</x:v>
      </x:c>
      <x:c r="Q659" s="9"/>
      <x:c r="R659" s="10" t="n">
        <x:v>4</x:v>
      </x:c>
      <x:c r="S659" s="10" t="n">
        <x:v>1</x:v>
      </x:c>
      <x:c r="T659" s="9" t="str">
        <x:v>Empty</x:v>
      </x:c>
      <x:c r="U659" s="9"/>
      <x:c r="V659" s="9"/>
      <x:c r="W659" s="9"/>
      <x:c r="X659" s="10"/>
      <x:c r="Y659" s="10"/>
      <x:c r="Z659" s="9"/>
      <x:c r="AA659" s="9"/>
      <x:c r="AB659" s="9" t="str">
        <x:v>direct name</x:v>
      </x:c>
      <x:c r="AC659" s="9"/>
      <x:c r="AD659" s="9"/>
      <x:c r="AE659" s="9"/>
      <x:c r="AF659" s="9"/>
      <x:c r="AG659" s="9" t="str">
        <x:v>crushed soda can</x:v>
      </x:c>
      <x:c r="AH659" s="9"/>
      <x:c r="AI659" s="11"/>
      <x:c r="AJ659" s="9"/>
      <x:c r="AK659" s="9" t="str">
        <x:v>Eval_Referential_Disambiguation.xlsm</x:v>
      </x:c>
      <x:c r="AL659" s="9" t="str">
        <x:v>MolmoAct2 Results</x:v>
      </x:c>
      <x:c r="AM659" s="9" t="n">
        <x:v>39</x:v>
      </x:c>
      <x:c r="AN659" s="9" t="n">
        <x:v>39</x:v>
      </x:c>
    </x:row>
    <x:row r="660">
      <x:c r="A660" s="9" t="str">
        <x:v>Success</x:v>
      </x:c>
      <x:c r="B660" s="9" t="str">
        <x:v>Referential Disambiguation</x:v>
      </x:c>
      <x:c r="C660" s="10" t="n">
        <x:v>38</x:v>
      </x:c>
      <x:c r="D660" s="9" t="str">
        <x:v>Place the crushed soda can with the shortest distance to the airplane toy with propellers in the bowl.</x:v>
      </x:c>
      <x:c r="E660" s="9" t="str">
        <x:v>crushed Coke can; crushed Pepsi can; airplane toy with propellers; green pencil sharpener</x:v>
      </x:c>
      <x:c r="F660" s="9" t="str">
        <x:v>crushed Coke can</x:v>
      </x:c>
      <x:c r="G660" s="9"/>
      <x:c r="H660" s="9" t="str">
        <x:v>Language robustness</x:v>
      </x:c>
      <x:c r="I660" s="9" t="str">
        <x:v>RD-CT05</x:v>
      </x:c>
      <x:c r="J660" s="9" t="str">
        <x:v>Primary compositional-transfer prompt paraphrase</x:v>
      </x:c>
      <x:c r="K660" s="9" t="n">
        <x:v>36</x:v>
      </x:c>
      <x:c r="L660" s="9" t="str">
        <x:v>402</x:v>
      </x:c>
      <x:c r="M660" s="9" t="str">
        <x:v>Exact canonical transfer scene and masked trajectory reference; only the instruction wording changes. This remains a separate language diagnostic.</x:v>
      </x:c>
      <x:c r="N660" s="9" t="n">
        <x:v>2</x:v>
      </x:c>
      <x:c r="O660" s="9" t="str">
        <x:v>Reset the moved object exactly; preserve the scene; change only the wording.</x:v>
      </x:c>
      <x:c r="P660" s="9" t="str">
        <x:v>One of 10 exact-scene paraphrases of canonical transfer trials.</x:v>
      </x:c>
      <x:c r="Q660" s="9"/>
      <x:c r="R660" s="10" t="n">
        <x:v>4</x:v>
      </x:c>
      <x:c r="S660" s="10" t="n">
        <x:v>1</x:v>
      </x:c>
      <x:c r="T660" s="9" t="str">
        <x:v>Empty</x:v>
      </x:c>
      <x:c r="U660" s="9"/>
      <x:c r="V660" s="9"/>
      <x:c r="W660" s="9"/>
      <x:c r="X660" s="10"/>
      <x:c r="Y660" s="10"/>
      <x:c r="Z660" s="9"/>
      <x:c r="AA660" s="9"/>
      <x:c r="AB660" s="9" t="str">
        <x:v>closest</x:v>
      </x:c>
      <x:c r="AC660" s="9"/>
      <x:c r="AD660" s="9"/>
      <x:c r="AE660" s="9"/>
      <x:c r="AF660" s="9"/>
      <x:c r="AG660" s="9" t="str">
        <x:v>crushed soda can</x:v>
      </x:c>
      <x:c r="AH660" s="9"/>
      <x:c r="AI660" s="11"/>
      <x:c r="AJ660" s="9"/>
      <x:c r="AK660" s="9" t="str">
        <x:v>Eval_Referential_Disambiguation.xlsm</x:v>
      </x:c>
      <x:c r="AL660" s="9" t="str">
        <x:v>MolmoAct2 Results</x:v>
      </x:c>
      <x:c r="AM660" s="9" t="n">
        <x:v>40</x:v>
      </x:c>
      <x:c r="AN660" s="9" t="n">
        <x:v>40</x:v>
      </x:c>
    </x:row>
    <x:row r="661">
      <x:c r="A661" s="9" t="str">
        <x:v>Success</x:v>
      </x:c>
      <x:c r="B661" s="9" t="str">
        <x:v>Referential Disambiguation</x:v>
      </x:c>
      <x:c r="C661" s="10" t="n">
        <x:v>39</x:v>
      </x:c>
      <x:c r="D661" s="9" t="str">
        <x:v>Transfer the crushed Coke can into the bowl.</x:v>
      </x:c>
      <x:c r="E661" s="9" t="str">
        <x:v>crushed Coke can; crushed Pepsi can; airplane toy with propellers; green pencil sharpener</x:v>
      </x:c>
      <x:c r="F661" s="9" t="str">
        <x:v>crushed Coke can</x:v>
      </x:c>
      <x:c r="G661" s="9"/>
      <x:c r="H661" s="9" t="str">
        <x:v>Language robustness</x:v>
      </x:c>
      <x:c r="I661" s="9" t="str">
        <x:v>RD-CT05</x:v>
      </x:c>
      <x:c r="J661" s="9" t="str">
        <x:v>Matched-control direct-name prompt paraphrase</x:v>
      </x:c>
      <x:c r="K661" s="9" t="n">
        <x:v>37</x:v>
      </x:c>
      <x:c r="L661" s="9" t="str">
        <x:v>402</x:v>
      </x:c>
      <x:c r="M661" s="9" t="str">
        <x:v>Exact matched-control scene and target; only the direct-name instruction wording changes.</x:v>
      </x:c>
      <x:c r="N661" s="9" t="n">
        <x:v>2</x:v>
      </x:c>
      <x:c r="O661" s="9" t="str">
        <x:v>Reset the moved object exactly; preserve the scene; change only the wording.</x:v>
      </x:c>
      <x:c r="P661" s="9" t="str">
        <x:v>One of 10 exact-scene paraphrases of matched manipulation controls.</x:v>
      </x:c>
      <x:c r="Q661" s="9"/>
      <x:c r="R661" s="10" t="n">
        <x:v>4</x:v>
      </x:c>
      <x:c r="S661" s="10" t="n">
        <x:v>1</x:v>
      </x:c>
      <x:c r="T661" s="9" t="str">
        <x:v>Empty</x:v>
      </x:c>
      <x:c r="U661" s="9"/>
      <x:c r="V661" s="9"/>
      <x:c r="W661" s="9"/>
      <x:c r="X661" s="10"/>
      <x:c r="Y661" s="10"/>
      <x:c r="Z661" s="9"/>
      <x:c r="AA661" s="9"/>
      <x:c r="AB661" s="9" t="str">
        <x:v>direct-name paraphrase</x:v>
      </x:c>
      <x:c r="AC661" s="9"/>
      <x:c r="AD661" s="9"/>
      <x:c r="AE661" s="9"/>
      <x:c r="AF661" s="9"/>
      <x:c r="AG661" s="9" t="str">
        <x:v>crushed soda can</x:v>
      </x:c>
      <x:c r="AH661" s="9"/>
      <x:c r="AI661" s="11"/>
      <x:c r="AJ661" s="9"/>
      <x:c r="AK661" s="9" t="str">
        <x:v>Eval_Referential_Disambiguation.xlsm</x:v>
      </x:c>
      <x:c r="AL661" s="9" t="str">
        <x:v>MolmoAct2 Results</x:v>
      </x:c>
      <x:c r="AM661" s="9" t="n">
        <x:v>41</x:v>
      </x:c>
      <x:c r="AN661" s="9" t="n">
        <x:v>41</x:v>
      </x:c>
    </x:row>
    <x:row r="662">
      <x:c r="A662" s="9" t="str">
        <x:v>Success</x:v>
      </x:c>
      <x:c r="B662" s="9" t="str">
        <x:v>Referential Disambiguation</x:v>
      </x:c>
      <x:c r="C662" s="10" t="n">
        <x:v>40</x:v>
      </x:c>
      <x:c r="D662" s="9" t="str">
        <x:v>Put the pencil sharpener between the airplane toy with propellers and the yellow pen in the bowl.</x:v>
      </x:c>
      <x:c r="E662" s="9" t="str">
        <x:v>green pencil sharpener; red pencil sharpener; airplane toy with propellers; yellow pen; airplane toy without propellers</x:v>
      </x:c>
      <x:c r="F662" s="9" t="str">
        <x:v>green pencil sharpener</x:v>
      </x:c>
      <x:c r="G662" s="9"/>
      <x:c r="H662" s="9" t="str">
        <x:v>Concept/compositional transfer</x:v>
      </x:c>
      <x:c r="I662" s="9" t="str">
        <x:v>RD-CT06</x:v>
      </x:c>
      <x:c r="J662" s="9" t="str">
        <x:v>Primary held-out relation × candidate-category composition — Put</x:v>
      </x:c>
      <x:c r="K662" s="9"/>
      <x:c r="L662" s="9" t="str">
        <x:v>483</x:v>
      </x:c>
      <x:c r="M662" s="9" t="str">
        <x:v>Masked source trajectory: the target identity and physical manipulation are trained under a direct-name prompt, while this relation × candidate-category composition is intentionally absent.</x:v>
      </x:c>
      <x:c r="N662" s="9" t="n">
        <x:v>2</x:v>
      </x:c>
      <x:c r="O662" s="9" t="str">
        <x:v>Place the listed objects. Arrange Expected Target as the unique answer to the prompt; keep the bowl empty and save a reference image.</x:v>
      </x:c>
      <x:c r="P662" s="9" t="str">
        <x:v>Both candidates are present. The held-out relation is the only information that identifies the target.</x:v>
      </x:c>
      <x:c r="Q662" s="9"/>
      <x:c r="R662" s="10" t="n">
        <x:v>5</x:v>
      </x:c>
      <x:c r="S662" s="10" t="n">
        <x:v>1</x:v>
      </x:c>
      <x:c r="T662" s="9" t="str">
        <x:v>Empty</x:v>
      </x:c>
      <x:c r="U662" s="9"/>
      <x:c r="V662" s="9"/>
      <x:c r="W662" s="9"/>
      <x:c r="X662" s="10"/>
      <x:c r="Y662" s="10"/>
      <x:c r="Z662" s="9"/>
      <x:c r="AA662" s="9"/>
      <x:c r="AB662" s="9" t="str">
        <x:v>between</x:v>
      </x:c>
      <x:c r="AC662" s="9"/>
      <x:c r="AD662" s="9"/>
      <x:c r="AE662" s="9"/>
      <x:c r="AF662" s="9"/>
      <x:c r="AG662" s="9" t="str">
        <x:v>pencil sharpener</x:v>
      </x:c>
      <x:c r="AH662" s="9"/>
      <x:c r="AI662" s="11"/>
      <x:c r="AJ662" s="9"/>
      <x:c r="AK662" s="9" t="str">
        <x:v>Eval_Referential_Disambiguation.xlsm</x:v>
      </x:c>
      <x:c r="AL662" s="9" t="str">
        <x:v>MolmoAct2 Results</x:v>
      </x:c>
      <x:c r="AM662" s="9" t="n">
        <x:v>42</x:v>
      </x:c>
      <x:c r="AN662" s="9" t="n">
        <x:v>42</x:v>
      </x:c>
    </x:row>
    <x:row r="663">
      <x:c r="A663" s="9" t="str">
        <x:v>Success</x:v>
      </x:c>
      <x:c r="B663" s="9" t="str">
        <x:v>Referential Disambiguation</x:v>
      </x:c>
      <x:c r="C663" s="10" t="n">
        <x:v>41</x:v>
      </x:c>
      <x:c r="D663" s="9" t="str">
        <x:v>Move the green pencil sharpener into the bowl.</x:v>
      </x:c>
      <x:c r="E663" s="9" t="str">
        <x:v>green pencil sharpener; red pencil sharpener; airplane toy with propellers; yellow pen; airplane toy without propellers</x:v>
      </x:c>
      <x:c r="F663" s="9" t="str">
        <x:v>green pencil sharpener</x:v>
      </x:c>
      <x:c r="G663" s="9"/>
      <x:c r="H663" s="9" t="str">
        <x:v>Matched manipulation control</x:v>
      </x:c>
      <x:c r="I663" s="9" t="str">
        <x:v>RD-CT06</x:v>
      </x:c>
      <x:c r="J663" s="9" t="str">
        <x:v>Exact-scene direct-identity manipulation control</x:v>
      </x:c>
      <x:c r="K663" s="9" t="n">
        <x:v>40</x:v>
      </x:c>
      <x:c r="L663" s="9" t="str">
        <x:v>483</x:v>
      </x:c>
      <x:c r="M663" s="9" t="str">
        <x:v>Exact masked-cell training prompt for the same target identity. The evaluation scene and physical endpoint are identical to the paired transfer row.</x:v>
      </x:c>
      <x:c r="N663" s="9" t="n">
        <x:v>2</x:v>
      </x:c>
      <x:c r="O663" s="9" t="str">
        <x:v>Reset the moved object exactly; preserve the scene; change only the instruction.</x:v>
      </x:c>
      <x:c r="P663" s="9" t="str">
        <x:v>Controls recognition and manipulation of the same target without requiring referential reasoning.</x:v>
      </x:c>
      <x:c r="Q663" s="9"/>
      <x:c r="R663" s="10" t="n">
        <x:v>5</x:v>
      </x:c>
      <x:c r="S663" s="10" t="n">
        <x:v>1</x:v>
      </x:c>
      <x:c r="T663" s="9" t="str">
        <x:v>Empty</x:v>
      </x:c>
      <x:c r="U663" s="9"/>
      <x:c r="V663" s="9"/>
      <x:c r="W663" s="9"/>
      <x:c r="X663" s="10"/>
      <x:c r="Y663" s="10"/>
      <x:c r="Z663" s="9"/>
      <x:c r="AA663" s="9"/>
      <x:c r="AB663" s="9" t="str">
        <x:v>direct name</x:v>
      </x:c>
      <x:c r="AC663" s="9"/>
      <x:c r="AD663" s="9"/>
      <x:c r="AE663" s="9"/>
      <x:c r="AF663" s="9"/>
      <x:c r="AG663" s="9" t="str">
        <x:v>pencil sharpener</x:v>
      </x:c>
      <x:c r="AH663" s="9"/>
      <x:c r="AI663" s="11"/>
      <x:c r="AJ663" s="9"/>
      <x:c r="AK663" s="9" t="str">
        <x:v>Eval_Referential_Disambiguation.xlsm</x:v>
      </x:c>
      <x:c r="AL663" s="9" t="str">
        <x:v>MolmoAct2 Results</x:v>
      </x:c>
      <x:c r="AM663" s="9" t="n">
        <x:v>43</x:v>
      </x:c>
      <x:c r="AN663" s="9" t="n">
        <x:v>43</x:v>
      </x:c>
    </x:row>
    <x:row r="664">
      <x:c r="A664" s="9" t="str">
        <x:v>Failure</x:v>
      </x:c>
      <x:c r="B664" s="9" t="str">
        <x:v>Referential Disambiguation</x:v>
      </x:c>
      <x:c r="C664" s="10" t="n">
        <x:v>42</x:v>
      </x:c>
      <x:c r="D664" s="9" t="str">
        <x:v>Place the pencil sharpener sitting between the airplane toy with propellers and the yellow pen in the bowl.</x:v>
      </x:c>
      <x:c r="E664" s="9" t="str">
        <x:v>green pencil sharpener; red pencil sharpener; airplane toy with propellers; yellow pen; airplane toy without propellers</x:v>
      </x:c>
      <x:c r="F664" s="9" t="str">
        <x:v>green pencil sharpener</x:v>
      </x:c>
      <x:c r="G664" s="9" t="str">
        <x:v>Went for wrong sharpener; ngl the two airplane toys are very hard to distinguish</x:v>
      </x:c>
      <x:c r="H664" s="9" t="str">
        <x:v>Language robustness</x:v>
      </x:c>
      <x:c r="I664" s="9" t="str">
        <x:v>RD-CT06</x:v>
      </x:c>
      <x:c r="J664" s="9" t="str">
        <x:v>Primary compositional-transfer prompt paraphrase</x:v>
      </x:c>
      <x:c r="K664" s="9" t="n">
        <x:v>40</x:v>
      </x:c>
      <x:c r="L664" s="9" t="str">
        <x:v>483</x:v>
      </x:c>
      <x:c r="M664" s="9" t="str">
        <x:v>Exact canonical transfer scene and masked trajectory reference; only the instruction wording changes. This remains a separate language diagnostic.</x:v>
      </x:c>
      <x:c r="N664" s="9" t="n">
        <x:v>2</x:v>
      </x:c>
      <x:c r="O664" s="9" t="str">
        <x:v>Reset the moved object exactly; preserve the scene; change only the wording.</x:v>
      </x:c>
      <x:c r="P664" s="9" t="str">
        <x:v>One of 10 exact-scene paraphrases of canonical transfer trials.</x:v>
      </x:c>
      <x:c r="Q664" s="9"/>
      <x:c r="R664" s="10" t="n">
        <x:v>5</x:v>
      </x:c>
      <x:c r="S664" s="10" t="n">
        <x:v>1</x:v>
      </x:c>
      <x:c r="T664" s="9" t="str">
        <x:v>Empty</x:v>
      </x:c>
      <x:c r="U664" s="9"/>
      <x:c r="V664" s="9"/>
      <x:c r="W664" s="9"/>
      <x:c r="X664" s="10"/>
      <x:c r="Y664" s="10"/>
      <x:c r="Z664" s="9"/>
      <x:c r="AA664" s="9"/>
      <x:c r="AB664" s="9" t="str">
        <x:v>between</x:v>
      </x:c>
      <x:c r="AC664" s="9"/>
      <x:c r="AD664" s="9"/>
      <x:c r="AE664" s="9"/>
      <x:c r="AF664" s="9"/>
      <x:c r="AG664" s="9" t="str">
        <x:v>pencil sharpener</x:v>
      </x:c>
      <x:c r="AH664" s="9"/>
      <x:c r="AI664" s="11"/>
      <x:c r="AJ664" s="9"/>
      <x:c r="AK664" s="9" t="str">
        <x:v>Eval_Referential_Disambiguation.xlsm</x:v>
      </x:c>
      <x:c r="AL664" s="9" t="str">
        <x:v>MolmoAct2 Results</x:v>
      </x:c>
      <x:c r="AM664" s="9" t="n">
        <x:v>44</x:v>
      </x:c>
      <x:c r="AN664" s="9" t="n">
        <x:v>44</x:v>
      </x:c>
    </x:row>
    <x:row r="665">
      <x:c r="A665" s="9" t="str">
        <x:v>Success</x:v>
      </x:c>
      <x:c r="B665" s="9" t="str">
        <x:v>Referential Disambiguation</x:v>
      </x:c>
      <x:c r="C665" s="10" t="n">
        <x:v>43</x:v>
      </x:c>
      <x:c r="D665" s="9" t="str">
        <x:v>Transfer the green pencil sharpener into the bowl.</x:v>
      </x:c>
      <x:c r="E665" s="9" t="str">
        <x:v>green pencil sharpener; red pencil sharpener; airplane toy with propellers; yellow pen; airplane toy without propellers</x:v>
      </x:c>
      <x:c r="F665" s="9" t="str">
        <x:v>green pencil sharpener</x:v>
      </x:c>
      <x:c r="G665" s="9"/>
      <x:c r="H665" s="9" t="str">
        <x:v>Language robustness</x:v>
      </x:c>
      <x:c r="I665" s="9" t="str">
        <x:v>RD-CT06</x:v>
      </x:c>
      <x:c r="J665" s="9" t="str">
        <x:v>Matched-control direct-name prompt paraphrase</x:v>
      </x:c>
      <x:c r="K665" s="9" t="n">
        <x:v>41</x:v>
      </x:c>
      <x:c r="L665" s="9" t="str">
        <x:v>483</x:v>
      </x:c>
      <x:c r="M665" s="9" t="str">
        <x:v>Exact matched-control scene and target; only the direct-name instruction wording changes.</x:v>
      </x:c>
      <x:c r="N665" s="9" t="n">
        <x:v>2</x:v>
      </x:c>
      <x:c r="O665" s="9" t="str">
        <x:v>Reset the moved object exactly; preserve the scene; change only the wording.</x:v>
      </x:c>
      <x:c r="P665" s="9" t="str">
        <x:v>One of 10 exact-scene paraphrases of matched manipulation controls.</x:v>
      </x:c>
      <x:c r="Q665" s="9"/>
      <x:c r="R665" s="10" t="n">
        <x:v>5</x:v>
      </x:c>
      <x:c r="S665" s="10" t="n">
        <x:v>1</x:v>
      </x:c>
      <x:c r="T665" s="9" t="str">
        <x:v>Empty</x:v>
      </x:c>
      <x:c r="U665" s="9"/>
      <x:c r="V665" s="9"/>
      <x:c r="W665" s="9"/>
      <x:c r="X665" s="10"/>
      <x:c r="Y665" s="10"/>
      <x:c r="Z665" s="9"/>
      <x:c r="AA665" s="9"/>
      <x:c r="AB665" s="9" t="str">
        <x:v>direct-name paraphrase</x:v>
      </x:c>
      <x:c r="AC665" s="9"/>
      <x:c r="AD665" s="9"/>
      <x:c r="AE665" s="9"/>
      <x:c r="AF665" s="9"/>
      <x:c r="AG665" s="9" t="str">
        <x:v>pencil sharpener</x:v>
      </x:c>
      <x:c r="AH665" s="9"/>
      <x:c r="AI665" s="11"/>
      <x:c r="AJ665" s="9"/>
      <x:c r="AK665" s="9" t="str">
        <x:v>Eval_Referential_Disambiguation.xlsm</x:v>
      </x:c>
      <x:c r="AL665" s="9" t="str">
        <x:v>MolmoAct2 Results</x:v>
      </x:c>
      <x:c r="AM665" s="9" t="n">
        <x:v>45</x:v>
      </x:c>
      <x:c r="AN665" s="9" t="n">
        <x:v>45</x:v>
      </x:c>
    </x:row>
    <x:row r="666">
      <x:c r="A666" s="9" t="str">
        <x:v>Success</x:v>
      </x:c>
      <x:c r="B666" s="9" t="str">
        <x:v>Referential Disambiguation</x:v>
      </x:c>
      <x:c r="C666" s="10" t="n">
        <x:v>44</x:v>
      </x:c>
      <x:c r="D666" s="9" t="str">
        <x:v>Move the airplane toy furthest from the green pencil sharpener into the bowl.</x:v>
      </x:c>
      <x:c r="E666" s="9" t="str">
        <x:v>airplane toy with propellers; airplane toy without propellers; green pencil sharpener</x:v>
      </x:c>
      <x:c r="F666" s="9" t="str">
        <x:v>airplane toy without propellers</x:v>
      </x:c>
      <x:c r="G666" s="9"/>
      <x:c r="H666" s="9" t="str">
        <x:v>Concept/compositional transfer</x:v>
      </x:c>
      <x:c r="I666" s="9" t="str">
        <x:v>RD-CT07</x:v>
      </x:c>
      <x:c r="J666" s="9" t="str">
        <x:v>Primary held-out relation × candidate-category composition — Move</x:v>
      </x:c>
      <x:c r="K666" s="9"/>
      <x:c r="L666" s="9" t="str">
        <x:v>565</x:v>
      </x:c>
      <x:c r="M666" s="9" t="str">
        <x:v>Masked source trajectory: the target identity and physical manipulation are trained under a direct-name prompt, while this relation × candidate-category composition is intentionally absent.</x:v>
      </x:c>
      <x:c r="N666" s="9" t="n">
        <x:v>2</x:v>
      </x:c>
      <x:c r="O666" s="9" t="str">
        <x:v>Place the listed objects. Arrange Expected Target as the unique answer to the prompt; keep the bowl empty and save a reference image.</x:v>
      </x:c>
      <x:c r="P666" s="9" t="str">
        <x:v>Both candidates are present. The held-out relation is the only information that identifies the target.</x:v>
      </x:c>
      <x:c r="Q666" s="9"/>
      <x:c r="R666" s="10" t="n">
        <x:v>3</x:v>
      </x:c>
      <x:c r="S666" s="10" t="n">
        <x:v>1</x:v>
      </x:c>
      <x:c r="T666" s="9" t="str">
        <x:v>Empty</x:v>
      </x:c>
      <x:c r="U666" s="9"/>
      <x:c r="V666" s="9"/>
      <x:c r="W666" s="9"/>
      <x:c r="X666" s="10"/>
      <x:c r="Y666" s="10"/>
      <x:c r="Z666" s="9"/>
      <x:c r="AA666" s="9"/>
      <x:c r="AB666" s="9" t="str">
        <x:v>furthest</x:v>
      </x:c>
      <x:c r="AC666" s="9"/>
      <x:c r="AD666" s="9"/>
      <x:c r="AE666" s="9"/>
      <x:c r="AF666" s="9"/>
      <x:c r="AG666" s="9" t="str">
        <x:v>airplane toy</x:v>
      </x:c>
      <x:c r="AH666" s="9"/>
      <x:c r="AI666" s="11"/>
      <x:c r="AJ666" s="9"/>
      <x:c r="AK666" s="9" t="str">
        <x:v>Eval_Referential_Disambiguation.xlsm</x:v>
      </x:c>
      <x:c r="AL666" s="9" t="str">
        <x:v>MolmoAct2 Results</x:v>
      </x:c>
      <x:c r="AM666" s="9" t="n">
        <x:v>46</x:v>
      </x:c>
      <x:c r="AN666" s="9" t="n">
        <x:v>46</x:v>
      </x:c>
    </x:row>
    <x:row r="667">
      <x:c r="A667" s="9" t="str">
        <x:v>Success</x:v>
      </x:c>
      <x:c r="B667" s="9" t="str">
        <x:v>Referential Disambiguation</x:v>
      </x:c>
      <x:c r="C667" s="10" t="n">
        <x:v>45</x:v>
      </x:c>
      <x:c r="D667" s="9" t="str">
        <x:v>Pick up the airplane toy without propellers and place it in the bowl.</x:v>
      </x:c>
      <x:c r="E667" s="9" t="str">
        <x:v>airplane toy with propellers; airplane toy without propellers; green pencil sharpener</x:v>
      </x:c>
      <x:c r="F667" s="9" t="str">
        <x:v>airplane toy without propellers</x:v>
      </x:c>
      <x:c r="G667" s="9"/>
      <x:c r="H667" s="9" t="str">
        <x:v>Matched manipulation control</x:v>
      </x:c>
      <x:c r="I667" s="9" t="str">
        <x:v>RD-CT07</x:v>
      </x:c>
      <x:c r="J667" s="9" t="str">
        <x:v>Exact-scene direct-identity manipulation control</x:v>
      </x:c>
      <x:c r="K667" s="9" t="n">
        <x:v>44</x:v>
      </x:c>
      <x:c r="L667" s="9" t="str">
        <x:v>565</x:v>
      </x:c>
      <x:c r="M667" s="9" t="str">
        <x:v>Exact masked-cell training prompt for the same target identity. The evaluation scene and physical endpoint are identical to the paired transfer row.</x:v>
      </x:c>
      <x:c r="N667" s="9" t="n">
        <x:v>2</x:v>
      </x:c>
      <x:c r="O667" s="9" t="str">
        <x:v>Reset the moved object exactly; preserve the scene; change only the instruction.</x:v>
      </x:c>
      <x:c r="P667" s="9" t="str">
        <x:v>Controls recognition and manipulation of the same target without requiring referential reasoning.</x:v>
      </x:c>
      <x:c r="Q667" s="9"/>
      <x:c r="R667" s="10" t="n">
        <x:v>3</x:v>
      </x:c>
      <x:c r="S667" s="10" t="n">
        <x:v>1</x:v>
      </x:c>
      <x:c r="T667" s="9" t="str">
        <x:v>Empty</x:v>
      </x:c>
      <x:c r="U667" s="9"/>
      <x:c r="V667" s="9"/>
      <x:c r="W667" s="9"/>
      <x:c r="X667" s="10"/>
      <x:c r="Y667" s="10"/>
      <x:c r="Z667" s="9"/>
      <x:c r="AA667" s="9"/>
      <x:c r="AB667" s="9" t="str">
        <x:v>direct name</x:v>
      </x:c>
      <x:c r="AC667" s="9"/>
      <x:c r="AD667" s="9"/>
      <x:c r="AE667" s="9"/>
      <x:c r="AF667" s="9"/>
      <x:c r="AG667" s="9" t="str">
        <x:v>airplane toy</x:v>
      </x:c>
      <x:c r="AH667" s="9"/>
      <x:c r="AI667" s="11"/>
      <x:c r="AJ667" s="9"/>
      <x:c r="AK667" s="9" t="str">
        <x:v>Eval_Referential_Disambiguation.xlsm</x:v>
      </x:c>
      <x:c r="AL667" s="9" t="str">
        <x:v>MolmoAct2 Results</x:v>
      </x:c>
      <x:c r="AM667" s="9" t="n">
        <x:v>47</x:v>
      </x:c>
      <x:c r="AN667" s="9" t="n">
        <x:v>47</x:v>
      </x:c>
    </x:row>
    <x:row r="668">
      <x:c r="A668" s="9" t="str">
        <x:v>Success</x:v>
      </x:c>
      <x:c r="B668" s="9" t="str">
        <x:v>Referential Disambiguation</x:v>
      </x:c>
      <x:c r="C668" s="10" t="n">
        <x:v>46</x:v>
      </x:c>
      <x:c r="D668" s="9" t="str">
        <x:v>Move whichever airplane toy is most distant from the green pencil sharpener into the bowl.</x:v>
      </x:c>
      <x:c r="E668" s="9" t="str">
        <x:v>airplane toy with propellers; airplane toy without propellers; green pencil sharpener</x:v>
      </x:c>
      <x:c r="F668" s="9" t="str">
        <x:v>airplane toy without propellers</x:v>
      </x:c>
      <x:c r="G668" s="9"/>
      <x:c r="H668" s="9" t="str">
        <x:v>Language robustness</x:v>
      </x:c>
      <x:c r="I668" s="9" t="str">
        <x:v>RD-CT07</x:v>
      </x:c>
      <x:c r="J668" s="9" t="str">
        <x:v>Primary compositional-transfer prompt paraphrase</x:v>
      </x:c>
      <x:c r="K668" s="9" t="n">
        <x:v>44</x:v>
      </x:c>
      <x:c r="L668" s="9" t="str">
        <x:v>565</x:v>
      </x:c>
      <x:c r="M668" s="9" t="str">
        <x:v>Exact canonical transfer scene and masked trajectory reference; only the instruction wording changes. This remains a separate language diagnostic.</x:v>
      </x:c>
      <x:c r="N668" s="9" t="n">
        <x:v>2</x:v>
      </x:c>
      <x:c r="O668" s="9" t="str">
        <x:v>Reset the moved object exactly; preserve the scene; change only the wording.</x:v>
      </x:c>
      <x:c r="P668" s="9" t="str">
        <x:v>One of 10 exact-scene paraphrases of canonical transfer trials.</x:v>
      </x:c>
      <x:c r="Q668" s="9"/>
      <x:c r="R668" s="10" t="n">
        <x:v>3</x:v>
      </x:c>
      <x:c r="S668" s="10" t="n">
        <x:v>1</x:v>
      </x:c>
      <x:c r="T668" s="9" t="str">
        <x:v>Empty</x:v>
      </x:c>
      <x:c r="U668" s="9"/>
      <x:c r="V668" s="9"/>
      <x:c r="W668" s="9"/>
      <x:c r="X668" s="10"/>
      <x:c r="Y668" s="10"/>
      <x:c r="Z668" s="9"/>
      <x:c r="AA668" s="9"/>
      <x:c r="AB668" s="9" t="str">
        <x:v>furthest</x:v>
      </x:c>
      <x:c r="AC668" s="9"/>
      <x:c r="AD668" s="9"/>
      <x:c r="AE668" s="9"/>
      <x:c r="AF668" s="9"/>
      <x:c r="AG668" s="9" t="str">
        <x:v>airplane toy</x:v>
      </x:c>
      <x:c r="AH668" s="9"/>
      <x:c r="AI668" s="11"/>
      <x:c r="AJ668" s="9"/>
      <x:c r="AK668" s="9" t="str">
        <x:v>Eval_Referential_Disambiguation.xlsm</x:v>
      </x:c>
      <x:c r="AL668" s="9" t="str">
        <x:v>MolmoAct2 Results</x:v>
      </x:c>
      <x:c r="AM668" s="9" t="n">
        <x:v>48</x:v>
      </x:c>
      <x:c r="AN668" s="9" t="n">
        <x:v>48</x:v>
      </x:c>
    </x:row>
    <x:row r="669">
      <x:c r="A669" s="9" t="str">
        <x:v>Success</x:v>
      </x:c>
      <x:c r="B669" s="9" t="str">
        <x:v>Referential Disambiguation</x:v>
      </x:c>
      <x:c r="C669" s="10" t="n">
        <x:v>47</x:v>
      </x:c>
      <x:c r="D669" s="9" t="str">
        <x:v>Set the airplane toy without propellers inside the bowl.</x:v>
      </x:c>
      <x:c r="E669" s="9" t="str">
        <x:v>airplane toy with propellers; airplane toy without propellers; green pencil sharpener</x:v>
      </x:c>
      <x:c r="F669" s="9" t="str">
        <x:v>airplane toy without propellers</x:v>
      </x:c>
      <x:c r="G669" s="9" t="str">
        <x:v>Dropped it but picked it back up again.</x:v>
      </x:c>
      <x:c r="H669" s="9" t="str">
        <x:v>Language robustness</x:v>
      </x:c>
      <x:c r="I669" s="9" t="str">
        <x:v>RD-CT07</x:v>
      </x:c>
      <x:c r="J669" s="9" t="str">
        <x:v>Matched-control direct-name prompt paraphrase</x:v>
      </x:c>
      <x:c r="K669" s="9" t="n">
        <x:v>45</x:v>
      </x:c>
      <x:c r="L669" s="9" t="str">
        <x:v>565</x:v>
      </x:c>
      <x:c r="M669" s="9" t="str">
        <x:v>Exact matched-control scene and target; only the direct-name instruction wording changes.</x:v>
      </x:c>
      <x:c r="N669" s="9" t="n">
        <x:v>2</x:v>
      </x:c>
      <x:c r="O669" s="9" t="str">
        <x:v>Reset the moved object exactly; preserve the scene; change only the wording.</x:v>
      </x:c>
      <x:c r="P669" s="9" t="str">
        <x:v>One of 10 exact-scene paraphrases of matched manipulation controls.</x:v>
      </x:c>
      <x:c r="Q669" s="9"/>
      <x:c r="R669" s="10" t="n">
        <x:v>3</x:v>
      </x:c>
      <x:c r="S669" s="10" t="n">
        <x:v>1</x:v>
      </x:c>
      <x:c r="T669" s="9" t="str">
        <x:v>Empty</x:v>
      </x:c>
      <x:c r="U669" s="9"/>
      <x:c r="V669" s="9"/>
      <x:c r="W669" s="9"/>
      <x:c r="X669" s="10"/>
      <x:c r="Y669" s="10"/>
      <x:c r="Z669" s="9"/>
      <x:c r="AA669" s="9"/>
      <x:c r="AB669" s="9" t="str">
        <x:v>direct-name paraphrase</x:v>
      </x:c>
      <x:c r="AC669" s="9"/>
      <x:c r="AD669" s="9"/>
      <x:c r="AE669" s="9"/>
      <x:c r="AF669" s="9"/>
      <x:c r="AG669" s="9" t="str">
        <x:v>airplane toy</x:v>
      </x:c>
      <x:c r="AH669" s="9"/>
      <x:c r="AI669" s="11"/>
      <x:c r="AJ669" s="9"/>
      <x:c r="AK669" s="9" t="str">
        <x:v>Eval_Referential_Disambiguation.xlsm</x:v>
      </x:c>
      <x:c r="AL669" s="9" t="str">
        <x:v>MolmoAct2 Results</x:v>
      </x:c>
      <x:c r="AM669" s="9" t="n">
        <x:v>49</x:v>
      </x:c>
      <x:c r="AN669" s="9" t="n">
        <x:v>49</x:v>
      </x:c>
    </x:row>
    <x:row r="670">
      <x:c r="A670" s="9" t="str">
        <x:v>Failure</x:v>
      </x:c>
      <x:c r="B670" s="9" t="str">
        <x:v>Referential Disambiguation</x:v>
      </x:c>
      <x:c r="C670" s="10" t="n">
        <x:v>48</x:v>
      </x:c>
      <x:c r="D670" s="9" t="str">
        <x:v>Move the crushed soda can closest to the green pencil sharpener into the bowl.</x:v>
      </x:c>
      <x:c r="E670" s="9" t="str">
        <x:v>crushed Coke can; crushed Pepsi can; green pencil sharpener</x:v>
      </x:c>
      <x:c r="F670" s="9" t="str">
        <x:v>crushed Pepsi can</x:v>
      </x:c>
      <x:c r="G670" s="9" t="str">
        <x:v>Grabbed the coke can</x:v>
      </x:c>
      <x:c r="H670" s="9" t="str">
        <x:v>Concept/compositional transfer</x:v>
      </x:c>
      <x:c r="I670" s="9" t="str">
        <x:v>RD-CT08</x:v>
      </x:c>
      <x:c r="J670" s="9" t="str">
        <x:v>Primary held-out relation × candidate-category composition — Move</x:v>
      </x:c>
      <x:c r="K670" s="9"/>
      <x:c r="L670" s="9" t="str">
        <x:v>401</x:v>
      </x:c>
      <x:c r="M670" s="9" t="str">
        <x:v>Masked source trajectory: the target identity and physical manipulation are trained under a direct-name prompt, while this relation × candidate-category composition is intentionally absent.</x:v>
      </x:c>
      <x:c r="N670" s="9" t="n">
        <x:v>2</x:v>
      </x:c>
      <x:c r="O670" s="9" t="str">
        <x:v>Place the listed objects. Arrange Expected Target as the unique answer to the prompt; keep the bowl empty and save a reference image.</x:v>
      </x:c>
      <x:c r="P670" s="9" t="str">
        <x:v>Both candidates are present. The held-out relation is the only information that identifies the target.</x:v>
      </x:c>
      <x:c r="Q670" s="9"/>
      <x:c r="R670" s="10" t="n">
        <x:v>3</x:v>
      </x:c>
      <x:c r="S670" s="10" t="n">
        <x:v>1</x:v>
      </x:c>
      <x:c r="T670" s="9" t="str">
        <x:v>Empty</x:v>
      </x:c>
      <x:c r="U670" s="9"/>
      <x:c r="V670" s="9"/>
      <x:c r="W670" s="9"/>
      <x:c r="X670" s="10"/>
      <x:c r="Y670" s="10"/>
      <x:c r="Z670" s="9"/>
      <x:c r="AA670" s="9"/>
      <x:c r="AB670" s="9" t="str">
        <x:v>closest</x:v>
      </x:c>
      <x:c r="AC670" s="9"/>
      <x:c r="AD670" s="9"/>
      <x:c r="AE670" s="9"/>
      <x:c r="AF670" s="9"/>
      <x:c r="AG670" s="9" t="str">
        <x:v>crushed soda can</x:v>
      </x:c>
      <x:c r="AH670" s="9"/>
      <x:c r="AI670" s="11"/>
      <x:c r="AJ670" s="9"/>
      <x:c r="AK670" s="9" t="str">
        <x:v>Eval_Referential_Disambiguation.xlsm</x:v>
      </x:c>
      <x:c r="AL670" s="9" t="str">
        <x:v>MolmoAct2 Results</x:v>
      </x:c>
      <x:c r="AM670" s="9" t="n">
        <x:v>50</x:v>
      </x:c>
      <x:c r="AN670" s="9" t="n">
        <x:v>50</x:v>
      </x:c>
    </x:row>
    <x:row r="671">
      <x:c r="A671" s="9" t="str">
        <x:v>Success</x:v>
      </x:c>
      <x:c r="B671" s="9" t="str">
        <x:v>Referential Disambiguation</x:v>
      </x:c>
      <x:c r="C671" s="10" t="n">
        <x:v>49</x:v>
      </x:c>
      <x:c r="D671" s="9" t="str">
        <x:v>Pick up the crushed Pepsi can and place it in the bowl.</x:v>
      </x:c>
      <x:c r="E671" s="9" t="str">
        <x:v>crushed Coke can; crushed Pepsi can; green pencil sharpener</x:v>
      </x:c>
      <x:c r="F671" s="9" t="str">
        <x:v>crushed Pepsi can</x:v>
      </x:c>
      <x:c r="G671" s="9"/>
      <x:c r="H671" s="9" t="str">
        <x:v>Matched manipulation control</x:v>
      </x:c>
      <x:c r="I671" s="9" t="str">
        <x:v>RD-CT08</x:v>
      </x:c>
      <x:c r="J671" s="9" t="str">
        <x:v>Exact-scene direct-identity manipulation control</x:v>
      </x:c>
      <x:c r="K671" s="9" t="n">
        <x:v>48</x:v>
      </x:c>
      <x:c r="L671" s="9" t="str">
        <x:v>401</x:v>
      </x:c>
      <x:c r="M671" s="9" t="str">
        <x:v>Exact masked-cell training prompt for the same target identity. The evaluation scene and physical endpoint are identical to the paired transfer row.</x:v>
      </x:c>
      <x:c r="N671" s="9" t="n">
        <x:v>2</x:v>
      </x:c>
      <x:c r="O671" s="9" t="str">
        <x:v>Reset the moved object exactly; preserve the scene; change only the instruction.</x:v>
      </x:c>
      <x:c r="P671" s="9" t="str">
        <x:v>Controls recognition and manipulation of the same target without requiring referential reasoning.</x:v>
      </x:c>
      <x:c r="Q671" s="9"/>
      <x:c r="R671" s="10" t="n">
        <x:v>3</x:v>
      </x:c>
      <x:c r="S671" s="10" t="n">
        <x:v>1</x:v>
      </x:c>
      <x:c r="T671" s="9" t="str">
        <x:v>Empty</x:v>
      </x:c>
      <x:c r="U671" s="9"/>
      <x:c r="V671" s="9"/>
      <x:c r="W671" s="9"/>
      <x:c r="X671" s="10"/>
      <x:c r="Y671" s="10"/>
      <x:c r="Z671" s="9"/>
      <x:c r="AA671" s="9"/>
      <x:c r="AB671" s="9" t="str">
        <x:v>direct name</x:v>
      </x:c>
      <x:c r="AC671" s="9"/>
      <x:c r="AD671" s="9"/>
      <x:c r="AE671" s="9"/>
      <x:c r="AF671" s="9"/>
      <x:c r="AG671" s="9" t="str">
        <x:v>crushed soda can</x:v>
      </x:c>
      <x:c r="AH671" s="9"/>
      <x:c r="AI671" s="11"/>
      <x:c r="AJ671" s="9"/>
      <x:c r="AK671" s="9" t="str">
        <x:v>Eval_Referential_Disambiguation.xlsm</x:v>
      </x:c>
      <x:c r="AL671" s="9" t="str">
        <x:v>MolmoAct2 Results</x:v>
      </x:c>
      <x:c r="AM671" s="9" t="n">
        <x:v>51</x:v>
      </x:c>
      <x:c r="AN671" s="9" t="n">
        <x:v>51</x:v>
      </x:c>
    </x:row>
    <x:row r="672">
      <x:c r="A672" s="9" t="str">
        <x:v>Success</x:v>
      </x:c>
      <x:c r="B672" s="9" t="str">
        <x:v>Referential Disambiguation</x:v>
      </x:c>
      <x:c r="C672" s="10" t="n">
        <x:v>50</x:v>
      </x:c>
      <x:c r="D672" s="9" t="str">
        <x:v>Move whichever crushed soda can is nearer to the green pencil sharpener into the bowl.</x:v>
      </x:c>
      <x:c r="E672" s="9" t="str">
        <x:v>crushed Coke can; crushed Pepsi can; green pencil sharpener</x:v>
      </x:c>
      <x:c r="F672" s="9" t="str">
        <x:v>crushed Pepsi can</x:v>
      </x:c>
      <x:c r="G672" s="9"/>
      <x:c r="H672" s="9" t="str">
        <x:v>Language robustness</x:v>
      </x:c>
      <x:c r="I672" s="9" t="str">
        <x:v>RD-CT08</x:v>
      </x:c>
      <x:c r="J672" s="9" t="str">
        <x:v>Primary compositional-transfer prompt paraphrase</x:v>
      </x:c>
      <x:c r="K672" s="9" t="n">
        <x:v>48</x:v>
      </x:c>
      <x:c r="L672" s="9" t="str">
        <x:v>401</x:v>
      </x:c>
      <x:c r="M672" s="9" t="str">
        <x:v>Exact canonical transfer scene and masked trajectory reference; only the instruction wording changes. This remains a separate language diagnostic.</x:v>
      </x:c>
      <x:c r="N672" s="9" t="n">
        <x:v>2</x:v>
      </x:c>
      <x:c r="O672" s="9" t="str">
        <x:v>Reset the moved object exactly; preserve the scene; change only the wording.</x:v>
      </x:c>
      <x:c r="P672" s="9" t="str">
        <x:v>One of 10 exact-scene paraphrases of canonical transfer trials.</x:v>
      </x:c>
      <x:c r="Q672" s="9"/>
      <x:c r="R672" s="10" t="n">
        <x:v>3</x:v>
      </x:c>
      <x:c r="S672" s="10" t="n">
        <x:v>1</x:v>
      </x:c>
      <x:c r="T672" s="9" t="str">
        <x:v>Empty</x:v>
      </x:c>
      <x:c r="U672" s="9"/>
      <x:c r="V672" s="9"/>
      <x:c r="W672" s="9"/>
      <x:c r="X672" s="10"/>
      <x:c r="Y672" s="10"/>
      <x:c r="Z672" s="9"/>
      <x:c r="AA672" s="9"/>
      <x:c r="AB672" s="9" t="str">
        <x:v>closest</x:v>
      </x:c>
      <x:c r="AC672" s="9"/>
      <x:c r="AD672" s="9"/>
      <x:c r="AE672" s="9"/>
      <x:c r="AF672" s="9"/>
      <x:c r="AG672" s="9" t="str">
        <x:v>crushed soda can</x:v>
      </x:c>
      <x:c r="AH672" s="9"/>
      <x:c r="AI672" s="11"/>
      <x:c r="AJ672" s="9"/>
      <x:c r="AK672" s="9" t="str">
        <x:v>Eval_Referential_Disambiguation.xlsm</x:v>
      </x:c>
      <x:c r="AL672" s="9" t="str">
        <x:v>MolmoAct2 Results</x:v>
      </x:c>
      <x:c r="AM672" s="9" t="n">
        <x:v>52</x:v>
      </x:c>
      <x:c r="AN672" s="9" t="n">
        <x:v>52</x:v>
      </x:c>
    </x:row>
    <x:row r="673">
      <x:c r="A673" s="9" t="str">
        <x:v>Success</x:v>
      </x:c>
      <x:c r="B673" s="9" t="str">
        <x:v>Referential Disambiguation</x:v>
      </x:c>
      <x:c r="C673" s="10" t="n">
        <x:v>51</x:v>
      </x:c>
      <x:c r="D673" s="9" t="str">
        <x:v>Set the crushed Pepsi can inside the bowl.</x:v>
      </x:c>
      <x:c r="E673" s="9" t="str">
        <x:v>crushed Coke can; crushed Pepsi can; green pencil sharpener</x:v>
      </x:c>
      <x:c r="F673" s="9" t="str">
        <x:v>crushed Pepsi can</x:v>
      </x:c>
      <x:c r="G673" s="9"/>
      <x:c r="H673" s="9" t="str">
        <x:v>Language robustness</x:v>
      </x:c>
      <x:c r="I673" s="9" t="str">
        <x:v>RD-CT08</x:v>
      </x:c>
      <x:c r="J673" s="9" t="str">
        <x:v>Matched-control direct-name prompt paraphrase</x:v>
      </x:c>
      <x:c r="K673" s="9" t="n">
        <x:v>49</x:v>
      </x:c>
      <x:c r="L673" s="9" t="str">
        <x:v>401</x:v>
      </x:c>
      <x:c r="M673" s="9" t="str">
        <x:v>Exact matched-control scene and target; only the direct-name instruction wording changes.</x:v>
      </x:c>
      <x:c r="N673" s="9" t="n">
        <x:v>2</x:v>
      </x:c>
      <x:c r="O673" s="9" t="str">
        <x:v>Reset the moved object exactly; preserve the scene; change only the wording.</x:v>
      </x:c>
      <x:c r="P673" s="9" t="str">
        <x:v>One of 10 exact-scene paraphrases of matched manipulation controls.</x:v>
      </x:c>
      <x:c r="Q673" s="9"/>
      <x:c r="R673" s="10" t="n">
        <x:v>3</x:v>
      </x:c>
      <x:c r="S673" s="10" t="n">
        <x:v>1</x:v>
      </x:c>
      <x:c r="T673" s="9" t="str">
        <x:v>Empty</x:v>
      </x:c>
      <x:c r="U673" s="9"/>
      <x:c r="V673" s="9"/>
      <x:c r="W673" s="9"/>
      <x:c r="X673" s="10"/>
      <x:c r="Y673" s="10"/>
      <x:c r="Z673" s="9"/>
      <x:c r="AA673" s="9"/>
      <x:c r="AB673" s="9" t="str">
        <x:v>direct-name paraphrase</x:v>
      </x:c>
      <x:c r="AC673" s="9"/>
      <x:c r="AD673" s="9"/>
      <x:c r="AE673" s="9"/>
      <x:c r="AF673" s="9"/>
      <x:c r="AG673" s="9" t="str">
        <x:v>crushed soda can</x:v>
      </x:c>
      <x:c r="AH673" s="9"/>
      <x:c r="AI673" s="11"/>
      <x:c r="AJ673" s="9"/>
      <x:c r="AK673" s="9" t="str">
        <x:v>Eval_Referential_Disambiguation.xlsm</x:v>
      </x:c>
      <x:c r="AL673" s="9" t="str">
        <x:v>MolmoAct2 Results</x:v>
      </x:c>
      <x:c r="AM673" s="9" t="n">
        <x:v>53</x:v>
      </x:c>
      <x:c r="AN673" s="9" t="n">
        <x:v>53</x:v>
      </x:c>
    </x:row>
    <x:row r="674">
      <x:c r="A674" s="9" t="str">
        <x:v>Success</x:v>
      </x:c>
      <x:c r="B674" s="9" t="str">
        <x:v>Referential Disambiguation</x:v>
      </x:c>
      <x:c r="C674" s="10" t="n">
        <x:v>52</x:v>
      </x:c>
      <x:c r="D674" s="9" t="str">
        <x:v>Move the pencil sharpener between the crushed Pepsi can and the airplane toy without propellers into the bowl.</x:v>
      </x:c>
      <x:c r="E674" s="9" t="str">
        <x:v>green pencil sharpener; red pencil sharpener; crushed Pepsi can; airplane toy without propellers</x:v>
      </x:c>
      <x:c r="F674" s="9" t="str">
        <x:v>red pencil sharpener</x:v>
      </x:c>
      <x:c r="G674" s="9" t="str">
        <x:v>Went for it, didn't grab it, went home, went back, and got it!</x:v>
      </x:c>
      <x:c r="H674" s="9" t="str">
        <x:v>Concept/compositional transfer</x:v>
      </x:c>
      <x:c r="I674" s="9" t="str">
        <x:v>RD-CT09</x:v>
      </x:c>
      <x:c r="J674" s="9" t="str">
        <x:v>Primary held-out relation × candidate-category composition — Move</x:v>
      </x:c>
      <x:c r="K674" s="9"/>
      <x:c r="L674" s="9" t="str">
        <x:v>480</x:v>
      </x:c>
      <x:c r="M674" s="9" t="str">
        <x:v>Masked source trajectory: the target identity and physical manipulation are trained under a direct-name prompt, while this relation × candidate-category composition is intentionally absent.</x:v>
      </x:c>
      <x:c r="N674" s="9" t="n">
        <x:v>2</x:v>
      </x:c>
      <x:c r="O674" s="9" t="str">
        <x:v>Place the listed objects. Arrange Expected Target as the unique answer to the prompt; keep the bowl empty and save a reference image.</x:v>
      </x:c>
      <x:c r="P674" s="9" t="str">
        <x:v>Both candidates are present. The held-out relation is the only information that identifies the target.</x:v>
      </x:c>
      <x:c r="Q674" s="9"/>
      <x:c r="R674" s="10" t="n">
        <x:v>4</x:v>
      </x:c>
      <x:c r="S674" s="10" t="n">
        <x:v>1</x:v>
      </x:c>
      <x:c r="T674" s="9" t="str">
        <x:v>Empty</x:v>
      </x:c>
      <x:c r="U674" s="9"/>
      <x:c r="V674" s="9"/>
      <x:c r="W674" s="9"/>
      <x:c r="X674" s="10"/>
      <x:c r="Y674" s="10"/>
      <x:c r="Z674" s="9"/>
      <x:c r="AA674" s="9"/>
      <x:c r="AB674" s="9" t="str">
        <x:v>between</x:v>
      </x:c>
      <x:c r="AC674" s="9"/>
      <x:c r="AD674" s="9"/>
      <x:c r="AE674" s="9"/>
      <x:c r="AF674" s="9"/>
      <x:c r="AG674" s="9" t="str">
        <x:v>pencil sharpener</x:v>
      </x:c>
      <x:c r="AH674" s="9"/>
      <x:c r="AI674" s="11"/>
      <x:c r="AJ674" s="9"/>
      <x:c r="AK674" s="9" t="str">
        <x:v>Eval_Referential_Disambiguation.xlsm</x:v>
      </x:c>
      <x:c r="AL674" s="9" t="str">
        <x:v>MolmoAct2 Results</x:v>
      </x:c>
      <x:c r="AM674" s="9" t="n">
        <x:v>54</x:v>
      </x:c>
      <x:c r="AN674" s="9" t="n">
        <x:v>54</x:v>
      </x:c>
    </x:row>
    <x:row r="675">
      <x:c r="A675" s="9" t="str">
        <x:v>Success</x:v>
      </x:c>
      <x:c r="B675" s="9" t="str">
        <x:v>Referential Disambiguation</x:v>
      </x:c>
      <x:c r="C675" s="10" t="n">
        <x:v>53</x:v>
      </x:c>
      <x:c r="D675" s="9" t="str">
        <x:v>Move the red pencil sharpener into the bowl.</x:v>
      </x:c>
      <x:c r="E675" s="9" t="str">
        <x:v>green pencil sharpener; red pencil sharpener; crushed Pepsi can; airplane toy without propellers</x:v>
      </x:c>
      <x:c r="F675" s="9" t="str">
        <x:v>red pencil sharpener</x:v>
      </x:c>
      <x:c r="G675" s="9"/>
      <x:c r="H675" s="9" t="str">
        <x:v>Matched manipulation control</x:v>
      </x:c>
      <x:c r="I675" s="9" t="str">
        <x:v>RD-CT09</x:v>
      </x:c>
      <x:c r="J675" s="9" t="str">
        <x:v>Exact-scene direct-identity manipulation control</x:v>
      </x:c>
      <x:c r="K675" s="9" t="n">
        <x:v>52</x:v>
      </x:c>
      <x:c r="L675" s="9" t="str">
        <x:v>480</x:v>
      </x:c>
      <x:c r="M675" s="9" t="str">
        <x:v>Exact masked-cell training prompt for the same target identity. The evaluation scene and physical endpoint are identical to the paired transfer row.</x:v>
      </x:c>
      <x:c r="N675" s="9" t="n">
        <x:v>2</x:v>
      </x:c>
      <x:c r="O675" s="9" t="str">
        <x:v>Reset the moved object exactly; preserve the scene; change only the instruction.</x:v>
      </x:c>
      <x:c r="P675" s="9" t="str">
        <x:v>Controls recognition and manipulation of the same target without requiring referential reasoning.</x:v>
      </x:c>
      <x:c r="Q675" s="9"/>
      <x:c r="R675" s="10" t="n">
        <x:v>4</x:v>
      </x:c>
      <x:c r="S675" s="10" t="n">
        <x:v>1</x:v>
      </x:c>
      <x:c r="T675" s="9" t="str">
        <x:v>Empty</x:v>
      </x:c>
      <x:c r="U675" s="9"/>
      <x:c r="V675" s="9"/>
      <x:c r="W675" s="9"/>
      <x:c r="X675" s="10"/>
      <x:c r="Y675" s="10"/>
      <x:c r="Z675" s="9"/>
      <x:c r="AA675" s="9"/>
      <x:c r="AB675" s="9" t="str">
        <x:v>direct name</x:v>
      </x:c>
      <x:c r="AC675" s="9"/>
      <x:c r="AD675" s="9"/>
      <x:c r="AE675" s="9"/>
      <x:c r="AF675" s="9"/>
      <x:c r="AG675" s="9" t="str">
        <x:v>pencil sharpener</x:v>
      </x:c>
      <x:c r="AH675" s="9"/>
      <x:c r="AI675" s="11"/>
      <x:c r="AJ675" s="9"/>
      <x:c r="AK675" s="9" t="str">
        <x:v>Eval_Referential_Disambiguation.xlsm</x:v>
      </x:c>
      <x:c r="AL675" s="9" t="str">
        <x:v>MolmoAct2 Results</x:v>
      </x:c>
      <x:c r="AM675" s="9" t="n">
        <x:v>55</x:v>
      </x:c>
      <x:c r="AN675" s="9" t="n">
        <x:v>55</x:v>
      </x:c>
    </x:row>
    <x:row r="676">
      <x:c r="A676" s="9" t="str">
        <x:v>Success</x:v>
      </x:c>
      <x:c r="B676" s="9" t="str">
        <x:v>Referential Disambiguation</x:v>
      </x:c>
      <x:c r="C676" s="10" t="n">
        <x:v>54</x:v>
      </x:c>
      <x:c r="D676" s="9" t="str">
        <x:v>Move the pencil sharpener that lies on the segment joining the crushed Pepsi can and the airplane toy without propellers into the bowl.</x:v>
      </x:c>
      <x:c r="E676" s="9" t="str">
        <x:v>green pencil sharpener; red pencil sharpener; crushed Pepsi can; airplane toy without propellers</x:v>
      </x:c>
      <x:c r="F676" s="9" t="str">
        <x:v>red pencil sharpener</x:v>
      </x:c>
      <x:c r="G676" s="9"/>
      <x:c r="H676" s="9" t="str">
        <x:v>Language robustness</x:v>
      </x:c>
      <x:c r="I676" s="9" t="str">
        <x:v>RD-CT09</x:v>
      </x:c>
      <x:c r="J676" s="9" t="str">
        <x:v>Primary compositional-transfer prompt paraphrase</x:v>
      </x:c>
      <x:c r="K676" s="9" t="n">
        <x:v>52</x:v>
      </x:c>
      <x:c r="L676" s="9" t="str">
        <x:v>480</x:v>
      </x:c>
      <x:c r="M676" s="9" t="str">
        <x:v>Exact canonical transfer scene and masked trajectory reference; only the instruction wording changes. This remains a separate language diagnostic.</x:v>
      </x:c>
      <x:c r="N676" s="9" t="n">
        <x:v>2</x:v>
      </x:c>
      <x:c r="O676" s="9" t="str">
        <x:v>Reset the moved object exactly; preserve the scene; change only the wording.</x:v>
      </x:c>
      <x:c r="P676" s="9" t="str">
        <x:v>One of 10 exact-scene paraphrases of canonical transfer trials.</x:v>
      </x:c>
      <x:c r="Q676" s="9"/>
      <x:c r="R676" s="10" t="n">
        <x:v>4</x:v>
      </x:c>
      <x:c r="S676" s="10" t="n">
        <x:v>1</x:v>
      </x:c>
      <x:c r="T676" s="9" t="str">
        <x:v>Empty</x:v>
      </x:c>
      <x:c r="U676" s="9"/>
      <x:c r="V676" s="9"/>
      <x:c r="W676" s="9"/>
      <x:c r="X676" s="10"/>
      <x:c r="Y676" s="10"/>
      <x:c r="Z676" s="9"/>
      <x:c r="AA676" s="9"/>
      <x:c r="AB676" s="9" t="str">
        <x:v>between</x:v>
      </x:c>
      <x:c r="AC676" s="9"/>
      <x:c r="AD676" s="9"/>
      <x:c r="AE676" s="9"/>
      <x:c r="AF676" s="9"/>
      <x:c r="AG676" s="9" t="str">
        <x:v>pencil sharpener</x:v>
      </x:c>
      <x:c r="AH676" s="9"/>
      <x:c r="AI676" s="11"/>
      <x:c r="AJ676" s="9"/>
      <x:c r="AK676" s="9" t="str">
        <x:v>Eval_Referential_Disambiguation.xlsm</x:v>
      </x:c>
      <x:c r="AL676" s="9" t="str">
        <x:v>MolmoAct2 Results</x:v>
      </x:c>
      <x:c r="AM676" s="9" t="n">
        <x:v>56</x:v>
      </x:c>
      <x:c r="AN676" s="9" t="n">
        <x:v>56</x:v>
      </x:c>
    </x:row>
    <x:row r="677">
      <x:c r="A677" s="9" t="str">
        <x:v>Success</x:v>
      </x:c>
      <x:c r="B677" s="9" t="str">
        <x:v>Referential Disambiguation</x:v>
      </x:c>
      <x:c r="C677" s="10" t="n">
        <x:v>55</x:v>
      </x:c>
      <x:c r="D677" s="9" t="str">
        <x:v>Set the red pencil sharpener inside the bowl.</x:v>
      </x:c>
      <x:c r="E677" s="9" t="str">
        <x:v>green pencil sharpener; red pencil sharpener; crushed Pepsi can; airplane toy without propellers</x:v>
      </x:c>
      <x:c r="F677" s="9" t="str">
        <x:v>red pencil sharpener</x:v>
      </x:c>
      <x:c r="G677" s="9"/>
      <x:c r="H677" s="9" t="str">
        <x:v>Language robustness</x:v>
      </x:c>
      <x:c r="I677" s="9" t="str">
        <x:v>RD-CT09</x:v>
      </x:c>
      <x:c r="J677" s="9" t="str">
        <x:v>Matched-control direct-name prompt paraphrase</x:v>
      </x:c>
      <x:c r="K677" s="9" t="n">
        <x:v>53</x:v>
      </x:c>
      <x:c r="L677" s="9" t="str">
        <x:v>480</x:v>
      </x:c>
      <x:c r="M677" s="9" t="str">
        <x:v>Exact matched-control scene and target; only the direct-name instruction wording changes.</x:v>
      </x:c>
      <x:c r="N677" s="9" t="n">
        <x:v>2</x:v>
      </x:c>
      <x:c r="O677" s="9" t="str">
        <x:v>Reset the moved object exactly; preserve the scene; change only the wording.</x:v>
      </x:c>
      <x:c r="P677" s="9" t="str">
        <x:v>One of 10 exact-scene paraphrases of matched manipulation controls.</x:v>
      </x:c>
      <x:c r="Q677" s="9"/>
      <x:c r="R677" s="10" t="n">
        <x:v>4</x:v>
      </x:c>
      <x:c r="S677" s="10" t="n">
        <x:v>1</x:v>
      </x:c>
      <x:c r="T677" s="9" t="str">
        <x:v>Empty</x:v>
      </x:c>
      <x:c r="U677" s="9"/>
      <x:c r="V677" s="9"/>
      <x:c r="W677" s="9"/>
      <x:c r="X677" s="10"/>
      <x:c r="Y677" s="10"/>
      <x:c r="Z677" s="9"/>
      <x:c r="AA677" s="9"/>
      <x:c r="AB677" s="9" t="str">
        <x:v>direct-name paraphrase</x:v>
      </x:c>
      <x:c r="AC677" s="9"/>
      <x:c r="AD677" s="9"/>
      <x:c r="AE677" s="9"/>
      <x:c r="AF677" s="9"/>
      <x:c r="AG677" s="9" t="str">
        <x:v>pencil sharpener</x:v>
      </x:c>
      <x:c r="AH677" s="9"/>
      <x:c r="AI677" s="11"/>
      <x:c r="AJ677" s="9"/>
      <x:c r="AK677" s="9" t="str">
        <x:v>Eval_Referential_Disambiguation.xlsm</x:v>
      </x:c>
      <x:c r="AL677" s="9" t="str">
        <x:v>MolmoAct2 Results</x:v>
      </x:c>
      <x:c r="AM677" s="9" t="n">
        <x:v>57</x:v>
      </x:c>
      <x:c r="AN677" s="9" t="n">
        <x:v>57</x:v>
      </x:c>
    </x:row>
    <x:row r="678">
      <x:c r="A678" s="9" t="str">
        <x:v>Success</x:v>
      </x:c>
      <x:c r="B678" s="9" t="str">
        <x:v>Referential Disambiguation</x:v>
      </x:c>
      <x:c r="C678" s="10" t="n">
        <x:v>56</x:v>
      </x:c>
      <x:c r="D678" s="9" t="str">
        <x:v>Pick up the airplane toy furthest from the yellow pen and place it in the bowl.</x:v>
      </x:c>
      <x:c r="E678" s="9" t="str">
        <x:v>airplane toy with propellers; airplane toy without propellers; yellow pen; green pen</x:v>
      </x:c>
      <x:c r="F678" s="9" t="str">
        <x:v>airplane toy without propellers</x:v>
      </x:c>
      <x:c r="G678" s="9"/>
      <x:c r="H678" s="9" t="str">
        <x:v>Concept/compositional transfer</x:v>
      </x:c>
      <x:c r="I678" s="9" t="str">
        <x:v>RD-CT10</x:v>
      </x:c>
      <x:c r="J678" s="9" t="str">
        <x:v>Primary held-out relation × candidate-category composition — Pick up</x:v>
      </x:c>
      <x:c r="K678" s="9"/>
      <x:c r="L678" s="9" t="str">
        <x:v>567</x:v>
      </x:c>
      <x:c r="M678" s="9" t="str">
        <x:v>Masked source trajectory: the target identity and physical manipulation are trained under a direct-name prompt, while this relation × candidate-category composition is intentionally absent.</x:v>
      </x:c>
      <x:c r="N678" s="9" t="n">
        <x:v>2</x:v>
      </x:c>
      <x:c r="O678" s="9" t="str">
        <x:v>Place the listed objects. Arrange Expected Target as the unique answer to the prompt; keep the bowl empty and save a reference image.</x:v>
      </x:c>
      <x:c r="P678" s="9" t="str">
        <x:v>Both candidates are present. The held-out relation is the only information that identifies the target.</x:v>
      </x:c>
      <x:c r="Q678" s="9"/>
      <x:c r="R678" s="10" t="n">
        <x:v>4</x:v>
      </x:c>
      <x:c r="S678" s="10" t="n">
        <x:v>1</x:v>
      </x:c>
      <x:c r="T678" s="9" t="str">
        <x:v>Empty</x:v>
      </x:c>
      <x:c r="U678" s="9"/>
      <x:c r="V678" s="9"/>
      <x:c r="W678" s="9"/>
      <x:c r="X678" s="10"/>
      <x:c r="Y678" s="10"/>
      <x:c r="Z678" s="9"/>
      <x:c r="AA678" s="9"/>
      <x:c r="AB678" s="9" t="str">
        <x:v>furthest</x:v>
      </x:c>
      <x:c r="AC678" s="9"/>
      <x:c r="AD678" s="9"/>
      <x:c r="AE678" s="9"/>
      <x:c r="AF678" s="9"/>
      <x:c r="AG678" s="9" t="str">
        <x:v>airplane toy</x:v>
      </x:c>
      <x:c r="AH678" s="9"/>
      <x:c r="AI678" s="11"/>
      <x:c r="AJ678" s="9"/>
      <x:c r="AK678" s="9" t="str">
        <x:v>Eval_Referential_Disambiguation.xlsm</x:v>
      </x:c>
      <x:c r="AL678" s="9" t="str">
        <x:v>MolmoAct2 Results</x:v>
      </x:c>
      <x:c r="AM678" s="9" t="n">
        <x:v>58</x:v>
      </x:c>
      <x:c r="AN678" s="9" t="n">
        <x:v>58</x:v>
      </x:c>
    </x:row>
    <x:row r="679">
      <x:c r="A679" s="9" t="str">
        <x:v>Success</x:v>
      </x:c>
      <x:c r="B679" s="9" t="str">
        <x:v>Referential Disambiguation</x:v>
      </x:c>
      <x:c r="C679" s="10" t="n">
        <x:v>57</x:v>
      </x:c>
      <x:c r="D679" s="9" t="str">
        <x:v>Put the airplane toy without propellers in the bowl.</x:v>
      </x:c>
      <x:c r="E679" s="9" t="str">
        <x:v>airplane toy with propellers; airplane toy without propellers; yellow pen; green pen</x:v>
      </x:c>
      <x:c r="F679" s="9" t="str">
        <x:v>airplane toy without propellers</x:v>
      </x:c>
      <x:c r="G679" s="9"/>
      <x:c r="H679" s="9" t="str">
        <x:v>Matched manipulation control</x:v>
      </x:c>
      <x:c r="I679" s="9" t="str">
        <x:v>RD-CT10</x:v>
      </x:c>
      <x:c r="J679" s="9" t="str">
        <x:v>Exact-scene direct-identity manipulation control</x:v>
      </x:c>
      <x:c r="K679" s="9" t="n">
        <x:v>56</x:v>
      </x:c>
      <x:c r="L679" s="9" t="str">
        <x:v>567</x:v>
      </x:c>
      <x:c r="M679" s="9" t="str">
        <x:v>Exact masked-cell training prompt for the same target identity. The evaluation scene and physical endpoint are identical to the paired transfer row.</x:v>
      </x:c>
      <x:c r="N679" s="9" t="n">
        <x:v>2</x:v>
      </x:c>
      <x:c r="O679" s="9" t="str">
        <x:v>Reset the moved object exactly; preserve the scene; change only the instruction.</x:v>
      </x:c>
      <x:c r="P679" s="9" t="str">
        <x:v>Controls recognition and manipulation of the same target without requiring referential reasoning.</x:v>
      </x:c>
      <x:c r="Q679" s="9"/>
      <x:c r="R679" s="10" t="n">
        <x:v>4</x:v>
      </x:c>
      <x:c r="S679" s="10" t="n">
        <x:v>1</x:v>
      </x:c>
      <x:c r="T679" s="9" t="str">
        <x:v>Empty</x:v>
      </x:c>
      <x:c r="U679" s="9"/>
      <x:c r="V679" s="9"/>
      <x:c r="W679" s="9"/>
      <x:c r="X679" s="10"/>
      <x:c r="Y679" s="10"/>
      <x:c r="Z679" s="9"/>
      <x:c r="AA679" s="9"/>
      <x:c r="AB679" s="9" t="str">
        <x:v>direct name</x:v>
      </x:c>
      <x:c r="AC679" s="9"/>
      <x:c r="AD679" s="9"/>
      <x:c r="AE679" s="9"/>
      <x:c r="AF679" s="9"/>
      <x:c r="AG679" s="9" t="str">
        <x:v>airplane toy</x:v>
      </x:c>
      <x:c r="AH679" s="9"/>
      <x:c r="AI679" s="11"/>
      <x:c r="AJ679" s="9"/>
      <x:c r="AK679" s="9" t="str">
        <x:v>Eval_Referential_Disambiguation.xlsm</x:v>
      </x:c>
      <x:c r="AL679" s="9" t="str">
        <x:v>MolmoAct2 Results</x:v>
      </x:c>
      <x:c r="AM679" s="9" t="n">
        <x:v>59</x:v>
      </x:c>
      <x:c r="AN679" s="9" t="n">
        <x:v>59</x:v>
      </x:c>
    </x:row>
    <x:row r="680">
      <x:c r="A680" s="9" t="str">
        <x:v>Success</x:v>
      </x:c>
      <x:c r="B680" s="9" t="str">
        <x:v>Referential Disambiguation</x:v>
      </x:c>
      <x:c r="C680" s="10" t="n">
        <x:v>58</x:v>
      </x:c>
      <x:c r="D680" s="9" t="str">
        <x:v>Choose the airplane toy farthest from the yellow pen and put it in the bowl.</x:v>
      </x:c>
      <x:c r="E680" s="9" t="str">
        <x:v>airplane toy with propellers; airplane toy without propellers; yellow pen; green pen</x:v>
      </x:c>
      <x:c r="F680" s="9" t="str">
        <x:v>airplane toy without propellers</x:v>
      </x:c>
      <x:c r="G680" s="9"/>
      <x:c r="H680" s="9" t="str">
        <x:v>Language robustness</x:v>
      </x:c>
      <x:c r="I680" s="9" t="str">
        <x:v>RD-CT10</x:v>
      </x:c>
      <x:c r="J680" s="9" t="str">
        <x:v>Primary compositional-transfer prompt paraphrase</x:v>
      </x:c>
      <x:c r="K680" s="9" t="n">
        <x:v>56</x:v>
      </x:c>
      <x:c r="L680" s="9" t="str">
        <x:v>567</x:v>
      </x:c>
      <x:c r="M680" s="9" t="str">
        <x:v>Exact canonical transfer scene and masked trajectory reference; only the instruction wording changes. This remains a separate language diagnostic.</x:v>
      </x:c>
      <x:c r="N680" s="9" t="n">
        <x:v>2</x:v>
      </x:c>
      <x:c r="O680" s="9" t="str">
        <x:v>Reset the moved object exactly; preserve the scene; change only the wording.</x:v>
      </x:c>
      <x:c r="P680" s="9" t="str">
        <x:v>One of 10 exact-scene paraphrases of canonical transfer trials.</x:v>
      </x:c>
      <x:c r="Q680" s="9"/>
      <x:c r="R680" s="10" t="n">
        <x:v>4</x:v>
      </x:c>
      <x:c r="S680" s="10" t="n">
        <x:v>1</x:v>
      </x:c>
      <x:c r="T680" s="9" t="str">
        <x:v>Empty</x:v>
      </x:c>
      <x:c r="U680" s="9"/>
      <x:c r="V680" s="9"/>
      <x:c r="W680" s="9"/>
      <x:c r="X680" s="10"/>
      <x:c r="Y680" s="10"/>
      <x:c r="Z680" s="9"/>
      <x:c r="AA680" s="9"/>
      <x:c r="AB680" s="9" t="str">
        <x:v>furthest</x:v>
      </x:c>
      <x:c r="AC680" s="9"/>
      <x:c r="AD680" s="9"/>
      <x:c r="AE680" s="9"/>
      <x:c r="AF680" s="9"/>
      <x:c r="AG680" s="9" t="str">
        <x:v>airplane toy</x:v>
      </x:c>
      <x:c r="AH680" s="9"/>
      <x:c r="AI680" s="11"/>
      <x:c r="AJ680" s="9"/>
      <x:c r="AK680" s="9" t="str">
        <x:v>Eval_Referential_Disambiguation.xlsm</x:v>
      </x:c>
      <x:c r="AL680" s="9" t="str">
        <x:v>MolmoAct2 Results</x:v>
      </x:c>
      <x:c r="AM680" s="9" t="n">
        <x:v>60</x:v>
      </x:c>
      <x:c r="AN680" s="9" t="n">
        <x:v>60</x:v>
      </x:c>
    </x:row>
    <x:row r="681">
      <x:c r="A681" s="9" t="str">
        <x:v>Success</x:v>
      </x:c>
      <x:c r="B681" s="9" t="str">
        <x:v>Referential Disambiguation</x:v>
      </x:c>
      <x:c r="C681" s="10" t="n">
        <x:v>59</x:v>
      </x:c>
      <x:c r="D681" s="9" t="str">
        <x:v>Take the airplane toy without propellers and set it in the bowl.</x:v>
      </x:c>
      <x:c r="E681" s="9" t="str">
        <x:v>airplane toy with propellers; airplane toy without propellers; yellow pen; green pen</x:v>
      </x:c>
      <x:c r="F681" s="9" t="str">
        <x:v>airplane toy without propellers</x:v>
      </x:c>
      <x:c r="G681" s="9"/>
      <x:c r="H681" s="9" t="str">
        <x:v>Language robustness</x:v>
      </x:c>
      <x:c r="I681" s="9" t="str">
        <x:v>RD-CT10</x:v>
      </x:c>
      <x:c r="J681" s="9" t="str">
        <x:v>Matched-control direct-name prompt paraphrase</x:v>
      </x:c>
      <x:c r="K681" s="9" t="n">
        <x:v>57</x:v>
      </x:c>
      <x:c r="L681" s="9" t="str">
        <x:v>567</x:v>
      </x:c>
      <x:c r="M681" s="9" t="str">
        <x:v>Exact matched-control scene and target; only the direct-name instruction wording changes.</x:v>
      </x:c>
      <x:c r="N681" s="9" t="n">
        <x:v>2</x:v>
      </x:c>
      <x:c r="O681" s="9" t="str">
        <x:v>Reset the moved object exactly; preserve the scene; change only the wording.</x:v>
      </x:c>
      <x:c r="P681" s="9" t="str">
        <x:v>One of 10 exact-scene paraphrases of matched manipulation controls.</x:v>
      </x:c>
      <x:c r="Q681" s="9"/>
      <x:c r="R681" s="10" t="n">
        <x:v>4</x:v>
      </x:c>
      <x:c r="S681" s="10" t="n">
        <x:v>1</x:v>
      </x:c>
      <x:c r="T681" s="9" t="str">
        <x:v>Empty</x:v>
      </x:c>
      <x:c r="U681" s="9"/>
      <x:c r="V681" s="9"/>
      <x:c r="W681" s="9"/>
      <x:c r="X681" s="10"/>
      <x:c r="Y681" s="10"/>
      <x:c r="Z681" s="9"/>
      <x:c r="AA681" s="9"/>
      <x:c r="AB681" s="9" t="str">
        <x:v>direct-name paraphrase</x:v>
      </x:c>
      <x:c r="AC681" s="9"/>
      <x:c r="AD681" s="9"/>
      <x:c r="AE681" s="9"/>
      <x:c r="AF681" s="9"/>
      <x:c r="AG681" s="9" t="str">
        <x:v>airplane toy</x:v>
      </x:c>
      <x:c r="AH681" s="9"/>
      <x:c r="AI681" s="11"/>
      <x:c r="AJ681" s="9"/>
      <x:c r="AK681" s="9" t="str">
        <x:v>Eval_Referential_Disambiguation.xlsm</x:v>
      </x:c>
      <x:c r="AL681" s="9" t="str">
        <x:v>MolmoAct2 Results</x:v>
      </x:c>
      <x:c r="AM681" s="9" t="n">
        <x:v>61</x:v>
      </x:c>
      <x:c r="AN681" s="9" t="n">
        <x:v>61</x:v>
      </x:c>
    </x:row>
    <x:row r="682">
      <x:c r="A682" s="9" t="str">
        <x:v>Success</x:v>
      </x:c>
      <x:c r="B682" s="9" t="str">
        <x:v>Referential Disambiguation</x:v>
      </x:c>
      <x:c r="C682" s="10" t="n">
        <x:v>60</x:v>
      </x:c>
      <x:c r="D682" s="9" t="str">
        <x:v>Pick up the crushed soda can closest to the yellow pen and place it in the bowl.</x:v>
      </x:c>
      <x:c r="E682" s="9" t="str">
        <x:v>crushed Coke can; crushed Pepsi can; yellow pen; red pencil sharpener</x:v>
      </x:c>
      <x:c r="F682" s="9" t="str">
        <x:v>crushed Pepsi can</x:v>
      </x:c>
      <x:c r="G682" s="9"/>
      <x:c r="H682" s="9" t="str">
        <x:v>Concept/compositional transfer</x:v>
      </x:c>
      <x:c r="I682" s="9" t="str">
        <x:v>RD-CT11</x:v>
      </x:c>
      <x:c r="J682" s="9" t="str">
        <x:v>Primary held-out relation × candidate-category composition — Pick up</x:v>
      </x:c>
      <x:c r="K682" s="9"/>
      <x:c r="L682" s="9" t="str">
        <x:v>403</x:v>
      </x:c>
      <x:c r="M682" s="9" t="str">
        <x:v>Masked source trajectory: the target identity and physical manipulation are trained under a direct-name prompt, while this relation × candidate-category composition is intentionally absent.</x:v>
      </x:c>
      <x:c r="N682" s="9" t="n">
        <x:v>3</x:v>
      </x:c>
      <x:c r="O682" s="9" t="str">
        <x:v>Place the listed objects. Arrange Expected Target as the unique answer to the prompt; keep the bowl empty and save a reference image.</x:v>
      </x:c>
      <x:c r="P682" s="9" t="str">
        <x:v>Both candidates are present. The held-out relation is the only information that identifies the target.</x:v>
      </x:c>
      <x:c r="Q682" s="9"/>
      <x:c r="R682" s="10" t="n">
        <x:v>4</x:v>
      </x:c>
      <x:c r="S682" s="10" t="n">
        <x:v>1</x:v>
      </x:c>
      <x:c r="T682" s="9" t="str">
        <x:v>Empty</x:v>
      </x:c>
      <x:c r="U682" s="9"/>
      <x:c r="V682" s="9"/>
      <x:c r="W682" s="9"/>
      <x:c r="X682" s="10"/>
      <x:c r="Y682" s="10"/>
      <x:c r="Z682" s="9"/>
      <x:c r="AA682" s="9"/>
      <x:c r="AB682" s="9" t="str">
        <x:v>closest</x:v>
      </x:c>
      <x:c r="AC682" s="9"/>
      <x:c r="AD682" s="9"/>
      <x:c r="AE682" s="9"/>
      <x:c r="AF682" s="9"/>
      <x:c r="AG682" s="9" t="str">
        <x:v>crushed soda can</x:v>
      </x:c>
      <x:c r="AH682" s="9"/>
      <x:c r="AI682" s="11"/>
      <x:c r="AJ682" s="9"/>
      <x:c r="AK682" s="9" t="str">
        <x:v>Eval_Referential_Disambiguation.xlsm</x:v>
      </x:c>
      <x:c r="AL682" s="9" t="str">
        <x:v>MolmoAct2 Results</x:v>
      </x:c>
      <x:c r="AM682" s="9" t="n">
        <x:v>62</x:v>
      </x:c>
      <x:c r="AN682" s="9" t="n">
        <x:v>62</x:v>
      </x:c>
    </x:row>
    <x:row r="683">
      <x:c r="A683" s="9" t="str">
        <x:v>Success</x:v>
      </x:c>
      <x:c r="B683" s="9" t="str">
        <x:v>Referential Disambiguation</x:v>
      </x:c>
      <x:c r="C683" s="10" t="n">
        <x:v>61</x:v>
      </x:c>
      <x:c r="D683" s="9" t="str">
        <x:v>Put the crushed Pepsi can in the bowl.</x:v>
      </x:c>
      <x:c r="E683" s="9" t="str">
        <x:v>crushed Coke can; crushed Pepsi can; yellow pen; red pencil sharpener</x:v>
      </x:c>
      <x:c r="F683" s="9" t="str">
        <x:v>crushed Pepsi can</x:v>
      </x:c>
      <x:c r="G683" s="9" t="str">
        <x:v>good recovery example</x:v>
      </x:c>
      <x:c r="H683" s="9" t="str">
        <x:v>Matched manipulation control</x:v>
      </x:c>
      <x:c r="I683" s="9" t="str">
        <x:v>RD-CT11</x:v>
      </x:c>
      <x:c r="J683" s="9" t="str">
        <x:v>Exact-scene direct-identity manipulation control</x:v>
      </x:c>
      <x:c r="K683" s="9" t="n">
        <x:v>60</x:v>
      </x:c>
      <x:c r="L683" s="9" t="str">
        <x:v>403</x:v>
      </x:c>
      <x:c r="M683" s="9" t="str">
        <x:v>Exact masked-cell training prompt for the same target identity. The evaluation scene and physical endpoint are identical to the paired transfer row.</x:v>
      </x:c>
      <x:c r="N683" s="9" t="n">
        <x:v>3</x:v>
      </x:c>
      <x:c r="O683" s="9" t="str">
        <x:v>Reset the moved object exactly; preserve the scene; change only the instruction.</x:v>
      </x:c>
      <x:c r="P683" s="9" t="str">
        <x:v>Controls recognition and manipulation of the same target without requiring referential reasoning.</x:v>
      </x:c>
      <x:c r="Q683" s="9"/>
      <x:c r="R683" s="10" t="n">
        <x:v>4</x:v>
      </x:c>
      <x:c r="S683" s="10" t="n">
        <x:v>1</x:v>
      </x:c>
      <x:c r="T683" s="9" t="str">
        <x:v>Empty</x:v>
      </x:c>
      <x:c r="U683" s="9"/>
      <x:c r="V683" s="9"/>
      <x:c r="W683" s="9"/>
      <x:c r="X683" s="10"/>
      <x:c r="Y683" s="10"/>
      <x:c r="Z683" s="9"/>
      <x:c r="AA683" s="9"/>
      <x:c r="AB683" s="9" t="str">
        <x:v>direct name</x:v>
      </x:c>
      <x:c r="AC683" s="9"/>
      <x:c r="AD683" s="9"/>
      <x:c r="AE683" s="9"/>
      <x:c r="AF683" s="9"/>
      <x:c r="AG683" s="9" t="str">
        <x:v>crushed soda can</x:v>
      </x:c>
      <x:c r="AH683" s="9"/>
      <x:c r="AI683" s="11"/>
      <x:c r="AJ683" s="9"/>
      <x:c r="AK683" s="9" t="str">
        <x:v>Eval_Referential_Disambiguation.xlsm</x:v>
      </x:c>
      <x:c r="AL683" s="9" t="str">
        <x:v>MolmoAct2 Results</x:v>
      </x:c>
      <x:c r="AM683" s="9" t="n">
        <x:v>63</x:v>
      </x:c>
      <x:c r="AN683" s="9" t="n">
        <x:v>63</x:v>
      </x:c>
    </x:row>
    <x:row r="684">
      <x:c r="A684" s="9" t="str">
        <x:v>Success</x:v>
      </x:c>
      <x:c r="B684" s="9" t="str">
        <x:v>Referential Disambiguation</x:v>
      </x:c>
      <x:c r="C684" s="10" t="n">
        <x:v>62</x:v>
      </x:c>
      <x:c r="D684" s="9" t="str">
        <x:v>Pick up the pencil sharpener between the green pen and the crushed Coke can and place it in the bowl.</x:v>
      </x:c>
      <x:c r="E684" s="9" t="str">
        <x:v>green pencil sharpener; red pencil sharpener; green pen; crushed Coke can; yellow pen</x:v>
      </x:c>
      <x:c r="F684" s="9" t="str">
        <x:v>red pencil sharpener</x:v>
      </x:c>
      <x:c r="G684" s="9"/>
      <x:c r="H684" s="9" t="str">
        <x:v>Concept/compositional transfer</x:v>
      </x:c>
      <x:c r="I684" s="9" t="str">
        <x:v>RD-CT12</x:v>
      </x:c>
      <x:c r="J684" s="9" t="str">
        <x:v>Primary held-out relation × candidate-category composition — Pick up</x:v>
      </x:c>
      <x:c r="K684" s="9"/>
      <x:c r="L684" s="9" t="str">
        <x:v>481</x:v>
      </x:c>
      <x:c r="M684" s="9" t="str">
        <x:v>Masked source trajectory: the target identity and physical manipulation are trained under a direct-name prompt, while this relation × candidate-category composition is intentionally absent.</x:v>
      </x:c>
      <x:c r="N684" s="9" t="n">
        <x:v>3</x:v>
      </x:c>
      <x:c r="O684" s="9" t="str">
        <x:v>Place the listed objects. Arrange Expected Target as the unique answer to the prompt; keep the bowl empty and save a reference image.</x:v>
      </x:c>
      <x:c r="P684" s="9" t="str">
        <x:v>Both candidates are present. The held-out relation is the only information that identifies the target.</x:v>
      </x:c>
      <x:c r="Q684" s="9"/>
      <x:c r="R684" s="10" t="n">
        <x:v>5</x:v>
      </x:c>
      <x:c r="S684" s="10" t="n">
        <x:v>1</x:v>
      </x:c>
      <x:c r="T684" s="9" t="str">
        <x:v>Empty</x:v>
      </x:c>
      <x:c r="U684" s="9"/>
      <x:c r="V684" s="9"/>
      <x:c r="W684" s="9"/>
      <x:c r="X684" s="10"/>
      <x:c r="Y684" s="10"/>
      <x:c r="Z684" s="9"/>
      <x:c r="AA684" s="9"/>
      <x:c r="AB684" s="9" t="str">
        <x:v>between</x:v>
      </x:c>
      <x:c r="AC684" s="9"/>
      <x:c r="AD684" s="9"/>
      <x:c r="AE684" s="9"/>
      <x:c r="AF684" s="9"/>
      <x:c r="AG684" s="9" t="str">
        <x:v>pencil sharpener</x:v>
      </x:c>
      <x:c r="AH684" s="9"/>
      <x:c r="AI684" s="11"/>
      <x:c r="AJ684" s="9"/>
      <x:c r="AK684" s="9" t="str">
        <x:v>Eval_Referential_Disambiguation.xlsm</x:v>
      </x:c>
      <x:c r="AL684" s="9" t="str">
        <x:v>MolmoAct2 Results</x:v>
      </x:c>
      <x:c r="AM684" s="9" t="n">
        <x:v>64</x:v>
      </x:c>
      <x:c r="AN684" s="9" t="n">
        <x:v>64</x:v>
      </x:c>
    </x:row>
    <x:row r="685">
      <x:c r="A685" s="9" t="str">
        <x:v>Success</x:v>
      </x:c>
      <x:c r="B685" s="9" t="str">
        <x:v>Referential Disambiguation</x:v>
      </x:c>
      <x:c r="C685" s="10" t="n">
        <x:v>63</x:v>
      </x:c>
      <x:c r="D685" s="9" t="str">
        <x:v>Put the red pencil sharpener in the bowl.</x:v>
      </x:c>
      <x:c r="E685" s="9" t="str">
        <x:v>green pencil sharpener; red pencil sharpener; green pen; crushed Coke can; yellow pen</x:v>
      </x:c>
      <x:c r="F685" s="9" t="str">
        <x:v>red pencil sharpener</x:v>
      </x:c>
      <x:c r="G685" s="9"/>
      <x:c r="H685" s="9" t="str">
        <x:v>Matched manipulation control</x:v>
      </x:c>
      <x:c r="I685" s="9" t="str">
        <x:v>RD-CT12</x:v>
      </x:c>
      <x:c r="J685" s="9" t="str">
        <x:v>Exact-scene direct-identity manipulation control</x:v>
      </x:c>
      <x:c r="K685" s="9" t="n">
        <x:v>62</x:v>
      </x:c>
      <x:c r="L685" s="9" t="str">
        <x:v>481</x:v>
      </x:c>
      <x:c r="M685" s="9" t="str">
        <x:v>Exact masked-cell training prompt for the same target identity. The evaluation scene and physical endpoint are identical to the paired transfer row.</x:v>
      </x:c>
      <x:c r="N685" s="9" t="n">
        <x:v>3</x:v>
      </x:c>
      <x:c r="O685" s="9" t="str">
        <x:v>Reset the moved object exactly; preserve the scene; change only the instruction.</x:v>
      </x:c>
      <x:c r="P685" s="9" t="str">
        <x:v>Controls recognition and manipulation of the same target without requiring referential reasoning.</x:v>
      </x:c>
      <x:c r="Q685" s="9"/>
      <x:c r="R685" s="10" t="n">
        <x:v>5</x:v>
      </x:c>
      <x:c r="S685" s="10" t="n">
        <x:v>1</x:v>
      </x:c>
      <x:c r="T685" s="9" t="str">
        <x:v>Empty</x:v>
      </x:c>
      <x:c r="U685" s="9"/>
      <x:c r="V685" s="9"/>
      <x:c r="W685" s="9"/>
      <x:c r="X685" s="10"/>
      <x:c r="Y685" s="10"/>
      <x:c r="Z685" s="9"/>
      <x:c r="AA685" s="9"/>
      <x:c r="AB685" s="9" t="str">
        <x:v>direct name</x:v>
      </x:c>
      <x:c r="AC685" s="9"/>
      <x:c r="AD685" s="9"/>
      <x:c r="AE685" s="9"/>
      <x:c r="AF685" s="9"/>
      <x:c r="AG685" s="9" t="str">
        <x:v>pencil sharpener</x:v>
      </x:c>
      <x:c r="AH685" s="9"/>
      <x:c r="AI685" s="11"/>
      <x:c r="AJ685" s="9"/>
      <x:c r="AK685" s="9" t="str">
        <x:v>Eval_Referential_Disambiguation.xlsm</x:v>
      </x:c>
      <x:c r="AL685" s="9" t="str">
        <x:v>MolmoAct2 Results</x:v>
      </x:c>
      <x:c r="AM685" s="9" t="n">
        <x:v>65</x:v>
      </x:c>
      <x:c r="AN685" s="9" t="n">
        <x:v>65</x:v>
      </x:c>
    </x:row>
    <x:row r="686">
      <x:c r="A686" s="9" t="str">
        <x:v>Failure</x:v>
      </x:c>
      <x:c r="B686" s="9" t="str">
        <x:v>Referential Disambiguation</x:v>
      </x:c>
      <x:c r="C686" s="10" t="n">
        <x:v>64</x:v>
      </x:c>
      <x:c r="D686" s="9" t="str">
        <x:v>Put the airplane toy furthest from the crushed Pepsi can in the bowl.</x:v>
      </x:c>
      <x:c r="E686" s="9" t="str">
        <x:v>airplane toy with propellers; airplane toy without propellers; crushed Pepsi can</x:v>
      </x:c>
      <x:c r="F686" s="9" t="str">
        <x:v>airplane toy with propellers</x:v>
      </x:c>
      <x:c r="G686" s="9" t="str">
        <x:v>Picked the airplane toy closest</x:v>
      </x:c>
      <x:c r="H686" s="9" t="str">
        <x:v>Concept/compositional transfer</x:v>
      </x:c>
      <x:c r="I686" s="9" t="str">
        <x:v>RD-CT13</x:v>
      </x:c>
      <x:c r="J686" s="9" t="str">
        <x:v>Primary held-out relation × candidate-category composition — Put</x:v>
      </x:c>
      <x:c r="K686" s="9"/>
      <x:c r="L686" s="9" t="str">
        <x:v>570</x:v>
      </x:c>
      <x:c r="M686" s="9" t="str">
        <x:v>Masked source trajectory: the target identity and physical manipulation are trained under a direct-name prompt, while this relation × candidate-category composition is intentionally absent.</x:v>
      </x:c>
      <x:c r="N686" s="9" t="n">
        <x:v>3</x:v>
      </x:c>
      <x:c r="O686" s="9" t="str">
        <x:v>Place the listed objects. Arrange Expected Target as the unique answer to the prompt; keep the bowl empty and save a reference image.</x:v>
      </x:c>
      <x:c r="P686" s="9" t="str">
        <x:v>Both candidates are present. The held-out relation is the only information that identifies the target.</x:v>
      </x:c>
      <x:c r="Q686" s="9"/>
      <x:c r="R686" s="10" t="n">
        <x:v>3</x:v>
      </x:c>
      <x:c r="S686" s="10" t="n">
        <x:v>1</x:v>
      </x:c>
      <x:c r="T686" s="9" t="str">
        <x:v>Empty</x:v>
      </x:c>
      <x:c r="U686" s="9"/>
      <x:c r="V686" s="9"/>
      <x:c r="W686" s="9"/>
      <x:c r="X686" s="10"/>
      <x:c r="Y686" s="10"/>
      <x:c r="Z686" s="9"/>
      <x:c r="AA686" s="9"/>
      <x:c r="AB686" s="9" t="str">
        <x:v>furthest</x:v>
      </x:c>
      <x:c r="AC686" s="9"/>
      <x:c r="AD686" s="9"/>
      <x:c r="AE686" s="9"/>
      <x:c r="AF686" s="9"/>
      <x:c r="AG686" s="9" t="str">
        <x:v>airplane toy</x:v>
      </x:c>
      <x:c r="AH686" s="9"/>
      <x:c r="AI686" s="11"/>
      <x:c r="AJ686" s="9"/>
      <x:c r="AK686" s="9" t="str">
        <x:v>Eval_Referential_Disambiguation.xlsm</x:v>
      </x:c>
      <x:c r="AL686" s="9" t="str">
        <x:v>MolmoAct2 Results</x:v>
      </x:c>
      <x:c r="AM686" s="9" t="n">
        <x:v>66</x:v>
      </x:c>
      <x:c r="AN686" s="9" t="n">
        <x:v>66</x:v>
      </x:c>
    </x:row>
    <x:row r="687">
      <x:c r="A687" s="9" t="str">
        <x:v>Failure</x:v>
      </x:c>
      <x:c r="B687" s="9" t="str">
        <x:v>Referential Disambiguation</x:v>
      </x:c>
      <x:c r="C687" s="10" t="n">
        <x:v>65</x:v>
      </x:c>
      <x:c r="D687" s="9" t="str">
        <x:v>Put the airplane toy with propellers in the bowl.</x:v>
      </x:c>
      <x:c r="E687" s="9" t="str">
        <x:v>airplane toy with propellers; airplane toy without propellers; crushed Pepsi can</x:v>
      </x:c>
      <x:c r="F687" s="9" t="str">
        <x:v>airplane toy with propellers</x:v>
      </x:c>
      <x:c r="G687" s="9" t="str">
        <x:v>Picked non-propellor plane. Dropped it and picked it up.</x:v>
      </x:c>
      <x:c r="H687" s="9" t="str">
        <x:v>Matched manipulation control</x:v>
      </x:c>
      <x:c r="I687" s="9" t="str">
        <x:v>RD-CT13</x:v>
      </x:c>
      <x:c r="J687" s="9" t="str">
        <x:v>Exact-scene direct-identity manipulation control</x:v>
      </x:c>
      <x:c r="K687" s="9" t="n">
        <x:v>64</x:v>
      </x:c>
      <x:c r="L687" s="9" t="str">
        <x:v>570</x:v>
      </x:c>
      <x:c r="M687" s="9" t="str">
        <x:v>Exact masked-cell training prompt for the same target identity. The evaluation scene and physical endpoint are identical to the paired transfer row.</x:v>
      </x:c>
      <x:c r="N687" s="9" t="n">
        <x:v>3</x:v>
      </x:c>
      <x:c r="O687" s="9" t="str">
        <x:v>Reset the moved object exactly; preserve the scene; change only the instruction.</x:v>
      </x:c>
      <x:c r="P687" s="9" t="str">
        <x:v>Controls recognition and manipulation of the same target without requiring referential reasoning.</x:v>
      </x:c>
      <x:c r="Q687" s="9"/>
      <x:c r="R687" s="10" t="n">
        <x:v>3</x:v>
      </x:c>
      <x:c r="S687" s="10" t="n">
        <x:v>1</x:v>
      </x:c>
      <x:c r="T687" s="9" t="str">
        <x:v>Empty</x:v>
      </x:c>
      <x:c r="U687" s="9"/>
      <x:c r="V687" s="9"/>
      <x:c r="W687" s="9"/>
      <x:c r="X687" s="10"/>
      <x:c r="Y687" s="10"/>
      <x:c r="Z687" s="9"/>
      <x:c r="AA687" s="9"/>
      <x:c r="AB687" s="9" t="str">
        <x:v>direct name</x:v>
      </x:c>
      <x:c r="AC687" s="9"/>
      <x:c r="AD687" s="9"/>
      <x:c r="AE687" s="9"/>
      <x:c r="AF687" s="9"/>
      <x:c r="AG687" s="9" t="str">
        <x:v>airplane toy</x:v>
      </x:c>
      <x:c r="AH687" s="9"/>
      <x:c r="AI687" s="11"/>
      <x:c r="AJ687" s="9"/>
      <x:c r="AK687" s="9" t="str">
        <x:v>Eval_Referential_Disambiguation.xlsm</x:v>
      </x:c>
      <x:c r="AL687" s="9" t="str">
        <x:v>MolmoAct2 Results</x:v>
      </x:c>
      <x:c r="AM687" s="9" t="n">
        <x:v>67</x:v>
      </x:c>
      <x:c r="AN687" s="9" t="n">
        <x:v>67</x:v>
      </x:c>
    </x:row>
    <x:row r="688">
      <x:c r="A688" s="9" t="str">
        <x:v>Success</x:v>
      </x:c>
      <x:c r="B688" s="9" t="str">
        <x:v>Referential Disambiguation</x:v>
      </x:c>
      <x:c r="C688" s="10" t="n">
        <x:v>66</x:v>
      </x:c>
      <x:c r="D688" s="9" t="str">
        <x:v>Put the crushed soda can closest to the airplane toy without propellers in the bowl.</x:v>
      </x:c>
      <x:c r="E688" s="9" t="str">
        <x:v>crushed Coke can; crushed Pepsi can; airplane toy without propellers</x:v>
      </x:c>
      <x:c r="F688" s="9" t="str">
        <x:v>crushed Coke can</x:v>
      </x:c>
      <x:c r="G688" s="9"/>
      <x:c r="H688" s="9" t="str">
        <x:v>Concept/compositional transfer</x:v>
      </x:c>
      <x:c r="I688" s="9" t="str">
        <x:v>RD-CT14</x:v>
      </x:c>
      <x:c r="J688" s="9" t="str">
        <x:v>Primary held-out relation × candidate-category composition — Put</x:v>
      </x:c>
      <x:c r="K688" s="9"/>
      <x:c r="L688" s="9" t="str">
        <x:v>404</x:v>
      </x:c>
      <x:c r="M688" s="9" t="str">
        <x:v>Masked source trajectory: the target identity and physical manipulation are trained under a direct-name prompt, while this relation × candidate-category composition is intentionally absent.</x:v>
      </x:c>
      <x:c r="N688" s="9" t="n">
        <x:v>3</x:v>
      </x:c>
      <x:c r="O688" s="9" t="str">
        <x:v>Place the listed objects. Arrange Expected Target as the unique answer to the prompt; keep the bowl empty and save a reference image.</x:v>
      </x:c>
      <x:c r="P688" s="9" t="str">
        <x:v>Both candidates are present. The held-out relation is the only information that identifies the target.</x:v>
      </x:c>
      <x:c r="Q688" s="9"/>
      <x:c r="R688" s="10" t="n">
        <x:v>3</x:v>
      </x:c>
      <x:c r="S688" s="10" t="n">
        <x:v>1</x:v>
      </x:c>
      <x:c r="T688" s="9" t="str">
        <x:v>Empty</x:v>
      </x:c>
      <x:c r="U688" s="9"/>
      <x:c r="V688" s="9"/>
      <x:c r="W688" s="9"/>
      <x:c r="X688" s="10"/>
      <x:c r="Y688" s="10"/>
      <x:c r="Z688" s="9"/>
      <x:c r="AA688" s="9"/>
      <x:c r="AB688" s="9" t="str">
        <x:v>closest</x:v>
      </x:c>
      <x:c r="AC688" s="9"/>
      <x:c r="AD688" s="9"/>
      <x:c r="AE688" s="9"/>
      <x:c r="AF688" s="9"/>
      <x:c r="AG688" s="9" t="str">
        <x:v>crushed soda can</x:v>
      </x:c>
      <x:c r="AH688" s="9"/>
      <x:c r="AI688" s="11"/>
      <x:c r="AJ688" s="9"/>
      <x:c r="AK688" s="9" t="str">
        <x:v>Eval_Referential_Disambiguation.xlsm</x:v>
      </x:c>
      <x:c r="AL688" s="9" t="str">
        <x:v>MolmoAct2 Results</x:v>
      </x:c>
      <x:c r="AM688" s="9" t="n">
        <x:v>68</x:v>
      </x:c>
      <x:c r="AN688" s="9" t="n">
        <x:v>68</x:v>
      </x:c>
    </x:row>
    <x:row r="689">
      <x:c r="A689" s="9" t="str">
        <x:v>Success</x:v>
      </x:c>
      <x:c r="B689" s="9" t="str">
        <x:v>Referential Disambiguation</x:v>
      </x:c>
      <x:c r="C689" s="10" t="n">
        <x:v>67</x:v>
      </x:c>
      <x:c r="D689" s="9" t="str">
        <x:v>Pick up the crushed Coke can and place it in the bowl.</x:v>
      </x:c>
      <x:c r="E689" s="9" t="str">
        <x:v>crushed Coke can; crushed Pepsi can; airplane toy without propellers</x:v>
      </x:c>
      <x:c r="F689" s="9" t="str">
        <x:v>crushed Coke can</x:v>
      </x:c>
      <x:c r="G689" s="9"/>
      <x:c r="H689" s="9" t="str">
        <x:v>Matched manipulation control</x:v>
      </x:c>
      <x:c r="I689" s="9" t="str">
        <x:v>RD-CT14</x:v>
      </x:c>
      <x:c r="J689" s="9" t="str">
        <x:v>Exact-scene direct-identity manipulation control</x:v>
      </x:c>
      <x:c r="K689" s="9" t="n">
        <x:v>66</x:v>
      </x:c>
      <x:c r="L689" s="9" t="str">
        <x:v>404</x:v>
      </x:c>
      <x:c r="M689" s="9" t="str">
        <x:v>Exact masked-cell training prompt for the same target identity. The evaluation scene and physical endpoint are identical to the paired transfer row.</x:v>
      </x:c>
      <x:c r="N689" s="9" t="n">
        <x:v>3</x:v>
      </x:c>
      <x:c r="O689" s="9" t="str">
        <x:v>Reset the moved object exactly; preserve the scene; change only the instruction.</x:v>
      </x:c>
      <x:c r="P689" s="9" t="str">
        <x:v>Controls recognition and manipulation of the same target without requiring referential reasoning.</x:v>
      </x:c>
      <x:c r="Q689" s="9"/>
      <x:c r="R689" s="10" t="n">
        <x:v>3</x:v>
      </x:c>
      <x:c r="S689" s="10" t="n">
        <x:v>1</x:v>
      </x:c>
      <x:c r="T689" s="9" t="str">
        <x:v>Empty</x:v>
      </x:c>
      <x:c r="U689" s="9"/>
      <x:c r="V689" s="9"/>
      <x:c r="W689" s="9"/>
      <x:c r="X689" s="10"/>
      <x:c r="Y689" s="10"/>
      <x:c r="Z689" s="9"/>
      <x:c r="AA689" s="9"/>
      <x:c r="AB689" s="9" t="str">
        <x:v>direct name</x:v>
      </x:c>
      <x:c r="AC689" s="9"/>
      <x:c r="AD689" s="9"/>
      <x:c r="AE689" s="9"/>
      <x:c r="AF689" s="9"/>
      <x:c r="AG689" s="9" t="str">
        <x:v>crushed soda can</x:v>
      </x:c>
      <x:c r="AH689" s="9"/>
      <x:c r="AI689" s="11"/>
      <x:c r="AJ689" s="9"/>
      <x:c r="AK689" s="9" t="str">
        <x:v>Eval_Referential_Disambiguation.xlsm</x:v>
      </x:c>
      <x:c r="AL689" s="9" t="str">
        <x:v>MolmoAct2 Results</x:v>
      </x:c>
      <x:c r="AM689" s="9" t="n">
        <x:v>69</x:v>
      </x:c>
      <x:c r="AN689" s="9" t="n">
        <x:v>69</x:v>
      </x:c>
    </x:row>
    <x:row r="690">
      <x:c r="A690" s="9" t="str">
        <x:v>Success</x:v>
      </x:c>
      <x:c r="B690" s="9" t="str">
        <x:v>Referential Disambiguation</x:v>
      </x:c>
      <x:c r="C690" s="10" t="n">
        <x:v>68</x:v>
      </x:c>
      <x:c r="D690" s="9" t="str">
        <x:v>Put the pencil sharpener between the airplane toy with propellers and the yellow pen in the bowl.</x:v>
      </x:c>
      <x:c r="E690" s="9" t="str">
        <x:v>green pencil sharpener; red pencil sharpener; airplane toy with propellers; yellow pen</x:v>
      </x:c>
      <x:c r="F690" s="9" t="str">
        <x:v>green pencil sharpener</x:v>
      </x:c>
      <x:c r="G690" s="9"/>
      <x:c r="H690" s="9" t="str">
        <x:v>Concept/compositional transfer</x:v>
      </x:c>
      <x:c r="I690" s="9" t="str">
        <x:v>RD-CT15</x:v>
      </x:c>
      <x:c r="J690" s="9" t="str">
        <x:v>Primary held-out relation × candidate-category composition — Put</x:v>
      </x:c>
      <x:c r="K690" s="9"/>
      <x:c r="L690" s="9" t="str">
        <x:v>485</x:v>
      </x:c>
      <x:c r="M690" s="9" t="str">
        <x:v>Masked source trajectory: the target identity and physical manipulation are trained under a direct-name prompt, while this relation × candidate-category composition is intentionally absent.</x:v>
      </x:c>
      <x:c r="N690" s="9" t="n">
        <x:v>3</x:v>
      </x:c>
      <x:c r="O690" s="9" t="str">
        <x:v>Place the listed objects. Arrange Expected Target as the unique answer to the prompt; keep the bowl empty and save a reference image.</x:v>
      </x:c>
      <x:c r="P690" s="9" t="str">
        <x:v>Both candidates are present. The held-out relation is the only information that identifies the target.</x:v>
      </x:c>
      <x:c r="Q690" s="9"/>
      <x:c r="R690" s="10" t="n">
        <x:v>4</x:v>
      </x:c>
      <x:c r="S690" s="10" t="n">
        <x:v>1</x:v>
      </x:c>
      <x:c r="T690" s="9" t="str">
        <x:v>Empty</x:v>
      </x:c>
      <x:c r="U690" s="9"/>
      <x:c r="V690" s="9"/>
      <x:c r="W690" s="9"/>
      <x:c r="X690" s="10"/>
      <x:c r="Y690" s="10"/>
      <x:c r="Z690" s="9"/>
      <x:c r="AA690" s="9"/>
      <x:c r="AB690" s="9" t="str">
        <x:v>between</x:v>
      </x:c>
      <x:c r="AC690" s="9"/>
      <x:c r="AD690" s="9"/>
      <x:c r="AE690" s="9"/>
      <x:c r="AF690" s="9"/>
      <x:c r="AG690" s="9" t="str">
        <x:v>pencil sharpener</x:v>
      </x:c>
      <x:c r="AH690" s="9"/>
      <x:c r="AI690" s="11"/>
      <x:c r="AJ690" s="9"/>
      <x:c r="AK690" s="9" t="str">
        <x:v>Eval_Referential_Disambiguation.xlsm</x:v>
      </x:c>
      <x:c r="AL690" s="9" t="str">
        <x:v>MolmoAct2 Results</x:v>
      </x:c>
      <x:c r="AM690" s="9" t="n">
        <x:v>70</x:v>
      </x:c>
      <x:c r="AN690" s="9" t="n">
        <x:v>70</x:v>
      </x:c>
    </x:row>
    <x:row r="691">
      <x:c r="A691" s="9" t="str">
        <x:v>Failure</x:v>
      </x:c>
      <x:c r="B691" s="9" t="str">
        <x:v>Referential Disambiguation</x:v>
      </x:c>
      <x:c r="C691" s="10" t="n">
        <x:v>69</x:v>
      </x:c>
      <x:c r="D691" s="9" t="str">
        <x:v>Pick up the green pencil sharpener and place it in the bowl.</x:v>
      </x:c>
      <x:c r="E691" s="9" t="str">
        <x:v>green pencil sharpener; red pencil sharpener; airplane toy with propellers; yellow pen</x:v>
      </x:c>
      <x:c r="F691" s="9" t="str">
        <x:v>green pencil sharpener</x:v>
      </x:c>
      <x:c r="G691" s="9" t="str">
        <x:v>failed grasping, but went for the green pencil sharpener</x:v>
      </x:c>
      <x:c r="H691" s="9" t="str">
        <x:v>Matched manipulation control</x:v>
      </x:c>
      <x:c r="I691" s="9" t="str">
        <x:v>RD-CT15</x:v>
      </x:c>
      <x:c r="J691" s="9" t="str">
        <x:v>Exact-scene direct-identity manipulation control</x:v>
      </x:c>
      <x:c r="K691" s="9" t="n">
        <x:v>68</x:v>
      </x:c>
      <x:c r="L691" s="9" t="str">
        <x:v>485</x:v>
      </x:c>
      <x:c r="M691" s="9" t="str">
        <x:v>Exact masked-cell training prompt for the same target identity. The evaluation scene and physical endpoint are identical to the paired transfer row.</x:v>
      </x:c>
      <x:c r="N691" s="9" t="n">
        <x:v>3</x:v>
      </x:c>
      <x:c r="O691" s="9" t="str">
        <x:v>Reset the moved object exactly; preserve the scene; change only the instruction.</x:v>
      </x:c>
      <x:c r="P691" s="9" t="str">
        <x:v>Controls recognition and manipulation of the same target without requiring referential reasoning.</x:v>
      </x:c>
      <x:c r="Q691" s="9"/>
      <x:c r="R691" s="10" t="n">
        <x:v>4</x:v>
      </x:c>
      <x:c r="S691" s="10" t="n">
        <x:v>1</x:v>
      </x:c>
      <x:c r="T691" s="9" t="str">
        <x:v>Empty</x:v>
      </x:c>
      <x:c r="U691" s="9"/>
      <x:c r="V691" s="9"/>
      <x:c r="W691" s="9"/>
      <x:c r="X691" s="10"/>
      <x:c r="Y691" s="10"/>
      <x:c r="Z691" s="9"/>
      <x:c r="AA691" s="9"/>
      <x:c r="AB691" s="9" t="str">
        <x:v>direct name</x:v>
      </x:c>
      <x:c r="AC691" s="9"/>
      <x:c r="AD691" s="9"/>
      <x:c r="AE691" s="9"/>
      <x:c r="AF691" s="9"/>
      <x:c r="AG691" s="9" t="str">
        <x:v>pencil sharpener</x:v>
      </x:c>
      <x:c r="AH691" s="9"/>
      <x:c r="AI691" s="11"/>
      <x:c r="AJ691" s="9"/>
      <x:c r="AK691" s="9" t="str">
        <x:v>Eval_Referential_Disambiguation.xlsm</x:v>
      </x:c>
      <x:c r="AL691" s="9" t="str">
        <x:v>MolmoAct2 Results</x:v>
      </x:c>
      <x:c r="AM691" s="9" t="n">
        <x:v>71</x:v>
      </x:c>
      <x:c r="AN691" s="9" t="n">
        <x:v>71</x:v>
      </x:c>
    </x:row>
    <x:row r="692">
      <x:c r="A692" s="9" t="str">
        <x:v>Success</x:v>
      </x:c>
      <x:c r="B692" s="9" t="str">
        <x:v>Referential Disambiguation</x:v>
      </x:c>
      <x:c r="C692" s="10" t="n">
        <x:v>70</x:v>
      </x:c>
      <x:c r="D692" s="9" t="str">
        <x:v>Move the airplane toy furthest from the red pencil sharpener into the bowl.</x:v>
      </x:c>
      <x:c r="E692" s="9" t="str">
        <x:v>airplane toy with propellers; airplane toy without propellers; red pencil sharpener; crushed Coke can</x:v>
      </x:c>
      <x:c r="F692" s="9" t="str">
        <x:v>airplane toy with propellers</x:v>
      </x:c>
      <x:c r="G692" s="9"/>
      <x:c r="H692" s="9" t="str">
        <x:v>Concept/compositional transfer</x:v>
      </x:c>
      <x:c r="I692" s="9" t="str">
        <x:v>RD-CT16</x:v>
      </x:c>
      <x:c r="J692" s="9" t="str">
        <x:v>Primary held-out relation × candidate-category composition — Move</x:v>
      </x:c>
      <x:c r="K692" s="9"/>
      <x:c r="L692" s="9" t="str">
        <x:v>572</x:v>
      </x:c>
      <x:c r="M692" s="9" t="str">
        <x:v>Masked source trajectory: the target identity and physical manipulation are trained under a direct-name prompt, while this relation × candidate-category composition is intentionally absent.</x:v>
      </x:c>
      <x:c r="N692" s="9" t="n">
        <x:v>3</x:v>
      </x:c>
      <x:c r="O692" s="9" t="str">
        <x:v>Place the listed objects. Arrange Expected Target as the unique answer to the prompt; keep the bowl empty and save a reference image.</x:v>
      </x:c>
      <x:c r="P692" s="9" t="str">
        <x:v>Both candidates are present. The held-out relation is the only information that identifies the target.</x:v>
      </x:c>
      <x:c r="Q692" s="9"/>
      <x:c r="R692" s="10" t="n">
        <x:v>4</x:v>
      </x:c>
      <x:c r="S692" s="10" t="n">
        <x:v>1</x:v>
      </x:c>
      <x:c r="T692" s="9" t="str">
        <x:v>Empty</x:v>
      </x:c>
      <x:c r="U692" s="9"/>
      <x:c r="V692" s="9"/>
      <x:c r="W692" s="9"/>
      <x:c r="X692" s="10"/>
      <x:c r="Y692" s="10"/>
      <x:c r="Z692" s="9"/>
      <x:c r="AA692" s="9"/>
      <x:c r="AB692" s="9" t="str">
        <x:v>furthest</x:v>
      </x:c>
      <x:c r="AC692" s="9"/>
      <x:c r="AD692" s="9"/>
      <x:c r="AE692" s="9"/>
      <x:c r="AF692" s="9"/>
      <x:c r="AG692" s="9" t="str">
        <x:v>airplane toy</x:v>
      </x:c>
      <x:c r="AH692" s="9"/>
      <x:c r="AI692" s="11"/>
      <x:c r="AJ692" s="9"/>
      <x:c r="AK692" s="9" t="str">
        <x:v>Eval_Referential_Disambiguation.xlsm</x:v>
      </x:c>
      <x:c r="AL692" s="9" t="str">
        <x:v>MolmoAct2 Results</x:v>
      </x:c>
      <x:c r="AM692" s="9" t="n">
        <x:v>72</x:v>
      </x:c>
      <x:c r="AN692" s="9" t="n">
        <x:v>72</x:v>
      </x:c>
    </x:row>
    <x:row r="693">
      <x:c r="A693" s="9" t="str">
        <x:v>Success</x:v>
      </x:c>
      <x:c r="B693" s="9" t="str">
        <x:v>Referential Disambiguation</x:v>
      </x:c>
      <x:c r="C693" s="10" t="n">
        <x:v>71</x:v>
      </x:c>
      <x:c r="D693" s="9" t="str">
        <x:v>Move the airplane toy with propellers into the bowl.</x:v>
      </x:c>
      <x:c r="E693" s="9" t="str">
        <x:v>airplane toy with propellers; airplane toy without propellers; red pencil sharpener; crushed Coke can</x:v>
      </x:c>
      <x:c r="F693" s="9" t="str">
        <x:v>airplane toy with propellers</x:v>
      </x:c>
      <x:c r="G693" s="9"/>
      <x:c r="H693" s="9" t="str">
        <x:v>Matched manipulation control</x:v>
      </x:c>
      <x:c r="I693" s="9" t="str">
        <x:v>RD-CT16</x:v>
      </x:c>
      <x:c r="J693" s="9" t="str">
        <x:v>Exact-scene direct-identity manipulation control</x:v>
      </x:c>
      <x:c r="K693" s="9" t="n">
        <x:v>70</x:v>
      </x:c>
      <x:c r="L693" s="9" t="str">
        <x:v>572</x:v>
      </x:c>
      <x:c r="M693" s="9" t="str">
        <x:v>Exact masked-cell training prompt for the same target identity. The evaluation scene and physical endpoint are identical to the paired transfer row.</x:v>
      </x:c>
      <x:c r="N693" s="9" t="n">
        <x:v>3</x:v>
      </x:c>
      <x:c r="O693" s="9" t="str">
        <x:v>Reset the moved object exactly; preserve the scene; change only the instruction.</x:v>
      </x:c>
      <x:c r="P693" s="9" t="str">
        <x:v>Controls recognition and manipulation of the same target without requiring referential reasoning.</x:v>
      </x:c>
      <x:c r="Q693" s="9"/>
      <x:c r="R693" s="10" t="n">
        <x:v>4</x:v>
      </x:c>
      <x:c r="S693" s="10" t="n">
        <x:v>1</x:v>
      </x:c>
      <x:c r="T693" s="9" t="str">
        <x:v>Empty</x:v>
      </x:c>
      <x:c r="U693" s="9"/>
      <x:c r="V693" s="9"/>
      <x:c r="W693" s="9"/>
      <x:c r="X693" s="10"/>
      <x:c r="Y693" s="10"/>
      <x:c r="Z693" s="9"/>
      <x:c r="AA693" s="9"/>
      <x:c r="AB693" s="9" t="str">
        <x:v>direct name</x:v>
      </x:c>
      <x:c r="AC693" s="9"/>
      <x:c r="AD693" s="9"/>
      <x:c r="AE693" s="9"/>
      <x:c r="AF693" s="9"/>
      <x:c r="AG693" s="9" t="str">
        <x:v>airplane toy</x:v>
      </x:c>
      <x:c r="AH693" s="9"/>
      <x:c r="AI693" s="11"/>
      <x:c r="AJ693" s="9"/>
      <x:c r="AK693" s="9" t="str">
        <x:v>Eval_Referential_Disambiguation.xlsm</x:v>
      </x:c>
      <x:c r="AL693" s="9" t="str">
        <x:v>MolmoAct2 Results</x:v>
      </x:c>
      <x:c r="AM693" s="9" t="n">
        <x:v>73</x:v>
      </x:c>
      <x:c r="AN693" s="9" t="n">
        <x:v>73</x:v>
      </x:c>
    </x:row>
    <x:row r="694">
      <x:c r="A694" s="9" t="str">
        <x:v>Success</x:v>
      </x:c>
      <x:c r="B694" s="9" t="str">
        <x:v>Referential Disambiguation</x:v>
      </x:c>
      <x:c r="C694" s="10" t="n">
        <x:v>72</x:v>
      </x:c>
      <x:c r="D694" s="9" t="str">
        <x:v>Move the crushed soda can closest to the red pencil sharpener into the bowl.</x:v>
      </x:c>
      <x:c r="E694" s="9" t="str">
        <x:v>crushed Coke can; crushed Pepsi can; red pencil sharpener; yellow pen</x:v>
      </x:c>
      <x:c r="F694" s="9" t="str">
        <x:v>crushed Coke can</x:v>
      </x:c>
      <x:c r="G694" s="9"/>
      <x:c r="H694" s="9" t="str">
        <x:v>Concept/compositional transfer</x:v>
      </x:c>
      <x:c r="I694" s="9" t="str">
        <x:v>RD-CT17</x:v>
      </x:c>
      <x:c r="J694" s="9" t="str">
        <x:v>Primary held-out relation × candidate-category composition — Move</x:v>
      </x:c>
      <x:c r="K694" s="9"/>
      <x:c r="L694" s="9" t="str">
        <x:v>406</x:v>
      </x:c>
      <x:c r="M694" s="9" t="str">
        <x:v>Masked source trajectory: the target identity and physical manipulation are trained under a direct-name prompt, while this relation × candidate-category composition is intentionally absent.</x:v>
      </x:c>
      <x:c r="N694" s="9" t="n">
        <x:v>3</x:v>
      </x:c>
      <x:c r="O694" s="9" t="str">
        <x:v>Place the listed objects. Arrange Expected Target as the unique answer to the prompt; keep the bowl empty and save a reference image.</x:v>
      </x:c>
      <x:c r="P694" s="9" t="str">
        <x:v>Both candidates are present. The held-out relation is the only information that identifies the target.</x:v>
      </x:c>
      <x:c r="Q694" s="9"/>
      <x:c r="R694" s="10" t="n">
        <x:v>4</x:v>
      </x:c>
      <x:c r="S694" s="10" t="n">
        <x:v>1</x:v>
      </x:c>
      <x:c r="T694" s="9" t="str">
        <x:v>Empty</x:v>
      </x:c>
      <x:c r="U694" s="9"/>
      <x:c r="V694" s="9"/>
      <x:c r="W694" s="9"/>
      <x:c r="X694" s="10"/>
      <x:c r="Y694" s="10"/>
      <x:c r="Z694" s="9"/>
      <x:c r="AA694" s="9"/>
      <x:c r="AB694" s="9" t="str">
        <x:v>closest</x:v>
      </x:c>
      <x:c r="AC694" s="9"/>
      <x:c r="AD694" s="9"/>
      <x:c r="AE694" s="9"/>
      <x:c r="AF694" s="9"/>
      <x:c r="AG694" s="9" t="str">
        <x:v>crushed soda can</x:v>
      </x:c>
      <x:c r="AH694" s="9"/>
      <x:c r="AI694" s="11"/>
      <x:c r="AJ694" s="9"/>
      <x:c r="AK694" s="9" t="str">
        <x:v>Eval_Referential_Disambiguation.xlsm</x:v>
      </x:c>
      <x:c r="AL694" s="9" t="str">
        <x:v>MolmoAct2 Results</x:v>
      </x:c>
      <x:c r="AM694" s="9" t="n">
        <x:v>74</x:v>
      </x:c>
      <x:c r="AN694" s="9" t="n">
        <x:v>74</x:v>
      </x:c>
    </x:row>
    <x:row r="695">
      <x:c r="A695" s="9" t="str">
        <x:v>Success</x:v>
      </x:c>
      <x:c r="B695" s="9" t="str">
        <x:v>Referential Disambiguation</x:v>
      </x:c>
      <x:c r="C695" s="10" t="n">
        <x:v>73</x:v>
      </x:c>
      <x:c r="D695" s="9" t="str">
        <x:v>Put the crushed Coke can in the bowl.</x:v>
      </x:c>
      <x:c r="E695" s="9" t="str">
        <x:v>crushed Coke can; crushed Pepsi can; red pencil sharpener; yellow pen</x:v>
      </x:c>
      <x:c r="F695" s="9" t="str">
        <x:v>crushed Coke can</x:v>
      </x:c>
      <x:c r="G695" s="9"/>
      <x:c r="H695" s="9" t="str">
        <x:v>Matched manipulation control</x:v>
      </x:c>
      <x:c r="I695" s="9" t="str">
        <x:v>RD-CT17</x:v>
      </x:c>
      <x:c r="J695" s="9" t="str">
        <x:v>Exact-scene direct-identity manipulation control</x:v>
      </x:c>
      <x:c r="K695" s="9" t="n">
        <x:v>72</x:v>
      </x:c>
      <x:c r="L695" s="9" t="str">
        <x:v>406</x:v>
      </x:c>
      <x:c r="M695" s="9" t="str">
        <x:v>Exact masked-cell training prompt for the same target identity. The evaluation scene and physical endpoint are identical to the paired transfer row.</x:v>
      </x:c>
      <x:c r="N695" s="9" t="n">
        <x:v>3</x:v>
      </x:c>
      <x:c r="O695" s="9" t="str">
        <x:v>Reset the moved object exactly; preserve the scene; change only the instruction.</x:v>
      </x:c>
      <x:c r="P695" s="9" t="str">
        <x:v>Controls recognition and manipulation of the same target without requiring referential reasoning.</x:v>
      </x:c>
      <x:c r="Q695" s="9"/>
      <x:c r="R695" s="10" t="n">
        <x:v>4</x:v>
      </x:c>
      <x:c r="S695" s="10" t="n">
        <x:v>1</x:v>
      </x:c>
      <x:c r="T695" s="9" t="str">
        <x:v>Empty</x:v>
      </x:c>
      <x:c r="U695" s="9"/>
      <x:c r="V695" s="9"/>
      <x:c r="W695" s="9"/>
      <x:c r="X695" s="10"/>
      <x:c r="Y695" s="10"/>
      <x:c r="Z695" s="9"/>
      <x:c r="AA695" s="9"/>
      <x:c r="AB695" s="9" t="str">
        <x:v>direct name</x:v>
      </x:c>
      <x:c r="AC695" s="9"/>
      <x:c r="AD695" s="9"/>
      <x:c r="AE695" s="9"/>
      <x:c r="AF695" s="9"/>
      <x:c r="AG695" s="9" t="str">
        <x:v>crushed soda can</x:v>
      </x:c>
      <x:c r="AH695" s="9"/>
      <x:c r="AI695" s="11"/>
      <x:c r="AJ695" s="9"/>
      <x:c r="AK695" s="9" t="str">
        <x:v>Eval_Referential_Disambiguation.xlsm</x:v>
      </x:c>
      <x:c r="AL695" s="9" t="str">
        <x:v>MolmoAct2 Results</x:v>
      </x:c>
      <x:c r="AM695" s="9" t="n">
        <x:v>75</x:v>
      </x:c>
      <x:c r="AN695" s="9" t="n">
        <x:v>75</x:v>
      </x:c>
    </x:row>
    <x:row r="696">
      <x:c r="A696" s="9" t="str">
        <x:v>Success</x:v>
      </x:c>
      <x:c r="B696" s="9" t="str">
        <x:v>Referential Disambiguation</x:v>
      </x:c>
      <x:c r="C696" s="10" t="n">
        <x:v>74</x:v>
      </x:c>
      <x:c r="D696" s="9" t="str">
        <x:v>Move the pencil sharpener between the crushed Pepsi can and the airplane toy without propellers into the bowl.</x:v>
      </x:c>
      <x:c r="E696" s="9" t="str">
        <x:v>green pencil sharpener; red pencil sharpener; crushed Pepsi can; airplane toy without propellers; airplane toy with propellers</x:v>
      </x:c>
      <x:c r="F696" s="9" t="str">
        <x:v>green pencil sharpener</x:v>
      </x:c>
      <x:c r="G696" s="9" t="str">
        <x:v>Weird back and forth motion before getting the plan</x:v>
      </x:c>
      <x:c r="H696" s="9" t="str">
        <x:v>Concept/compositional transfer</x:v>
      </x:c>
      <x:c r="I696" s="9" t="str">
        <x:v>RD-CT18</x:v>
      </x:c>
      <x:c r="J696" s="9" t="str">
        <x:v>Primary held-out relation × candidate-category composition — Move</x:v>
      </x:c>
      <x:c r="K696" s="9"/>
      <x:c r="L696" s="9" t="str">
        <x:v>487</x:v>
      </x:c>
      <x:c r="M696" s="9" t="str">
        <x:v>Masked source trajectory: the target identity and physical manipulation are trained under a direct-name prompt, while this relation × candidate-category composition is intentionally absent.</x:v>
      </x:c>
      <x:c r="N696" s="9" t="n">
        <x:v>3</x:v>
      </x:c>
      <x:c r="O696" s="9" t="str">
        <x:v>Place the listed objects. Arrange Expected Target as the unique answer to the prompt; keep the bowl empty and save a reference image.</x:v>
      </x:c>
      <x:c r="P696" s="9" t="str">
        <x:v>Both candidates are present. The held-out relation is the only information that identifies the target.</x:v>
      </x:c>
      <x:c r="Q696" s="9"/>
      <x:c r="R696" s="10" t="n">
        <x:v>5</x:v>
      </x:c>
      <x:c r="S696" s="10" t="n">
        <x:v>1</x:v>
      </x:c>
      <x:c r="T696" s="9" t="str">
        <x:v>Empty</x:v>
      </x:c>
      <x:c r="U696" s="9"/>
      <x:c r="V696" s="9"/>
      <x:c r="W696" s="9"/>
      <x:c r="X696" s="10"/>
      <x:c r="Y696" s="10"/>
      <x:c r="Z696" s="9"/>
      <x:c r="AA696" s="9"/>
      <x:c r="AB696" s="9" t="str">
        <x:v>between</x:v>
      </x:c>
      <x:c r="AC696" s="9"/>
      <x:c r="AD696" s="9"/>
      <x:c r="AE696" s="9"/>
      <x:c r="AF696" s="9"/>
      <x:c r="AG696" s="9" t="str">
        <x:v>pencil sharpener</x:v>
      </x:c>
      <x:c r="AH696" s="9"/>
      <x:c r="AI696" s="11"/>
      <x:c r="AJ696" s="9"/>
      <x:c r="AK696" s="9" t="str">
        <x:v>Eval_Referential_Disambiguation.xlsm</x:v>
      </x:c>
      <x:c r="AL696" s="9" t="str">
        <x:v>MolmoAct2 Results</x:v>
      </x:c>
      <x:c r="AM696" s="9" t="n">
        <x:v>76</x:v>
      </x:c>
      <x:c r="AN696" s="9" t="n">
        <x:v>76</x:v>
      </x:c>
    </x:row>
    <x:row r="697">
      <x:c r="A697" s="9" t="str">
        <x:v>Success</x:v>
      </x:c>
      <x:c r="B697" s="9" t="str">
        <x:v>Referential Disambiguation</x:v>
      </x:c>
      <x:c r="C697" s="10" t="n">
        <x:v>75</x:v>
      </x:c>
      <x:c r="D697" s="9" t="str">
        <x:v>Put the green pencil sharpener in the bowl.</x:v>
      </x:c>
      <x:c r="E697" s="9" t="str">
        <x:v>green pencil sharpener; red pencil sharpener; crushed Pepsi can; airplane toy without propellers; airplane toy with propellers</x:v>
      </x:c>
      <x:c r="F697" s="9" t="str">
        <x:v>green pencil sharpener</x:v>
      </x:c>
      <x:c r="G697" s="9"/>
      <x:c r="H697" s="9" t="str">
        <x:v>Matched manipulation control</x:v>
      </x:c>
      <x:c r="I697" s="9" t="str">
        <x:v>RD-CT18</x:v>
      </x:c>
      <x:c r="J697" s="9" t="str">
        <x:v>Exact-scene direct-identity manipulation control</x:v>
      </x:c>
      <x:c r="K697" s="9" t="n">
        <x:v>74</x:v>
      </x:c>
      <x:c r="L697" s="9" t="str">
        <x:v>487</x:v>
      </x:c>
      <x:c r="M697" s="9" t="str">
        <x:v>Exact masked-cell training prompt for the same target identity. The evaluation scene and physical endpoint are identical to the paired transfer row.</x:v>
      </x:c>
      <x:c r="N697" s="9" t="n">
        <x:v>3</x:v>
      </x:c>
      <x:c r="O697" s="9" t="str">
        <x:v>Reset the moved object exactly; preserve the scene; change only the instruction.</x:v>
      </x:c>
      <x:c r="P697" s="9" t="str">
        <x:v>Controls recognition and manipulation of the same target without requiring referential reasoning.</x:v>
      </x:c>
      <x:c r="Q697" s="9"/>
      <x:c r="R697" s="10" t="n">
        <x:v>5</x:v>
      </x:c>
      <x:c r="S697" s="10" t="n">
        <x:v>1</x:v>
      </x:c>
      <x:c r="T697" s="9" t="str">
        <x:v>Empty</x:v>
      </x:c>
      <x:c r="U697" s="9"/>
      <x:c r="V697" s="9"/>
      <x:c r="W697" s="9"/>
      <x:c r="X697" s="10"/>
      <x:c r="Y697" s="10"/>
      <x:c r="Z697" s="9"/>
      <x:c r="AA697" s="9"/>
      <x:c r="AB697" s="9" t="str">
        <x:v>direct name</x:v>
      </x:c>
      <x:c r="AC697" s="9"/>
      <x:c r="AD697" s="9"/>
      <x:c r="AE697" s="9"/>
      <x:c r="AF697" s="9"/>
      <x:c r="AG697" s="9" t="str">
        <x:v>pencil sharpener</x:v>
      </x:c>
      <x:c r="AH697" s="9"/>
      <x:c r="AI697" s="11"/>
      <x:c r="AJ697" s="9"/>
      <x:c r="AK697" s="9" t="str">
        <x:v>Eval_Referential_Disambiguation.xlsm</x:v>
      </x:c>
      <x:c r="AL697" s="9" t="str">
        <x:v>MolmoAct2 Results</x:v>
      </x:c>
      <x:c r="AM697" s="9" t="n">
        <x:v>77</x:v>
      </x:c>
      <x:c r="AN697" s="9" t="n">
        <x:v>77</x:v>
      </x:c>
    </x:row>
    <x:row r="698">
      <x:c r="A698" s="9" t="str">
        <x:v>Success</x:v>
      </x:c>
      <x:c r="B698" s="9" t="str">
        <x:v>Referential Disambiguation</x:v>
      </x:c>
      <x:c r="C698" s="10" t="n">
        <x:v>76</x:v>
      </x:c>
      <x:c r="D698" s="9" t="str">
        <x:v>Pick up the airplane toy furthest from the green pen and place it in the bowl.</x:v>
      </x:c>
      <x:c r="E698" s="9" t="str">
        <x:v>airplane toy with propellers; airplane toy without propellers; green pen</x:v>
      </x:c>
      <x:c r="F698" s="9" t="str">
        <x:v>airplane toy without propellers</x:v>
      </x:c>
      <x:c r="G698" s="9"/>
      <x:c r="H698" s="9" t="str">
        <x:v>Concept/compositional transfer</x:v>
      </x:c>
      <x:c r="I698" s="9" t="str">
        <x:v>RD-CT19</x:v>
      </x:c>
      <x:c r="J698" s="9" t="str">
        <x:v>Primary held-out relation × candidate-category composition — Pick up</x:v>
      </x:c>
      <x:c r="K698" s="9"/>
      <x:c r="L698" s="9" t="str">
        <x:v>569</x:v>
      </x:c>
      <x:c r="M698" s="9" t="str">
        <x:v>Masked source trajectory: the target identity and physical manipulation are trained under a direct-name prompt, while this relation × candidate-category composition is intentionally absent.</x:v>
      </x:c>
      <x:c r="N698" s="9" t="n">
        <x:v>3</x:v>
      </x:c>
      <x:c r="O698" s="9" t="str">
        <x:v>Place the listed objects. Arrange Expected Target as the unique answer to the prompt; keep the bowl empty and save a reference image.</x:v>
      </x:c>
      <x:c r="P698" s="9" t="str">
        <x:v>Both candidates are present. The held-out relation is the only information that identifies the target.</x:v>
      </x:c>
      <x:c r="Q698" s="9"/>
      <x:c r="R698" s="10" t="n">
        <x:v>3</x:v>
      </x:c>
      <x:c r="S698" s="10" t="n">
        <x:v>1</x:v>
      </x:c>
      <x:c r="T698" s="9" t="str">
        <x:v>Empty</x:v>
      </x:c>
      <x:c r="U698" s="9"/>
      <x:c r="V698" s="9"/>
      <x:c r="W698" s="9"/>
      <x:c r="X698" s="10"/>
      <x:c r="Y698" s="10"/>
      <x:c r="Z698" s="9"/>
      <x:c r="AA698" s="9"/>
      <x:c r="AB698" s="9" t="str">
        <x:v>furthest</x:v>
      </x:c>
      <x:c r="AC698" s="9"/>
      <x:c r="AD698" s="9"/>
      <x:c r="AE698" s="9"/>
      <x:c r="AF698" s="9"/>
      <x:c r="AG698" s="9" t="str">
        <x:v>airplane toy</x:v>
      </x:c>
      <x:c r="AH698" s="9"/>
      <x:c r="AI698" s="11"/>
      <x:c r="AJ698" s="9"/>
      <x:c r="AK698" s="9" t="str">
        <x:v>Eval_Referential_Disambiguation.xlsm</x:v>
      </x:c>
      <x:c r="AL698" s="9" t="str">
        <x:v>MolmoAct2 Results</x:v>
      </x:c>
      <x:c r="AM698" s="9" t="n">
        <x:v>78</x:v>
      </x:c>
      <x:c r="AN698" s="9" t="n">
        <x:v>78</x:v>
      </x:c>
    </x:row>
    <x:row r="699">
      <x:c r="A699" s="9" t="str">
        <x:v>Success</x:v>
      </x:c>
      <x:c r="B699" s="9" t="str">
        <x:v>Referential Disambiguation</x:v>
      </x:c>
      <x:c r="C699" s="10" t="n">
        <x:v>77</x:v>
      </x:c>
      <x:c r="D699" s="9" t="str">
        <x:v>Put the airplane toy without propellers in the bowl.</x:v>
      </x:c>
      <x:c r="E699" s="9" t="str">
        <x:v>airplane toy with propellers; airplane toy without propellers; green pen</x:v>
      </x:c>
      <x:c r="F699" s="9" t="str">
        <x:v>airplane toy without propellers</x:v>
      </x:c>
      <x:c r="G699" s="9"/>
      <x:c r="H699" s="9" t="str">
        <x:v>Matched manipulation control</x:v>
      </x:c>
      <x:c r="I699" s="9" t="str">
        <x:v>RD-CT19</x:v>
      </x:c>
      <x:c r="J699" s="9" t="str">
        <x:v>Exact-scene direct-identity manipulation control</x:v>
      </x:c>
      <x:c r="K699" s="9" t="n">
        <x:v>76</x:v>
      </x:c>
      <x:c r="L699" s="9" t="str">
        <x:v>569</x:v>
      </x:c>
      <x:c r="M699" s="9" t="str">
        <x:v>Exact masked-cell training prompt for the same target identity. The evaluation scene and physical endpoint are identical to the paired transfer row.</x:v>
      </x:c>
      <x:c r="N699" s="9" t="n">
        <x:v>3</x:v>
      </x:c>
      <x:c r="O699" s="9" t="str">
        <x:v>Reset the moved object exactly; preserve the scene; change only the instruction.</x:v>
      </x:c>
      <x:c r="P699" s="9" t="str">
        <x:v>Controls recognition and manipulation of the same target without requiring referential reasoning.</x:v>
      </x:c>
      <x:c r="Q699" s="9"/>
      <x:c r="R699" s="10" t="n">
        <x:v>3</x:v>
      </x:c>
      <x:c r="S699" s="10" t="n">
        <x:v>1</x:v>
      </x:c>
      <x:c r="T699" s="9" t="str">
        <x:v>Empty</x:v>
      </x:c>
      <x:c r="U699" s="9"/>
      <x:c r="V699" s="9"/>
      <x:c r="W699" s="9"/>
      <x:c r="X699" s="10"/>
      <x:c r="Y699" s="10"/>
      <x:c r="Z699" s="9"/>
      <x:c r="AA699" s="9"/>
      <x:c r="AB699" s="9" t="str">
        <x:v>direct name</x:v>
      </x:c>
      <x:c r="AC699" s="9"/>
      <x:c r="AD699" s="9"/>
      <x:c r="AE699" s="9"/>
      <x:c r="AF699" s="9"/>
      <x:c r="AG699" s="9" t="str">
        <x:v>airplane toy</x:v>
      </x:c>
      <x:c r="AH699" s="9"/>
      <x:c r="AI699" s="11"/>
      <x:c r="AJ699" s="9"/>
      <x:c r="AK699" s="9" t="str">
        <x:v>Eval_Referential_Disambiguation.xlsm</x:v>
      </x:c>
      <x:c r="AL699" s="9" t="str">
        <x:v>MolmoAct2 Results</x:v>
      </x:c>
      <x:c r="AM699" s="9" t="n">
        <x:v>79</x:v>
      </x:c>
      <x:c r="AN699" s="9" t="n">
        <x:v>79</x:v>
      </x:c>
    </x:row>
    <x:row r="700">
      <x:c r="A700" s="9" t="str">
        <x:v>Success</x:v>
      </x:c>
      <x:c r="B700" s="9" t="str">
        <x:v>Referential Disambiguation</x:v>
      </x:c>
      <x:c r="C700" s="10" t="n">
        <x:v>78</x:v>
      </x:c>
      <x:c r="D700" s="9" t="str">
        <x:v>Pick up the crushed soda can closest to the green pen and place it in the bowl.</x:v>
      </x:c>
      <x:c r="E700" s="9" t="str">
        <x:v>crushed Coke can; crushed Pepsi can; green pen</x:v>
      </x:c>
      <x:c r="F700" s="9" t="str">
        <x:v>crushed Pepsi can</x:v>
      </x:c>
      <x:c r="G700" s="9"/>
      <x:c r="H700" s="9" t="str">
        <x:v>Concept/compositional transfer</x:v>
      </x:c>
      <x:c r="I700" s="9" t="str">
        <x:v>RD-CT20</x:v>
      </x:c>
      <x:c r="J700" s="9" t="str">
        <x:v>Primary held-out relation × candidate-category composition — Pick up</x:v>
      </x:c>
      <x:c r="K700" s="9"/>
      <x:c r="L700" s="9" t="str">
        <x:v>405</x:v>
      </x:c>
      <x:c r="M700" s="9" t="str">
        <x:v>Masked source trajectory: the target identity and physical manipulation are trained under a direct-name prompt, while this relation × candidate-category composition is intentionally absent.</x:v>
      </x:c>
      <x:c r="N700" s="9" t="n">
        <x:v>3</x:v>
      </x:c>
      <x:c r="O700" s="9" t="str">
        <x:v>Place the listed objects. Arrange Expected Target as the unique answer to the prompt; keep the bowl empty and save a reference image.</x:v>
      </x:c>
      <x:c r="P700" s="9" t="str">
        <x:v>Both candidates are present. The held-out relation is the only information that identifies the target.</x:v>
      </x:c>
      <x:c r="Q700" s="9"/>
      <x:c r="R700" s="10" t="n">
        <x:v>3</x:v>
      </x:c>
      <x:c r="S700" s="10" t="n">
        <x:v>1</x:v>
      </x:c>
      <x:c r="T700" s="9" t="str">
        <x:v>Empty</x:v>
      </x:c>
      <x:c r="U700" s="9"/>
      <x:c r="V700" s="9"/>
      <x:c r="W700" s="9"/>
      <x:c r="X700" s="10"/>
      <x:c r="Y700" s="10"/>
      <x:c r="Z700" s="9"/>
      <x:c r="AA700" s="9"/>
      <x:c r="AB700" s="9" t="str">
        <x:v>closest</x:v>
      </x:c>
      <x:c r="AC700" s="9"/>
      <x:c r="AD700" s="9"/>
      <x:c r="AE700" s="9"/>
      <x:c r="AF700" s="9"/>
      <x:c r="AG700" s="9" t="str">
        <x:v>crushed soda can</x:v>
      </x:c>
      <x:c r="AH700" s="9"/>
      <x:c r="AI700" s="11"/>
      <x:c r="AJ700" s="9"/>
      <x:c r="AK700" s="9" t="str">
        <x:v>Eval_Referential_Disambiguation.xlsm</x:v>
      </x:c>
      <x:c r="AL700" s="9" t="str">
        <x:v>MolmoAct2 Results</x:v>
      </x:c>
      <x:c r="AM700" s="9" t="n">
        <x:v>80</x:v>
      </x:c>
      <x:c r="AN700" s="9" t="n">
        <x:v>80</x:v>
      </x:c>
    </x:row>
    <x:row r="701">
      <x:c r="A701" s="9" t="str">
        <x:v>Success</x:v>
      </x:c>
      <x:c r="B701" s="9" t="str">
        <x:v>Referential Disambiguation</x:v>
      </x:c>
      <x:c r="C701" s="10" t="n">
        <x:v>79</x:v>
      </x:c>
      <x:c r="D701" s="9" t="str">
        <x:v>Move the crushed Pepsi can into the bowl.</x:v>
      </x:c>
      <x:c r="E701" s="9" t="str">
        <x:v>crushed Coke can; crushed Pepsi can; green pen</x:v>
      </x:c>
      <x:c r="F701" s="9" t="str">
        <x:v>crushed Pepsi can</x:v>
      </x:c>
      <x:c r="G701" s="9"/>
      <x:c r="H701" s="9" t="str">
        <x:v>Matched manipulation control</x:v>
      </x:c>
      <x:c r="I701" s="9" t="str">
        <x:v>RD-CT20</x:v>
      </x:c>
      <x:c r="J701" s="9" t="str">
        <x:v>Exact-scene direct-identity manipulation control</x:v>
      </x:c>
      <x:c r="K701" s="9" t="n">
        <x:v>78</x:v>
      </x:c>
      <x:c r="L701" s="9" t="str">
        <x:v>405</x:v>
      </x:c>
      <x:c r="M701" s="9" t="str">
        <x:v>Exact masked-cell training prompt for the same target identity. The evaluation scene and physical endpoint are identical to the paired transfer row.</x:v>
      </x:c>
      <x:c r="N701" s="9" t="n">
        <x:v>3</x:v>
      </x:c>
      <x:c r="O701" s="9" t="str">
        <x:v>Reset the moved object exactly; preserve the scene; change only the instruction.</x:v>
      </x:c>
      <x:c r="P701" s="9" t="str">
        <x:v>Controls recognition and manipulation of the same target without requiring referential reasoning.</x:v>
      </x:c>
      <x:c r="Q701" s="9"/>
      <x:c r="R701" s="10" t="n">
        <x:v>3</x:v>
      </x:c>
      <x:c r="S701" s="10" t="n">
        <x:v>1</x:v>
      </x:c>
      <x:c r="T701" s="9" t="str">
        <x:v>Empty</x:v>
      </x:c>
      <x:c r="U701" s="9"/>
      <x:c r="V701" s="9"/>
      <x:c r="W701" s="9"/>
      <x:c r="X701" s="10"/>
      <x:c r="Y701" s="10"/>
      <x:c r="Z701" s="9"/>
      <x:c r="AA701" s="9"/>
      <x:c r="AB701" s="9" t="str">
        <x:v>direct name</x:v>
      </x:c>
      <x:c r="AC701" s="9"/>
      <x:c r="AD701" s="9"/>
      <x:c r="AE701" s="9"/>
      <x:c r="AF701" s="9"/>
      <x:c r="AG701" s="9" t="str">
        <x:v>crushed soda can</x:v>
      </x:c>
      <x:c r="AH701" s="9"/>
      <x:c r="AI701" s="11"/>
      <x:c r="AJ701" s="9"/>
      <x:c r="AK701" s="9" t="str">
        <x:v>Eval_Referential_Disambiguation.xlsm</x:v>
      </x:c>
      <x:c r="AL701" s="9" t="str">
        <x:v>MolmoAct2 Results</x:v>
      </x:c>
      <x:c r="AM701" s="9" t="n">
        <x:v>81</x:v>
      </x:c>
      <x:c r="AN701" s="9" t="n">
        <x:v>81</x:v>
      </x:c>
    </x:row>
    <x:row r="702">
      <x:c r="A702" s="9" t="str">
        <x:v>Success</x:v>
      </x:c>
      <x:c r="B702" s="9" t="str">
        <x:v>Referential Disambiguation</x:v>
      </x:c>
      <x:c r="C702" s="10" t="n">
        <x:v>80</x:v>
      </x:c>
      <x:c r="D702" s="9" t="str">
        <x:v>Pick up the pencil sharpener between the green pen and the crushed Coke can and place it in the bowl.</x:v>
      </x:c>
      <x:c r="E702" s="9" t="str">
        <x:v>green pencil sharpener; red pencil sharpener; green pen; crushed Coke can</x:v>
      </x:c>
      <x:c r="F702" s="9" t="str">
        <x:v>red pencil sharpener</x:v>
      </x:c>
      <x:c r="G702" s="9"/>
      <x:c r="H702" s="9" t="str">
        <x:v>Concept/compositional transfer</x:v>
      </x:c>
      <x:c r="I702" s="9" t="str">
        <x:v>RD-CT21</x:v>
      </x:c>
      <x:c r="J702" s="9" t="str">
        <x:v>Primary held-out relation × candidate-category composition — Pick up</x:v>
      </x:c>
      <x:c r="K702" s="9"/>
      <x:c r="L702" s="9" t="str">
        <x:v>484</x:v>
      </x:c>
      <x:c r="M702" s="9" t="str">
        <x:v>Masked source trajectory: the target identity and physical manipulation are trained under a direct-name prompt, while this relation × candidate-category composition is intentionally absent.</x:v>
      </x:c>
      <x:c r="N702" s="9" t="n">
        <x:v>4</x:v>
      </x:c>
      <x:c r="O702" s="9" t="str">
        <x:v>Place the listed objects. Arrange Expected Target as the unique answer to the prompt; keep the bowl empty and save a reference image.</x:v>
      </x:c>
      <x:c r="P702" s="9" t="str">
        <x:v>Both candidates are present. The held-out relation is the only information that identifies the target.</x:v>
      </x:c>
      <x:c r="Q702" s="9"/>
      <x:c r="R702" s="10" t="n">
        <x:v>4</x:v>
      </x:c>
      <x:c r="S702" s="10" t="n">
        <x:v>1</x:v>
      </x:c>
      <x:c r="T702" s="9" t="str">
        <x:v>Empty</x:v>
      </x:c>
      <x:c r="U702" s="9"/>
      <x:c r="V702" s="9"/>
      <x:c r="W702" s="9"/>
      <x:c r="X702" s="10"/>
      <x:c r="Y702" s="10"/>
      <x:c r="Z702" s="9"/>
      <x:c r="AA702" s="9"/>
      <x:c r="AB702" s="9" t="str">
        <x:v>between</x:v>
      </x:c>
      <x:c r="AC702" s="9"/>
      <x:c r="AD702" s="9"/>
      <x:c r="AE702" s="9"/>
      <x:c r="AF702" s="9"/>
      <x:c r="AG702" s="9" t="str">
        <x:v>pencil sharpener</x:v>
      </x:c>
      <x:c r="AH702" s="9"/>
      <x:c r="AI702" s="11"/>
      <x:c r="AJ702" s="9"/>
      <x:c r="AK702" s="9" t="str">
        <x:v>Eval_Referential_Disambiguation.xlsm</x:v>
      </x:c>
      <x:c r="AL702" s="9" t="str">
        <x:v>MolmoAct2 Results</x:v>
      </x:c>
      <x:c r="AM702" s="9" t="n">
        <x:v>82</x:v>
      </x:c>
      <x:c r="AN702" s="9" t="n">
        <x:v>82</x:v>
      </x:c>
    </x:row>
    <x:row r="703">
      <x:c r="A703" s="9" t="str">
        <x:v>Success</x:v>
      </x:c>
      <x:c r="B703" s="9" t="str">
        <x:v>Referential Disambiguation</x:v>
      </x:c>
      <x:c r="C703" s="10" t="n">
        <x:v>81</x:v>
      </x:c>
      <x:c r="D703" s="9" t="str">
        <x:v>Put the airplane toy furthest from the crushed Coke can in the bowl.</x:v>
      </x:c>
      <x:c r="E703" s="9" t="str">
        <x:v>airplane toy with propellers; airplane toy without propellers; crushed Coke can; green pencil sharpener</x:v>
      </x:c>
      <x:c r="F703" s="9" t="str">
        <x:v>airplane toy without propellers</x:v>
      </x:c>
      <x:c r="G703" s="9"/>
      <x:c r="H703" s="9" t="str">
        <x:v>Concept/compositional transfer</x:v>
      </x:c>
      <x:c r="I703" s="9" t="str">
        <x:v>RD-CT22</x:v>
      </x:c>
      <x:c r="J703" s="9" t="str">
        <x:v>Primary held-out relation × candidate-category composition — Put</x:v>
      </x:c>
      <x:c r="K703" s="9"/>
      <x:c r="L703" s="9" t="str">
        <x:v>571</x:v>
      </x:c>
      <x:c r="M703" s="9" t="str">
        <x:v>Masked source trajectory: the target identity and physical manipulation are trained under a direct-name prompt, while this relation × candidate-category composition is intentionally absent.</x:v>
      </x:c>
      <x:c r="N703" s="9" t="n">
        <x:v>4</x:v>
      </x:c>
      <x:c r="O703" s="9" t="str">
        <x:v>Place the listed objects. Arrange Expected Target as the unique answer to the prompt; keep the bowl empty and save a reference image.</x:v>
      </x:c>
      <x:c r="P703" s="9" t="str">
        <x:v>Both candidates are present. The held-out relation is the only information that identifies the target.</x:v>
      </x:c>
      <x:c r="Q703" s="9"/>
      <x:c r="R703" s="10" t="n">
        <x:v>4</x:v>
      </x:c>
      <x:c r="S703" s="10" t="n">
        <x:v>1</x:v>
      </x:c>
      <x:c r="T703" s="9" t="str">
        <x:v>Empty</x:v>
      </x:c>
      <x:c r="U703" s="9"/>
      <x:c r="V703" s="9"/>
      <x:c r="W703" s="9"/>
      <x:c r="X703" s="10"/>
      <x:c r="Y703" s="10"/>
      <x:c r="Z703" s="9"/>
      <x:c r="AA703" s="9"/>
      <x:c r="AB703" s="9" t="str">
        <x:v>furthest</x:v>
      </x:c>
      <x:c r="AC703" s="9"/>
      <x:c r="AD703" s="9"/>
      <x:c r="AE703" s="9"/>
      <x:c r="AF703" s="9"/>
      <x:c r="AG703" s="9" t="str">
        <x:v>airplane toy</x:v>
      </x:c>
      <x:c r="AH703" s="9"/>
      <x:c r="AI703" s="11"/>
      <x:c r="AJ703" s="9"/>
      <x:c r="AK703" s="9" t="str">
        <x:v>Eval_Referential_Disambiguation.xlsm</x:v>
      </x:c>
      <x:c r="AL703" s="9" t="str">
        <x:v>MolmoAct2 Results</x:v>
      </x:c>
      <x:c r="AM703" s="9" t="n">
        <x:v>83</x:v>
      </x:c>
      <x:c r="AN703" s="9" t="n">
        <x:v>83</x:v>
      </x:c>
    </x:row>
    <x:row r="704">
      <x:c r="A704" s="9" t="str">
        <x:v>Success</x:v>
      </x:c>
      <x:c r="B704" s="9" t="str">
        <x:v>Referential Disambiguation</x:v>
      </x:c>
      <x:c r="C704" s="10" t="n">
        <x:v>82</x:v>
      </x:c>
      <x:c r="D704" s="9" t="str">
        <x:v>Put the crushed soda can closest to the airplane toy with propellers in the bowl.</x:v>
      </x:c>
      <x:c r="E704" s="9" t="str">
        <x:v>crushed Coke can; crushed Pepsi can; airplane toy with propellers; yellow pen</x:v>
      </x:c>
      <x:c r="F704" s="9" t="str">
        <x:v>crushed Pepsi can</x:v>
      </x:c>
      <x:c r="G704" s="9"/>
      <x:c r="H704" s="9" t="str">
        <x:v>Concept/compositional transfer</x:v>
      </x:c>
      <x:c r="I704" s="9" t="str">
        <x:v>RD-CT23</x:v>
      </x:c>
      <x:c r="J704" s="9" t="str">
        <x:v>Primary held-out relation × candidate-category composition — Put</x:v>
      </x:c>
      <x:c r="K704" s="9"/>
      <x:c r="L704" s="9" t="str">
        <x:v>407</x:v>
      </x:c>
      <x:c r="M704" s="9" t="str">
        <x:v>Masked source trajectory: the target identity and physical manipulation are trained under a direct-name prompt, while this relation × candidate-category composition is intentionally absent.</x:v>
      </x:c>
      <x:c r="N704" s="9" t="n">
        <x:v>4</x:v>
      </x:c>
      <x:c r="O704" s="9" t="str">
        <x:v>Place the listed objects. Arrange Expected Target as the unique answer to the prompt; keep the bowl empty and save a reference image.</x:v>
      </x:c>
      <x:c r="P704" s="9" t="str">
        <x:v>Both candidates are present. The held-out relation is the only information that identifies the target.</x:v>
      </x:c>
      <x:c r="Q704" s="9"/>
      <x:c r="R704" s="10" t="n">
        <x:v>4</x:v>
      </x:c>
      <x:c r="S704" s="10" t="n">
        <x:v>1</x:v>
      </x:c>
      <x:c r="T704" s="9" t="str">
        <x:v>Empty</x:v>
      </x:c>
      <x:c r="U704" s="9"/>
      <x:c r="V704" s="9"/>
      <x:c r="W704" s="9"/>
      <x:c r="X704" s="10"/>
      <x:c r="Y704" s="10"/>
      <x:c r="Z704" s="9"/>
      <x:c r="AA704" s="9"/>
      <x:c r="AB704" s="9" t="str">
        <x:v>closest</x:v>
      </x:c>
      <x:c r="AC704" s="9"/>
      <x:c r="AD704" s="9"/>
      <x:c r="AE704" s="9"/>
      <x:c r="AF704" s="9"/>
      <x:c r="AG704" s="9" t="str">
        <x:v>crushed soda can</x:v>
      </x:c>
      <x:c r="AH704" s="9"/>
      <x:c r="AI704" s="11"/>
      <x:c r="AJ704" s="9"/>
      <x:c r="AK704" s="9" t="str">
        <x:v>Eval_Referential_Disambiguation.xlsm</x:v>
      </x:c>
      <x:c r="AL704" s="9" t="str">
        <x:v>MolmoAct2 Results</x:v>
      </x:c>
      <x:c r="AM704" s="9" t="n">
        <x:v>84</x:v>
      </x:c>
      <x:c r="AN704" s="9" t="n">
        <x:v>84</x:v>
      </x:c>
    </x:row>
    <x:row r="705">
      <x:c r="A705" s="9" t="str">
        <x:v>Failure</x:v>
      </x:c>
      <x:c r="B705" s="9" t="str">
        <x:v>Referential Disambiguation</x:v>
      </x:c>
      <x:c r="C705" s="10" t="n">
        <x:v>83</x:v>
      </x:c>
      <x:c r="D705" s="9" t="str">
        <x:v>Put the pencil sharpener between the airplane toy with propellers and the yellow pen in the bowl.</x:v>
      </x:c>
      <x:c r="E705" s="9" t="str">
        <x:v>green pencil sharpener; red pencil sharpener; airplane toy with propellers; yellow pen; crushed Pepsi can</x:v>
      </x:c>
      <x:c r="F705" s="9" t="str">
        <x:v>red pencil sharpener</x:v>
      </x:c>
      <x:c r="G705" s="9" t="str">
        <x:v>picked green pencil sharpener. reasoning failure</x:v>
      </x:c>
      <x:c r="H705" s="9" t="str">
        <x:v>Concept/compositional transfer</x:v>
      </x:c>
      <x:c r="I705" s="9" t="str">
        <x:v>RD-CT24</x:v>
      </x:c>
      <x:c r="J705" s="9" t="str">
        <x:v>Primary held-out relation × candidate-category composition — Put</x:v>
      </x:c>
      <x:c r="K705" s="9"/>
      <x:c r="L705" s="9" t="str">
        <x:v>486</x:v>
      </x:c>
      <x:c r="M705" s="9" t="str">
        <x:v>Masked source trajectory: the target identity and physical manipulation are trained under a direct-name prompt, while this relation × candidate-category composition is intentionally absent.</x:v>
      </x:c>
      <x:c r="N705" s="9" t="n">
        <x:v>4</x:v>
      </x:c>
      <x:c r="O705" s="9" t="str">
        <x:v>Place the listed objects. Arrange Expected Target as the unique answer to the prompt; keep the bowl empty and save a reference image.</x:v>
      </x:c>
      <x:c r="P705" s="9" t="str">
        <x:v>Both candidates are present. The held-out relation is the only information that identifies the target.</x:v>
      </x:c>
      <x:c r="Q705" s="9"/>
      <x:c r="R705" s="10" t="n">
        <x:v>5</x:v>
      </x:c>
      <x:c r="S705" s="10" t="n">
        <x:v>1</x:v>
      </x:c>
      <x:c r="T705" s="9" t="str">
        <x:v>Empty</x:v>
      </x:c>
      <x:c r="U705" s="9"/>
      <x:c r="V705" s="9"/>
      <x:c r="W705" s="9"/>
      <x:c r="X705" s="10"/>
      <x:c r="Y705" s="10"/>
      <x:c r="Z705" s="9"/>
      <x:c r="AA705" s="9"/>
      <x:c r="AB705" s="9" t="str">
        <x:v>between</x:v>
      </x:c>
      <x:c r="AC705" s="9"/>
      <x:c r="AD705" s="9"/>
      <x:c r="AE705" s="9"/>
      <x:c r="AF705" s="9"/>
      <x:c r="AG705" s="9" t="str">
        <x:v>pencil sharpener</x:v>
      </x:c>
      <x:c r="AH705" s="9"/>
      <x:c r="AI705" s="11"/>
      <x:c r="AJ705" s="9"/>
      <x:c r="AK705" s="9" t="str">
        <x:v>Eval_Referential_Disambiguation.xlsm</x:v>
      </x:c>
      <x:c r="AL705" s="9" t="str">
        <x:v>MolmoAct2 Results</x:v>
      </x:c>
      <x:c r="AM705" s="9" t="n">
        <x:v>85</x:v>
      </x:c>
      <x:c r="AN705" s="9" t="n">
        <x:v>85</x:v>
      </x:c>
    </x:row>
    <x:row r="706">
      <x:c r="A706" s="9" t="str">
        <x:v>Failure</x:v>
      </x:c>
      <x:c r="B706" s="9" t="str">
        <x:v>Referential Disambiguation</x:v>
      </x:c>
      <x:c r="C706" s="10" t="n">
        <x:v>84</x:v>
      </x:c>
      <x:c r="D706" s="9" t="str">
        <x:v>Move the airplane toy furthest from the green pencil sharpener into the bowl.</x:v>
      </x:c>
      <x:c r="E706" s="9" t="str">
        <x:v>airplane toy with propellers; airplane toy without propellers; green pencil sharpener</x:v>
      </x:c>
      <x:c r="F706" s="9" t="str">
        <x:v>airplane toy with propellers</x:v>
      </x:c>
      <x:c r="G706" s="9" t="str">
        <x:v>picked closest airplane toy. reasoning failure</x:v>
      </x:c>
      <x:c r="H706" s="9" t="str">
        <x:v>Concept/compositional transfer</x:v>
      </x:c>
      <x:c r="I706" s="9" t="str">
        <x:v>RD-CT25</x:v>
      </x:c>
      <x:c r="J706" s="9" t="str">
        <x:v>Primary held-out relation × candidate-category composition — Move</x:v>
      </x:c>
      <x:c r="K706" s="9"/>
      <x:c r="L706" s="9" t="str">
        <x:v>574</x:v>
      </x:c>
      <x:c r="M706" s="9" t="str">
        <x:v>Masked source trajectory: the target identity and physical manipulation are trained under a direct-name prompt, while this relation × candidate-category composition is intentionally absent.</x:v>
      </x:c>
      <x:c r="N706" s="9" t="n">
        <x:v>4</x:v>
      </x:c>
      <x:c r="O706" s="9" t="str">
        <x:v>Place the listed objects. Arrange Expected Target as the unique answer to the prompt; keep the bowl empty and save a reference image.</x:v>
      </x:c>
      <x:c r="P706" s="9" t="str">
        <x:v>Both candidates are present. The held-out relation is the only information that identifies the target.</x:v>
      </x:c>
      <x:c r="Q706" s="9"/>
      <x:c r="R706" s="10" t="n">
        <x:v>3</x:v>
      </x:c>
      <x:c r="S706" s="10" t="n">
        <x:v>1</x:v>
      </x:c>
      <x:c r="T706" s="9" t="str">
        <x:v>Empty</x:v>
      </x:c>
      <x:c r="U706" s="9"/>
      <x:c r="V706" s="9"/>
      <x:c r="W706" s="9"/>
      <x:c r="X706" s="10"/>
      <x:c r="Y706" s="10"/>
      <x:c r="Z706" s="9"/>
      <x:c r="AA706" s="9"/>
      <x:c r="AB706" s="9" t="str">
        <x:v>furthest</x:v>
      </x:c>
      <x:c r="AC706" s="9"/>
      <x:c r="AD706" s="9"/>
      <x:c r="AE706" s="9"/>
      <x:c r="AF706" s="9"/>
      <x:c r="AG706" s="9" t="str">
        <x:v>airplane toy</x:v>
      </x:c>
      <x:c r="AH706" s="9"/>
      <x:c r="AI706" s="11"/>
      <x:c r="AJ706" s="9"/>
      <x:c r="AK706" s="9" t="str">
        <x:v>Eval_Referential_Disambiguation.xlsm</x:v>
      </x:c>
      <x:c r="AL706" s="9" t="str">
        <x:v>MolmoAct2 Results</x:v>
      </x:c>
      <x:c r="AM706" s="9" t="n">
        <x:v>86</x:v>
      </x:c>
      <x:c r="AN706" s="9" t="n">
        <x:v>86</x:v>
      </x:c>
    </x:row>
    <x:row r="707">
      <x:c r="A707" s="9" t="str">
        <x:v>Failure</x:v>
      </x:c>
      <x:c r="B707" s="9" t="str">
        <x:v>Referential Disambiguation</x:v>
      </x:c>
      <x:c r="C707" s="10" t="n">
        <x:v>85</x:v>
      </x:c>
      <x:c r="D707" s="9" t="str">
        <x:v>Move the crushed soda can closest to the green pencil sharpener into the bowl.</x:v>
      </x:c>
      <x:c r="E707" s="9" t="str">
        <x:v>crushed Coke can; crushed Pepsi can; green pencil sharpener</x:v>
      </x:c>
      <x:c r="F707" s="9" t="str">
        <x:v>crushed Coke can</x:v>
      </x:c>
      <x:c r="G707" s="9" t="str">
        <x:v>picked up the coke can and put it down on the table.  Picked correctly, but didn't move to bowl, Knowcked it off the table, and then went for the pepsi can, but knocked it out of range</x:v>
      </x:c>
      <x:c r="H707" s="9" t="str">
        <x:v>Concept/compositional transfer</x:v>
      </x:c>
      <x:c r="I707" s="9" t="str">
        <x:v>RD-CT26</x:v>
      </x:c>
      <x:c r="J707" s="9" t="str">
        <x:v>Primary held-out relation × candidate-category composition — Move</x:v>
      </x:c>
      <x:c r="K707" s="9"/>
      <x:c r="L707" s="9" t="str">
        <x:v>408</x:v>
      </x:c>
      <x:c r="M707" s="9" t="str">
        <x:v>Masked source trajectory: the target identity and physical manipulation are trained under a direct-name prompt, while this relation × candidate-category composition is intentionally absent.</x:v>
      </x:c>
      <x:c r="N707" s="9" t="n">
        <x:v>4</x:v>
      </x:c>
      <x:c r="O707" s="9" t="str">
        <x:v>Place the listed objects. Arrange Expected Target as the unique answer to the prompt; keep the bowl empty and save a reference image.</x:v>
      </x:c>
      <x:c r="P707" s="9" t="str">
        <x:v>Both candidates are present. The held-out relation is the only information that identifies the target.</x:v>
      </x:c>
      <x:c r="Q707" s="9"/>
      <x:c r="R707" s="10" t="n">
        <x:v>3</x:v>
      </x:c>
      <x:c r="S707" s="10" t="n">
        <x:v>1</x:v>
      </x:c>
      <x:c r="T707" s="9" t="str">
        <x:v>Empty</x:v>
      </x:c>
      <x:c r="U707" s="9"/>
      <x:c r="V707" s="9"/>
      <x:c r="W707" s="9"/>
      <x:c r="X707" s="10"/>
      <x:c r="Y707" s="10"/>
      <x:c r="Z707" s="9"/>
      <x:c r="AA707" s="9"/>
      <x:c r="AB707" s="9" t="str">
        <x:v>closest</x:v>
      </x:c>
      <x:c r="AC707" s="9"/>
      <x:c r="AD707" s="9"/>
      <x:c r="AE707" s="9"/>
      <x:c r="AF707" s="9"/>
      <x:c r="AG707" s="9" t="str">
        <x:v>crushed soda can</x:v>
      </x:c>
      <x:c r="AH707" s="9"/>
      <x:c r="AI707" s="11"/>
      <x:c r="AJ707" s="9"/>
      <x:c r="AK707" s="9" t="str">
        <x:v>Eval_Referential_Disambiguation.xlsm</x:v>
      </x:c>
      <x:c r="AL707" s="9" t="str">
        <x:v>MolmoAct2 Results</x:v>
      </x:c>
      <x:c r="AM707" s="9" t="n">
        <x:v>87</x:v>
      </x:c>
      <x:c r="AN707" s="9" t="n">
        <x:v>87</x:v>
      </x:c>
    </x:row>
    <x:row r="708">
      <x:c r="A708" s="9" t="str">
        <x:v>Failure</x:v>
      </x:c>
      <x:c r="B708" s="9" t="str">
        <x:v>Referential Disambiguation</x:v>
      </x:c>
      <x:c r="C708" s="10" t="n">
        <x:v>86</x:v>
      </x:c>
      <x:c r="D708" s="9" t="str">
        <x:v>Move the pencil sharpener between the crushed Pepsi can and the airplane toy without propellers into the bowl.</x:v>
      </x:c>
      <x:c r="E708" s="9" t="str">
        <x:v>green pencil sharpener; red pencil sharpener; crushed Pepsi can; airplane toy without propellers</x:v>
      </x:c>
      <x:c r="F708" s="9" t="str">
        <x:v>green pencil sharpener</x:v>
      </x:c>
      <x:c r="G708" s="9" t="str">
        <x:v>didn't even move. just jittered around the home position.</x:v>
      </x:c>
      <x:c r="H708" s="9" t="str">
        <x:v>Concept/compositional transfer</x:v>
      </x:c>
      <x:c r="I708" s="9" t="str">
        <x:v>RD-CT27</x:v>
      </x:c>
      <x:c r="J708" s="9" t="str">
        <x:v>Primary held-out relation × candidate-category composition — Move</x:v>
      </x:c>
      <x:c r="K708" s="9"/>
      <x:c r="L708" s="9" t="str">
        <x:v>489</x:v>
      </x:c>
      <x:c r="M708" s="9" t="str">
        <x:v>Masked source trajectory: the target identity and physical manipulation are trained under a direct-name prompt, while this relation × candidate-category composition is intentionally absent.</x:v>
      </x:c>
      <x:c r="N708" s="9" t="n">
        <x:v>4</x:v>
      </x:c>
      <x:c r="O708" s="9" t="str">
        <x:v>Place the listed objects. Arrange Expected Target as the unique answer to the prompt; keep the bowl empty and save a reference image.</x:v>
      </x:c>
      <x:c r="P708" s="9" t="str">
        <x:v>Both candidates are present. The held-out relation is the only information that identifies the target.</x:v>
      </x:c>
      <x:c r="Q708" s="9"/>
      <x:c r="R708" s="10" t="n">
        <x:v>4</x:v>
      </x:c>
      <x:c r="S708" s="10" t="n">
        <x:v>1</x:v>
      </x:c>
      <x:c r="T708" s="9" t="str">
        <x:v>Empty</x:v>
      </x:c>
      <x:c r="U708" s="9"/>
      <x:c r="V708" s="9"/>
      <x:c r="W708" s="9"/>
      <x:c r="X708" s="10"/>
      <x:c r="Y708" s="10"/>
      <x:c r="Z708" s="9"/>
      <x:c r="AA708" s="9"/>
      <x:c r="AB708" s="9" t="str">
        <x:v>between</x:v>
      </x:c>
      <x:c r="AC708" s="9"/>
      <x:c r="AD708" s="9"/>
      <x:c r="AE708" s="9"/>
      <x:c r="AF708" s="9"/>
      <x:c r="AG708" s="9" t="str">
        <x:v>pencil sharpener</x:v>
      </x:c>
      <x:c r="AH708" s="9"/>
      <x:c r="AI708" s="11"/>
      <x:c r="AJ708" s="9"/>
      <x:c r="AK708" s="9" t="str">
        <x:v>Eval_Referential_Disambiguation.xlsm</x:v>
      </x:c>
      <x:c r="AL708" s="9" t="str">
        <x:v>MolmoAct2 Results</x:v>
      </x:c>
      <x:c r="AM708" s="9" t="n">
        <x:v>88</x:v>
      </x:c>
      <x:c r="AN708" s="9" t="n">
        <x:v>88</x:v>
      </x:c>
    </x:row>
    <x:row r="709">
      <x:c r="A709" s="9" t="str">
        <x:v>Success</x:v>
      </x:c>
      <x:c r="B709" s="9" t="str">
        <x:v>Referential Disambiguation</x:v>
      </x:c>
      <x:c r="C709" s="10" t="n">
        <x:v>87</x:v>
      </x:c>
      <x:c r="D709" s="9" t="str">
        <x:v>Pick up the airplane toy furthest from the yellow pen and place it in the bowl.</x:v>
      </x:c>
      <x:c r="E709" s="9" t="str">
        <x:v>airplane toy with propellers; airplane toy without propellers; yellow pen; green pencil sharpener</x:v>
      </x:c>
      <x:c r="F709" s="9" t="str">
        <x:v>airplane toy with propellers</x:v>
      </x:c>
      <x:c r="G709" s="9"/>
      <x:c r="H709" s="9" t="str">
        <x:v>Concept/compositional transfer</x:v>
      </x:c>
      <x:c r="I709" s="9" t="str">
        <x:v>RD-CT28</x:v>
      </x:c>
      <x:c r="J709" s="9" t="str">
        <x:v>Primary held-out relation × candidate-category composition — Pick up</x:v>
      </x:c>
      <x:c r="K709" s="9"/>
      <x:c r="L709" s="9" t="str">
        <x:v>576</x:v>
      </x:c>
      <x:c r="M709" s="9" t="str">
        <x:v>Masked source trajectory: the target identity and physical manipulation are trained under a direct-name prompt, while this relation × candidate-category composition is intentionally absent.</x:v>
      </x:c>
      <x:c r="N709" s="9" t="n">
        <x:v>4</x:v>
      </x:c>
      <x:c r="O709" s="9" t="str">
        <x:v>Place the listed objects. Arrange Expected Target as the unique answer to the prompt; keep the bowl empty and save a reference image.</x:v>
      </x:c>
      <x:c r="P709" s="9" t="str">
        <x:v>Both candidates are present. The held-out relation is the only information that identifies the target.</x:v>
      </x:c>
      <x:c r="Q709" s="9"/>
      <x:c r="R709" s="10" t="n">
        <x:v>4</x:v>
      </x:c>
      <x:c r="S709" s="10" t="n">
        <x:v>1</x:v>
      </x:c>
      <x:c r="T709" s="9" t="str">
        <x:v>Empty</x:v>
      </x:c>
      <x:c r="U709" s="9"/>
      <x:c r="V709" s="9"/>
      <x:c r="W709" s="9"/>
      <x:c r="X709" s="10"/>
      <x:c r="Y709" s="10"/>
      <x:c r="Z709" s="9"/>
      <x:c r="AA709" s="9"/>
      <x:c r="AB709" s="9" t="str">
        <x:v>furthest</x:v>
      </x:c>
      <x:c r="AC709" s="9"/>
      <x:c r="AD709" s="9"/>
      <x:c r="AE709" s="9"/>
      <x:c r="AF709" s="9"/>
      <x:c r="AG709" s="9" t="str">
        <x:v>airplane toy</x:v>
      </x:c>
      <x:c r="AH709" s="9"/>
      <x:c r="AI709" s="11"/>
      <x:c r="AJ709" s="9"/>
      <x:c r="AK709" s="9" t="str">
        <x:v>Eval_Referential_Disambiguation.xlsm</x:v>
      </x:c>
      <x:c r="AL709" s="9" t="str">
        <x:v>MolmoAct2 Results</x:v>
      </x:c>
      <x:c r="AM709" s="9" t="n">
        <x:v>89</x:v>
      </x:c>
      <x:c r="AN709" s="9" t="n">
        <x:v>89</x:v>
      </x:c>
    </x:row>
    <x:row r="710">
      <x:c r="A710" s="9" t="str">
        <x:v>Failure</x:v>
      </x:c>
      <x:c r="B710" s="9" t="str">
        <x:v>Referential Disambiguation</x:v>
      </x:c>
      <x:c r="C710" s="10" t="n">
        <x:v>88</x:v>
      </x:c>
      <x:c r="D710" s="9" t="str">
        <x:v>Pick up the crushed soda can closest to the yellow pen and place it in the bowl.</x:v>
      </x:c>
      <x:c r="E710" s="9" t="str">
        <x:v>crushed Coke can; crushed Pepsi can; yellow pen; airplane toy without propellers</x:v>
      </x:c>
      <x:c r="F710" s="9" t="str">
        <x:v>crushed Coke can</x:v>
      </x:c>
      <x:c r="G710" s="9" t="str">
        <x:v>Picked pepsi can. Failed at reasoning</x:v>
      </x:c>
      <x:c r="H710" s="9" t="str">
        <x:v>Concept/compositional transfer</x:v>
      </x:c>
      <x:c r="I710" s="9" t="str">
        <x:v>RD-CT29</x:v>
      </x:c>
      <x:c r="J710" s="9" t="str">
        <x:v>Primary held-out relation × candidate-category composition — Pick up</x:v>
      </x:c>
      <x:c r="K710" s="9"/>
      <x:c r="L710" s="9" t="str">
        <x:v>410</x:v>
      </x:c>
      <x:c r="M710" s="9" t="str">
        <x:v>Masked source trajectory: the target identity and physical manipulation are trained under a direct-name prompt, while this relation × candidate-category composition is intentionally absent.</x:v>
      </x:c>
      <x:c r="N710" s="9" t="n">
        <x:v>4</x:v>
      </x:c>
      <x:c r="O710" s="9" t="str">
        <x:v>Place the listed objects. Arrange Expected Target as the unique answer to the prompt; keep the bowl empty and save a reference image.</x:v>
      </x:c>
      <x:c r="P710" s="9" t="str">
        <x:v>Both candidates are present. The held-out relation is the only information that identifies the target.</x:v>
      </x:c>
      <x:c r="Q710" s="9"/>
      <x:c r="R710" s="10" t="n">
        <x:v>4</x:v>
      </x:c>
      <x:c r="S710" s="10" t="n">
        <x:v>1</x:v>
      </x:c>
      <x:c r="T710" s="9" t="str">
        <x:v>Empty</x:v>
      </x:c>
      <x:c r="U710" s="9"/>
      <x:c r="V710" s="9"/>
      <x:c r="W710" s="9"/>
      <x:c r="X710" s="10"/>
      <x:c r="Y710" s="10"/>
      <x:c r="Z710" s="9"/>
      <x:c r="AA710" s="9"/>
      <x:c r="AB710" s="9" t="str">
        <x:v>closest</x:v>
      </x:c>
      <x:c r="AC710" s="9"/>
      <x:c r="AD710" s="9"/>
      <x:c r="AE710" s="9"/>
      <x:c r="AF710" s="9"/>
      <x:c r="AG710" s="9" t="str">
        <x:v>crushed soda can</x:v>
      </x:c>
      <x:c r="AH710" s="9"/>
      <x:c r="AI710" s="11"/>
      <x:c r="AJ710" s="9"/>
      <x:c r="AK710" s="9" t="str">
        <x:v>Eval_Referential_Disambiguation.xlsm</x:v>
      </x:c>
      <x:c r="AL710" s="9" t="str">
        <x:v>MolmoAct2 Results</x:v>
      </x:c>
      <x:c r="AM710" s="9" t="n">
        <x:v>90</x:v>
      </x:c>
      <x:c r="AN710" s="9" t="n">
        <x:v>90</x:v>
      </x:c>
    </x:row>
    <x:row r="711">
      <x:c r="A711" s="9" t="str">
        <x:v>Failure</x:v>
      </x:c>
      <x:c r="B711" s="9" t="str">
        <x:v>Referential Disambiguation</x:v>
      </x:c>
      <x:c r="C711" s="10" t="n">
        <x:v>89</x:v>
      </x:c>
      <x:c r="D711" s="9" t="str">
        <x:v>Pick up the pencil sharpener between the green pen and the crushed Coke can and place it in the bowl.</x:v>
      </x:c>
      <x:c r="E711" s="9" t="str">
        <x:v>green pencil sharpener; red pencil sharpener; green pen; crushed Coke can; airplane toy without propellers</x:v>
      </x:c>
      <x:c r="F711" s="9" t="str">
        <x:v>green pencil sharpener</x:v>
      </x:c>
      <x:c r="G711" s="9" t="str">
        <x:v>Picked green pen</x:v>
      </x:c>
      <x:c r="H711" s="9" t="str">
        <x:v>Concept/compositional transfer</x:v>
      </x:c>
      <x:c r="I711" s="9" t="str">
        <x:v>RD-CT30</x:v>
      </x:c>
      <x:c r="J711" s="9" t="str">
        <x:v>Primary held-out relation × candidate-category composition — Pick up</x:v>
      </x:c>
      <x:c r="K711" s="9"/>
      <x:c r="L711" s="9" t="str">
        <x:v>490</x:v>
      </x:c>
      <x:c r="M711" s="9" t="str">
        <x:v>Masked source trajectory: the target identity and physical manipulation are trained under a direct-name prompt, while this relation × candidate-category composition is intentionally absent.</x:v>
      </x:c>
      <x:c r="N711" s="9" t="n">
        <x:v>4</x:v>
      </x:c>
      <x:c r="O711" s="9" t="str">
        <x:v>Place the listed objects. Arrange Expected Target as the unique answer to the prompt; keep the bowl empty and save a reference image.</x:v>
      </x:c>
      <x:c r="P711" s="9" t="str">
        <x:v>Both candidates are present. The held-out relation is the only information that identifies the target.</x:v>
      </x:c>
      <x:c r="Q711" s="9"/>
      <x:c r="R711" s="10" t="n">
        <x:v>5</x:v>
      </x:c>
      <x:c r="S711" s="10" t="n">
        <x:v>1</x:v>
      </x:c>
      <x:c r="T711" s="9" t="str">
        <x:v>Empty</x:v>
      </x:c>
      <x:c r="U711" s="9"/>
      <x:c r="V711" s="9"/>
      <x:c r="W711" s="9"/>
      <x:c r="X711" s="10"/>
      <x:c r="Y711" s="10"/>
      <x:c r="Z711" s="9"/>
      <x:c r="AA711" s="9"/>
      <x:c r="AB711" s="9" t="str">
        <x:v>between</x:v>
      </x:c>
      <x:c r="AC711" s="9"/>
      <x:c r="AD711" s="9"/>
      <x:c r="AE711" s="9"/>
      <x:c r="AF711" s="9"/>
      <x:c r="AG711" s="9" t="str">
        <x:v>pencil sharpener</x:v>
      </x:c>
      <x:c r="AH711" s="9"/>
      <x:c r="AI711" s="11"/>
      <x:c r="AJ711" s="9"/>
      <x:c r="AK711" s="9" t="str">
        <x:v>Eval_Referential_Disambiguation.xlsm</x:v>
      </x:c>
      <x:c r="AL711" s="9" t="str">
        <x:v>MolmoAct2 Results</x:v>
      </x:c>
      <x:c r="AM711" s="9" t="n">
        <x:v>91</x:v>
      </x:c>
      <x:c r="AN711" s="9" t="n">
        <x:v>91</x:v>
      </x:c>
    </x:row>
    <x:row r="712">
      <x:c r="A712" s="9" t="str">
        <x:v>Success</x:v>
      </x:c>
      <x:c r="B712" s="9" t="str">
        <x:v>Referential Disambiguation</x:v>
      </x:c>
      <x:c r="C712" s="10" t="n">
        <x:v>90</x:v>
      </x:c>
      <x:c r="D712" s="9" t="str">
        <x:v>Put the airplane toy furthest from the crushed Pepsi can in the bowl.</x:v>
      </x:c>
      <x:c r="E712" s="9" t="str">
        <x:v>airplane toy with propellers; airplane toy without propellers; crushed Pepsi can</x:v>
      </x:c>
      <x:c r="F712" s="9" t="str">
        <x:v>airplane toy without propellers</x:v>
      </x:c>
      <x:c r="G712" s="9"/>
      <x:c r="H712" s="9" t="str">
        <x:v>Concept/compositional transfer</x:v>
      </x:c>
      <x:c r="I712" s="9" t="str">
        <x:v>RD-CT31</x:v>
      </x:c>
      <x:c r="J712" s="9" t="str">
        <x:v>Primary held-out relation × candidate-category composition — Put</x:v>
      </x:c>
      <x:c r="K712" s="9"/>
      <x:c r="L712" s="9" t="str">
        <x:v>573</x:v>
      </x:c>
      <x:c r="M712" s="9" t="str">
        <x:v>Masked source trajectory: the target identity and physical manipulation are trained under a direct-name prompt, while this relation × candidate-category composition is intentionally absent.</x:v>
      </x:c>
      <x:c r="N712" s="9" t="n">
        <x:v>4</x:v>
      </x:c>
      <x:c r="O712" s="9" t="str">
        <x:v>Place the listed objects. Arrange Expected Target as the unique answer to the prompt; keep the bowl empty and save a reference image.</x:v>
      </x:c>
      <x:c r="P712" s="9" t="str">
        <x:v>Both candidates are present. The held-out relation is the only information that identifies the target.</x:v>
      </x:c>
      <x:c r="Q712" s="9"/>
      <x:c r="R712" s="10" t="n">
        <x:v>3</x:v>
      </x:c>
      <x:c r="S712" s="10" t="n">
        <x:v>1</x:v>
      </x:c>
      <x:c r="T712" s="9" t="str">
        <x:v>Empty</x:v>
      </x:c>
      <x:c r="U712" s="9"/>
      <x:c r="V712" s="9"/>
      <x:c r="W712" s="9"/>
      <x:c r="X712" s="10"/>
      <x:c r="Y712" s="10"/>
      <x:c r="Z712" s="9"/>
      <x:c r="AA712" s="9"/>
      <x:c r="AB712" s="9" t="str">
        <x:v>furthest</x:v>
      </x:c>
      <x:c r="AC712" s="9"/>
      <x:c r="AD712" s="9"/>
      <x:c r="AE712" s="9"/>
      <x:c r="AF712" s="9"/>
      <x:c r="AG712" s="9" t="str">
        <x:v>airplane toy</x:v>
      </x:c>
      <x:c r="AH712" s="9"/>
      <x:c r="AI712" s="11"/>
      <x:c r="AJ712" s="9"/>
      <x:c r="AK712" s="9" t="str">
        <x:v>Eval_Referential_Disambiguation.xlsm</x:v>
      </x:c>
      <x:c r="AL712" s="9" t="str">
        <x:v>MolmoAct2 Results</x:v>
      </x:c>
      <x:c r="AM712" s="9" t="n">
        <x:v>92</x:v>
      </x:c>
      <x:c r="AN712" s="9" t="n">
        <x:v>92</x:v>
      </x:c>
    </x:row>
    <x:row r="713">
      <x:c r="A713" s="9" t="str">
        <x:v>Success</x:v>
      </x:c>
      <x:c r="B713" s="9" t="str">
        <x:v>Referential Disambiguation</x:v>
      </x:c>
      <x:c r="C713" s="10" t="n">
        <x:v>91</x:v>
      </x:c>
      <x:c r="D713" s="9" t="str">
        <x:v>Put the crushed soda can closest to the airplane toy without propellers in the bowl.</x:v>
      </x:c>
      <x:c r="E713" s="9" t="str">
        <x:v>crushed Coke can; crushed Pepsi can; airplane toy without propellers</x:v>
      </x:c>
      <x:c r="F713" s="9" t="str">
        <x:v>crushed Pepsi can</x:v>
      </x:c>
      <x:c r="G713" s="9"/>
      <x:c r="H713" s="9" t="str">
        <x:v>Concept/compositional transfer</x:v>
      </x:c>
      <x:c r="I713" s="9" t="str">
        <x:v>RD-CT32</x:v>
      </x:c>
      <x:c r="J713" s="9" t="str">
        <x:v>Primary held-out relation × candidate-category composition — Put</x:v>
      </x:c>
      <x:c r="K713" s="9"/>
      <x:c r="L713" s="9" t="str">
        <x:v>409</x:v>
      </x:c>
      <x:c r="M713" s="9" t="str">
        <x:v>Masked source trajectory: the target identity and physical manipulation are trained under a direct-name prompt, while this relation × candidate-category composition is intentionally absent.</x:v>
      </x:c>
      <x:c r="N713" s="9" t="n">
        <x:v>4</x:v>
      </x:c>
      <x:c r="O713" s="9" t="str">
        <x:v>Place the listed objects. Arrange Expected Target as the unique answer to the prompt; keep the bowl empty and save a reference image.</x:v>
      </x:c>
      <x:c r="P713" s="9" t="str">
        <x:v>Both candidates are present. The held-out relation is the only information that identifies the target.</x:v>
      </x:c>
      <x:c r="Q713" s="9"/>
      <x:c r="R713" s="10" t="n">
        <x:v>3</x:v>
      </x:c>
      <x:c r="S713" s="10" t="n">
        <x:v>1</x:v>
      </x:c>
      <x:c r="T713" s="9" t="str">
        <x:v>Empty</x:v>
      </x:c>
      <x:c r="U713" s="9"/>
      <x:c r="V713" s="9"/>
      <x:c r="W713" s="9"/>
      <x:c r="X713" s="10"/>
      <x:c r="Y713" s="10"/>
      <x:c r="Z713" s="9"/>
      <x:c r="AA713" s="9"/>
      <x:c r="AB713" s="9" t="str">
        <x:v>closest</x:v>
      </x:c>
      <x:c r="AC713" s="9"/>
      <x:c r="AD713" s="9"/>
      <x:c r="AE713" s="9"/>
      <x:c r="AF713" s="9"/>
      <x:c r="AG713" s="9" t="str">
        <x:v>crushed soda can</x:v>
      </x:c>
      <x:c r="AH713" s="9"/>
      <x:c r="AI713" s="11"/>
      <x:c r="AJ713" s="9"/>
      <x:c r="AK713" s="9" t="str">
        <x:v>Eval_Referential_Disambiguation.xlsm</x:v>
      </x:c>
      <x:c r="AL713" s="9" t="str">
        <x:v>MolmoAct2 Results</x:v>
      </x:c>
      <x:c r="AM713" s="9" t="n">
        <x:v>93</x:v>
      </x:c>
      <x:c r="AN713" s="9" t="n">
        <x:v>93</x:v>
      </x:c>
    </x:row>
    <x:row r="714">
      <x:c r="A714" s="9" t="str">
        <x:v>Failure</x:v>
      </x:c>
      <x:c r="B714" s="9" t="str">
        <x:v>Referential Disambiguation</x:v>
      </x:c>
      <x:c r="C714" s="10" t="n">
        <x:v>92</x:v>
      </x:c>
      <x:c r="D714" s="9" t="str">
        <x:v>Put the pencil sharpener between the airplane toy with propellers and the yellow pen in the bowl.</x:v>
      </x:c>
      <x:c r="E714" s="9" t="str">
        <x:v>green pencil sharpener; red pencil sharpener; airplane toy with propellers; yellow pen</x:v>
      </x:c>
      <x:c r="F714" s="9" t="str">
        <x:v>red pencil sharpener</x:v>
      </x:c>
      <x:c r="G714" s="9" t="str">
        <x:v>picked yellow pen</x:v>
      </x:c>
      <x:c r="H714" s="9" t="str">
        <x:v>Concept/compositional transfer</x:v>
      </x:c>
      <x:c r="I714" s="9" t="str">
        <x:v>RD-CT33</x:v>
      </x:c>
      <x:c r="J714" s="9" t="str">
        <x:v>Primary held-out relation × candidate-category composition — Put</x:v>
      </x:c>
      <x:c r="K714" s="9"/>
      <x:c r="L714" s="9" t="str">
        <x:v>488</x:v>
      </x:c>
      <x:c r="M714" s="9" t="str">
        <x:v>Masked source trajectory: the target identity and physical manipulation are trained under a direct-name prompt, while this relation × candidate-category composition is intentionally absent.</x:v>
      </x:c>
      <x:c r="N714" s="9" t="n">
        <x:v>4</x:v>
      </x:c>
      <x:c r="O714" s="9" t="str">
        <x:v>Place the listed objects. Arrange Expected Target as the unique answer to the prompt; keep the bowl empty and save a reference image.</x:v>
      </x:c>
      <x:c r="P714" s="9" t="str">
        <x:v>Both candidates are present. The held-out relation is the only information that identifies the target.</x:v>
      </x:c>
      <x:c r="Q714" s="9"/>
      <x:c r="R714" s="10" t="n">
        <x:v>4</x:v>
      </x:c>
      <x:c r="S714" s="10" t="n">
        <x:v>1</x:v>
      </x:c>
      <x:c r="T714" s="9" t="str">
        <x:v>Empty</x:v>
      </x:c>
      <x:c r="U714" s="9"/>
      <x:c r="V714" s="9"/>
      <x:c r="W714" s="9"/>
      <x:c r="X714" s="10"/>
      <x:c r="Y714" s="10"/>
      <x:c r="Z714" s="9"/>
      <x:c r="AA714" s="9"/>
      <x:c r="AB714" s="9" t="str">
        <x:v>between</x:v>
      </x:c>
      <x:c r="AC714" s="9"/>
      <x:c r="AD714" s="9"/>
      <x:c r="AE714" s="9"/>
      <x:c r="AF714" s="9"/>
      <x:c r="AG714" s="9" t="str">
        <x:v>pencil sharpener</x:v>
      </x:c>
      <x:c r="AH714" s="9"/>
      <x:c r="AI714" s="11"/>
      <x:c r="AJ714" s="9"/>
      <x:c r="AK714" s="9" t="str">
        <x:v>Eval_Referential_Disambiguation.xlsm</x:v>
      </x:c>
      <x:c r="AL714" s="9" t="str">
        <x:v>MolmoAct2 Results</x:v>
      </x:c>
      <x:c r="AM714" s="9" t="n">
        <x:v>94</x:v>
      </x:c>
      <x:c r="AN714" s="9" t="n">
        <x:v>94</x:v>
      </x:c>
    </x:row>
    <x:row r="715">
      <x:c r="A715" s="9" t="str">
        <x:v>Success</x:v>
      </x:c>
      <x:c r="B715" s="9" t="str">
        <x:v>Referential Disambiguation</x:v>
      </x:c>
      <x:c r="C715" s="10" t="n">
        <x:v>93</x:v>
      </x:c>
      <x:c r="D715" s="9" t="str">
        <x:v>Move the airplane toy furthest from the red pencil sharpener into the bowl.</x:v>
      </x:c>
      <x:c r="E715" s="9" t="str">
        <x:v>airplane toy with propellers; airplane toy without propellers; red pencil sharpener; green pen</x:v>
      </x:c>
      <x:c r="F715" s="9" t="str">
        <x:v>airplane toy without propellers</x:v>
      </x:c>
      <x:c r="G715" s="9"/>
      <x:c r="H715" s="9" t="str">
        <x:v>Concept/compositional transfer</x:v>
      </x:c>
      <x:c r="I715" s="9" t="str">
        <x:v>RD-CT34</x:v>
      </x:c>
      <x:c r="J715" s="9" t="str">
        <x:v>Primary held-out relation × candidate-category composition — Move</x:v>
      </x:c>
      <x:c r="K715" s="9"/>
      <x:c r="L715" s="9" t="str">
        <x:v>575</x:v>
      </x:c>
      <x:c r="M715" s="9" t="str">
        <x:v>Masked source trajectory: the target identity and physical manipulation are trained under a direct-name prompt, while this relation × candidate-category composition is intentionally absent.</x:v>
      </x:c>
      <x:c r="N715" s="9" t="n">
        <x:v>4</x:v>
      </x:c>
      <x:c r="O715" s="9" t="str">
        <x:v>Place the listed objects. Arrange Expected Target as the unique answer to the prompt; keep the bowl empty and save a reference image.</x:v>
      </x:c>
      <x:c r="P715" s="9" t="str">
        <x:v>Both candidates are present. The held-out relation is the only information that identifies the target.</x:v>
      </x:c>
      <x:c r="Q715" s="9"/>
      <x:c r="R715" s="10" t="n">
        <x:v>4</x:v>
      </x:c>
      <x:c r="S715" s="10" t="n">
        <x:v>1</x:v>
      </x:c>
      <x:c r="T715" s="9" t="str">
        <x:v>Empty</x:v>
      </x:c>
      <x:c r="U715" s="9"/>
      <x:c r="V715" s="9"/>
      <x:c r="W715" s="9"/>
      <x:c r="X715" s="10"/>
      <x:c r="Y715" s="10"/>
      <x:c r="Z715" s="9"/>
      <x:c r="AA715" s="9"/>
      <x:c r="AB715" s="9" t="str">
        <x:v>furthest</x:v>
      </x:c>
      <x:c r="AC715" s="9"/>
      <x:c r="AD715" s="9"/>
      <x:c r="AE715" s="9"/>
      <x:c r="AF715" s="9"/>
      <x:c r="AG715" s="9" t="str">
        <x:v>airplane toy</x:v>
      </x:c>
      <x:c r="AH715" s="9"/>
      <x:c r="AI715" s="11"/>
      <x:c r="AJ715" s="9"/>
      <x:c r="AK715" s="9" t="str">
        <x:v>Eval_Referential_Disambiguation.xlsm</x:v>
      </x:c>
      <x:c r="AL715" s="9" t="str">
        <x:v>MolmoAct2 Results</x:v>
      </x:c>
      <x:c r="AM715" s="9" t="n">
        <x:v>95</x:v>
      </x:c>
      <x:c r="AN715" s="9" t="n">
        <x:v>95</x:v>
      </x:c>
    </x:row>
    <x:row r="716">
      <x:c r="A716" s="9" t="str">
        <x:v>Failure</x:v>
      </x:c>
      <x:c r="B716" s="9" t="str">
        <x:v>Referential Disambiguation</x:v>
      </x:c>
      <x:c r="C716" s="10" t="n">
        <x:v>94</x:v>
      </x:c>
      <x:c r="D716" s="9" t="str">
        <x:v>Move the crushed soda can closest to the red pencil sharpener into the bowl.</x:v>
      </x:c>
      <x:c r="E716" s="9" t="str">
        <x:v>crushed Coke can; crushed Pepsi can; red pencil sharpener; green pencil sharpener</x:v>
      </x:c>
      <x:c r="F716" s="9" t="str">
        <x:v>crushed Pepsi can</x:v>
      </x:c>
      <x:c r="G716" s="9" t="str">
        <x:v>picked the coke can</x:v>
      </x:c>
      <x:c r="H716" s="9" t="str">
        <x:v>Concept/compositional transfer</x:v>
      </x:c>
      <x:c r="I716" s="9" t="str">
        <x:v>RD-CT35</x:v>
      </x:c>
      <x:c r="J716" s="9" t="str">
        <x:v>Primary held-out relation × candidate-category composition — Move</x:v>
      </x:c>
      <x:c r="K716" s="9"/>
      <x:c r="L716" s="9" t="str">
        <x:v>411</x:v>
      </x:c>
      <x:c r="M716" s="9" t="str">
        <x:v>Masked source trajectory: the target identity and physical manipulation are trained under a direct-name prompt, while this relation × candidate-category composition is intentionally absent.</x:v>
      </x:c>
      <x:c r="N716" s="9" t="n">
        <x:v>4</x:v>
      </x:c>
      <x:c r="O716" s="9" t="str">
        <x:v>Place the listed objects. Arrange Expected Target as the unique answer to the prompt; keep the bowl empty and save a reference image.</x:v>
      </x:c>
      <x:c r="P716" s="9" t="str">
        <x:v>Both candidates are present. The held-out relation is the only information that identifies the target.</x:v>
      </x:c>
      <x:c r="Q716" s="9"/>
      <x:c r="R716" s="10" t="n">
        <x:v>4</x:v>
      </x:c>
      <x:c r="S716" s="10" t="n">
        <x:v>1</x:v>
      </x:c>
      <x:c r="T716" s="9" t="str">
        <x:v>Empty</x:v>
      </x:c>
      <x:c r="U716" s="9"/>
      <x:c r="V716" s="9"/>
      <x:c r="W716" s="9"/>
      <x:c r="X716" s="10"/>
      <x:c r="Y716" s="10"/>
      <x:c r="Z716" s="9"/>
      <x:c r="AA716" s="9"/>
      <x:c r="AB716" s="9" t="str">
        <x:v>closest</x:v>
      </x:c>
      <x:c r="AC716" s="9"/>
      <x:c r="AD716" s="9"/>
      <x:c r="AE716" s="9"/>
      <x:c r="AF716" s="9"/>
      <x:c r="AG716" s="9" t="str">
        <x:v>crushed soda can</x:v>
      </x:c>
      <x:c r="AH716" s="9"/>
      <x:c r="AI716" s="11"/>
      <x:c r="AJ716" s="9"/>
      <x:c r="AK716" s="9" t="str">
        <x:v>Eval_Referential_Disambiguation.xlsm</x:v>
      </x:c>
      <x:c r="AL716" s="9" t="str">
        <x:v>MolmoAct2 Results</x:v>
      </x:c>
      <x:c r="AM716" s="9" t="n">
        <x:v>96</x:v>
      </x:c>
      <x:c r="AN716" s="9" t="n">
        <x:v>96</x:v>
      </x:c>
    </x:row>
    <x:row r="717">
      <x:c r="A717" s="9" t="str">
        <x:v>Failure</x:v>
      </x:c>
      <x:c r="B717" s="9" t="str">
        <x:v>Referential Disambiguation</x:v>
      </x:c>
      <x:c r="C717" s="10" t="n">
        <x:v>95</x:v>
      </x:c>
      <x:c r="D717" s="9" t="str">
        <x:v>Move the pencil sharpener between the crushed Pepsi can and the airplane toy without propellers into the bowl.</x:v>
      </x:c>
      <x:c r="E717" s="9" t="str">
        <x:v>green pencil sharpener; red pencil sharpener; crushed Pepsi can; airplane toy without propellers; green pen</x:v>
      </x:c>
      <x:c r="F717" s="9" t="str">
        <x:v>red pencil sharpener</x:v>
      </x:c>
      <x:c r="G717" s="9" t="str">
        <x:v>picked the green pen. Dropped it and put in in the bowl</x:v>
      </x:c>
      <x:c r="H717" s="9" t="str">
        <x:v>Concept/compositional transfer</x:v>
      </x:c>
      <x:c r="I717" s="9" t="str">
        <x:v>RD-CT36</x:v>
      </x:c>
      <x:c r="J717" s="9" t="str">
        <x:v>Primary held-out relation × candidate-category composition — Move</x:v>
      </x:c>
      <x:c r="K717" s="9"/>
      <x:c r="L717" s="9" t="str">
        <x:v>491</x:v>
      </x:c>
      <x:c r="M717" s="9" t="str">
        <x:v>Masked source trajectory: the target identity and physical manipulation are trained under a direct-name prompt, while this relation × candidate-category composition is intentionally absent.</x:v>
      </x:c>
      <x:c r="N717" s="9" t="n">
        <x:v>4</x:v>
      </x:c>
      <x:c r="O717" s="9" t="str">
        <x:v>Place the listed objects. Arrange Expected Target as the unique answer to the prompt; keep the bowl empty and save a reference image.</x:v>
      </x:c>
      <x:c r="P717" s="9" t="str">
        <x:v>Both candidates are present. The held-out relation is the only information that identifies the target.</x:v>
      </x:c>
      <x:c r="Q717" s="9"/>
      <x:c r="R717" s="10" t="n">
        <x:v>5</x:v>
      </x:c>
      <x:c r="S717" s="10" t="n">
        <x:v>1</x:v>
      </x:c>
      <x:c r="T717" s="9" t="str">
        <x:v>Empty</x:v>
      </x:c>
      <x:c r="U717" s="9"/>
      <x:c r="V717" s="9"/>
      <x:c r="W717" s="9"/>
      <x:c r="X717" s="10"/>
      <x:c r="Y717" s="10"/>
      <x:c r="Z717" s="9"/>
      <x:c r="AA717" s="9"/>
      <x:c r="AB717" s="9" t="str">
        <x:v>between</x:v>
      </x:c>
      <x:c r="AC717" s="9"/>
      <x:c r="AD717" s="9"/>
      <x:c r="AE717" s="9"/>
      <x:c r="AF717" s="9"/>
      <x:c r="AG717" s="9" t="str">
        <x:v>pencil sharpener</x:v>
      </x:c>
      <x:c r="AH717" s="9"/>
      <x:c r="AI717" s="11"/>
      <x:c r="AJ717" s="9"/>
      <x:c r="AK717" s="9" t="str">
        <x:v>Eval_Referential_Disambiguation.xlsm</x:v>
      </x:c>
      <x:c r="AL717" s="9" t="str">
        <x:v>MolmoAct2 Results</x:v>
      </x:c>
      <x:c r="AM717" s="9" t="n">
        <x:v>97</x:v>
      </x:c>
      <x:c r="AN717" s="9" t="n">
        <x:v>97</x:v>
      </x:c>
    </x:row>
    <x:row r="718">
      <x:c r="A718" s="9" t="str">
        <x:v>Success</x:v>
      </x:c>
      <x:c r="B718" s="9" t="str">
        <x:v>Referential Disambiguation</x:v>
      </x:c>
      <x:c r="C718" s="10" t="n">
        <x:v>96</x:v>
      </x:c>
      <x:c r="D718" s="9" t="str">
        <x:v>Pick up the airplane toy furthest from the green pen and place it in the bowl.</x:v>
      </x:c>
      <x:c r="E718" s="9" t="str">
        <x:v>airplane toy with propellers; airplane toy without propellers; green pen</x:v>
      </x:c>
      <x:c r="F718" s="9" t="str">
        <x:v>airplane toy with propellers</x:v>
      </x:c>
      <x:c r="G718" s="9"/>
      <x:c r="H718" s="9" t="str">
        <x:v>Concept/compositional transfer</x:v>
      </x:c>
      <x:c r="I718" s="9" t="str">
        <x:v>RD-CT37</x:v>
      </x:c>
      <x:c r="J718" s="9" t="str">
        <x:v>Primary held-out relation × candidate-category composition — Pick up</x:v>
      </x:c>
      <x:c r="K718" s="9"/>
      <x:c r="L718" s="9" t="str">
        <x:v>578</x:v>
      </x:c>
      <x:c r="M718" s="9" t="str">
        <x:v>Masked source trajectory: the target identity and physical manipulation are trained under a direct-name prompt, while this relation × candidate-category composition is intentionally absent.</x:v>
      </x:c>
      <x:c r="N718" s="9" t="n">
        <x:v>4</x:v>
      </x:c>
      <x:c r="O718" s="9" t="str">
        <x:v>Place the listed objects. Arrange Expected Target as the unique answer to the prompt; keep the bowl empty and save a reference image.</x:v>
      </x:c>
      <x:c r="P718" s="9" t="str">
        <x:v>Both candidates are present. The held-out relation is the only information that identifies the target.</x:v>
      </x:c>
      <x:c r="Q718" s="9"/>
      <x:c r="R718" s="10" t="n">
        <x:v>3</x:v>
      </x:c>
      <x:c r="S718" s="10" t="n">
        <x:v>1</x:v>
      </x:c>
      <x:c r="T718" s="9" t="str">
        <x:v>Empty</x:v>
      </x:c>
      <x:c r="U718" s="9"/>
      <x:c r="V718" s="9"/>
      <x:c r="W718" s="9"/>
      <x:c r="X718" s="10"/>
      <x:c r="Y718" s="10"/>
      <x:c r="Z718" s="9"/>
      <x:c r="AA718" s="9"/>
      <x:c r="AB718" s="9" t="str">
        <x:v>furthest</x:v>
      </x:c>
      <x:c r="AC718" s="9"/>
      <x:c r="AD718" s="9"/>
      <x:c r="AE718" s="9"/>
      <x:c r="AF718" s="9"/>
      <x:c r="AG718" s="9" t="str">
        <x:v>airplane toy</x:v>
      </x:c>
      <x:c r="AH718" s="9"/>
      <x:c r="AI718" s="11"/>
      <x:c r="AJ718" s="9"/>
      <x:c r="AK718" s="9" t="str">
        <x:v>Eval_Referential_Disambiguation.xlsm</x:v>
      </x:c>
      <x:c r="AL718" s="9" t="str">
        <x:v>MolmoAct2 Results</x:v>
      </x:c>
      <x:c r="AM718" s="9" t="n">
        <x:v>98</x:v>
      </x:c>
      <x:c r="AN718" s="9" t="n">
        <x:v>98</x:v>
      </x:c>
    </x:row>
    <x:row r="719">
      <x:c r="A719" s="9" t="str">
        <x:v>Success</x:v>
      </x:c>
      <x:c r="B719" s="9" t="str">
        <x:v>Referential Disambiguation</x:v>
      </x:c>
      <x:c r="C719" s="10" t="n">
        <x:v>97</x:v>
      </x:c>
      <x:c r="D719" s="9" t="str">
        <x:v>Pick up the crushed soda can closest to the green pen and place it in the bowl.</x:v>
      </x:c>
      <x:c r="E719" s="9" t="str">
        <x:v>crushed Coke can; crushed Pepsi can; green pen</x:v>
      </x:c>
      <x:c r="F719" s="9" t="str">
        <x:v>crushed Coke can</x:v>
      </x:c>
      <x:c r="G719" s="9"/>
      <x:c r="H719" s="9" t="str">
        <x:v>Concept/compositional transfer</x:v>
      </x:c>
      <x:c r="I719" s="9" t="str">
        <x:v>RD-CT38</x:v>
      </x:c>
      <x:c r="J719" s="9" t="str">
        <x:v>Primary held-out relation × candidate-category composition — Pick up</x:v>
      </x:c>
      <x:c r="K719" s="9"/>
      <x:c r="L719" s="9" t="str">
        <x:v>412</x:v>
      </x:c>
      <x:c r="M719" s="9" t="str">
        <x:v>Masked source trajectory: the target identity and physical manipulation are trained under a direct-name prompt, while this relation × candidate-category composition is intentionally absent.</x:v>
      </x:c>
      <x:c r="N719" s="9" t="n">
        <x:v>4</x:v>
      </x:c>
      <x:c r="O719" s="9" t="str">
        <x:v>Place the listed objects. Arrange Expected Target as the unique answer to the prompt; keep the bowl empty and save a reference image.</x:v>
      </x:c>
      <x:c r="P719" s="9" t="str">
        <x:v>Both candidates are present. The held-out relation is the only information that identifies the target.</x:v>
      </x:c>
      <x:c r="Q719" s="9"/>
      <x:c r="R719" s="10" t="n">
        <x:v>3</x:v>
      </x:c>
      <x:c r="S719" s="10" t="n">
        <x:v>1</x:v>
      </x:c>
      <x:c r="T719" s="9" t="str">
        <x:v>Empty</x:v>
      </x:c>
      <x:c r="U719" s="9"/>
      <x:c r="V719" s="9"/>
      <x:c r="W719" s="9"/>
      <x:c r="X719" s="10"/>
      <x:c r="Y719" s="10"/>
      <x:c r="Z719" s="9"/>
      <x:c r="AA719" s="9"/>
      <x:c r="AB719" s="9" t="str">
        <x:v>closest</x:v>
      </x:c>
      <x:c r="AC719" s="9"/>
      <x:c r="AD719" s="9"/>
      <x:c r="AE719" s="9"/>
      <x:c r="AF719" s="9"/>
      <x:c r="AG719" s="9" t="str">
        <x:v>crushed soda can</x:v>
      </x:c>
      <x:c r="AH719" s="9"/>
      <x:c r="AI719" s="11"/>
      <x:c r="AJ719" s="9"/>
      <x:c r="AK719" s="9" t="str">
        <x:v>Eval_Referential_Disambiguation.xlsm</x:v>
      </x:c>
      <x:c r="AL719" s="9" t="str">
        <x:v>MolmoAct2 Results</x:v>
      </x:c>
      <x:c r="AM719" s="9" t="n">
        <x:v>99</x:v>
      </x:c>
      <x:c r="AN719" s="9" t="n">
        <x:v>99</x:v>
      </x:c>
    </x:row>
    <x:row r="720">
      <x:c r="A720" s="9" t="str">
        <x:v>Failure</x:v>
      </x:c>
      <x:c r="B720" s="9" t="str">
        <x:v>Referential Disambiguation</x:v>
      </x:c>
      <x:c r="C720" s="10" t="n">
        <x:v>98</x:v>
      </x:c>
      <x:c r="D720" s="9" t="str">
        <x:v>Pick up the pencil sharpener between the green pen and the crushed Coke can and place it in the bowl.</x:v>
      </x:c>
      <x:c r="E720" s="9" t="str">
        <x:v>green pencil sharpener; red pencil sharpener; green pen; crushed Coke can</x:v>
      </x:c>
      <x:c r="F720" s="9" t="str">
        <x:v>green pencil sharpener</x:v>
      </x:c>
      <x:c r="G720" s="9" t="str">
        <x:v>picked the green pen</x:v>
      </x:c>
      <x:c r="H720" s="9" t="str">
        <x:v>Concept/compositional transfer</x:v>
      </x:c>
      <x:c r="I720" s="9" t="str">
        <x:v>RD-CT39</x:v>
      </x:c>
      <x:c r="J720" s="9" t="str">
        <x:v>Primary held-out relation × candidate-category composition — Pick up</x:v>
      </x:c>
      <x:c r="K720" s="9"/>
      <x:c r="L720" s="9" t="str">
        <x:v>492</x:v>
      </x:c>
      <x:c r="M720" s="9" t="str">
        <x:v>Masked source trajectory: the target identity and physical manipulation are trained under a direct-name prompt, while this relation × candidate-category composition is intentionally absent.</x:v>
      </x:c>
      <x:c r="N720" s="9" t="n">
        <x:v>4</x:v>
      </x:c>
      <x:c r="O720" s="9" t="str">
        <x:v>Place the listed objects. Arrange Expected Target as the unique answer to the prompt; keep the bowl empty and save a reference image.</x:v>
      </x:c>
      <x:c r="P720" s="9" t="str">
        <x:v>Both candidates are present. The held-out relation is the only information that identifies the target.</x:v>
      </x:c>
      <x:c r="Q720" s="9"/>
      <x:c r="R720" s="10" t="n">
        <x:v>4</x:v>
      </x:c>
      <x:c r="S720" s="10" t="n">
        <x:v>1</x:v>
      </x:c>
      <x:c r="T720" s="9" t="str">
        <x:v>Empty</x:v>
      </x:c>
      <x:c r="U720" s="9"/>
      <x:c r="V720" s="9"/>
      <x:c r="W720" s="9"/>
      <x:c r="X720" s="10"/>
      <x:c r="Y720" s="10"/>
      <x:c r="Z720" s="9"/>
      <x:c r="AA720" s="9"/>
      <x:c r="AB720" s="9" t="str">
        <x:v>between</x:v>
      </x:c>
      <x:c r="AC720" s="9"/>
      <x:c r="AD720" s="9"/>
      <x:c r="AE720" s="9"/>
      <x:c r="AF720" s="9"/>
      <x:c r="AG720" s="9" t="str">
        <x:v>pencil sharpener</x:v>
      </x:c>
      <x:c r="AH720" s="9"/>
      <x:c r="AI720" s="11"/>
      <x:c r="AJ720" s="9"/>
      <x:c r="AK720" s="9" t="str">
        <x:v>Eval_Referential_Disambiguation.xlsm</x:v>
      </x:c>
      <x:c r="AL720" s="9" t="str">
        <x:v>MolmoAct2 Results</x:v>
      </x:c>
      <x:c r="AM720" s="9" t="n">
        <x:v>100</x:v>
      </x:c>
      <x:c r="AN720" s="9" t="n">
        <x:v>100</x:v>
      </x:c>
    </x:row>
    <x:row r="721">
      <x:c r="A721" s="9" t="str">
        <x:v>Success</x:v>
      </x:c>
      <x:c r="B721" s="9" t="str">
        <x:v>Referential Disambiguation</x:v>
      </x:c>
      <x:c r="C721" s="10" t="n">
        <x:v>99</x:v>
      </x:c>
      <x:c r="D721" s="9" t="str">
        <x:v>Put the airplane toy furthest from the crushed Coke can in the bowl.</x:v>
      </x:c>
      <x:c r="E721" s="9" t="str">
        <x:v>airplane toy with propellers; airplane toy without propellers; crushed Coke can; yellow pen</x:v>
      </x:c>
      <x:c r="F721" s="9" t="str">
        <x:v>airplane toy with propellers</x:v>
      </x:c>
      <x:c r="G721" s="9" t="str">
        <x:v>dropped it and it bounced into the bowl. Steph Curry warm up shot type action right here</x:v>
      </x:c>
      <x:c r="H721" s="9" t="str">
        <x:v>Concept/compositional transfer</x:v>
      </x:c>
      <x:c r="I721" s="9" t="str">
        <x:v>RD-CT40</x:v>
      </x:c>
      <x:c r="J721" s="9" t="str">
        <x:v>Primary held-out relation × candidate-category composition — Put</x:v>
      </x:c>
      <x:c r="K721" s="9"/>
      <x:c r="L721" s="9" t="str">
        <x:v>566</x:v>
      </x:c>
      <x:c r="M721" s="9" t="str">
        <x:v>Masked source trajectory: the target identity and physical manipulation are trained under a direct-name prompt, while this relation × candidate-category composition is intentionally absent.</x:v>
      </x:c>
      <x:c r="N721" s="9" t="n">
        <x:v>4</x:v>
      </x:c>
      <x:c r="O721" s="9" t="str">
        <x:v>Place the listed objects. Arrange Expected Target as the unique answer to the prompt; keep the bowl empty and save a reference image.</x:v>
      </x:c>
      <x:c r="P721" s="9" t="str">
        <x:v>Both candidates are present. The held-out relation is the only information that identifies the target.</x:v>
      </x:c>
      <x:c r="Q721" s="9"/>
      <x:c r="R721" s="10" t="n">
        <x:v>4</x:v>
      </x:c>
      <x:c r="S721" s="10" t="n">
        <x:v>1</x:v>
      </x:c>
      <x:c r="T721" s="9" t="str">
        <x:v>Empty</x:v>
      </x:c>
      <x:c r="U721" s="9"/>
      <x:c r="V721" s="9"/>
      <x:c r="W721" s="9"/>
      <x:c r="X721" s="10"/>
      <x:c r="Y721" s="10"/>
      <x:c r="Z721" s="9"/>
      <x:c r="AA721" s="9"/>
      <x:c r="AB721" s="9" t="str">
        <x:v>furthest</x:v>
      </x:c>
      <x:c r="AC721" s="9"/>
      <x:c r="AD721" s="9"/>
      <x:c r="AE721" s="9"/>
      <x:c r="AF721" s="9"/>
      <x:c r="AG721" s="9" t="str">
        <x:v>airplane toy</x:v>
      </x:c>
      <x:c r="AH721" s="9"/>
      <x:c r="AI721" s="11"/>
      <x:c r="AJ721" s="9"/>
      <x:c r="AK721" s="9" t="str">
        <x:v>Eval_Referential_Disambiguation.xlsm</x:v>
      </x:c>
      <x:c r="AL721" s="9" t="str">
        <x:v>MolmoAct2 Results</x:v>
      </x:c>
      <x:c r="AM721" s="9" t="n">
        <x:v>101</x:v>
      </x:c>
      <x:c r="AN721" s="9" t="n">
        <x:v>101</x:v>
      </x:c>
    </x:row>
    <x:row r="722">
      <x:c r="A722" s="9" t="str">
        <x:v>Success</x:v>
      </x:c>
      <x:c r="B722" s="9" t="str">
        <x:v>Referential Disambiguation</x:v>
      </x:c>
      <x:c r="C722" s="10" t="n">
        <x:v>100</x:v>
      </x:c>
      <x:c r="D722" s="9" t="str">
        <x:v>Put the crushed soda can closest to the airplane toy with propellers in the bowl.</x:v>
      </x:c>
      <x:c r="E722" s="9" t="str">
        <x:v>crushed Coke can; crushed Pepsi can; airplane toy with propellers; red pencil sharpener</x:v>
      </x:c>
      <x:c r="F722" s="9" t="str">
        <x:v>crushed Coke can</x:v>
      </x:c>
      <x:c r="G722" s="9"/>
      <x:c r="H722" s="9" t="str">
        <x:v>Concept/compositional transfer</x:v>
      </x:c>
      <x:c r="I722" s="9" t="str">
        <x:v>RD-CT41</x:v>
      </x:c>
      <x:c r="J722" s="9" t="str">
        <x:v>Primary held-out relation × candidate-category composition — Put</x:v>
      </x:c>
      <x:c r="K722" s="9"/>
      <x:c r="L722" s="9" t="str">
        <x:v>414</x:v>
      </x:c>
      <x:c r="M722" s="9" t="str">
        <x:v>Masked source trajectory: the target identity and physical manipulation are trained under a direct-name prompt, while this relation × candidate-category composition is intentionally absent.</x:v>
      </x:c>
      <x:c r="N722" s="9" t="n">
        <x:v>4</x:v>
      </x:c>
      <x:c r="O722" s="9" t="str">
        <x:v>Place the listed objects. Arrange Expected Target as the unique answer to the prompt; keep the bowl empty and save a reference image.</x:v>
      </x:c>
      <x:c r="P722" s="9" t="str">
        <x:v>Both candidates are present. The held-out relation is the only information that identifies the target.</x:v>
      </x:c>
      <x:c r="Q722" s="9"/>
      <x:c r="R722" s="10" t="n">
        <x:v>4</x:v>
      </x:c>
      <x:c r="S722" s="10" t="n">
        <x:v>1</x:v>
      </x:c>
      <x:c r="T722" s="9" t="str">
        <x:v>Empty</x:v>
      </x:c>
      <x:c r="U722" s="9"/>
      <x:c r="V722" s="9"/>
      <x:c r="W722" s="9"/>
      <x:c r="X722" s="10"/>
      <x:c r="Y722" s="10"/>
      <x:c r="Z722" s="9"/>
      <x:c r="AA722" s="9"/>
      <x:c r="AB722" s="9" t="str">
        <x:v>closest</x:v>
      </x:c>
      <x:c r="AC722" s="9"/>
      <x:c r="AD722" s="9"/>
      <x:c r="AE722" s="9"/>
      <x:c r="AF722" s="9"/>
      <x:c r="AG722" s="9" t="str">
        <x:v>crushed soda can</x:v>
      </x:c>
      <x:c r="AH722" s="9"/>
      <x:c r="AI722" s="11"/>
      <x:c r="AJ722" s="9"/>
      <x:c r="AK722" s="9" t="str">
        <x:v>Eval_Referential_Disambiguation.xlsm</x:v>
      </x:c>
      <x:c r="AL722" s="9" t="str">
        <x:v>MolmoAct2 Results</x:v>
      </x:c>
      <x:c r="AM722" s="9" t="n">
        <x:v>102</x:v>
      </x:c>
      <x:c r="AN722" s="9" t="n">
        <x:v>102</x:v>
      </x:c>
    </x:row>
    <x:row r="723">
      <x:c r="A723" s="9" t="str">
        <x:v>Failure</x:v>
      </x:c>
      <x:c r="B723" s="9" t="str">
        <x:v>Referential Disambiguation</x:v>
      </x:c>
      <x:c r="C723" s="10" t="n">
        <x:v>101</x:v>
      </x:c>
      <x:c r="D723" s="9" t="str">
        <x:v>Put the pencil sharpener between the airplane toy with propellers and the yellow pen in the bowl.</x:v>
      </x:c>
      <x:c r="E723" s="9" t="str">
        <x:v>green pencil sharpener; red pencil sharpener; airplane toy with propellers; yellow pen; airplane toy without propellers</x:v>
      </x:c>
      <x:c r="F723" s="9" t="str">
        <x:v>green pencil sharpener</x:v>
      </x:c>
      <x:c r="G723" s="9" t="str">
        <x:v>placed gripper on top of pencil sharpener and strguggled to close. reasoning succeeded, but grasping failed.</x:v>
      </x:c>
      <x:c r="H723" s="9" t="str">
        <x:v>Concept/compositional transfer</x:v>
      </x:c>
      <x:c r="I723" s="9" t="str">
        <x:v>RD-CT42</x:v>
      </x:c>
      <x:c r="J723" s="9" t="str">
        <x:v>Primary held-out relation × candidate-category composition — Put</x:v>
      </x:c>
      <x:c r="K723" s="9"/>
      <x:c r="L723" s="9" t="str">
        <x:v>495</x:v>
      </x:c>
      <x:c r="M723" s="9" t="str">
        <x:v>Masked source trajectory: the target identity and physical manipulation are trained under a direct-name prompt, while this relation × candidate-category composition is intentionally absent.</x:v>
      </x:c>
      <x:c r="N723" s="9" t="n">
        <x:v>4</x:v>
      </x:c>
      <x:c r="O723" s="9" t="str">
        <x:v>Place the listed objects. Arrange Expected Target as the unique answer to the prompt; keep the bowl empty and save a reference image.</x:v>
      </x:c>
      <x:c r="P723" s="9" t="str">
        <x:v>Both candidates are present. The held-out relation is the only information that identifies the target.</x:v>
      </x:c>
      <x:c r="Q723" s="9"/>
      <x:c r="R723" s="10" t="n">
        <x:v>5</x:v>
      </x:c>
      <x:c r="S723" s="10" t="n">
        <x:v>1</x:v>
      </x:c>
      <x:c r="T723" s="9" t="str">
        <x:v>Empty</x:v>
      </x:c>
      <x:c r="U723" s="9"/>
      <x:c r="V723" s="9"/>
      <x:c r="W723" s="9"/>
      <x:c r="X723" s="10"/>
      <x:c r="Y723" s="10"/>
      <x:c r="Z723" s="9"/>
      <x:c r="AA723" s="9"/>
      <x:c r="AB723" s="9" t="str">
        <x:v>between</x:v>
      </x:c>
      <x:c r="AC723" s="9"/>
      <x:c r="AD723" s="9"/>
      <x:c r="AE723" s="9"/>
      <x:c r="AF723" s="9"/>
      <x:c r="AG723" s="9" t="str">
        <x:v>pencil sharpener</x:v>
      </x:c>
      <x:c r="AH723" s="9"/>
      <x:c r="AI723" s="11"/>
      <x:c r="AJ723" s="9"/>
      <x:c r="AK723" s="9" t="str">
        <x:v>Eval_Referential_Disambiguation.xlsm</x:v>
      </x:c>
      <x:c r="AL723" s="9" t="str">
        <x:v>MolmoAct2 Results</x:v>
      </x:c>
      <x:c r="AM723" s="9" t="n">
        <x:v>103</x:v>
      </x:c>
      <x:c r="AN723" s="9" t="n">
        <x:v>103</x:v>
      </x:c>
    </x:row>
    <x:row r="724">
      <x:c r="A724" s="9" t="str">
        <x:v>Success</x:v>
      </x:c>
      <x:c r="B724" s="9" t="str">
        <x:v>Referential Disambiguation</x:v>
      </x:c>
      <x:c r="C724" s="10" t="n">
        <x:v>102</x:v>
      </x:c>
      <x:c r="D724" s="9" t="str">
        <x:v>Move the airplane toy furthest from the green pencil sharpener into the bowl.</x:v>
      </x:c>
      <x:c r="E724" s="9" t="str">
        <x:v>airplane toy with propellers; airplane toy without propellers; green pencil sharpener</x:v>
      </x:c>
      <x:c r="F724" s="9" t="str">
        <x:v>airplane toy without propellers</x:v>
      </x:c>
      <x:c r="G724" s="9"/>
      <x:c r="H724" s="9" t="str">
        <x:v>Concept/compositional transfer</x:v>
      </x:c>
      <x:c r="I724" s="9" t="str">
        <x:v>RD-CT43</x:v>
      </x:c>
      <x:c r="J724" s="9" t="str">
        <x:v>Primary held-out relation × candidate-category composition — Move</x:v>
      </x:c>
      <x:c r="K724" s="9"/>
      <x:c r="L724" s="9" t="str">
        <x:v>577</x:v>
      </x:c>
      <x:c r="M724" s="9" t="str">
        <x:v>Masked source trajectory: the target identity and physical manipulation are trained under a direct-name prompt, while this relation × candidate-category composition is intentionally absent.</x:v>
      </x:c>
      <x:c r="N724" s="9" t="n">
        <x:v>4</x:v>
      </x:c>
      <x:c r="O724" s="9" t="str">
        <x:v>Place the listed objects. Arrange Expected Target as the unique answer to the prompt; keep the bowl empty and save a reference image.</x:v>
      </x:c>
      <x:c r="P724" s="9" t="str">
        <x:v>Both candidates are present. The held-out relation is the only information that identifies the target.</x:v>
      </x:c>
      <x:c r="Q724" s="9"/>
      <x:c r="R724" s="10" t="n">
        <x:v>3</x:v>
      </x:c>
      <x:c r="S724" s="10" t="n">
        <x:v>1</x:v>
      </x:c>
      <x:c r="T724" s="9" t="str">
        <x:v>Empty</x:v>
      </x:c>
      <x:c r="U724" s="9"/>
      <x:c r="V724" s="9"/>
      <x:c r="W724" s="9"/>
      <x:c r="X724" s="10"/>
      <x:c r="Y724" s="10"/>
      <x:c r="Z724" s="9"/>
      <x:c r="AA724" s="9"/>
      <x:c r="AB724" s="9" t="str">
        <x:v>furthest</x:v>
      </x:c>
      <x:c r="AC724" s="9"/>
      <x:c r="AD724" s="9"/>
      <x:c r="AE724" s="9"/>
      <x:c r="AF724" s="9"/>
      <x:c r="AG724" s="9" t="str">
        <x:v>airplane toy</x:v>
      </x:c>
      <x:c r="AH724" s="9"/>
      <x:c r="AI724" s="11"/>
      <x:c r="AJ724" s="9"/>
      <x:c r="AK724" s="9" t="str">
        <x:v>Eval_Referential_Disambiguation.xlsm</x:v>
      </x:c>
      <x:c r="AL724" s="9" t="str">
        <x:v>MolmoAct2 Results</x:v>
      </x:c>
      <x:c r="AM724" s="9" t="n">
        <x:v>104</x:v>
      </x:c>
      <x:c r="AN724" s="9" t="n">
        <x:v>104</x:v>
      </x:c>
    </x:row>
    <x:row r="725">
      <x:c r="A725" s="9" t="str">
        <x:v>Failure</x:v>
      </x:c>
      <x:c r="B725" s="9" t="str">
        <x:v>Referential Disambiguation</x:v>
      </x:c>
      <x:c r="C725" s="10" t="n">
        <x:v>103</x:v>
      </x:c>
      <x:c r="D725" s="9" t="str">
        <x:v>Move the crushed soda can closest to the green pencil sharpener into the bowl.</x:v>
      </x:c>
      <x:c r="E725" s="9" t="str">
        <x:v>crushed Coke can; crushed Pepsi can; green pencil sharpener</x:v>
      </x:c>
      <x:c r="F725" s="9" t="str">
        <x:v>crushed Pepsi can</x:v>
      </x:c>
      <x:c r="G725" s="9" t="str">
        <x:v>Went for the coke can, knocked it out of range, and could not recover. failed reasoning</x:v>
      </x:c>
      <x:c r="H725" s="9" t="str">
        <x:v>Concept/compositional transfer</x:v>
      </x:c>
      <x:c r="I725" s="9" t="str">
        <x:v>RD-CT44</x:v>
      </x:c>
      <x:c r="J725" s="9" t="str">
        <x:v>Primary held-out relation × candidate-category composition — Move</x:v>
      </x:c>
      <x:c r="K725" s="9"/>
      <x:c r="L725" s="9" t="str">
        <x:v>413</x:v>
      </x:c>
      <x:c r="M725" s="9" t="str">
        <x:v>Masked source trajectory: the target identity and physical manipulation are trained under a direct-name prompt, while this relation × candidate-category composition is intentionally absent.</x:v>
      </x:c>
      <x:c r="N725" s="9" t="n">
        <x:v>4</x:v>
      </x:c>
      <x:c r="O725" s="9" t="str">
        <x:v>Place the listed objects. Arrange Expected Target as the unique answer to the prompt; keep the bowl empty and save a reference image.</x:v>
      </x:c>
      <x:c r="P725" s="9" t="str">
        <x:v>Both candidates are present. The held-out relation is the only information that identifies the target.</x:v>
      </x:c>
      <x:c r="Q725" s="9"/>
      <x:c r="R725" s="10" t="n">
        <x:v>3</x:v>
      </x:c>
      <x:c r="S725" s="10" t="n">
        <x:v>1</x:v>
      </x:c>
      <x:c r="T725" s="9" t="str">
        <x:v>Empty</x:v>
      </x:c>
      <x:c r="U725" s="9"/>
      <x:c r="V725" s="9"/>
      <x:c r="W725" s="9"/>
      <x:c r="X725" s="10"/>
      <x:c r="Y725" s="10"/>
      <x:c r="Z725" s="9"/>
      <x:c r="AA725" s="9"/>
      <x:c r="AB725" s="9" t="str">
        <x:v>closest</x:v>
      </x:c>
      <x:c r="AC725" s="9"/>
      <x:c r="AD725" s="9"/>
      <x:c r="AE725" s="9"/>
      <x:c r="AF725" s="9"/>
      <x:c r="AG725" s="9" t="str">
        <x:v>crushed soda can</x:v>
      </x:c>
      <x:c r="AH725" s="9"/>
      <x:c r="AI725" s="11"/>
      <x:c r="AJ725" s="9"/>
      <x:c r="AK725" s="9" t="str">
        <x:v>Eval_Referential_Disambiguation.xlsm</x:v>
      </x:c>
      <x:c r="AL725" s="9" t="str">
        <x:v>MolmoAct2 Results</x:v>
      </x:c>
      <x:c r="AM725" s="9" t="n">
        <x:v>105</x:v>
      </x:c>
      <x:c r="AN725" s="9" t="n">
        <x:v>105</x:v>
      </x:c>
    </x:row>
    <x:row r="726">
      <x:c r="A726" s="9" t="str">
        <x:v>Failure</x:v>
      </x:c>
      <x:c r="B726" s="9" t="str">
        <x:v>Referential Disambiguation</x:v>
      </x:c>
      <x:c r="C726" s="10" t="n">
        <x:v>104</x:v>
      </x:c>
      <x:c r="D726" s="9" t="str">
        <x:v>Move the pencil sharpener between the crushed Pepsi can and the airplane toy without propellers into the bowl.</x:v>
      </x:c>
      <x:c r="E726" s="9" t="str">
        <x:v>green pencil sharpener; red pencil sharpener; crushed Pepsi can; airplane toy without propellers</x:v>
      </x:c>
      <x:c r="F726" s="9" t="str">
        <x:v>red pencil sharpener</x:v>
      </x:c>
      <x:c r="G726" s="9" t="str">
        <x:v>picked up airplane toy, failed reasoning</x:v>
      </x:c>
      <x:c r="H726" s="9" t="str">
        <x:v>Concept/compositional transfer</x:v>
      </x:c>
      <x:c r="I726" s="9" t="str">
        <x:v>RD-CT45</x:v>
      </x:c>
      <x:c r="J726" s="9" t="str">
        <x:v>Primary held-out relation × candidate-category composition — Move</x:v>
      </x:c>
      <x:c r="K726" s="9"/>
      <x:c r="L726" s="9" t="str">
        <x:v>493</x:v>
      </x:c>
      <x:c r="M726" s="9" t="str">
        <x:v>Masked source trajectory: the target identity and physical manipulation are trained under a direct-name prompt, while this relation × candidate-category composition is intentionally absent.</x:v>
      </x:c>
      <x:c r="N726" s="9" t="n">
        <x:v>4</x:v>
      </x:c>
      <x:c r="O726" s="9" t="str">
        <x:v>Place the listed objects. Arrange Expected Target as the unique answer to the prompt; keep the bowl empty and save a reference image.</x:v>
      </x:c>
      <x:c r="P726" s="9" t="str">
        <x:v>Both candidates are present. The held-out relation is the only information that identifies the target.</x:v>
      </x:c>
      <x:c r="Q726" s="9"/>
      <x:c r="R726" s="10" t="n">
        <x:v>4</x:v>
      </x:c>
      <x:c r="S726" s="10" t="n">
        <x:v>1</x:v>
      </x:c>
      <x:c r="T726" s="9" t="str">
        <x:v>Empty</x:v>
      </x:c>
      <x:c r="U726" s="9"/>
      <x:c r="V726" s="9"/>
      <x:c r="W726" s="9"/>
      <x:c r="X726" s="10"/>
      <x:c r="Y726" s="10"/>
      <x:c r="Z726" s="9"/>
      <x:c r="AA726" s="9"/>
      <x:c r="AB726" s="9" t="str">
        <x:v>between</x:v>
      </x:c>
      <x:c r="AC726" s="9"/>
      <x:c r="AD726" s="9"/>
      <x:c r="AE726" s="9"/>
      <x:c r="AF726" s="9"/>
      <x:c r="AG726" s="9" t="str">
        <x:v>pencil sharpener</x:v>
      </x:c>
      <x:c r="AH726" s="9"/>
      <x:c r="AI726" s="11"/>
      <x:c r="AJ726" s="9"/>
      <x:c r="AK726" s="9" t="str">
        <x:v>Eval_Referential_Disambiguation.xlsm</x:v>
      </x:c>
      <x:c r="AL726" s="9" t="str">
        <x:v>MolmoAct2 Results</x:v>
      </x:c>
      <x:c r="AM726" s="9" t="n">
        <x:v>106</x:v>
      </x:c>
      <x:c r="AN726" s="9" t="n">
        <x:v>106</x:v>
      </x:c>
    </x:row>
    <x:row r="727">
      <x:c r="A727" s="9" t="str">
        <x:v>Failure</x:v>
      </x:c>
      <x:c r="B727" s="9" t="str">
        <x:v>Referential Disambiguation</x:v>
      </x:c>
      <x:c r="C727" s="10" t="n">
        <x:v>105</x:v>
      </x:c>
      <x:c r="D727" s="9" t="str">
        <x:v>Pick up the airplane toy furthest from the yellow pen and place it in the bowl.</x:v>
      </x:c>
      <x:c r="E727" s="9" t="str">
        <x:v>airplane toy with propellers; airplane toy without propellers; yellow pen; crushed Coke can</x:v>
      </x:c>
      <x:c r="F727" s="9" t="str">
        <x:v>airplane toy without propellers</x:v>
      </x:c>
      <x:c r="G727" s="9" t="str">
        <x:v>picked closest airplane toy. failed reasoning</x:v>
      </x:c>
      <x:c r="H727" s="9" t="str">
        <x:v>Concept/compositional transfer</x:v>
      </x:c>
      <x:c r="I727" s="9" t="str">
        <x:v>RD-CT46</x:v>
      </x:c>
      <x:c r="J727" s="9" t="str">
        <x:v>Primary held-out relation × candidate-category composition — Pick up</x:v>
      </x:c>
      <x:c r="K727" s="9"/>
      <x:c r="L727" s="9" t="str">
        <x:v>579</x:v>
      </x:c>
      <x:c r="M727" s="9" t="str">
        <x:v>Masked source trajectory: the target identity and physical manipulation are trained under a direct-name prompt, while this relation × candidate-category composition is intentionally absent.</x:v>
      </x:c>
      <x:c r="N727" s="9" t="n">
        <x:v>4</x:v>
      </x:c>
      <x:c r="O727" s="9" t="str">
        <x:v>Place the listed objects. Arrange Expected Target as the unique answer to the prompt; keep the bowl empty and save a reference image.</x:v>
      </x:c>
      <x:c r="P727" s="9" t="str">
        <x:v>Both candidates are present. The held-out relation is the only information that identifies the target.</x:v>
      </x:c>
      <x:c r="Q727" s="9"/>
      <x:c r="R727" s="10" t="n">
        <x:v>4</x:v>
      </x:c>
      <x:c r="S727" s="10" t="n">
        <x:v>1</x:v>
      </x:c>
      <x:c r="T727" s="9" t="str">
        <x:v>Empty</x:v>
      </x:c>
      <x:c r="U727" s="9"/>
      <x:c r="V727" s="9"/>
      <x:c r="W727" s="9"/>
      <x:c r="X727" s="10"/>
      <x:c r="Y727" s="10"/>
      <x:c r="Z727" s="9"/>
      <x:c r="AA727" s="9"/>
      <x:c r="AB727" s="9" t="str">
        <x:v>furthest</x:v>
      </x:c>
      <x:c r="AC727" s="9"/>
      <x:c r="AD727" s="9"/>
      <x:c r="AE727" s="9"/>
      <x:c r="AF727" s="9"/>
      <x:c r="AG727" s="9" t="str">
        <x:v>airplane toy</x:v>
      </x:c>
      <x:c r="AH727" s="9"/>
      <x:c r="AI727" s="11"/>
      <x:c r="AJ727" s="9"/>
      <x:c r="AK727" s="9" t="str">
        <x:v>Eval_Referential_Disambiguation.xlsm</x:v>
      </x:c>
      <x:c r="AL727" s="9" t="str">
        <x:v>MolmoAct2 Results</x:v>
      </x:c>
      <x:c r="AM727" s="9" t="n">
        <x:v>107</x:v>
      </x:c>
      <x:c r="AN727" s="9" t="n">
        <x:v>107</x:v>
      </x:c>
    </x:row>
    <x:row r="728">
      <x:c r="A728" s="9" t="str">
        <x:v>Success</x:v>
      </x:c>
      <x:c r="B728" s="9" t="str">
        <x:v>Referential Disambiguation</x:v>
      </x:c>
      <x:c r="C728" s="10" t="n">
        <x:v>106</x:v>
      </x:c>
      <x:c r="D728" s="9" t="str">
        <x:v>Pick up the crushed soda can closest to the yellow pen and place it in the bowl.</x:v>
      </x:c>
      <x:c r="E728" s="9" t="str">
        <x:v>crushed Coke can; crushed Pepsi can; yellow pen; green pen</x:v>
      </x:c>
      <x:c r="F728" s="9" t="str">
        <x:v>crushed Pepsi can</x:v>
      </x:c>
      <x:c r="G728" s="9"/>
      <x:c r="H728" s="9" t="str">
        <x:v>Concept/compositional transfer</x:v>
      </x:c>
      <x:c r="I728" s="9" t="str">
        <x:v>RD-CT47</x:v>
      </x:c>
      <x:c r="J728" s="9" t="str">
        <x:v>Primary held-out relation × candidate-category composition — Pick up</x:v>
      </x:c>
      <x:c r="K728" s="9"/>
      <x:c r="L728" s="9" t="str">
        <x:v>401</x:v>
      </x:c>
      <x:c r="M728" s="9" t="str">
        <x:v>Masked source trajectory: the target identity and physical manipulation are trained under a direct-name prompt, while this relation × candidate-category composition is intentionally absent.</x:v>
      </x:c>
      <x:c r="N728" s="9" t="n">
        <x:v>4</x:v>
      </x:c>
      <x:c r="O728" s="9" t="str">
        <x:v>Place the listed objects. Arrange Expected Target as the unique answer to the prompt; keep the bowl empty and save a reference image.</x:v>
      </x:c>
      <x:c r="P728" s="9" t="str">
        <x:v>Both candidates are present. The held-out relation is the only information that identifies the target.</x:v>
      </x:c>
      <x:c r="Q728" s="9"/>
      <x:c r="R728" s="10" t="n">
        <x:v>4</x:v>
      </x:c>
      <x:c r="S728" s="10" t="n">
        <x:v>1</x:v>
      </x:c>
      <x:c r="T728" s="9" t="str">
        <x:v>Empty</x:v>
      </x:c>
      <x:c r="U728" s="9"/>
      <x:c r="V728" s="9"/>
      <x:c r="W728" s="9"/>
      <x:c r="X728" s="10"/>
      <x:c r="Y728" s="10"/>
      <x:c r="Z728" s="9"/>
      <x:c r="AA728" s="9"/>
      <x:c r="AB728" s="9" t="str">
        <x:v>closest</x:v>
      </x:c>
      <x:c r="AC728" s="9"/>
      <x:c r="AD728" s="9"/>
      <x:c r="AE728" s="9"/>
      <x:c r="AF728" s="9"/>
      <x:c r="AG728" s="9" t="str">
        <x:v>crushed soda can</x:v>
      </x:c>
      <x:c r="AH728" s="9"/>
      <x:c r="AI728" s="11"/>
      <x:c r="AJ728" s="9"/>
      <x:c r="AK728" s="9" t="str">
        <x:v>Eval_Referential_Disambiguation.xlsm</x:v>
      </x:c>
      <x:c r="AL728" s="9" t="str">
        <x:v>MolmoAct2 Results</x:v>
      </x:c>
      <x:c r="AM728" s="9" t="n">
        <x:v>108</x:v>
      </x:c>
      <x:c r="AN728" s="9" t="n">
        <x:v>108</x:v>
      </x:c>
    </x:row>
    <x:row r="729">
      <x:c r="A729" s="9" t="str">
        <x:v>Success</x:v>
      </x:c>
      <x:c r="B729" s="9" t="str">
        <x:v>Referential Disambiguation</x:v>
      </x:c>
      <x:c r="C729" s="10" t="n">
        <x:v>107</x:v>
      </x:c>
      <x:c r="D729" s="9" t="str">
        <x:v>Pick up the pencil sharpener between the green pen and the crushed Coke can and place it in the bowl.</x:v>
      </x:c>
      <x:c r="E729" s="9" t="str">
        <x:v>green pencil sharpener; red pencil sharpener; green pen; crushed Coke can; yellow pen</x:v>
      </x:c>
      <x:c r="F729" s="9" t="str">
        <x:v>red pencil sharpener</x:v>
      </x:c>
      <x:c r="G729" s="9"/>
      <x:c r="H729" s="9" t="str">
        <x:v>Concept/compositional transfer</x:v>
      </x:c>
      <x:c r="I729" s="9" t="str">
        <x:v>RD-CT48</x:v>
      </x:c>
      <x:c r="J729" s="9" t="str">
        <x:v>Primary held-out relation × candidate-category composition — Pick up</x:v>
      </x:c>
      <x:c r="K729" s="9"/>
      <x:c r="L729" s="9" t="str">
        <x:v>494</x:v>
      </x:c>
      <x:c r="M729" s="9" t="str">
        <x:v>Masked source trajectory: the target identity and physical manipulation are trained under a direct-name prompt, while this relation × candidate-category composition is intentionally absent.</x:v>
      </x:c>
      <x:c r="N729" s="9" t="n">
        <x:v>4</x:v>
      </x:c>
      <x:c r="O729" s="9" t="str">
        <x:v>Place the listed objects. Arrange Expected Target as the unique answer to the prompt; keep the bowl empty and save a reference image.</x:v>
      </x:c>
      <x:c r="P729" s="9" t="str">
        <x:v>Both candidates are present. The held-out relation is the only information that identifies the target.</x:v>
      </x:c>
      <x:c r="Q729" s="9"/>
      <x:c r="R729" s="10" t="n">
        <x:v>5</x:v>
      </x:c>
      <x:c r="S729" s="10" t="n">
        <x:v>1</x:v>
      </x:c>
      <x:c r="T729" s="9" t="str">
        <x:v>Empty</x:v>
      </x:c>
      <x:c r="U729" s="9"/>
      <x:c r="V729" s="9"/>
      <x:c r="W729" s="9"/>
      <x:c r="X729" s="10"/>
      <x:c r="Y729" s="10"/>
      <x:c r="Z729" s="9"/>
      <x:c r="AA729" s="9"/>
      <x:c r="AB729" s="9" t="str">
        <x:v>between</x:v>
      </x:c>
      <x:c r="AC729" s="9"/>
      <x:c r="AD729" s="9"/>
      <x:c r="AE729" s="9"/>
      <x:c r="AF729" s="9"/>
      <x:c r="AG729" s="9" t="str">
        <x:v>pencil sharpener</x:v>
      </x:c>
      <x:c r="AH729" s="9"/>
      <x:c r="AI729" s="11"/>
      <x:c r="AJ729" s="9"/>
      <x:c r="AK729" s="9" t="str">
        <x:v>Eval_Referential_Disambiguation.xlsm</x:v>
      </x:c>
      <x:c r="AL729" s="9" t="str">
        <x:v>MolmoAct2 Results</x:v>
      </x:c>
      <x:c r="AM729" s="9" t="n">
        <x:v>109</x:v>
      </x:c>
      <x:c r="AN729" s="9" t="n">
        <x:v>109</x:v>
      </x:c>
    </x:row>
    <x:row r="730">
      <x:c r="A730" s="9" t="str">
        <x:v>Success</x:v>
      </x:c>
      <x:c r="B730" s="9" t="str">
        <x:v>Referential Disambiguation</x:v>
      </x:c>
      <x:c r="C730" s="10" t="n">
        <x:v>108</x:v>
      </x:c>
      <x:c r="D730" s="9" t="str">
        <x:v>Put the airplane toy furthest from the crushed Pepsi can in the bowl.</x:v>
      </x:c>
      <x:c r="E730" s="9" t="str">
        <x:v>airplane toy with propellers; airplane toy without propellers; crushed Pepsi can; green pen</x:v>
      </x:c>
      <x:c r="F730" s="9" t="str">
        <x:v>airplane toy with propellers</x:v>
      </x:c>
      <x:c r="G730" s="9"/>
      <x:c r="H730" s="9" t="str">
        <x:v>Concept/compositional transfer</x:v>
      </x:c>
      <x:c r="I730" s="9" t="str">
        <x:v>RD-CT49</x:v>
      </x:c>
      <x:c r="J730" s="9" t="str">
        <x:v>Primary held-out relation × candidate-category composition — Put</x:v>
      </x:c>
      <x:c r="K730" s="9"/>
      <x:c r="L730" s="9" t="str">
        <x:v>568</x:v>
      </x:c>
      <x:c r="M730" s="9" t="str">
        <x:v>Masked source trajectory: the target identity and physical manipulation are trained under a direct-name prompt, while this relation × candidate-category composition is intentionally absent.</x:v>
      </x:c>
      <x:c r="N730" s="9" t="n">
        <x:v>4</x:v>
      </x:c>
      <x:c r="O730" s="9" t="str">
        <x:v>Place the listed objects. Arrange Expected Target as the unique answer to the prompt; keep the bowl empty and save a reference image.</x:v>
      </x:c>
      <x:c r="P730" s="9" t="str">
        <x:v>Both candidates are present. The held-out relation is the only information that identifies the target.</x:v>
      </x:c>
      <x:c r="Q730" s="9"/>
      <x:c r="R730" s="10" t="n">
        <x:v>4</x:v>
      </x:c>
      <x:c r="S730" s="10" t="n">
        <x:v>1</x:v>
      </x:c>
      <x:c r="T730" s="9" t="str">
        <x:v>Empty</x:v>
      </x:c>
      <x:c r="U730" s="9"/>
      <x:c r="V730" s="9"/>
      <x:c r="W730" s="9"/>
      <x:c r="X730" s="10"/>
      <x:c r="Y730" s="10"/>
      <x:c r="Z730" s="9"/>
      <x:c r="AA730" s="9"/>
      <x:c r="AB730" s="9" t="str">
        <x:v>furthest</x:v>
      </x:c>
      <x:c r="AC730" s="9"/>
      <x:c r="AD730" s="9"/>
      <x:c r="AE730" s="9"/>
      <x:c r="AF730" s="9"/>
      <x:c r="AG730" s="9" t="str">
        <x:v>airplane toy</x:v>
      </x:c>
      <x:c r="AH730" s="9"/>
      <x:c r="AI730" s="11"/>
      <x:c r="AJ730" s="9"/>
      <x:c r="AK730" s="9" t="str">
        <x:v>Eval_Referential_Disambiguation.xlsm</x:v>
      </x:c>
      <x:c r="AL730" s="9" t="str">
        <x:v>MolmoAct2 Results</x:v>
      </x:c>
      <x:c r="AM730" s="9" t="n">
        <x:v>110</x:v>
      </x:c>
      <x:c r="AN730" s="9" t="n">
        <x:v>110</x:v>
      </x:c>
    </x:row>
    <x:row r="731">
      <x:c r="A731" s="9" t="str">
        <x:v>Success</x:v>
      </x:c>
      <x:c r="B731" s="9" t="str">
        <x:v>Referential Disambiguation</x:v>
      </x:c>
      <x:c r="C731" s="10" t="n">
        <x:v>109</x:v>
      </x:c>
      <x:c r="D731" s="9" t="str">
        <x:v>Put the crushed soda can closest to the airplane toy without propellers in the bowl.</x:v>
      </x:c>
      <x:c r="E731" s="9" t="str">
        <x:v>crushed Coke can; crushed Pepsi can; airplane toy without propellers; green pencil sharpener</x:v>
      </x:c>
      <x:c r="F731" s="9" t="str">
        <x:v>crushed Coke can</x:v>
      </x:c>
      <x:c r="G731" s="9"/>
      <x:c r="H731" s="9" t="str">
        <x:v>Concept/compositional transfer</x:v>
      </x:c>
      <x:c r="I731" s="9" t="str">
        <x:v>RD-CT50</x:v>
      </x:c>
      <x:c r="J731" s="9" t="str">
        <x:v>Primary held-out relation × candidate-category composition — Put</x:v>
      </x:c>
      <x:c r="K731" s="9"/>
      <x:c r="L731" s="9" t="str">
        <x:v>400</x:v>
      </x:c>
      <x:c r="M731" s="9" t="str">
        <x:v>Masked source trajectory: the target identity and physical manipulation are trained under a direct-name prompt, while this relation × candidate-category composition is intentionally absent.</x:v>
      </x:c>
      <x:c r="N731" s="9" t="n">
        <x:v>4</x:v>
      </x:c>
      <x:c r="O731" s="9" t="str">
        <x:v>Place the listed objects. Arrange Expected Target as the unique answer to the prompt; keep the bowl empty and save a reference image.</x:v>
      </x:c>
      <x:c r="P731" s="9" t="str">
        <x:v>Both candidates are present. The held-out relation is the only information that identifies the target.</x:v>
      </x:c>
      <x:c r="Q731" s="9"/>
      <x:c r="R731" s="10" t="n">
        <x:v>4</x:v>
      </x:c>
      <x:c r="S731" s="10" t="n">
        <x:v>1</x:v>
      </x:c>
      <x:c r="T731" s="9" t="str">
        <x:v>Empty</x:v>
      </x:c>
      <x:c r="U731" s="9"/>
      <x:c r="V731" s="9"/>
      <x:c r="W731" s="9"/>
      <x:c r="X731" s="10"/>
      <x:c r="Y731" s="10"/>
      <x:c r="Z731" s="9"/>
      <x:c r="AA731" s="9"/>
      <x:c r="AB731" s="9" t="str">
        <x:v>closest</x:v>
      </x:c>
      <x:c r="AC731" s="9"/>
      <x:c r="AD731" s="9"/>
      <x:c r="AE731" s="9"/>
      <x:c r="AF731" s="9"/>
      <x:c r="AG731" s="9" t="str">
        <x:v>crushed soda can</x:v>
      </x:c>
      <x:c r="AH731" s="9"/>
      <x:c r="AI731" s="11"/>
      <x:c r="AJ731" s="9"/>
      <x:c r="AK731" s="9" t="str">
        <x:v>Eval_Referential_Disambiguation.xlsm</x:v>
      </x:c>
      <x:c r="AL731" s="9" t="str">
        <x:v>MolmoAct2 Results</x:v>
      </x:c>
      <x:c r="AM731" s="9" t="n">
        <x:v>111</x:v>
      </x:c>
      <x:c r="AN731" s="9" t="n">
        <x:v>111</x:v>
      </x:c>
    </x:row>
    <x:row r="732">
      <x:c r="A732" s="9" t="str">
        <x:v>Failure</x:v>
      </x:c>
      <x:c r="B732" s="9" t="str">
        <x:v>Referential Disambiguation</x:v>
      </x:c>
      <x:c r="C732" s="10" t="n">
        <x:v>110</x:v>
      </x:c>
      <x:c r="D732" s="9" t="str">
        <x:v>Pick up the block closest to the crushed Coke can and place it in the bowl.</x:v>
      </x:c>
      <x:c r="E732" s="9" t="str">
        <x:v>green block; blue block; crushed Coke can</x:v>
      </x:c>
      <x:c r="F732" s="9" t="str">
        <x:v>green block</x:v>
      </x:c>
      <x:c r="G732" s="9" t="str">
        <x:v>picked blue block; reasoning failure</x:v>
      </x:c>
      <x:c r="H732" s="9" t="str">
        <x:v>Cross-task block reasoning</x:v>
      </x:c>
      <x:c r="I732" s="9" t="str">
        <x:v>RD-BLOCK01</x:v>
      </x:c>
      <x:c r="J732" s="9" t="str">
        <x:v>Cross-task block candidate pair — closest</x:v>
      </x:c>
      <x:c r="K732" s="9"/>
      <x:c r="L732" s="9" t="str">
        <x:v>500; 1075; 350</x:v>
      </x:c>
      <x:c r="M732" s="9" t="str">
        <x:v>Relation grounding is explicit in Referential Disambiguation, and both block identities are manipulated elsewhere in fine-tuning; block × referential-relation is absent.</x:v>
      </x:c>
      <x:c r="N732" s="9" t="n">
        <x:v>5</x:v>
      </x:c>
      <x:c r="O732" s="9" t="str">
        <x:v>Place the listed objects. Arrange the expected block as the unique closest target; keep the bowl empty.</x:v>
      </x:c>
      <x:c r="P732" s="9" t="str">
        <x:v>Reasoning-only cross-task diagnostic; no direct-name block control is included.</x:v>
      </x:c>
      <x:c r="Q732" s="9"/>
      <x:c r="R732" s="10" t="n">
        <x:v>3</x:v>
      </x:c>
      <x:c r="S732" s="10" t="n">
        <x:v>1</x:v>
      </x:c>
      <x:c r="T732" s="9" t="str">
        <x:v>Empty</x:v>
      </x:c>
      <x:c r="U732" s="9"/>
      <x:c r="V732" s="9"/>
      <x:c r="W732" s="9"/>
      <x:c r="X732" s="10"/>
      <x:c r="Y732" s="10"/>
      <x:c r="Z732" s="9"/>
      <x:c r="AA732" s="9"/>
      <x:c r="AB732" s="9" t="str">
        <x:v>closest</x:v>
      </x:c>
      <x:c r="AC732" s="9"/>
      <x:c r="AD732" s="9"/>
      <x:c r="AE732" s="9"/>
      <x:c r="AF732" s="9"/>
      <x:c r="AG732" s="9" t="str">
        <x:v>block</x:v>
      </x:c>
      <x:c r="AH732" s="9"/>
      <x:c r="AI732" s="11"/>
      <x:c r="AJ732" s="9"/>
      <x:c r="AK732" s="9" t="str">
        <x:v>Eval_Referential_Disambiguation.xlsm</x:v>
      </x:c>
      <x:c r="AL732" s="9" t="str">
        <x:v>MolmoAct2 Results</x:v>
      </x:c>
      <x:c r="AM732" s="9" t="n">
        <x:v>112</x:v>
      </x:c>
      <x:c r="AN732" s="9" t="n">
        <x:v>112</x:v>
      </x:c>
    </x:row>
    <x:row r="733">
      <x:c r="A733" s="9" t="str">
        <x:v>Success</x:v>
      </x:c>
      <x:c r="B733" s="9" t="str">
        <x:v>Referential Disambiguation</x:v>
      </x:c>
      <x:c r="C733" s="10" t="n">
        <x:v>111</x:v>
      </x:c>
      <x:c r="D733" s="9" t="str">
        <x:v>Put the block furthest from the crushed Coke can in the bowl.</x:v>
      </x:c>
      <x:c r="E733" s="9" t="str">
        <x:v>green block; blue block; crushed Coke can</x:v>
      </x:c>
      <x:c r="F733" s="9" t="str">
        <x:v>blue block</x:v>
      </x:c>
      <x:c r="G733" s="9"/>
      <x:c r="H733" s="9" t="str">
        <x:v>Cross-task block reasoning</x:v>
      </x:c>
      <x:c r="I733" s="9" t="str">
        <x:v>RD-BLOCK01</x:v>
      </x:c>
      <x:c r="J733" s="9" t="str">
        <x:v>Cross-task block candidate pair — furthest</x:v>
      </x:c>
      <x:c r="K733" s="9" t="n">
        <x:v>110</x:v>
      </x:c>
      <x:c r="L733" s="9" t="str">
        <x:v>515; 1075; 350</x:v>
      </x:c>
      <x:c r="M733" s="9" t="str">
        <x:v>Relation grounding is explicit in Referential Disambiguation, and both block identities are manipulated elsewhere in fine-tuning; block × referential-relation is absent.</x:v>
      </x:c>
      <x:c r="N733" s="9" t="n">
        <x:v>5</x:v>
      </x:c>
      <x:c r="O733" s="9" t="str">
        <x:v>Reset the moved block exactly; preserve the scene; change only the relation prompt.</x:v>
      </x:c>
      <x:c r="P733" s="9" t="str">
        <x:v>Exact-scene closest/furthest counterfactual; the correct block switches.</x:v>
      </x:c>
      <x:c r="Q733" s="9"/>
      <x:c r="R733" s="10" t="n">
        <x:v>3</x:v>
      </x:c>
      <x:c r="S733" s="10" t="n">
        <x:v>1</x:v>
      </x:c>
      <x:c r="T733" s="9" t="str">
        <x:v>Empty</x:v>
      </x:c>
      <x:c r="U733" s="9"/>
      <x:c r="V733" s="9"/>
      <x:c r="W733" s="9"/>
      <x:c r="X733" s="10"/>
      <x:c r="Y733" s="10"/>
      <x:c r="Z733" s="9"/>
      <x:c r="AA733" s="9"/>
      <x:c r="AB733" s="9" t="str">
        <x:v>furthest</x:v>
      </x:c>
      <x:c r="AC733" s="9"/>
      <x:c r="AD733" s="9"/>
      <x:c r="AE733" s="9"/>
      <x:c r="AF733" s="9"/>
      <x:c r="AG733" s="9" t="str">
        <x:v>block</x:v>
      </x:c>
      <x:c r="AH733" s="9"/>
      <x:c r="AI733" s="11"/>
      <x:c r="AJ733" s="9"/>
      <x:c r="AK733" s="9" t="str">
        <x:v>Eval_Referential_Disambiguation.xlsm</x:v>
      </x:c>
      <x:c r="AL733" s="9" t="str">
        <x:v>MolmoAct2 Results</x:v>
      </x:c>
      <x:c r="AM733" s="9" t="n">
        <x:v>113</x:v>
      </x:c>
      <x:c r="AN733" s="9" t="n">
        <x:v>113</x:v>
      </x:c>
    </x:row>
    <x:row r="734">
      <x:c r="A734" s="9" t="str">
        <x:v>Success</x:v>
      </x:c>
      <x:c r="B734" s="9" t="str">
        <x:v>Referential Disambiguation</x:v>
      </x:c>
      <x:c r="C734" s="10" t="n">
        <x:v>112</x:v>
      </x:c>
      <x:c r="D734" s="9" t="str">
        <x:v>Put the block closest to the green pencil sharpener in the bowl.</x:v>
      </x:c>
      <x:c r="E734" s="9" t="str">
        <x:v>green block; blue block; green pencil sharpener; airplane toy without propellers</x:v>
      </x:c>
      <x:c r="F734" s="9" t="str">
        <x:v>blue block</x:v>
      </x:c>
      <x:c r="G734" s="9"/>
      <x:c r="H734" s="9" t="str">
        <x:v>Cross-task block reasoning</x:v>
      </x:c>
      <x:c r="I734" s="9" t="str">
        <x:v>RD-BLOCK02</x:v>
      </x:c>
      <x:c r="J734" s="9" t="str">
        <x:v>Cross-task block candidate pair — closest</x:v>
      </x:c>
      <x:c r="K734" s="9"/>
      <x:c r="L734" s="9" t="str">
        <x:v>500; 1075; 350</x:v>
      </x:c>
      <x:c r="M734" s="9" t="str">
        <x:v>Relation grounding is explicit in Referential Disambiguation, and both block identities are manipulated elsewhere in fine-tuning; block × referential-relation is absent.</x:v>
      </x:c>
      <x:c r="N734" s="9" t="n">
        <x:v>5</x:v>
      </x:c>
      <x:c r="O734" s="9" t="str">
        <x:v>Place the listed objects. Arrange the expected block as the unique closest target; keep the bowl empty.</x:v>
      </x:c>
      <x:c r="P734" s="9" t="str">
        <x:v>Reasoning-only cross-task diagnostic; no direct-name block control is included.</x:v>
      </x:c>
      <x:c r="Q734" s="9"/>
      <x:c r="R734" s="10" t="n">
        <x:v>4</x:v>
      </x:c>
      <x:c r="S734" s="10" t="n">
        <x:v>1</x:v>
      </x:c>
      <x:c r="T734" s="9" t="str">
        <x:v>Empty</x:v>
      </x:c>
      <x:c r="U734" s="9"/>
      <x:c r="V734" s="9"/>
      <x:c r="W734" s="9"/>
      <x:c r="X734" s="10"/>
      <x:c r="Y734" s="10"/>
      <x:c r="Z734" s="9"/>
      <x:c r="AA734" s="9"/>
      <x:c r="AB734" s="9" t="str">
        <x:v>closest</x:v>
      </x:c>
      <x:c r="AC734" s="9"/>
      <x:c r="AD734" s="9"/>
      <x:c r="AE734" s="9"/>
      <x:c r="AF734" s="9"/>
      <x:c r="AG734" s="9" t="str">
        <x:v>block</x:v>
      </x:c>
      <x:c r="AH734" s="9"/>
      <x:c r="AI734" s="11"/>
      <x:c r="AJ734" s="9"/>
      <x:c r="AK734" s="9" t="str">
        <x:v>Eval_Referential_Disambiguation.xlsm</x:v>
      </x:c>
      <x:c r="AL734" s="9" t="str">
        <x:v>MolmoAct2 Results</x:v>
      </x:c>
      <x:c r="AM734" s="9" t="n">
        <x:v>114</x:v>
      </x:c>
      <x:c r="AN734" s="9" t="n">
        <x:v>114</x:v>
      </x:c>
    </x:row>
    <x:row r="735">
      <x:c r="A735" s="9" t="str">
        <x:v>Failure</x:v>
      </x:c>
      <x:c r="B735" s="9" t="str">
        <x:v>Referential Disambiguation</x:v>
      </x:c>
      <x:c r="C735" s="10" t="n">
        <x:v>113</x:v>
      </x:c>
      <x:c r="D735" s="9" t="str">
        <x:v>Move the block furthest from the green pencil sharpener into the bowl.</x:v>
      </x:c>
      <x:c r="E735" s="9" t="str">
        <x:v>green block; blue block; green pencil sharpener; airplane toy without propellers</x:v>
      </x:c>
      <x:c r="F735" s="9" t="str">
        <x:v>green block</x:v>
      </x:c>
      <x:c r="G735" s="9" t="str">
        <x:v>picked blue block; reasoning failure</x:v>
      </x:c>
      <x:c r="H735" s="9" t="str">
        <x:v>Cross-task block reasoning</x:v>
      </x:c>
      <x:c r="I735" s="9" t="str">
        <x:v>RD-BLOCK02</x:v>
      </x:c>
      <x:c r="J735" s="9" t="str">
        <x:v>Cross-task block candidate pair — furthest</x:v>
      </x:c>
      <x:c r="K735" s="9" t="n">
        <x:v>112</x:v>
      </x:c>
      <x:c r="L735" s="9" t="str">
        <x:v>515; 1075; 350</x:v>
      </x:c>
      <x:c r="M735" s="9" t="str">
        <x:v>Relation grounding is explicit in Referential Disambiguation, and both block identities are manipulated elsewhere in fine-tuning; block × referential-relation is absent.</x:v>
      </x:c>
      <x:c r="N735" s="9" t="n">
        <x:v>5</x:v>
      </x:c>
      <x:c r="O735" s="9" t="str">
        <x:v>Reset the moved block exactly; preserve the scene; change only the relation prompt.</x:v>
      </x:c>
      <x:c r="P735" s="9" t="str">
        <x:v>Exact-scene closest/furthest counterfactual; the correct block switches.</x:v>
      </x:c>
      <x:c r="Q735" s="9"/>
      <x:c r="R735" s="10" t="n">
        <x:v>4</x:v>
      </x:c>
      <x:c r="S735" s="10" t="n">
        <x:v>1</x:v>
      </x:c>
      <x:c r="T735" s="9" t="str">
        <x:v>Empty</x:v>
      </x:c>
      <x:c r="U735" s="9"/>
      <x:c r="V735" s="9"/>
      <x:c r="W735" s="9"/>
      <x:c r="X735" s="10"/>
      <x:c r="Y735" s="10"/>
      <x:c r="Z735" s="9"/>
      <x:c r="AA735" s="9"/>
      <x:c r="AB735" s="9" t="str">
        <x:v>furthest</x:v>
      </x:c>
      <x:c r="AC735" s="9"/>
      <x:c r="AD735" s="9"/>
      <x:c r="AE735" s="9"/>
      <x:c r="AF735" s="9"/>
      <x:c r="AG735" s="9" t="str">
        <x:v>block</x:v>
      </x:c>
      <x:c r="AH735" s="9"/>
      <x:c r="AI735" s="11"/>
      <x:c r="AJ735" s="9"/>
      <x:c r="AK735" s="9" t="str">
        <x:v>Eval_Referential_Disambiguation.xlsm</x:v>
      </x:c>
      <x:c r="AL735" s="9" t="str">
        <x:v>MolmoAct2 Results</x:v>
      </x:c>
      <x:c r="AM735" s="9" t="n">
        <x:v>115</x:v>
      </x:c>
      <x:c r="AN735" s="9" t="n">
        <x:v>115</x:v>
      </x:c>
    </x:row>
    <x:row r="736">
      <x:c r="A736" s="9" t="str">
        <x:v>Success</x:v>
      </x:c>
      <x:c r="B736" s="9" t="str">
        <x:v>Referential Disambiguation</x:v>
      </x:c>
      <x:c r="C736" s="10" t="n">
        <x:v>114</x:v>
      </x:c>
      <x:c r="D736" s="9" t="str">
        <x:v>Move the block closest to the green pen into the bowl.</x:v>
      </x:c>
      <x:c r="E736" s="9" t="str">
        <x:v>green block; blue block; green pen</x:v>
      </x:c>
      <x:c r="F736" s="9" t="str">
        <x:v>green block</x:v>
      </x:c>
      <x:c r="G736" s="9"/>
      <x:c r="H736" s="9" t="str">
        <x:v>Cross-task block reasoning</x:v>
      </x:c>
      <x:c r="I736" s="9" t="str">
        <x:v>RD-BLOCK03</x:v>
      </x:c>
      <x:c r="J736" s="9" t="str">
        <x:v>Cross-task block candidate pair — closest</x:v>
      </x:c>
      <x:c r="K736" s="9"/>
      <x:c r="L736" s="9" t="str">
        <x:v>500; 1075; 350</x:v>
      </x:c>
      <x:c r="M736" s="9" t="str">
        <x:v>Relation grounding is explicit in Referential Disambiguation, and both block identities are manipulated elsewhere in fine-tuning; block × referential-relation is absent.</x:v>
      </x:c>
      <x:c r="N736" s="9" t="n">
        <x:v>5</x:v>
      </x:c>
      <x:c r="O736" s="9" t="str">
        <x:v>Place the listed objects. Arrange the expected block as the unique closest target; keep the bowl empty.</x:v>
      </x:c>
      <x:c r="P736" s="9" t="str">
        <x:v>Reasoning-only cross-task diagnostic; no direct-name block control is included.</x:v>
      </x:c>
      <x:c r="Q736" s="9"/>
      <x:c r="R736" s="10" t="n">
        <x:v>3</x:v>
      </x:c>
      <x:c r="S736" s="10" t="n">
        <x:v>1</x:v>
      </x:c>
      <x:c r="T736" s="9" t="str">
        <x:v>Empty</x:v>
      </x:c>
      <x:c r="U736" s="9"/>
      <x:c r="V736" s="9"/>
      <x:c r="W736" s="9"/>
      <x:c r="X736" s="10"/>
      <x:c r="Y736" s="10"/>
      <x:c r="Z736" s="9"/>
      <x:c r="AA736" s="9"/>
      <x:c r="AB736" s="9" t="str">
        <x:v>closest</x:v>
      </x:c>
      <x:c r="AC736" s="9"/>
      <x:c r="AD736" s="9"/>
      <x:c r="AE736" s="9"/>
      <x:c r="AF736" s="9"/>
      <x:c r="AG736" s="9" t="str">
        <x:v>block</x:v>
      </x:c>
      <x:c r="AH736" s="9"/>
      <x:c r="AI736" s="11"/>
      <x:c r="AJ736" s="9"/>
      <x:c r="AK736" s="9" t="str">
        <x:v>Eval_Referential_Disambiguation.xlsm</x:v>
      </x:c>
      <x:c r="AL736" s="9" t="str">
        <x:v>MolmoAct2 Results</x:v>
      </x:c>
      <x:c r="AM736" s="9" t="n">
        <x:v>116</x:v>
      </x:c>
      <x:c r="AN736" s="9" t="n">
        <x:v>116</x:v>
      </x:c>
    </x:row>
    <x:row r="737">
      <x:c r="A737" s="9" t="str">
        <x:v>Success</x:v>
      </x:c>
      <x:c r="B737" s="9" t="str">
        <x:v>Referential Disambiguation</x:v>
      </x:c>
      <x:c r="C737" s="10" t="n">
        <x:v>115</x:v>
      </x:c>
      <x:c r="D737" s="9" t="str">
        <x:v>Pick up the block furthest from the green pen and place it in the bowl.</x:v>
      </x:c>
      <x:c r="E737" s="9" t="str">
        <x:v>green block; blue block; green pen</x:v>
      </x:c>
      <x:c r="F737" s="9" t="str">
        <x:v>blue block</x:v>
      </x:c>
      <x:c r="G737" s="9"/>
      <x:c r="H737" s="9" t="str">
        <x:v>Cross-task block reasoning</x:v>
      </x:c>
      <x:c r="I737" s="9" t="str">
        <x:v>RD-BLOCK03</x:v>
      </x:c>
      <x:c r="J737" s="9" t="str">
        <x:v>Cross-task block candidate pair — furthest</x:v>
      </x:c>
      <x:c r="K737" s="9" t="n">
        <x:v>114</x:v>
      </x:c>
      <x:c r="L737" s="9" t="str">
        <x:v>515; 1075; 350</x:v>
      </x:c>
      <x:c r="M737" s="9" t="str">
        <x:v>Relation grounding is explicit in Referential Disambiguation, and both block identities are manipulated elsewhere in fine-tuning; block × referential-relation is absent.</x:v>
      </x:c>
      <x:c r="N737" s="9" t="n">
        <x:v>5</x:v>
      </x:c>
      <x:c r="O737" s="9" t="str">
        <x:v>Reset the moved block exactly; preserve the scene; change only the relation prompt.</x:v>
      </x:c>
      <x:c r="P737" s="9" t="str">
        <x:v>Exact-scene closest/furthest counterfactual; the correct block switches.</x:v>
      </x:c>
      <x:c r="Q737" s="9"/>
      <x:c r="R737" s="10" t="n">
        <x:v>3</x:v>
      </x:c>
      <x:c r="S737" s="10" t="n">
        <x:v>1</x:v>
      </x:c>
      <x:c r="T737" s="9" t="str">
        <x:v>Empty</x:v>
      </x:c>
      <x:c r="U737" s="9"/>
      <x:c r="V737" s="9"/>
      <x:c r="W737" s="9"/>
      <x:c r="X737" s="10"/>
      <x:c r="Y737" s="10"/>
      <x:c r="Z737" s="9"/>
      <x:c r="AA737" s="9"/>
      <x:c r="AB737" s="9" t="str">
        <x:v>furthest</x:v>
      </x:c>
      <x:c r="AC737" s="9"/>
      <x:c r="AD737" s="9"/>
      <x:c r="AE737" s="9"/>
      <x:c r="AF737" s="9"/>
      <x:c r="AG737" s="9" t="str">
        <x:v>block</x:v>
      </x:c>
      <x:c r="AH737" s="9"/>
      <x:c r="AI737" s="11"/>
      <x:c r="AJ737" s="9"/>
      <x:c r="AK737" s="9" t="str">
        <x:v>Eval_Referential_Disambiguation.xlsm</x:v>
      </x:c>
      <x:c r="AL737" s="9" t="str">
        <x:v>MolmoAct2 Results</x:v>
      </x:c>
      <x:c r="AM737" s="9" t="n">
        <x:v>117</x:v>
      </x:c>
      <x:c r="AN737" s="9" t="n">
        <x:v>117</x:v>
      </x:c>
    </x:row>
    <x:row r="738">
      <x:c r="A738" s="9" t="str">
        <x:v>Success</x:v>
      </x:c>
      <x:c r="B738" s="9" t="str">
        <x:v>Referential Disambiguation</x:v>
      </x:c>
      <x:c r="C738" s="10" t="n">
        <x:v>116</x:v>
      </x:c>
      <x:c r="D738" s="9" t="str">
        <x:v>Pick up the block closest to the airplane toy with propellers and place it in the bowl.</x:v>
      </x:c>
      <x:c r="E738" s="9" t="str">
        <x:v>green block; blue block; airplane toy with propellers; crushed Pepsi can</x:v>
      </x:c>
      <x:c r="F738" s="9" t="str">
        <x:v>blue block</x:v>
      </x:c>
      <x:c r="G738" s="9"/>
      <x:c r="H738" s="9" t="str">
        <x:v>Cross-task block reasoning</x:v>
      </x:c>
      <x:c r="I738" s="9" t="str">
        <x:v>RD-BLOCK04</x:v>
      </x:c>
      <x:c r="J738" s="9" t="str">
        <x:v>Cross-task block candidate pair — closest</x:v>
      </x:c>
      <x:c r="K738" s="9"/>
      <x:c r="L738" s="9" t="str">
        <x:v>500; 1075; 350</x:v>
      </x:c>
      <x:c r="M738" s="9" t="str">
        <x:v>Relation grounding is explicit in Referential Disambiguation, and both block identities are manipulated elsewhere in fine-tuning; block × referential-relation is absent.</x:v>
      </x:c>
      <x:c r="N738" s="9" t="n">
        <x:v>5</x:v>
      </x:c>
      <x:c r="O738" s="9" t="str">
        <x:v>Place the listed objects. Arrange the expected block as the unique closest target; keep the bowl empty.</x:v>
      </x:c>
      <x:c r="P738" s="9" t="str">
        <x:v>Reasoning-only cross-task diagnostic; no direct-name block control is included.</x:v>
      </x:c>
      <x:c r="Q738" s="9"/>
      <x:c r="R738" s="10" t="n">
        <x:v>4</x:v>
      </x:c>
      <x:c r="S738" s="10" t="n">
        <x:v>1</x:v>
      </x:c>
      <x:c r="T738" s="9" t="str">
        <x:v>Empty</x:v>
      </x:c>
      <x:c r="U738" s="9"/>
      <x:c r="V738" s="9"/>
      <x:c r="W738" s="9"/>
      <x:c r="X738" s="10"/>
      <x:c r="Y738" s="10"/>
      <x:c r="Z738" s="9"/>
      <x:c r="AA738" s="9"/>
      <x:c r="AB738" s="9" t="str">
        <x:v>closest</x:v>
      </x:c>
      <x:c r="AC738" s="9"/>
      <x:c r="AD738" s="9"/>
      <x:c r="AE738" s="9"/>
      <x:c r="AF738" s="9"/>
      <x:c r="AG738" s="9" t="str">
        <x:v>block</x:v>
      </x:c>
      <x:c r="AH738" s="9"/>
      <x:c r="AI738" s="11"/>
      <x:c r="AJ738" s="9"/>
      <x:c r="AK738" s="9" t="str">
        <x:v>Eval_Referential_Disambiguation.xlsm</x:v>
      </x:c>
      <x:c r="AL738" s="9" t="str">
        <x:v>MolmoAct2 Results</x:v>
      </x:c>
      <x:c r="AM738" s="9" t="n">
        <x:v>118</x:v>
      </x:c>
      <x:c r="AN738" s="9" t="n">
        <x:v>118</x:v>
      </x:c>
    </x:row>
    <x:row r="739">
      <x:c r="A739" s="9" t="str">
        <x:v>Failure</x:v>
      </x:c>
      <x:c r="B739" s="9" t="str">
        <x:v>Referential Disambiguation</x:v>
      </x:c>
      <x:c r="C739" s="10" t="n">
        <x:v>117</x:v>
      </x:c>
      <x:c r="D739" s="9" t="str">
        <x:v>Put the block furthest from the airplane toy with propellers in the bowl.</x:v>
      </x:c>
      <x:c r="E739" s="9" t="str">
        <x:v>green block; blue block; airplane toy with propellers; crushed Pepsi can</x:v>
      </x:c>
      <x:c r="F739" s="9" t="str">
        <x:v>green block</x:v>
      </x:c>
      <x:c r="G739" s="9" t="str">
        <x:v>picked the blue block smh</x:v>
      </x:c>
      <x:c r="H739" s="9" t="str">
        <x:v>Cross-task block reasoning</x:v>
      </x:c>
      <x:c r="I739" s="9" t="str">
        <x:v>RD-BLOCK04</x:v>
      </x:c>
      <x:c r="J739" s="9" t="str">
        <x:v>Cross-task block candidate pair — furthest</x:v>
      </x:c>
      <x:c r="K739" s="9" t="n">
        <x:v>116</x:v>
      </x:c>
      <x:c r="L739" s="9" t="str">
        <x:v>515; 1075; 350</x:v>
      </x:c>
      <x:c r="M739" s="9" t="str">
        <x:v>Relation grounding is explicit in Referential Disambiguation, and both block identities are manipulated elsewhere in fine-tuning; block × referential-relation is absent.</x:v>
      </x:c>
      <x:c r="N739" s="9" t="n">
        <x:v>5</x:v>
      </x:c>
      <x:c r="O739" s="9" t="str">
        <x:v>Reset the moved block exactly; preserve the scene; change only the relation prompt.</x:v>
      </x:c>
      <x:c r="P739" s="9" t="str">
        <x:v>Exact-scene closest/furthest counterfactual; the correct block switches.</x:v>
      </x:c>
      <x:c r="Q739" s="9"/>
      <x:c r="R739" s="10" t="n">
        <x:v>4</x:v>
      </x:c>
      <x:c r="S739" s="10" t="n">
        <x:v>1</x:v>
      </x:c>
      <x:c r="T739" s="9" t="str">
        <x:v>Empty</x:v>
      </x:c>
      <x:c r="U739" s="9"/>
      <x:c r="V739" s="9"/>
      <x:c r="W739" s="9"/>
      <x:c r="X739" s="10"/>
      <x:c r="Y739" s="10"/>
      <x:c r="Z739" s="9"/>
      <x:c r="AA739" s="9"/>
      <x:c r="AB739" s="9" t="str">
        <x:v>furthest</x:v>
      </x:c>
      <x:c r="AC739" s="9"/>
      <x:c r="AD739" s="9"/>
      <x:c r="AE739" s="9"/>
      <x:c r="AF739" s="9"/>
      <x:c r="AG739" s="9" t="str">
        <x:v>block</x:v>
      </x:c>
      <x:c r="AH739" s="9"/>
      <x:c r="AI739" s="11"/>
      <x:c r="AJ739" s="9"/>
      <x:c r="AK739" s="9" t="str">
        <x:v>Eval_Referential_Disambiguation.xlsm</x:v>
      </x:c>
      <x:c r="AL739" s="9" t="str">
        <x:v>MolmoAct2 Results</x:v>
      </x:c>
      <x:c r="AM739" s="9" t="n">
        <x:v>119</x:v>
      </x:c>
      <x:c r="AN739" s="9" t="n">
        <x:v>119</x:v>
      </x:c>
    </x:row>
    <x:row r="740">
      <x:c r="A740" s="9" t="str">
        <x:v>Success</x:v>
      </x:c>
      <x:c r="B740" s="9" t="str">
        <x:v>Referential Disambiguation</x:v>
      </x:c>
      <x:c r="C740" s="10" t="n">
        <x:v>118</x:v>
      </x:c>
      <x:c r="D740" s="9" t="str">
        <x:v>Put the block closest to the crushed Coke can in the bowl.</x:v>
      </x:c>
      <x:c r="E740" s="9" t="str">
        <x:v>green block; blue block; crushed Coke can</x:v>
      </x:c>
      <x:c r="F740" s="9" t="str">
        <x:v>green block</x:v>
      </x:c>
      <x:c r="G740" s="9"/>
      <x:c r="H740" s="9" t="str">
        <x:v>Cross-task block reasoning</x:v>
      </x:c>
      <x:c r="I740" s="9" t="str">
        <x:v>RD-BLOCK05</x:v>
      </x:c>
      <x:c r="J740" s="9" t="str">
        <x:v>Cross-task block candidate pair — closest</x:v>
      </x:c>
      <x:c r="K740" s="9"/>
      <x:c r="L740" s="9" t="str">
        <x:v>500; 1075; 350</x:v>
      </x:c>
      <x:c r="M740" s="9" t="str">
        <x:v>Relation grounding is explicit in Referential Disambiguation, and both block identities are manipulated elsewhere in fine-tuning; block × referential-relation is absent.</x:v>
      </x:c>
      <x:c r="N740" s="9" t="n">
        <x:v>5</x:v>
      </x:c>
      <x:c r="O740" s="9" t="str">
        <x:v>Place the listed objects. Arrange the expected block as the unique closest target; keep the bowl empty.</x:v>
      </x:c>
      <x:c r="P740" s="9" t="str">
        <x:v>Reasoning-only cross-task diagnostic; no direct-name block control is included.</x:v>
      </x:c>
      <x:c r="Q740" s="9"/>
      <x:c r="R740" s="10" t="n">
        <x:v>3</x:v>
      </x:c>
      <x:c r="S740" s="10" t="n">
        <x:v>1</x:v>
      </x:c>
      <x:c r="T740" s="9" t="str">
        <x:v>Empty</x:v>
      </x:c>
      <x:c r="U740" s="9"/>
      <x:c r="V740" s="9"/>
      <x:c r="W740" s="9"/>
      <x:c r="X740" s="10"/>
      <x:c r="Y740" s="10"/>
      <x:c r="Z740" s="9"/>
      <x:c r="AA740" s="9"/>
      <x:c r="AB740" s="9" t="str">
        <x:v>closest</x:v>
      </x:c>
      <x:c r="AC740" s="9"/>
      <x:c r="AD740" s="9"/>
      <x:c r="AE740" s="9"/>
      <x:c r="AF740" s="9"/>
      <x:c r="AG740" s="9" t="str">
        <x:v>block</x:v>
      </x:c>
      <x:c r="AH740" s="9"/>
      <x:c r="AI740" s="11"/>
      <x:c r="AJ740" s="9"/>
      <x:c r="AK740" s="9" t="str">
        <x:v>Eval_Referential_Disambiguation.xlsm</x:v>
      </x:c>
      <x:c r="AL740" s="9" t="str">
        <x:v>MolmoAct2 Results</x:v>
      </x:c>
      <x:c r="AM740" s="9" t="n">
        <x:v>120</x:v>
      </x:c>
      <x:c r="AN740" s="9" t="n">
        <x:v>120</x:v>
      </x:c>
    </x:row>
    <x:row r="741">
      <x:c r="A741" s="9" t="str">
        <x:v>Success</x:v>
      </x:c>
      <x:c r="B741" s="9" t="str">
        <x:v>Referential Disambiguation</x:v>
      </x:c>
      <x:c r="C741" s="10" t="n">
        <x:v>119</x:v>
      </x:c>
      <x:c r="D741" s="9" t="str">
        <x:v>Move the block furthest from the crushed Coke can into the bowl.</x:v>
      </x:c>
      <x:c r="E741" s="9" t="str">
        <x:v>green block; blue block; crushed Coke can</x:v>
      </x:c>
      <x:c r="F741" s="9" t="str">
        <x:v>blue block</x:v>
      </x:c>
      <x:c r="G741" s="9"/>
      <x:c r="H741" s="9" t="str">
        <x:v>Cross-task block reasoning</x:v>
      </x:c>
      <x:c r="I741" s="9" t="str">
        <x:v>RD-BLOCK05</x:v>
      </x:c>
      <x:c r="J741" s="9" t="str">
        <x:v>Cross-task block candidate pair — furthest</x:v>
      </x:c>
      <x:c r="K741" s="9" t="n">
        <x:v>118</x:v>
      </x:c>
      <x:c r="L741" s="9" t="str">
        <x:v>515; 1075; 350</x:v>
      </x:c>
      <x:c r="M741" s="9" t="str">
        <x:v>Relation grounding is explicit in Referential Disambiguation, and both block identities are manipulated elsewhere in fine-tuning; block × referential-relation is absent.</x:v>
      </x:c>
      <x:c r="N741" s="9" t="n">
        <x:v>5</x:v>
      </x:c>
      <x:c r="O741" s="9" t="str">
        <x:v>Reset the moved block exactly; preserve the scene; change only the relation prompt.</x:v>
      </x:c>
      <x:c r="P741" s="9" t="str">
        <x:v>Exact-scene closest/furthest counterfactual; the correct block switches.</x:v>
      </x:c>
      <x:c r="Q741" s="9"/>
      <x:c r="R741" s="10" t="n">
        <x:v>3</x:v>
      </x:c>
      <x:c r="S741" s="10" t="n">
        <x:v>1</x:v>
      </x:c>
      <x:c r="T741" s="9" t="str">
        <x:v>Empty</x:v>
      </x:c>
      <x:c r="U741" s="9"/>
      <x:c r="V741" s="9"/>
      <x:c r="W741" s="9"/>
      <x:c r="X741" s="10"/>
      <x:c r="Y741" s="10"/>
      <x:c r="Z741" s="9"/>
      <x:c r="AA741" s="9"/>
      <x:c r="AB741" s="9" t="str">
        <x:v>furthest</x:v>
      </x:c>
      <x:c r="AC741" s="9"/>
      <x:c r="AD741" s="9"/>
      <x:c r="AE741" s="9"/>
      <x:c r="AF741" s="9"/>
      <x:c r="AG741" s="9" t="str">
        <x:v>block</x:v>
      </x:c>
      <x:c r="AH741" s="9"/>
      <x:c r="AI741" s="11"/>
      <x:c r="AJ741" s="9"/>
      <x:c r="AK741" s="9" t="str">
        <x:v>Eval_Referential_Disambiguation.xlsm</x:v>
      </x:c>
      <x:c r="AL741" s="9" t="str">
        <x:v>MolmoAct2 Results</x:v>
      </x:c>
      <x:c r="AM741" s="9" t="n">
        <x:v>121</x:v>
      </x:c>
      <x:c r="AN741" s="9" t="n">
        <x:v>121</x:v>
      </x:c>
    </x:row>
    <x:row r="742">
      <x:c r="A742" s="9" t="str">
        <x:v>Failure</x:v>
      </x:c>
      <x:c r="B742" s="9" t="str">
        <x:v>Referential Disambiguation</x:v>
      </x:c>
      <x:c r="C742" s="10" t="n">
        <x:v>120</x:v>
      </x:c>
      <x:c r="D742" s="9" t="str">
        <x:v>Move the block closest to the green pencil sharpener into the bowl.</x:v>
      </x:c>
      <x:c r="E742" s="9" t="str">
        <x:v>green block; blue block; green pencil sharpener; green pen</x:v>
      </x:c>
      <x:c r="F742" s="9" t="str">
        <x:v>blue block</x:v>
      </x:c>
      <x:c r="G742" s="9" t="str">
        <x:v>picked green block</x:v>
      </x:c>
      <x:c r="H742" s="9" t="str">
        <x:v>Cross-task block reasoning</x:v>
      </x:c>
      <x:c r="I742" s="9" t="str">
        <x:v>RD-BLOCK06</x:v>
      </x:c>
      <x:c r="J742" s="9" t="str">
        <x:v>Cross-task block candidate pair — closest</x:v>
      </x:c>
      <x:c r="K742" s="9"/>
      <x:c r="L742" s="9" t="str">
        <x:v>500; 1075; 350</x:v>
      </x:c>
      <x:c r="M742" s="9" t="str">
        <x:v>Relation grounding is explicit in Referential Disambiguation, and both block identities are manipulated elsewhere in fine-tuning; block × referential-relation is absent.</x:v>
      </x:c>
      <x:c r="N742" s="9" t="n">
        <x:v>5</x:v>
      </x:c>
      <x:c r="O742" s="9" t="str">
        <x:v>Place the listed objects. Arrange the expected block as the unique closest target; keep the bowl empty.</x:v>
      </x:c>
      <x:c r="P742" s="9" t="str">
        <x:v>Reasoning-only cross-task diagnostic; no direct-name block control is included.</x:v>
      </x:c>
      <x:c r="Q742" s="9"/>
      <x:c r="R742" s="10" t="n">
        <x:v>4</x:v>
      </x:c>
      <x:c r="S742" s="10" t="n">
        <x:v>1</x:v>
      </x:c>
      <x:c r="T742" s="9" t="str">
        <x:v>Empty</x:v>
      </x:c>
      <x:c r="U742" s="9"/>
      <x:c r="V742" s="9"/>
      <x:c r="W742" s="9"/>
      <x:c r="X742" s="10"/>
      <x:c r="Y742" s="10"/>
      <x:c r="Z742" s="9"/>
      <x:c r="AA742" s="9"/>
      <x:c r="AB742" s="9" t="str">
        <x:v>closest</x:v>
      </x:c>
      <x:c r="AC742" s="9"/>
      <x:c r="AD742" s="9"/>
      <x:c r="AE742" s="9"/>
      <x:c r="AF742" s="9"/>
      <x:c r="AG742" s="9" t="str">
        <x:v>block</x:v>
      </x:c>
      <x:c r="AH742" s="9"/>
      <x:c r="AI742" s="11"/>
      <x:c r="AJ742" s="9"/>
      <x:c r="AK742" s="9" t="str">
        <x:v>Eval_Referential_Disambiguation.xlsm</x:v>
      </x:c>
      <x:c r="AL742" s="9" t="str">
        <x:v>MolmoAct2 Results</x:v>
      </x:c>
      <x:c r="AM742" s="9" t="n">
        <x:v>122</x:v>
      </x:c>
      <x:c r="AN742" s="9" t="n">
        <x:v>122</x:v>
      </x:c>
    </x:row>
    <x:row r="743">
      <x:c r="A743" s="9" t="str">
        <x:v>Failure</x:v>
      </x:c>
      <x:c r="B743" s="9" t="str">
        <x:v>Referential Disambiguation</x:v>
      </x:c>
      <x:c r="C743" s="10" t="n">
        <x:v>121</x:v>
      </x:c>
      <x:c r="D743" s="9" t="str">
        <x:v>Pick up the block furthest from the green pencil sharpener and place it in the bowl.</x:v>
      </x:c>
      <x:c r="E743" s="9" t="str">
        <x:v>green block; blue block; green pencil sharpener; green pen</x:v>
      </x:c>
      <x:c r="F743" s="9" t="str">
        <x:v>green block</x:v>
      </x:c>
      <x:c r="G743" s="9" t="str">
        <x:v>tried picking the green pencil sharpener and couldn't. Started trying to pick up the blue blue block and couldn't. Failed reasoning and grasping</x:v>
      </x:c>
      <x:c r="H743" s="9" t="str">
        <x:v>Cross-task block reasoning</x:v>
      </x:c>
      <x:c r="I743" s="9" t="str">
        <x:v>RD-BLOCK06</x:v>
      </x:c>
      <x:c r="J743" s="9" t="str">
        <x:v>Cross-task block candidate pair — furthest</x:v>
      </x:c>
      <x:c r="K743" s="9" t="n">
        <x:v>120</x:v>
      </x:c>
      <x:c r="L743" s="9" t="str">
        <x:v>515; 1075; 350</x:v>
      </x:c>
      <x:c r="M743" s="9" t="str">
        <x:v>Relation grounding is explicit in Referential Disambiguation, and both block identities are manipulated elsewhere in fine-tuning; block × referential-relation is absent.</x:v>
      </x:c>
      <x:c r="N743" s="9" t="n">
        <x:v>5</x:v>
      </x:c>
      <x:c r="O743" s="9" t="str">
        <x:v>Reset the moved block exactly; preserve the scene; change only the relation prompt.</x:v>
      </x:c>
      <x:c r="P743" s="9" t="str">
        <x:v>Exact-scene closest/furthest counterfactual; the correct block switches.</x:v>
      </x:c>
      <x:c r="Q743" s="9"/>
      <x:c r="R743" s="10" t="n">
        <x:v>4</x:v>
      </x:c>
      <x:c r="S743" s="10" t="n">
        <x:v>1</x:v>
      </x:c>
      <x:c r="T743" s="9" t="str">
        <x:v>Empty</x:v>
      </x:c>
      <x:c r="U743" s="9"/>
      <x:c r="V743" s="9"/>
      <x:c r="W743" s="9"/>
      <x:c r="X743" s="10"/>
      <x:c r="Y743" s="10"/>
      <x:c r="Z743" s="9"/>
      <x:c r="AA743" s="9"/>
      <x:c r="AB743" s="9" t="str">
        <x:v>furthest</x:v>
      </x:c>
      <x:c r="AC743" s="9"/>
      <x:c r="AD743" s="9"/>
      <x:c r="AE743" s="9"/>
      <x:c r="AF743" s="9"/>
      <x:c r="AG743" s="9" t="str">
        <x:v>block</x:v>
      </x:c>
      <x:c r="AH743" s="9"/>
      <x:c r="AI743" s="11"/>
      <x:c r="AJ743" s="9"/>
      <x:c r="AK743" s="9" t="str">
        <x:v>Eval_Referential_Disambiguation.xlsm</x:v>
      </x:c>
      <x:c r="AL743" s="9" t="str">
        <x:v>MolmoAct2 Results</x:v>
      </x:c>
      <x:c r="AM743" s="9" t="n">
        <x:v>123</x:v>
      </x:c>
      <x:c r="AN743" s="9" t="n">
        <x:v>123</x:v>
      </x:c>
    </x:row>
    <x:row r="744">
      <x:c r="A744" s="9" t="str">
        <x:v>Success</x:v>
      </x:c>
      <x:c r="B744" s="9" t="str">
        <x:v>Referential Disambiguation</x:v>
      </x:c>
      <x:c r="C744" s="10" t="n">
        <x:v>122</x:v>
      </x:c>
      <x:c r="D744" s="9" t="str">
        <x:v>Pick up the block closest to the green pen and place it in the bowl.</x:v>
      </x:c>
      <x:c r="E744" s="9" t="str">
        <x:v>green block; blue block; green pen; yellow pen</x:v>
      </x:c>
      <x:c r="F744" s="9" t="str">
        <x:v>green block</x:v>
      </x:c>
      <x:c r="G744" s="9"/>
      <x:c r="H744" s="9" t="str">
        <x:v>Cross-task block reasoning</x:v>
      </x:c>
      <x:c r="I744" s="9" t="str">
        <x:v>RD-BLOCK07</x:v>
      </x:c>
      <x:c r="J744" s="9" t="str">
        <x:v>Cross-task block candidate pair — closest</x:v>
      </x:c>
      <x:c r="K744" s="9"/>
      <x:c r="L744" s="9" t="str">
        <x:v>500; 1075; 350</x:v>
      </x:c>
      <x:c r="M744" s="9" t="str">
        <x:v>Relation grounding is explicit in Referential Disambiguation, and both block identities are manipulated elsewhere in fine-tuning; block × referential-relation is absent.</x:v>
      </x:c>
      <x:c r="N744" s="9" t="n">
        <x:v>5</x:v>
      </x:c>
      <x:c r="O744" s="9" t="str">
        <x:v>Place the listed objects. Arrange the expected block as the unique closest target; keep the bowl empty.</x:v>
      </x:c>
      <x:c r="P744" s="9" t="str">
        <x:v>Reasoning-only cross-task diagnostic; no direct-name block control is included.</x:v>
      </x:c>
      <x:c r="Q744" s="9"/>
      <x:c r="R744" s="10" t="n">
        <x:v>4</x:v>
      </x:c>
      <x:c r="S744" s="10" t="n">
        <x:v>1</x:v>
      </x:c>
      <x:c r="T744" s="9" t="str">
        <x:v>Empty</x:v>
      </x:c>
      <x:c r="U744" s="9"/>
      <x:c r="V744" s="9"/>
      <x:c r="W744" s="9"/>
      <x:c r="X744" s="10"/>
      <x:c r="Y744" s="10"/>
      <x:c r="Z744" s="9"/>
      <x:c r="AA744" s="9"/>
      <x:c r="AB744" s="9" t="str">
        <x:v>closest</x:v>
      </x:c>
      <x:c r="AC744" s="9"/>
      <x:c r="AD744" s="9"/>
      <x:c r="AE744" s="9"/>
      <x:c r="AF744" s="9"/>
      <x:c r="AG744" s="9" t="str">
        <x:v>block</x:v>
      </x:c>
      <x:c r="AH744" s="9"/>
      <x:c r="AI744" s="11"/>
      <x:c r="AJ744" s="9"/>
      <x:c r="AK744" s="9" t="str">
        <x:v>Eval_Referential_Disambiguation.xlsm</x:v>
      </x:c>
      <x:c r="AL744" s="9" t="str">
        <x:v>MolmoAct2 Results</x:v>
      </x:c>
      <x:c r="AM744" s="9" t="n">
        <x:v>124</x:v>
      </x:c>
      <x:c r="AN744" s="9" t="n">
        <x:v>124</x:v>
      </x:c>
    </x:row>
    <x:row r="745">
      <x:c r="A745" s="9" t="str">
        <x:v>Success</x:v>
      </x:c>
      <x:c r="B745" s="9" t="str">
        <x:v>Referential Disambiguation</x:v>
      </x:c>
      <x:c r="C745" s="10" t="n">
        <x:v>123</x:v>
      </x:c>
      <x:c r="D745" s="9" t="str">
        <x:v>Put the block furthest from the green pen in the bowl.</x:v>
      </x:c>
      <x:c r="E745" s="9" t="str">
        <x:v>green block; blue block; green pen; yellow pen</x:v>
      </x:c>
      <x:c r="F745" s="9" t="str">
        <x:v>blue block</x:v>
      </x:c>
      <x:c r="G745" s="9"/>
      <x:c r="H745" s="9" t="str">
        <x:v>Cross-task block reasoning</x:v>
      </x:c>
      <x:c r="I745" s="9" t="str">
        <x:v>RD-BLOCK07</x:v>
      </x:c>
      <x:c r="J745" s="9" t="str">
        <x:v>Cross-task block candidate pair — furthest</x:v>
      </x:c>
      <x:c r="K745" s="9" t="n">
        <x:v>122</x:v>
      </x:c>
      <x:c r="L745" s="9" t="str">
        <x:v>515; 1075; 350</x:v>
      </x:c>
      <x:c r="M745" s="9" t="str">
        <x:v>Relation grounding is explicit in Referential Disambiguation, and both block identities are manipulated elsewhere in fine-tuning; block × referential-relation is absent.</x:v>
      </x:c>
      <x:c r="N745" s="9" t="n">
        <x:v>5</x:v>
      </x:c>
      <x:c r="O745" s="9" t="str">
        <x:v>Reset the moved block exactly; preserve the scene; change only the relation prompt.</x:v>
      </x:c>
      <x:c r="P745" s="9" t="str">
        <x:v>Exact-scene closest/furthest counterfactual; the correct block switches.</x:v>
      </x:c>
      <x:c r="Q745" s="9"/>
      <x:c r="R745" s="10" t="n">
        <x:v>4</x:v>
      </x:c>
      <x:c r="S745" s="10" t="n">
        <x:v>1</x:v>
      </x:c>
      <x:c r="T745" s="9" t="str">
        <x:v>Empty</x:v>
      </x:c>
      <x:c r="U745" s="9"/>
      <x:c r="V745" s="9"/>
      <x:c r="W745" s="9"/>
      <x:c r="X745" s="10"/>
      <x:c r="Y745" s="10"/>
      <x:c r="Z745" s="9"/>
      <x:c r="AA745" s="9"/>
      <x:c r="AB745" s="9" t="str">
        <x:v>furthest</x:v>
      </x:c>
      <x:c r="AC745" s="9"/>
      <x:c r="AD745" s="9"/>
      <x:c r="AE745" s="9"/>
      <x:c r="AF745" s="9"/>
      <x:c r="AG745" s="9" t="str">
        <x:v>block</x:v>
      </x:c>
      <x:c r="AH745" s="9"/>
      <x:c r="AI745" s="11"/>
      <x:c r="AJ745" s="9"/>
      <x:c r="AK745" s="9" t="str">
        <x:v>Eval_Referential_Disambiguation.xlsm</x:v>
      </x:c>
      <x:c r="AL745" s="9" t="str">
        <x:v>MolmoAct2 Results</x:v>
      </x:c>
      <x:c r="AM745" s="9" t="n">
        <x:v>125</x:v>
      </x:c>
      <x:c r="AN745" s="9" t="n">
        <x:v>125</x:v>
      </x:c>
    </x:row>
    <x:row r="746">
      <x:c r="A746" s="9" t="str">
        <x:v>Success</x:v>
      </x:c>
      <x:c r="B746" s="9" t="str">
        <x:v>Referential Disambiguation</x:v>
      </x:c>
      <x:c r="C746" s="10" t="n">
        <x:v>124</x:v>
      </x:c>
      <x:c r="D746" s="9" t="str">
        <x:v>Pick up the block between the green pen and the crushed Coke can and place it in the bowl.</x:v>
      </x:c>
      <x:c r="E746" s="9" t="str">
        <x:v>green block; blue block; green pen; crushed Coke can</x:v>
      </x:c>
      <x:c r="F746" s="9" t="str">
        <x:v>green block</x:v>
      </x:c>
      <x:c r="G746" s="9"/>
      <x:c r="H746" s="9" t="str">
        <x:v>Cross-task block reasoning</x:v>
      </x:c>
      <x:c r="I746" s="9" t="str">
        <x:v>RD-BLOCK-B01A</x:v>
      </x:c>
      <x:c r="J746" s="9" t="str">
        <x:v>Cross-task block candidate pair — between</x:v>
      </x:c>
      <x:c r="K746" s="9"/>
      <x:c r="L746" s="9" t="str">
        <x:v>530; 1075; 350</x:v>
      </x:c>
      <x:c r="M746" s="9" t="str">
        <x:v>Between is explicit in Referential Disambiguation, and both block identities are manipulated elsewhere in fine-tuning; block × between is absent.</x:v>
      </x:c>
      <x:c r="N746" s="9" t="n">
        <x:v>5</x:v>
      </x:c>
      <x:c r="O746" s="9" t="str">
        <x:v>Place the listed objects. Put Expected Target between the two named references and the other block outside that segment.</x:v>
      </x:c>
      <x:c r="P746" s="9" t="str">
        <x:v>Adjacent between counterfactual scenes alternate which block occupies the midpoint.</x:v>
      </x:c>
      <x:c r="Q746" s="9"/>
      <x:c r="R746" s="10" t="n">
        <x:v>4</x:v>
      </x:c>
      <x:c r="S746" s="10" t="n">
        <x:v>1</x:v>
      </x:c>
      <x:c r="T746" s="9" t="str">
        <x:v>Empty</x:v>
      </x:c>
      <x:c r="U746" s="9"/>
      <x:c r="V746" s="9"/>
      <x:c r="W746" s="9"/>
      <x:c r="X746" s="10"/>
      <x:c r="Y746" s="10"/>
      <x:c r="Z746" s="9"/>
      <x:c r="AA746" s="9"/>
      <x:c r="AB746" s="9" t="str">
        <x:v>between</x:v>
      </x:c>
      <x:c r="AC746" s="9"/>
      <x:c r="AD746" s="9"/>
      <x:c r="AE746" s="9"/>
      <x:c r="AF746" s="9"/>
      <x:c r="AG746" s="9" t="str">
        <x:v>block</x:v>
      </x:c>
      <x:c r="AH746" s="9"/>
      <x:c r="AI746" s="11"/>
      <x:c r="AJ746" s="9"/>
      <x:c r="AK746" s="9" t="str">
        <x:v>Eval_Referential_Disambiguation.xlsm</x:v>
      </x:c>
      <x:c r="AL746" s="9" t="str">
        <x:v>MolmoAct2 Results</x:v>
      </x:c>
      <x:c r="AM746" s="9" t="n">
        <x:v>126</x:v>
      </x:c>
      <x:c r="AN746" s="9" t="n">
        <x:v>126</x:v>
      </x:c>
    </x:row>
    <x:row r="747">
      <x:c r="A747" s="9" t="str">
        <x:v>Success</x:v>
      </x:c>
      <x:c r="B747" s="9" t="str">
        <x:v>Referential Disambiguation</x:v>
      </x:c>
      <x:c r="C747" s="10" t="n">
        <x:v>125</x:v>
      </x:c>
      <x:c r="D747" s="9" t="str">
        <x:v>Put the block between the yellow pen and the crushed Pepsi can in the bowl.</x:v>
      </x:c>
      <x:c r="E747" s="9" t="str">
        <x:v>green block; blue block; yellow pen; crushed Pepsi can; red pencil sharpener</x:v>
      </x:c>
      <x:c r="F747" s="9" t="str">
        <x:v>blue block</x:v>
      </x:c>
      <x:c r="G747" s="9"/>
      <x:c r="H747" s="9" t="str">
        <x:v>Cross-task block reasoning</x:v>
      </x:c>
      <x:c r="I747" s="9" t="str">
        <x:v>RD-BLOCK-B01B</x:v>
      </x:c>
      <x:c r="J747" s="9" t="str">
        <x:v>Cross-task block candidate pair — between</x:v>
      </x:c>
      <x:c r="K747" s="9"/>
      <x:c r="L747" s="9" t="str">
        <x:v>530; 1075; 350</x:v>
      </x:c>
      <x:c r="M747" s="9" t="str">
        <x:v>Between is explicit in Referential Disambiguation, and both block identities are manipulated elsewhere in fine-tuning; block × between is absent.</x:v>
      </x:c>
      <x:c r="N747" s="9" t="n">
        <x:v>5</x:v>
      </x:c>
      <x:c r="O747" s="9" t="str">
        <x:v>Place the listed objects. Put Expected Target between the two named references and the other block outside that segment.</x:v>
      </x:c>
      <x:c r="P747" s="9" t="str">
        <x:v>Adjacent between counterfactual scenes alternate which block occupies the midpoint.</x:v>
      </x:c>
      <x:c r="Q747" s="9"/>
      <x:c r="R747" s="10" t="n">
        <x:v>5</x:v>
      </x:c>
      <x:c r="S747" s="10" t="n">
        <x:v>1</x:v>
      </x:c>
      <x:c r="T747" s="9" t="str">
        <x:v>Empty</x:v>
      </x:c>
      <x:c r="U747" s="9"/>
      <x:c r="V747" s="9"/>
      <x:c r="W747" s="9"/>
      <x:c r="X747" s="10"/>
      <x:c r="Y747" s="10"/>
      <x:c r="Z747" s="9"/>
      <x:c r="AA747" s="9"/>
      <x:c r="AB747" s="9" t="str">
        <x:v>between</x:v>
      </x:c>
      <x:c r="AC747" s="9"/>
      <x:c r="AD747" s="9"/>
      <x:c r="AE747" s="9"/>
      <x:c r="AF747" s="9"/>
      <x:c r="AG747" s="9" t="str">
        <x:v>block</x:v>
      </x:c>
      <x:c r="AH747" s="9"/>
      <x:c r="AI747" s="11"/>
      <x:c r="AJ747" s="9"/>
      <x:c r="AK747" s="9" t="str">
        <x:v>Eval_Referential_Disambiguation.xlsm</x:v>
      </x:c>
      <x:c r="AL747" s="9" t="str">
        <x:v>MolmoAct2 Results</x:v>
      </x:c>
      <x:c r="AM747" s="9" t="n">
        <x:v>127</x:v>
      </x:c>
      <x:c r="AN747" s="9" t="n">
        <x:v>127</x:v>
      </x:c>
    </x:row>
    <x:row r="748">
      <x:c r="A748" s="9" t="str">
        <x:v>Success</x:v>
      </x:c>
      <x:c r="B748" s="9" t="str">
        <x:v>Referential Disambiguation</x:v>
      </x:c>
      <x:c r="C748" s="10" t="n">
        <x:v>126</x:v>
      </x:c>
      <x:c r="D748" s="9" t="str">
        <x:v>Move the block between the green pencil sharpener and the airplane toy with propellers into the bowl.</x:v>
      </x:c>
      <x:c r="E748" s="9" t="str">
        <x:v>green block; blue block; green pencil sharpener; airplane toy with propellers; green pen</x:v>
      </x:c>
      <x:c r="F748" s="9" t="str">
        <x:v>green block</x:v>
      </x:c>
      <x:c r="G748" s="9"/>
      <x:c r="H748" s="9" t="str">
        <x:v>Cross-task block reasoning</x:v>
      </x:c>
      <x:c r="I748" s="9" t="str">
        <x:v>RD-BLOCK-B02A</x:v>
      </x:c>
      <x:c r="J748" s="9" t="str">
        <x:v>Cross-task block candidate pair — between</x:v>
      </x:c>
      <x:c r="K748" s="9"/>
      <x:c r="L748" s="9" t="str">
        <x:v>530; 1075; 350</x:v>
      </x:c>
      <x:c r="M748" s="9" t="str">
        <x:v>Between is explicit in Referential Disambiguation, and both block identities are manipulated elsewhere in fine-tuning; block × between is absent.</x:v>
      </x:c>
      <x:c r="N748" s="9" t="n">
        <x:v>5</x:v>
      </x:c>
      <x:c r="O748" s="9" t="str">
        <x:v>Place the listed objects. Put Expected Target between the two named references and the other block outside that segment.</x:v>
      </x:c>
      <x:c r="P748" s="9" t="str">
        <x:v>Adjacent between counterfactual scenes alternate which block occupies the midpoint.</x:v>
      </x:c>
      <x:c r="Q748" s="9"/>
      <x:c r="R748" s="10" t="n">
        <x:v>5</x:v>
      </x:c>
      <x:c r="S748" s="10" t="n">
        <x:v>1</x:v>
      </x:c>
      <x:c r="T748" s="9" t="str">
        <x:v>Empty</x:v>
      </x:c>
      <x:c r="U748" s="9"/>
      <x:c r="V748" s="9"/>
      <x:c r="W748" s="9"/>
      <x:c r="X748" s="10"/>
      <x:c r="Y748" s="10"/>
      <x:c r="Z748" s="9"/>
      <x:c r="AA748" s="9"/>
      <x:c r="AB748" s="9" t="str">
        <x:v>between</x:v>
      </x:c>
      <x:c r="AC748" s="9"/>
      <x:c r="AD748" s="9"/>
      <x:c r="AE748" s="9"/>
      <x:c r="AF748" s="9"/>
      <x:c r="AG748" s="9" t="str">
        <x:v>block</x:v>
      </x:c>
      <x:c r="AH748" s="9"/>
      <x:c r="AI748" s="11"/>
      <x:c r="AJ748" s="9"/>
      <x:c r="AK748" s="9" t="str">
        <x:v>Eval_Referential_Disambiguation.xlsm</x:v>
      </x:c>
      <x:c r="AL748" s="9" t="str">
        <x:v>MolmoAct2 Results</x:v>
      </x:c>
      <x:c r="AM748" s="9" t="n">
        <x:v>128</x:v>
      </x:c>
      <x:c r="AN748" s="9" t="n">
        <x:v>128</x:v>
      </x:c>
    </x:row>
    <x:row r="749">
      <x:c r="A749" s="9" t="str">
        <x:v>Success</x:v>
      </x:c>
      <x:c r="B749" s="9" t="str">
        <x:v>Referential Disambiguation</x:v>
      </x:c>
      <x:c r="C749" s="10" t="n">
        <x:v>127</x:v>
      </x:c>
      <x:c r="D749" s="9" t="str">
        <x:v>Pick up the block between the red pencil sharpener and the airplane toy without propellers and place it in the bowl.</x:v>
      </x:c>
      <x:c r="E749" s="9" t="str">
        <x:v>green block; blue block; red pencil sharpener; airplane toy without propellers</x:v>
      </x:c>
      <x:c r="F749" s="9" t="str">
        <x:v>blue block</x:v>
      </x:c>
      <x:c r="G749" s="9"/>
      <x:c r="H749" s="9" t="str">
        <x:v>Cross-task block reasoning</x:v>
      </x:c>
      <x:c r="I749" s="9" t="str">
        <x:v>RD-BLOCK-B02B</x:v>
      </x:c>
      <x:c r="J749" s="9" t="str">
        <x:v>Cross-task block candidate pair — between</x:v>
      </x:c>
      <x:c r="K749" s="9"/>
      <x:c r="L749" s="9" t="str">
        <x:v>530; 1075; 350</x:v>
      </x:c>
      <x:c r="M749" s="9" t="str">
        <x:v>Between is explicit in Referential Disambiguation, and both block identities are manipulated elsewhere in fine-tuning; block × between is absent.</x:v>
      </x:c>
      <x:c r="N749" s="9" t="n">
        <x:v>5</x:v>
      </x:c>
      <x:c r="O749" s="9" t="str">
        <x:v>Place the listed objects. Put Expected Target between the two named references and the other block outside that segment.</x:v>
      </x:c>
      <x:c r="P749" s="9" t="str">
        <x:v>Adjacent between counterfactual scenes alternate which block occupies the midpoint.</x:v>
      </x:c>
      <x:c r="Q749" s="9"/>
      <x:c r="R749" s="10" t="n">
        <x:v>4</x:v>
      </x:c>
      <x:c r="S749" s="10" t="n">
        <x:v>1</x:v>
      </x:c>
      <x:c r="T749" s="9" t="str">
        <x:v>Empty</x:v>
      </x:c>
      <x:c r="U749" s="9"/>
      <x:c r="V749" s="9"/>
      <x:c r="W749" s="9"/>
      <x:c r="X749" s="10"/>
      <x:c r="Y749" s="10"/>
      <x:c r="Z749" s="9"/>
      <x:c r="AA749" s="9"/>
      <x:c r="AB749" s="9" t="str">
        <x:v>between</x:v>
      </x:c>
      <x:c r="AC749" s="9"/>
      <x:c r="AD749" s="9"/>
      <x:c r="AE749" s="9"/>
      <x:c r="AF749" s="9"/>
      <x:c r="AG749" s="9" t="str">
        <x:v>block</x:v>
      </x:c>
      <x:c r="AH749" s="9"/>
      <x:c r="AI749" s="11"/>
      <x:c r="AJ749" s="9"/>
      <x:c r="AK749" s="9" t="str">
        <x:v>Eval_Referential_Disambiguation.xlsm</x:v>
      </x:c>
      <x:c r="AL749" s="9" t="str">
        <x:v>MolmoAct2 Results</x:v>
      </x:c>
      <x:c r="AM749" s="9" t="n">
        <x:v>129</x:v>
      </x:c>
      <x:c r="AN749" s="9" t="n">
        <x:v>129</x:v>
      </x:c>
    </x:row>
    <x:row r="750">
      <x:c r="A750" s="9" t="str">
        <x:v>Failure</x:v>
      </x:c>
      <x:c r="B750" s="9" t="str">
        <x:v>Referential Disambiguation</x:v>
      </x:c>
      <x:c r="C750" s="10" t="n">
        <x:v>128</x:v>
      </x:c>
      <x:c r="D750" s="9" t="str">
        <x:v>Put the block between the green pen and the airplane toy without propellers in the bowl.</x:v>
      </x:c>
      <x:c r="E750" s="9" t="str">
        <x:v>green block; blue block; green pen; airplane toy without propellers</x:v>
      </x:c>
      <x:c r="F750" s="9" t="str">
        <x:v>green block</x:v>
      </x:c>
      <x:c r="G750" s="9" t="str">
        <x:v>picked the blue block. blue block was closer to robot arm. Most mis-picks seemed to go for block closer to the arm</x:v>
      </x:c>
      <x:c r="H750" s="9" t="str">
        <x:v>Cross-task block reasoning</x:v>
      </x:c>
      <x:c r="I750" s="9" t="str">
        <x:v>RD-BLOCK-B03A</x:v>
      </x:c>
      <x:c r="J750" s="9" t="str">
        <x:v>Cross-task block candidate pair — between</x:v>
      </x:c>
      <x:c r="K750" s="9"/>
      <x:c r="L750" s="9" t="str">
        <x:v>530; 1075; 350</x:v>
      </x:c>
      <x:c r="M750" s="9" t="str">
        <x:v>Between is explicit in Referential Disambiguation, and both block identities are manipulated elsewhere in fine-tuning; block × between is absent.</x:v>
      </x:c>
      <x:c r="N750" s="9" t="n">
        <x:v>5</x:v>
      </x:c>
      <x:c r="O750" s="9" t="str">
        <x:v>Place the listed objects. Put Expected Target between the two named references and the other block outside that segment.</x:v>
      </x:c>
      <x:c r="P750" s="9" t="str">
        <x:v>Adjacent between counterfactual scenes alternate which block occupies the midpoint.</x:v>
      </x:c>
      <x:c r="Q750" s="9"/>
      <x:c r="R750" s="10" t="n">
        <x:v>4</x:v>
      </x:c>
      <x:c r="S750" s="10" t="n">
        <x:v>1</x:v>
      </x:c>
      <x:c r="T750" s="9" t="str">
        <x:v>Empty</x:v>
      </x:c>
      <x:c r="U750" s="9"/>
      <x:c r="V750" s="9"/>
      <x:c r="W750" s="9"/>
      <x:c r="X750" s="10"/>
      <x:c r="Y750" s="10"/>
      <x:c r="Z750" s="9"/>
      <x:c r="AA750" s="9"/>
      <x:c r="AB750" s="9" t="str">
        <x:v>between</x:v>
      </x:c>
      <x:c r="AC750" s="9"/>
      <x:c r="AD750" s="9"/>
      <x:c r="AE750" s="9"/>
      <x:c r="AF750" s="9"/>
      <x:c r="AG750" s="9" t="str">
        <x:v>block</x:v>
      </x:c>
      <x:c r="AH750" s="9"/>
      <x:c r="AI750" s="11"/>
      <x:c r="AJ750" s="9"/>
      <x:c r="AK750" s="9" t="str">
        <x:v>Eval_Referential_Disambiguation.xlsm</x:v>
      </x:c>
      <x:c r="AL750" s="9" t="str">
        <x:v>MolmoAct2 Results</x:v>
      </x:c>
      <x:c r="AM750" s="9" t="n">
        <x:v>130</x:v>
      </x:c>
      <x:c r="AN750" s="9" t="n">
        <x:v>130</x:v>
      </x:c>
    </x:row>
    <x:row r="751">
      <x:c r="A751" s="9" t="str">
        <x:v>Success</x:v>
      </x:c>
      <x:c r="B751" s="9" t="str">
        <x:v>Referential Disambiguation</x:v>
      </x:c>
      <x:c r="C751" s="10" t="n">
        <x:v>129</x:v>
      </x:c>
      <x:c r="D751" s="9" t="str">
        <x:v>Move the block between the yellow pen and the airplane toy with propellers into the bowl.</x:v>
      </x:c>
      <x:c r="E751" s="9" t="str">
        <x:v>green block; blue block; yellow pen; airplane toy with propellers; crushed Coke can</x:v>
      </x:c>
      <x:c r="F751" s="9" t="str">
        <x:v>blue block</x:v>
      </x:c>
      <x:c r="G751" s="9" t="str">
        <x:v>use same block location as previsou episode, just moved objects and did go for the blue block which was further from robot, so many no the case. Hard to say</x:v>
      </x:c>
      <x:c r="H751" s="9" t="str">
        <x:v>Cross-task block reasoning</x:v>
      </x:c>
      <x:c r="I751" s="9" t="str">
        <x:v>RD-BLOCK-B03B</x:v>
      </x:c>
      <x:c r="J751" s="9" t="str">
        <x:v>Cross-task block candidate pair — between</x:v>
      </x:c>
      <x:c r="K751" s="9"/>
      <x:c r="L751" s="9" t="str">
        <x:v>530; 1075; 350</x:v>
      </x:c>
      <x:c r="M751" s="9" t="str">
        <x:v>Between is explicit in Referential Disambiguation, and both block identities are manipulated elsewhere in fine-tuning; block × between is absent.</x:v>
      </x:c>
      <x:c r="N751" s="9" t="n">
        <x:v>5</x:v>
      </x:c>
      <x:c r="O751" s="9" t="str">
        <x:v>Place the listed objects. Put Expected Target between the two named references and the other block outside that segment.</x:v>
      </x:c>
      <x:c r="P751" s="9" t="str">
        <x:v>Adjacent between counterfactual scenes alternate which block occupies the midpoint.</x:v>
      </x:c>
      <x:c r="Q751" s="9"/>
      <x:c r="R751" s="10" t="n">
        <x:v>5</x:v>
      </x:c>
      <x:c r="S751" s="10" t="n">
        <x:v>1</x:v>
      </x:c>
      <x:c r="T751" s="9" t="str">
        <x:v>Empty</x:v>
      </x:c>
      <x:c r="U751" s="9"/>
      <x:c r="V751" s="9"/>
      <x:c r="W751" s="9"/>
      <x:c r="X751" s="10"/>
      <x:c r="Y751" s="10"/>
      <x:c r="Z751" s="9"/>
      <x:c r="AA751" s="9"/>
      <x:c r="AB751" s="9" t="str">
        <x:v>between</x:v>
      </x:c>
      <x:c r="AC751" s="9"/>
      <x:c r="AD751" s="9"/>
      <x:c r="AE751" s="9"/>
      <x:c r="AF751" s="9"/>
      <x:c r="AG751" s="9" t="str">
        <x:v>block</x:v>
      </x:c>
      <x:c r="AH751" s="9"/>
      <x:c r="AI751" s="11"/>
      <x:c r="AJ751" s="9"/>
      <x:c r="AK751" s="9" t="str">
        <x:v>Eval_Referential_Disambiguation.xlsm</x:v>
      </x:c>
      <x:c r="AL751" s="9" t="str">
        <x:v>MolmoAct2 Results</x:v>
      </x:c>
      <x:c r="AM751" s="9" t="n">
        <x:v>131</x:v>
      </x:c>
      <x:c r="AN751" s="9" t="n">
        <x:v>131</x:v>
      </x:c>
    </x:row>
    <x:row r="752">
      <x:c r="A752" s="9" t="str">
        <x:v>Failure</x:v>
      </x:c>
      <x:c r="B752" s="9" t="str">
        <x:v>Referential Disambiguation</x:v>
      </x:c>
      <x:c r="C752" s="10" t="n">
        <x:v>130</x:v>
      </x:c>
      <x:c r="D752" s="9" t="str">
        <x:v>Pick up the crushed soda can between the green pen and the airplane toy with propellers and place it in the bowl.</x:v>
      </x:c>
      <x:c r="E752" s="9" t="str">
        <x:v>green pen; airplane toy with propellers; yellow pen; airplane toy without propellers</x:v>
      </x:c>
      <x:c r="F752" s="9" t="str">
        <x:v>NO-OP; neither crushed Coke can nor crushed Pepsi can is present</x:v>
      </x:c>
      <x:c r="G752" s="9" t="str">
        <x:v>picked the airplane toy with propelors</x:v>
      </x:c>
      <x:c r="H752" s="9" t="str">
        <x:v>No valid candidate category / no movement</x:v>
      </x:c>
      <x:c r="I752" s="9" t="str">
        <x:v>RD-NOVALID01</x:v>
      </x:c>
      <x:c r="J752" s="9" t="str">
        <x:v>Queried candidate pair absent; bowl remains empty</x:v>
      </x:c>
      <x:c r="K752" s="9"/>
      <x:c r="L752" s="9" t="str">
        <x:v>430</x:v>
      </x:c>
      <x:c r="M752" s="9" t="str">
        <x:v>The relation × candidate-category prompt cell is explicitly trained. The evaluation scene deliberately removes both candidate identities; the abstention outcome is not demonstrated in training.</x:v>
      </x:c>
      <x:c r="N752" s="9" t="n">
        <x:v>6</x:v>
      </x:c>
      <x:c r="O752" s="9" t="str">
        <x:v>Place only the listed objects; neither queried candidate identity may be present. Keep the bowl empty.</x:v>
      </x:c>
      <x:c r="P752" s="9" t="str">
        <x:v>The instruction uses normal active-trial wording. Success requires no grasp or object displacement.</x:v>
      </x:c>
      <x:c r="Q752" s="9"/>
      <x:c r="R752" s="10" t="n">
        <x:v>4</x:v>
      </x:c>
      <x:c r="S752" s="10" t="n">
        <x:v>0</x:v>
      </x:c>
      <x:c r="T752" s="9" t="str">
        <x:v>Empty</x:v>
      </x:c>
      <x:c r="U752" s="9"/>
      <x:c r="V752" s="9"/>
      <x:c r="W752" s="9"/>
      <x:c r="X752" s="10"/>
      <x:c r="Y752" s="10"/>
      <x:c r="Z752" s="9"/>
      <x:c r="AA752" s="9"/>
      <x:c r="AB752" s="9" t="str">
        <x:v>between</x:v>
      </x:c>
      <x:c r="AC752" s="9"/>
      <x:c r="AD752" s="9"/>
      <x:c r="AE752" s="9"/>
      <x:c r="AF752" s="9"/>
      <x:c r="AG752" s="9" t="str">
        <x:v>crushed soda can</x:v>
      </x:c>
      <x:c r="AH752" s="9"/>
      <x:c r="AI752" s="11"/>
      <x:c r="AJ752" s="9"/>
      <x:c r="AK752" s="9" t="str">
        <x:v>Eval_Referential_Disambiguation.xlsm</x:v>
      </x:c>
      <x:c r="AL752" s="9" t="str">
        <x:v>MolmoAct2 Results</x:v>
      </x:c>
      <x:c r="AM752" s="9" t="n">
        <x:v>132</x:v>
      </x:c>
      <x:c r="AN752" s="9" t="n">
        <x:v>132</x:v>
      </x:c>
    </x:row>
    <x:row r="753">
      <x:c r="A753" s="9" t="str">
        <x:v>Success</x:v>
      </x:c>
      <x:c r="B753" s="9" t="str">
        <x:v>Referential Disambiguation</x:v>
      </x:c>
      <x:c r="C753" s="10" t="n">
        <x:v>131</x:v>
      </x:c>
      <x:c r="D753" s="9" t="str">
        <x:v>Pick up the pencil sharpener closest to the crushed Coke can and place it in the bowl.</x:v>
      </x:c>
      <x:c r="E753" s="9" t="str">
        <x:v>crushed Coke can; green pen; yellow pen</x:v>
      </x:c>
      <x:c r="F753" s="9" t="str">
        <x:v>NO-OP; neither green pencil sharpener nor red pencil sharpener is present</x:v>
      </x:c>
      <x:c r="G753" s="9"/>
      <x:c r="H753" s="9" t="str">
        <x:v>No valid candidate category / no movement</x:v>
      </x:c>
      <x:c r="I753" s="9" t="str">
        <x:v>RD-NOVALID02</x:v>
      </x:c>
      <x:c r="J753" s="9" t="str">
        <x:v>Queried candidate pair absent; bowl remains empty</x:v>
      </x:c>
      <x:c r="K753" s="9"/>
      <x:c r="L753" s="9" t="str">
        <x:v>450</x:v>
      </x:c>
      <x:c r="M753" s="9" t="str">
        <x:v>The relation × candidate-category prompt cell is explicitly trained. The evaluation scene deliberately removes both candidate identities; the abstention outcome is not demonstrated in training.</x:v>
      </x:c>
      <x:c r="N753" s="9" t="n">
        <x:v>6</x:v>
      </x:c>
      <x:c r="O753" s="9" t="str">
        <x:v>Place only the listed objects; neither queried candidate identity may be present. Keep the bowl empty.</x:v>
      </x:c>
      <x:c r="P753" s="9" t="str">
        <x:v>The instruction uses normal active-trial wording. Success requires no grasp or object displacement.</x:v>
      </x:c>
      <x:c r="Q753" s="9"/>
      <x:c r="R753" s="10" t="n">
        <x:v>3</x:v>
      </x:c>
      <x:c r="S753" s="10" t="n">
        <x:v>0</x:v>
      </x:c>
      <x:c r="T753" s="9" t="str">
        <x:v>Empty</x:v>
      </x:c>
      <x:c r="U753" s="9"/>
      <x:c r="V753" s="9"/>
      <x:c r="W753" s="9"/>
      <x:c r="X753" s="10"/>
      <x:c r="Y753" s="10"/>
      <x:c r="Z753" s="9"/>
      <x:c r="AA753" s="9"/>
      <x:c r="AB753" s="9" t="str">
        <x:v>closest</x:v>
      </x:c>
      <x:c r="AC753" s="9"/>
      <x:c r="AD753" s="9"/>
      <x:c r="AE753" s="9"/>
      <x:c r="AF753" s="9"/>
      <x:c r="AG753" s="9" t="str">
        <x:v>pencil sharpener</x:v>
      </x:c>
      <x:c r="AH753" s="9"/>
      <x:c r="AI753" s="11"/>
      <x:c r="AJ753" s="9"/>
      <x:c r="AK753" s="9" t="str">
        <x:v>Eval_Referential_Disambiguation.xlsm</x:v>
      </x:c>
      <x:c r="AL753" s="9" t="str">
        <x:v>MolmoAct2 Results</x:v>
      </x:c>
      <x:c r="AM753" s="9" t="n">
        <x:v>133</x:v>
      </x:c>
      <x:c r="AN753" s="9" t="n">
        <x:v>133</x:v>
      </x:c>
    </x:row>
    <x:row r="754">
      <x:c r="A754" s="9" t="str">
        <x:v>Failure</x:v>
      </x:c>
      <x:c r="B754" s="9" t="str">
        <x:v>Referential Disambiguation</x:v>
      </x:c>
      <x:c r="C754" s="10" t="n">
        <x:v>132</x:v>
      </x:c>
      <x:c r="D754" s="9" t="str">
        <x:v>Put the airplane toy closest to the green pencil sharpener in the bowl.</x:v>
      </x:c>
      <x:c r="E754" s="9" t="str">
        <x:v>green pencil sharpener; red pencil sharpener; green pen; yellow pen</x:v>
      </x:c>
      <x:c r="F754" s="9" t="str">
        <x:v>NO-OP; neither airplane toy with propellers nor airplane toy without propellers is present</x:v>
      </x:c>
      <x:c r="G754" s="9" t="str">
        <x:v>picked green pencil sharpener</x:v>
      </x:c>
      <x:c r="H754" s="9" t="str">
        <x:v>No valid candidate category / no movement</x:v>
      </x:c>
      <x:c r="I754" s="9" t="str">
        <x:v>RD-NOVALID03</x:v>
      </x:c>
      <x:c r="J754" s="9" t="str">
        <x:v>Queried candidate pair absent; bowl remains empty</x:v>
      </x:c>
      <x:c r="K754" s="9"/>
      <x:c r="L754" s="9" t="str">
        <x:v>550</x:v>
      </x:c>
      <x:c r="M754" s="9" t="str">
        <x:v>The relation × candidate-category prompt cell is explicitly trained. The evaluation scene deliberately removes both candidate identities; the abstention outcome is not demonstrated in training.</x:v>
      </x:c>
      <x:c r="N754" s="9" t="n">
        <x:v>6</x:v>
      </x:c>
      <x:c r="O754" s="9" t="str">
        <x:v>Place only the listed objects; neither queried candidate identity may be present. Keep the bowl empty.</x:v>
      </x:c>
      <x:c r="P754" s="9" t="str">
        <x:v>The instruction uses normal active-trial wording. Success requires no grasp or object displacement.</x:v>
      </x:c>
      <x:c r="Q754" s="9"/>
      <x:c r="R754" s="10" t="n">
        <x:v>4</x:v>
      </x:c>
      <x:c r="S754" s="10" t="n">
        <x:v>0</x:v>
      </x:c>
      <x:c r="T754" s="9" t="str">
        <x:v>Empty</x:v>
      </x:c>
      <x:c r="U754" s="9"/>
      <x:c r="V754" s="9"/>
      <x:c r="W754" s="9"/>
      <x:c r="X754" s="10"/>
      <x:c r="Y754" s="10"/>
      <x:c r="Z754" s="9"/>
      <x:c r="AA754" s="9"/>
      <x:c r="AB754" s="9" t="str">
        <x:v>closest</x:v>
      </x:c>
      <x:c r="AC754" s="9"/>
      <x:c r="AD754" s="9"/>
      <x:c r="AE754" s="9"/>
      <x:c r="AF754" s="9"/>
      <x:c r="AG754" s="9" t="str">
        <x:v>airplane toy</x:v>
      </x:c>
      <x:c r="AH754" s="9"/>
      <x:c r="AI754" s="11"/>
      <x:c r="AJ754" s="9"/>
      <x:c r="AK754" s="9" t="str">
        <x:v>Eval_Referential_Disambiguation.xlsm</x:v>
      </x:c>
      <x:c r="AL754" s="9" t="str">
        <x:v>MolmoAct2 Results</x:v>
      </x:c>
      <x:c r="AM754" s="9" t="n">
        <x:v>134</x:v>
      </x:c>
      <x:c r="AN754" s="9" t="n">
        <x:v>134</x:v>
      </x:c>
    </x:row>
    <x:row r="755">
      <x:c r="A755" s="9" t="str">
        <x:v>Failure</x:v>
      </x:c>
      <x:c r="B755" s="9" t="str">
        <x:v>Referential Disambiguation</x:v>
      </x:c>
      <x:c r="C755" s="10" t="n">
        <x:v>133</x:v>
      </x:c>
      <x:c r="D755" s="9" t="str">
        <x:v>Pick up the pen furthest from the crushed Pepsi can and place it in the bowl.</x:v>
      </x:c>
      <x:c r="E755" s="9" t="str">
        <x:v>crushed Pepsi can; airplane toy with propellers; airplane toy without propellers</x:v>
      </x:c>
      <x:c r="F755" s="9" t="str">
        <x:v>NO-OP; neither green pen nor yellow pen is present</x:v>
      </x:c>
      <x:c r="G755" s="9" t="str">
        <x:v>picked airplane toy furtherest from pepsi can (airplane toy without propellors)</x:v>
      </x:c>
      <x:c r="H755" s="9" t="str">
        <x:v>No valid candidate category / no movement</x:v>
      </x:c>
      <x:c r="I755" s="9" t="str">
        <x:v>RD-NOVALID04</x:v>
      </x:c>
      <x:c r="J755" s="9" t="str">
        <x:v>Queried candidate pair absent; bowl remains empty</x:v>
      </x:c>
      <x:c r="K755" s="9"/>
      <x:c r="L755" s="9" t="str">
        <x:v>515</x:v>
      </x:c>
      <x:c r="M755" s="9" t="str">
        <x:v>The relation × candidate-category prompt cell is explicitly trained. The evaluation scene deliberately removes both candidate identities; the abstention outcome is not demonstrated in training.</x:v>
      </x:c>
      <x:c r="N755" s="9" t="n">
        <x:v>6</x:v>
      </x:c>
      <x:c r="O755" s="9" t="str">
        <x:v>Place only the listed objects; neither queried candidate identity may be present. Keep the bowl empty.</x:v>
      </x:c>
      <x:c r="P755" s="9" t="str">
        <x:v>The instruction uses normal active-trial wording. Success requires no grasp or object displacement.</x:v>
      </x:c>
      <x:c r="Q755" s="9"/>
      <x:c r="R755" s="10" t="n">
        <x:v>3</x:v>
      </x:c>
      <x:c r="S755" s="10" t="n">
        <x:v>0</x:v>
      </x:c>
      <x:c r="T755" s="9" t="str">
        <x:v>Empty</x:v>
      </x:c>
      <x:c r="U755" s="9"/>
      <x:c r="V755" s="9"/>
      <x:c r="W755" s="9"/>
      <x:c r="X755" s="10"/>
      <x:c r="Y755" s="10"/>
      <x:c r="Z755" s="9"/>
      <x:c r="AA755" s="9"/>
      <x:c r="AB755" s="9" t="str">
        <x:v>furthest</x:v>
      </x:c>
      <x:c r="AC755" s="9"/>
      <x:c r="AD755" s="9"/>
      <x:c r="AE755" s="9"/>
      <x:c r="AF755" s="9"/>
      <x:c r="AG755" s="9" t="str">
        <x:v>pen</x:v>
      </x:c>
      <x:c r="AH755" s="9"/>
      <x:c r="AI755" s="11"/>
      <x:c r="AJ755" s="9"/>
      <x:c r="AK755" s="9" t="str">
        <x:v>Eval_Referential_Disambiguation.xlsm</x:v>
      </x:c>
      <x:c r="AL755" s="9" t="str">
        <x:v>MolmoAct2 Results</x:v>
      </x:c>
      <x:c r="AM755" s="9" t="n">
        <x:v>135</x:v>
      </x:c>
      <x:c r="AN755" s="9" t="n">
        <x:v>135</x:v>
      </x:c>
    </x:row>
    <x:row r="756">
      <x:c r="A756" s="9" t="str">
        <x:v>Failure</x:v>
      </x:c>
      <x:c r="B756" s="9" t="str">
        <x:v>Referential Disambiguation</x:v>
      </x:c>
      <x:c r="C756" s="10" t="n">
        <x:v>134</x:v>
      </x:c>
      <x:c r="D756" s="9" t="str">
        <x:v>Put the crushed soda can furthest from the airplane toy without propellers in the bowl.</x:v>
      </x:c>
      <x:c r="E756" s="9" t="str">
        <x:v>airplane toy without propellers; airplane toy with propellers; green pencil sharpener; red pencil sharpener</x:v>
      </x:c>
      <x:c r="F756" s="9" t="str">
        <x:v>NO-OP; neither crushed Coke can nor crushed Pepsi can is present</x:v>
      </x:c>
      <x:c r="G756" s="9" t="str">
        <x:v>picked airplane toy with propellors. </x:v>
      </x:c>
      <x:c r="H756" s="9" t="str">
        <x:v>No valid candidate category / no movement</x:v>
      </x:c>
      <x:c r="I756" s="9" t="str">
        <x:v>RD-NOVALID05</x:v>
      </x:c>
      <x:c r="J756" s="9" t="str">
        <x:v>Queried candidate pair absent; bowl remains empty</x:v>
      </x:c>
      <x:c r="K756" s="9"/>
      <x:c r="L756" s="9" t="str">
        <x:v>415</x:v>
      </x:c>
      <x:c r="M756" s="9" t="str">
        <x:v>The relation × candidate-category prompt cell is explicitly trained. The evaluation scene deliberately removes both candidate identities; the abstention outcome is not demonstrated in training.</x:v>
      </x:c>
      <x:c r="N756" s="9" t="n">
        <x:v>6</x:v>
      </x:c>
      <x:c r="O756" s="9" t="str">
        <x:v>Place only the listed objects; neither queried candidate identity may be present. Keep the bowl empty.</x:v>
      </x:c>
      <x:c r="P756" s="9" t="str">
        <x:v>The instruction uses normal active-trial wording. Success requires no grasp or object displacement.</x:v>
      </x:c>
      <x:c r="Q756" s="9"/>
      <x:c r="R756" s="10" t="n">
        <x:v>4</x:v>
      </x:c>
      <x:c r="S756" s="10" t="n">
        <x:v>0</x:v>
      </x:c>
      <x:c r="T756" s="9" t="str">
        <x:v>Empty</x:v>
      </x:c>
      <x:c r="U756" s="9"/>
      <x:c r="V756" s="9"/>
      <x:c r="W756" s="9"/>
      <x:c r="X756" s="10"/>
      <x:c r="Y756" s="10"/>
      <x:c r="Z756" s="9"/>
      <x:c r="AA756" s="9"/>
      <x:c r="AB756" s="9" t="str">
        <x:v>furthest</x:v>
      </x:c>
      <x:c r="AC756" s="9"/>
      <x:c r="AD756" s="9"/>
      <x:c r="AE756" s="9"/>
      <x:c r="AF756" s="9"/>
      <x:c r="AG756" s="9" t="str">
        <x:v>crushed soda can</x:v>
      </x:c>
      <x:c r="AH756" s="9"/>
      <x:c r="AI756" s="11"/>
      <x:c r="AJ756" s="9"/>
      <x:c r="AK756" s="9" t="str">
        <x:v>Eval_Referential_Disambiguation.xlsm</x:v>
      </x:c>
      <x:c r="AL756" s="9" t="str">
        <x:v>MolmoAct2 Results</x:v>
      </x:c>
      <x:c r="AM756" s="9" t="n">
        <x:v>136</x:v>
      </x:c>
      <x:c r="AN756" s="9" t="n">
        <x:v>136</x:v>
      </x:c>
    </x:row>
    <x:row r="757">
      <x:c r="A757" s="9" t="str">
        <x:v>Failure</x:v>
      </x:c>
      <x:c r="B757" s="9" t="str">
        <x:v>Referential Disambiguation</x:v>
      </x:c>
      <x:c r="C757" s="10" t="n">
        <x:v>135</x:v>
      </x:c>
      <x:c r="D757" s="9" t="str">
        <x:v>Move the pencil sharpener furthest from the airplane toy without propellers into the bowl.</x:v>
      </x:c>
      <x:c r="E757" s="9" t="str">
        <x:v>airplane toy without propellers; crushed Coke can; crushed Pepsi can</x:v>
      </x:c>
      <x:c r="F757" s="9" t="str">
        <x:v>NO-OP; neither green pencil sharpener nor red pencil sharpener is present</x:v>
      </x:c>
      <x:c r="G757" s="9" t="str">
        <x:v>picked airplane toy without propellors </x:v>
      </x:c>
      <x:c r="H757" s="9" t="str">
        <x:v>No valid candidate category / no movement</x:v>
      </x:c>
      <x:c r="I757" s="9" t="str">
        <x:v>RD-NOVALID06</x:v>
      </x:c>
      <x:c r="J757" s="9" t="str">
        <x:v>Queried candidate pair absent; bowl remains empty</x:v>
      </x:c>
      <x:c r="K757" s="9"/>
      <x:c r="L757" s="9" t="str">
        <x:v>465</x:v>
      </x:c>
      <x:c r="M757" s="9" t="str">
        <x:v>The relation × candidate-category prompt cell is explicitly trained. The evaluation scene deliberately removes both candidate identities; the abstention outcome is not demonstrated in training.</x:v>
      </x:c>
      <x:c r="N757" s="9" t="n">
        <x:v>6</x:v>
      </x:c>
      <x:c r="O757" s="9" t="str">
        <x:v>Place only the listed objects; neither queried candidate identity may be present. Keep the bowl empty.</x:v>
      </x:c>
      <x:c r="P757" s="9" t="str">
        <x:v>The instruction uses normal active-trial wording. Success requires no grasp or object displacement.</x:v>
      </x:c>
      <x:c r="Q757" s="9"/>
      <x:c r="R757" s="10" t="n">
        <x:v>3</x:v>
      </x:c>
      <x:c r="S757" s="10" t="n">
        <x:v>0</x:v>
      </x:c>
      <x:c r="T757" s="9" t="str">
        <x:v>Empty</x:v>
      </x:c>
      <x:c r="U757" s="9"/>
      <x:c r="V757" s="9"/>
      <x:c r="W757" s="9"/>
      <x:c r="X757" s="10"/>
      <x:c r="Y757" s="10"/>
      <x:c r="Z757" s="9"/>
      <x:c r="AA757" s="9"/>
      <x:c r="AB757" s="9" t="str">
        <x:v>furthest</x:v>
      </x:c>
      <x:c r="AC757" s="9"/>
      <x:c r="AD757" s="9"/>
      <x:c r="AE757" s="9"/>
      <x:c r="AF757" s="9"/>
      <x:c r="AG757" s="9" t="str">
        <x:v>pencil sharpener</x:v>
      </x:c>
      <x:c r="AH757" s="9"/>
      <x:c r="AI757" s="11"/>
      <x:c r="AJ757" s="9"/>
      <x:c r="AK757" s="9" t="str">
        <x:v>Eval_Referential_Disambiguation.xlsm</x:v>
      </x:c>
      <x:c r="AL757" s="9" t="str">
        <x:v>MolmoAct2 Results</x:v>
      </x:c>
      <x:c r="AM757" s="9" t="n">
        <x:v>137</x:v>
      </x:c>
      <x:c r="AN757" s="9" t="n">
        <x:v>137</x:v>
      </x:c>
    </x:row>
    <x:row r="758">
      <x:c r="A758" s="9" t="str">
        <x:v>Failure</x:v>
      </x:c>
      <x:c r="B758" s="9" t="str">
        <x:v>Referential Disambiguation</x:v>
      </x:c>
      <x:c r="C758" s="10" t="n">
        <x:v>136</x:v>
      </x:c>
      <x:c r="D758" s="9" t="str">
        <x:v>Put the airplane toy between the green pen and the crushed Coke can in the bowl.</x:v>
      </x:c>
      <x:c r="E758" s="9" t="str">
        <x:v>green pen; crushed Coke can; crushed Pepsi can; green pencil sharpener; red pencil sharpener</x:v>
      </x:c>
      <x:c r="F758" s="9" t="str">
        <x:v>NO-OP; neither airplane toy with propellers nor airplane toy without propellers is present</x:v>
      </x:c>
      <x:c r="G758" s="9" t="str">
        <x:v>picked the green pencil sharpener, which was situated between the pepsi can and green pen. the red pencil sharpener was between the green pen and coke can</x:v>
      </x:c>
      <x:c r="H758" s="9" t="str">
        <x:v>No valid candidate category / no movement</x:v>
      </x:c>
      <x:c r="I758" s="9" t="str">
        <x:v>RD-NOVALID07</x:v>
      </x:c>
      <x:c r="J758" s="9" t="str">
        <x:v>Queried candidate pair absent; bowl remains empty</x:v>
      </x:c>
      <x:c r="K758" s="9"/>
      <x:c r="L758" s="9" t="str">
        <x:v>580</x:v>
      </x:c>
      <x:c r="M758" s="9" t="str">
        <x:v>The relation × candidate-category prompt cell is explicitly trained. The evaluation scene deliberately removes both candidate identities; the abstention outcome is not demonstrated in training.</x:v>
      </x:c>
      <x:c r="N758" s="9" t="n">
        <x:v>6</x:v>
      </x:c>
      <x:c r="O758" s="9" t="str">
        <x:v>Place only the listed objects; neither queried candidate identity may be present. Keep the bowl empty.</x:v>
      </x:c>
      <x:c r="P758" s="9" t="str">
        <x:v>The instruction uses normal active-trial wording. Success requires no grasp or object displacement.</x:v>
      </x:c>
      <x:c r="Q758" s="9"/>
      <x:c r="R758" s="10" t="n">
        <x:v>5</x:v>
      </x:c>
      <x:c r="S758" s="10" t="n">
        <x:v>0</x:v>
      </x:c>
      <x:c r="T758" s="9" t="str">
        <x:v>Empty</x:v>
      </x:c>
      <x:c r="U758" s="9"/>
      <x:c r="V758" s="9"/>
      <x:c r="W758" s="9"/>
      <x:c r="X758" s="10"/>
      <x:c r="Y758" s="10"/>
      <x:c r="Z758" s="9"/>
      <x:c r="AA758" s="9"/>
      <x:c r="AB758" s="9" t="str">
        <x:v>between</x:v>
      </x:c>
      <x:c r="AC758" s="9"/>
      <x:c r="AD758" s="9"/>
      <x:c r="AE758" s="9"/>
      <x:c r="AF758" s="9"/>
      <x:c r="AG758" s="9" t="str">
        <x:v>airplane toy</x:v>
      </x:c>
      <x:c r="AH758" s="9"/>
      <x:c r="AI758" s="11"/>
      <x:c r="AJ758" s="9"/>
      <x:c r="AK758" s="9" t="str">
        <x:v>Eval_Referential_Disambiguation.xlsm</x:v>
      </x:c>
      <x:c r="AL758" s="9" t="str">
        <x:v>MolmoAct2 Results</x:v>
      </x:c>
      <x:c r="AM758" s="9" t="n">
        <x:v>138</x:v>
      </x:c>
      <x:c r="AN758" s="9" t="n">
        <x:v>138</x:v>
      </x:c>
    </x:row>
    <x:row r="759">
      <x:c r="A759" s="9" t="str">
        <x:v>Failure</x:v>
      </x:c>
      <x:c r="B759" s="9" t="str">
        <x:v>Referential Disambiguation</x:v>
      </x:c>
      <x:c r="C759" s="10" t="n">
        <x:v>137</x:v>
      </x:c>
      <x:c r="D759" s="9" t="str">
        <x:v>Move the pen closest to the green pencil sharpener into the bowl.</x:v>
      </x:c>
      <x:c r="E759" s="9" t="str">
        <x:v>green pencil sharpener; red pencil sharpener; airplane toy with propellers</x:v>
      </x:c>
      <x:c r="F759" s="9" t="str">
        <x:v>NO-OP; neither green pen nor yellow pen is present</x:v>
      </x:c>
      <x:c r="G759" s="9" t="str">
        <x:v>tried to pick airplane toy with propellors, which was closest object to the green pencil sharpener. Dropped it and it went out of range. Picked up the green pencil sharpener</x:v>
      </x:c>
      <x:c r="H759" s="9" t="str">
        <x:v>No valid candidate category / no movement</x:v>
      </x:c>
      <x:c r="I759" s="9" t="str">
        <x:v>RD-NOVALID08</x:v>
      </x:c>
      <x:c r="J759" s="9" t="str">
        <x:v>Queried candidate pair absent; bowl remains empty</x:v>
      </x:c>
      <x:c r="K759" s="9"/>
      <x:c r="L759" s="9" t="str">
        <x:v>500</x:v>
      </x:c>
      <x:c r="M759" s="9" t="str">
        <x:v>The relation × candidate-category prompt cell is explicitly trained. The evaluation scene deliberately removes both candidate identities; the abstention outcome is not demonstrated in training.</x:v>
      </x:c>
      <x:c r="N759" s="9" t="n">
        <x:v>6</x:v>
      </x:c>
      <x:c r="O759" s="9" t="str">
        <x:v>Place only the listed objects; neither queried candidate identity may be present. Keep the bowl empty.</x:v>
      </x:c>
      <x:c r="P759" s="9" t="str">
        <x:v>The instruction uses normal active-trial wording. Success requires no grasp or object displacement.</x:v>
      </x:c>
      <x:c r="Q759" s="9"/>
      <x:c r="R759" s="10" t="n">
        <x:v>3</x:v>
      </x:c>
      <x:c r="S759" s="10" t="n">
        <x:v>0</x:v>
      </x:c>
      <x:c r="T759" s="9" t="str">
        <x:v>Empty</x:v>
      </x:c>
      <x:c r="U759" s="9"/>
      <x:c r="V759" s="9"/>
      <x:c r="W759" s="9"/>
      <x:c r="X759" s="10"/>
      <x:c r="Y759" s="10"/>
      <x:c r="Z759" s="9"/>
      <x:c r="AA759" s="9"/>
      <x:c r="AB759" s="9" t="str">
        <x:v>closest</x:v>
      </x:c>
      <x:c r="AC759" s="9"/>
      <x:c r="AD759" s="9"/>
      <x:c r="AE759" s="9"/>
      <x:c r="AF759" s="9"/>
      <x:c r="AG759" s="9" t="str">
        <x:v>pen</x:v>
      </x:c>
      <x:c r="AH759" s="9"/>
      <x:c r="AI759" s="11"/>
      <x:c r="AJ759" s="9"/>
      <x:c r="AK759" s="9" t="str">
        <x:v>Eval_Referential_Disambiguation.xlsm</x:v>
      </x:c>
      <x:c r="AL759" s="9" t="str">
        <x:v>MolmoAct2 Results</x:v>
      </x:c>
      <x:c r="AM759" s="9" t="n">
        <x:v>139</x:v>
      </x:c>
      <x:c r="AN759" s="9" t="n">
        <x:v>139</x:v>
      </x:c>
    </x:row>
    <x:row r="760">
      <x:c r="A760" s="9" t="str">
        <x:v>Failure</x:v>
      </x:c>
      <x:c r="B760" s="9" t="str">
        <x:v>Referential Disambiguation</x:v>
      </x:c>
      <x:c r="C760" s="10" t="n">
        <x:v>138</x:v>
      </x:c>
      <x:c r="D760" s="9" t="str">
        <x:v>Move the crushed soda can between the airplane toy without propellers and the red pencil sharpener into the bowl.</x:v>
      </x:c>
      <x:c r="E760" s="9" t="str">
        <x:v>airplane toy without propellers; red pencil sharpener; yellow pen; airplane toy with propellers</x:v>
      </x:c>
      <x:c r="F760" s="9" t="str">
        <x:v>NO-OP; neither crushed Coke can nor crushed Pepsi can is present</x:v>
      </x:c>
      <x:c r="G760" s="9" t="str">
        <x:v>moved towards the red pencil sharpener, did not pick it up, then moved back to home position.</x:v>
      </x:c>
      <x:c r="H760" s="9" t="str">
        <x:v>No valid candidate category / no movement</x:v>
      </x:c>
      <x:c r="I760" s="9" t="str">
        <x:v>RD-NOVALID09</x:v>
      </x:c>
      <x:c r="J760" s="9" t="str">
        <x:v>Queried candidate pair absent; bowl remains empty</x:v>
      </x:c>
      <x:c r="K760" s="9"/>
      <x:c r="L760" s="9" t="str">
        <x:v>431</x:v>
      </x:c>
      <x:c r="M760" s="9" t="str">
        <x:v>The relation × candidate-category prompt cell is explicitly trained. The evaluation scene deliberately removes both candidate identities; the abstention outcome is not demonstrated in training.</x:v>
      </x:c>
      <x:c r="N760" s="9" t="n">
        <x:v>6</x:v>
      </x:c>
      <x:c r="O760" s="9" t="str">
        <x:v>Place only the listed objects; neither queried candidate identity may be present. Keep the bowl empty.</x:v>
      </x:c>
      <x:c r="P760" s="9" t="str">
        <x:v>The instruction uses normal active-trial wording. Success requires no grasp or object displacement.</x:v>
      </x:c>
      <x:c r="Q760" s="9"/>
      <x:c r="R760" s="10" t="n">
        <x:v>4</x:v>
      </x:c>
      <x:c r="S760" s="10" t="n">
        <x:v>0</x:v>
      </x:c>
      <x:c r="T760" s="9" t="str">
        <x:v>Empty</x:v>
      </x:c>
      <x:c r="U760" s="9"/>
      <x:c r="V760" s="9"/>
      <x:c r="W760" s="9"/>
      <x:c r="X760" s="10"/>
      <x:c r="Y760" s="10"/>
      <x:c r="Z760" s="9"/>
      <x:c r="AA760" s="9"/>
      <x:c r="AB760" s="9" t="str">
        <x:v>between</x:v>
      </x:c>
      <x:c r="AC760" s="9"/>
      <x:c r="AD760" s="9"/>
      <x:c r="AE760" s="9"/>
      <x:c r="AF760" s="9"/>
      <x:c r="AG760" s="9" t="str">
        <x:v>crushed soda can</x:v>
      </x:c>
      <x:c r="AH760" s="9"/>
      <x:c r="AI760" s="11"/>
      <x:c r="AJ760" s="9"/>
      <x:c r="AK760" s="9" t="str">
        <x:v>Eval_Referential_Disambiguation.xlsm</x:v>
      </x:c>
      <x:c r="AL760" s="9" t="str">
        <x:v>MolmoAct2 Results</x:v>
      </x:c>
      <x:c r="AM760" s="9" t="n">
        <x:v>140</x:v>
      </x:c>
      <x:c r="AN760" s="9" t="n">
        <x:v>140</x:v>
      </x:c>
    </x:row>
    <x:row r="761">
      <x:c r="A761" s="9" t="str">
        <x:v>Failure</x:v>
      </x:c>
      <x:c r="B761" s="9" t="str">
        <x:v>Referential Disambiguation</x:v>
      </x:c>
      <x:c r="C761" s="10" t="n">
        <x:v>139</x:v>
      </x:c>
      <x:c r="D761" s="9" t="str">
        <x:v>Pick up the pencil sharpener closest to the yellow pen and place it in the bowl.</x:v>
      </x:c>
      <x:c r="E761" s="9" t="str">
        <x:v>yellow pen; airplane toy without propellers; crushed Coke can; crushed Pepsi can</x:v>
      </x:c>
      <x:c r="F761" s="9" t="str">
        <x:v>NO-OP; neither green pencil sharpener nor red pencil sharpener is present</x:v>
      </x:c>
      <x:c r="G761" s="9" t="str">
        <x:v>picked up the airplane toy without propellors, which wasn't even the closest object to the yellow pen. the closest object was the coke can.</x:v>
      </x:c>
      <x:c r="H761" s="9" t="str">
        <x:v>No valid candidate category / no movement</x:v>
      </x:c>
      <x:c r="I761" s="9" t="str">
        <x:v>RD-NOVALID10</x:v>
      </x:c>
      <x:c r="J761" s="9" t="str">
        <x:v>Queried candidate pair absent; bowl remains empty</x:v>
      </x:c>
      <x:c r="K761" s="9"/>
      <x:c r="L761" s="9" t="str">
        <x:v>451</x:v>
      </x:c>
      <x:c r="M761" s="9" t="str">
        <x:v>The relation × candidate-category prompt cell is explicitly trained. The evaluation scene deliberately removes both candidate identities; the abstention outcome is not demonstrated in training.</x:v>
      </x:c>
      <x:c r="N761" s="9" t="n">
        <x:v>6</x:v>
      </x:c>
      <x:c r="O761" s="9" t="str">
        <x:v>Place only the listed objects; neither queried candidate identity may be present. Keep the bowl empty.</x:v>
      </x:c>
      <x:c r="P761" s="9" t="str">
        <x:v>The instruction uses normal active-trial wording. Success requires no grasp or object displacement.</x:v>
      </x:c>
      <x:c r="Q761" s="9"/>
      <x:c r="R761" s="10" t="n">
        <x:v>4</x:v>
      </x:c>
      <x:c r="S761" s="10" t="n">
        <x:v>0</x:v>
      </x:c>
      <x:c r="T761" s="9" t="str">
        <x:v>Empty</x:v>
      </x:c>
      <x:c r="U761" s="9"/>
      <x:c r="V761" s="9"/>
      <x:c r="W761" s="9"/>
      <x:c r="X761" s="10"/>
      <x:c r="Y761" s="10"/>
      <x:c r="Z761" s="9"/>
      <x:c r="AA761" s="9"/>
      <x:c r="AB761" s="9" t="str">
        <x:v>closest</x:v>
      </x:c>
      <x:c r="AC761" s="9"/>
      <x:c r="AD761" s="9"/>
      <x:c r="AE761" s="9"/>
      <x:c r="AF761" s="9"/>
      <x:c r="AG761" s="9" t="str">
        <x:v>pencil sharpener</x:v>
      </x:c>
      <x:c r="AH761" s="9"/>
      <x:c r="AI761" s="11"/>
      <x:c r="AJ761" s="9"/>
      <x:c r="AK761" s="9" t="str">
        <x:v>Eval_Referential_Disambiguation.xlsm</x:v>
      </x:c>
      <x:c r="AL761" s="9" t="str">
        <x:v>MolmoAct2 Results</x:v>
      </x:c>
      <x:c r="AM761" s="9" t="n">
        <x:v>141</x:v>
      </x:c>
      <x:c r="AN761" s="9" t="n">
        <x:v>141</x:v>
      </x:c>
    </x:row>
    <x:row r="762">
      <x:c r="A762" s="9" t="str">
        <x:v>Failure</x:v>
      </x:c>
      <x:c r="B762" s="9" t="str">
        <x:v>Referential Disambiguation</x:v>
      </x:c>
      <x:c r="C762" s="10" t="n">
        <x:v>140</x:v>
      </x:c>
      <x:c r="D762" s="9" t="str">
        <x:v>Pick up the airplane toy between the green pencil sharpener and the yellow pen and place it in the bowl.</x:v>
      </x:c>
      <x:c r="E762" s="9" t="str">
        <x:v>green pencil sharpener; yellow pen; crushed Coke can; crushed Pepsi can; red pencil sharpener</x:v>
      </x:c>
      <x:c r="F762" s="9" t="str">
        <x:v>NO-OP; neither airplane toy with propellers nor airplane toy without propellers is present</x:v>
      </x:c>
      <x:c r="G762" s="9" t="str">
        <x:v>picked up the green pencil sharpener</x:v>
      </x:c>
      <x:c r="H762" s="9" t="str">
        <x:v>No valid candidate category / no movement</x:v>
      </x:c>
      <x:c r="I762" s="9" t="str">
        <x:v>RD-NOVALID11</x:v>
      </x:c>
      <x:c r="J762" s="9" t="str">
        <x:v>Queried candidate pair absent; bowl remains empty</x:v>
      </x:c>
      <x:c r="K762" s="9"/>
      <x:c r="L762" s="9" t="str">
        <x:v>581</x:v>
      </x:c>
      <x:c r="M762" s="9" t="str">
        <x:v>The relation × candidate-category prompt cell is explicitly trained. The evaluation scene deliberately removes both candidate identities; the abstention outcome is not demonstrated in training.</x:v>
      </x:c>
      <x:c r="N762" s="9" t="n">
        <x:v>6</x:v>
      </x:c>
      <x:c r="O762" s="9" t="str">
        <x:v>Place only the listed objects; neither queried candidate identity may be present. Keep the bowl empty.</x:v>
      </x:c>
      <x:c r="P762" s="9" t="str">
        <x:v>The instruction uses normal active-trial wording. Success requires no grasp or object displacement.</x:v>
      </x:c>
      <x:c r="Q762" s="9"/>
      <x:c r="R762" s="10" t="n">
        <x:v>5</x:v>
      </x:c>
      <x:c r="S762" s="10" t="n">
        <x:v>0</x:v>
      </x:c>
      <x:c r="T762" s="9" t="str">
        <x:v>Empty</x:v>
      </x:c>
      <x:c r="U762" s="9"/>
      <x:c r="V762" s="9"/>
      <x:c r="W762" s="9"/>
      <x:c r="X762" s="10"/>
      <x:c r="Y762" s="10"/>
      <x:c r="Z762" s="9"/>
      <x:c r="AA762" s="9"/>
      <x:c r="AB762" s="9" t="str">
        <x:v>between</x:v>
      </x:c>
      <x:c r="AC762" s="9"/>
      <x:c r="AD762" s="9"/>
      <x:c r="AE762" s="9"/>
      <x:c r="AF762" s="9"/>
      <x:c r="AG762" s="9" t="str">
        <x:v>airplane toy</x:v>
      </x:c>
      <x:c r="AH762" s="9"/>
      <x:c r="AI762" s="11"/>
      <x:c r="AJ762" s="9"/>
      <x:c r="AK762" s="9" t="str">
        <x:v>Eval_Referential_Disambiguation.xlsm</x:v>
      </x:c>
      <x:c r="AL762" s="9" t="str">
        <x:v>MolmoAct2 Results</x:v>
      </x:c>
      <x:c r="AM762" s="9" t="n">
        <x:v>142</x:v>
      </x:c>
      <x:c r="AN762" s="9" t="n">
        <x:v>142</x:v>
      </x:c>
    </x:row>
    <x:row r="763">
      <x:c r="A763" s="9" t="str">
        <x:v>Failure</x:v>
      </x:c>
      <x:c r="B763" s="9" t="str">
        <x:v>Referential Disambiguation</x:v>
      </x:c>
      <x:c r="C763" s="10" t="n">
        <x:v>141</x:v>
      </x:c>
      <x:c r="D763" s="9" t="str">
        <x:v>Pick up the pen furthest from the airplane toy without propellers and place it in the bowl.</x:v>
      </x:c>
      <x:c r="E763" s="9" t="str">
        <x:v>airplane toy without propellers; crushed Pepsi can; green pencil sharpener; red pencil sharpener</x:v>
      </x:c>
      <x:c r="F763" s="9" t="str">
        <x:v>NO-OP; neither green pen nor yellow pen is present</x:v>
      </x:c>
      <x:c r="G763" s="9" t="str">
        <x:v>picked up green pencil sharpener, which was furthest from the airplane toy without propellers</x:v>
      </x:c>
      <x:c r="H763" s="9" t="str">
        <x:v>No valid candidate category / no movement</x:v>
      </x:c>
      <x:c r="I763" s="9" t="str">
        <x:v>RD-NOVALID12</x:v>
      </x:c>
      <x:c r="J763" s="9" t="str">
        <x:v>Queried candidate pair absent; bowl remains empty</x:v>
      </x:c>
      <x:c r="K763" s="9"/>
      <x:c r="L763" s="9" t="str">
        <x:v>516</x:v>
      </x:c>
      <x:c r="M763" s="9" t="str">
        <x:v>The relation × candidate-category prompt cell is explicitly trained. The evaluation scene deliberately removes both candidate identities; the abstention outcome is not demonstrated in training.</x:v>
      </x:c>
      <x:c r="N763" s="9" t="n">
        <x:v>6</x:v>
      </x:c>
      <x:c r="O763" s="9" t="str">
        <x:v>Place only the listed objects; neither queried candidate identity may be present. Keep the bowl empty.</x:v>
      </x:c>
      <x:c r="P763" s="9" t="str">
        <x:v>The instruction uses normal active-trial wording. Success requires no grasp or object displacement.</x:v>
      </x:c>
      <x:c r="Q763" s="9"/>
      <x:c r="R763" s="10" t="n">
        <x:v>4</x:v>
      </x:c>
      <x:c r="S763" s="10" t="n">
        <x:v>0</x:v>
      </x:c>
      <x:c r="T763" s="9" t="str">
        <x:v>Empty</x:v>
      </x:c>
      <x:c r="U763" s="9"/>
      <x:c r="V763" s="9"/>
      <x:c r="W763" s="9"/>
      <x:c r="X763" s="10"/>
      <x:c r="Y763" s="10"/>
      <x:c r="Z763" s="9"/>
      <x:c r="AA763" s="9"/>
      <x:c r="AB763" s="9" t="str">
        <x:v>furthest</x:v>
      </x:c>
      <x:c r="AC763" s="9"/>
      <x:c r="AD763" s="9"/>
      <x:c r="AE763" s="9"/>
      <x:c r="AF763" s="9"/>
      <x:c r="AG763" s="9" t="str">
        <x:v>pen</x:v>
      </x:c>
      <x:c r="AH763" s="9"/>
      <x:c r="AI763" s="11"/>
      <x:c r="AJ763" s="9"/>
      <x:c r="AK763" s="9" t="str">
        <x:v>Eval_Referential_Disambiguation.xlsm</x:v>
      </x:c>
      <x:c r="AL763" s="9" t="str">
        <x:v>MolmoAct2 Results</x:v>
      </x:c>
      <x:c r="AM763" s="9" t="n">
        <x:v>143</x:v>
      </x:c>
      <x:c r="AN763" s="9" t="n">
        <x:v>143</x:v>
      </x:c>
    </x:row>
    <x:row r="764">
      <x:c r="A764" s="9" t="str">
        <x:v>Success</x:v>
      </x:c>
      <x:c r="B764" s="9" t="str">
        <x:v>Referential Disambiguation</x:v>
      </x:c>
      <x:c r="C764" s="10" t="n">
        <x:v>142</x:v>
      </x:c>
      <x:c r="D764" s="9" t="str">
        <x:v>Put the crushed soda can furthest from the green pen in the bowl.</x:v>
      </x:c>
      <x:c r="E764" s="9" t="str">
        <x:v>green pen; yellow pen; airplane toy with propellers</x:v>
      </x:c>
      <x:c r="F764" s="9" t="str">
        <x:v>NO-OP; neither crushed Coke can nor crushed Pepsi can is present</x:v>
      </x:c>
      <x:c r="G764" s="9"/>
      <x:c r="H764" s="9" t="str">
        <x:v>No valid candidate category / no movement</x:v>
      </x:c>
      <x:c r="I764" s="9" t="str">
        <x:v>RD-NOVALID13</x:v>
      </x:c>
      <x:c r="J764" s="9" t="str">
        <x:v>Queried candidate pair absent; bowl remains empty</x:v>
      </x:c>
      <x:c r="K764" s="9"/>
      <x:c r="L764" s="9" t="str">
        <x:v>416</x:v>
      </x:c>
      <x:c r="M764" s="9" t="str">
        <x:v>The relation × candidate-category prompt cell is explicitly trained. The evaluation scene deliberately removes both candidate identities; the abstention outcome is not demonstrated in training.</x:v>
      </x:c>
      <x:c r="N764" s="9" t="n">
        <x:v>6</x:v>
      </x:c>
      <x:c r="O764" s="9" t="str">
        <x:v>Place only the listed objects; neither queried candidate identity may be present. Keep the bowl empty.</x:v>
      </x:c>
      <x:c r="P764" s="9" t="str">
        <x:v>The instruction uses normal active-trial wording. Success requires no grasp or object displacement.</x:v>
      </x:c>
      <x:c r="Q764" s="9"/>
      <x:c r="R764" s="10" t="n">
        <x:v>3</x:v>
      </x:c>
      <x:c r="S764" s="10" t="n">
        <x:v>0</x:v>
      </x:c>
      <x:c r="T764" s="9" t="str">
        <x:v>Empty</x:v>
      </x:c>
      <x:c r="U764" s="9"/>
      <x:c r="V764" s="9"/>
      <x:c r="W764" s="9"/>
      <x:c r="X764" s="10"/>
      <x:c r="Y764" s="10"/>
      <x:c r="Z764" s="9"/>
      <x:c r="AA764" s="9"/>
      <x:c r="AB764" s="9" t="str">
        <x:v>furthest</x:v>
      </x:c>
      <x:c r="AC764" s="9"/>
      <x:c r="AD764" s="9"/>
      <x:c r="AE764" s="9"/>
      <x:c r="AF764" s="9"/>
      <x:c r="AG764" s="9" t="str">
        <x:v>crushed soda can</x:v>
      </x:c>
      <x:c r="AH764" s="9"/>
      <x:c r="AI764" s="11"/>
      <x:c r="AJ764" s="9"/>
      <x:c r="AK764" s="9" t="str">
        <x:v>Eval_Referential_Disambiguation.xlsm</x:v>
      </x:c>
      <x:c r="AL764" s="9" t="str">
        <x:v>MolmoAct2 Results</x:v>
      </x:c>
      <x:c r="AM764" s="9" t="n">
        <x:v>144</x:v>
      </x:c>
      <x:c r="AN764" s="9" t="n">
        <x:v>144</x:v>
      </x:c>
    </x:row>
    <x:row r="765">
      <x:c r="A765" s="9" t="str">
        <x:v>Failure</x:v>
      </x:c>
      <x:c r="B765" s="9" t="str">
        <x:v>Referential Disambiguation</x:v>
      </x:c>
      <x:c r="C765" s="10" t="n">
        <x:v>143</x:v>
      </x:c>
      <x:c r="D765" s="9" t="str">
        <x:v>Put the pencil sharpener closest to the crushed Coke can in the bowl.</x:v>
      </x:c>
      <x:c r="E765" s="9" t="str">
        <x:v>crushed Coke can; airplane toy with propellers; airplane toy without propellers</x:v>
      </x:c>
      <x:c r="F765" s="9" t="str">
        <x:v>NO-OP; neither green pencil sharpener nor red pencil sharpener is present</x:v>
      </x:c>
      <x:c r="G765" s="9" t="str">
        <x:v>picked airplane toy closest to coke can</x:v>
      </x:c>
      <x:c r="H765" s="9" t="str">
        <x:v>No valid candidate category / no movement</x:v>
      </x:c>
      <x:c r="I765" s="9" t="str">
        <x:v>RD-NOVALID14</x:v>
      </x:c>
      <x:c r="J765" s="9" t="str">
        <x:v>Queried candidate pair absent; bowl remains empty</x:v>
      </x:c>
      <x:c r="K765" s="9"/>
      <x:c r="L765" s="9" t="str">
        <x:v>452</x:v>
      </x:c>
      <x:c r="M765" s="9" t="str">
        <x:v>The relation × candidate-category prompt cell is explicitly trained. The evaluation scene deliberately removes both candidate identities; the abstention outcome is not demonstrated in training.</x:v>
      </x:c>
      <x:c r="N765" s="9" t="n">
        <x:v>6</x:v>
      </x:c>
      <x:c r="O765" s="9" t="str">
        <x:v>Place only the listed objects; neither queried candidate identity may be present. Keep the bowl empty.</x:v>
      </x:c>
      <x:c r="P765" s="9" t="str">
        <x:v>The instruction uses normal active-trial wording. Success requires no grasp or object displacement.</x:v>
      </x:c>
      <x:c r="Q765" s="9"/>
      <x:c r="R765" s="10" t="n">
        <x:v>3</x:v>
      </x:c>
      <x:c r="S765" s="10" t="n">
        <x:v>0</x:v>
      </x:c>
      <x:c r="T765" s="9" t="str">
        <x:v>Empty</x:v>
      </x:c>
      <x:c r="U765" s="9"/>
      <x:c r="V765" s="9"/>
      <x:c r="W765" s="9"/>
      <x:c r="X765" s="10"/>
      <x:c r="Y765" s="10"/>
      <x:c r="Z765" s="9"/>
      <x:c r="AA765" s="9"/>
      <x:c r="AB765" s="9" t="str">
        <x:v>closest</x:v>
      </x:c>
      <x:c r="AC765" s="9"/>
      <x:c r="AD765" s="9"/>
      <x:c r="AE765" s="9"/>
      <x:c r="AF765" s="9"/>
      <x:c r="AG765" s="9" t="str">
        <x:v>pencil sharpener</x:v>
      </x:c>
      <x:c r="AH765" s="9"/>
      <x:c r="AI765" s="11"/>
      <x:c r="AJ765" s="9"/>
      <x:c r="AK765" s="9" t="str">
        <x:v>Eval_Referential_Disambiguation.xlsm</x:v>
      </x:c>
      <x:c r="AL765" s="9" t="str">
        <x:v>MolmoAct2 Results</x:v>
      </x:c>
      <x:c r="AM765" s="9" t="n">
        <x:v>145</x:v>
      </x:c>
      <x:c r="AN765" s="9" t="n">
        <x:v>145</x:v>
      </x:c>
    </x:row>
    <x:row r="766">
      <x:c r="A766" s="9" t="str">
        <x:v>Failure</x:v>
      </x:c>
      <x:c r="B766" s="9" t="str">
        <x:v>Referential Disambiguation</x:v>
      </x:c>
      <x:c r="C766" s="10" t="n">
        <x:v>144</x:v>
      </x:c>
      <x:c r="D766" s="9" t="str">
        <x:v>Move the airplane toy closest to the green pencil sharpener into the bowl.</x:v>
      </x:c>
      <x:c r="E766" s="9" t="str">
        <x:v>green pencil sharpener; yellow pen; crushed Coke can; crushed Pepsi can</x:v>
      </x:c>
      <x:c r="F766" s="9" t="str">
        <x:v>NO-OP; neither airplane toy with propellers nor airplane toy without propellers is present</x:v>
      </x:c>
      <x:c r="G766" s="9" t="str">
        <x:v>moved towards the pepsi can with wrong gripping strategy; the pepsi can was closest to the green pencil sharpener. couldn't get can so got the green pencil sharpener instead.</x:v>
      </x:c>
      <x:c r="H766" s="9" t="str">
        <x:v>No valid candidate category / no movement</x:v>
      </x:c>
      <x:c r="I766" s="9" t="str">
        <x:v>RD-NOVALID15</x:v>
      </x:c>
      <x:c r="J766" s="9" t="str">
        <x:v>Queried candidate pair absent; bowl remains empty</x:v>
      </x:c>
      <x:c r="K766" s="9"/>
      <x:c r="L766" s="9" t="str">
        <x:v>551</x:v>
      </x:c>
      <x:c r="M766" s="9" t="str">
        <x:v>The relation × candidate-category prompt cell is explicitly trained. The evaluation scene deliberately removes both candidate identities; the abstention outcome is not demonstrated in training.</x:v>
      </x:c>
      <x:c r="N766" s="9" t="n">
        <x:v>6</x:v>
      </x:c>
      <x:c r="O766" s="9" t="str">
        <x:v>Place only the listed objects; neither queried candidate identity may be present. Keep the bowl empty.</x:v>
      </x:c>
      <x:c r="P766" s="9" t="str">
        <x:v>The instruction uses normal active-trial wording. Success requires no grasp or object displacement.</x:v>
      </x:c>
      <x:c r="Q766" s="9"/>
      <x:c r="R766" s="10" t="n">
        <x:v>4</x:v>
      </x:c>
      <x:c r="S766" s="10" t="n">
        <x:v>0</x:v>
      </x:c>
      <x:c r="T766" s="9" t="str">
        <x:v>Empty</x:v>
      </x:c>
      <x:c r="U766" s="9"/>
      <x:c r="V766" s="9"/>
      <x:c r="W766" s="9"/>
      <x:c r="X766" s="10"/>
      <x:c r="Y766" s="10"/>
      <x:c r="Z766" s="9"/>
      <x:c r="AA766" s="9"/>
      <x:c r="AB766" s="9" t="str">
        <x:v>closest</x:v>
      </x:c>
      <x:c r="AC766" s="9"/>
      <x:c r="AD766" s="9"/>
      <x:c r="AE766" s="9"/>
      <x:c r="AF766" s="9"/>
      <x:c r="AG766" s="9" t="str">
        <x:v>airplane toy</x:v>
      </x:c>
      <x:c r="AH766" s="9"/>
      <x:c r="AI766" s="11"/>
      <x:c r="AJ766" s="9"/>
      <x:c r="AK766" s="9" t="str">
        <x:v>Eval_Referential_Disambiguation.xlsm</x:v>
      </x:c>
      <x:c r="AL766" s="9" t="str">
        <x:v>MolmoAct2 Results</x:v>
      </x:c>
      <x:c r="AM766" s="9" t="n">
        <x:v>146</x:v>
      </x:c>
      <x:c r="AN766" s="9" t="n">
        <x:v>146</x:v>
      </x:c>
    </x:row>
    <x:row r="767">
      <x:c r="A767" s="9" t="str">
        <x:v>Failure</x:v>
      </x:c>
      <x:c r="B767" s="9" t="str">
        <x:v>Referential Disambiguation</x:v>
      </x:c>
      <x:c r="C767" s="10" t="n">
        <x:v>145</x:v>
      </x:c>
      <x:c r="D767" s="9" t="str">
        <x:v>Move the pen furthest from the crushed Pepsi can into the bowl.</x:v>
      </x:c>
      <x:c r="E767" s="9" t="str">
        <x:v>crushed Pepsi can; crushed Coke can; green pencil sharpener; red pencil sharpener</x:v>
      </x:c>
      <x:c r="F767" s="9" t="str">
        <x:v>NO-OP; neither green pen nor yellow pen is present</x:v>
      </x:c>
      <x:c r="G767" s="9" t="str">
        <x:v>moved towards the red pencil sharpener, which was further from the pepsi can than the green one, but didn't pick it up and instead went back to the home position.</x:v>
      </x:c>
      <x:c r="H767" s="9" t="str">
        <x:v>No valid candidate category / no movement</x:v>
      </x:c>
      <x:c r="I767" s="9" t="str">
        <x:v>RD-NOVALID16</x:v>
      </x:c>
      <x:c r="J767" s="9" t="str">
        <x:v>Queried candidate pair absent; bowl remains empty</x:v>
      </x:c>
      <x:c r="K767" s="9"/>
      <x:c r="L767" s="9" t="str">
        <x:v>517</x:v>
      </x:c>
      <x:c r="M767" s="9" t="str">
        <x:v>The relation × candidate-category prompt cell is explicitly trained. The evaluation scene deliberately removes both candidate identities; the abstention outcome is not demonstrated in training.</x:v>
      </x:c>
      <x:c r="N767" s="9" t="n">
        <x:v>6</x:v>
      </x:c>
      <x:c r="O767" s="9" t="str">
        <x:v>Place only the listed objects; neither queried candidate identity may be present. Keep the bowl empty.</x:v>
      </x:c>
      <x:c r="P767" s="9" t="str">
        <x:v>The instruction uses normal active-trial wording. Success requires no grasp or object displacement.</x:v>
      </x:c>
      <x:c r="Q767" s="9"/>
      <x:c r="R767" s="10" t="n">
        <x:v>4</x:v>
      </x:c>
      <x:c r="S767" s="10" t="n">
        <x:v>0</x:v>
      </x:c>
      <x:c r="T767" s="9" t="str">
        <x:v>Empty</x:v>
      </x:c>
      <x:c r="U767" s="9"/>
      <x:c r="V767" s="9"/>
      <x:c r="W767" s="9"/>
      <x:c r="X767" s="10"/>
      <x:c r="Y767" s="10"/>
      <x:c r="Z767" s="9"/>
      <x:c r="AA767" s="9"/>
      <x:c r="AB767" s="9" t="str">
        <x:v>furthest</x:v>
      </x:c>
      <x:c r="AC767" s="9"/>
      <x:c r="AD767" s="9"/>
      <x:c r="AE767" s="9"/>
      <x:c r="AF767" s="9"/>
      <x:c r="AG767" s="9" t="str">
        <x:v>pen</x:v>
      </x:c>
      <x:c r="AH767" s="9"/>
      <x:c r="AI767" s="11"/>
      <x:c r="AJ767" s="9"/>
      <x:c r="AK767" s="9" t="str">
        <x:v>Eval_Referential_Disambiguation.xlsm</x:v>
      </x:c>
      <x:c r="AL767" s="9" t="str">
        <x:v>MolmoAct2 Results</x:v>
      </x:c>
      <x:c r="AM767" s="9" t="n">
        <x:v>147</x:v>
      </x:c>
      <x:c r="AN767" s="9" t="n">
        <x:v>147</x:v>
      </x:c>
    </x:row>
    <x:row r="768">
      <x:c r="A768" s="9" t="str">
        <x:v>Success</x:v>
      </x:c>
      <x:c r="B768" s="9" t="str">
        <x:v>Referential Disambiguation</x:v>
      </x:c>
      <x:c r="C768" s="10" t="n">
        <x:v>146</x:v>
      </x:c>
      <x:c r="D768" s="9" t="str">
        <x:v>Put the crushed soda can between the green pencil sharpener and the yellow pen in the bowl.</x:v>
      </x:c>
      <x:c r="E768" s="9" t="str">
        <x:v>green pencil sharpener; yellow pen; airplane toy with propellers; airplane toy without propellers</x:v>
      </x:c>
      <x:c r="F768" s="9" t="str">
        <x:v>NO-OP; neither crushed Coke can nor crushed Pepsi can is present</x:v>
      </x:c>
      <x:c r="G768" s="9" t="str">
        <x:v>airplane toy without propellors was between the green pencil sharpener and yellow pen. still did not move.</x:v>
      </x:c>
      <x:c r="H768" s="9" t="str">
        <x:v>No valid candidate category / no movement</x:v>
      </x:c>
      <x:c r="I768" s="9" t="str">
        <x:v>RD-NOVALID17</x:v>
      </x:c>
      <x:c r="J768" s="9" t="str">
        <x:v>Queried candidate pair absent; bowl remains empty</x:v>
      </x:c>
      <x:c r="K768" s="9"/>
      <x:c r="L768" s="9" t="str">
        <x:v>432</x:v>
      </x:c>
      <x:c r="M768" s="9" t="str">
        <x:v>The relation × candidate-category prompt cell is explicitly trained. The evaluation scene deliberately removes both candidate identities; the abstention outcome is not demonstrated in training.</x:v>
      </x:c>
      <x:c r="N768" s="9" t="n">
        <x:v>6</x:v>
      </x:c>
      <x:c r="O768" s="9" t="str">
        <x:v>Place only the listed objects; neither queried candidate identity may be present. Keep the bowl empty.</x:v>
      </x:c>
      <x:c r="P768" s="9" t="str">
        <x:v>The instruction uses normal active-trial wording. Success requires no grasp or object displacement.</x:v>
      </x:c>
      <x:c r="Q768" s="9"/>
      <x:c r="R768" s="10" t="n">
        <x:v>4</x:v>
      </x:c>
      <x:c r="S768" s="10" t="n">
        <x:v>0</x:v>
      </x:c>
      <x:c r="T768" s="9" t="str">
        <x:v>Empty</x:v>
      </x:c>
      <x:c r="U768" s="9"/>
      <x:c r="V768" s="9"/>
      <x:c r="W768" s="9"/>
      <x:c r="X768" s="10"/>
      <x:c r="Y768" s="10"/>
      <x:c r="Z768" s="9"/>
      <x:c r="AA768" s="9"/>
      <x:c r="AB768" s="9" t="str">
        <x:v>between</x:v>
      </x:c>
      <x:c r="AC768" s="9"/>
      <x:c r="AD768" s="9"/>
      <x:c r="AE768" s="9"/>
      <x:c r="AF768" s="9"/>
      <x:c r="AG768" s="9" t="str">
        <x:v>crushed soda can</x:v>
      </x:c>
      <x:c r="AH768" s="9"/>
      <x:c r="AI768" s="11"/>
      <x:c r="AJ768" s="9"/>
      <x:c r="AK768" s="9" t="str">
        <x:v>Eval_Referential_Disambiguation.xlsm</x:v>
      </x:c>
      <x:c r="AL768" s="9" t="str">
        <x:v>MolmoAct2 Results</x:v>
      </x:c>
      <x:c r="AM768" s="9" t="n">
        <x:v>148</x:v>
      </x:c>
      <x:c r="AN768" s="9" t="n">
        <x:v>148</x:v>
      </x:c>
    </x:row>
    <x:row r="769">
      <x:c r="A769" s="9" t="str">
        <x:v>Failure</x:v>
      </x:c>
      <x:c r="B769" s="9" t="str">
        <x:v>Referential Disambiguation</x:v>
      </x:c>
      <x:c r="C769" s="10" t="n">
        <x:v>147</x:v>
      </x:c>
      <x:c r="D769" s="9" t="str">
        <x:v>Pick up the pencil sharpener furthest from the airplane toy without propellers and place it in the bowl.</x:v>
      </x:c>
      <x:c r="E769" s="9" t="str">
        <x:v>airplane toy without propellers; green pen; yellow pen; airplane toy with propellers</x:v>
      </x:c>
      <x:c r="F769" s="9" t="str">
        <x:v>NO-OP; neither green pencil sharpener nor red pencil sharpener is present</x:v>
      </x:c>
      <x:c r="G769" s="9" t="str">
        <x:v>tried picking airplane toy without propellos, knocked it out of range, and kept trying, but couldn't get it. </x:v>
      </x:c>
      <x:c r="H769" s="9" t="str">
        <x:v>No valid candidate category / no movement</x:v>
      </x:c>
      <x:c r="I769" s="9" t="str">
        <x:v>RD-NOVALID18</x:v>
      </x:c>
      <x:c r="J769" s="9" t="str">
        <x:v>Queried candidate pair absent; bowl remains empty</x:v>
      </x:c>
      <x:c r="K769" s="9"/>
      <x:c r="L769" s="9" t="str">
        <x:v>466</x:v>
      </x:c>
      <x:c r="M769" s="9" t="str">
        <x:v>The relation × candidate-category prompt cell is explicitly trained. The evaluation scene deliberately removes both candidate identities; the abstention outcome is not demonstrated in training.</x:v>
      </x:c>
      <x:c r="N769" s="9" t="n">
        <x:v>6</x:v>
      </x:c>
      <x:c r="O769" s="9" t="str">
        <x:v>Place only the listed objects; neither queried candidate identity may be present. Keep the bowl empty.</x:v>
      </x:c>
      <x:c r="P769" s="9" t="str">
        <x:v>The instruction uses normal active-trial wording. Success requires no grasp or object displacement.</x:v>
      </x:c>
      <x:c r="Q769" s="9"/>
      <x:c r="R769" s="10" t="n">
        <x:v>4</x:v>
      </x:c>
      <x:c r="S769" s="10" t="n">
        <x:v>0</x:v>
      </x:c>
      <x:c r="T769" s="9" t="str">
        <x:v>Empty</x:v>
      </x:c>
      <x:c r="U769" s="9"/>
      <x:c r="V769" s="9"/>
      <x:c r="W769" s="9"/>
      <x:c r="X769" s="10"/>
      <x:c r="Y769" s="10"/>
      <x:c r="Z769" s="9"/>
      <x:c r="AA769" s="9"/>
      <x:c r="AB769" s="9" t="str">
        <x:v>furthest</x:v>
      </x:c>
      <x:c r="AC769" s="9"/>
      <x:c r="AD769" s="9"/>
      <x:c r="AE769" s="9"/>
      <x:c r="AF769" s="9"/>
      <x:c r="AG769" s="9" t="str">
        <x:v>pencil sharpener</x:v>
      </x:c>
      <x:c r="AH769" s="9"/>
      <x:c r="AI769" s="11"/>
      <x:c r="AJ769" s="9"/>
      <x:c r="AK769" s="9" t="str">
        <x:v>Eval_Referential_Disambiguation.xlsm</x:v>
      </x:c>
      <x:c r="AL769" s="9" t="str">
        <x:v>MolmoAct2 Results</x:v>
      </x:c>
      <x:c r="AM769" s="9" t="n">
        <x:v>149</x:v>
      </x:c>
      <x:c r="AN769" s="9" t="n">
        <x:v>149</x:v>
      </x:c>
    </x:row>
    <x:row r="770">
      <x:c r="A770" s="9" t="str">
        <x:v>Failure</x:v>
      </x:c>
      <x:c r="B770" s="9" t="str">
        <x:v>Referential Disambiguation</x:v>
      </x:c>
      <x:c r="C770" s="10" t="n">
        <x:v>148</x:v>
      </x:c>
      <x:c r="D770" s="9" t="str">
        <x:v>Move the airplane toy between the green pen and the crushed Coke can into the bowl.</x:v>
      </x:c>
      <x:c r="E770" s="9" t="str">
        <x:v>green pen; crushed Coke can; crushed Pepsi can; green pencil sharpener; red pencil sharpener</x:v>
      </x:c>
      <x:c r="F770" s="9" t="str">
        <x:v>NO-OP; neither airplane toy with propellers nor airplane toy without propellers is present</x:v>
      </x:c>
      <x:c r="G770" s="9" t="str">
        <x:v>went for pepsi can, but knocked it out of range and could not recover. Arranged it so red pencil sharpener was between the green pen and coke can and green sharpener was between the pepsi can and green pen.</x:v>
      </x:c>
      <x:c r="H770" s="9" t="str">
        <x:v>No valid candidate category / no movement</x:v>
      </x:c>
      <x:c r="I770" s="9" t="str">
        <x:v>RD-NOVALID19</x:v>
      </x:c>
      <x:c r="J770" s="9" t="str">
        <x:v>Queried candidate pair absent; bowl remains empty</x:v>
      </x:c>
      <x:c r="K770" s="9"/>
      <x:c r="L770" s="9" t="str">
        <x:v>582</x:v>
      </x:c>
      <x:c r="M770" s="9" t="str">
        <x:v>The relation × candidate-category prompt cell is explicitly trained. The evaluation scene deliberately removes both candidate identities; the abstention outcome is not demonstrated in training.</x:v>
      </x:c>
      <x:c r="N770" s="9" t="n">
        <x:v>6</x:v>
      </x:c>
      <x:c r="O770" s="9" t="str">
        <x:v>Place only the listed objects; neither queried candidate identity may be present. Keep the bowl empty.</x:v>
      </x:c>
      <x:c r="P770" s="9" t="str">
        <x:v>The instruction uses normal active-trial wording. Success requires no grasp or object displacement.</x:v>
      </x:c>
      <x:c r="Q770" s="9"/>
      <x:c r="R770" s="10" t="n">
        <x:v>5</x:v>
      </x:c>
      <x:c r="S770" s="10" t="n">
        <x:v>0</x:v>
      </x:c>
      <x:c r="T770" s="9" t="str">
        <x:v>Empty</x:v>
      </x:c>
      <x:c r="U770" s="9"/>
      <x:c r="V770" s="9"/>
      <x:c r="W770" s="9"/>
      <x:c r="X770" s="10"/>
      <x:c r="Y770" s="10"/>
      <x:c r="Z770" s="9"/>
      <x:c r="AA770" s="9"/>
      <x:c r="AB770" s="9" t="str">
        <x:v>between</x:v>
      </x:c>
      <x:c r="AC770" s="9"/>
      <x:c r="AD770" s="9"/>
      <x:c r="AE770" s="9"/>
      <x:c r="AF770" s="9"/>
      <x:c r="AG770" s="9" t="str">
        <x:v>airplane toy</x:v>
      </x:c>
      <x:c r="AH770" s="9"/>
      <x:c r="AI770" s="11"/>
      <x:c r="AJ770" s="9"/>
      <x:c r="AK770" s="9" t="str">
        <x:v>Eval_Referential_Disambiguation.xlsm</x:v>
      </x:c>
      <x:c r="AL770" s="9" t="str">
        <x:v>MolmoAct2 Results</x:v>
      </x:c>
      <x:c r="AM770" s="9" t="n">
        <x:v>150</x:v>
      </x:c>
      <x:c r="AN770" s="9" t="n">
        <x:v>150</x:v>
      </x:c>
    </x:row>
    <x:row r="771">
      <x:c r="A771" s="9" t="str">
        <x:v>Failure</x:v>
      </x:c>
      <x:c r="B771" s="9" t="str">
        <x:v>Referential Disambiguation</x:v>
      </x:c>
      <x:c r="C771" s="10" t="n">
        <x:v>149</x:v>
      </x:c>
      <x:c r="D771" s="9" t="str">
        <x:v>Pick up the pen closest to the green pencil sharpener and place it in the bowl.</x:v>
      </x:c>
      <x:c r="E771" s="9" t="str">
        <x:v>green pencil sharpener; airplane toy without propellers; crushed Coke can; crushed Pepsi can</x:v>
      </x:c>
      <x:c r="F771" s="9" t="str">
        <x:v>NO-OP; neither green pen nor yellow pen is present</x:v>
      </x:c>
      <x:c r="G771" s="9"/>
      <x:c r="H771" s="9" t="str">
        <x:v>No valid candidate category / no movement</x:v>
      </x:c>
      <x:c r="I771" s="9" t="str">
        <x:v>RD-NOVALID20</x:v>
      </x:c>
      <x:c r="J771" s="9" t="str">
        <x:v>Queried candidate pair absent; bowl remains empty</x:v>
      </x:c>
      <x:c r="K771" s="9"/>
      <x:c r="L771" s="9" t="str">
        <x:v>501</x:v>
      </x:c>
      <x:c r="M771" s="9" t="str">
        <x:v>The relation × candidate-category prompt cell is explicitly trained. The evaluation scene deliberately removes both candidate identities; the abstention outcome is not demonstrated in training.</x:v>
      </x:c>
      <x:c r="N771" s="9" t="n">
        <x:v>6</x:v>
      </x:c>
      <x:c r="O771" s="9" t="str">
        <x:v>Place only the listed objects; neither queried candidate identity may be present. Keep the bowl empty.</x:v>
      </x:c>
      <x:c r="P771" s="9" t="str">
        <x:v>The instruction uses normal active-trial wording. Success requires no grasp or object displacement.</x:v>
      </x:c>
      <x:c r="Q771" s="9"/>
      <x:c r="R771" s="10" t="n">
        <x:v>4</x:v>
      </x:c>
      <x:c r="S771" s="10" t="n">
        <x:v>0</x:v>
      </x:c>
      <x:c r="T771" s="9" t="str">
        <x:v>Empty</x:v>
      </x:c>
      <x:c r="U771" s="9"/>
      <x:c r="V771" s="9"/>
      <x:c r="W771" s="9"/>
      <x:c r="X771" s="10"/>
      <x:c r="Y771" s="10"/>
      <x:c r="Z771" s="9"/>
      <x:c r="AA771" s="9"/>
      <x:c r="AB771" s="9" t="str">
        <x:v>closest</x:v>
      </x:c>
      <x:c r="AC771" s="9"/>
      <x:c r="AD771" s="9"/>
      <x:c r="AE771" s="9"/>
      <x:c r="AF771" s="9"/>
      <x:c r="AG771" s="9" t="str">
        <x:v>pen</x:v>
      </x:c>
      <x:c r="AH771" s="9"/>
      <x:c r="AI771" s="11"/>
      <x:c r="AJ771" s="9"/>
      <x:c r="AK771" s="9" t="str">
        <x:v>Eval_Referential_Disambiguation.xlsm</x:v>
      </x:c>
      <x:c r="AL771" s="9" t="str">
        <x:v>MolmoAct2 Results</x:v>
      </x:c>
      <x:c r="AM771" s="9" t="n">
        <x:v>151</x:v>
      </x:c>
      <x:c r="AN771" s="9" t="n">
        <x:v>151</x:v>
      </x:c>
    </x:row>
    <x:row r="772">
      <x:c r="A772" s="9" t="str">
        <x:v>Failure</x:v>
      </x:c>
      <x:c r="B772" s="9" t="str">
        <x:v>Size Recognition</x:v>
      </x:c>
      <x:c r="C772" s="10" t="n">
        <x:v>0</x:v>
      </x:c>
      <x:c r="D772" s="9" t="str">
        <x:v>Move the object that is smallest into the bowl.</x:v>
      </x:c>
      <x:c r="E772" s="9" t="str">
        <x:v>Bowl: empty. Table, robot-left→robot-right: P1 red pencil sharpener; P2 green block; P3 juggling ball; P4 crushed Pepsi can. Adjacent centers 8 cm apart; row centered on the workspace; all objects fully visible and grasp paths clear.</x:v>
      </x:c>
      <x:c r="F772" s="9" t="str">
        <x:v>MOVE red pencil sharpener to bowl</x:v>
      </x:c>
      <x:c r="G772" s="9" t="str">
        <x:v>picked the green block</x:v>
      </x:c>
      <x:c r="H772" s="9" t="str">
        <x:v>In-distribution concept baseline</x:v>
      </x:c>
      <x:c r="I772" s="9" t="str">
        <x:v>SZ-ID-SH01</x:v>
      </x:c>
      <x:c r="J772" s="9" t="str">
        <x:v>smallest</x:v>
      </x:c>
      <x:c r="K772" s="9"/>
      <x:c r="L772" s="9" t="str">
        <x:v>1005</x:v>
      </x:c>
      <x:c r="M772" s="9"/>
      <x:c r="N772" s="9"/>
      <x:c r="O772" s="9" t="str">
        <x:v>Build the listed manifest-supported scene.</x:v>
      </x:c>
      <x:c r="P772" s="9" t="str">
        <x:v>Exact prompt and object composition from training episode 1005; this establishes the familiar smallest × red pencil sharpener cell.</x:v>
      </x:c>
      <x:c r="Q772" s="9"/>
      <x:c r="R772" s="10" t="n">
        <x:v>4</x:v>
      </x:c>
      <x:c r="S772" s="10"/>
      <x:c r="T772" s="9"/>
      <x:c r="U772" s="9"/>
      <x:c r="V772" s="9"/>
      <x:c r="W772" s="9"/>
      <x:c r="X772" s="10"/>
      <x:c r="Y772" s="10"/>
      <x:c r="Z772" s="9"/>
      <x:c r="AA772" s="9"/>
      <x:c r="AB772" s="9"/>
      <x:c r="AC772" s="9"/>
      <x:c r="AD772" s="9" t="str">
        <x:v>red pencil sharpener</x:v>
      </x:c>
      <x:c r="AE772" s="9"/>
      <x:c r="AF772" s="9"/>
      <x:c r="AG772" s="9"/>
      <x:c r="AH772" s="9" t="str">
        <x:v>Left</x:v>
      </x:c>
      <x:c r="AI772" s="11" t="n">
        <x:v>8</x:v>
      </x:c>
      <x:c r="AJ772" s="9" t="str">
        <x:v>Explicitly trained smallest × red pencil sharpener</x:v>
      </x:c>
      <x:c r="AK772" s="9" t="str">
        <x:v>Eval_Size_Recognition (1).xlsm</x:v>
      </x:c>
      <x:c r="AL772" s="9" t="str">
        <x:v>MolmoAct2 Results</x:v>
      </x:c>
      <x:c r="AM772" s="9" t="n">
        <x:v>2</x:v>
      </x:c>
      <x:c r="AN772" s="9" t="n">
        <x:v>2</x:v>
      </x:c>
    </x:row>
    <x:row r="773">
      <x:c r="A773" s="9" t="str">
        <x:v>Success</x:v>
      </x:c>
      <x:c r="B773" s="9" t="str">
        <x:v>Size Recognition</x:v>
      </x:c>
      <x:c r="C773" s="10" t="n">
        <x:v>1</x:v>
      </x:c>
      <x:c r="D773" s="9" t="str">
        <x:v>Pick up the smallest item and place it in the bowl.</x:v>
      </x:c>
      <x:c r="E773" s="9" t="str">
        <x:v>Bowl: empty. Table, robot-left→robot-right: P1 crushed Pepsi can; P2 juggling ball; P3 green block. Adjacent centers 12 cm apart; row shifted 4 cm toward robot-left; all objects fully visible and grasp paths clear.</x:v>
      </x:c>
      <x:c r="F773" s="9" t="str">
        <x:v>MOVE green block to bowl</x:v>
      </x:c>
      <x:c r="G773" s="9"/>
      <x:c r="H773" s="9" t="str">
        <x:v>In-distribution concept baseline</x:v>
      </x:c>
      <x:c r="I773" s="9" t="str">
        <x:v>SZ-ID-GB01</x:v>
      </x:c>
      <x:c r="J773" s="9" t="str">
        <x:v>smallest</x:v>
      </x:c>
      <x:c r="K773" s="9"/>
      <x:c r="L773" s="9" t="str">
        <x:v>1050</x:v>
      </x:c>
      <x:c r="M773" s="9"/>
      <x:c r="N773" s="9"/>
      <x:c r="O773" s="9" t="str">
        <x:v>Build the listed manifest-supported scene.</x:v>
      </x:c>
      <x:c r="P773" s="9" t="str">
        <x:v>Exact prompt and object composition from training episode 1050; this establishes the familiar smallest × green block cell.</x:v>
      </x:c>
      <x:c r="Q773" s="9"/>
      <x:c r="R773" s="10" t="n">
        <x:v>3</x:v>
      </x:c>
      <x:c r="S773" s="10"/>
      <x:c r="T773" s="9"/>
      <x:c r="U773" s="9"/>
      <x:c r="V773" s="9"/>
      <x:c r="W773" s="9"/>
      <x:c r="X773" s="10"/>
      <x:c r="Y773" s="10"/>
      <x:c r="Z773" s="9"/>
      <x:c r="AA773" s="9"/>
      <x:c r="AB773" s="9"/>
      <x:c r="AC773" s="9"/>
      <x:c r="AD773" s="9" t="str">
        <x:v>green block</x:v>
      </x:c>
      <x:c r="AE773" s="9"/>
      <x:c r="AF773" s="9"/>
      <x:c r="AG773" s="9"/>
      <x:c r="AH773" s="9" t="str">
        <x:v>Right</x:v>
      </x:c>
      <x:c r="AI773" s="11" t="n">
        <x:v>12</x:v>
      </x:c>
      <x:c r="AJ773" s="9" t="str">
        <x:v>Explicitly trained smallest × green block</x:v>
      </x:c>
      <x:c r="AK773" s="9" t="str">
        <x:v>Eval_Size_Recognition (1).xlsm</x:v>
      </x:c>
      <x:c r="AL773" s="9" t="str">
        <x:v>MolmoAct2 Results</x:v>
      </x:c>
      <x:c r="AM773" s="9" t="n">
        <x:v>3</x:v>
      </x:c>
      <x:c r="AN773" s="9" t="n">
        <x:v>3</x:v>
      </x:c>
    </x:row>
    <x:row r="774">
      <x:c r="A774" s="9" t="str">
        <x:v>Success</x:v>
      </x:c>
      <x:c r="B774" s="9" t="str">
        <x:v>Size Recognition</x:v>
      </x:c>
      <x:c r="C774" s="10" t="n">
        <x:v>2</x:v>
      </x:c>
      <x:c r="D774" s="9" t="str">
        <x:v>Put the largest object in the bowl.</x:v>
      </x:c>
      <x:c r="E774" s="9" t="str">
        <x:v>Bowl: empty. Table, robot-left→robot-right: P1 juggling ball; P2 red pencil sharpener; P3 green block. Adjacent centers 16 cm apart; row shifted 4 cm toward robot-right; all objects fully visible and grasp paths clear.</x:v>
      </x:c>
      <x:c r="F774" s="9" t="str">
        <x:v>MOVE juggling ball to bowl</x:v>
      </x:c>
      <x:c r="G774" s="9"/>
      <x:c r="H774" s="9" t="str">
        <x:v>In-distribution concept baseline</x:v>
      </x:c>
      <x:c r="I774" s="9" t="str">
        <x:v>SZ-ID-JB01</x:v>
      </x:c>
      <x:c r="J774" s="9" t="str">
        <x:v>largest</x:v>
      </x:c>
      <x:c r="K774" s="9"/>
      <x:c r="L774" s="9" t="str">
        <x:v>1125</x:v>
      </x:c>
      <x:c r="M774" s="9"/>
      <x:c r="N774" s="9"/>
      <x:c r="O774" s="9" t="str">
        <x:v>Build the listed manifest-supported scene.</x:v>
      </x:c>
      <x:c r="P774" s="9" t="str">
        <x:v>Exact prompt and object composition from training episode 1125; this establishes the familiar largest × juggling ball cell.</x:v>
      </x:c>
      <x:c r="Q774" s="9"/>
      <x:c r="R774" s="10" t="n">
        <x:v>3</x:v>
      </x:c>
      <x:c r="S774" s="10"/>
      <x:c r="T774" s="9"/>
      <x:c r="U774" s="9"/>
      <x:c r="V774" s="9"/>
      <x:c r="W774" s="9"/>
      <x:c r="X774" s="10"/>
      <x:c r="Y774" s="10"/>
      <x:c r="Z774" s="9"/>
      <x:c r="AA774" s="9"/>
      <x:c r="AB774" s="9"/>
      <x:c r="AC774" s="9"/>
      <x:c r="AD774" s="9" t="str">
        <x:v>juggling ball</x:v>
      </x:c>
      <x:c r="AE774" s="9"/>
      <x:c r="AF774" s="9"/>
      <x:c r="AG774" s="9"/>
      <x:c r="AH774" s="9" t="str">
        <x:v>Left</x:v>
      </x:c>
      <x:c r="AI774" s="11" t="n">
        <x:v>16</x:v>
      </x:c>
      <x:c r="AJ774" s="9" t="str">
        <x:v>Explicitly trained largest × juggling ball</x:v>
      </x:c>
      <x:c r="AK774" s="9" t="str">
        <x:v>Eval_Size_Recognition (1).xlsm</x:v>
      </x:c>
      <x:c r="AL774" s="9" t="str">
        <x:v>MolmoAct2 Results</x:v>
      </x:c>
      <x:c r="AM774" s="9" t="n">
        <x:v>4</x:v>
      </x:c>
      <x:c r="AN774" s="9" t="n">
        <x:v>4</x:v>
      </x:c>
    </x:row>
    <x:row r="775">
      <x:c r="A775" s="9" t="str">
        <x:v>Success</x:v>
      </x:c>
      <x:c r="B775" s="9" t="str">
        <x:v>Size Recognition</x:v>
      </x:c>
      <x:c r="C775" s="10" t="n">
        <x:v>3</x:v>
      </x:c>
      <x:c r="D775" s="9" t="str">
        <x:v>Pick up the largest item and place it in the bowl.</x:v>
      </x:c>
      <x:c r="E775" s="9" t="str">
        <x:v>Bowl: empty. Table, robot-left→robot-right: P1 red pencil sharpener; P2 green block; P3 juggling ball; P4 crushed Pepsi can. Adjacent centers 8 cm apart; row shifted 4 cm toward the robot; all objects fully visible and grasp paths clear.</x:v>
      </x:c>
      <x:c r="F775" s="9" t="str">
        <x:v>MOVE crushed Pepsi can to bowl</x:v>
      </x:c>
      <x:c r="G775" s="9"/>
      <x:c r="H775" s="9" t="str">
        <x:v>In-distribution concept baseline</x:v>
      </x:c>
      <x:c r="I775" s="9" t="str">
        <x:v>SZ-ID-PC01</x:v>
      </x:c>
      <x:c r="J775" s="9" t="str">
        <x:v>largest</x:v>
      </x:c>
      <x:c r="K775" s="9"/>
      <x:c r="L775" s="9" t="str">
        <x:v>1155</x:v>
      </x:c>
      <x:c r="M775" s="9"/>
      <x:c r="N775" s="9"/>
      <x:c r="O775" s="9" t="str">
        <x:v>Build the listed manifest-supported scene.</x:v>
      </x:c>
      <x:c r="P775" s="9" t="str">
        <x:v>Exact prompt and object composition from training episode 1155; this establishes the familiar largest × crushed Pepsi can cell.</x:v>
      </x:c>
      <x:c r="Q775" s="9"/>
      <x:c r="R775" s="10" t="n">
        <x:v>4</x:v>
      </x:c>
      <x:c r="S775" s="10"/>
      <x:c r="T775" s="9"/>
      <x:c r="U775" s="9"/>
      <x:c r="V775" s="9"/>
      <x:c r="W775" s="9"/>
      <x:c r="X775" s="10"/>
      <x:c r="Y775" s="10"/>
      <x:c r="Z775" s="9"/>
      <x:c r="AA775" s="9"/>
      <x:c r="AB775" s="9"/>
      <x:c r="AC775" s="9"/>
      <x:c r="AD775" s="9" t="str">
        <x:v>crushed Pepsi can</x:v>
      </x:c>
      <x:c r="AE775" s="9"/>
      <x:c r="AF775" s="9"/>
      <x:c r="AG775" s="9"/>
      <x:c r="AH775" s="9" t="str">
        <x:v>Right</x:v>
      </x:c>
      <x:c r="AI775" s="11" t="n">
        <x:v>8</x:v>
      </x:c>
      <x:c r="AJ775" s="9" t="str">
        <x:v>Explicitly trained largest × crushed Pepsi can</x:v>
      </x:c>
      <x:c r="AK775" s="9" t="str">
        <x:v>Eval_Size_Recognition (1).xlsm</x:v>
      </x:c>
      <x:c r="AL775" s="9" t="str">
        <x:v>MolmoAct2 Results</x:v>
      </x:c>
      <x:c r="AM775" s="9" t="n">
        <x:v>5</x:v>
      </x:c>
      <x:c r="AN775" s="9" t="n">
        <x:v>5</x:v>
      </x:c>
    </x:row>
    <x:row r="776">
      <x:c r="A776" s="9" t="str">
        <x:v>Success</x:v>
      </x:c>
      <x:c r="B776" s="9" t="str">
        <x:v>Size Recognition</x:v>
      </x:c>
      <x:c r="C776" s="10" t="n">
        <x:v>4</x:v>
      </x:c>
      <x:c r="D776" s="9" t="str">
        <x:v>Pick up the smallest item and place it in the bowl.</x:v>
      </x:c>
      <x:c r="E776" s="9" t="str">
        <x:v>Bowl: empty. Table, robot-left→robot-right: P1 juggling ball; P2 crushed Pepsi can; P3 green block; P4 red pencil sharpener. Adjacent centers 12 cm apart; row shifted 4 cm toward robot-left; all objects fully visible and grasp paths clear.</x:v>
      </x:c>
      <x:c r="F776" s="9" t="str">
        <x:v>MOVE red pencil sharpener to bowl</x:v>
      </x:c>
      <x:c r="G776" s="9"/>
      <x:c r="H776" s="9" t="str">
        <x:v>In-distribution concept baseline</x:v>
      </x:c>
      <x:c r="I776" s="9" t="str">
        <x:v>SZ-ID-SH02</x:v>
      </x:c>
      <x:c r="J776" s="9" t="str">
        <x:v>smallest</x:v>
      </x:c>
      <x:c r="K776" s="9"/>
      <x:c r="L776" s="9" t="str">
        <x:v>1006</x:v>
      </x:c>
      <x:c r="M776" s="9"/>
      <x:c r="N776" s="9"/>
      <x:c r="O776" s="9" t="str">
        <x:v>Build the listed manifest-supported scene.</x:v>
      </x:c>
      <x:c r="P776" s="9" t="str">
        <x:v>Exact prompt and object composition from training episode 1006; this establishes the familiar smallest × red pencil sharpener cell.</x:v>
      </x:c>
      <x:c r="Q776" s="9"/>
      <x:c r="R776" s="10" t="n">
        <x:v>4</x:v>
      </x:c>
      <x:c r="S776" s="10"/>
      <x:c r="T776" s="9"/>
      <x:c r="U776" s="9"/>
      <x:c r="V776" s="9"/>
      <x:c r="W776" s="9"/>
      <x:c r="X776" s="10"/>
      <x:c r="Y776" s="10"/>
      <x:c r="Z776" s="9"/>
      <x:c r="AA776" s="9"/>
      <x:c r="AB776" s="9"/>
      <x:c r="AC776" s="9"/>
      <x:c r="AD776" s="9" t="str">
        <x:v>red pencil sharpener</x:v>
      </x:c>
      <x:c r="AE776" s="9"/>
      <x:c r="AF776" s="9"/>
      <x:c r="AG776" s="9"/>
      <x:c r="AH776" s="9" t="str">
        <x:v>Right</x:v>
      </x:c>
      <x:c r="AI776" s="11" t="n">
        <x:v>12</x:v>
      </x:c>
      <x:c r="AJ776" s="9" t="str">
        <x:v>Explicitly trained smallest × red pencil sharpener</x:v>
      </x:c>
      <x:c r="AK776" s="9" t="str">
        <x:v>Eval_Size_Recognition (1).xlsm</x:v>
      </x:c>
      <x:c r="AL776" s="9" t="str">
        <x:v>MolmoAct2 Results</x:v>
      </x:c>
      <x:c r="AM776" s="9" t="n">
        <x:v>6</x:v>
      </x:c>
      <x:c r="AN776" s="9" t="n">
        <x:v>6</x:v>
      </x:c>
    </x:row>
    <x:row r="777">
      <x:c r="A777" s="9" t="str">
        <x:v>Success</x:v>
      </x:c>
      <x:c r="B777" s="9" t="str">
        <x:v>Size Recognition</x:v>
      </x:c>
      <x:c r="C777" s="10" t="n">
        <x:v>5</x:v>
      </x:c>
      <x:c r="D777" s="9" t="str">
        <x:v>Pick up the smallest item and place it in the bowl.</x:v>
      </x:c>
      <x:c r="E777" s="9" t="str">
        <x:v>Bowl: empty. Table, robot-left→robot-right: P1 green block; P2 juggling ball; P3 crushed Pepsi can. Adjacent centers 16 cm apart; row shifted 4 cm toward robot-right; all objects fully visible and grasp paths clear.</x:v>
      </x:c>
      <x:c r="F777" s="9" t="str">
        <x:v>MOVE green block to bowl</x:v>
      </x:c>
      <x:c r="G777" s="9"/>
      <x:c r="H777" s="9" t="str">
        <x:v>In-distribution concept baseline</x:v>
      </x:c>
      <x:c r="I777" s="9" t="str">
        <x:v>SZ-ID-GB02</x:v>
      </x:c>
      <x:c r="J777" s="9" t="str">
        <x:v>smallest</x:v>
      </x:c>
      <x:c r="K777" s="9"/>
      <x:c r="L777" s="9" t="str">
        <x:v>1051</x:v>
      </x:c>
      <x:c r="M777" s="9"/>
      <x:c r="N777" s="9"/>
      <x:c r="O777" s="9" t="str">
        <x:v>Build the listed manifest-supported scene.</x:v>
      </x:c>
      <x:c r="P777" s="9" t="str">
        <x:v>Exact prompt and object composition from training episode 1051; this establishes the familiar smallest × green block cell.</x:v>
      </x:c>
      <x:c r="Q777" s="9"/>
      <x:c r="R777" s="10" t="n">
        <x:v>3</x:v>
      </x:c>
      <x:c r="S777" s="10"/>
      <x:c r="T777" s="9"/>
      <x:c r="U777" s="9"/>
      <x:c r="V777" s="9"/>
      <x:c r="W777" s="9"/>
      <x:c r="X777" s="10"/>
      <x:c r="Y777" s="10"/>
      <x:c r="Z777" s="9"/>
      <x:c r="AA777" s="9"/>
      <x:c r="AB777" s="9"/>
      <x:c r="AC777" s="9"/>
      <x:c r="AD777" s="9" t="str">
        <x:v>green block</x:v>
      </x:c>
      <x:c r="AE777" s="9"/>
      <x:c r="AF777" s="9"/>
      <x:c r="AG777" s="9"/>
      <x:c r="AH777" s="9" t="str">
        <x:v>Left</x:v>
      </x:c>
      <x:c r="AI777" s="11" t="n">
        <x:v>16</x:v>
      </x:c>
      <x:c r="AJ777" s="9" t="str">
        <x:v>Explicitly trained smallest × green block</x:v>
      </x:c>
      <x:c r="AK777" s="9" t="str">
        <x:v>Eval_Size_Recognition (1).xlsm</x:v>
      </x:c>
      <x:c r="AL777" s="9" t="str">
        <x:v>MolmoAct2 Results</x:v>
      </x:c>
      <x:c r="AM777" s="9" t="n">
        <x:v>7</x:v>
      </x:c>
      <x:c r="AN777" s="9" t="n">
        <x:v>7</x:v>
      </x:c>
    </x:row>
    <x:row r="778">
      <x:c r="A778" s="9" t="str">
        <x:v>Success</x:v>
      </x:c>
      <x:c r="B778" s="9" t="str">
        <x:v>Size Recognition</x:v>
      </x:c>
      <x:c r="C778" s="10" t="n">
        <x:v>6</x:v>
      </x:c>
      <x:c r="D778" s="9" t="str">
        <x:v>Pick up the largest item and place it in the bowl.</x:v>
      </x:c>
      <x:c r="E778" s="9" t="str">
        <x:v>Bowl: empty. Table, robot-left→robot-right: P1 green block; P2 red pencil sharpener; P3 juggling ball. Adjacent centers 8 cm apart; row shifted 4 cm toward the robot; all objects fully visible and grasp paths clear.</x:v>
      </x:c>
      <x:c r="F778" s="9" t="str">
        <x:v>MOVE juggling ball to bowl</x:v>
      </x:c>
      <x:c r="G778" s="9"/>
      <x:c r="H778" s="9" t="str">
        <x:v>In-distribution concept baseline</x:v>
      </x:c>
      <x:c r="I778" s="9" t="str">
        <x:v>SZ-ID-JB02</x:v>
      </x:c>
      <x:c r="J778" s="9" t="str">
        <x:v>largest</x:v>
      </x:c>
      <x:c r="K778" s="9"/>
      <x:c r="L778" s="9" t="str">
        <x:v>1126</x:v>
      </x:c>
      <x:c r="M778" s="9"/>
      <x:c r="N778" s="9"/>
      <x:c r="O778" s="9" t="str">
        <x:v>Build the listed manifest-supported scene.</x:v>
      </x:c>
      <x:c r="P778" s="9" t="str">
        <x:v>Exact prompt and object composition from training episode 1126; this establishes the familiar largest × juggling ball cell.</x:v>
      </x:c>
      <x:c r="Q778" s="9"/>
      <x:c r="R778" s="10" t="n">
        <x:v>3</x:v>
      </x:c>
      <x:c r="S778" s="10"/>
      <x:c r="T778" s="9"/>
      <x:c r="U778" s="9"/>
      <x:c r="V778" s="9"/>
      <x:c r="W778" s="9"/>
      <x:c r="X778" s="10"/>
      <x:c r="Y778" s="10"/>
      <x:c r="Z778" s="9"/>
      <x:c r="AA778" s="9"/>
      <x:c r="AB778" s="9"/>
      <x:c r="AC778" s="9"/>
      <x:c r="AD778" s="9" t="str">
        <x:v>juggling ball</x:v>
      </x:c>
      <x:c r="AE778" s="9"/>
      <x:c r="AF778" s="9"/>
      <x:c r="AG778" s="9"/>
      <x:c r="AH778" s="9" t="str">
        <x:v>Right</x:v>
      </x:c>
      <x:c r="AI778" s="11" t="n">
        <x:v>8</x:v>
      </x:c>
      <x:c r="AJ778" s="9" t="str">
        <x:v>Explicitly trained largest × juggling ball</x:v>
      </x:c>
      <x:c r="AK778" s="9" t="str">
        <x:v>Eval_Size_Recognition (1).xlsm</x:v>
      </x:c>
      <x:c r="AL778" s="9" t="str">
        <x:v>MolmoAct2 Results</x:v>
      </x:c>
      <x:c r="AM778" s="9" t="n">
        <x:v>8</x:v>
      </x:c>
      <x:c r="AN778" s="9" t="n">
        <x:v>8</x:v>
      </x:c>
    </x:row>
    <x:row r="779">
      <x:c r="A779" s="9" t="str">
        <x:v>Failure</x:v>
      </x:c>
      <x:c r="B779" s="9" t="str">
        <x:v>Size Recognition</x:v>
      </x:c>
      <x:c r="C779" s="10" t="n">
        <x:v>7</x:v>
      </x:c>
      <x:c r="D779" s="9" t="str">
        <x:v>Move the object that is largest into the bowl.</x:v>
      </x:c>
      <x:c r="E779" s="9" t="str">
        <x:v>Bowl: empty. Table, robot-left→robot-right: P1 crushed Pepsi can; P2 green block; P3 juggling ball; P4 red pencil sharpener. Adjacent centers 12 cm apart; row shifted 4 cm away from the robot; all objects fully visible and grasp paths clear.</x:v>
      </x:c>
      <x:c r="F779" s="9" t="str">
        <x:v>MOVE crushed Pepsi can to bowl</x:v>
      </x:c>
      <x:c r="G779" s="9" t="str">
        <x:v>picked juggling ball</x:v>
      </x:c>
      <x:c r="H779" s="9" t="str">
        <x:v>In-distribution concept baseline</x:v>
      </x:c>
      <x:c r="I779" s="9" t="str">
        <x:v>SZ-ID-PC02</x:v>
      </x:c>
      <x:c r="J779" s="9" t="str">
        <x:v>largest</x:v>
      </x:c>
      <x:c r="K779" s="9"/>
      <x:c r="L779" s="9" t="str">
        <x:v>1156</x:v>
      </x:c>
      <x:c r="M779" s="9"/>
      <x:c r="N779" s="9"/>
      <x:c r="O779" s="9" t="str">
        <x:v>Build the listed manifest-supported scene.</x:v>
      </x:c>
      <x:c r="P779" s="9" t="str">
        <x:v>Exact prompt and object composition from training episode 1156; this establishes the familiar largest × crushed Pepsi can cell.</x:v>
      </x:c>
      <x:c r="Q779" s="9"/>
      <x:c r="R779" s="10" t="n">
        <x:v>4</x:v>
      </x:c>
      <x:c r="S779" s="10"/>
      <x:c r="T779" s="9"/>
      <x:c r="U779" s="9"/>
      <x:c r="V779" s="9"/>
      <x:c r="W779" s="9"/>
      <x:c r="X779" s="10"/>
      <x:c r="Y779" s="10"/>
      <x:c r="Z779" s="9"/>
      <x:c r="AA779" s="9"/>
      <x:c r="AB779" s="9"/>
      <x:c r="AC779" s="9"/>
      <x:c r="AD779" s="9" t="str">
        <x:v>crushed Pepsi can</x:v>
      </x:c>
      <x:c r="AE779" s="9"/>
      <x:c r="AF779" s="9"/>
      <x:c r="AG779" s="9"/>
      <x:c r="AH779" s="9" t="str">
        <x:v>Left</x:v>
      </x:c>
      <x:c r="AI779" s="11" t="n">
        <x:v>12</x:v>
      </x:c>
      <x:c r="AJ779" s="9" t="str">
        <x:v>Explicitly trained largest × crushed Pepsi can</x:v>
      </x:c>
      <x:c r="AK779" s="9" t="str">
        <x:v>Eval_Size_Recognition (1).xlsm</x:v>
      </x:c>
      <x:c r="AL779" s="9" t="str">
        <x:v>MolmoAct2 Results</x:v>
      </x:c>
      <x:c r="AM779" s="9" t="n">
        <x:v>9</x:v>
      </x:c>
      <x:c r="AN779" s="9" t="n">
        <x:v>9</x:v>
      </x:c>
    </x:row>
    <x:row r="780">
      <x:c r="A780" s="9" t="str">
        <x:v>Success</x:v>
      </x:c>
      <x:c r="B780" s="9" t="str">
        <x:v>Size Recognition</x:v>
      </x:c>
      <x:c r="C780" s="10" t="n">
        <x:v>8</x:v>
      </x:c>
      <x:c r="D780" s="9" t="str">
        <x:v>Move the object that is smallest into the bowl.</x:v>
      </x:c>
      <x:c r="E780" s="9" t="str">
        <x:v>Bowl: empty. Table, robot-left→robot-right: P1 red pencil sharpener; P2 crushed Pepsi can; P3 green block; P4 juggling ball. Adjacent centers 16 cm apart; row shifted 4 cm toward robot-right; all objects fully visible and grasp paths clear.</x:v>
      </x:c>
      <x:c r="F780" s="9" t="str">
        <x:v>MOVE red pencil sharpener to bowl</x:v>
      </x:c>
      <x:c r="G780" s="9"/>
      <x:c r="H780" s="9" t="str">
        <x:v>In-distribution concept baseline</x:v>
      </x:c>
      <x:c r="I780" s="9" t="str">
        <x:v>SZ-ID-SH03</x:v>
      </x:c>
      <x:c r="J780" s="9" t="str">
        <x:v>smallest</x:v>
      </x:c>
      <x:c r="K780" s="9"/>
      <x:c r="L780" s="9" t="str">
        <x:v>1007</x:v>
      </x:c>
      <x:c r="M780" s="9"/>
      <x:c r="N780" s="9"/>
      <x:c r="O780" s="9" t="str">
        <x:v>Build the listed manifest-supported scene.</x:v>
      </x:c>
      <x:c r="P780" s="9" t="str">
        <x:v>Exact prompt and object composition from training episode 1007; this establishes the familiar smallest × red pencil sharpener cell.</x:v>
      </x:c>
      <x:c r="Q780" s="9"/>
      <x:c r="R780" s="10" t="n">
        <x:v>4</x:v>
      </x:c>
      <x:c r="S780" s="10"/>
      <x:c r="T780" s="9"/>
      <x:c r="U780" s="9"/>
      <x:c r="V780" s="9"/>
      <x:c r="W780" s="9"/>
      <x:c r="X780" s="10"/>
      <x:c r="Y780" s="10"/>
      <x:c r="Z780" s="9"/>
      <x:c r="AA780" s="9"/>
      <x:c r="AB780" s="9"/>
      <x:c r="AC780" s="9"/>
      <x:c r="AD780" s="9" t="str">
        <x:v>red pencil sharpener</x:v>
      </x:c>
      <x:c r="AE780" s="9"/>
      <x:c r="AF780" s="9"/>
      <x:c r="AG780" s="9"/>
      <x:c r="AH780" s="9" t="str">
        <x:v>Left</x:v>
      </x:c>
      <x:c r="AI780" s="11" t="n">
        <x:v>16</x:v>
      </x:c>
      <x:c r="AJ780" s="9" t="str">
        <x:v>Explicitly trained smallest × red pencil sharpener</x:v>
      </x:c>
      <x:c r="AK780" s="9" t="str">
        <x:v>Eval_Size_Recognition (1).xlsm</x:v>
      </x:c>
      <x:c r="AL780" s="9" t="str">
        <x:v>MolmoAct2 Results</x:v>
      </x:c>
      <x:c r="AM780" s="9" t="n">
        <x:v>10</x:v>
      </x:c>
      <x:c r="AN780" s="9" t="n">
        <x:v>10</x:v>
      </x:c>
    </x:row>
    <x:row r="781">
      <x:c r="A781" s="9" t="str">
        <x:v>Success</x:v>
      </x:c>
      <x:c r="B781" s="9" t="str">
        <x:v>Size Recognition</x:v>
      </x:c>
      <x:c r="C781" s="10" t="n">
        <x:v>9</x:v>
      </x:c>
      <x:c r="D781" s="9" t="str">
        <x:v>Put the smallest object in the bowl.</x:v>
      </x:c>
      <x:c r="E781" s="9" t="str">
        <x:v>Bowl: empty. Table, robot-left→robot-right: P1 crushed Pepsi can; P2 juggling ball; P3 green block. Adjacent centers 8 cm apart; row shifted 4 cm toward the robot; all objects fully visible and grasp paths clear.</x:v>
      </x:c>
      <x:c r="F781" s="9" t="str">
        <x:v>MOVE green block to bowl</x:v>
      </x:c>
      <x:c r="G781" s="9"/>
      <x:c r="H781" s="9" t="str">
        <x:v>In-distribution concept baseline</x:v>
      </x:c>
      <x:c r="I781" s="9" t="str">
        <x:v>SZ-ID-GB03</x:v>
      </x:c>
      <x:c r="J781" s="9" t="str">
        <x:v>smallest</x:v>
      </x:c>
      <x:c r="K781" s="9"/>
      <x:c r="L781" s="9" t="str">
        <x:v>1052</x:v>
      </x:c>
      <x:c r="M781" s="9"/>
      <x:c r="N781" s="9"/>
      <x:c r="O781" s="9" t="str">
        <x:v>Build the listed manifest-supported scene.</x:v>
      </x:c>
      <x:c r="P781" s="9" t="str">
        <x:v>Exact prompt and object composition from training episode 1052; this establishes the familiar smallest × green block cell.</x:v>
      </x:c>
      <x:c r="Q781" s="9"/>
      <x:c r="R781" s="10" t="n">
        <x:v>3</x:v>
      </x:c>
      <x:c r="S781" s="10"/>
      <x:c r="T781" s="9"/>
      <x:c r="U781" s="9"/>
      <x:c r="V781" s="9"/>
      <x:c r="W781" s="9"/>
      <x:c r="X781" s="10"/>
      <x:c r="Y781" s="10"/>
      <x:c r="Z781" s="9"/>
      <x:c r="AA781" s="9"/>
      <x:c r="AB781" s="9"/>
      <x:c r="AC781" s="9"/>
      <x:c r="AD781" s="9" t="str">
        <x:v>green block</x:v>
      </x:c>
      <x:c r="AE781" s="9"/>
      <x:c r="AF781" s="9"/>
      <x:c r="AG781" s="9"/>
      <x:c r="AH781" s="9" t="str">
        <x:v>Right</x:v>
      </x:c>
      <x:c r="AI781" s="11" t="n">
        <x:v>8</x:v>
      </x:c>
      <x:c r="AJ781" s="9" t="str">
        <x:v>Explicitly trained smallest × green block</x:v>
      </x:c>
      <x:c r="AK781" s="9" t="str">
        <x:v>Eval_Size_Recognition (1).xlsm</x:v>
      </x:c>
      <x:c r="AL781" s="9" t="str">
        <x:v>MolmoAct2 Results</x:v>
      </x:c>
      <x:c r="AM781" s="9" t="n">
        <x:v>11</x:v>
      </x:c>
      <x:c r="AN781" s="9" t="n">
        <x:v>11</x:v>
      </x:c>
    </x:row>
    <x:row r="782">
      <x:c r="A782" s="9" t="str">
        <x:v>Success</x:v>
      </x:c>
      <x:c r="B782" s="9" t="str">
        <x:v>Size Recognition</x:v>
      </x:c>
      <x:c r="C782" s="10" t="n">
        <x:v>10</x:v>
      </x:c>
      <x:c r="D782" s="9" t="str">
        <x:v>Pick up the largest item and place it in the bowl.</x:v>
      </x:c>
      <x:c r="E782" s="9" t="str">
        <x:v>Bowl: empty. Table, robot-left→robot-right: P1 juggling ball; P2 red pencil sharpener; P3 green block. Adjacent centers 12 cm apart; row shifted 4 cm away from the robot; all objects fully visible and grasp paths clear.</x:v>
      </x:c>
      <x:c r="F782" s="9" t="str">
        <x:v>MOVE juggling ball to bowl</x:v>
      </x:c>
      <x:c r="G782" s="9"/>
      <x:c r="H782" s="9" t="str">
        <x:v>In-distribution concept baseline</x:v>
      </x:c>
      <x:c r="I782" s="9" t="str">
        <x:v>SZ-ID-JB03</x:v>
      </x:c>
      <x:c r="J782" s="9" t="str">
        <x:v>largest</x:v>
      </x:c>
      <x:c r="K782" s="9"/>
      <x:c r="L782" s="9" t="str">
        <x:v>1127</x:v>
      </x:c>
      <x:c r="M782" s="9"/>
      <x:c r="N782" s="9"/>
      <x:c r="O782" s="9" t="str">
        <x:v>Build the listed manifest-supported scene.</x:v>
      </x:c>
      <x:c r="P782" s="9" t="str">
        <x:v>Exact prompt and object composition from training episode 1127; this establishes the familiar largest × juggling ball cell.</x:v>
      </x:c>
      <x:c r="Q782" s="9"/>
      <x:c r="R782" s="10" t="n">
        <x:v>3</x:v>
      </x:c>
      <x:c r="S782" s="10"/>
      <x:c r="T782" s="9"/>
      <x:c r="U782" s="9"/>
      <x:c r="V782" s="9"/>
      <x:c r="W782" s="9"/>
      <x:c r="X782" s="10"/>
      <x:c r="Y782" s="10"/>
      <x:c r="Z782" s="9"/>
      <x:c r="AA782" s="9"/>
      <x:c r="AB782" s="9"/>
      <x:c r="AC782" s="9"/>
      <x:c r="AD782" s="9" t="str">
        <x:v>juggling ball</x:v>
      </x:c>
      <x:c r="AE782" s="9"/>
      <x:c r="AF782" s="9"/>
      <x:c r="AG782" s="9"/>
      <x:c r="AH782" s="9" t="str">
        <x:v>Left</x:v>
      </x:c>
      <x:c r="AI782" s="11" t="n">
        <x:v>12</x:v>
      </x:c>
      <x:c r="AJ782" s="9" t="str">
        <x:v>Explicitly trained largest × juggling ball</x:v>
      </x:c>
      <x:c r="AK782" s="9" t="str">
        <x:v>Eval_Size_Recognition (1).xlsm</x:v>
      </x:c>
      <x:c r="AL782" s="9" t="str">
        <x:v>MolmoAct2 Results</x:v>
      </x:c>
      <x:c r="AM782" s="9" t="n">
        <x:v>12</x:v>
      </x:c>
      <x:c r="AN782" s="9" t="n">
        <x:v>12</x:v>
      </x:c>
    </x:row>
    <x:row r="783">
      <x:c r="A783" s="9" t="str">
        <x:v>Success</x:v>
      </x:c>
      <x:c r="B783" s="9" t="str">
        <x:v>Size Recognition</x:v>
      </x:c>
      <x:c r="C783" s="10" t="n">
        <x:v>11</x:v>
      </x:c>
      <x:c r="D783" s="9" t="str">
        <x:v>Put the largest object in the bowl.</x:v>
      </x:c>
      <x:c r="E783" s="9" t="str">
        <x:v>Bowl: empty. Table, robot-left→robot-right: P1 juggling ball; P2 red pencil sharpener; P3 green block; P4 crushed Pepsi can. Adjacent centers 16 cm apart; row centered on the workspace; all objects fully visible and grasp paths clear.</x:v>
      </x:c>
      <x:c r="F783" s="9" t="str">
        <x:v>MOVE crushed Pepsi can to bowl</x:v>
      </x:c>
      <x:c r="G783" s="9"/>
      <x:c r="H783" s="9" t="str">
        <x:v>In-distribution concept baseline</x:v>
      </x:c>
      <x:c r="I783" s="9" t="str">
        <x:v>SZ-ID-PC03</x:v>
      </x:c>
      <x:c r="J783" s="9" t="str">
        <x:v>largest</x:v>
      </x:c>
      <x:c r="K783" s="9"/>
      <x:c r="L783" s="9" t="str">
        <x:v>1157</x:v>
      </x:c>
      <x:c r="M783" s="9"/>
      <x:c r="N783" s="9"/>
      <x:c r="O783" s="9" t="str">
        <x:v>Build the listed manifest-supported scene.</x:v>
      </x:c>
      <x:c r="P783" s="9" t="str">
        <x:v>Exact prompt and object composition from training episode 1157; this establishes the familiar largest × crushed Pepsi can cell.</x:v>
      </x:c>
      <x:c r="Q783" s="9"/>
      <x:c r="R783" s="10" t="n">
        <x:v>4</x:v>
      </x:c>
      <x:c r="S783" s="10"/>
      <x:c r="T783" s="9"/>
      <x:c r="U783" s="9"/>
      <x:c r="V783" s="9"/>
      <x:c r="W783" s="9"/>
      <x:c r="X783" s="10"/>
      <x:c r="Y783" s="10"/>
      <x:c r="Z783" s="9"/>
      <x:c r="AA783" s="9"/>
      <x:c r="AB783" s="9"/>
      <x:c r="AC783" s="9"/>
      <x:c r="AD783" s="9" t="str">
        <x:v>crushed Pepsi can</x:v>
      </x:c>
      <x:c r="AE783" s="9"/>
      <x:c r="AF783" s="9"/>
      <x:c r="AG783" s="9"/>
      <x:c r="AH783" s="9" t="str">
        <x:v>Right</x:v>
      </x:c>
      <x:c r="AI783" s="11" t="n">
        <x:v>16</x:v>
      </x:c>
      <x:c r="AJ783" s="9" t="str">
        <x:v>Explicitly trained largest × crushed Pepsi can</x:v>
      </x:c>
      <x:c r="AK783" s="9" t="str">
        <x:v>Eval_Size_Recognition (1).xlsm</x:v>
      </x:c>
      <x:c r="AL783" s="9" t="str">
        <x:v>MolmoAct2 Results</x:v>
      </x:c>
      <x:c r="AM783" s="9" t="n">
        <x:v>13</x:v>
      </x:c>
      <x:c r="AN783" s="9" t="n">
        <x:v>13</x:v>
      </x:c>
    </x:row>
    <x:row r="784">
      <x:c r="A784" s="9" t="str">
        <x:v>Success</x:v>
      </x:c>
      <x:c r="B784" s="9" t="str">
        <x:v>Size Recognition</x:v>
      </x:c>
      <x:c r="C784" s="10" t="n">
        <x:v>12</x:v>
      </x:c>
      <x:c r="D784" s="9" t="str">
        <x:v>Put the smallest object in the bowl.</x:v>
      </x:c>
      <x:c r="E784" s="9" t="str">
        <x:v>Bowl: empty. Table, robot-left→robot-right: P1 green block; P2 juggling ball; P3 crushed Pepsi can; P4 red pencil sharpener. Adjacent centers 8 cm apart; row shifted 4 cm toward the robot; all objects fully visible and grasp paths clear.</x:v>
      </x:c>
      <x:c r="F784" s="9" t="str">
        <x:v>MOVE red pencil sharpener to bowl</x:v>
      </x:c>
      <x:c r="G784" s="9"/>
      <x:c r="H784" s="9" t="str">
        <x:v>In-distribution concept baseline</x:v>
      </x:c>
      <x:c r="I784" s="9" t="str">
        <x:v>SZ-ID-SH04</x:v>
      </x:c>
      <x:c r="J784" s="9" t="str">
        <x:v>smallest</x:v>
      </x:c>
      <x:c r="K784" s="9"/>
      <x:c r="L784" s="9" t="str">
        <x:v>1008</x:v>
      </x:c>
      <x:c r="M784" s="9"/>
      <x:c r="N784" s="9"/>
      <x:c r="O784" s="9" t="str">
        <x:v>Build the listed manifest-supported scene.</x:v>
      </x:c>
      <x:c r="P784" s="9" t="str">
        <x:v>Exact prompt and object composition from training episode 1008; this establishes the familiar smallest × red pencil sharpener cell.</x:v>
      </x:c>
      <x:c r="Q784" s="9"/>
      <x:c r="R784" s="10" t="n">
        <x:v>4</x:v>
      </x:c>
      <x:c r="S784" s="10"/>
      <x:c r="T784" s="9"/>
      <x:c r="U784" s="9"/>
      <x:c r="V784" s="9"/>
      <x:c r="W784" s="9"/>
      <x:c r="X784" s="10"/>
      <x:c r="Y784" s="10"/>
      <x:c r="Z784" s="9"/>
      <x:c r="AA784" s="9"/>
      <x:c r="AB784" s="9"/>
      <x:c r="AC784" s="9"/>
      <x:c r="AD784" s="9" t="str">
        <x:v>red pencil sharpener</x:v>
      </x:c>
      <x:c r="AE784" s="9"/>
      <x:c r="AF784" s="9"/>
      <x:c r="AG784" s="9"/>
      <x:c r="AH784" s="9" t="str">
        <x:v>Right</x:v>
      </x:c>
      <x:c r="AI784" s="11" t="n">
        <x:v>8</x:v>
      </x:c>
      <x:c r="AJ784" s="9" t="str">
        <x:v>Explicitly trained smallest × red pencil sharpener</x:v>
      </x:c>
      <x:c r="AK784" s="9" t="str">
        <x:v>Eval_Size_Recognition (1).xlsm</x:v>
      </x:c>
      <x:c r="AL784" s="9" t="str">
        <x:v>MolmoAct2 Results</x:v>
      </x:c>
      <x:c r="AM784" s="9" t="n">
        <x:v>14</x:v>
      </x:c>
      <x:c r="AN784" s="9" t="n">
        <x:v>14</x:v>
      </x:c>
    </x:row>
    <x:row r="785">
      <x:c r="A785" s="9" t="str">
        <x:v>Success</x:v>
      </x:c>
      <x:c r="B785" s="9" t="str">
        <x:v>Size Recognition</x:v>
      </x:c>
      <x:c r="C785" s="10" t="n">
        <x:v>13</x:v>
      </x:c>
      <x:c r="D785" s="9" t="str">
        <x:v>Put the smallest object in the bowl.</x:v>
      </x:c>
      <x:c r="E785" s="9" t="str">
        <x:v>Bowl: empty. Table, robot-left→robot-right: P1 green block; P2 juggling ball; P3 crushed Pepsi can. Adjacent centers 12 cm apart; row shifted 4 cm away from the robot; all objects fully visible and grasp paths clear.</x:v>
      </x:c>
      <x:c r="F785" s="9" t="str">
        <x:v>MOVE green block to bowl</x:v>
      </x:c>
      <x:c r="G785" s="9"/>
      <x:c r="H785" s="9" t="str">
        <x:v>In-distribution concept baseline</x:v>
      </x:c>
      <x:c r="I785" s="9" t="str">
        <x:v>SZ-ID-GB04</x:v>
      </x:c>
      <x:c r="J785" s="9" t="str">
        <x:v>smallest</x:v>
      </x:c>
      <x:c r="K785" s="9"/>
      <x:c r="L785" s="9" t="str">
        <x:v>1053</x:v>
      </x:c>
      <x:c r="M785" s="9"/>
      <x:c r="N785" s="9"/>
      <x:c r="O785" s="9" t="str">
        <x:v>Build the listed manifest-supported scene.</x:v>
      </x:c>
      <x:c r="P785" s="9" t="str">
        <x:v>Exact prompt and object composition from training episode 1053; this establishes the familiar smallest × green block cell.</x:v>
      </x:c>
      <x:c r="Q785" s="9"/>
      <x:c r="R785" s="10" t="n">
        <x:v>3</x:v>
      </x:c>
      <x:c r="S785" s="10"/>
      <x:c r="T785" s="9"/>
      <x:c r="U785" s="9"/>
      <x:c r="V785" s="9"/>
      <x:c r="W785" s="9"/>
      <x:c r="X785" s="10"/>
      <x:c r="Y785" s="10"/>
      <x:c r="Z785" s="9"/>
      <x:c r="AA785" s="9"/>
      <x:c r="AB785" s="9"/>
      <x:c r="AC785" s="9"/>
      <x:c r="AD785" s="9" t="str">
        <x:v>green block</x:v>
      </x:c>
      <x:c r="AE785" s="9"/>
      <x:c r="AF785" s="9"/>
      <x:c r="AG785" s="9"/>
      <x:c r="AH785" s="9" t="str">
        <x:v>Left</x:v>
      </x:c>
      <x:c r="AI785" s="11" t="n">
        <x:v>12</x:v>
      </x:c>
      <x:c r="AJ785" s="9" t="str">
        <x:v>Explicitly trained smallest × green block</x:v>
      </x:c>
      <x:c r="AK785" s="9" t="str">
        <x:v>Eval_Size_Recognition (1).xlsm</x:v>
      </x:c>
      <x:c r="AL785" s="9" t="str">
        <x:v>MolmoAct2 Results</x:v>
      </x:c>
      <x:c r="AM785" s="9" t="n">
        <x:v>15</x:v>
      </x:c>
      <x:c r="AN785" s="9" t="n">
        <x:v>15</x:v>
      </x:c>
    </x:row>
    <x:row r="786">
      <x:c r="A786" s="9" t="str">
        <x:v>Success</x:v>
      </x:c>
      <x:c r="B786" s="9" t="str">
        <x:v>Size Recognition</x:v>
      </x:c>
      <x:c r="C786" s="10" t="n">
        <x:v>14</x:v>
      </x:c>
      <x:c r="D786" s="9" t="str">
        <x:v>Pick up the largest item and place it in the bowl.</x:v>
      </x:c>
      <x:c r="E786" s="9" t="str">
        <x:v>Bowl: empty. Table, robot-left→robot-right: P1 green block; P2 red pencil sharpener; P3 juggling ball. Adjacent centers 16 cm apart; row centered on the workspace; all objects fully visible and grasp paths clear.</x:v>
      </x:c>
      <x:c r="F786" s="9" t="str">
        <x:v>MOVE juggling ball to bowl</x:v>
      </x:c>
      <x:c r="G786" s="9"/>
      <x:c r="H786" s="9" t="str">
        <x:v>In-distribution concept baseline</x:v>
      </x:c>
      <x:c r="I786" s="9" t="str">
        <x:v>SZ-ID-JB04</x:v>
      </x:c>
      <x:c r="J786" s="9" t="str">
        <x:v>largest</x:v>
      </x:c>
      <x:c r="K786" s="9"/>
      <x:c r="L786" s="9" t="str">
        <x:v>1128</x:v>
      </x:c>
      <x:c r="M786" s="9"/>
      <x:c r="N786" s="9"/>
      <x:c r="O786" s="9" t="str">
        <x:v>Build the listed manifest-supported scene.</x:v>
      </x:c>
      <x:c r="P786" s="9" t="str">
        <x:v>Exact prompt and object composition from training episode 1128; this establishes the familiar largest × juggling ball cell.</x:v>
      </x:c>
      <x:c r="Q786" s="9"/>
      <x:c r="R786" s="10" t="n">
        <x:v>3</x:v>
      </x:c>
      <x:c r="S786" s="10"/>
      <x:c r="T786" s="9"/>
      <x:c r="U786" s="9"/>
      <x:c r="V786" s="9"/>
      <x:c r="W786" s="9"/>
      <x:c r="X786" s="10"/>
      <x:c r="Y786" s="10"/>
      <x:c r="Z786" s="9"/>
      <x:c r="AA786" s="9"/>
      <x:c r="AB786" s="9"/>
      <x:c r="AC786" s="9"/>
      <x:c r="AD786" s="9" t="str">
        <x:v>juggling ball</x:v>
      </x:c>
      <x:c r="AE786" s="9"/>
      <x:c r="AF786" s="9"/>
      <x:c r="AG786" s="9"/>
      <x:c r="AH786" s="9" t="str">
        <x:v>Right</x:v>
      </x:c>
      <x:c r="AI786" s="11" t="n">
        <x:v>16</x:v>
      </x:c>
      <x:c r="AJ786" s="9" t="str">
        <x:v>Explicitly trained largest × juggling ball</x:v>
      </x:c>
      <x:c r="AK786" s="9" t="str">
        <x:v>Eval_Size_Recognition (1).xlsm</x:v>
      </x:c>
      <x:c r="AL786" s="9" t="str">
        <x:v>MolmoAct2 Results</x:v>
      </x:c>
      <x:c r="AM786" s="9" t="n">
        <x:v>16</x:v>
      </x:c>
      <x:c r="AN786" s="9" t="n">
        <x:v>16</x:v>
      </x:c>
    </x:row>
    <x:row r="787">
      <x:c r="A787" s="9" t="str">
        <x:v>Success</x:v>
      </x:c>
      <x:c r="B787" s="9" t="str">
        <x:v>Size Recognition</x:v>
      </x:c>
      <x:c r="C787" s="10" t="n">
        <x:v>15</x:v>
      </x:c>
      <x:c r="D787" s="9" t="str">
        <x:v>Put the largest object in the bowl.</x:v>
      </x:c>
      <x:c r="E787" s="9" t="str">
        <x:v>Bowl: empty. Table, robot-left→robot-right: P1 crushed Pepsi can; P2 red pencil sharpener; P3 green block; P4 juggling ball. Adjacent centers 8 cm apart; row shifted 4 cm toward robot-left; all objects fully visible and grasp paths clear.</x:v>
      </x:c>
      <x:c r="F787" s="9" t="str">
        <x:v>MOVE crushed Pepsi can to bowl</x:v>
      </x:c>
      <x:c r="G787" s="9"/>
      <x:c r="H787" s="9" t="str">
        <x:v>In-distribution concept baseline</x:v>
      </x:c>
      <x:c r="I787" s="9" t="str">
        <x:v>SZ-ID-PC04</x:v>
      </x:c>
      <x:c r="J787" s="9" t="str">
        <x:v>largest</x:v>
      </x:c>
      <x:c r="K787" s="9"/>
      <x:c r="L787" s="9" t="str">
        <x:v>1158</x:v>
      </x:c>
      <x:c r="M787" s="9"/>
      <x:c r="N787" s="9"/>
      <x:c r="O787" s="9" t="str">
        <x:v>Build the listed manifest-supported scene.</x:v>
      </x:c>
      <x:c r="P787" s="9" t="str">
        <x:v>Exact prompt and object composition from training episode 1158; this establishes the familiar largest × crushed Pepsi can cell.</x:v>
      </x:c>
      <x:c r="Q787" s="9"/>
      <x:c r="R787" s="10" t="n">
        <x:v>4</x:v>
      </x:c>
      <x:c r="S787" s="10"/>
      <x:c r="T787" s="9"/>
      <x:c r="U787" s="9"/>
      <x:c r="V787" s="9"/>
      <x:c r="W787" s="9"/>
      <x:c r="X787" s="10"/>
      <x:c r="Y787" s="10"/>
      <x:c r="Z787" s="9"/>
      <x:c r="AA787" s="9"/>
      <x:c r="AB787" s="9"/>
      <x:c r="AC787" s="9"/>
      <x:c r="AD787" s="9" t="str">
        <x:v>crushed Pepsi can</x:v>
      </x:c>
      <x:c r="AE787" s="9"/>
      <x:c r="AF787" s="9"/>
      <x:c r="AG787" s="9"/>
      <x:c r="AH787" s="9" t="str">
        <x:v>Left</x:v>
      </x:c>
      <x:c r="AI787" s="11" t="n">
        <x:v>8</x:v>
      </x:c>
      <x:c r="AJ787" s="9" t="str">
        <x:v>Explicitly trained largest × crushed Pepsi can</x:v>
      </x:c>
      <x:c r="AK787" s="9" t="str">
        <x:v>Eval_Size_Recognition (1).xlsm</x:v>
      </x:c>
      <x:c r="AL787" s="9" t="str">
        <x:v>MolmoAct2 Results</x:v>
      </x:c>
      <x:c r="AM787" s="9" t="n">
        <x:v>17</x:v>
      </x:c>
      <x:c r="AN787" s="9" t="n">
        <x:v>17</x:v>
      </x:c>
    </x:row>
    <x:row r="788">
      <x:c r="A788" s="9" t="str">
        <x:v>Success</x:v>
      </x:c>
      <x:c r="B788" s="9" t="str">
        <x:v>Size Recognition</x:v>
      </x:c>
      <x:c r="C788" s="10" t="n">
        <x:v>16</x:v>
      </x:c>
      <x:c r="D788" s="9" t="str">
        <x:v>Move the object that is smallest into the bowl.</x:v>
      </x:c>
      <x:c r="E788" s="9" t="str">
        <x:v>Bowl: empty. Table, robot-left→robot-right: P1 red pencil sharpener; P2 juggling ball; P3 crushed Pepsi can; P4 green block. Adjacent centers 12 cm apart; row shifted 4 cm away from the robot; all objects fully visible and grasp paths clear.</x:v>
      </x:c>
      <x:c r="F788" s="9" t="str">
        <x:v>MOVE red pencil sharpener to bowl</x:v>
      </x:c>
      <x:c r="G788" s="9"/>
      <x:c r="H788" s="9" t="str">
        <x:v>In-distribution concept baseline</x:v>
      </x:c>
      <x:c r="I788" s="9" t="str">
        <x:v>SZ-ID-SH05</x:v>
      </x:c>
      <x:c r="J788" s="9" t="str">
        <x:v>smallest</x:v>
      </x:c>
      <x:c r="K788" s="9"/>
      <x:c r="L788" s="9" t="str">
        <x:v>1009</x:v>
      </x:c>
      <x:c r="M788" s="9"/>
      <x:c r="N788" s="9"/>
      <x:c r="O788" s="9" t="str">
        <x:v>Build the listed manifest-supported scene.</x:v>
      </x:c>
      <x:c r="P788" s="9" t="str">
        <x:v>Exact prompt and object composition from training episode 1009; this establishes the familiar smallest × red pencil sharpener cell.</x:v>
      </x:c>
      <x:c r="Q788" s="9"/>
      <x:c r="R788" s="10" t="n">
        <x:v>4</x:v>
      </x:c>
      <x:c r="S788" s="10"/>
      <x:c r="T788" s="9"/>
      <x:c r="U788" s="9"/>
      <x:c r="V788" s="9"/>
      <x:c r="W788" s="9"/>
      <x:c r="X788" s="10"/>
      <x:c r="Y788" s="10"/>
      <x:c r="Z788" s="9"/>
      <x:c r="AA788" s="9"/>
      <x:c r="AB788" s="9"/>
      <x:c r="AC788" s="9"/>
      <x:c r="AD788" s="9" t="str">
        <x:v>red pencil sharpener</x:v>
      </x:c>
      <x:c r="AE788" s="9"/>
      <x:c r="AF788" s="9"/>
      <x:c r="AG788" s="9"/>
      <x:c r="AH788" s="9" t="str">
        <x:v>Left</x:v>
      </x:c>
      <x:c r="AI788" s="11" t="n">
        <x:v>12</x:v>
      </x:c>
      <x:c r="AJ788" s="9" t="str">
        <x:v>Explicitly trained smallest × red pencil sharpener</x:v>
      </x:c>
      <x:c r="AK788" s="9" t="str">
        <x:v>Eval_Size_Recognition (1).xlsm</x:v>
      </x:c>
      <x:c r="AL788" s="9" t="str">
        <x:v>MolmoAct2 Results</x:v>
      </x:c>
      <x:c r="AM788" s="9" t="n">
        <x:v>18</x:v>
      </x:c>
      <x:c r="AN788" s="9" t="n">
        <x:v>18</x:v>
      </x:c>
    </x:row>
    <x:row r="789">
      <x:c r="A789" s="9" t="str">
        <x:v>Failure</x:v>
      </x:c>
      <x:c r="B789" s="9" t="str">
        <x:v>Size Recognition</x:v>
      </x:c>
      <x:c r="C789" s="10" t="n">
        <x:v>17</x:v>
      </x:c>
      <x:c r="D789" s="9" t="str">
        <x:v>Put the smallest object in the bowl.</x:v>
      </x:c>
      <x:c r="E789" s="9" t="str">
        <x:v>Bowl: empty. Table, robot-left→robot-right: P1 crushed Pepsi can; P2 juggling ball; P3 green block. Adjacent centers 16 cm apart; row centered on the workspace; all objects fully visible and grasp paths clear.</x:v>
      </x:c>
      <x:c r="F789" s="9" t="str">
        <x:v>MOVE green block to bowl</x:v>
      </x:c>
      <x:c r="G789" s="9"/>
      <x:c r="H789" s="9" t="str">
        <x:v>In-distribution concept baseline</x:v>
      </x:c>
      <x:c r="I789" s="9" t="str">
        <x:v>SZ-ID-GB05</x:v>
      </x:c>
      <x:c r="J789" s="9" t="str">
        <x:v>smallest</x:v>
      </x:c>
      <x:c r="K789" s="9"/>
      <x:c r="L789" s="9" t="str">
        <x:v>1054</x:v>
      </x:c>
      <x:c r="M789" s="9"/>
      <x:c r="N789" s="9"/>
      <x:c r="O789" s="9" t="str">
        <x:v>Build the listed manifest-supported scene.</x:v>
      </x:c>
      <x:c r="P789" s="9" t="str">
        <x:v>Exact prompt and object composition from training episode 1054; this establishes the familiar smallest × green block cell.</x:v>
      </x:c>
      <x:c r="Q789" s="9"/>
      <x:c r="R789" s="10" t="n">
        <x:v>3</x:v>
      </x:c>
      <x:c r="S789" s="10"/>
      <x:c r="T789" s="9"/>
      <x:c r="U789" s="9"/>
      <x:c r="V789" s="9"/>
      <x:c r="W789" s="9"/>
      <x:c r="X789" s="10"/>
      <x:c r="Y789" s="10"/>
      <x:c r="Z789" s="9"/>
      <x:c r="AA789" s="9"/>
      <x:c r="AB789" s="9"/>
      <x:c r="AC789" s="9"/>
      <x:c r="AD789" s="9" t="str">
        <x:v>green block</x:v>
      </x:c>
      <x:c r="AE789" s="9"/>
      <x:c r="AF789" s="9"/>
      <x:c r="AG789" s="9"/>
      <x:c r="AH789" s="9" t="str">
        <x:v>Right</x:v>
      </x:c>
      <x:c r="AI789" s="11" t="n">
        <x:v>16</x:v>
      </x:c>
      <x:c r="AJ789" s="9" t="str">
        <x:v>Explicitly trained smallest × green block</x:v>
      </x:c>
      <x:c r="AK789" s="9" t="str">
        <x:v>Eval_Size_Recognition (1).xlsm</x:v>
      </x:c>
      <x:c r="AL789" s="9" t="str">
        <x:v>MolmoAct2 Results</x:v>
      </x:c>
      <x:c r="AM789" s="9" t="n">
        <x:v>19</x:v>
      </x:c>
      <x:c r="AN789" s="9" t="n">
        <x:v>19</x:v>
      </x:c>
    </x:row>
    <x:row r="790">
      <x:c r="A790" s="9" t="str">
        <x:v>Success</x:v>
      </x:c>
      <x:c r="B790" s="9" t="str">
        <x:v>Size Recognition</x:v>
      </x:c>
      <x:c r="C790" s="10" t="n">
        <x:v>18</x:v>
      </x:c>
      <x:c r="D790" s="9" t="str">
        <x:v>Put the largest object in the bowl.</x:v>
      </x:c>
      <x:c r="E790" s="9" t="str">
        <x:v>Bowl: empty. Table, robot-left→robot-right: P1 juggling ball; P2 red pencil sharpener; P3 green block. Adjacent centers 8 cm apart; row shifted 4 cm toward robot-left; all objects fully visible and grasp paths clear.</x:v>
      </x:c>
      <x:c r="F790" s="9" t="str">
        <x:v>MOVE juggling ball to bowl</x:v>
      </x:c>
      <x:c r="G790" s="9"/>
      <x:c r="H790" s="9" t="str">
        <x:v>In-distribution concept baseline</x:v>
      </x:c>
      <x:c r="I790" s="9" t="str">
        <x:v>SZ-ID-JB05</x:v>
      </x:c>
      <x:c r="J790" s="9" t="str">
        <x:v>largest</x:v>
      </x:c>
      <x:c r="K790" s="9"/>
      <x:c r="L790" s="9" t="str">
        <x:v>1129</x:v>
      </x:c>
      <x:c r="M790" s="9"/>
      <x:c r="N790" s="9"/>
      <x:c r="O790" s="9" t="str">
        <x:v>Build the listed manifest-supported scene.</x:v>
      </x:c>
      <x:c r="P790" s="9" t="str">
        <x:v>Exact prompt and object composition from training episode 1129; this establishes the familiar largest × juggling ball cell.</x:v>
      </x:c>
      <x:c r="Q790" s="9"/>
      <x:c r="R790" s="10" t="n">
        <x:v>3</x:v>
      </x:c>
      <x:c r="S790" s="10"/>
      <x:c r="T790" s="9"/>
      <x:c r="U790" s="9"/>
      <x:c r="V790" s="9"/>
      <x:c r="W790" s="9"/>
      <x:c r="X790" s="10"/>
      <x:c r="Y790" s="10"/>
      <x:c r="Z790" s="9"/>
      <x:c r="AA790" s="9"/>
      <x:c r="AB790" s="9"/>
      <x:c r="AC790" s="9"/>
      <x:c r="AD790" s="9" t="str">
        <x:v>juggling ball</x:v>
      </x:c>
      <x:c r="AE790" s="9"/>
      <x:c r="AF790" s="9"/>
      <x:c r="AG790" s="9"/>
      <x:c r="AH790" s="9" t="str">
        <x:v>Left</x:v>
      </x:c>
      <x:c r="AI790" s="11" t="n">
        <x:v>8</x:v>
      </x:c>
      <x:c r="AJ790" s="9" t="str">
        <x:v>Explicitly trained largest × juggling ball</x:v>
      </x:c>
      <x:c r="AK790" s="9" t="str">
        <x:v>Eval_Size_Recognition (1).xlsm</x:v>
      </x:c>
      <x:c r="AL790" s="9" t="str">
        <x:v>MolmoAct2 Results</x:v>
      </x:c>
      <x:c r="AM790" s="9" t="n">
        <x:v>20</x:v>
      </x:c>
      <x:c r="AN790" s="9" t="n">
        <x:v>20</x:v>
      </x:c>
    </x:row>
    <x:row r="791">
      <x:c r="A791" s="9" t="str">
        <x:v>Failure</x:v>
      </x:c>
      <x:c r="B791" s="9" t="str">
        <x:v>Size Recognition</x:v>
      </x:c>
      <x:c r="C791" s="10" t="n">
        <x:v>19</x:v>
      </x:c>
      <x:c r="D791" s="9" t="str">
        <x:v>Move the object that is largest into the bowl.</x:v>
      </x:c>
      <x:c r="E791" s="9" t="str">
        <x:v>Bowl: empty. Table, robot-left→robot-right: P1 green block; P2 juggling ball; P3 red pencil sharpener; P4 crushed Pepsi can. Adjacent centers 12 cm apart; row shifted 4 cm toward robot-right; all objects fully visible and grasp paths clear.</x:v>
      </x:c>
      <x:c r="F791" s="9" t="str">
        <x:v>MOVE crushed Pepsi can to bowl</x:v>
      </x:c>
      <x:c r="G791" s="9" t="str">
        <x:v>picked the juggling ball</x:v>
      </x:c>
      <x:c r="H791" s="9" t="str">
        <x:v>In-distribution concept baseline</x:v>
      </x:c>
      <x:c r="I791" s="9" t="str">
        <x:v>SZ-ID-PC05</x:v>
      </x:c>
      <x:c r="J791" s="9" t="str">
        <x:v>largest</x:v>
      </x:c>
      <x:c r="K791" s="9"/>
      <x:c r="L791" s="9" t="str">
        <x:v>1159</x:v>
      </x:c>
      <x:c r="M791" s="9"/>
      <x:c r="N791" s="9"/>
      <x:c r="O791" s="9" t="str">
        <x:v>Build the listed manifest-supported scene.</x:v>
      </x:c>
      <x:c r="P791" s="9" t="str">
        <x:v>Exact prompt and object composition from training episode 1159; this establishes the familiar largest × crushed Pepsi can cell.</x:v>
      </x:c>
      <x:c r="Q791" s="9"/>
      <x:c r="R791" s="10" t="n">
        <x:v>4</x:v>
      </x:c>
      <x:c r="S791" s="10"/>
      <x:c r="T791" s="9"/>
      <x:c r="U791" s="9"/>
      <x:c r="V791" s="9"/>
      <x:c r="W791" s="9"/>
      <x:c r="X791" s="10"/>
      <x:c r="Y791" s="10"/>
      <x:c r="Z791" s="9"/>
      <x:c r="AA791" s="9"/>
      <x:c r="AB791" s="9"/>
      <x:c r="AC791" s="9"/>
      <x:c r="AD791" s="9" t="str">
        <x:v>crushed Pepsi can</x:v>
      </x:c>
      <x:c r="AE791" s="9"/>
      <x:c r="AF791" s="9"/>
      <x:c r="AG791" s="9"/>
      <x:c r="AH791" s="9" t="str">
        <x:v>Right</x:v>
      </x:c>
      <x:c r="AI791" s="11" t="n">
        <x:v>12</x:v>
      </x:c>
      <x:c r="AJ791" s="9" t="str">
        <x:v>Explicitly trained largest × crushed Pepsi can</x:v>
      </x:c>
      <x:c r="AK791" s="9" t="str">
        <x:v>Eval_Size_Recognition (1).xlsm</x:v>
      </x:c>
      <x:c r="AL791" s="9" t="str">
        <x:v>MolmoAct2 Results</x:v>
      </x:c>
      <x:c r="AM791" s="9" t="n">
        <x:v>21</x:v>
      </x:c>
      <x:c r="AN791" s="9" t="n">
        <x:v>21</x:v>
      </x:c>
    </x:row>
    <x:row r="792">
      <x:c r="A792" s="9" t="str">
        <x:v>Failure</x:v>
      </x:c>
      <x:c r="B792" s="9" t="str">
        <x:v>Size Recognition</x:v>
      </x:c>
      <x:c r="C792" s="10" t="n">
        <x:v>20</x:v>
      </x:c>
      <x:c r="D792" s="9" t="str">
        <x:v>Move the object that is largest into the bowl.</x:v>
      </x:c>
      <x:c r="E792" s="9" t="str">
        <x:v>Bowl: empty. Table, robot-left→robot-right: P1 green block; P2 red pencil sharpener. Adjacent centers 8 cm apart; row centered on the workspace; all objects fully visible and grasp paths clear.</x:v>
      </x:c>
      <x:c r="F792" s="9" t="str">
        <x:v>MOVE green block to bowl</x:v>
      </x:c>
      <x:c r="G792" s="9" t="str">
        <x:v>picked pencil sharpener</x:v>
      </x:c>
      <x:c r="H792" s="9" t="str">
        <x:v>Concept/compositional transfer</x:v>
      </x:c>
      <x:c r="I792" s="9" t="str">
        <x:v>SZ-CT-LG01</x:v>
      </x:c>
      <x:c r="J792" s="9" t="str">
        <x:v>largest</x:v>
      </x:c>
      <x:c r="K792" s="9"/>
      <x:c r="L792" s="9" t="str">
        <x:v>1080</x:v>
      </x:c>
      <x:c r="M792" s="9"/>
      <x:c r="N792" s="9"/>
      <x:c r="O792" s="9" t="str">
        <x:v>Build the listed two-object scene and save a first-frame filename.</x:v>
      </x:c>
      <x:c r="P792" s="9" t="str">
        <x:v>Primary missing cell. Training episode 1080 contains the same target trajectory but masks the size word with a direct identity prompt.</x:v>
      </x:c>
      <x:c r="Q792" s="9"/>
      <x:c r="R792" s="10" t="n">
        <x:v>2</x:v>
      </x:c>
      <x:c r="S792" s="10"/>
      <x:c r="T792" s="9"/>
      <x:c r="U792" s="9"/>
      <x:c r="V792" s="9"/>
      <x:c r="W792" s="9"/>
      <x:c r="X792" s="10"/>
      <x:c r="Y792" s="10"/>
      <x:c r="Z792" s="9"/>
      <x:c r="AA792" s="9"/>
      <x:c r="AB792" s="9"/>
      <x:c r="AC792" s="9"/>
      <x:c r="AD792" s="9" t="str">
        <x:v>green block</x:v>
      </x:c>
      <x:c r="AE792" s="9"/>
      <x:c r="AF792" s="9"/>
      <x:c r="AG792" s="9"/>
      <x:c r="AH792" s="9" t="str">
        <x:v>Left</x:v>
      </x:c>
      <x:c r="AI792" s="11" t="n">
        <x:v>8</x:v>
      </x:c>
      <x:c r="AJ792" s="9" t="str">
        <x:v>Held-out largest × green block — Move</x:v>
      </x:c>
      <x:c r="AK792" s="9" t="str">
        <x:v>Eval_Size_Recognition (1).xlsm</x:v>
      </x:c>
      <x:c r="AL792" s="9" t="str">
        <x:v>MolmoAct2 Results</x:v>
      </x:c>
      <x:c r="AM792" s="9" t="n">
        <x:v>22</x:v>
      </x:c>
      <x:c r="AN792" s="9" t="n">
        <x:v>22</x:v>
      </x:c>
    </x:row>
    <x:row r="793">
      <x:c r="A793" s="9" t="str">
        <x:v>Success</x:v>
      </x:c>
      <x:c r="B793" s="9" t="str">
        <x:v>Size Recognition</x:v>
      </x:c>
      <x:c r="C793" s="10" t="n">
        <x:v>21</x:v>
      </x:c>
      <x:c r="D793" s="9" t="str">
        <x:v>Put the green block in the bowl.</x:v>
      </x:c>
      <x:c r="E793" s="9" t="str">
        <x:v>Bowl: empty. Table, robot-left→robot-right: P1 green block; P2 red pencil sharpener. Adjacent centers 8 cm apart; row centered on the workspace; all objects fully visible and grasp paths clear.</x:v>
      </x:c>
      <x:c r="F793" s="9" t="str">
        <x:v>MOVE green block to bowl</x:v>
      </x:c>
      <x:c r="G793" s="9"/>
      <x:c r="H793" s="9" t="str">
        <x:v>Matched manipulation control</x:v>
      </x:c>
      <x:c r="I793" s="9" t="str">
        <x:v>SZ-CT-LG01</x:v>
      </x:c>
      <x:c r="J793" s="9" t="str">
        <x:v>Direct</x:v>
      </x:c>
      <x:c r="K793" s="9" t="n">
        <x:v>20</x:v>
      </x:c>
      <x:c r="L793" s="9" t="str">
        <x:v>1075</x:v>
      </x:c>
      <x:c r="M793" s="9"/>
      <x:c r="N793" s="9"/>
      <x:c r="O793" s="9" t="str">
        <x:v>Reset the target to its original pose; change only the prompt.</x:v>
      </x:c>
      <x:c r="P793" s="9" t="str">
        <x:v>Exact-scene control using a direct prompt supported by training episode 1075.</x:v>
      </x:c>
      <x:c r="Q793" s="9"/>
      <x:c r="R793" s="10" t="n">
        <x:v>2</x:v>
      </x:c>
      <x:c r="S793" s="10"/>
      <x:c r="T793" s="9"/>
      <x:c r="U793" s="9"/>
      <x:c r="V793" s="9"/>
      <x:c r="W793" s="9"/>
      <x:c r="X793" s="10"/>
      <x:c r="Y793" s="10"/>
      <x:c r="Z793" s="9"/>
      <x:c r="AA793" s="9"/>
      <x:c r="AB793" s="9"/>
      <x:c r="AC793" s="9"/>
      <x:c r="AD793" s="9" t="str">
        <x:v>green block</x:v>
      </x:c>
      <x:c r="AE793" s="9"/>
      <x:c r="AF793" s="9"/>
      <x:c r="AG793" s="9"/>
      <x:c r="AH793" s="9" t="str">
        <x:v>Left</x:v>
      </x:c>
      <x:c r="AI793" s="11" t="n">
        <x:v>8</x:v>
      </x:c>
      <x:c r="AJ793" s="9" t="str">
        <x:v>Same-scene direct target control</x:v>
      </x:c>
      <x:c r="AK793" s="9" t="str">
        <x:v>Eval_Size_Recognition (1).xlsm</x:v>
      </x:c>
      <x:c r="AL793" s="9" t="str">
        <x:v>MolmoAct2 Results</x:v>
      </x:c>
      <x:c r="AM793" s="9" t="n">
        <x:v>23</x:v>
      </x:c>
      <x:c r="AN793" s="9" t="n">
        <x:v>23</x:v>
      </x:c>
    </x:row>
    <x:row r="794">
      <x:c r="A794" s="9" t="str">
        <x:v>Failure</x:v>
      </x:c>
      <x:c r="B794" s="9" t="str">
        <x:v>Size Recognition</x:v>
      </x:c>
      <x:c r="C794" s="10" t="n">
        <x:v>22</x:v>
      </x:c>
      <x:c r="D794" s="9" t="str">
        <x:v>Choose the biggest item and move it into the bowl.</x:v>
      </x:c>
      <x:c r="E794" s="9" t="str">
        <x:v>Bowl: empty. Table, robot-left→robot-right: P1 green block; P2 red pencil sharpener. Adjacent centers 8 cm apart; row centered on the workspace; all objects fully visible and grasp paths clear.</x:v>
      </x:c>
      <x:c r="F794" s="9" t="str">
        <x:v>MOVE green block to bowl</x:v>
      </x:c>
      <x:c r="G794" s="9" t="str">
        <x:v>picked pencil sharpener</x:v>
      </x:c>
      <x:c r="H794" s="9" t="str">
        <x:v>Language robustness</x:v>
      </x:c>
      <x:c r="I794" s="9" t="str">
        <x:v>SZ-CT-LG01</x:v>
      </x:c>
      <x:c r="J794" s="9" t="str">
        <x:v>largest</x:v>
      </x:c>
      <x:c r="K794" s="9" t="n">
        <x:v>20</x:v>
      </x:c>
      <x:c r="L794" s="9" t="str">
        <x:v>1080</x:v>
      </x:c>
      <x:c r="M794" s="9"/>
      <x:c r="N794" s="9"/>
      <x:c r="O794" s="9" t="str">
        <x:v>Reset the target; preserve the exact scene and paraphrase only the transfer prompt.</x:v>
      </x:c>
      <x:c r="P794" s="9" t="str">
        <x:v>Exact-scene paraphrase of the primary transfer instruction.</x:v>
      </x:c>
      <x:c r="Q794" s="9"/>
      <x:c r="R794" s="10" t="n">
        <x:v>2</x:v>
      </x:c>
      <x:c r="S794" s="10"/>
      <x:c r="T794" s="9"/>
      <x:c r="U794" s="9"/>
      <x:c r="V794" s="9"/>
      <x:c r="W794" s="9"/>
      <x:c r="X794" s="10"/>
      <x:c r="Y794" s="10"/>
      <x:c r="Z794" s="9"/>
      <x:c r="AA794" s="9"/>
      <x:c r="AB794" s="9"/>
      <x:c r="AC794" s="9"/>
      <x:c r="AD794" s="9" t="str">
        <x:v>green block</x:v>
      </x:c>
      <x:c r="AE794" s="9"/>
      <x:c r="AF794" s="9"/>
      <x:c r="AG794" s="9"/>
      <x:c r="AH794" s="9" t="str">
        <x:v>Left</x:v>
      </x:c>
      <x:c r="AI794" s="11" t="n">
        <x:v>8</x:v>
      </x:c>
      <x:c r="AJ794" s="9" t="str">
        <x:v>Primary compositional-transfer prompt paraphrase</x:v>
      </x:c>
      <x:c r="AK794" s="9" t="str">
        <x:v>Eval_Size_Recognition (1).xlsm</x:v>
      </x:c>
      <x:c r="AL794" s="9" t="str">
        <x:v>MolmoAct2 Results</x:v>
      </x:c>
      <x:c r="AM794" s="9" t="n">
        <x:v>24</x:v>
      </x:c>
      <x:c r="AN794" s="9" t="n">
        <x:v>24</x:v>
      </x:c>
    </x:row>
    <x:row r="795">
      <x:c r="A795" s="9" t="str">
        <x:v>Success</x:v>
      </x:c>
      <x:c r="B795" s="9" t="str">
        <x:v>Size Recognition</x:v>
      </x:c>
      <x:c r="C795" s="10" t="n">
        <x:v>23</x:v>
      </x:c>
      <x:c r="D795" s="9" t="str">
        <x:v>Transfer the green block from the table into the bowl.</x:v>
      </x:c>
      <x:c r="E795" s="9" t="str">
        <x:v>Bowl: empty. Table, robot-left→robot-right: P1 green block; P2 red pencil sharpener. Adjacent centers 8 cm apart; row centered on the workspace; all objects fully visible and grasp paths clear.</x:v>
      </x:c>
      <x:c r="F795" s="9" t="str">
        <x:v>MOVE green block to bowl</x:v>
      </x:c>
      <x:c r="G795" s="9"/>
      <x:c r="H795" s="9" t="str">
        <x:v>Language robustness</x:v>
      </x:c>
      <x:c r="I795" s="9" t="str">
        <x:v>SZ-CT-LG01</x:v>
      </x:c>
      <x:c r="J795" s="9" t="str">
        <x:v>Direct</x:v>
      </x:c>
      <x:c r="K795" s="9" t="n">
        <x:v>21</x:v>
      </x:c>
      <x:c r="L795" s="9" t="str">
        <x:v>1075</x:v>
      </x:c>
      <x:c r="M795" s="9"/>
      <x:c r="N795" s="9"/>
      <x:c r="O795" s="9" t="str">
        <x:v>Reset the target; preserve the exact scene and paraphrase only the matched-control prompt.</x:v>
      </x:c>
      <x:c r="P795" s="9" t="str">
        <x:v>Exact-scene paraphrase of the direct manipulation control.</x:v>
      </x:c>
      <x:c r="Q795" s="9"/>
      <x:c r="R795" s="10" t="n">
        <x:v>2</x:v>
      </x:c>
      <x:c r="S795" s="10"/>
      <x:c r="T795" s="9"/>
      <x:c r="U795" s="9"/>
      <x:c r="V795" s="9"/>
      <x:c r="W795" s="9"/>
      <x:c r="X795" s="10"/>
      <x:c r="Y795" s="10"/>
      <x:c r="Z795" s="9"/>
      <x:c r="AA795" s="9"/>
      <x:c r="AB795" s="9"/>
      <x:c r="AC795" s="9"/>
      <x:c r="AD795" s="9" t="str">
        <x:v>green block</x:v>
      </x:c>
      <x:c r="AE795" s="9"/>
      <x:c r="AF795" s="9"/>
      <x:c r="AG795" s="9"/>
      <x:c r="AH795" s="9" t="str">
        <x:v>Left</x:v>
      </x:c>
      <x:c r="AI795" s="11" t="n">
        <x:v>8</x:v>
      </x:c>
      <x:c r="AJ795" s="9" t="str">
        <x:v>Matched-control direct prompt paraphrase</x:v>
      </x:c>
      <x:c r="AK795" s="9" t="str">
        <x:v>Eval_Size_Recognition (1).xlsm</x:v>
      </x:c>
      <x:c r="AL795" s="9" t="str">
        <x:v>MolmoAct2 Results</x:v>
      </x:c>
      <x:c r="AM795" s="9" t="n">
        <x:v>25</x:v>
      </x:c>
      <x:c r="AN795" s="9" t="n">
        <x:v>25</x:v>
      </x:c>
    </x:row>
    <x:row r="796">
      <x:c r="A796" s="9" t="str">
        <x:v>Success</x:v>
      </x:c>
      <x:c r="B796" s="9" t="str">
        <x:v>Size Recognition</x:v>
      </x:c>
      <x:c r="C796" s="10" t="n">
        <x:v>24</x:v>
      </x:c>
      <x:c r="D796" s="9" t="str">
        <x:v>Pick up the smallest item and place it in the bowl.</x:v>
      </x:c>
      <x:c r="E796" s="9" t="str">
        <x:v>Bowl: empty. Table, robot-left→robot-right: P1 crushed Pepsi can; P2 juggling ball. Adjacent centers 12 cm apart; row shifted 4 cm toward robot-right; all objects fully visible and grasp paths clear.</x:v>
      </x:c>
      <x:c r="F796" s="9" t="str">
        <x:v>MOVE juggling ball to bowl</x:v>
      </x:c>
      <x:c r="G796" s="9"/>
      <x:c r="H796" s="9" t="str">
        <x:v>Concept/compositional transfer</x:v>
      </x:c>
      <x:c r="I796" s="9" t="str">
        <x:v>SZ-CT-SJ01</x:v>
      </x:c>
      <x:c r="J796" s="9" t="str">
        <x:v>smallest</x:v>
      </x:c>
      <x:c r="K796" s="9"/>
      <x:c r="L796" s="9" t="str">
        <x:v>1105</x:v>
      </x:c>
      <x:c r="M796" s="9"/>
      <x:c r="N796" s="9"/>
      <x:c r="O796" s="9" t="str">
        <x:v>Build the listed two-object scene and save a first-frame filename.</x:v>
      </x:c>
      <x:c r="P796" s="9" t="str">
        <x:v>Primary missing cell. Training episode 1105 contains the same target trajectory but masks the size word with a direct identity prompt.</x:v>
      </x:c>
      <x:c r="Q796" s="9"/>
      <x:c r="R796" s="10" t="n">
        <x:v>2</x:v>
      </x:c>
      <x:c r="S796" s="10"/>
      <x:c r="T796" s="9"/>
      <x:c r="U796" s="9"/>
      <x:c r="V796" s="9"/>
      <x:c r="W796" s="9"/>
      <x:c r="X796" s="10"/>
      <x:c r="Y796" s="10"/>
      <x:c r="Z796" s="9"/>
      <x:c r="AA796" s="9"/>
      <x:c r="AB796" s="9"/>
      <x:c r="AC796" s="9"/>
      <x:c r="AD796" s="9" t="str">
        <x:v>juggling ball</x:v>
      </x:c>
      <x:c r="AE796" s="9"/>
      <x:c r="AF796" s="9"/>
      <x:c r="AG796" s="9"/>
      <x:c r="AH796" s="9" t="str">
        <x:v>Right</x:v>
      </x:c>
      <x:c r="AI796" s="11" t="n">
        <x:v>12</x:v>
      </x:c>
      <x:c r="AJ796" s="9" t="str">
        <x:v>Held-out smallest × juggling ball — Pick up</x:v>
      </x:c>
      <x:c r="AK796" s="9" t="str">
        <x:v>Eval_Size_Recognition (1).xlsm</x:v>
      </x:c>
      <x:c r="AL796" s="9" t="str">
        <x:v>MolmoAct2 Results</x:v>
      </x:c>
      <x:c r="AM796" s="9" t="n">
        <x:v>26</x:v>
      </x:c>
      <x:c r="AN796" s="9" t="n">
        <x:v>26</x:v>
      </x:c>
    </x:row>
    <x:row r="797">
      <x:c r="A797" s="9" t="str">
        <x:v>Success</x:v>
      </x:c>
      <x:c r="B797" s="9" t="str">
        <x:v>Size Recognition</x:v>
      </x:c>
      <x:c r="C797" s="10" t="n">
        <x:v>25</x:v>
      </x:c>
      <x:c r="D797" s="9" t="str">
        <x:v>Put the juggling ball in the bowl.</x:v>
      </x:c>
      <x:c r="E797" s="9" t="str">
        <x:v>Bowl: empty. Table, robot-left→robot-right: P1 crushed Pepsi can; P2 juggling ball. Adjacent centers 12 cm apart; row shifted 4 cm toward robot-right; all objects fully visible and grasp paths clear.</x:v>
      </x:c>
      <x:c r="F797" s="9" t="str">
        <x:v>MOVE juggling ball to bowl</x:v>
      </x:c>
      <x:c r="G797" s="9"/>
      <x:c r="H797" s="9" t="str">
        <x:v>Matched manipulation control</x:v>
      </x:c>
      <x:c r="I797" s="9" t="str">
        <x:v>SZ-CT-SJ01</x:v>
      </x:c>
      <x:c r="J797" s="9" t="str">
        <x:v>Direct</x:v>
      </x:c>
      <x:c r="K797" s="9" t="n">
        <x:v>24</x:v>
      </x:c>
      <x:c r="L797" s="9" t="str">
        <x:v>1100</x:v>
      </x:c>
      <x:c r="M797" s="9"/>
      <x:c r="N797" s="9"/>
      <x:c r="O797" s="9" t="str">
        <x:v>Reset the target to its original pose; change only the prompt.</x:v>
      </x:c>
      <x:c r="P797" s="9" t="str">
        <x:v>Exact-scene control using a direct prompt supported by training episode 1100.</x:v>
      </x:c>
      <x:c r="Q797" s="9"/>
      <x:c r="R797" s="10" t="n">
        <x:v>2</x:v>
      </x:c>
      <x:c r="S797" s="10"/>
      <x:c r="T797" s="9"/>
      <x:c r="U797" s="9"/>
      <x:c r="V797" s="9"/>
      <x:c r="W797" s="9"/>
      <x:c r="X797" s="10"/>
      <x:c r="Y797" s="10"/>
      <x:c r="Z797" s="9"/>
      <x:c r="AA797" s="9"/>
      <x:c r="AB797" s="9"/>
      <x:c r="AC797" s="9"/>
      <x:c r="AD797" s="9" t="str">
        <x:v>juggling ball</x:v>
      </x:c>
      <x:c r="AE797" s="9"/>
      <x:c r="AF797" s="9"/>
      <x:c r="AG797" s="9"/>
      <x:c r="AH797" s="9" t="str">
        <x:v>Right</x:v>
      </x:c>
      <x:c r="AI797" s="11" t="n">
        <x:v>12</x:v>
      </x:c>
      <x:c r="AJ797" s="9" t="str">
        <x:v>Same-scene direct target control</x:v>
      </x:c>
      <x:c r="AK797" s="9" t="str">
        <x:v>Eval_Size_Recognition (1).xlsm</x:v>
      </x:c>
      <x:c r="AL797" s="9" t="str">
        <x:v>MolmoAct2 Results</x:v>
      </x:c>
      <x:c r="AM797" s="9" t="n">
        <x:v>27</x:v>
      </x:c>
      <x:c r="AN797" s="9" t="n">
        <x:v>27</x:v>
      </x:c>
    </x:row>
    <x:row r="798">
      <x:c r="A798" s="9" t="str">
        <x:v>Success</x:v>
      </x:c>
      <x:c r="B798" s="9" t="str">
        <x:v>Size Recognition</x:v>
      </x:c>
      <x:c r="C798" s="10" t="n">
        <x:v>26</x:v>
      </x:c>
      <x:c r="D798" s="9" t="str">
        <x:v>Choose the tiniest item and move it into the bowl.</x:v>
      </x:c>
      <x:c r="E798" s="9" t="str">
        <x:v>Bowl: empty. Table, robot-left→robot-right: P1 crushed Pepsi can; P2 juggling ball. Adjacent centers 12 cm apart; row shifted 4 cm toward robot-right; all objects fully visible and grasp paths clear.</x:v>
      </x:c>
      <x:c r="F798" s="9" t="str">
        <x:v>MOVE juggling ball to bowl</x:v>
      </x:c>
      <x:c r="G798" s="9"/>
      <x:c r="H798" s="9" t="str">
        <x:v>Language robustness</x:v>
      </x:c>
      <x:c r="I798" s="9" t="str">
        <x:v>SZ-CT-SJ01</x:v>
      </x:c>
      <x:c r="J798" s="9" t="str">
        <x:v>smallest</x:v>
      </x:c>
      <x:c r="K798" s="9" t="n">
        <x:v>24</x:v>
      </x:c>
      <x:c r="L798" s="9" t="str">
        <x:v>1105</x:v>
      </x:c>
      <x:c r="M798" s="9"/>
      <x:c r="N798" s="9"/>
      <x:c r="O798" s="9" t="str">
        <x:v>Reset the target; preserve the exact scene and paraphrase only the transfer prompt.</x:v>
      </x:c>
      <x:c r="P798" s="9" t="str">
        <x:v>Exact-scene paraphrase of the primary transfer instruction.</x:v>
      </x:c>
      <x:c r="Q798" s="9"/>
      <x:c r="R798" s="10" t="n">
        <x:v>2</x:v>
      </x:c>
      <x:c r="S798" s="10"/>
      <x:c r="T798" s="9"/>
      <x:c r="U798" s="9"/>
      <x:c r="V798" s="9"/>
      <x:c r="W798" s="9"/>
      <x:c r="X798" s="10"/>
      <x:c r="Y798" s="10"/>
      <x:c r="Z798" s="9"/>
      <x:c r="AA798" s="9"/>
      <x:c r="AB798" s="9"/>
      <x:c r="AC798" s="9"/>
      <x:c r="AD798" s="9" t="str">
        <x:v>juggling ball</x:v>
      </x:c>
      <x:c r="AE798" s="9"/>
      <x:c r="AF798" s="9"/>
      <x:c r="AG798" s="9"/>
      <x:c r="AH798" s="9" t="str">
        <x:v>Right</x:v>
      </x:c>
      <x:c r="AI798" s="11" t="n">
        <x:v>12</x:v>
      </x:c>
      <x:c r="AJ798" s="9" t="str">
        <x:v>Primary compositional-transfer prompt paraphrase</x:v>
      </x:c>
      <x:c r="AK798" s="9" t="str">
        <x:v>Eval_Size_Recognition (1).xlsm</x:v>
      </x:c>
      <x:c r="AL798" s="9" t="str">
        <x:v>MolmoAct2 Results</x:v>
      </x:c>
      <x:c r="AM798" s="9" t="n">
        <x:v>28</x:v>
      </x:c>
      <x:c r="AN798" s="9" t="n">
        <x:v>28</x:v>
      </x:c>
    </x:row>
    <x:row r="799">
      <x:c r="A799" s="9" t="str">
        <x:v>Success</x:v>
      </x:c>
      <x:c r="B799" s="9" t="str">
        <x:v>Size Recognition</x:v>
      </x:c>
      <x:c r="C799" s="10" t="n">
        <x:v>27</x:v>
      </x:c>
      <x:c r="D799" s="9" t="str">
        <x:v>Transfer the juggling ball from the table into the bowl.</x:v>
      </x:c>
      <x:c r="E799" s="9" t="str">
        <x:v>Bowl: empty. Table, robot-left→robot-right: P1 crushed Pepsi can; P2 juggling ball. Adjacent centers 12 cm apart; row shifted 4 cm toward robot-right; all objects fully visible and grasp paths clear.</x:v>
      </x:c>
      <x:c r="F799" s="9" t="str">
        <x:v>MOVE juggling ball to bowl</x:v>
      </x:c>
      <x:c r="G799" s="9"/>
      <x:c r="H799" s="9" t="str">
        <x:v>Language robustness</x:v>
      </x:c>
      <x:c r="I799" s="9" t="str">
        <x:v>SZ-CT-SJ01</x:v>
      </x:c>
      <x:c r="J799" s="9" t="str">
        <x:v>Direct</x:v>
      </x:c>
      <x:c r="K799" s="9" t="n">
        <x:v>25</x:v>
      </x:c>
      <x:c r="L799" s="9" t="str">
        <x:v>1100</x:v>
      </x:c>
      <x:c r="M799" s="9"/>
      <x:c r="N799" s="9"/>
      <x:c r="O799" s="9" t="str">
        <x:v>Reset the target; preserve the exact scene and paraphrase only the matched-control prompt.</x:v>
      </x:c>
      <x:c r="P799" s="9" t="str">
        <x:v>Exact-scene paraphrase of the direct manipulation control.</x:v>
      </x:c>
      <x:c r="Q799" s="9"/>
      <x:c r="R799" s="10" t="n">
        <x:v>2</x:v>
      </x:c>
      <x:c r="S799" s="10"/>
      <x:c r="T799" s="9"/>
      <x:c r="U799" s="9"/>
      <x:c r="V799" s="9"/>
      <x:c r="W799" s="9"/>
      <x:c r="X799" s="10"/>
      <x:c r="Y799" s="10"/>
      <x:c r="Z799" s="9"/>
      <x:c r="AA799" s="9"/>
      <x:c r="AB799" s="9"/>
      <x:c r="AC799" s="9"/>
      <x:c r="AD799" s="9" t="str">
        <x:v>juggling ball</x:v>
      </x:c>
      <x:c r="AE799" s="9"/>
      <x:c r="AF799" s="9"/>
      <x:c r="AG799" s="9"/>
      <x:c r="AH799" s="9" t="str">
        <x:v>Right</x:v>
      </x:c>
      <x:c r="AI799" s="11" t="n">
        <x:v>12</x:v>
      </x:c>
      <x:c r="AJ799" s="9" t="str">
        <x:v>Matched-control direct prompt paraphrase</x:v>
      </x:c>
      <x:c r="AK799" s="9" t="str">
        <x:v>Eval_Size_Recognition (1).xlsm</x:v>
      </x:c>
      <x:c r="AL799" s="9" t="str">
        <x:v>MolmoAct2 Results</x:v>
      </x:c>
      <x:c r="AM799" s="9" t="n">
        <x:v>29</x:v>
      </x:c>
      <x:c r="AN799" s="9" t="n">
        <x:v>29</x:v>
      </x:c>
    </x:row>
    <x:row r="800">
      <x:c r="A800" s="9" t="str">
        <x:v>Success</x:v>
      </x:c>
      <x:c r="B800" s="9" t="str">
        <x:v>Size Recognition</x:v>
      </x:c>
      <x:c r="C800" s="10" t="n">
        <x:v>28</x:v>
      </x:c>
      <x:c r="D800" s="9" t="str">
        <x:v>Pick up the largest item and place it in the bowl.</x:v>
      </x:c>
      <x:c r="E800" s="9" t="str">
        <x:v>Bowl: empty. Table, robot-left→robot-right: P1 red pencil sharpener; P2 green block. Adjacent centers 12 cm apart; row shifted 4 cm toward robot-left; all objects fully visible and grasp paths clear.</x:v>
      </x:c>
      <x:c r="F800" s="9" t="str">
        <x:v>MOVE green block to bowl</x:v>
      </x:c>
      <x:c r="G800" s="9" t="str">
        <x:v>had a long hesitation before movement</x:v>
      </x:c>
      <x:c r="H800" s="9" t="str">
        <x:v>Concept/compositional transfer</x:v>
      </x:c>
      <x:c r="I800" s="9" t="str">
        <x:v>SZ-CT-LG02</x:v>
      </x:c>
      <x:c r="J800" s="9" t="str">
        <x:v>largest</x:v>
      </x:c>
      <x:c r="K800" s="9"/>
      <x:c r="L800" s="9" t="str">
        <x:v>1081</x:v>
      </x:c>
      <x:c r="M800" s="9"/>
      <x:c r="N800" s="9"/>
      <x:c r="O800" s="9" t="str">
        <x:v>Build the listed two-object scene and save a first-frame filename.</x:v>
      </x:c>
      <x:c r="P800" s="9" t="str">
        <x:v>Primary missing cell. Training episode 1081 contains the same target trajectory but masks the size word with a direct identity prompt.</x:v>
      </x:c>
      <x:c r="Q800" s="9"/>
      <x:c r="R800" s="10" t="n">
        <x:v>2</x:v>
      </x:c>
      <x:c r="S800" s="10"/>
      <x:c r="T800" s="9"/>
      <x:c r="U800" s="9"/>
      <x:c r="V800" s="9"/>
      <x:c r="W800" s="9"/>
      <x:c r="X800" s="10"/>
      <x:c r="Y800" s="10"/>
      <x:c r="Z800" s="9"/>
      <x:c r="AA800" s="9"/>
      <x:c r="AB800" s="9"/>
      <x:c r="AC800" s="9"/>
      <x:c r="AD800" s="9" t="str">
        <x:v>green block</x:v>
      </x:c>
      <x:c r="AE800" s="9"/>
      <x:c r="AF800" s="9"/>
      <x:c r="AG800" s="9"/>
      <x:c r="AH800" s="9" t="str">
        <x:v>Right</x:v>
      </x:c>
      <x:c r="AI800" s="11" t="n">
        <x:v>12</x:v>
      </x:c>
      <x:c r="AJ800" s="9" t="str">
        <x:v>Held-out largest × green block — Pick up</x:v>
      </x:c>
      <x:c r="AK800" s="9" t="str">
        <x:v>Eval_Size_Recognition (1).xlsm</x:v>
      </x:c>
      <x:c r="AL800" s="9" t="str">
        <x:v>MolmoAct2 Results</x:v>
      </x:c>
      <x:c r="AM800" s="9" t="n">
        <x:v>30</x:v>
      </x:c>
      <x:c r="AN800" s="9" t="n">
        <x:v>30</x:v>
      </x:c>
    </x:row>
    <x:row r="801">
      <x:c r="A801" s="9" t="str">
        <x:v>Success</x:v>
      </x:c>
      <x:c r="B801" s="9" t="str">
        <x:v>Size Recognition</x:v>
      </x:c>
      <x:c r="C801" s="10" t="n">
        <x:v>29</x:v>
      </x:c>
      <x:c r="D801" s="9" t="str">
        <x:v>Move the green block into the bowl.</x:v>
      </x:c>
      <x:c r="E801" s="9" t="str">
        <x:v>Bowl: empty. Table, robot-left→robot-right: P1 red pencil sharpener; P2 green block. Adjacent centers 12 cm apart; row shifted 4 cm toward robot-left; all objects fully visible and grasp paths clear.</x:v>
      </x:c>
      <x:c r="F801" s="9" t="str">
        <x:v>MOVE green block to bowl</x:v>
      </x:c>
      <x:c r="G801" s="9"/>
      <x:c r="H801" s="9" t="str">
        <x:v>Matched manipulation control</x:v>
      </x:c>
      <x:c r="I801" s="9" t="str">
        <x:v>SZ-CT-LG02</x:v>
      </x:c>
      <x:c r="J801" s="9" t="str">
        <x:v>Direct</x:v>
      </x:c>
      <x:c r="K801" s="9" t="n">
        <x:v>28</x:v>
      </x:c>
      <x:c r="L801" s="9" t="str">
        <x:v>1076</x:v>
      </x:c>
      <x:c r="M801" s="9"/>
      <x:c r="N801" s="9"/>
      <x:c r="O801" s="9" t="str">
        <x:v>Reset the target to its original pose; change only the prompt.</x:v>
      </x:c>
      <x:c r="P801" s="9" t="str">
        <x:v>Exact-scene control using a direct prompt supported by training episode 1076.</x:v>
      </x:c>
      <x:c r="Q801" s="9"/>
      <x:c r="R801" s="10" t="n">
        <x:v>2</x:v>
      </x:c>
      <x:c r="S801" s="10"/>
      <x:c r="T801" s="9"/>
      <x:c r="U801" s="9"/>
      <x:c r="V801" s="9"/>
      <x:c r="W801" s="9"/>
      <x:c r="X801" s="10"/>
      <x:c r="Y801" s="10"/>
      <x:c r="Z801" s="9"/>
      <x:c r="AA801" s="9"/>
      <x:c r="AB801" s="9"/>
      <x:c r="AC801" s="9"/>
      <x:c r="AD801" s="9" t="str">
        <x:v>green block</x:v>
      </x:c>
      <x:c r="AE801" s="9"/>
      <x:c r="AF801" s="9"/>
      <x:c r="AG801" s="9"/>
      <x:c r="AH801" s="9" t="str">
        <x:v>Right</x:v>
      </x:c>
      <x:c r="AI801" s="11" t="n">
        <x:v>12</x:v>
      </x:c>
      <x:c r="AJ801" s="9" t="str">
        <x:v>Same-scene direct target control</x:v>
      </x:c>
      <x:c r="AK801" s="9" t="str">
        <x:v>Eval_Size_Recognition (1).xlsm</x:v>
      </x:c>
      <x:c r="AL801" s="9" t="str">
        <x:v>MolmoAct2 Results</x:v>
      </x:c>
      <x:c r="AM801" s="9" t="n">
        <x:v>31</x:v>
      </x:c>
      <x:c r="AN801" s="9" t="n">
        <x:v>31</x:v>
      </x:c>
    </x:row>
    <x:row r="802">
      <x:c r="A802" s="9" t="str">
        <x:v>Success</x:v>
      </x:c>
      <x:c r="B802" s="9" t="str">
        <x:v>Size Recognition</x:v>
      </x:c>
      <x:c r="C802" s="10" t="n">
        <x:v>30</x:v>
      </x:c>
      <x:c r="D802" s="9" t="str">
        <x:v>Place whichever object is greatest in size inside the bowl.</x:v>
      </x:c>
      <x:c r="E802" s="9" t="str">
        <x:v>Bowl: empty. Table, robot-left→robot-right: P1 red pencil sharpener; P2 green block. Adjacent centers 12 cm apart; row shifted 4 cm toward robot-left; all objects fully visible and grasp paths clear.</x:v>
      </x:c>
      <x:c r="F802" s="9" t="str">
        <x:v>MOVE green block to bowl</x:v>
      </x:c>
      <x:c r="G802" s="9"/>
      <x:c r="H802" s="9" t="str">
        <x:v>Language robustness</x:v>
      </x:c>
      <x:c r="I802" s="9" t="str">
        <x:v>SZ-CT-LG02</x:v>
      </x:c>
      <x:c r="J802" s="9" t="str">
        <x:v>largest</x:v>
      </x:c>
      <x:c r="K802" s="9" t="n">
        <x:v>28</x:v>
      </x:c>
      <x:c r="L802" s="9" t="str">
        <x:v>1081</x:v>
      </x:c>
      <x:c r="M802" s="9"/>
      <x:c r="N802" s="9"/>
      <x:c r="O802" s="9" t="str">
        <x:v>Reset the target; preserve the exact scene and paraphrase only the transfer prompt.</x:v>
      </x:c>
      <x:c r="P802" s="9" t="str">
        <x:v>Exact-scene paraphrase of the primary transfer instruction.</x:v>
      </x:c>
      <x:c r="Q802" s="9"/>
      <x:c r="R802" s="10" t="n">
        <x:v>2</x:v>
      </x:c>
      <x:c r="S802" s="10"/>
      <x:c r="T802" s="9"/>
      <x:c r="U802" s="9"/>
      <x:c r="V802" s="9"/>
      <x:c r="W802" s="9"/>
      <x:c r="X802" s="10"/>
      <x:c r="Y802" s="10"/>
      <x:c r="Z802" s="9"/>
      <x:c r="AA802" s="9"/>
      <x:c r="AB802" s="9"/>
      <x:c r="AC802" s="9"/>
      <x:c r="AD802" s="9" t="str">
        <x:v>green block</x:v>
      </x:c>
      <x:c r="AE802" s="9"/>
      <x:c r="AF802" s="9"/>
      <x:c r="AG802" s="9"/>
      <x:c r="AH802" s="9" t="str">
        <x:v>Right</x:v>
      </x:c>
      <x:c r="AI802" s="11" t="n">
        <x:v>12</x:v>
      </x:c>
      <x:c r="AJ802" s="9" t="str">
        <x:v>Primary compositional-transfer prompt paraphrase</x:v>
      </x:c>
      <x:c r="AK802" s="9" t="str">
        <x:v>Eval_Size_Recognition (1).xlsm</x:v>
      </x:c>
      <x:c r="AL802" s="9" t="str">
        <x:v>MolmoAct2 Results</x:v>
      </x:c>
      <x:c r="AM802" s="9" t="n">
        <x:v>32</x:v>
      </x:c>
      <x:c r="AN802" s="9" t="n">
        <x:v>32</x:v>
      </x:c>
    </x:row>
    <x:row r="803">
      <x:c r="A803" s="9" t="str">
        <x:v>Success</x:v>
      </x:c>
      <x:c r="B803" s="9" t="str">
        <x:v>Size Recognition</x:v>
      </x:c>
      <x:c r="C803" s="10" t="n">
        <x:v>31</x:v>
      </x:c>
      <x:c r="D803" s="9" t="str">
        <x:v>Lift the green block and set it inside the bowl.</x:v>
      </x:c>
      <x:c r="E803" s="9" t="str">
        <x:v>Bowl: empty. Table, robot-left→robot-right: P1 red pencil sharpener; P2 green block. Adjacent centers 12 cm apart; row shifted 4 cm toward robot-left; all objects fully visible and grasp paths clear.</x:v>
      </x:c>
      <x:c r="F803" s="9" t="str">
        <x:v>MOVE green block to bowl</x:v>
      </x:c>
      <x:c r="G803" s="9"/>
      <x:c r="H803" s="9" t="str">
        <x:v>Language robustness</x:v>
      </x:c>
      <x:c r="I803" s="9" t="str">
        <x:v>SZ-CT-LG02</x:v>
      </x:c>
      <x:c r="J803" s="9" t="str">
        <x:v>Direct</x:v>
      </x:c>
      <x:c r="K803" s="9" t="n">
        <x:v>29</x:v>
      </x:c>
      <x:c r="L803" s="9" t="str">
        <x:v>1076</x:v>
      </x:c>
      <x:c r="M803" s="9"/>
      <x:c r="N803" s="9"/>
      <x:c r="O803" s="9" t="str">
        <x:v>Reset the target; preserve the exact scene and paraphrase only the matched-control prompt.</x:v>
      </x:c>
      <x:c r="P803" s="9" t="str">
        <x:v>Exact-scene paraphrase of the direct manipulation control.</x:v>
      </x:c>
      <x:c r="Q803" s="9"/>
      <x:c r="R803" s="10" t="n">
        <x:v>2</x:v>
      </x:c>
      <x:c r="S803" s="10"/>
      <x:c r="T803" s="9"/>
      <x:c r="U803" s="9"/>
      <x:c r="V803" s="9"/>
      <x:c r="W803" s="9"/>
      <x:c r="X803" s="10"/>
      <x:c r="Y803" s="10"/>
      <x:c r="Z803" s="9"/>
      <x:c r="AA803" s="9"/>
      <x:c r="AB803" s="9"/>
      <x:c r="AC803" s="9"/>
      <x:c r="AD803" s="9" t="str">
        <x:v>green block</x:v>
      </x:c>
      <x:c r="AE803" s="9"/>
      <x:c r="AF803" s="9"/>
      <x:c r="AG803" s="9"/>
      <x:c r="AH803" s="9" t="str">
        <x:v>Right</x:v>
      </x:c>
      <x:c r="AI803" s="11" t="n">
        <x:v>12</x:v>
      </x:c>
      <x:c r="AJ803" s="9" t="str">
        <x:v>Matched-control direct prompt paraphrase</x:v>
      </x:c>
      <x:c r="AK803" s="9" t="str">
        <x:v>Eval_Size_Recognition (1).xlsm</x:v>
      </x:c>
      <x:c r="AL803" s="9" t="str">
        <x:v>MolmoAct2 Results</x:v>
      </x:c>
      <x:c r="AM803" s="9" t="n">
        <x:v>33</x:v>
      </x:c>
      <x:c r="AN803" s="9" t="n">
        <x:v>33</x:v>
      </x:c>
    </x:row>
    <x:row r="804">
      <x:c r="A804" s="9" t="str">
        <x:v>Success</x:v>
      </x:c>
      <x:c r="B804" s="9" t="str">
        <x:v>Size Recognition</x:v>
      </x:c>
      <x:c r="C804" s="10" t="n">
        <x:v>32</x:v>
      </x:c>
      <x:c r="D804" s="9" t="str">
        <x:v>Put the smallest object in the bowl.</x:v>
      </x:c>
      <x:c r="E804" s="9" t="str">
        <x:v>Bowl: empty. Table, robot-left→robot-right: P1 juggling ball; P2 crushed Pepsi can. Adjacent centers 16 cm apart; row shifted 4 cm toward the robot; all objects fully visible and grasp paths clear.</x:v>
      </x:c>
      <x:c r="F804" s="9" t="str">
        <x:v>MOVE juggling ball to bowl</x:v>
      </x:c>
      <x:c r="G804" s="9"/>
      <x:c r="H804" s="9" t="str">
        <x:v>Concept/compositional transfer</x:v>
      </x:c>
      <x:c r="I804" s="9" t="str">
        <x:v>SZ-CT-SJ02</x:v>
      </x:c>
      <x:c r="J804" s="9" t="str">
        <x:v>smallest</x:v>
      </x:c>
      <x:c r="K804" s="9"/>
      <x:c r="L804" s="9" t="str">
        <x:v>1106</x:v>
      </x:c>
      <x:c r="M804" s="9"/>
      <x:c r="N804" s="9"/>
      <x:c r="O804" s="9" t="str">
        <x:v>Build the listed two-object scene and save a first-frame filename.</x:v>
      </x:c>
      <x:c r="P804" s="9" t="str">
        <x:v>Primary missing cell. Training episode 1106 contains the same target trajectory but masks the size word with a direct identity prompt.</x:v>
      </x:c>
      <x:c r="Q804" s="9"/>
      <x:c r="R804" s="10" t="n">
        <x:v>2</x:v>
      </x:c>
      <x:c r="S804" s="10"/>
      <x:c r="T804" s="9"/>
      <x:c r="U804" s="9"/>
      <x:c r="V804" s="9"/>
      <x:c r="W804" s="9"/>
      <x:c r="X804" s="10"/>
      <x:c r="Y804" s="10"/>
      <x:c r="Z804" s="9"/>
      <x:c r="AA804" s="9"/>
      <x:c r="AB804" s="9"/>
      <x:c r="AC804" s="9"/>
      <x:c r="AD804" s="9" t="str">
        <x:v>juggling ball</x:v>
      </x:c>
      <x:c r="AE804" s="9"/>
      <x:c r="AF804" s="9"/>
      <x:c r="AG804" s="9"/>
      <x:c r="AH804" s="9" t="str">
        <x:v>Left</x:v>
      </x:c>
      <x:c r="AI804" s="11" t="n">
        <x:v>16</x:v>
      </x:c>
      <x:c r="AJ804" s="9" t="str">
        <x:v>Held-out smallest × juggling ball — Put</x:v>
      </x:c>
      <x:c r="AK804" s="9" t="str">
        <x:v>Eval_Size_Recognition (1).xlsm</x:v>
      </x:c>
      <x:c r="AL804" s="9" t="str">
        <x:v>MolmoAct2 Results</x:v>
      </x:c>
      <x:c r="AM804" s="9" t="n">
        <x:v>34</x:v>
      </x:c>
      <x:c r="AN804" s="9" t="n">
        <x:v>34</x:v>
      </x:c>
    </x:row>
    <x:row r="805">
      <x:c r="A805" s="9" t="str">
        <x:v>Success</x:v>
      </x:c>
      <x:c r="B805" s="9" t="str">
        <x:v>Size Recognition</x:v>
      </x:c>
      <x:c r="C805" s="10" t="n">
        <x:v>33</x:v>
      </x:c>
      <x:c r="D805" s="9" t="str">
        <x:v>Move the juggling ball into the bowl.</x:v>
      </x:c>
      <x:c r="E805" s="9" t="str">
        <x:v>Bowl: empty. Table, robot-left→robot-right: P1 juggling ball; P2 crushed Pepsi can. Adjacent centers 16 cm apart; row shifted 4 cm toward the robot; all objects fully visible and grasp paths clear.</x:v>
      </x:c>
      <x:c r="F805" s="9" t="str">
        <x:v>MOVE juggling ball to bowl</x:v>
      </x:c>
      <x:c r="G805" s="9"/>
      <x:c r="H805" s="9" t="str">
        <x:v>Matched manipulation control</x:v>
      </x:c>
      <x:c r="I805" s="9" t="str">
        <x:v>SZ-CT-SJ02</x:v>
      </x:c>
      <x:c r="J805" s="9" t="str">
        <x:v>Direct</x:v>
      </x:c>
      <x:c r="K805" s="9" t="n">
        <x:v>32</x:v>
      </x:c>
      <x:c r="L805" s="9" t="str">
        <x:v>1101</x:v>
      </x:c>
      <x:c r="M805" s="9"/>
      <x:c r="N805" s="9"/>
      <x:c r="O805" s="9" t="str">
        <x:v>Reset the target to its original pose; change only the prompt.</x:v>
      </x:c>
      <x:c r="P805" s="9" t="str">
        <x:v>Exact-scene control using a direct prompt supported by training episode 1101.</x:v>
      </x:c>
      <x:c r="Q805" s="9"/>
      <x:c r="R805" s="10" t="n">
        <x:v>2</x:v>
      </x:c>
      <x:c r="S805" s="10"/>
      <x:c r="T805" s="9"/>
      <x:c r="U805" s="9"/>
      <x:c r="V805" s="9"/>
      <x:c r="W805" s="9"/>
      <x:c r="X805" s="10"/>
      <x:c r="Y805" s="10"/>
      <x:c r="Z805" s="9"/>
      <x:c r="AA805" s="9"/>
      <x:c r="AB805" s="9"/>
      <x:c r="AC805" s="9"/>
      <x:c r="AD805" s="9" t="str">
        <x:v>juggling ball</x:v>
      </x:c>
      <x:c r="AE805" s="9"/>
      <x:c r="AF805" s="9"/>
      <x:c r="AG805" s="9"/>
      <x:c r="AH805" s="9" t="str">
        <x:v>Left</x:v>
      </x:c>
      <x:c r="AI805" s="11" t="n">
        <x:v>16</x:v>
      </x:c>
      <x:c r="AJ805" s="9" t="str">
        <x:v>Same-scene direct target control</x:v>
      </x:c>
      <x:c r="AK805" s="9" t="str">
        <x:v>Eval_Size_Recognition (1).xlsm</x:v>
      </x:c>
      <x:c r="AL805" s="9" t="str">
        <x:v>MolmoAct2 Results</x:v>
      </x:c>
      <x:c r="AM805" s="9" t="n">
        <x:v>35</x:v>
      </x:c>
      <x:c r="AN805" s="9" t="n">
        <x:v>35</x:v>
      </x:c>
    </x:row>
    <x:row r="806">
      <x:c r="A806" s="9" t="str">
        <x:v>Success</x:v>
      </x:c>
      <x:c r="B806" s="9" t="str">
        <x:v>Size Recognition</x:v>
      </x:c>
      <x:c r="C806" s="10" t="n">
        <x:v>34</x:v>
      </x:c>
      <x:c r="D806" s="9" t="str">
        <x:v>Place whichever object is least in size inside the bowl.</x:v>
      </x:c>
      <x:c r="E806" s="9" t="str">
        <x:v>Bowl: empty. Table, robot-left→robot-right: P1 juggling ball; P2 crushed Pepsi can. Adjacent centers 16 cm apart; row shifted 4 cm toward the robot; all objects fully visible and grasp paths clear.</x:v>
      </x:c>
      <x:c r="F806" s="9" t="str">
        <x:v>MOVE juggling ball to bowl</x:v>
      </x:c>
      <x:c r="G806" s="9"/>
      <x:c r="H806" s="9" t="str">
        <x:v>Language robustness</x:v>
      </x:c>
      <x:c r="I806" s="9" t="str">
        <x:v>SZ-CT-SJ02</x:v>
      </x:c>
      <x:c r="J806" s="9" t="str">
        <x:v>smallest</x:v>
      </x:c>
      <x:c r="K806" s="9" t="n">
        <x:v>32</x:v>
      </x:c>
      <x:c r="L806" s="9" t="str">
        <x:v>1106</x:v>
      </x:c>
      <x:c r="M806" s="9"/>
      <x:c r="N806" s="9"/>
      <x:c r="O806" s="9" t="str">
        <x:v>Reset the target; preserve the exact scene and paraphrase only the transfer prompt.</x:v>
      </x:c>
      <x:c r="P806" s="9" t="str">
        <x:v>Exact-scene paraphrase of the primary transfer instruction.</x:v>
      </x:c>
      <x:c r="Q806" s="9"/>
      <x:c r="R806" s="10" t="n">
        <x:v>2</x:v>
      </x:c>
      <x:c r="S806" s="10"/>
      <x:c r="T806" s="9"/>
      <x:c r="U806" s="9"/>
      <x:c r="V806" s="9"/>
      <x:c r="W806" s="9"/>
      <x:c r="X806" s="10"/>
      <x:c r="Y806" s="10"/>
      <x:c r="Z806" s="9"/>
      <x:c r="AA806" s="9"/>
      <x:c r="AB806" s="9"/>
      <x:c r="AC806" s="9"/>
      <x:c r="AD806" s="9" t="str">
        <x:v>juggling ball</x:v>
      </x:c>
      <x:c r="AE806" s="9"/>
      <x:c r="AF806" s="9"/>
      <x:c r="AG806" s="9"/>
      <x:c r="AH806" s="9" t="str">
        <x:v>Left</x:v>
      </x:c>
      <x:c r="AI806" s="11" t="n">
        <x:v>16</x:v>
      </x:c>
      <x:c r="AJ806" s="9" t="str">
        <x:v>Primary compositional-transfer prompt paraphrase</x:v>
      </x:c>
      <x:c r="AK806" s="9" t="str">
        <x:v>Eval_Size_Recognition (1).xlsm</x:v>
      </x:c>
      <x:c r="AL806" s="9" t="str">
        <x:v>MolmoAct2 Results</x:v>
      </x:c>
      <x:c r="AM806" s="9" t="n">
        <x:v>36</x:v>
      </x:c>
      <x:c r="AN806" s="9" t="n">
        <x:v>36</x:v>
      </x:c>
    </x:row>
    <x:row r="807">
      <x:c r="A807" s="9" t="str">
        <x:v>Success</x:v>
      </x:c>
      <x:c r="B807" s="9" t="str">
        <x:v>Size Recognition</x:v>
      </x:c>
      <x:c r="C807" s="10" t="n">
        <x:v>35</x:v>
      </x:c>
      <x:c r="D807" s="9" t="str">
        <x:v>Lift the juggling ball and set it inside the bowl.</x:v>
      </x:c>
      <x:c r="E807" s="9" t="str">
        <x:v>Bowl: empty. Table, robot-left→robot-right: P1 juggling ball; P2 crushed Pepsi can. Adjacent centers 16 cm apart; row shifted 4 cm toward the robot; all objects fully visible and grasp paths clear.</x:v>
      </x:c>
      <x:c r="F807" s="9" t="str">
        <x:v>MOVE juggling ball to bowl</x:v>
      </x:c>
      <x:c r="G807" s="9"/>
      <x:c r="H807" s="9" t="str">
        <x:v>Language robustness</x:v>
      </x:c>
      <x:c r="I807" s="9" t="str">
        <x:v>SZ-CT-SJ02</x:v>
      </x:c>
      <x:c r="J807" s="9" t="str">
        <x:v>Direct</x:v>
      </x:c>
      <x:c r="K807" s="9" t="n">
        <x:v>33</x:v>
      </x:c>
      <x:c r="L807" s="9" t="str">
        <x:v>1101</x:v>
      </x:c>
      <x:c r="M807" s="9"/>
      <x:c r="N807" s="9"/>
      <x:c r="O807" s="9" t="str">
        <x:v>Reset the target; preserve the exact scene and paraphrase only the matched-control prompt.</x:v>
      </x:c>
      <x:c r="P807" s="9" t="str">
        <x:v>Exact-scene paraphrase of the direct manipulation control.</x:v>
      </x:c>
      <x:c r="Q807" s="9"/>
      <x:c r="R807" s="10" t="n">
        <x:v>2</x:v>
      </x:c>
      <x:c r="S807" s="10"/>
      <x:c r="T807" s="9"/>
      <x:c r="U807" s="9"/>
      <x:c r="V807" s="9"/>
      <x:c r="W807" s="9"/>
      <x:c r="X807" s="10"/>
      <x:c r="Y807" s="10"/>
      <x:c r="Z807" s="9"/>
      <x:c r="AA807" s="9"/>
      <x:c r="AB807" s="9"/>
      <x:c r="AC807" s="9"/>
      <x:c r="AD807" s="9" t="str">
        <x:v>juggling ball</x:v>
      </x:c>
      <x:c r="AE807" s="9"/>
      <x:c r="AF807" s="9"/>
      <x:c r="AG807" s="9"/>
      <x:c r="AH807" s="9" t="str">
        <x:v>Left</x:v>
      </x:c>
      <x:c r="AI807" s="11" t="n">
        <x:v>16</x:v>
      </x:c>
      <x:c r="AJ807" s="9" t="str">
        <x:v>Matched-control direct prompt paraphrase</x:v>
      </x:c>
      <x:c r="AK807" s="9" t="str">
        <x:v>Eval_Size_Recognition (1).xlsm</x:v>
      </x:c>
      <x:c r="AL807" s="9" t="str">
        <x:v>MolmoAct2 Results</x:v>
      </x:c>
      <x:c r="AM807" s="9" t="n">
        <x:v>37</x:v>
      </x:c>
      <x:c r="AN807" s="9" t="n">
        <x:v>37</x:v>
      </x:c>
    </x:row>
    <x:row r="808">
      <x:c r="A808" s="9" t="str">
        <x:v>Success</x:v>
      </x:c>
      <x:c r="B808" s="9" t="str">
        <x:v>Size Recognition</x:v>
      </x:c>
      <x:c r="C808" s="10" t="n">
        <x:v>36</x:v>
      </x:c>
      <x:c r="D808" s="9" t="str">
        <x:v>Put the largest object in the bowl.</x:v>
      </x:c>
      <x:c r="E808" s="9" t="str">
        <x:v>Bowl: empty. Table, robot-left→robot-right: P1 green block; P2 red pencil sharpener. Adjacent centers 16 cm apart; row shifted 4 cm toward robot-right; all objects fully visible and grasp paths clear.</x:v>
      </x:c>
      <x:c r="F808" s="9" t="str">
        <x:v>MOVE green block to bowl</x:v>
      </x:c>
      <x:c r="G808" s="9"/>
      <x:c r="H808" s="9" t="str">
        <x:v>Concept/compositional transfer</x:v>
      </x:c>
      <x:c r="I808" s="9" t="str">
        <x:v>SZ-CT-LG03</x:v>
      </x:c>
      <x:c r="J808" s="9" t="str">
        <x:v>largest</x:v>
      </x:c>
      <x:c r="K808" s="9"/>
      <x:c r="L808" s="9" t="str">
        <x:v>1082</x:v>
      </x:c>
      <x:c r="M808" s="9"/>
      <x:c r="N808" s="9"/>
      <x:c r="O808" s="9" t="str">
        <x:v>Build the listed two-object scene and save a first-frame filename.</x:v>
      </x:c>
      <x:c r="P808" s="9" t="str">
        <x:v>Primary missing cell. Training episode 1082 contains the same target trajectory but masks the size word with a direct identity prompt.</x:v>
      </x:c>
      <x:c r="Q808" s="9"/>
      <x:c r="R808" s="10" t="n">
        <x:v>2</x:v>
      </x:c>
      <x:c r="S808" s="10"/>
      <x:c r="T808" s="9"/>
      <x:c r="U808" s="9"/>
      <x:c r="V808" s="9"/>
      <x:c r="W808" s="9"/>
      <x:c r="X808" s="10"/>
      <x:c r="Y808" s="10"/>
      <x:c r="Z808" s="9"/>
      <x:c r="AA808" s="9"/>
      <x:c r="AB808" s="9"/>
      <x:c r="AC808" s="9"/>
      <x:c r="AD808" s="9" t="str">
        <x:v>green block</x:v>
      </x:c>
      <x:c r="AE808" s="9"/>
      <x:c r="AF808" s="9"/>
      <x:c r="AG808" s="9"/>
      <x:c r="AH808" s="9" t="str">
        <x:v>Left</x:v>
      </x:c>
      <x:c r="AI808" s="11" t="n">
        <x:v>16</x:v>
      </x:c>
      <x:c r="AJ808" s="9" t="str">
        <x:v>Held-out largest × green block — Put</x:v>
      </x:c>
      <x:c r="AK808" s="9" t="str">
        <x:v>Eval_Size_Recognition (1).xlsm</x:v>
      </x:c>
      <x:c r="AL808" s="9" t="str">
        <x:v>MolmoAct2 Results</x:v>
      </x:c>
      <x:c r="AM808" s="9" t="n">
        <x:v>38</x:v>
      </x:c>
      <x:c r="AN808" s="9" t="n">
        <x:v>38</x:v>
      </x:c>
    </x:row>
    <x:row r="809">
      <x:c r="A809" s="9" t="str">
        <x:v>Success</x:v>
      </x:c>
      <x:c r="B809" s="9" t="str">
        <x:v>Size Recognition</x:v>
      </x:c>
      <x:c r="C809" s="10" t="n">
        <x:v>37</x:v>
      </x:c>
      <x:c r="D809" s="9" t="str">
        <x:v>Pick up the green block and place it in the bowl.</x:v>
      </x:c>
      <x:c r="E809" s="9" t="str">
        <x:v>Bowl: empty. Table, robot-left→robot-right: P1 green block; P2 red pencil sharpener. Adjacent centers 16 cm apart; row shifted 4 cm toward robot-right; all objects fully visible and grasp paths clear.</x:v>
      </x:c>
      <x:c r="F809" s="9" t="str">
        <x:v>MOVE green block to bowl</x:v>
      </x:c>
      <x:c r="G809" s="9"/>
      <x:c r="H809" s="9" t="str">
        <x:v>Matched manipulation control</x:v>
      </x:c>
      <x:c r="I809" s="9" t="str">
        <x:v>SZ-CT-LG03</x:v>
      </x:c>
      <x:c r="J809" s="9" t="str">
        <x:v>Direct</x:v>
      </x:c>
      <x:c r="K809" s="9" t="n">
        <x:v>36</x:v>
      </x:c>
      <x:c r="L809" s="9" t="str">
        <x:v>1077</x:v>
      </x:c>
      <x:c r="M809" s="9"/>
      <x:c r="N809" s="9"/>
      <x:c r="O809" s="9" t="str">
        <x:v>Reset the target to its original pose; change only the prompt.</x:v>
      </x:c>
      <x:c r="P809" s="9" t="str">
        <x:v>Exact-scene control using a direct prompt supported by training episode 1077.</x:v>
      </x:c>
      <x:c r="Q809" s="9"/>
      <x:c r="R809" s="10" t="n">
        <x:v>2</x:v>
      </x:c>
      <x:c r="S809" s="10"/>
      <x:c r="T809" s="9"/>
      <x:c r="U809" s="9"/>
      <x:c r="V809" s="9"/>
      <x:c r="W809" s="9"/>
      <x:c r="X809" s="10"/>
      <x:c r="Y809" s="10"/>
      <x:c r="Z809" s="9"/>
      <x:c r="AA809" s="9"/>
      <x:c r="AB809" s="9"/>
      <x:c r="AC809" s="9"/>
      <x:c r="AD809" s="9" t="str">
        <x:v>green block</x:v>
      </x:c>
      <x:c r="AE809" s="9"/>
      <x:c r="AF809" s="9"/>
      <x:c r="AG809" s="9"/>
      <x:c r="AH809" s="9" t="str">
        <x:v>Left</x:v>
      </x:c>
      <x:c r="AI809" s="11" t="n">
        <x:v>16</x:v>
      </x:c>
      <x:c r="AJ809" s="9" t="str">
        <x:v>Same-scene direct target control</x:v>
      </x:c>
      <x:c r="AK809" s="9" t="str">
        <x:v>Eval_Size_Recognition (1).xlsm</x:v>
      </x:c>
      <x:c r="AL809" s="9" t="str">
        <x:v>MolmoAct2 Results</x:v>
      </x:c>
      <x:c r="AM809" s="9" t="n">
        <x:v>39</x:v>
      </x:c>
      <x:c r="AN809" s="9" t="n">
        <x:v>39</x:v>
      </x:c>
    </x:row>
    <x:row r="810">
      <x:c r="A810" s="9" t="str">
        <x:v>Success</x:v>
      </x:c>
      <x:c r="B810" s="9" t="str">
        <x:v>Size Recognition</x:v>
      </x:c>
      <x:c r="C810" s="10" t="n">
        <x:v>38</x:v>
      </x:c>
      <x:c r="D810" s="9" t="str">
        <x:v>Select the bigger object and put it into the bowl.</x:v>
      </x:c>
      <x:c r="E810" s="9" t="str">
        <x:v>Bowl: empty. Table, robot-left→robot-right: P1 green block; P2 red pencil sharpener. Adjacent centers 16 cm apart; row shifted 4 cm toward robot-right; all objects fully visible and grasp paths clear.</x:v>
      </x:c>
      <x:c r="F810" s="9" t="str">
        <x:v>MOVE green block to bowl</x:v>
      </x:c>
      <x:c r="G810" s="9"/>
      <x:c r="H810" s="9" t="str">
        <x:v>Language robustness</x:v>
      </x:c>
      <x:c r="I810" s="9" t="str">
        <x:v>SZ-CT-LG03</x:v>
      </x:c>
      <x:c r="J810" s="9" t="str">
        <x:v>largest</x:v>
      </x:c>
      <x:c r="K810" s="9" t="n">
        <x:v>36</x:v>
      </x:c>
      <x:c r="L810" s="9" t="str">
        <x:v>1082</x:v>
      </x:c>
      <x:c r="M810" s="9"/>
      <x:c r="N810" s="9"/>
      <x:c r="O810" s="9" t="str">
        <x:v>Reset the target; preserve the exact scene and paraphrase only the transfer prompt.</x:v>
      </x:c>
      <x:c r="P810" s="9" t="str">
        <x:v>Exact-scene paraphrase of the primary transfer instruction.</x:v>
      </x:c>
      <x:c r="Q810" s="9"/>
      <x:c r="R810" s="10" t="n">
        <x:v>2</x:v>
      </x:c>
      <x:c r="S810" s="10"/>
      <x:c r="T810" s="9"/>
      <x:c r="U810" s="9"/>
      <x:c r="V810" s="9"/>
      <x:c r="W810" s="9"/>
      <x:c r="X810" s="10"/>
      <x:c r="Y810" s="10"/>
      <x:c r="Z810" s="9"/>
      <x:c r="AA810" s="9"/>
      <x:c r="AB810" s="9"/>
      <x:c r="AC810" s="9"/>
      <x:c r="AD810" s="9" t="str">
        <x:v>green block</x:v>
      </x:c>
      <x:c r="AE810" s="9"/>
      <x:c r="AF810" s="9"/>
      <x:c r="AG810" s="9"/>
      <x:c r="AH810" s="9" t="str">
        <x:v>Left</x:v>
      </x:c>
      <x:c r="AI810" s="11" t="n">
        <x:v>16</x:v>
      </x:c>
      <x:c r="AJ810" s="9" t="str">
        <x:v>Primary compositional-transfer prompt paraphrase</x:v>
      </x:c>
      <x:c r="AK810" s="9" t="str">
        <x:v>Eval_Size_Recognition (1).xlsm</x:v>
      </x:c>
      <x:c r="AL810" s="9" t="str">
        <x:v>MolmoAct2 Results</x:v>
      </x:c>
      <x:c r="AM810" s="9" t="n">
        <x:v>40</x:v>
      </x:c>
      <x:c r="AN810" s="9" t="n">
        <x:v>40</x:v>
      </x:c>
    </x:row>
    <x:row r="811">
      <x:c r="A811" s="9" t="str">
        <x:v>Success</x:v>
      </x:c>
      <x:c r="B811" s="9" t="str">
        <x:v>Size Recognition</x:v>
      </x:c>
      <x:c r="C811" s="10" t="n">
        <x:v>39</x:v>
      </x:c>
      <x:c r="D811" s="9" t="str">
        <x:v>Move the green block off the table and into the bowl.</x:v>
      </x:c>
      <x:c r="E811" s="9" t="str">
        <x:v>Bowl: empty. Table, robot-left→robot-right: P1 green block; P2 red pencil sharpener. Adjacent centers 16 cm apart; row shifted 4 cm toward robot-right; all objects fully visible and grasp paths clear.</x:v>
      </x:c>
      <x:c r="F811" s="9" t="str">
        <x:v>MOVE green block to bowl</x:v>
      </x:c>
      <x:c r="G811" s="9"/>
      <x:c r="H811" s="9" t="str">
        <x:v>Language robustness</x:v>
      </x:c>
      <x:c r="I811" s="9" t="str">
        <x:v>SZ-CT-LG03</x:v>
      </x:c>
      <x:c r="J811" s="9" t="str">
        <x:v>Direct</x:v>
      </x:c>
      <x:c r="K811" s="9" t="n">
        <x:v>37</x:v>
      </x:c>
      <x:c r="L811" s="9" t="str">
        <x:v>1077</x:v>
      </x:c>
      <x:c r="M811" s="9"/>
      <x:c r="N811" s="9"/>
      <x:c r="O811" s="9" t="str">
        <x:v>Reset the target; preserve the exact scene and paraphrase only the matched-control prompt.</x:v>
      </x:c>
      <x:c r="P811" s="9" t="str">
        <x:v>Exact-scene paraphrase of the direct manipulation control.</x:v>
      </x:c>
      <x:c r="Q811" s="9"/>
      <x:c r="R811" s="10" t="n">
        <x:v>2</x:v>
      </x:c>
      <x:c r="S811" s="10"/>
      <x:c r="T811" s="9"/>
      <x:c r="U811" s="9"/>
      <x:c r="V811" s="9"/>
      <x:c r="W811" s="9"/>
      <x:c r="X811" s="10"/>
      <x:c r="Y811" s="10"/>
      <x:c r="Z811" s="9"/>
      <x:c r="AA811" s="9"/>
      <x:c r="AB811" s="9"/>
      <x:c r="AC811" s="9"/>
      <x:c r="AD811" s="9" t="str">
        <x:v>green block</x:v>
      </x:c>
      <x:c r="AE811" s="9"/>
      <x:c r="AF811" s="9"/>
      <x:c r="AG811" s="9"/>
      <x:c r="AH811" s="9" t="str">
        <x:v>Left</x:v>
      </x:c>
      <x:c r="AI811" s="11" t="n">
        <x:v>16</x:v>
      </x:c>
      <x:c r="AJ811" s="9" t="str">
        <x:v>Matched-control direct prompt paraphrase</x:v>
      </x:c>
      <x:c r="AK811" s="9" t="str">
        <x:v>Eval_Size_Recognition (1).xlsm</x:v>
      </x:c>
      <x:c r="AL811" s="9" t="str">
        <x:v>MolmoAct2 Results</x:v>
      </x:c>
      <x:c r="AM811" s="9" t="n">
        <x:v>41</x:v>
      </x:c>
      <x:c r="AN811" s="9" t="n">
        <x:v>41</x:v>
      </x:c>
    </x:row>
    <x:row r="812">
      <x:c r="A812" s="9" t="str">
        <x:v>Success</x:v>
      </x:c>
      <x:c r="B812" s="9" t="str">
        <x:v>Size Recognition</x:v>
      </x:c>
      <x:c r="C812" s="10" t="n">
        <x:v>40</x:v>
      </x:c>
      <x:c r="D812" s="9" t="str">
        <x:v>Move the object that is smallest into the bowl.</x:v>
      </x:c>
      <x:c r="E812" s="9" t="str">
        <x:v>Bowl: empty. Table, robot-left→robot-right: P1 crushed Pepsi can; P2 juggling ball. Adjacent centers 8 cm apart; row shifted 4 cm away from the robot; all objects fully visible and grasp paths clear.</x:v>
      </x:c>
      <x:c r="F812" s="9" t="str">
        <x:v>MOVE juggling ball to bowl</x:v>
      </x:c>
      <x:c r="G812" s="9"/>
      <x:c r="H812" s="9" t="str">
        <x:v>Concept/compositional transfer</x:v>
      </x:c>
      <x:c r="I812" s="9" t="str">
        <x:v>SZ-CT-SJ03</x:v>
      </x:c>
      <x:c r="J812" s="9" t="str">
        <x:v>smallest</x:v>
      </x:c>
      <x:c r="K812" s="9"/>
      <x:c r="L812" s="9" t="str">
        <x:v>1107</x:v>
      </x:c>
      <x:c r="M812" s="9"/>
      <x:c r="N812" s="9"/>
      <x:c r="O812" s="9" t="str">
        <x:v>Build the listed two-object scene and save a first-frame filename.</x:v>
      </x:c>
      <x:c r="P812" s="9" t="str">
        <x:v>Primary missing cell. Training episode 1107 contains the same target trajectory but masks the size word with a direct identity prompt.</x:v>
      </x:c>
      <x:c r="Q812" s="9"/>
      <x:c r="R812" s="10" t="n">
        <x:v>2</x:v>
      </x:c>
      <x:c r="S812" s="10"/>
      <x:c r="T812" s="9"/>
      <x:c r="U812" s="9"/>
      <x:c r="V812" s="9"/>
      <x:c r="W812" s="9"/>
      <x:c r="X812" s="10"/>
      <x:c r="Y812" s="10"/>
      <x:c r="Z812" s="9"/>
      <x:c r="AA812" s="9"/>
      <x:c r="AB812" s="9"/>
      <x:c r="AC812" s="9"/>
      <x:c r="AD812" s="9" t="str">
        <x:v>juggling ball</x:v>
      </x:c>
      <x:c r="AE812" s="9"/>
      <x:c r="AF812" s="9"/>
      <x:c r="AG812" s="9"/>
      <x:c r="AH812" s="9" t="str">
        <x:v>Right</x:v>
      </x:c>
      <x:c r="AI812" s="11" t="n">
        <x:v>8</x:v>
      </x:c>
      <x:c r="AJ812" s="9" t="str">
        <x:v>Held-out smallest × juggling ball — Move</x:v>
      </x:c>
      <x:c r="AK812" s="9" t="str">
        <x:v>Eval_Size_Recognition (1).xlsm</x:v>
      </x:c>
      <x:c r="AL812" s="9" t="str">
        <x:v>MolmoAct2 Results</x:v>
      </x:c>
      <x:c r="AM812" s="9" t="n">
        <x:v>42</x:v>
      </x:c>
      <x:c r="AN812" s="9" t="n">
        <x:v>42</x:v>
      </x:c>
    </x:row>
    <x:row r="813">
      <x:c r="A813" s="9" t="str">
        <x:v>Success</x:v>
      </x:c>
      <x:c r="B813" s="9" t="str">
        <x:v>Size Recognition</x:v>
      </x:c>
      <x:c r="C813" s="10" t="n">
        <x:v>41</x:v>
      </x:c>
      <x:c r="D813" s="9" t="str">
        <x:v>Pick up the juggling ball and place it in the bowl.</x:v>
      </x:c>
      <x:c r="E813" s="9" t="str">
        <x:v>Bowl: empty. Table, robot-left→robot-right: P1 crushed Pepsi can; P2 juggling ball. Adjacent centers 8 cm apart; row shifted 4 cm away from the robot; all objects fully visible and grasp paths clear.</x:v>
      </x:c>
      <x:c r="F813" s="9" t="str">
        <x:v>MOVE juggling ball to bowl</x:v>
      </x:c>
      <x:c r="G813" s="9"/>
      <x:c r="H813" s="9" t="str">
        <x:v>Matched manipulation control</x:v>
      </x:c>
      <x:c r="I813" s="9" t="str">
        <x:v>SZ-CT-SJ03</x:v>
      </x:c>
      <x:c r="J813" s="9" t="str">
        <x:v>Direct</x:v>
      </x:c>
      <x:c r="K813" s="9" t="n">
        <x:v>40</x:v>
      </x:c>
      <x:c r="L813" s="9" t="str">
        <x:v>1102</x:v>
      </x:c>
      <x:c r="M813" s="9"/>
      <x:c r="N813" s="9"/>
      <x:c r="O813" s="9" t="str">
        <x:v>Reset the target to its original pose; change only the prompt.</x:v>
      </x:c>
      <x:c r="P813" s="9" t="str">
        <x:v>Exact-scene control using a direct prompt supported by training episode 1102.</x:v>
      </x:c>
      <x:c r="Q813" s="9"/>
      <x:c r="R813" s="10" t="n">
        <x:v>2</x:v>
      </x:c>
      <x:c r="S813" s="10"/>
      <x:c r="T813" s="9"/>
      <x:c r="U813" s="9"/>
      <x:c r="V813" s="9"/>
      <x:c r="W813" s="9"/>
      <x:c r="X813" s="10"/>
      <x:c r="Y813" s="10"/>
      <x:c r="Z813" s="9"/>
      <x:c r="AA813" s="9"/>
      <x:c r="AB813" s="9"/>
      <x:c r="AC813" s="9"/>
      <x:c r="AD813" s="9" t="str">
        <x:v>juggling ball</x:v>
      </x:c>
      <x:c r="AE813" s="9"/>
      <x:c r="AF813" s="9"/>
      <x:c r="AG813" s="9"/>
      <x:c r="AH813" s="9" t="str">
        <x:v>Right</x:v>
      </x:c>
      <x:c r="AI813" s="11" t="n">
        <x:v>8</x:v>
      </x:c>
      <x:c r="AJ813" s="9" t="str">
        <x:v>Same-scene direct target control</x:v>
      </x:c>
      <x:c r="AK813" s="9" t="str">
        <x:v>Eval_Size_Recognition (1).xlsm</x:v>
      </x:c>
      <x:c r="AL813" s="9" t="str">
        <x:v>MolmoAct2 Results</x:v>
      </x:c>
      <x:c r="AM813" s="9" t="n">
        <x:v>43</x:v>
      </x:c>
      <x:c r="AN813" s="9" t="n">
        <x:v>43</x:v>
      </x:c>
    </x:row>
    <x:row r="814">
      <x:c r="A814" s="9" t="str">
        <x:v>Success</x:v>
      </x:c>
      <x:c r="B814" s="9" t="str">
        <x:v>Size Recognition</x:v>
      </x:c>
      <x:c r="C814" s="10" t="n">
        <x:v>42</x:v>
      </x:c>
      <x:c r="D814" s="9" t="str">
        <x:v>Select the smaller object and put it into the bowl.</x:v>
      </x:c>
      <x:c r="E814" s="9" t="str">
        <x:v>Bowl: empty. Table, robot-left→robot-right: P1 crushed Pepsi can; P2 juggling ball. Adjacent centers 8 cm apart; row shifted 4 cm away from the robot; all objects fully visible and grasp paths clear.</x:v>
      </x:c>
      <x:c r="F814" s="9" t="str">
        <x:v>MOVE juggling ball to bowl</x:v>
      </x:c>
      <x:c r="G814" s="9"/>
      <x:c r="H814" s="9" t="str">
        <x:v>Language robustness</x:v>
      </x:c>
      <x:c r="I814" s="9" t="str">
        <x:v>SZ-CT-SJ03</x:v>
      </x:c>
      <x:c r="J814" s="9" t="str">
        <x:v>smallest</x:v>
      </x:c>
      <x:c r="K814" s="9" t="n">
        <x:v>40</x:v>
      </x:c>
      <x:c r="L814" s="9" t="str">
        <x:v>1107</x:v>
      </x:c>
      <x:c r="M814" s="9"/>
      <x:c r="N814" s="9"/>
      <x:c r="O814" s="9" t="str">
        <x:v>Reset the target; preserve the exact scene and paraphrase only the transfer prompt.</x:v>
      </x:c>
      <x:c r="P814" s="9" t="str">
        <x:v>Exact-scene paraphrase of the primary transfer instruction.</x:v>
      </x:c>
      <x:c r="Q814" s="9"/>
      <x:c r="R814" s="10" t="n">
        <x:v>2</x:v>
      </x:c>
      <x:c r="S814" s="10"/>
      <x:c r="T814" s="9"/>
      <x:c r="U814" s="9"/>
      <x:c r="V814" s="9"/>
      <x:c r="W814" s="9"/>
      <x:c r="X814" s="10"/>
      <x:c r="Y814" s="10"/>
      <x:c r="Z814" s="9"/>
      <x:c r="AA814" s="9"/>
      <x:c r="AB814" s="9"/>
      <x:c r="AC814" s="9"/>
      <x:c r="AD814" s="9" t="str">
        <x:v>juggling ball</x:v>
      </x:c>
      <x:c r="AE814" s="9"/>
      <x:c r="AF814" s="9"/>
      <x:c r="AG814" s="9"/>
      <x:c r="AH814" s="9" t="str">
        <x:v>Right</x:v>
      </x:c>
      <x:c r="AI814" s="11" t="n">
        <x:v>8</x:v>
      </x:c>
      <x:c r="AJ814" s="9" t="str">
        <x:v>Primary compositional-transfer prompt paraphrase</x:v>
      </x:c>
      <x:c r="AK814" s="9" t="str">
        <x:v>Eval_Size_Recognition (1).xlsm</x:v>
      </x:c>
      <x:c r="AL814" s="9" t="str">
        <x:v>MolmoAct2 Results</x:v>
      </x:c>
      <x:c r="AM814" s="9" t="n">
        <x:v>44</x:v>
      </x:c>
      <x:c r="AN814" s="9" t="n">
        <x:v>44</x:v>
      </x:c>
    </x:row>
    <x:row r="815">
      <x:c r="A815" s="9" t="str">
        <x:v>Success</x:v>
      </x:c>
      <x:c r="B815" s="9" t="str">
        <x:v>Size Recognition</x:v>
      </x:c>
      <x:c r="C815" s="10" t="n">
        <x:v>43</x:v>
      </x:c>
      <x:c r="D815" s="9" t="str">
        <x:v>Move the juggling ball off the table and into the bowl.</x:v>
      </x:c>
      <x:c r="E815" s="9" t="str">
        <x:v>Bowl: empty. Table, robot-left→robot-right: P1 crushed Pepsi can; P2 juggling ball. Adjacent centers 8 cm apart; row shifted 4 cm away from the robot; all objects fully visible and grasp paths clear.</x:v>
      </x:c>
      <x:c r="F815" s="9" t="str">
        <x:v>MOVE juggling ball to bowl</x:v>
      </x:c>
      <x:c r="G815" s="9"/>
      <x:c r="H815" s="9" t="str">
        <x:v>Language robustness</x:v>
      </x:c>
      <x:c r="I815" s="9" t="str">
        <x:v>SZ-CT-SJ03</x:v>
      </x:c>
      <x:c r="J815" s="9" t="str">
        <x:v>Direct</x:v>
      </x:c>
      <x:c r="K815" s="9" t="n">
        <x:v>41</x:v>
      </x:c>
      <x:c r="L815" s="9" t="str">
        <x:v>1102</x:v>
      </x:c>
      <x:c r="M815" s="9"/>
      <x:c r="N815" s="9"/>
      <x:c r="O815" s="9" t="str">
        <x:v>Reset the target; preserve the exact scene and paraphrase only the matched-control prompt.</x:v>
      </x:c>
      <x:c r="P815" s="9" t="str">
        <x:v>Exact-scene paraphrase of the direct manipulation control.</x:v>
      </x:c>
      <x:c r="Q815" s="9"/>
      <x:c r="R815" s="10" t="n">
        <x:v>2</x:v>
      </x:c>
      <x:c r="S815" s="10"/>
      <x:c r="T815" s="9"/>
      <x:c r="U815" s="9"/>
      <x:c r="V815" s="9"/>
      <x:c r="W815" s="9"/>
      <x:c r="X815" s="10"/>
      <x:c r="Y815" s="10"/>
      <x:c r="Z815" s="9"/>
      <x:c r="AA815" s="9"/>
      <x:c r="AB815" s="9"/>
      <x:c r="AC815" s="9"/>
      <x:c r="AD815" s="9" t="str">
        <x:v>juggling ball</x:v>
      </x:c>
      <x:c r="AE815" s="9"/>
      <x:c r="AF815" s="9"/>
      <x:c r="AG815" s="9"/>
      <x:c r="AH815" s="9" t="str">
        <x:v>Right</x:v>
      </x:c>
      <x:c r="AI815" s="11" t="n">
        <x:v>8</x:v>
      </x:c>
      <x:c r="AJ815" s="9" t="str">
        <x:v>Matched-control direct prompt paraphrase</x:v>
      </x:c>
      <x:c r="AK815" s="9" t="str">
        <x:v>Eval_Size_Recognition (1).xlsm</x:v>
      </x:c>
      <x:c r="AL815" s="9" t="str">
        <x:v>MolmoAct2 Results</x:v>
      </x:c>
      <x:c r="AM815" s="9" t="n">
        <x:v>45</x:v>
      </x:c>
      <x:c r="AN815" s="9" t="n">
        <x:v>45</x:v>
      </x:c>
    </x:row>
    <x:row r="816">
      <x:c r="A816" s="9" t="str">
        <x:v>Failure</x:v>
      </x:c>
      <x:c r="B816" s="9" t="str">
        <x:v>Size Recognition</x:v>
      </x:c>
      <x:c r="C816" s="10" t="n">
        <x:v>44</x:v>
      </x:c>
      <x:c r="D816" s="9" t="str">
        <x:v>Move the object that is largest into the bowl.</x:v>
      </x:c>
      <x:c r="E816" s="9" t="str">
        <x:v>Bowl: empty. Table, robot-left→robot-right: P1 red pencil sharpener; P2 green block. Adjacent centers 8 cm apart; row shifted 4 cm toward the robot; all objects fully visible and grasp paths clear.</x:v>
      </x:c>
      <x:c r="F816" s="9" t="str">
        <x:v>MOVE green block to bowl</x:v>
      </x:c>
      <x:c r="G816" s="9" t="str">
        <x:v>picked red pencil sharpener</x:v>
      </x:c>
      <x:c r="H816" s="9" t="str">
        <x:v>Concept/compositional transfer</x:v>
      </x:c>
      <x:c r="I816" s="9" t="str">
        <x:v>SZ-CT-LG04</x:v>
      </x:c>
      <x:c r="J816" s="9" t="str">
        <x:v>largest</x:v>
      </x:c>
      <x:c r="K816" s="9"/>
      <x:c r="L816" s="9" t="str">
        <x:v>1083</x:v>
      </x:c>
      <x:c r="M816" s="9"/>
      <x:c r="N816" s="9"/>
      <x:c r="O816" s="9" t="str">
        <x:v>Build the listed two-object scene and save a first-frame filename.</x:v>
      </x:c>
      <x:c r="P816" s="9" t="str">
        <x:v>Primary missing cell. Training episode 1083 contains the same target trajectory but masks the size word with a direct identity prompt.</x:v>
      </x:c>
      <x:c r="Q816" s="9"/>
      <x:c r="R816" s="10" t="n">
        <x:v>2</x:v>
      </x:c>
      <x:c r="S816" s="10"/>
      <x:c r="T816" s="9"/>
      <x:c r="U816" s="9"/>
      <x:c r="V816" s="9"/>
      <x:c r="W816" s="9"/>
      <x:c r="X816" s="10"/>
      <x:c r="Y816" s="10"/>
      <x:c r="Z816" s="9"/>
      <x:c r="AA816" s="9"/>
      <x:c r="AB816" s="9"/>
      <x:c r="AC816" s="9"/>
      <x:c r="AD816" s="9" t="str">
        <x:v>green block</x:v>
      </x:c>
      <x:c r="AE816" s="9"/>
      <x:c r="AF816" s="9"/>
      <x:c r="AG816" s="9"/>
      <x:c r="AH816" s="9" t="str">
        <x:v>Right</x:v>
      </x:c>
      <x:c r="AI816" s="11" t="n">
        <x:v>8</x:v>
      </x:c>
      <x:c r="AJ816" s="9" t="str">
        <x:v>Held-out largest × green block — Move</x:v>
      </x:c>
      <x:c r="AK816" s="9" t="str">
        <x:v>Eval_Size_Recognition (1).xlsm</x:v>
      </x:c>
      <x:c r="AL816" s="9" t="str">
        <x:v>MolmoAct2 Results</x:v>
      </x:c>
      <x:c r="AM816" s="9" t="n">
        <x:v>46</x:v>
      </x:c>
      <x:c r="AN816" s="9" t="n">
        <x:v>46</x:v>
      </x:c>
    </x:row>
    <x:row r="817">
      <x:c r="A817" s="9" t="str">
        <x:v>Success</x:v>
      </x:c>
      <x:c r="B817" s="9" t="str">
        <x:v>Size Recognition</x:v>
      </x:c>
      <x:c r="C817" s="10" t="n">
        <x:v>45</x:v>
      </x:c>
      <x:c r="D817" s="9" t="str">
        <x:v>Put the green block in the bowl.</x:v>
      </x:c>
      <x:c r="E817" s="9" t="str">
        <x:v>Bowl: empty. Table, robot-left→robot-right: P1 red pencil sharpener; P2 green block. Adjacent centers 8 cm apart; row shifted 4 cm toward the robot; all objects fully visible and grasp paths clear.</x:v>
      </x:c>
      <x:c r="F817" s="9" t="str">
        <x:v>MOVE green block to bowl</x:v>
      </x:c>
      <x:c r="G817" s="9"/>
      <x:c r="H817" s="9" t="str">
        <x:v>Matched manipulation control</x:v>
      </x:c>
      <x:c r="I817" s="9" t="str">
        <x:v>SZ-CT-LG04</x:v>
      </x:c>
      <x:c r="J817" s="9" t="str">
        <x:v>Direct</x:v>
      </x:c>
      <x:c r="K817" s="9" t="n">
        <x:v>44</x:v>
      </x:c>
      <x:c r="L817" s="9" t="str">
        <x:v>1078</x:v>
      </x:c>
      <x:c r="M817" s="9"/>
      <x:c r="N817" s="9"/>
      <x:c r="O817" s="9" t="str">
        <x:v>Reset the target to its original pose; change only the prompt.</x:v>
      </x:c>
      <x:c r="P817" s="9" t="str">
        <x:v>Exact-scene control using a direct prompt supported by training episode 1078.</x:v>
      </x:c>
      <x:c r="Q817" s="9"/>
      <x:c r="R817" s="10" t="n">
        <x:v>2</x:v>
      </x:c>
      <x:c r="S817" s="10"/>
      <x:c r="T817" s="9"/>
      <x:c r="U817" s="9"/>
      <x:c r="V817" s="9"/>
      <x:c r="W817" s="9"/>
      <x:c r="X817" s="10"/>
      <x:c r="Y817" s="10"/>
      <x:c r="Z817" s="9"/>
      <x:c r="AA817" s="9"/>
      <x:c r="AB817" s="9"/>
      <x:c r="AC817" s="9"/>
      <x:c r="AD817" s="9" t="str">
        <x:v>green block</x:v>
      </x:c>
      <x:c r="AE817" s="9"/>
      <x:c r="AF817" s="9"/>
      <x:c r="AG817" s="9"/>
      <x:c r="AH817" s="9" t="str">
        <x:v>Right</x:v>
      </x:c>
      <x:c r="AI817" s="11" t="n">
        <x:v>8</x:v>
      </x:c>
      <x:c r="AJ817" s="9" t="str">
        <x:v>Same-scene direct target control</x:v>
      </x:c>
      <x:c r="AK817" s="9" t="str">
        <x:v>Eval_Size_Recognition (1).xlsm</x:v>
      </x:c>
      <x:c r="AL817" s="9" t="str">
        <x:v>MolmoAct2 Results</x:v>
      </x:c>
      <x:c r="AM817" s="9" t="n">
        <x:v>47</x:v>
      </x:c>
      <x:c r="AN817" s="9" t="n">
        <x:v>47</x:v>
      </x:c>
    </x:row>
    <x:row r="818">
      <x:c r="A818" s="9" t="str">
        <x:v>Failure</x:v>
      </x:c>
      <x:c r="B818" s="9" t="str">
        <x:v>Size Recognition</x:v>
      </x:c>
      <x:c r="C818" s="10" t="n">
        <x:v>46</x:v>
      </x:c>
      <x:c r="D818" s="9" t="str">
        <x:v>Find the greatest-sized item and move it to the bowl.</x:v>
      </x:c>
      <x:c r="E818" s="9" t="str">
        <x:v>Bowl: empty. Table, robot-left→robot-right: P1 red pencil sharpener; P2 green block. Adjacent centers 8 cm apart; row shifted 4 cm toward the robot; all objects fully visible and grasp paths clear.</x:v>
      </x:c>
      <x:c r="F818" s="9" t="str">
        <x:v>MOVE green block to bowl</x:v>
      </x:c>
      <x:c r="G818" s="9" t="str">
        <x:v>took a very long pause and then went for the red pencil sharpener. Didn't finish rollout since time ran out.</x:v>
      </x:c>
      <x:c r="H818" s="9" t="str">
        <x:v>Language robustness</x:v>
      </x:c>
      <x:c r="I818" s="9" t="str">
        <x:v>SZ-CT-LG04</x:v>
      </x:c>
      <x:c r="J818" s="9" t="str">
        <x:v>largest</x:v>
      </x:c>
      <x:c r="K818" s="9" t="n">
        <x:v>44</x:v>
      </x:c>
      <x:c r="L818" s="9" t="str">
        <x:v>1083</x:v>
      </x:c>
      <x:c r="M818" s="9"/>
      <x:c r="N818" s="9"/>
      <x:c r="O818" s="9" t="str">
        <x:v>Reset the target; preserve the exact scene and paraphrase only the transfer prompt.</x:v>
      </x:c>
      <x:c r="P818" s="9" t="str">
        <x:v>Exact-scene paraphrase of the primary transfer instruction.</x:v>
      </x:c>
      <x:c r="Q818" s="9"/>
      <x:c r="R818" s="10" t="n">
        <x:v>2</x:v>
      </x:c>
      <x:c r="S818" s="10"/>
      <x:c r="T818" s="9"/>
      <x:c r="U818" s="9"/>
      <x:c r="V818" s="9"/>
      <x:c r="W818" s="9"/>
      <x:c r="X818" s="10"/>
      <x:c r="Y818" s="10"/>
      <x:c r="Z818" s="9"/>
      <x:c r="AA818" s="9"/>
      <x:c r="AB818" s="9"/>
      <x:c r="AC818" s="9"/>
      <x:c r="AD818" s="9" t="str">
        <x:v>green block</x:v>
      </x:c>
      <x:c r="AE818" s="9"/>
      <x:c r="AF818" s="9"/>
      <x:c r="AG818" s="9"/>
      <x:c r="AH818" s="9" t="str">
        <x:v>Right</x:v>
      </x:c>
      <x:c r="AI818" s="11" t="n">
        <x:v>8</x:v>
      </x:c>
      <x:c r="AJ818" s="9" t="str">
        <x:v>Primary compositional-transfer prompt paraphrase</x:v>
      </x:c>
      <x:c r="AK818" s="9" t="str">
        <x:v>Eval_Size_Recognition (1).xlsm</x:v>
      </x:c>
      <x:c r="AL818" s="9" t="str">
        <x:v>MolmoAct2 Results</x:v>
      </x:c>
      <x:c r="AM818" s="9" t="n">
        <x:v>48</x:v>
      </x:c>
      <x:c r="AN818" s="9" t="n">
        <x:v>48</x:v>
      </x:c>
    </x:row>
    <x:row r="819">
      <x:c r="A819" s="9" t="str">
        <x:v>Success</x:v>
      </x:c>
      <x:c r="B819" s="9" t="str">
        <x:v>Size Recognition</x:v>
      </x:c>
      <x:c r="C819" s="10" t="n">
        <x:v>47</x:v>
      </x:c>
      <x:c r="D819" s="9" t="str">
        <x:v>Place the table's green block inside the bowl.</x:v>
      </x:c>
      <x:c r="E819" s="9" t="str">
        <x:v>Bowl: empty. Table, robot-left→robot-right: P1 red pencil sharpener; P2 green block. Adjacent centers 8 cm apart; row shifted 4 cm toward the robot; all objects fully visible and grasp paths clear.</x:v>
      </x:c>
      <x:c r="F819" s="9" t="str">
        <x:v>MOVE green block to bowl</x:v>
      </x:c>
      <x:c r="G819" s="9"/>
      <x:c r="H819" s="9" t="str">
        <x:v>Language robustness</x:v>
      </x:c>
      <x:c r="I819" s="9" t="str">
        <x:v>SZ-CT-LG04</x:v>
      </x:c>
      <x:c r="J819" s="9" t="str">
        <x:v>Direct</x:v>
      </x:c>
      <x:c r="K819" s="9" t="n">
        <x:v>45</x:v>
      </x:c>
      <x:c r="L819" s="9" t="str">
        <x:v>1078</x:v>
      </x:c>
      <x:c r="M819" s="9"/>
      <x:c r="N819" s="9"/>
      <x:c r="O819" s="9" t="str">
        <x:v>Reset the target; preserve the exact scene and paraphrase only the matched-control prompt.</x:v>
      </x:c>
      <x:c r="P819" s="9" t="str">
        <x:v>Exact-scene paraphrase of the direct manipulation control.</x:v>
      </x:c>
      <x:c r="Q819" s="9"/>
      <x:c r="R819" s="10" t="n">
        <x:v>2</x:v>
      </x:c>
      <x:c r="S819" s="10"/>
      <x:c r="T819" s="9"/>
      <x:c r="U819" s="9"/>
      <x:c r="V819" s="9"/>
      <x:c r="W819" s="9"/>
      <x:c r="X819" s="10"/>
      <x:c r="Y819" s="10"/>
      <x:c r="Z819" s="9"/>
      <x:c r="AA819" s="9"/>
      <x:c r="AB819" s="9"/>
      <x:c r="AC819" s="9"/>
      <x:c r="AD819" s="9" t="str">
        <x:v>green block</x:v>
      </x:c>
      <x:c r="AE819" s="9"/>
      <x:c r="AF819" s="9"/>
      <x:c r="AG819" s="9"/>
      <x:c r="AH819" s="9" t="str">
        <x:v>Right</x:v>
      </x:c>
      <x:c r="AI819" s="11" t="n">
        <x:v>8</x:v>
      </x:c>
      <x:c r="AJ819" s="9" t="str">
        <x:v>Matched-control direct prompt paraphrase</x:v>
      </x:c>
      <x:c r="AK819" s="9" t="str">
        <x:v>Eval_Size_Recognition (1).xlsm</x:v>
      </x:c>
      <x:c r="AL819" s="9" t="str">
        <x:v>MolmoAct2 Results</x:v>
      </x:c>
      <x:c r="AM819" s="9" t="n">
        <x:v>49</x:v>
      </x:c>
      <x:c r="AN819" s="9" t="n">
        <x:v>49</x:v>
      </x:c>
    </x:row>
    <x:row r="820">
      <x:c r="A820" s="9" t="str">
        <x:v>Success</x:v>
      </x:c>
      <x:c r="B820" s="9" t="str">
        <x:v>Size Recognition</x:v>
      </x:c>
      <x:c r="C820" s="10" t="n">
        <x:v>48</x:v>
      </x:c>
      <x:c r="D820" s="9" t="str">
        <x:v>Pick up the smallest item and place it in the bowl.</x:v>
      </x:c>
      <x:c r="E820" s="9" t="str">
        <x:v>Bowl: empty. Table, robot-left→robot-right: P1 juggling ball; P2 crushed Pepsi can. Adjacent centers 12 cm apart; row centered on the workspace; all objects fully visible and grasp paths clear.</x:v>
      </x:c>
      <x:c r="F820" s="9" t="str">
        <x:v>MOVE juggling ball to bowl</x:v>
      </x:c>
      <x:c r="G820" s="9"/>
      <x:c r="H820" s="9" t="str">
        <x:v>Concept/compositional transfer</x:v>
      </x:c>
      <x:c r="I820" s="9" t="str">
        <x:v>SZ-CT-SJ04</x:v>
      </x:c>
      <x:c r="J820" s="9" t="str">
        <x:v>smallest</x:v>
      </x:c>
      <x:c r="K820" s="9"/>
      <x:c r="L820" s="9" t="str">
        <x:v>1108</x:v>
      </x:c>
      <x:c r="M820" s="9"/>
      <x:c r="N820" s="9"/>
      <x:c r="O820" s="9" t="str">
        <x:v>Build the listed two-object scene and save a first-frame filename.</x:v>
      </x:c>
      <x:c r="P820" s="9" t="str">
        <x:v>Primary missing cell. Training episode 1108 contains the same target trajectory but masks the size word with a direct identity prompt.</x:v>
      </x:c>
      <x:c r="Q820" s="9"/>
      <x:c r="R820" s="10" t="n">
        <x:v>2</x:v>
      </x:c>
      <x:c r="S820" s="10"/>
      <x:c r="T820" s="9"/>
      <x:c r="U820" s="9"/>
      <x:c r="V820" s="9"/>
      <x:c r="W820" s="9"/>
      <x:c r="X820" s="10"/>
      <x:c r="Y820" s="10"/>
      <x:c r="Z820" s="9"/>
      <x:c r="AA820" s="9"/>
      <x:c r="AB820" s="9"/>
      <x:c r="AC820" s="9"/>
      <x:c r="AD820" s="9" t="str">
        <x:v>juggling ball</x:v>
      </x:c>
      <x:c r="AE820" s="9"/>
      <x:c r="AF820" s="9"/>
      <x:c r="AG820" s="9"/>
      <x:c r="AH820" s="9" t="str">
        <x:v>Left</x:v>
      </x:c>
      <x:c r="AI820" s="11" t="n">
        <x:v>12</x:v>
      </x:c>
      <x:c r="AJ820" s="9" t="str">
        <x:v>Held-out smallest × juggling ball — Pick up</x:v>
      </x:c>
      <x:c r="AK820" s="9" t="str">
        <x:v>Eval_Size_Recognition (1).xlsm</x:v>
      </x:c>
      <x:c r="AL820" s="9" t="str">
        <x:v>MolmoAct2 Results</x:v>
      </x:c>
      <x:c r="AM820" s="9" t="n">
        <x:v>50</x:v>
      </x:c>
      <x:c r="AN820" s="9" t="n">
        <x:v>50</x:v>
      </x:c>
    </x:row>
    <x:row r="821">
      <x:c r="A821" s="9" t="str">
        <x:v>Success</x:v>
      </x:c>
      <x:c r="B821" s="9" t="str">
        <x:v>Size Recognition</x:v>
      </x:c>
      <x:c r="C821" s="10" t="n">
        <x:v>49</x:v>
      </x:c>
      <x:c r="D821" s="9" t="str">
        <x:v>Put the juggling ball in the bowl.</x:v>
      </x:c>
      <x:c r="E821" s="9" t="str">
        <x:v>Bowl: empty. Table, robot-left→robot-right: P1 juggling ball; P2 crushed Pepsi can. Adjacent centers 12 cm apart; row centered on the workspace; all objects fully visible and grasp paths clear.</x:v>
      </x:c>
      <x:c r="F821" s="9" t="str">
        <x:v>MOVE juggling ball to bowl</x:v>
      </x:c>
      <x:c r="G821" s="9"/>
      <x:c r="H821" s="9" t="str">
        <x:v>Matched manipulation control</x:v>
      </x:c>
      <x:c r="I821" s="9" t="str">
        <x:v>SZ-CT-SJ04</x:v>
      </x:c>
      <x:c r="J821" s="9" t="str">
        <x:v>Direct</x:v>
      </x:c>
      <x:c r="K821" s="9" t="n">
        <x:v>48</x:v>
      </x:c>
      <x:c r="L821" s="9" t="str">
        <x:v>1103</x:v>
      </x:c>
      <x:c r="M821" s="9"/>
      <x:c r="N821" s="9"/>
      <x:c r="O821" s="9" t="str">
        <x:v>Reset the target to its original pose; change only the prompt.</x:v>
      </x:c>
      <x:c r="P821" s="9" t="str">
        <x:v>Exact-scene control using a direct prompt supported by training episode 1103.</x:v>
      </x:c>
      <x:c r="Q821" s="9"/>
      <x:c r="R821" s="10" t="n">
        <x:v>2</x:v>
      </x:c>
      <x:c r="S821" s="10"/>
      <x:c r="T821" s="9"/>
      <x:c r="U821" s="9"/>
      <x:c r="V821" s="9"/>
      <x:c r="W821" s="9"/>
      <x:c r="X821" s="10"/>
      <x:c r="Y821" s="10"/>
      <x:c r="Z821" s="9"/>
      <x:c r="AA821" s="9"/>
      <x:c r="AB821" s="9"/>
      <x:c r="AC821" s="9"/>
      <x:c r="AD821" s="9" t="str">
        <x:v>juggling ball</x:v>
      </x:c>
      <x:c r="AE821" s="9"/>
      <x:c r="AF821" s="9"/>
      <x:c r="AG821" s="9"/>
      <x:c r="AH821" s="9" t="str">
        <x:v>Left</x:v>
      </x:c>
      <x:c r="AI821" s="11" t="n">
        <x:v>12</x:v>
      </x:c>
      <x:c r="AJ821" s="9" t="str">
        <x:v>Same-scene direct target control</x:v>
      </x:c>
      <x:c r="AK821" s="9" t="str">
        <x:v>Eval_Size_Recognition (1).xlsm</x:v>
      </x:c>
      <x:c r="AL821" s="9" t="str">
        <x:v>MolmoAct2 Results</x:v>
      </x:c>
      <x:c r="AM821" s="9" t="n">
        <x:v>51</x:v>
      </x:c>
      <x:c r="AN821" s="9" t="n">
        <x:v>51</x:v>
      </x:c>
    </x:row>
    <x:row r="822">
      <x:c r="A822" s="9" t="str">
        <x:v>Success</x:v>
      </x:c>
      <x:c r="B822" s="9" t="str">
        <x:v>Size Recognition</x:v>
      </x:c>
      <x:c r="C822" s="10" t="n">
        <x:v>50</x:v>
      </x:c>
      <x:c r="D822" s="9" t="str">
        <x:v>Find the least-sized item and move it to the bowl.</x:v>
      </x:c>
      <x:c r="E822" s="9" t="str">
        <x:v>Bowl: empty. Table, robot-left→robot-right: P1 juggling ball; P2 crushed Pepsi can. Adjacent centers 12 cm apart; row centered on the workspace; all objects fully visible and grasp paths clear.</x:v>
      </x:c>
      <x:c r="F822" s="9" t="str">
        <x:v>MOVE juggling ball to bowl</x:v>
      </x:c>
      <x:c r="G822" s="9"/>
      <x:c r="H822" s="9" t="str">
        <x:v>Language robustness</x:v>
      </x:c>
      <x:c r="I822" s="9" t="str">
        <x:v>SZ-CT-SJ04</x:v>
      </x:c>
      <x:c r="J822" s="9" t="str">
        <x:v>smallest</x:v>
      </x:c>
      <x:c r="K822" s="9" t="n">
        <x:v>48</x:v>
      </x:c>
      <x:c r="L822" s="9" t="str">
        <x:v>1108</x:v>
      </x:c>
      <x:c r="M822" s="9"/>
      <x:c r="N822" s="9"/>
      <x:c r="O822" s="9" t="str">
        <x:v>Reset the target; preserve the exact scene and paraphrase only the transfer prompt.</x:v>
      </x:c>
      <x:c r="P822" s="9" t="str">
        <x:v>Exact-scene paraphrase of the primary transfer instruction.</x:v>
      </x:c>
      <x:c r="Q822" s="9"/>
      <x:c r="R822" s="10" t="n">
        <x:v>2</x:v>
      </x:c>
      <x:c r="S822" s="10"/>
      <x:c r="T822" s="9"/>
      <x:c r="U822" s="9"/>
      <x:c r="V822" s="9"/>
      <x:c r="W822" s="9"/>
      <x:c r="X822" s="10"/>
      <x:c r="Y822" s="10"/>
      <x:c r="Z822" s="9"/>
      <x:c r="AA822" s="9"/>
      <x:c r="AB822" s="9"/>
      <x:c r="AC822" s="9"/>
      <x:c r="AD822" s="9" t="str">
        <x:v>juggling ball</x:v>
      </x:c>
      <x:c r="AE822" s="9"/>
      <x:c r="AF822" s="9"/>
      <x:c r="AG822" s="9"/>
      <x:c r="AH822" s="9" t="str">
        <x:v>Left</x:v>
      </x:c>
      <x:c r="AI822" s="11" t="n">
        <x:v>12</x:v>
      </x:c>
      <x:c r="AJ822" s="9" t="str">
        <x:v>Primary compositional-transfer prompt paraphrase</x:v>
      </x:c>
      <x:c r="AK822" s="9" t="str">
        <x:v>Eval_Size_Recognition (1).xlsm</x:v>
      </x:c>
      <x:c r="AL822" s="9" t="str">
        <x:v>MolmoAct2 Results</x:v>
      </x:c>
      <x:c r="AM822" s="9" t="n">
        <x:v>52</x:v>
      </x:c>
      <x:c r="AN822" s="9" t="n">
        <x:v>52</x:v>
      </x:c>
    </x:row>
    <x:row r="823">
      <x:c r="A823" s="9" t="str">
        <x:v>Success</x:v>
      </x:c>
      <x:c r="B823" s="9" t="str">
        <x:v>Size Recognition</x:v>
      </x:c>
      <x:c r="C823" s="10" t="n">
        <x:v>51</x:v>
      </x:c>
      <x:c r="D823" s="9" t="str">
        <x:v>Place the table's juggling ball inside the bowl.</x:v>
      </x:c>
      <x:c r="E823" s="9" t="str">
        <x:v>Bowl: empty. Table, robot-left→robot-right: P1 juggling ball; P2 crushed Pepsi can. Adjacent centers 12 cm apart; row centered on the workspace; all objects fully visible and grasp paths clear.</x:v>
      </x:c>
      <x:c r="F823" s="9" t="str">
        <x:v>MOVE juggling ball to bowl</x:v>
      </x:c>
      <x:c r="G823" s="9"/>
      <x:c r="H823" s="9" t="str">
        <x:v>Language robustness</x:v>
      </x:c>
      <x:c r="I823" s="9" t="str">
        <x:v>SZ-CT-SJ04</x:v>
      </x:c>
      <x:c r="J823" s="9" t="str">
        <x:v>Direct</x:v>
      </x:c>
      <x:c r="K823" s="9" t="n">
        <x:v>49</x:v>
      </x:c>
      <x:c r="L823" s="9" t="str">
        <x:v>1103</x:v>
      </x:c>
      <x:c r="M823" s="9"/>
      <x:c r="N823" s="9"/>
      <x:c r="O823" s="9" t="str">
        <x:v>Reset the target; preserve the exact scene and paraphrase only the matched-control prompt.</x:v>
      </x:c>
      <x:c r="P823" s="9" t="str">
        <x:v>Exact-scene paraphrase of the direct manipulation control.</x:v>
      </x:c>
      <x:c r="Q823" s="9"/>
      <x:c r="R823" s="10" t="n">
        <x:v>2</x:v>
      </x:c>
      <x:c r="S823" s="10"/>
      <x:c r="T823" s="9"/>
      <x:c r="U823" s="9"/>
      <x:c r="V823" s="9"/>
      <x:c r="W823" s="9"/>
      <x:c r="X823" s="10"/>
      <x:c r="Y823" s="10"/>
      <x:c r="Z823" s="9"/>
      <x:c r="AA823" s="9"/>
      <x:c r="AB823" s="9"/>
      <x:c r="AC823" s="9"/>
      <x:c r="AD823" s="9" t="str">
        <x:v>juggling ball</x:v>
      </x:c>
      <x:c r="AE823" s="9"/>
      <x:c r="AF823" s="9"/>
      <x:c r="AG823" s="9"/>
      <x:c r="AH823" s="9" t="str">
        <x:v>Left</x:v>
      </x:c>
      <x:c r="AI823" s="11" t="n">
        <x:v>12</x:v>
      </x:c>
      <x:c r="AJ823" s="9" t="str">
        <x:v>Matched-control direct prompt paraphrase</x:v>
      </x:c>
      <x:c r="AK823" s="9" t="str">
        <x:v>Eval_Size_Recognition (1).xlsm</x:v>
      </x:c>
      <x:c r="AL823" s="9" t="str">
        <x:v>MolmoAct2 Results</x:v>
      </x:c>
      <x:c r="AM823" s="9" t="n">
        <x:v>53</x:v>
      </x:c>
      <x:c r="AN823" s="9" t="n">
        <x:v>53</x:v>
      </x:c>
    </x:row>
    <x:row r="824">
      <x:c r="A824" s="9" t="str">
        <x:v>Success</x:v>
      </x:c>
      <x:c r="B824" s="9" t="str">
        <x:v>Size Recognition</x:v>
      </x:c>
      <x:c r="C824" s="10" t="n">
        <x:v>52</x:v>
      </x:c>
      <x:c r="D824" s="9" t="str">
        <x:v>Pick up the largest item and place it in the bowl.</x:v>
      </x:c>
      <x:c r="E824" s="9" t="str">
        <x:v>Bowl: empty. Table, robot-left→robot-right: P1 green block; P2 red pencil sharpener. Adjacent centers 12 cm apart; row shifted 4 cm away from the robot; all objects fully visible and grasp paths clear.</x:v>
      </x:c>
      <x:c r="F824" s="9" t="str">
        <x:v>MOVE green block to bowl</x:v>
      </x:c>
      <x:c r="G824" s="9"/>
      <x:c r="H824" s="9" t="str">
        <x:v>Concept/compositional transfer</x:v>
      </x:c>
      <x:c r="I824" s="9" t="str">
        <x:v>SZ-CT-LG05</x:v>
      </x:c>
      <x:c r="J824" s="9" t="str">
        <x:v>largest</x:v>
      </x:c>
      <x:c r="K824" s="9"/>
      <x:c r="L824" s="9" t="str">
        <x:v>1084</x:v>
      </x:c>
      <x:c r="M824" s="9"/>
      <x:c r="N824" s="9"/>
      <x:c r="O824" s="9" t="str">
        <x:v>Build the listed two-object scene and save a first-frame filename.</x:v>
      </x:c>
      <x:c r="P824" s="9" t="str">
        <x:v>Primary missing cell. Training episode 1084 contains the same target trajectory but masks the size word with a direct identity prompt.</x:v>
      </x:c>
      <x:c r="Q824" s="9"/>
      <x:c r="R824" s="10" t="n">
        <x:v>2</x:v>
      </x:c>
      <x:c r="S824" s="10"/>
      <x:c r="T824" s="9"/>
      <x:c r="U824" s="9"/>
      <x:c r="V824" s="9"/>
      <x:c r="W824" s="9"/>
      <x:c r="X824" s="10"/>
      <x:c r="Y824" s="10"/>
      <x:c r="Z824" s="9"/>
      <x:c r="AA824" s="9"/>
      <x:c r="AB824" s="9"/>
      <x:c r="AC824" s="9"/>
      <x:c r="AD824" s="9" t="str">
        <x:v>green block</x:v>
      </x:c>
      <x:c r="AE824" s="9"/>
      <x:c r="AF824" s="9"/>
      <x:c r="AG824" s="9"/>
      <x:c r="AH824" s="9" t="str">
        <x:v>Left</x:v>
      </x:c>
      <x:c r="AI824" s="11" t="n">
        <x:v>12</x:v>
      </x:c>
      <x:c r="AJ824" s="9" t="str">
        <x:v>Held-out largest × green block — Pick up</x:v>
      </x:c>
      <x:c r="AK824" s="9" t="str">
        <x:v>Eval_Size_Recognition (1).xlsm</x:v>
      </x:c>
      <x:c r="AL824" s="9" t="str">
        <x:v>MolmoAct2 Results</x:v>
      </x:c>
      <x:c r="AM824" s="9" t="n">
        <x:v>54</x:v>
      </x:c>
      <x:c r="AN824" s="9" t="n">
        <x:v>54</x:v>
      </x:c>
    </x:row>
    <x:row r="825">
      <x:c r="A825" s="9" t="str">
        <x:v>Success</x:v>
      </x:c>
      <x:c r="B825" s="9" t="str">
        <x:v>Size Recognition</x:v>
      </x:c>
      <x:c r="C825" s="10" t="n">
        <x:v>53</x:v>
      </x:c>
      <x:c r="D825" s="9" t="str">
        <x:v>Move the green block into the bowl.</x:v>
      </x:c>
      <x:c r="E825" s="9" t="str">
        <x:v>Bowl: empty. Table, robot-left→robot-right: P1 green block; P2 red pencil sharpener. Adjacent centers 12 cm apart; row shifted 4 cm away from the robot; all objects fully visible and grasp paths clear.</x:v>
      </x:c>
      <x:c r="F825" s="9" t="str">
        <x:v>MOVE green block to bowl</x:v>
      </x:c>
      <x:c r="G825" s="9"/>
      <x:c r="H825" s="9" t="str">
        <x:v>Matched manipulation control</x:v>
      </x:c>
      <x:c r="I825" s="9" t="str">
        <x:v>SZ-CT-LG05</x:v>
      </x:c>
      <x:c r="J825" s="9" t="str">
        <x:v>Direct</x:v>
      </x:c>
      <x:c r="K825" s="9" t="n">
        <x:v>52</x:v>
      </x:c>
      <x:c r="L825" s="9" t="str">
        <x:v>1079</x:v>
      </x:c>
      <x:c r="M825" s="9"/>
      <x:c r="N825" s="9"/>
      <x:c r="O825" s="9" t="str">
        <x:v>Reset the target to its original pose; change only the prompt.</x:v>
      </x:c>
      <x:c r="P825" s="9" t="str">
        <x:v>Exact-scene control using a direct prompt supported by training episode 1079.</x:v>
      </x:c>
      <x:c r="Q825" s="9"/>
      <x:c r="R825" s="10" t="n">
        <x:v>2</x:v>
      </x:c>
      <x:c r="S825" s="10"/>
      <x:c r="T825" s="9"/>
      <x:c r="U825" s="9"/>
      <x:c r="V825" s="9"/>
      <x:c r="W825" s="9"/>
      <x:c r="X825" s="10"/>
      <x:c r="Y825" s="10"/>
      <x:c r="Z825" s="9"/>
      <x:c r="AA825" s="9"/>
      <x:c r="AB825" s="9"/>
      <x:c r="AC825" s="9"/>
      <x:c r="AD825" s="9" t="str">
        <x:v>green block</x:v>
      </x:c>
      <x:c r="AE825" s="9"/>
      <x:c r="AF825" s="9"/>
      <x:c r="AG825" s="9"/>
      <x:c r="AH825" s="9" t="str">
        <x:v>Left</x:v>
      </x:c>
      <x:c r="AI825" s="11" t="n">
        <x:v>12</x:v>
      </x:c>
      <x:c r="AJ825" s="9" t="str">
        <x:v>Same-scene direct target control</x:v>
      </x:c>
      <x:c r="AK825" s="9" t="str">
        <x:v>Eval_Size_Recognition (1).xlsm</x:v>
      </x:c>
      <x:c r="AL825" s="9" t="str">
        <x:v>MolmoAct2 Results</x:v>
      </x:c>
      <x:c r="AM825" s="9" t="n">
        <x:v>55</x:v>
      </x:c>
      <x:c r="AN825" s="9" t="n">
        <x:v>55</x:v>
      </x:c>
    </x:row>
    <x:row r="826">
      <x:c r="A826" s="9" t="str">
        <x:v>Success</x:v>
      </x:c>
      <x:c r="B826" s="9" t="str">
        <x:v>Size Recognition</x:v>
      </x:c>
      <x:c r="C826" s="10" t="n">
        <x:v>54</x:v>
      </x:c>
      <x:c r="D826" s="9" t="str">
        <x:v>Move whichever item is larger into the bowl.</x:v>
      </x:c>
      <x:c r="E826" s="9" t="str">
        <x:v>Bowl: empty. Table, robot-left→robot-right: P1 green block; P2 red pencil sharpener. Adjacent centers 12 cm apart; row shifted 4 cm away from the robot; all objects fully visible and grasp paths clear.</x:v>
      </x:c>
      <x:c r="F826" s="9" t="str">
        <x:v>MOVE green block to bowl</x:v>
      </x:c>
      <x:c r="G826" s="9"/>
      <x:c r="H826" s="9" t="str">
        <x:v>Language robustness</x:v>
      </x:c>
      <x:c r="I826" s="9" t="str">
        <x:v>SZ-CT-LG05</x:v>
      </x:c>
      <x:c r="J826" s="9" t="str">
        <x:v>largest</x:v>
      </x:c>
      <x:c r="K826" s="9" t="n">
        <x:v>52</x:v>
      </x:c>
      <x:c r="L826" s="9" t="str">
        <x:v>1084</x:v>
      </x:c>
      <x:c r="M826" s="9"/>
      <x:c r="N826" s="9"/>
      <x:c r="O826" s="9" t="str">
        <x:v>Reset the target; preserve the exact scene and paraphrase only the transfer prompt.</x:v>
      </x:c>
      <x:c r="P826" s="9" t="str">
        <x:v>Exact-scene paraphrase of the primary transfer instruction.</x:v>
      </x:c>
      <x:c r="Q826" s="9"/>
      <x:c r="R826" s="10" t="n">
        <x:v>2</x:v>
      </x:c>
      <x:c r="S826" s="10"/>
      <x:c r="T826" s="9"/>
      <x:c r="U826" s="9"/>
      <x:c r="V826" s="9"/>
      <x:c r="W826" s="9"/>
      <x:c r="X826" s="10"/>
      <x:c r="Y826" s="10"/>
      <x:c r="Z826" s="9"/>
      <x:c r="AA826" s="9"/>
      <x:c r="AB826" s="9"/>
      <x:c r="AC826" s="9"/>
      <x:c r="AD826" s="9" t="str">
        <x:v>green block</x:v>
      </x:c>
      <x:c r="AE826" s="9"/>
      <x:c r="AF826" s="9"/>
      <x:c r="AG826" s="9"/>
      <x:c r="AH826" s="9" t="str">
        <x:v>Left</x:v>
      </x:c>
      <x:c r="AI826" s="11" t="n">
        <x:v>12</x:v>
      </x:c>
      <x:c r="AJ826" s="9" t="str">
        <x:v>Primary compositional-transfer prompt paraphrase</x:v>
      </x:c>
      <x:c r="AK826" s="9" t="str">
        <x:v>Eval_Size_Recognition (1).xlsm</x:v>
      </x:c>
      <x:c r="AL826" s="9" t="str">
        <x:v>MolmoAct2 Results</x:v>
      </x:c>
      <x:c r="AM826" s="9" t="n">
        <x:v>56</x:v>
      </x:c>
      <x:c r="AN826" s="9" t="n">
        <x:v>56</x:v>
      </x:c>
    </x:row>
    <x:row r="827">
      <x:c r="A827" s="9" t="str">
        <x:v>Success</x:v>
      </x:c>
      <x:c r="B827" s="9" t="str">
        <x:v>Size Recognition</x:v>
      </x:c>
      <x:c r="C827" s="10" t="n">
        <x:v>55</x:v>
      </x:c>
      <x:c r="D827" s="9" t="str">
        <x:v>Take the green block from the table and put it in the bowl.</x:v>
      </x:c>
      <x:c r="E827" s="9" t="str">
        <x:v>Bowl: empty. Table, robot-left→robot-right: P1 green block; P2 red pencil sharpener. Adjacent centers 12 cm apart; row shifted 4 cm away from the robot; all objects fully visible and grasp paths clear.</x:v>
      </x:c>
      <x:c r="F827" s="9" t="str">
        <x:v>MOVE green block to bowl</x:v>
      </x:c>
      <x:c r="G827" s="9"/>
      <x:c r="H827" s="9" t="str">
        <x:v>Language robustness</x:v>
      </x:c>
      <x:c r="I827" s="9" t="str">
        <x:v>SZ-CT-LG05</x:v>
      </x:c>
      <x:c r="J827" s="9" t="str">
        <x:v>Direct</x:v>
      </x:c>
      <x:c r="K827" s="9" t="n">
        <x:v>53</x:v>
      </x:c>
      <x:c r="L827" s="9" t="str">
        <x:v>1079</x:v>
      </x:c>
      <x:c r="M827" s="9"/>
      <x:c r="N827" s="9"/>
      <x:c r="O827" s="9" t="str">
        <x:v>Reset the target; preserve the exact scene and paraphrase only the matched-control prompt.</x:v>
      </x:c>
      <x:c r="P827" s="9" t="str">
        <x:v>Exact-scene paraphrase of the direct manipulation control.</x:v>
      </x:c>
      <x:c r="Q827" s="9"/>
      <x:c r="R827" s="10" t="n">
        <x:v>2</x:v>
      </x:c>
      <x:c r="S827" s="10"/>
      <x:c r="T827" s="9"/>
      <x:c r="U827" s="9"/>
      <x:c r="V827" s="9"/>
      <x:c r="W827" s="9"/>
      <x:c r="X827" s="10"/>
      <x:c r="Y827" s="10"/>
      <x:c r="Z827" s="9"/>
      <x:c r="AA827" s="9"/>
      <x:c r="AB827" s="9"/>
      <x:c r="AC827" s="9"/>
      <x:c r="AD827" s="9" t="str">
        <x:v>green block</x:v>
      </x:c>
      <x:c r="AE827" s="9"/>
      <x:c r="AF827" s="9"/>
      <x:c r="AG827" s="9"/>
      <x:c r="AH827" s="9" t="str">
        <x:v>Left</x:v>
      </x:c>
      <x:c r="AI827" s="11" t="n">
        <x:v>12</x:v>
      </x:c>
      <x:c r="AJ827" s="9" t="str">
        <x:v>Matched-control direct prompt paraphrase</x:v>
      </x:c>
      <x:c r="AK827" s="9" t="str">
        <x:v>Eval_Size_Recognition (1).xlsm</x:v>
      </x:c>
      <x:c r="AL827" s="9" t="str">
        <x:v>MolmoAct2 Results</x:v>
      </x:c>
      <x:c r="AM827" s="9" t="n">
        <x:v>57</x:v>
      </x:c>
      <x:c r="AN827" s="9" t="n">
        <x:v>57</x:v>
      </x:c>
    </x:row>
    <x:row r="828">
      <x:c r="A828" s="9" t="str">
        <x:v>Success</x:v>
      </x:c>
      <x:c r="B828" s="9" t="str">
        <x:v>Size Recognition</x:v>
      </x:c>
      <x:c r="C828" s="10" t="n">
        <x:v>56</x:v>
      </x:c>
      <x:c r="D828" s="9" t="str">
        <x:v>Put the smallest object in the bowl.</x:v>
      </x:c>
      <x:c r="E828" s="9" t="str">
        <x:v>Bowl: empty. Table, robot-left→robot-right: P1 crushed Pepsi can; P2 juggling ball. Adjacent centers 16 cm apart; row shifted 4 cm toward robot-left; all objects fully visible and grasp paths clear.</x:v>
      </x:c>
      <x:c r="F828" s="9" t="str">
        <x:v>MOVE juggling ball to bowl</x:v>
      </x:c>
      <x:c r="G828" s="9"/>
      <x:c r="H828" s="9" t="str">
        <x:v>Concept/compositional transfer</x:v>
      </x:c>
      <x:c r="I828" s="9" t="str">
        <x:v>SZ-CT-SJ05</x:v>
      </x:c>
      <x:c r="J828" s="9" t="str">
        <x:v>smallest</x:v>
      </x:c>
      <x:c r="K828" s="9"/>
      <x:c r="L828" s="9" t="str">
        <x:v>1109</x:v>
      </x:c>
      <x:c r="M828" s="9"/>
      <x:c r="N828" s="9"/>
      <x:c r="O828" s="9" t="str">
        <x:v>Build the listed two-object scene and save a first-frame filename.</x:v>
      </x:c>
      <x:c r="P828" s="9" t="str">
        <x:v>Primary missing cell. Training episode 1109 contains the same target trajectory but masks the size word with a direct identity prompt.</x:v>
      </x:c>
      <x:c r="Q828" s="9"/>
      <x:c r="R828" s="10" t="n">
        <x:v>2</x:v>
      </x:c>
      <x:c r="S828" s="10"/>
      <x:c r="T828" s="9"/>
      <x:c r="U828" s="9"/>
      <x:c r="V828" s="9"/>
      <x:c r="W828" s="9"/>
      <x:c r="X828" s="10"/>
      <x:c r="Y828" s="10"/>
      <x:c r="Z828" s="9"/>
      <x:c r="AA828" s="9"/>
      <x:c r="AB828" s="9"/>
      <x:c r="AC828" s="9"/>
      <x:c r="AD828" s="9" t="str">
        <x:v>juggling ball</x:v>
      </x:c>
      <x:c r="AE828" s="9"/>
      <x:c r="AF828" s="9"/>
      <x:c r="AG828" s="9"/>
      <x:c r="AH828" s="9" t="str">
        <x:v>Right</x:v>
      </x:c>
      <x:c r="AI828" s="11" t="n">
        <x:v>16</x:v>
      </x:c>
      <x:c r="AJ828" s="9" t="str">
        <x:v>Held-out smallest × juggling ball — Put</x:v>
      </x:c>
      <x:c r="AK828" s="9" t="str">
        <x:v>Eval_Size_Recognition (1).xlsm</x:v>
      </x:c>
      <x:c r="AL828" s="9" t="str">
        <x:v>MolmoAct2 Results</x:v>
      </x:c>
      <x:c r="AM828" s="9" t="n">
        <x:v>58</x:v>
      </x:c>
      <x:c r="AN828" s="9" t="n">
        <x:v>58</x:v>
      </x:c>
    </x:row>
    <x:row r="829">
      <x:c r="A829" s="9" t="str">
        <x:v>Success</x:v>
      </x:c>
      <x:c r="B829" s="9" t="str">
        <x:v>Size Recognition</x:v>
      </x:c>
      <x:c r="C829" s="10" t="n">
        <x:v>57</x:v>
      </x:c>
      <x:c r="D829" s="9" t="str">
        <x:v>Move the juggling ball into the bowl.</x:v>
      </x:c>
      <x:c r="E829" s="9" t="str">
        <x:v>Bowl: empty. Table, robot-left→robot-right: P1 crushed Pepsi can; P2 juggling ball. Adjacent centers 16 cm apart; row shifted 4 cm toward robot-left; all objects fully visible and grasp paths clear.</x:v>
      </x:c>
      <x:c r="F829" s="9" t="str">
        <x:v>MOVE juggling ball to bowl</x:v>
      </x:c>
      <x:c r="G829" s="9"/>
      <x:c r="H829" s="9" t="str">
        <x:v>Matched manipulation control</x:v>
      </x:c>
      <x:c r="I829" s="9" t="str">
        <x:v>SZ-CT-SJ05</x:v>
      </x:c>
      <x:c r="J829" s="9" t="str">
        <x:v>Direct</x:v>
      </x:c>
      <x:c r="K829" s="9" t="n">
        <x:v>56</x:v>
      </x:c>
      <x:c r="L829" s="9" t="str">
        <x:v>1104</x:v>
      </x:c>
      <x:c r="M829" s="9"/>
      <x:c r="N829" s="9"/>
      <x:c r="O829" s="9" t="str">
        <x:v>Reset the target to its original pose; change only the prompt.</x:v>
      </x:c>
      <x:c r="P829" s="9" t="str">
        <x:v>Exact-scene control using a direct prompt supported by training episode 1104.</x:v>
      </x:c>
      <x:c r="Q829" s="9"/>
      <x:c r="R829" s="10" t="n">
        <x:v>2</x:v>
      </x:c>
      <x:c r="S829" s="10"/>
      <x:c r="T829" s="9"/>
      <x:c r="U829" s="9"/>
      <x:c r="V829" s="9"/>
      <x:c r="W829" s="9"/>
      <x:c r="X829" s="10"/>
      <x:c r="Y829" s="10"/>
      <x:c r="Z829" s="9"/>
      <x:c r="AA829" s="9"/>
      <x:c r="AB829" s="9"/>
      <x:c r="AC829" s="9"/>
      <x:c r="AD829" s="9" t="str">
        <x:v>juggling ball</x:v>
      </x:c>
      <x:c r="AE829" s="9"/>
      <x:c r="AF829" s="9"/>
      <x:c r="AG829" s="9"/>
      <x:c r="AH829" s="9" t="str">
        <x:v>Right</x:v>
      </x:c>
      <x:c r="AI829" s="11" t="n">
        <x:v>16</x:v>
      </x:c>
      <x:c r="AJ829" s="9" t="str">
        <x:v>Same-scene direct target control</x:v>
      </x:c>
      <x:c r="AK829" s="9" t="str">
        <x:v>Eval_Size_Recognition (1).xlsm</x:v>
      </x:c>
      <x:c r="AL829" s="9" t="str">
        <x:v>MolmoAct2 Results</x:v>
      </x:c>
      <x:c r="AM829" s="9" t="n">
        <x:v>59</x:v>
      </x:c>
      <x:c r="AN829" s="9" t="n">
        <x:v>59</x:v>
      </x:c>
    </x:row>
    <x:row r="830">
      <x:c r="A830" s="9" t="str">
        <x:v>Success</x:v>
      </x:c>
      <x:c r="B830" s="9" t="str">
        <x:v>Size Recognition</x:v>
      </x:c>
      <x:c r="C830" s="10" t="n">
        <x:v>58</x:v>
      </x:c>
      <x:c r="D830" s="9" t="str">
        <x:v>Move whichever item is smaller into the bowl.</x:v>
      </x:c>
      <x:c r="E830" s="9" t="str">
        <x:v>Bowl: empty. Table, robot-left→robot-right: P1 crushed Pepsi can; P2 juggling ball. Adjacent centers 16 cm apart; row shifted 4 cm toward robot-left; all objects fully visible and grasp paths clear.</x:v>
      </x:c>
      <x:c r="F830" s="9" t="str">
        <x:v>MOVE juggling ball to bowl</x:v>
      </x:c>
      <x:c r="G830" s="9"/>
      <x:c r="H830" s="9" t="str">
        <x:v>Language robustness</x:v>
      </x:c>
      <x:c r="I830" s="9" t="str">
        <x:v>SZ-CT-SJ05</x:v>
      </x:c>
      <x:c r="J830" s="9" t="str">
        <x:v>smallest</x:v>
      </x:c>
      <x:c r="K830" s="9" t="n">
        <x:v>56</x:v>
      </x:c>
      <x:c r="L830" s="9" t="str">
        <x:v>1109</x:v>
      </x:c>
      <x:c r="M830" s="9"/>
      <x:c r="N830" s="9"/>
      <x:c r="O830" s="9" t="str">
        <x:v>Reset the target; preserve the exact scene and paraphrase only the transfer prompt.</x:v>
      </x:c>
      <x:c r="P830" s="9" t="str">
        <x:v>Exact-scene paraphrase of the primary transfer instruction.</x:v>
      </x:c>
      <x:c r="Q830" s="9"/>
      <x:c r="R830" s="10" t="n">
        <x:v>2</x:v>
      </x:c>
      <x:c r="S830" s="10"/>
      <x:c r="T830" s="9"/>
      <x:c r="U830" s="9"/>
      <x:c r="V830" s="9"/>
      <x:c r="W830" s="9"/>
      <x:c r="X830" s="10"/>
      <x:c r="Y830" s="10"/>
      <x:c r="Z830" s="9"/>
      <x:c r="AA830" s="9"/>
      <x:c r="AB830" s="9"/>
      <x:c r="AC830" s="9"/>
      <x:c r="AD830" s="9" t="str">
        <x:v>juggling ball</x:v>
      </x:c>
      <x:c r="AE830" s="9"/>
      <x:c r="AF830" s="9"/>
      <x:c r="AG830" s="9"/>
      <x:c r="AH830" s="9" t="str">
        <x:v>Right</x:v>
      </x:c>
      <x:c r="AI830" s="11" t="n">
        <x:v>16</x:v>
      </x:c>
      <x:c r="AJ830" s="9" t="str">
        <x:v>Primary compositional-transfer prompt paraphrase</x:v>
      </x:c>
      <x:c r="AK830" s="9" t="str">
        <x:v>Eval_Size_Recognition (1).xlsm</x:v>
      </x:c>
      <x:c r="AL830" s="9" t="str">
        <x:v>MolmoAct2 Results</x:v>
      </x:c>
      <x:c r="AM830" s="9" t="n">
        <x:v>60</x:v>
      </x:c>
      <x:c r="AN830" s="9" t="n">
        <x:v>60</x:v>
      </x:c>
    </x:row>
    <x:row r="831">
      <x:c r="A831" s="9" t="str">
        <x:v>Success</x:v>
      </x:c>
      <x:c r="B831" s="9" t="str">
        <x:v>Size Recognition</x:v>
      </x:c>
      <x:c r="C831" s="10" t="n">
        <x:v>59</x:v>
      </x:c>
      <x:c r="D831" s="9" t="str">
        <x:v>Take the juggling ball from the table and put it in the bowl.</x:v>
      </x:c>
      <x:c r="E831" s="9" t="str">
        <x:v>Bowl: empty. Table, robot-left→robot-right: P1 crushed Pepsi can; P2 juggling ball. Adjacent centers 16 cm apart; row shifted 4 cm toward robot-left; all objects fully visible and grasp paths clear.</x:v>
      </x:c>
      <x:c r="F831" s="9" t="str">
        <x:v>MOVE juggling ball to bowl</x:v>
      </x:c>
      <x:c r="G831" s="9"/>
      <x:c r="H831" s="9" t="str">
        <x:v>Language robustness</x:v>
      </x:c>
      <x:c r="I831" s="9" t="str">
        <x:v>SZ-CT-SJ05</x:v>
      </x:c>
      <x:c r="J831" s="9" t="str">
        <x:v>Direct</x:v>
      </x:c>
      <x:c r="K831" s="9" t="n">
        <x:v>57</x:v>
      </x:c>
      <x:c r="L831" s="9" t="str">
        <x:v>1104</x:v>
      </x:c>
      <x:c r="M831" s="9"/>
      <x:c r="N831" s="9"/>
      <x:c r="O831" s="9" t="str">
        <x:v>Reset the target; preserve the exact scene and paraphrase only the matched-control prompt.</x:v>
      </x:c>
      <x:c r="P831" s="9" t="str">
        <x:v>Exact-scene paraphrase of the direct manipulation control.</x:v>
      </x:c>
      <x:c r="Q831" s="9"/>
      <x:c r="R831" s="10" t="n">
        <x:v>2</x:v>
      </x:c>
      <x:c r="S831" s="10"/>
      <x:c r="T831" s="9"/>
      <x:c r="U831" s="9"/>
      <x:c r="V831" s="9"/>
      <x:c r="W831" s="9"/>
      <x:c r="X831" s="10"/>
      <x:c r="Y831" s="10"/>
      <x:c r="Z831" s="9"/>
      <x:c r="AA831" s="9"/>
      <x:c r="AB831" s="9"/>
      <x:c r="AC831" s="9"/>
      <x:c r="AD831" s="9" t="str">
        <x:v>juggling ball</x:v>
      </x:c>
      <x:c r="AE831" s="9"/>
      <x:c r="AF831" s="9"/>
      <x:c r="AG831" s="9"/>
      <x:c r="AH831" s="9" t="str">
        <x:v>Right</x:v>
      </x:c>
      <x:c r="AI831" s="11" t="n">
        <x:v>16</x:v>
      </x:c>
      <x:c r="AJ831" s="9" t="str">
        <x:v>Matched-control direct prompt paraphrase</x:v>
      </x:c>
      <x:c r="AK831" s="9" t="str">
        <x:v>Eval_Size_Recognition (1).xlsm</x:v>
      </x:c>
      <x:c r="AL831" s="9" t="str">
        <x:v>MolmoAct2 Results</x:v>
      </x:c>
      <x:c r="AM831" s="9" t="n">
        <x:v>61</x:v>
      </x:c>
      <x:c r="AN831" s="9" t="n">
        <x:v>61</x:v>
      </x:c>
    </x:row>
    <x:row r="832">
      <x:c r="A832" s="9" t="str">
        <x:v>Failure</x:v>
      </x:c>
      <x:c r="B832" s="9" t="str">
        <x:v>Size Recognition</x:v>
      </x:c>
      <x:c r="C832" s="10" t="n">
        <x:v>60</x:v>
      </x:c>
      <x:c r="D832" s="9" t="str">
        <x:v>Put the largest object in the bowl.</x:v>
      </x:c>
      <x:c r="E832" s="9" t="str">
        <x:v>Bowl: empty. Table, robot-left→robot-right: P1 red pencil sharpener; P2 green block. Adjacent centers 16 cm apart; row centered on the workspace; all objects fully visible and grasp paths clear.</x:v>
      </x:c>
      <x:c r="F832" s="9" t="str">
        <x:v>MOVE green block to bowl</x:v>
      </x:c>
      <x:c r="G832" s="9" t="str">
        <x:v>didn't move</x:v>
      </x:c>
      <x:c r="H832" s="9" t="str">
        <x:v>Concept/compositional transfer</x:v>
      </x:c>
      <x:c r="I832" s="9" t="str">
        <x:v>SZ-CT-LG06</x:v>
      </x:c>
      <x:c r="J832" s="9" t="str">
        <x:v>largest</x:v>
      </x:c>
      <x:c r="K832" s="9"/>
      <x:c r="L832" s="9" t="str">
        <x:v>1085</x:v>
      </x:c>
      <x:c r="M832" s="9"/>
      <x:c r="N832" s="9"/>
      <x:c r="O832" s="9" t="str">
        <x:v>Build the listed two-object scene and save a first-frame filename.</x:v>
      </x:c>
      <x:c r="P832" s="9" t="str">
        <x:v>Primary missing cell. Training episode 1085 contains the same target trajectory but masks the size word with a direct identity prompt.</x:v>
      </x:c>
      <x:c r="Q832" s="9"/>
      <x:c r="R832" s="10" t="n">
        <x:v>2</x:v>
      </x:c>
      <x:c r="S832" s="10"/>
      <x:c r="T832" s="9"/>
      <x:c r="U832" s="9"/>
      <x:c r="V832" s="9"/>
      <x:c r="W832" s="9"/>
      <x:c r="X832" s="10"/>
      <x:c r="Y832" s="10"/>
      <x:c r="Z832" s="9"/>
      <x:c r="AA832" s="9"/>
      <x:c r="AB832" s="9"/>
      <x:c r="AC832" s="9"/>
      <x:c r="AD832" s="9" t="str">
        <x:v>green block</x:v>
      </x:c>
      <x:c r="AE832" s="9"/>
      <x:c r="AF832" s="9"/>
      <x:c r="AG832" s="9"/>
      <x:c r="AH832" s="9" t="str">
        <x:v>Right</x:v>
      </x:c>
      <x:c r="AI832" s="11" t="n">
        <x:v>16</x:v>
      </x:c>
      <x:c r="AJ832" s="9" t="str">
        <x:v>Held-out largest × green block — Put</x:v>
      </x:c>
      <x:c r="AK832" s="9" t="str">
        <x:v>Eval_Size_Recognition (1).xlsm</x:v>
      </x:c>
      <x:c r="AL832" s="9" t="str">
        <x:v>MolmoAct2 Results</x:v>
      </x:c>
      <x:c r="AM832" s="9" t="n">
        <x:v>62</x:v>
      </x:c>
      <x:c r="AN832" s="9" t="n">
        <x:v>62</x:v>
      </x:c>
    </x:row>
    <x:row r="833">
      <x:c r="A833" s="9" t="str">
        <x:v>Success</x:v>
      </x:c>
      <x:c r="B833" s="9" t="str">
        <x:v>Size Recognition</x:v>
      </x:c>
      <x:c r="C833" s="10" t="n">
        <x:v>61</x:v>
      </x:c>
      <x:c r="D833" s="9" t="str">
        <x:v>Pick up the green block and place it in the bowl.</x:v>
      </x:c>
      <x:c r="E833" s="9" t="str">
        <x:v>Bowl: empty. Table, robot-left→robot-right: P1 red pencil sharpener; P2 green block. Adjacent centers 16 cm apart; row centered on the workspace; all objects fully visible and grasp paths clear.</x:v>
      </x:c>
      <x:c r="F833" s="9" t="str">
        <x:v>MOVE green block to bowl</x:v>
      </x:c>
      <x:c r="G833" s="9"/>
      <x:c r="H833" s="9" t="str">
        <x:v>Matched manipulation control</x:v>
      </x:c>
      <x:c r="I833" s="9" t="str">
        <x:v>SZ-CT-LG06</x:v>
      </x:c>
      <x:c r="J833" s="9" t="str">
        <x:v>Direct</x:v>
      </x:c>
      <x:c r="K833" s="9" t="n">
        <x:v>60</x:v>
      </x:c>
      <x:c r="L833" s="9" t="str">
        <x:v>1075</x:v>
      </x:c>
      <x:c r="M833" s="9"/>
      <x:c r="N833" s="9"/>
      <x:c r="O833" s="9" t="str">
        <x:v>Reset the target to its original pose; change only the prompt.</x:v>
      </x:c>
      <x:c r="P833" s="9" t="str">
        <x:v>Exact-scene control using a direct prompt supported by training episode 1075.</x:v>
      </x:c>
      <x:c r="Q833" s="9"/>
      <x:c r="R833" s="10" t="n">
        <x:v>2</x:v>
      </x:c>
      <x:c r="S833" s="10"/>
      <x:c r="T833" s="9"/>
      <x:c r="U833" s="9"/>
      <x:c r="V833" s="9"/>
      <x:c r="W833" s="9"/>
      <x:c r="X833" s="10"/>
      <x:c r="Y833" s="10"/>
      <x:c r="Z833" s="9"/>
      <x:c r="AA833" s="9"/>
      <x:c r="AB833" s="9"/>
      <x:c r="AC833" s="9"/>
      <x:c r="AD833" s="9" t="str">
        <x:v>green block</x:v>
      </x:c>
      <x:c r="AE833" s="9"/>
      <x:c r="AF833" s="9"/>
      <x:c r="AG833" s="9"/>
      <x:c r="AH833" s="9" t="str">
        <x:v>Right</x:v>
      </x:c>
      <x:c r="AI833" s="11" t="n">
        <x:v>16</x:v>
      </x:c>
      <x:c r="AJ833" s="9" t="str">
        <x:v>Same-scene direct target control</x:v>
      </x:c>
      <x:c r="AK833" s="9" t="str">
        <x:v>Eval_Size_Recognition (1).xlsm</x:v>
      </x:c>
      <x:c r="AL833" s="9" t="str">
        <x:v>MolmoAct2 Results</x:v>
      </x:c>
      <x:c r="AM833" s="9" t="n">
        <x:v>63</x:v>
      </x:c>
      <x:c r="AN833" s="9" t="n">
        <x:v>63</x:v>
      </x:c>
    </x:row>
    <x:row r="834">
      <x:c r="A834" s="9" t="str">
        <x:v>Success</x:v>
      </x:c>
      <x:c r="B834" s="9" t="str">
        <x:v>Size Recognition</x:v>
      </x:c>
      <x:c r="C834" s="10" t="n">
        <x:v>62</x:v>
      </x:c>
      <x:c r="D834" s="9" t="str">
        <x:v>Move the object that is smallest into the bowl.</x:v>
      </x:c>
      <x:c r="E834" s="9" t="str">
        <x:v>Bowl: empty. Table, robot-left→robot-right: P1 juggling ball; P2 crushed Pepsi can. Adjacent centers 8 cm apart; row shifted 4 cm toward robot-right; all objects fully visible and grasp paths clear.</x:v>
      </x:c>
      <x:c r="F834" s="9" t="str">
        <x:v>MOVE juggling ball to bowl</x:v>
      </x:c>
      <x:c r="G834" s="9"/>
      <x:c r="H834" s="9" t="str">
        <x:v>Concept/compositional transfer</x:v>
      </x:c>
      <x:c r="I834" s="9" t="str">
        <x:v>SZ-CT-SJ06</x:v>
      </x:c>
      <x:c r="J834" s="9" t="str">
        <x:v>smallest</x:v>
      </x:c>
      <x:c r="K834" s="9"/>
      <x:c r="L834" s="9" t="str">
        <x:v>1110</x:v>
      </x:c>
      <x:c r="M834" s="9"/>
      <x:c r="N834" s="9"/>
      <x:c r="O834" s="9" t="str">
        <x:v>Build the listed two-object scene and save a first-frame filename.</x:v>
      </x:c>
      <x:c r="P834" s="9" t="str">
        <x:v>Primary missing cell. Training episode 1110 contains the same target trajectory but masks the size word with a direct identity prompt.</x:v>
      </x:c>
      <x:c r="Q834" s="9"/>
      <x:c r="R834" s="10" t="n">
        <x:v>2</x:v>
      </x:c>
      <x:c r="S834" s="10"/>
      <x:c r="T834" s="9"/>
      <x:c r="U834" s="9"/>
      <x:c r="V834" s="9"/>
      <x:c r="W834" s="9"/>
      <x:c r="X834" s="10"/>
      <x:c r="Y834" s="10"/>
      <x:c r="Z834" s="9"/>
      <x:c r="AA834" s="9"/>
      <x:c r="AB834" s="9"/>
      <x:c r="AC834" s="9"/>
      <x:c r="AD834" s="9" t="str">
        <x:v>juggling ball</x:v>
      </x:c>
      <x:c r="AE834" s="9"/>
      <x:c r="AF834" s="9"/>
      <x:c r="AG834" s="9"/>
      <x:c r="AH834" s="9" t="str">
        <x:v>Left</x:v>
      </x:c>
      <x:c r="AI834" s="11" t="n">
        <x:v>8</x:v>
      </x:c>
      <x:c r="AJ834" s="9" t="str">
        <x:v>Held-out smallest × juggling ball — Move</x:v>
      </x:c>
      <x:c r="AK834" s="9" t="str">
        <x:v>Eval_Size_Recognition (1).xlsm</x:v>
      </x:c>
      <x:c r="AL834" s="9" t="str">
        <x:v>MolmoAct2 Results</x:v>
      </x:c>
      <x:c r="AM834" s="9" t="n">
        <x:v>64</x:v>
      </x:c>
      <x:c r="AN834" s="9" t="n">
        <x:v>64</x:v>
      </x:c>
    </x:row>
    <x:row r="835">
      <x:c r="A835" s="9" t="str">
        <x:v>Success</x:v>
      </x:c>
      <x:c r="B835" s="9" t="str">
        <x:v>Size Recognition</x:v>
      </x:c>
      <x:c r="C835" s="10" t="n">
        <x:v>63</x:v>
      </x:c>
      <x:c r="D835" s="9" t="str">
        <x:v>Pick up the juggling ball and place it in the bowl.</x:v>
      </x:c>
      <x:c r="E835" s="9" t="str">
        <x:v>Bowl: empty. Table, robot-left→robot-right: P1 juggling ball; P2 crushed Pepsi can. Adjacent centers 8 cm apart; row shifted 4 cm toward robot-right; all objects fully visible and grasp paths clear.</x:v>
      </x:c>
      <x:c r="F835" s="9" t="str">
        <x:v>MOVE juggling ball to bowl</x:v>
      </x:c>
      <x:c r="G835" s="9"/>
      <x:c r="H835" s="9" t="str">
        <x:v>Matched manipulation control</x:v>
      </x:c>
      <x:c r="I835" s="9" t="str">
        <x:v>SZ-CT-SJ06</x:v>
      </x:c>
      <x:c r="J835" s="9" t="str">
        <x:v>Direct</x:v>
      </x:c>
      <x:c r="K835" s="9" t="n">
        <x:v>62</x:v>
      </x:c>
      <x:c r="L835" s="9" t="str">
        <x:v>1100</x:v>
      </x:c>
      <x:c r="M835" s="9"/>
      <x:c r="N835" s="9"/>
      <x:c r="O835" s="9" t="str">
        <x:v>Reset the target to its original pose; change only the prompt.</x:v>
      </x:c>
      <x:c r="P835" s="9" t="str">
        <x:v>Exact-scene control using a direct prompt supported by training episode 1100.</x:v>
      </x:c>
      <x:c r="Q835" s="9"/>
      <x:c r="R835" s="10" t="n">
        <x:v>2</x:v>
      </x:c>
      <x:c r="S835" s="10"/>
      <x:c r="T835" s="9"/>
      <x:c r="U835" s="9"/>
      <x:c r="V835" s="9"/>
      <x:c r="W835" s="9"/>
      <x:c r="X835" s="10"/>
      <x:c r="Y835" s="10"/>
      <x:c r="Z835" s="9"/>
      <x:c r="AA835" s="9"/>
      <x:c r="AB835" s="9"/>
      <x:c r="AC835" s="9"/>
      <x:c r="AD835" s="9" t="str">
        <x:v>juggling ball</x:v>
      </x:c>
      <x:c r="AE835" s="9"/>
      <x:c r="AF835" s="9"/>
      <x:c r="AG835" s="9"/>
      <x:c r="AH835" s="9" t="str">
        <x:v>Left</x:v>
      </x:c>
      <x:c r="AI835" s="11" t="n">
        <x:v>8</x:v>
      </x:c>
      <x:c r="AJ835" s="9" t="str">
        <x:v>Same-scene direct target control</x:v>
      </x:c>
      <x:c r="AK835" s="9" t="str">
        <x:v>Eval_Size_Recognition (1).xlsm</x:v>
      </x:c>
      <x:c r="AL835" s="9" t="str">
        <x:v>MolmoAct2 Results</x:v>
      </x:c>
      <x:c r="AM835" s="9" t="n">
        <x:v>65</x:v>
      </x:c>
      <x:c r="AN835" s="9" t="n">
        <x:v>65</x:v>
      </x:c>
    </x:row>
    <x:row r="836">
      <x:c r="A836" s="9" t="str">
        <x:v>Failure</x:v>
      </x:c>
      <x:c r="B836" s="9" t="str">
        <x:v>Size Recognition</x:v>
      </x:c>
      <x:c r="C836" s="10" t="n">
        <x:v>64</x:v>
      </x:c>
      <x:c r="D836" s="9" t="str">
        <x:v>Move the object that is largest into the bowl.</x:v>
      </x:c>
      <x:c r="E836" s="9" t="str">
        <x:v>Bowl: empty. Table, robot-left→robot-right: P1 green block; P2 red pencil sharpener. Adjacent centers 8 cm apart; row shifted 4 cm toward robot-left; all objects fully visible and grasp paths clear.</x:v>
      </x:c>
      <x:c r="F836" s="9" t="str">
        <x:v>MOVE green block to bowl</x:v>
      </x:c>
      <x:c r="G836" s="9" t="str">
        <x:v>picked pencil sharpener</x:v>
      </x:c>
      <x:c r="H836" s="9" t="str">
        <x:v>Concept/compositional transfer</x:v>
      </x:c>
      <x:c r="I836" s="9" t="str">
        <x:v>SZ-CT-LG07</x:v>
      </x:c>
      <x:c r="J836" s="9" t="str">
        <x:v>largest</x:v>
      </x:c>
      <x:c r="K836" s="9"/>
      <x:c r="L836" s="9" t="str">
        <x:v>1086</x:v>
      </x:c>
      <x:c r="M836" s="9"/>
      <x:c r="N836" s="9"/>
      <x:c r="O836" s="9" t="str">
        <x:v>Build the listed two-object scene and save a first-frame filename.</x:v>
      </x:c>
      <x:c r="P836" s="9" t="str">
        <x:v>Primary missing cell. Training episode 1086 contains the same target trajectory but masks the size word with a direct identity prompt.</x:v>
      </x:c>
      <x:c r="Q836" s="9"/>
      <x:c r="R836" s="10" t="n">
        <x:v>2</x:v>
      </x:c>
      <x:c r="S836" s="10"/>
      <x:c r="T836" s="9"/>
      <x:c r="U836" s="9"/>
      <x:c r="V836" s="9"/>
      <x:c r="W836" s="9"/>
      <x:c r="X836" s="10"/>
      <x:c r="Y836" s="10"/>
      <x:c r="Z836" s="9"/>
      <x:c r="AA836" s="9"/>
      <x:c r="AB836" s="9"/>
      <x:c r="AC836" s="9"/>
      <x:c r="AD836" s="9" t="str">
        <x:v>green block</x:v>
      </x:c>
      <x:c r="AE836" s="9"/>
      <x:c r="AF836" s="9"/>
      <x:c r="AG836" s="9"/>
      <x:c r="AH836" s="9" t="str">
        <x:v>Left</x:v>
      </x:c>
      <x:c r="AI836" s="11" t="n">
        <x:v>8</x:v>
      </x:c>
      <x:c r="AJ836" s="9" t="str">
        <x:v>Held-out largest × green block — Move</x:v>
      </x:c>
      <x:c r="AK836" s="9" t="str">
        <x:v>Eval_Size_Recognition (1).xlsm</x:v>
      </x:c>
      <x:c r="AL836" s="9" t="str">
        <x:v>MolmoAct2 Results</x:v>
      </x:c>
      <x:c r="AM836" s="9" t="n">
        <x:v>66</x:v>
      </x:c>
      <x:c r="AN836" s="9" t="n">
        <x:v>66</x:v>
      </x:c>
    </x:row>
    <x:row r="837">
      <x:c r="A837" s="9" t="str">
        <x:v>Success</x:v>
      </x:c>
      <x:c r="B837" s="9" t="str">
        <x:v>Size Recognition</x:v>
      </x:c>
      <x:c r="C837" s="10" t="n">
        <x:v>65</x:v>
      </x:c>
      <x:c r="D837" s="9" t="str">
        <x:v>Put the green block in the bowl.</x:v>
      </x:c>
      <x:c r="E837" s="9" t="str">
        <x:v>Bowl: empty. Table, robot-left→robot-right: P1 green block; P2 red pencil sharpener. Adjacent centers 8 cm apart; row shifted 4 cm toward robot-left; all objects fully visible and grasp paths clear.</x:v>
      </x:c>
      <x:c r="F837" s="9" t="str">
        <x:v>MOVE green block to bowl</x:v>
      </x:c>
      <x:c r="G837" s="9"/>
      <x:c r="H837" s="9" t="str">
        <x:v>Matched manipulation control</x:v>
      </x:c>
      <x:c r="I837" s="9" t="str">
        <x:v>SZ-CT-LG07</x:v>
      </x:c>
      <x:c r="J837" s="9" t="str">
        <x:v>Direct</x:v>
      </x:c>
      <x:c r="K837" s="9" t="n">
        <x:v>64</x:v>
      </x:c>
      <x:c r="L837" s="9" t="str">
        <x:v>1076</x:v>
      </x:c>
      <x:c r="M837" s="9"/>
      <x:c r="N837" s="9"/>
      <x:c r="O837" s="9" t="str">
        <x:v>Reset the target to its original pose; change only the prompt.</x:v>
      </x:c>
      <x:c r="P837" s="9" t="str">
        <x:v>Exact-scene control using a direct prompt supported by training episode 1076.</x:v>
      </x:c>
      <x:c r="Q837" s="9"/>
      <x:c r="R837" s="10" t="n">
        <x:v>2</x:v>
      </x:c>
      <x:c r="S837" s="10"/>
      <x:c r="T837" s="9"/>
      <x:c r="U837" s="9"/>
      <x:c r="V837" s="9"/>
      <x:c r="W837" s="9"/>
      <x:c r="X837" s="10"/>
      <x:c r="Y837" s="10"/>
      <x:c r="Z837" s="9"/>
      <x:c r="AA837" s="9"/>
      <x:c r="AB837" s="9"/>
      <x:c r="AC837" s="9"/>
      <x:c r="AD837" s="9" t="str">
        <x:v>green block</x:v>
      </x:c>
      <x:c r="AE837" s="9"/>
      <x:c r="AF837" s="9"/>
      <x:c r="AG837" s="9"/>
      <x:c r="AH837" s="9" t="str">
        <x:v>Left</x:v>
      </x:c>
      <x:c r="AI837" s="11" t="n">
        <x:v>8</x:v>
      </x:c>
      <x:c r="AJ837" s="9" t="str">
        <x:v>Same-scene direct target control</x:v>
      </x:c>
      <x:c r="AK837" s="9" t="str">
        <x:v>Eval_Size_Recognition (1).xlsm</x:v>
      </x:c>
      <x:c r="AL837" s="9" t="str">
        <x:v>MolmoAct2 Results</x:v>
      </x:c>
      <x:c r="AM837" s="9" t="n">
        <x:v>67</x:v>
      </x:c>
      <x:c r="AN837" s="9" t="n">
        <x:v>67</x:v>
      </x:c>
    </x:row>
    <x:row r="838">
      <x:c r="A838" s="9" t="str">
        <x:v>Success</x:v>
      </x:c>
      <x:c r="B838" s="9" t="str">
        <x:v>Size Recognition</x:v>
      </x:c>
      <x:c r="C838" s="10" t="n">
        <x:v>66</x:v>
      </x:c>
      <x:c r="D838" s="9" t="str">
        <x:v>Pick up the smallest item and place it in the bowl.</x:v>
      </x:c>
      <x:c r="E838" s="9" t="str">
        <x:v>Bowl: empty. Table, robot-left→robot-right: P1 crushed Pepsi can; P2 juggling ball. Adjacent centers 12 cm apart; row shifted 4 cm toward the robot; all objects fully visible and grasp paths clear.</x:v>
      </x:c>
      <x:c r="F838" s="9" t="str">
        <x:v>MOVE juggling ball to bowl</x:v>
      </x:c>
      <x:c r="G838" s="9"/>
      <x:c r="H838" s="9" t="str">
        <x:v>Concept/compositional transfer</x:v>
      </x:c>
      <x:c r="I838" s="9" t="str">
        <x:v>SZ-CT-SJ07</x:v>
      </x:c>
      <x:c r="J838" s="9" t="str">
        <x:v>smallest</x:v>
      </x:c>
      <x:c r="K838" s="9"/>
      <x:c r="L838" s="9" t="str">
        <x:v>1111</x:v>
      </x:c>
      <x:c r="M838" s="9"/>
      <x:c r="N838" s="9"/>
      <x:c r="O838" s="9" t="str">
        <x:v>Build the listed two-object scene and save a first-frame filename.</x:v>
      </x:c>
      <x:c r="P838" s="9" t="str">
        <x:v>Primary missing cell. Training episode 1111 contains the same target trajectory but masks the size word with a direct identity prompt.</x:v>
      </x:c>
      <x:c r="Q838" s="9"/>
      <x:c r="R838" s="10" t="n">
        <x:v>2</x:v>
      </x:c>
      <x:c r="S838" s="10"/>
      <x:c r="T838" s="9"/>
      <x:c r="U838" s="9"/>
      <x:c r="V838" s="9"/>
      <x:c r="W838" s="9"/>
      <x:c r="X838" s="10"/>
      <x:c r="Y838" s="10"/>
      <x:c r="Z838" s="9"/>
      <x:c r="AA838" s="9"/>
      <x:c r="AB838" s="9"/>
      <x:c r="AC838" s="9"/>
      <x:c r="AD838" s="9" t="str">
        <x:v>juggling ball</x:v>
      </x:c>
      <x:c r="AE838" s="9"/>
      <x:c r="AF838" s="9"/>
      <x:c r="AG838" s="9"/>
      <x:c r="AH838" s="9" t="str">
        <x:v>Right</x:v>
      </x:c>
      <x:c r="AI838" s="11" t="n">
        <x:v>12</x:v>
      </x:c>
      <x:c r="AJ838" s="9" t="str">
        <x:v>Held-out smallest × juggling ball — Pick up</x:v>
      </x:c>
      <x:c r="AK838" s="9" t="str">
        <x:v>Eval_Size_Recognition (1).xlsm</x:v>
      </x:c>
      <x:c r="AL838" s="9" t="str">
        <x:v>MolmoAct2 Results</x:v>
      </x:c>
      <x:c r="AM838" s="9" t="n">
        <x:v>68</x:v>
      </x:c>
      <x:c r="AN838" s="9" t="n">
        <x:v>68</x:v>
      </x:c>
    </x:row>
    <x:row r="839">
      <x:c r="A839" s="9" t="str">
        <x:v>Success</x:v>
      </x:c>
      <x:c r="B839" s="9" t="str">
        <x:v>Size Recognition</x:v>
      </x:c>
      <x:c r="C839" s="10" t="n">
        <x:v>67</x:v>
      </x:c>
      <x:c r="D839" s="9" t="str">
        <x:v>Put the juggling ball in the bowl.</x:v>
      </x:c>
      <x:c r="E839" s="9" t="str">
        <x:v>Bowl: empty. Table, robot-left→robot-right: P1 crushed Pepsi can; P2 juggling ball. Adjacent centers 12 cm apart; row shifted 4 cm toward the robot; all objects fully visible and grasp paths clear.</x:v>
      </x:c>
      <x:c r="F839" s="9" t="str">
        <x:v>MOVE juggling ball to bowl</x:v>
      </x:c>
      <x:c r="G839" s="9"/>
      <x:c r="H839" s="9" t="str">
        <x:v>Matched manipulation control</x:v>
      </x:c>
      <x:c r="I839" s="9" t="str">
        <x:v>SZ-CT-SJ07</x:v>
      </x:c>
      <x:c r="J839" s="9" t="str">
        <x:v>Direct</x:v>
      </x:c>
      <x:c r="K839" s="9" t="n">
        <x:v>66</x:v>
      </x:c>
      <x:c r="L839" s="9" t="str">
        <x:v>1101</x:v>
      </x:c>
      <x:c r="M839" s="9"/>
      <x:c r="N839" s="9"/>
      <x:c r="O839" s="9" t="str">
        <x:v>Reset the target to its original pose; change only the prompt.</x:v>
      </x:c>
      <x:c r="P839" s="9" t="str">
        <x:v>Exact-scene control using a direct prompt supported by training episode 1101.</x:v>
      </x:c>
      <x:c r="Q839" s="9"/>
      <x:c r="R839" s="10" t="n">
        <x:v>2</x:v>
      </x:c>
      <x:c r="S839" s="10"/>
      <x:c r="T839" s="9"/>
      <x:c r="U839" s="9"/>
      <x:c r="V839" s="9"/>
      <x:c r="W839" s="9"/>
      <x:c r="X839" s="10"/>
      <x:c r="Y839" s="10"/>
      <x:c r="Z839" s="9"/>
      <x:c r="AA839" s="9"/>
      <x:c r="AB839" s="9"/>
      <x:c r="AC839" s="9"/>
      <x:c r="AD839" s="9" t="str">
        <x:v>juggling ball</x:v>
      </x:c>
      <x:c r="AE839" s="9"/>
      <x:c r="AF839" s="9"/>
      <x:c r="AG839" s="9"/>
      <x:c r="AH839" s="9" t="str">
        <x:v>Right</x:v>
      </x:c>
      <x:c r="AI839" s="11" t="n">
        <x:v>12</x:v>
      </x:c>
      <x:c r="AJ839" s="9" t="str">
        <x:v>Same-scene direct target control</x:v>
      </x:c>
      <x:c r="AK839" s="9" t="str">
        <x:v>Eval_Size_Recognition (1).xlsm</x:v>
      </x:c>
      <x:c r="AL839" s="9" t="str">
        <x:v>MolmoAct2 Results</x:v>
      </x:c>
      <x:c r="AM839" s="9" t="n">
        <x:v>69</x:v>
      </x:c>
      <x:c r="AN839" s="9" t="n">
        <x:v>69</x:v>
      </x:c>
    </x:row>
    <x:row r="840">
      <x:c r="A840" s="9" t="str">
        <x:v>Success</x:v>
      </x:c>
      <x:c r="B840" s="9" t="str">
        <x:v>Size Recognition</x:v>
      </x:c>
      <x:c r="C840" s="10" t="n">
        <x:v>68</x:v>
      </x:c>
      <x:c r="D840" s="9" t="str">
        <x:v>Pick up the largest item and place it in the bowl.</x:v>
      </x:c>
      <x:c r="E840" s="9" t="str">
        <x:v>Bowl: empty. Table, robot-left→robot-right: P1 red pencil sharpener; P2 green block. Adjacent centers 12 cm apart; row shifted 4 cm toward robot-right; all objects fully visible and grasp paths clear.</x:v>
      </x:c>
      <x:c r="F840" s="9" t="str">
        <x:v>MOVE green block to bowl</x:v>
      </x:c>
      <x:c r="G840" s="9" t="str">
        <x:v>picked it up like the soda can</x:v>
      </x:c>
      <x:c r="H840" s="9" t="str">
        <x:v>Concept/compositional transfer</x:v>
      </x:c>
      <x:c r="I840" s="9" t="str">
        <x:v>SZ-CT-LG08</x:v>
      </x:c>
      <x:c r="J840" s="9" t="str">
        <x:v>largest</x:v>
      </x:c>
      <x:c r="K840" s="9"/>
      <x:c r="L840" s="9" t="str">
        <x:v>1087</x:v>
      </x:c>
      <x:c r="M840" s="9"/>
      <x:c r="N840" s="9"/>
      <x:c r="O840" s="9" t="str">
        <x:v>Build the listed two-object scene and save a first-frame filename.</x:v>
      </x:c>
      <x:c r="P840" s="9" t="str">
        <x:v>Primary missing cell. Training episode 1087 contains the same target trajectory but masks the size word with a direct identity prompt.</x:v>
      </x:c>
      <x:c r="Q840" s="9"/>
      <x:c r="R840" s="10" t="n">
        <x:v>2</x:v>
      </x:c>
      <x:c r="S840" s="10"/>
      <x:c r="T840" s="9"/>
      <x:c r="U840" s="9"/>
      <x:c r="V840" s="9"/>
      <x:c r="W840" s="9"/>
      <x:c r="X840" s="10"/>
      <x:c r="Y840" s="10"/>
      <x:c r="Z840" s="9"/>
      <x:c r="AA840" s="9"/>
      <x:c r="AB840" s="9"/>
      <x:c r="AC840" s="9"/>
      <x:c r="AD840" s="9" t="str">
        <x:v>green block</x:v>
      </x:c>
      <x:c r="AE840" s="9"/>
      <x:c r="AF840" s="9"/>
      <x:c r="AG840" s="9"/>
      <x:c r="AH840" s="9" t="str">
        <x:v>Right</x:v>
      </x:c>
      <x:c r="AI840" s="11" t="n">
        <x:v>12</x:v>
      </x:c>
      <x:c r="AJ840" s="9" t="str">
        <x:v>Held-out largest × green block — Pick up</x:v>
      </x:c>
      <x:c r="AK840" s="9" t="str">
        <x:v>Eval_Size_Recognition (1).xlsm</x:v>
      </x:c>
      <x:c r="AL840" s="9" t="str">
        <x:v>MolmoAct2 Results</x:v>
      </x:c>
      <x:c r="AM840" s="9" t="n">
        <x:v>70</x:v>
      </x:c>
      <x:c r="AN840" s="9" t="n">
        <x:v>70</x:v>
      </x:c>
    </x:row>
    <x:row r="841">
      <x:c r="A841" s="9" t="str">
        <x:v>Success</x:v>
      </x:c>
      <x:c r="B841" s="9" t="str">
        <x:v>Size Recognition</x:v>
      </x:c>
      <x:c r="C841" s="10" t="n">
        <x:v>69</x:v>
      </x:c>
      <x:c r="D841" s="9" t="str">
        <x:v>Move the green block into the bowl.</x:v>
      </x:c>
      <x:c r="E841" s="9" t="str">
        <x:v>Bowl: empty. Table, robot-left→robot-right: P1 red pencil sharpener; P2 green block. Adjacent centers 12 cm apart; row shifted 4 cm toward robot-right; all objects fully visible and grasp paths clear.</x:v>
      </x:c>
      <x:c r="F841" s="9" t="str">
        <x:v>MOVE green block to bowl</x:v>
      </x:c>
      <x:c r="G841" s="9"/>
      <x:c r="H841" s="9" t="str">
        <x:v>Matched manipulation control</x:v>
      </x:c>
      <x:c r="I841" s="9" t="str">
        <x:v>SZ-CT-LG08</x:v>
      </x:c>
      <x:c r="J841" s="9" t="str">
        <x:v>Direct</x:v>
      </x:c>
      <x:c r="K841" s="9" t="n">
        <x:v>68</x:v>
      </x:c>
      <x:c r="L841" s="9" t="str">
        <x:v>1077</x:v>
      </x:c>
      <x:c r="M841" s="9"/>
      <x:c r="N841" s="9"/>
      <x:c r="O841" s="9" t="str">
        <x:v>Reset the target to its original pose; change only the prompt.</x:v>
      </x:c>
      <x:c r="P841" s="9" t="str">
        <x:v>Exact-scene control using a direct prompt supported by training episode 1077.</x:v>
      </x:c>
      <x:c r="Q841" s="9"/>
      <x:c r="R841" s="10" t="n">
        <x:v>2</x:v>
      </x:c>
      <x:c r="S841" s="10"/>
      <x:c r="T841" s="9"/>
      <x:c r="U841" s="9"/>
      <x:c r="V841" s="9"/>
      <x:c r="W841" s="9"/>
      <x:c r="X841" s="10"/>
      <x:c r="Y841" s="10"/>
      <x:c r="Z841" s="9"/>
      <x:c r="AA841" s="9"/>
      <x:c r="AB841" s="9"/>
      <x:c r="AC841" s="9"/>
      <x:c r="AD841" s="9" t="str">
        <x:v>green block</x:v>
      </x:c>
      <x:c r="AE841" s="9"/>
      <x:c r="AF841" s="9"/>
      <x:c r="AG841" s="9"/>
      <x:c r="AH841" s="9" t="str">
        <x:v>Right</x:v>
      </x:c>
      <x:c r="AI841" s="11" t="n">
        <x:v>12</x:v>
      </x:c>
      <x:c r="AJ841" s="9" t="str">
        <x:v>Same-scene direct target control</x:v>
      </x:c>
      <x:c r="AK841" s="9" t="str">
        <x:v>Eval_Size_Recognition (1).xlsm</x:v>
      </x:c>
      <x:c r="AL841" s="9" t="str">
        <x:v>MolmoAct2 Results</x:v>
      </x:c>
      <x:c r="AM841" s="9" t="n">
        <x:v>71</x:v>
      </x:c>
      <x:c r="AN841" s="9" t="n">
        <x:v>71</x:v>
      </x:c>
    </x:row>
    <x:row r="842">
      <x:c r="A842" s="9" t="str">
        <x:v>Success</x:v>
      </x:c>
      <x:c r="B842" s="9" t="str">
        <x:v>Size Recognition</x:v>
      </x:c>
      <x:c r="C842" s="10" t="n">
        <x:v>70</x:v>
      </x:c>
      <x:c r="D842" s="9" t="str">
        <x:v>Put the smallest object in the bowl.</x:v>
      </x:c>
      <x:c r="E842" s="9" t="str">
        <x:v>Bowl: empty. Table, robot-left→robot-right: P1 juggling ball; P2 crushed Pepsi can. Adjacent centers 16 cm apart; row shifted 4 cm away from the robot; all objects fully visible and grasp paths clear.</x:v>
      </x:c>
      <x:c r="F842" s="9" t="str">
        <x:v>MOVE juggling ball to bowl</x:v>
      </x:c>
      <x:c r="G842" s="9"/>
      <x:c r="H842" s="9" t="str">
        <x:v>Concept/compositional transfer</x:v>
      </x:c>
      <x:c r="I842" s="9" t="str">
        <x:v>SZ-CT-SJ08</x:v>
      </x:c>
      <x:c r="J842" s="9" t="str">
        <x:v>smallest</x:v>
      </x:c>
      <x:c r="K842" s="9"/>
      <x:c r="L842" s="9" t="str">
        <x:v>1112</x:v>
      </x:c>
      <x:c r="M842" s="9"/>
      <x:c r="N842" s="9"/>
      <x:c r="O842" s="9" t="str">
        <x:v>Build the listed two-object scene and save a first-frame filename.</x:v>
      </x:c>
      <x:c r="P842" s="9" t="str">
        <x:v>Primary missing cell. Training episode 1112 contains the same target trajectory but masks the size word with a direct identity prompt.</x:v>
      </x:c>
      <x:c r="Q842" s="9"/>
      <x:c r="R842" s="10" t="n">
        <x:v>2</x:v>
      </x:c>
      <x:c r="S842" s="10"/>
      <x:c r="T842" s="9"/>
      <x:c r="U842" s="9"/>
      <x:c r="V842" s="9"/>
      <x:c r="W842" s="9"/>
      <x:c r="X842" s="10"/>
      <x:c r="Y842" s="10"/>
      <x:c r="Z842" s="9"/>
      <x:c r="AA842" s="9"/>
      <x:c r="AB842" s="9"/>
      <x:c r="AC842" s="9"/>
      <x:c r="AD842" s="9" t="str">
        <x:v>juggling ball</x:v>
      </x:c>
      <x:c r="AE842" s="9"/>
      <x:c r="AF842" s="9"/>
      <x:c r="AG842" s="9"/>
      <x:c r="AH842" s="9" t="str">
        <x:v>Left</x:v>
      </x:c>
      <x:c r="AI842" s="11" t="n">
        <x:v>16</x:v>
      </x:c>
      <x:c r="AJ842" s="9" t="str">
        <x:v>Held-out smallest × juggling ball — Put</x:v>
      </x:c>
      <x:c r="AK842" s="9" t="str">
        <x:v>Eval_Size_Recognition (1).xlsm</x:v>
      </x:c>
      <x:c r="AL842" s="9" t="str">
        <x:v>MolmoAct2 Results</x:v>
      </x:c>
      <x:c r="AM842" s="9" t="n">
        <x:v>72</x:v>
      </x:c>
      <x:c r="AN842" s="9" t="n">
        <x:v>72</x:v>
      </x:c>
    </x:row>
    <x:row r="843">
      <x:c r="A843" s="9" t="str">
        <x:v>Success</x:v>
      </x:c>
      <x:c r="B843" s="9" t="str">
        <x:v>Size Recognition</x:v>
      </x:c>
      <x:c r="C843" s="10" t="n">
        <x:v>71</x:v>
      </x:c>
      <x:c r="D843" s="9" t="str">
        <x:v>Move the juggling ball into the bowl.</x:v>
      </x:c>
      <x:c r="E843" s="9" t="str">
        <x:v>Bowl: empty. Table, robot-left→robot-right: P1 juggling ball; P2 crushed Pepsi can. Adjacent centers 16 cm apart; row shifted 4 cm away from the robot; all objects fully visible and grasp paths clear.</x:v>
      </x:c>
      <x:c r="F843" s="9" t="str">
        <x:v>MOVE juggling ball to bowl</x:v>
      </x:c>
      <x:c r="G843" s="9"/>
      <x:c r="H843" s="9" t="str">
        <x:v>Matched manipulation control</x:v>
      </x:c>
      <x:c r="I843" s="9" t="str">
        <x:v>SZ-CT-SJ08</x:v>
      </x:c>
      <x:c r="J843" s="9" t="str">
        <x:v>Direct</x:v>
      </x:c>
      <x:c r="K843" s="9" t="n">
        <x:v>70</x:v>
      </x:c>
      <x:c r="L843" s="9" t="str">
        <x:v>1102</x:v>
      </x:c>
      <x:c r="M843" s="9"/>
      <x:c r="N843" s="9"/>
      <x:c r="O843" s="9" t="str">
        <x:v>Reset the target to its original pose; change only the prompt.</x:v>
      </x:c>
      <x:c r="P843" s="9" t="str">
        <x:v>Exact-scene control using a direct prompt supported by training episode 1102.</x:v>
      </x:c>
      <x:c r="Q843" s="9"/>
      <x:c r="R843" s="10" t="n">
        <x:v>2</x:v>
      </x:c>
      <x:c r="S843" s="10"/>
      <x:c r="T843" s="9"/>
      <x:c r="U843" s="9"/>
      <x:c r="V843" s="9"/>
      <x:c r="W843" s="9"/>
      <x:c r="X843" s="10"/>
      <x:c r="Y843" s="10"/>
      <x:c r="Z843" s="9"/>
      <x:c r="AA843" s="9"/>
      <x:c r="AB843" s="9"/>
      <x:c r="AC843" s="9"/>
      <x:c r="AD843" s="9" t="str">
        <x:v>juggling ball</x:v>
      </x:c>
      <x:c r="AE843" s="9"/>
      <x:c r="AF843" s="9"/>
      <x:c r="AG843" s="9"/>
      <x:c r="AH843" s="9" t="str">
        <x:v>Left</x:v>
      </x:c>
      <x:c r="AI843" s="11" t="n">
        <x:v>16</x:v>
      </x:c>
      <x:c r="AJ843" s="9" t="str">
        <x:v>Same-scene direct target control</x:v>
      </x:c>
      <x:c r="AK843" s="9" t="str">
        <x:v>Eval_Size_Recognition (1).xlsm</x:v>
      </x:c>
      <x:c r="AL843" s="9" t="str">
        <x:v>MolmoAct2 Results</x:v>
      </x:c>
      <x:c r="AM843" s="9" t="n">
        <x:v>73</x:v>
      </x:c>
      <x:c r="AN843" s="9" t="n">
        <x:v>73</x:v>
      </x:c>
    </x:row>
    <x:row r="844">
      <x:c r="A844" s="9" t="str">
        <x:v>Success</x:v>
      </x:c>
      <x:c r="B844" s="9" t="str">
        <x:v>Size Recognition</x:v>
      </x:c>
      <x:c r="C844" s="10" t="n">
        <x:v>72</x:v>
      </x:c>
      <x:c r="D844" s="9" t="str">
        <x:v>Put the largest object in the bowl.</x:v>
      </x:c>
      <x:c r="E844" s="9" t="str">
        <x:v>Bowl: empty. Table, robot-left→robot-right: P1 green block; P2 red pencil sharpener. Adjacent centers 16 cm apart; row shifted 4 cm toward the robot; all objects fully visible and grasp paths clear.</x:v>
      </x:c>
      <x:c r="F844" s="9" t="str">
        <x:v>MOVE green block to bowl</x:v>
      </x:c>
      <x:c r="G844" s="9"/>
      <x:c r="H844" s="9" t="str">
        <x:v>Concept/compositional transfer</x:v>
      </x:c>
      <x:c r="I844" s="9" t="str">
        <x:v>SZ-CT-LG09</x:v>
      </x:c>
      <x:c r="J844" s="9" t="str">
        <x:v>largest</x:v>
      </x:c>
      <x:c r="K844" s="9"/>
      <x:c r="L844" s="9" t="str">
        <x:v>1088</x:v>
      </x:c>
      <x:c r="M844" s="9"/>
      <x:c r="N844" s="9"/>
      <x:c r="O844" s="9" t="str">
        <x:v>Build the listed two-object scene and save a first-frame filename.</x:v>
      </x:c>
      <x:c r="P844" s="9" t="str">
        <x:v>Primary missing cell. Training episode 1088 contains the same target trajectory but masks the size word with a direct identity prompt.</x:v>
      </x:c>
      <x:c r="Q844" s="9"/>
      <x:c r="R844" s="10" t="n">
        <x:v>2</x:v>
      </x:c>
      <x:c r="S844" s="10"/>
      <x:c r="T844" s="9"/>
      <x:c r="U844" s="9"/>
      <x:c r="V844" s="9"/>
      <x:c r="W844" s="9"/>
      <x:c r="X844" s="10"/>
      <x:c r="Y844" s="10"/>
      <x:c r="Z844" s="9"/>
      <x:c r="AA844" s="9"/>
      <x:c r="AB844" s="9"/>
      <x:c r="AC844" s="9"/>
      <x:c r="AD844" s="9" t="str">
        <x:v>green block</x:v>
      </x:c>
      <x:c r="AE844" s="9"/>
      <x:c r="AF844" s="9"/>
      <x:c r="AG844" s="9"/>
      <x:c r="AH844" s="9" t="str">
        <x:v>Left</x:v>
      </x:c>
      <x:c r="AI844" s="11" t="n">
        <x:v>16</x:v>
      </x:c>
      <x:c r="AJ844" s="9" t="str">
        <x:v>Held-out largest × green block — Put</x:v>
      </x:c>
      <x:c r="AK844" s="9" t="str">
        <x:v>Eval_Size_Recognition (1).xlsm</x:v>
      </x:c>
      <x:c r="AL844" s="9" t="str">
        <x:v>MolmoAct2 Results</x:v>
      </x:c>
      <x:c r="AM844" s="9" t="n">
        <x:v>74</x:v>
      </x:c>
      <x:c r="AN844" s="9" t="n">
        <x:v>74</x:v>
      </x:c>
    </x:row>
    <x:row r="845">
      <x:c r="A845" s="9" t="str">
        <x:v>Success</x:v>
      </x:c>
      <x:c r="B845" s="9" t="str">
        <x:v>Size Recognition</x:v>
      </x:c>
      <x:c r="C845" s="10" t="n">
        <x:v>73</x:v>
      </x:c>
      <x:c r="D845" s="9" t="str">
        <x:v>Pick up the green block and place it in the bowl.</x:v>
      </x:c>
      <x:c r="E845" s="9" t="str">
        <x:v>Bowl: empty. Table, robot-left→robot-right: P1 green block; P2 red pencil sharpener. Adjacent centers 16 cm apart; row shifted 4 cm toward the robot; all objects fully visible and grasp paths clear.</x:v>
      </x:c>
      <x:c r="F845" s="9" t="str">
        <x:v>MOVE green block to bowl</x:v>
      </x:c>
      <x:c r="G845" s="9"/>
      <x:c r="H845" s="9" t="str">
        <x:v>Matched manipulation control</x:v>
      </x:c>
      <x:c r="I845" s="9" t="str">
        <x:v>SZ-CT-LG09</x:v>
      </x:c>
      <x:c r="J845" s="9" t="str">
        <x:v>Direct</x:v>
      </x:c>
      <x:c r="K845" s="9" t="n">
        <x:v>72</x:v>
      </x:c>
      <x:c r="L845" s="9" t="str">
        <x:v>1078</x:v>
      </x:c>
      <x:c r="M845" s="9"/>
      <x:c r="N845" s="9"/>
      <x:c r="O845" s="9" t="str">
        <x:v>Reset the target to its original pose; change only the prompt.</x:v>
      </x:c>
      <x:c r="P845" s="9" t="str">
        <x:v>Exact-scene control using a direct prompt supported by training episode 1078.</x:v>
      </x:c>
      <x:c r="Q845" s="9"/>
      <x:c r="R845" s="10" t="n">
        <x:v>2</x:v>
      </x:c>
      <x:c r="S845" s="10"/>
      <x:c r="T845" s="9"/>
      <x:c r="U845" s="9"/>
      <x:c r="V845" s="9"/>
      <x:c r="W845" s="9"/>
      <x:c r="X845" s="10"/>
      <x:c r="Y845" s="10"/>
      <x:c r="Z845" s="9"/>
      <x:c r="AA845" s="9"/>
      <x:c r="AB845" s="9"/>
      <x:c r="AC845" s="9"/>
      <x:c r="AD845" s="9" t="str">
        <x:v>green block</x:v>
      </x:c>
      <x:c r="AE845" s="9"/>
      <x:c r="AF845" s="9"/>
      <x:c r="AG845" s="9"/>
      <x:c r="AH845" s="9" t="str">
        <x:v>Left</x:v>
      </x:c>
      <x:c r="AI845" s="11" t="n">
        <x:v>16</x:v>
      </x:c>
      <x:c r="AJ845" s="9" t="str">
        <x:v>Same-scene direct target control</x:v>
      </x:c>
      <x:c r="AK845" s="9" t="str">
        <x:v>Eval_Size_Recognition (1).xlsm</x:v>
      </x:c>
      <x:c r="AL845" s="9" t="str">
        <x:v>MolmoAct2 Results</x:v>
      </x:c>
      <x:c r="AM845" s="9" t="n">
        <x:v>75</x:v>
      </x:c>
      <x:c r="AN845" s="9" t="n">
        <x:v>75</x:v>
      </x:c>
    </x:row>
    <x:row r="846">
      <x:c r="A846" s="9" t="str">
        <x:v>Success</x:v>
      </x:c>
      <x:c r="B846" s="9" t="str">
        <x:v>Size Recognition</x:v>
      </x:c>
      <x:c r="C846" s="10" t="n">
        <x:v>74</x:v>
      </x:c>
      <x:c r="D846" s="9" t="str">
        <x:v>Move the object that is smallest into the bowl.</x:v>
      </x:c>
      <x:c r="E846" s="9" t="str">
        <x:v>Bowl: empty. Table, robot-left→robot-right: P1 crushed Pepsi can; P2 juggling ball. Adjacent centers 8 cm apart; row centered on the workspace; all objects fully visible and grasp paths clear.</x:v>
      </x:c>
      <x:c r="F846" s="9" t="str">
        <x:v>MOVE juggling ball to bowl</x:v>
      </x:c>
      <x:c r="G846" s="9"/>
      <x:c r="H846" s="9" t="str">
        <x:v>Concept/compositional transfer</x:v>
      </x:c>
      <x:c r="I846" s="9" t="str">
        <x:v>SZ-CT-SJ09</x:v>
      </x:c>
      <x:c r="J846" s="9" t="str">
        <x:v>smallest</x:v>
      </x:c>
      <x:c r="K846" s="9"/>
      <x:c r="L846" s="9" t="str">
        <x:v>1113</x:v>
      </x:c>
      <x:c r="M846" s="9"/>
      <x:c r="N846" s="9"/>
      <x:c r="O846" s="9" t="str">
        <x:v>Build the listed two-object scene and save a first-frame filename.</x:v>
      </x:c>
      <x:c r="P846" s="9" t="str">
        <x:v>Primary missing cell. Training episode 1113 contains the same target trajectory but masks the size word with a direct identity prompt.</x:v>
      </x:c>
      <x:c r="Q846" s="9"/>
      <x:c r="R846" s="10" t="n">
        <x:v>2</x:v>
      </x:c>
      <x:c r="S846" s="10"/>
      <x:c r="T846" s="9"/>
      <x:c r="U846" s="9"/>
      <x:c r="V846" s="9"/>
      <x:c r="W846" s="9"/>
      <x:c r="X846" s="10"/>
      <x:c r="Y846" s="10"/>
      <x:c r="Z846" s="9"/>
      <x:c r="AA846" s="9"/>
      <x:c r="AB846" s="9"/>
      <x:c r="AC846" s="9"/>
      <x:c r="AD846" s="9" t="str">
        <x:v>juggling ball</x:v>
      </x:c>
      <x:c r="AE846" s="9"/>
      <x:c r="AF846" s="9"/>
      <x:c r="AG846" s="9"/>
      <x:c r="AH846" s="9" t="str">
        <x:v>Right</x:v>
      </x:c>
      <x:c r="AI846" s="11" t="n">
        <x:v>8</x:v>
      </x:c>
      <x:c r="AJ846" s="9" t="str">
        <x:v>Held-out smallest × juggling ball — Move</x:v>
      </x:c>
      <x:c r="AK846" s="9" t="str">
        <x:v>Eval_Size_Recognition (1).xlsm</x:v>
      </x:c>
      <x:c r="AL846" s="9" t="str">
        <x:v>MolmoAct2 Results</x:v>
      </x:c>
      <x:c r="AM846" s="9" t="n">
        <x:v>76</x:v>
      </x:c>
      <x:c r="AN846" s="9" t="n">
        <x:v>76</x:v>
      </x:c>
    </x:row>
    <x:row r="847">
      <x:c r="A847" s="9" t="str">
        <x:v>Success</x:v>
      </x:c>
      <x:c r="B847" s="9" t="str">
        <x:v>Size Recognition</x:v>
      </x:c>
      <x:c r="C847" s="10" t="n">
        <x:v>75</x:v>
      </x:c>
      <x:c r="D847" s="9" t="str">
        <x:v>Pick up the juggling ball and place it in the bowl.</x:v>
      </x:c>
      <x:c r="E847" s="9" t="str">
        <x:v>Bowl: empty. Table, robot-left→robot-right: P1 crushed Pepsi can; P2 juggling ball. Adjacent centers 8 cm apart; row centered on the workspace; all objects fully visible and grasp paths clear.</x:v>
      </x:c>
      <x:c r="F847" s="9" t="str">
        <x:v>MOVE juggling ball to bowl</x:v>
      </x:c>
      <x:c r="G847" s="9"/>
      <x:c r="H847" s="9" t="str">
        <x:v>Matched manipulation control</x:v>
      </x:c>
      <x:c r="I847" s="9" t="str">
        <x:v>SZ-CT-SJ09</x:v>
      </x:c>
      <x:c r="J847" s="9" t="str">
        <x:v>Direct</x:v>
      </x:c>
      <x:c r="K847" s="9" t="n">
        <x:v>74</x:v>
      </x:c>
      <x:c r="L847" s="9" t="str">
        <x:v>1103</x:v>
      </x:c>
      <x:c r="M847" s="9"/>
      <x:c r="N847" s="9"/>
      <x:c r="O847" s="9" t="str">
        <x:v>Reset the target to its original pose; change only the prompt.</x:v>
      </x:c>
      <x:c r="P847" s="9" t="str">
        <x:v>Exact-scene control using a direct prompt supported by training episode 1103.</x:v>
      </x:c>
      <x:c r="Q847" s="9"/>
      <x:c r="R847" s="10" t="n">
        <x:v>2</x:v>
      </x:c>
      <x:c r="S847" s="10"/>
      <x:c r="T847" s="9"/>
      <x:c r="U847" s="9"/>
      <x:c r="V847" s="9"/>
      <x:c r="W847" s="9"/>
      <x:c r="X847" s="10"/>
      <x:c r="Y847" s="10"/>
      <x:c r="Z847" s="9"/>
      <x:c r="AA847" s="9"/>
      <x:c r="AB847" s="9"/>
      <x:c r="AC847" s="9"/>
      <x:c r="AD847" s="9" t="str">
        <x:v>juggling ball</x:v>
      </x:c>
      <x:c r="AE847" s="9"/>
      <x:c r="AF847" s="9"/>
      <x:c r="AG847" s="9"/>
      <x:c r="AH847" s="9" t="str">
        <x:v>Right</x:v>
      </x:c>
      <x:c r="AI847" s="11" t="n">
        <x:v>8</x:v>
      </x:c>
      <x:c r="AJ847" s="9" t="str">
        <x:v>Same-scene direct target control</x:v>
      </x:c>
      <x:c r="AK847" s="9" t="str">
        <x:v>Eval_Size_Recognition (1).xlsm</x:v>
      </x:c>
      <x:c r="AL847" s="9" t="str">
        <x:v>MolmoAct2 Results</x:v>
      </x:c>
      <x:c r="AM847" s="9" t="n">
        <x:v>77</x:v>
      </x:c>
      <x:c r="AN847" s="9" t="n">
        <x:v>77</x:v>
      </x:c>
    </x:row>
    <x:row r="848">
      <x:c r="A848" s="9" t="str">
        <x:v>Success</x:v>
      </x:c>
      <x:c r="B848" s="9" t="str">
        <x:v>Size Recognition</x:v>
      </x:c>
      <x:c r="C848" s="10" t="n">
        <x:v>76</x:v>
      </x:c>
      <x:c r="D848" s="9" t="str">
        <x:v>Move the object that is largest into the bowl.</x:v>
      </x:c>
      <x:c r="E848" s="9" t="str">
        <x:v>Bowl: empty. Table, robot-left→robot-right: P1 red pencil sharpener; P2 green block. Adjacent centers 8 cm apart; row shifted 4 cm away from the robot; all objects fully visible and grasp paths clear.</x:v>
      </x:c>
      <x:c r="F848" s="9" t="str">
        <x:v>MOVE green block to bowl</x:v>
      </x:c>
      <x:c r="G848" s="9"/>
      <x:c r="H848" s="9" t="str">
        <x:v>Concept/compositional transfer</x:v>
      </x:c>
      <x:c r="I848" s="9" t="str">
        <x:v>SZ-CT-LG10</x:v>
      </x:c>
      <x:c r="J848" s="9" t="str">
        <x:v>largest</x:v>
      </x:c>
      <x:c r="K848" s="9"/>
      <x:c r="L848" s="9" t="str">
        <x:v>1089</x:v>
      </x:c>
      <x:c r="M848" s="9"/>
      <x:c r="N848" s="9"/>
      <x:c r="O848" s="9" t="str">
        <x:v>Build the listed two-object scene and save a first-frame filename.</x:v>
      </x:c>
      <x:c r="P848" s="9" t="str">
        <x:v>Primary missing cell. Training episode 1089 contains the same target trajectory but masks the size word with a direct identity prompt.</x:v>
      </x:c>
      <x:c r="Q848" s="9"/>
      <x:c r="R848" s="10" t="n">
        <x:v>2</x:v>
      </x:c>
      <x:c r="S848" s="10"/>
      <x:c r="T848" s="9"/>
      <x:c r="U848" s="9"/>
      <x:c r="V848" s="9"/>
      <x:c r="W848" s="9"/>
      <x:c r="X848" s="10"/>
      <x:c r="Y848" s="10"/>
      <x:c r="Z848" s="9"/>
      <x:c r="AA848" s="9"/>
      <x:c r="AB848" s="9"/>
      <x:c r="AC848" s="9"/>
      <x:c r="AD848" s="9" t="str">
        <x:v>green block</x:v>
      </x:c>
      <x:c r="AE848" s="9"/>
      <x:c r="AF848" s="9"/>
      <x:c r="AG848" s="9"/>
      <x:c r="AH848" s="9" t="str">
        <x:v>Right</x:v>
      </x:c>
      <x:c r="AI848" s="11" t="n">
        <x:v>8</x:v>
      </x:c>
      <x:c r="AJ848" s="9" t="str">
        <x:v>Held-out largest × green block — Move</x:v>
      </x:c>
      <x:c r="AK848" s="9" t="str">
        <x:v>Eval_Size_Recognition (1).xlsm</x:v>
      </x:c>
      <x:c r="AL848" s="9" t="str">
        <x:v>MolmoAct2 Results</x:v>
      </x:c>
      <x:c r="AM848" s="9" t="n">
        <x:v>78</x:v>
      </x:c>
      <x:c r="AN848" s="9" t="n">
        <x:v>78</x:v>
      </x:c>
    </x:row>
    <x:row r="849">
      <x:c r="A849" s="9" t="str">
        <x:v>Success</x:v>
      </x:c>
      <x:c r="B849" s="9" t="str">
        <x:v>Size Recognition</x:v>
      </x:c>
      <x:c r="C849" s="10" t="n">
        <x:v>77</x:v>
      </x:c>
      <x:c r="D849" s="9" t="str">
        <x:v>Put the green block in the bowl.</x:v>
      </x:c>
      <x:c r="E849" s="9" t="str">
        <x:v>Bowl: empty. Table, robot-left→robot-right: P1 red pencil sharpener; P2 green block. Adjacent centers 8 cm apart; row shifted 4 cm away from the robot; all objects fully visible and grasp paths clear.</x:v>
      </x:c>
      <x:c r="F849" s="9" t="str">
        <x:v>MOVE green block to bowl</x:v>
      </x:c>
      <x:c r="G849" s="9"/>
      <x:c r="H849" s="9" t="str">
        <x:v>Matched manipulation control</x:v>
      </x:c>
      <x:c r="I849" s="9" t="str">
        <x:v>SZ-CT-LG10</x:v>
      </x:c>
      <x:c r="J849" s="9" t="str">
        <x:v>Direct</x:v>
      </x:c>
      <x:c r="K849" s="9" t="n">
        <x:v>76</x:v>
      </x:c>
      <x:c r="L849" s="9" t="str">
        <x:v>1079</x:v>
      </x:c>
      <x:c r="M849" s="9"/>
      <x:c r="N849" s="9"/>
      <x:c r="O849" s="9" t="str">
        <x:v>Reset the target to its original pose; change only the prompt.</x:v>
      </x:c>
      <x:c r="P849" s="9" t="str">
        <x:v>Exact-scene control using a direct prompt supported by training episode 1079.</x:v>
      </x:c>
      <x:c r="Q849" s="9"/>
      <x:c r="R849" s="10" t="n">
        <x:v>2</x:v>
      </x:c>
      <x:c r="S849" s="10"/>
      <x:c r="T849" s="9"/>
      <x:c r="U849" s="9"/>
      <x:c r="V849" s="9"/>
      <x:c r="W849" s="9"/>
      <x:c r="X849" s="10"/>
      <x:c r="Y849" s="10"/>
      <x:c r="Z849" s="9"/>
      <x:c r="AA849" s="9"/>
      <x:c r="AB849" s="9"/>
      <x:c r="AC849" s="9"/>
      <x:c r="AD849" s="9" t="str">
        <x:v>green block</x:v>
      </x:c>
      <x:c r="AE849" s="9"/>
      <x:c r="AF849" s="9"/>
      <x:c r="AG849" s="9"/>
      <x:c r="AH849" s="9" t="str">
        <x:v>Right</x:v>
      </x:c>
      <x:c r="AI849" s="11" t="n">
        <x:v>8</x:v>
      </x:c>
      <x:c r="AJ849" s="9" t="str">
        <x:v>Same-scene direct target control</x:v>
      </x:c>
      <x:c r="AK849" s="9" t="str">
        <x:v>Eval_Size_Recognition (1).xlsm</x:v>
      </x:c>
      <x:c r="AL849" s="9" t="str">
        <x:v>MolmoAct2 Results</x:v>
      </x:c>
      <x:c r="AM849" s="9" t="n">
        <x:v>79</x:v>
      </x:c>
      <x:c r="AN849" s="9" t="n">
        <x:v>79</x:v>
      </x:c>
    </x:row>
    <x:row r="850">
      <x:c r="A850" s="9" t="str">
        <x:v>Failure</x:v>
      </x:c>
      <x:c r="B850" s="9" t="str">
        <x:v>Size Recognition</x:v>
      </x:c>
      <x:c r="C850" s="10" t="n">
        <x:v>78</x:v>
      </x:c>
      <x:c r="D850" s="9" t="str">
        <x:v>Pick up the smallest item and place it in the bowl.</x:v>
      </x:c>
      <x:c r="E850" s="9" t="str">
        <x:v>Bowl: empty. Table, robot-left→robot-right: P1 juggling ball; P2 crushed Pepsi can. Adjacent centers 12 cm apart; row shifted 4 cm toward robot-left; all objects fully visible and grasp paths clear.</x:v>
      </x:c>
      <x:c r="F850" s="9" t="str">
        <x:v>MOVE juggling ball to bowl</x:v>
      </x:c>
      <x:c r="G850" s="9" t="str">
        <x:v>went for the pepsi can, but tried to grab it like the juggling ball. Couldn't recover.</x:v>
      </x:c>
      <x:c r="H850" s="9" t="str">
        <x:v>Concept/compositional transfer</x:v>
      </x:c>
      <x:c r="I850" s="9" t="str">
        <x:v>SZ-CT-SJ10</x:v>
      </x:c>
      <x:c r="J850" s="9" t="str">
        <x:v>smallest</x:v>
      </x:c>
      <x:c r="K850" s="9"/>
      <x:c r="L850" s="9" t="str">
        <x:v>1114</x:v>
      </x:c>
      <x:c r="M850" s="9"/>
      <x:c r="N850" s="9"/>
      <x:c r="O850" s="9" t="str">
        <x:v>Build the listed two-object scene and save a first-frame filename.</x:v>
      </x:c>
      <x:c r="P850" s="9" t="str">
        <x:v>Primary missing cell. Training episode 1114 contains the same target trajectory but masks the size word with a direct identity prompt.</x:v>
      </x:c>
      <x:c r="Q850" s="9"/>
      <x:c r="R850" s="10" t="n">
        <x:v>2</x:v>
      </x:c>
      <x:c r="S850" s="10"/>
      <x:c r="T850" s="9"/>
      <x:c r="U850" s="9"/>
      <x:c r="V850" s="9"/>
      <x:c r="W850" s="9"/>
      <x:c r="X850" s="10"/>
      <x:c r="Y850" s="10"/>
      <x:c r="Z850" s="9"/>
      <x:c r="AA850" s="9"/>
      <x:c r="AB850" s="9"/>
      <x:c r="AC850" s="9"/>
      <x:c r="AD850" s="9" t="str">
        <x:v>juggling ball</x:v>
      </x:c>
      <x:c r="AE850" s="9"/>
      <x:c r="AF850" s="9"/>
      <x:c r="AG850" s="9"/>
      <x:c r="AH850" s="9" t="str">
        <x:v>Left</x:v>
      </x:c>
      <x:c r="AI850" s="11" t="n">
        <x:v>12</x:v>
      </x:c>
      <x:c r="AJ850" s="9" t="str">
        <x:v>Held-out smallest × juggling ball — Pick up</x:v>
      </x:c>
      <x:c r="AK850" s="9" t="str">
        <x:v>Eval_Size_Recognition (1).xlsm</x:v>
      </x:c>
      <x:c r="AL850" s="9" t="str">
        <x:v>MolmoAct2 Results</x:v>
      </x:c>
      <x:c r="AM850" s="9" t="n">
        <x:v>80</x:v>
      </x:c>
      <x:c r="AN850" s="9" t="n">
        <x:v>80</x:v>
      </x:c>
    </x:row>
    <x:row r="851">
      <x:c r="A851" s="9" t="str">
        <x:v>Success</x:v>
      </x:c>
      <x:c r="B851" s="9" t="str">
        <x:v>Size Recognition</x:v>
      </x:c>
      <x:c r="C851" s="10" t="n">
        <x:v>79</x:v>
      </x:c>
      <x:c r="D851" s="9" t="str">
        <x:v>Put the juggling ball in the bowl.</x:v>
      </x:c>
      <x:c r="E851" s="9" t="str">
        <x:v>Bowl: empty. Table, robot-left→robot-right: P1 juggling ball; P2 crushed Pepsi can. Adjacent centers 12 cm apart; row shifted 4 cm toward robot-left; all objects fully visible and grasp paths clear.</x:v>
      </x:c>
      <x:c r="F851" s="9" t="str">
        <x:v>MOVE juggling ball to bowl</x:v>
      </x:c>
      <x:c r="G851" s="9"/>
      <x:c r="H851" s="9" t="str">
        <x:v>Matched manipulation control</x:v>
      </x:c>
      <x:c r="I851" s="9" t="str">
        <x:v>SZ-CT-SJ10</x:v>
      </x:c>
      <x:c r="J851" s="9" t="str">
        <x:v>Direct</x:v>
      </x:c>
      <x:c r="K851" s="9" t="n">
        <x:v>78</x:v>
      </x:c>
      <x:c r="L851" s="9" t="str">
        <x:v>1104</x:v>
      </x:c>
      <x:c r="M851" s="9"/>
      <x:c r="N851" s="9"/>
      <x:c r="O851" s="9" t="str">
        <x:v>Reset the target to its original pose; change only the prompt.</x:v>
      </x:c>
      <x:c r="P851" s="9" t="str">
        <x:v>Exact-scene control using a direct prompt supported by training episode 1104.</x:v>
      </x:c>
      <x:c r="Q851" s="9"/>
      <x:c r="R851" s="10" t="n">
        <x:v>2</x:v>
      </x:c>
      <x:c r="S851" s="10"/>
      <x:c r="T851" s="9"/>
      <x:c r="U851" s="9"/>
      <x:c r="V851" s="9"/>
      <x:c r="W851" s="9"/>
      <x:c r="X851" s="10"/>
      <x:c r="Y851" s="10"/>
      <x:c r="Z851" s="9"/>
      <x:c r="AA851" s="9"/>
      <x:c r="AB851" s="9"/>
      <x:c r="AC851" s="9"/>
      <x:c r="AD851" s="9" t="str">
        <x:v>juggling ball</x:v>
      </x:c>
      <x:c r="AE851" s="9"/>
      <x:c r="AF851" s="9"/>
      <x:c r="AG851" s="9"/>
      <x:c r="AH851" s="9" t="str">
        <x:v>Left</x:v>
      </x:c>
      <x:c r="AI851" s="11" t="n">
        <x:v>12</x:v>
      </x:c>
      <x:c r="AJ851" s="9" t="str">
        <x:v>Same-scene direct target control</x:v>
      </x:c>
      <x:c r="AK851" s="9" t="str">
        <x:v>Eval_Size_Recognition (1).xlsm</x:v>
      </x:c>
      <x:c r="AL851" s="9" t="str">
        <x:v>MolmoAct2 Results</x:v>
      </x:c>
      <x:c r="AM851" s="9" t="n">
        <x:v>81</x:v>
      </x:c>
      <x:c r="AN851" s="9" t="n">
        <x:v>81</x:v>
      </x:c>
    </x:row>
    <x:row r="852">
      <x:c r="A852" s="9" t="str">
        <x:v>Success</x:v>
      </x:c>
      <x:c r="B852" s="9" t="str">
        <x:v>Size Recognition</x:v>
      </x:c>
      <x:c r="C852" s="10" t="n">
        <x:v>80</x:v>
      </x:c>
      <x:c r="D852" s="9" t="str">
        <x:v>Pick up the largest item and place it in the bowl.</x:v>
      </x:c>
      <x:c r="E852" s="9" t="str">
        <x:v>Bowl: empty. Table, robot-left→robot-right: P1 green block; P2 red pencil sharpener. Adjacent centers 12 cm apart; row centered on the workspace; all objects fully visible and grasp paths clear.</x:v>
      </x:c>
      <x:c r="F852" s="9" t="str">
        <x:v>MOVE green block to bowl</x:v>
      </x:c>
      <x:c r="G852" s="9"/>
      <x:c r="H852" s="9" t="str">
        <x:v>Concept/compositional transfer</x:v>
      </x:c>
      <x:c r="I852" s="9" t="str">
        <x:v>SZ-CT-LG11</x:v>
      </x:c>
      <x:c r="J852" s="9" t="str">
        <x:v>largest</x:v>
      </x:c>
      <x:c r="K852" s="9"/>
      <x:c r="L852" s="9" t="str">
        <x:v>1090</x:v>
      </x:c>
      <x:c r="M852" s="9"/>
      <x:c r="N852" s="9"/>
      <x:c r="O852" s="9" t="str">
        <x:v>Build the listed two-object scene and save a first-frame filename.</x:v>
      </x:c>
      <x:c r="P852" s="9" t="str">
        <x:v>Primary missing cell. Training episode 1090 contains the same target trajectory but masks the size word with a direct identity prompt.</x:v>
      </x:c>
      <x:c r="Q852" s="9"/>
      <x:c r="R852" s="10" t="n">
        <x:v>2</x:v>
      </x:c>
      <x:c r="S852" s="10"/>
      <x:c r="T852" s="9"/>
      <x:c r="U852" s="9"/>
      <x:c r="V852" s="9"/>
      <x:c r="W852" s="9"/>
      <x:c r="X852" s="10"/>
      <x:c r="Y852" s="10"/>
      <x:c r="Z852" s="9"/>
      <x:c r="AA852" s="9"/>
      <x:c r="AB852" s="9"/>
      <x:c r="AC852" s="9"/>
      <x:c r="AD852" s="9" t="str">
        <x:v>green block</x:v>
      </x:c>
      <x:c r="AE852" s="9"/>
      <x:c r="AF852" s="9"/>
      <x:c r="AG852" s="9"/>
      <x:c r="AH852" s="9" t="str">
        <x:v>Left</x:v>
      </x:c>
      <x:c r="AI852" s="11" t="n">
        <x:v>12</x:v>
      </x:c>
      <x:c r="AJ852" s="9" t="str">
        <x:v>Held-out largest × green block — Pick up</x:v>
      </x:c>
      <x:c r="AK852" s="9" t="str">
        <x:v>Eval_Size_Recognition (1).xlsm</x:v>
      </x:c>
      <x:c r="AL852" s="9" t="str">
        <x:v>MolmoAct2 Results</x:v>
      </x:c>
      <x:c r="AM852" s="9" t="n">
        <x:v>82</x:v>
      </x:c>
      <x:c r="AN852" s="9" t="n">
        <x:v>82</x:v>
      </x:c>
    </x:row>
    <x:row r="853">
      <x:c r="A853" s="9" t="str">
        <x:v>Success</x:v>
      </x:c>
      <x:c r="B853" s="9" t="str">
        <x:v>Size Recognition</x:v>
      </x:c>
      <x:c r="C853" s="10" t="n">
        <x:v>81</x:v>
      </x:c>
      <x:c r="D853" s="9" t="str">
        <x:v>Put the smallest object in the bowl.</x:v>
      </x:c>
      <x:c r="E853" s="9" t="str">
        <x:v>Bowl: empty. Table, robot-left→robot-right: P1 crushed Pepsi can; P2 juggling ball. Adjacent centers 16 cm apart; row shifted 4 cm toward robot-right; all objects fully visible and grasp paths clear.</x:v>
      </x:c>
      <x:c r="F853" s="9" t="str">
        <x:v>MOVE juggling ball to bowl</x:v>
      </x:c>
      <x:c r="G853" s="9" t="str">
        <x:v>barely got the ball in 60 seconds. was trying to get is for like 45 seconds before grabbing it </x:v>
      </x:c>
      <x:c r="H853" s="9" t="str">
        <x:v>Concept/compositional transfer</x:v>
      </x:c>
      <x:c r="I853" s="9" t="str">
        <x:v>SZ-CT-SJ11</x:v>
      </x:c>
      <x:c r="J853" s="9" t="str">
        <x:v>smallest</x:v>
      </x:c>
      <x:c r="K853" s="9"/>
      <x:c r="L853" s="9" t="str">
        <x:v>1115</x:v>
      </x:c>
      <x:c r="M853" s="9"/>
      <x:c r="N853" s="9"/>
      <x:c r="O853" s="9" t="str">
        <x:v>Build the listed two-object scene and save a first-frame filename.</x:v>
      </x:c>
      <x:c r="P853" s="9" t="str">
        <x:v>Primary missing cell. Training episode 1115 contains the same target trajectory but masks the size word with a direct identity prompt.</x:v>
      </x:c>
      <x:c r="Q853" s="9"/>
      <x:c r="R853" s="10" t="n">
        <x:v>2</x:v>
      </x:c>
      <x:c r="S853" s="10"/>
      <x:c r="T853" s="9"/>
      <x:c r="U853" s="9"/>
      <x:c r="V853" s="9"/>
      <x:c r="W853" s="9"/>
      <x:c r="X853" s="10"/>
      <x:c r="Y853" s="10"/>
      <x:c r="Z853" s="9"/>
      <x:c r="AA853" s="9"/>
      <x:c r="AB853" s="9"/>
      <x:c r="AC853" s="9"/>
      <x:c r="AD853" s="9" t="str">
        <x:v>juggling ball</x:v>
      </x:c>
      <x:c r="AE853" s="9"/>
      <x:c r="AF853" s="9"/>
      <x:c r="AG853" s="9"/>
      <x:c r="AH853" s="9" t="str">
        <x:v>Right</x:v>
      </x:c>
      <x:c r="AI853" s="11" t="n">
        <x:v>16</x:v>
      </x:c>
      <x:c r="AJ853" s="9" t="str">
        <x:v>Held-out smallest × juggling ball — Put</x:v>
      </x:c>
      <x:c r="AK853" s="9" t="str">
        <x:v>Eval_Size_Recognition (1).xlsm</x:v>
      </x:c>
      <x:c r="AL853" s="9" t="str">
        <x:v>MolmoAct2 Results</x:v>
      </x:c>
      <x:c r="AM853" s="9" t="n">
        <x:v>83</x:v>
      </x:c>
      <x:c r="AN853" s="9" t="n">
        <x:v>83</x:v>
      </x:c>
    </x:row>
    <x:row r="854">
      <x:c r="A854" s="9" t="str">
        <x:v>Success</x:v>
      </x:c>
      <x:c r="B854" s="9" t="str">
        <x:v>Size Recognition</x:v>
      </x:c>
      <x:c r="C854" s="10" t="n">
        <x:v>82</x:v>
      </x:c>
      <x:c r="D854" s="9" t="str">
        <x:v>Put the largest object in the bowl.</x:v>
      </x:c>
      <x:c r="E854" s="9" t="str">
        <x:v>Bowl: empty. Table, robot-left→robot-right: P1 red pencil sharpener; P2 green block. Adjacent centers 16 cm apart; row shifted 4 cm toward robot-left; all objects fully visible and grasp paths clear.</x:v>
      </x:c>
      <x:c r="F854" s="9" t="str">
        <x:v>MOVE green block to bowl</x:v>
      </x:c>
      <x:c r="G854" s="9"/>
      <x:c r="H854" s="9" t="str">
        <x:v>Concept/compositional transfer</x:v>
      </x:c>
      <x:c r="I854" s="9" t="str">
        <x:v>SZ-CT-LG12</x:v>
      </x:c>
      <x:c r="J854" s="9" t="str">
        <x:v>largest</x:v>
      </x:c>
      <x:c r="K854" s="9"/>
      <x:c r="L854" s="9" t="str">
        <x:v>1091</x:v>
      </x:c>
      <x:c r="M854" s="9"/>
      <x:c r="N854" s="9"/>
      <x:c r="O854" s="9" t="str">
        <x:v>Build the listed two-object scene and save a first-frame filename.</x:v>
      </x:c>
      <x:c r="P854" s="9" t="str">
        <x:v>Primary missing cell. Training episode 1091 contains the same target trajectory but masks the size word with a direct identity prompt.</x:v>
      </x:c>
      <x:c r="Q854" s="9"/>
      <x:c r="R854" s="10" t="n">
        <x:v>2</x:v>
      </x:c>
      <x:c r="S854" s="10"/>
      <x:c r="T854" s="9"/>
      <x:c r="U854" s="9"/>
      <x:c r="V854" s="9"/>
      <x:c r="W854" s="9"/>
      <x:c r="X854" s="10"/>
      <x:c r="Y854" s="10"/>
      <x:c r="Z854" s="9"/>
      <x:c r="AA854" s="9"/>
      <x:c r="AB854" s="9"/>
      <x:c r="AC854" s="9"/>
      <x:c r="AD854" s="9" t="str">
        <x:v>green block</x:v>
      </x:c>
      <x:c r="AE854" s="9"/>
      <x:c r="AF854" s="9"/>
      <x:c r="AG854" s="9"/>
      <x:c r="AH854" s="9" t="str">
        <x:v>Right</x:v>
      </x:c>
      <x:c r="AI854" s="11" t="n">
        <x:v>16</x:v>
      </x:c>
      <x:c r="AJ854" s="9" t="str">
        <x:v>Held-out largest × green block — Put</x:v>
      </x:c>
      <x:c r="AK854" s="9" t="str">
        <x:v>Eval_Size_Recognition (1).xlsm</x:v>
      </x:c>
      <x:c r="AL854" s="9" t="str">
        <x:v>MolmoAct2 Results</x:v>
      </x:c>
      <x:c r="AM854" s="9" t="n">
        <x:v>84</x:v>
      </x:c>
      <x:c r="AN854" s="9" t="n">
        <x:v>84</x:v>
      </x:c>
    </x:row>
    <x:row r="855">
      <x:c r="A855" s="9" t="str">
        <x:v>Failure</x:v>
      </x:c>
      <x:c r="B855" s="9" t="str">
        <x:v>Size Recognition</x:v>
      </x:c>
      <x:c r="C855" s="10" t="n">
        <x:v>83</x:v>
      </x:c>
      <x:c r="D855" s="9" t="str">
        <x:v>Move the object that is smallest into the bowl.</x:v>
      </x:c>
      <x:c r="E855" s="9" t="str">
        <x:v>Bowl: empty. Table, robot-left→robot-right: P1 juggling ball; P2 crushed Pepsi can. Adjacent centers 8 cm apart; row shifted 4 cm toward the robot; all objects fully visible and grasp paths clear.</x:v>
      </x:c>
      <x:c r="F855" s="9" t="str">
        <x:v>MOVE juggling ball to bowl</x:v>
      </x:c>
      <x:c r="G855" s="9" t="str">
        <x:v>went for pepsi can with juggling ball grasping strategy. could not pick up/recover</x:v>
      </x:c>
      <x:c r="H855" s="9" t="str">
        <x:v>Concept/compositional transfer</x:v>
      </x:c>
      <x:c r="I855" s="9" t="str">
        <x:v>SZ-CT-SJ12</x:v>
      </x:c>
      <x:c r="J855" s="9" t="str">
        <x:v>smallest</x:v>
      </x:c>
      <x:c r="K855" s="9"/>
      <x:c r="L855" s="9" t="str">
        <x:v>1116</x:v>
      </x:c>
      <x:c r="M855" s="9"/>
      <x:c r="N855" s="9"/>
      <x:c r="O855" s="9" t="str">
        <x:v>Build the listed two-object scene and save a first-frame filename.</x:v>
      </x:c>
      <x:c r="P855" s="9" t="str">
        <x:v>Primary missing cell. Training episode 1116 contains the same target trajectory but masks the size word with a direct identity prompt.</x:v>
      </x:c>
      <x:c r="Q855" s="9"/>
      <x:c r="R855" s="10" t="n">
        <x:v>2</x:v>
      </x:c>
      <x:c r="S855" s="10"/>
      <x:c r="T855" s="9"/>
      <x:c r="U855" s="9"/>
      <x:c r="V855" s="9"/>
      <x:c r="W855" s="9"/>
      <x:c r="X855" s="10"/>
      <x:c r="Y855" s="10"/>
      <x:c r="Z855" s="9"/>
      <x:c r="AA855" s="9"/>
      <x:c r="AB855" s="9"/>
      <x:c r="AC855" s="9"/>
      <x:c r="AD855" s="9" t="str">
        <x:v>juggling ball</x:v>
      </x:c>
      <x:c r="AE855" s="9"/>
      <x:c r="AF855" s="9"/>
      <x:c r="AG855" s="9"/>
      <x:c r="AH855" s="9" t="str">
        <x:v>Left</x:v>
      </x:c>
      <x:c r="AI855" s="11" t="n">
        <x:v>8</x:v>
      </x:c>
      <x:c r="AJ855" s="9" t="str">
        <x:v>Held-out smallest × juggling ball — Move</x:v>
      </x:c>
      <x:c r="AK855" s="9" t="str">
        <x:v>Eval_Size_Recognition (1).xlsm</x:v>
      </x:c>
      <x:c r="AL855" s="9" t="str">
        <x:v>MolmoAct2 Results</x:v>
      </x:c>
      <x:c r="AM855" s="9" t="n">
        <x:v>85</x:v>
      </x:c>
      <x:c r="AN855" s="9" t="n">
        <x:v>85</x:v>
      </x:c>
    </x:row>
    <x:row r="856">
      <x:c r="A856" s="9" t="str">
        <x:v>Failure</x:v>
      </x:c>
      <x:c r="B856" s="9" t="str">
        <x:v>Size Recognition</x:v>
      </x:c>
      <x:c r="C856" s="10" t="n">
        <x:v>84</x:v>
      </x:c>
      <x:c r="D856" s="9" t="str">
        <x:v>Move the object that is largest into the bowl.</x:v>
      </x:c>
      <x:c r="E856" s="9" t="str">
        <x:v>Bowl: empty. Table, robot-left→robot-right: P1 green block; P2 red pencil sharpener. Adjacent centers 8 cm apart; row shifted 4 cm toward robot-right; all objects fully visible and grasp paths clear.</x:v>
      </x:c>
      <x:c r="F856" s="9" t="str">
        <x:v>MOVE green block to bowl</x:v>
      </x:c>
      <x:c r="G856" s="9" t="str">
        <x:v>picked the pencil sharpener</x:v>
      </x:c>
      <x:c r="H856" s="9" t="str">
        <x:v>Concept/compositional transfer</x:v>
      </x:c>
      <x:c r="I856" s="9" t="str">
        <x:v>SZ-CT-LG13</x:v>
      </x:c>
      <x:c r="J856" s="9" t="str">
        <x:v>largest</x:v>
      </x:c>
      <x:c r="K856" s="9"/>
      <x:c r="L856" s="9" t="str">
        <x:v>1092</x:v>
      </x:c>
      <x:c r="M856" s="9"/>
      <x:c r="N856" s="9"/>
      <x:c r="O856" s="9" t="str">
        <x:v>Build the listed two-object scene and save a first-frame filename.</x:v>
      </x:c>
      <x:c r="P856" s="9" t="str">
        <x:v>Primary missing cell. Training episode 1092 contains the same target trajectory but masks the size word with a direct identity prompt.</x:v>
      </x:c>
      <x:c r="Q856" s="9"/>
      <x:c r="R856" s="10" t="n">
        <x:v>2</x:v>
      </x:c>
      <x:c r="S856" s="10"/>
      <x:c r="T856" s="9"/>
      <x:c r="U856" s="9"/>
      <x:c r="V856" s="9"/>
      <x:c r="W856" s="9"/>
      <x:c r="X856" s="10"/>
      <x:c r="Y856" s="10"/>
      <x:c r="Z856" s="9"/>
      <x:c r="AA856" s="9"/>
      <x:c r="AB856" s="9"/>
      <x:c r="AC856" s="9"/>
      <x:c r="AD856" s="9" t="str">
        <x:v>green block</x:v>
      </x:c>
      <x:c r="AE856" s="9"/>
      <x:c r="AF856" s="9"/>
      <x:c r="AG856" s="9"/>
      <x:c r="AH856" s="9" t="str">
        <x:v>Left</x:v>
      </x:c>
      <x:c r="AI856" s="11" t="n">
        <x:v>8</x:v>
      </x:c>
      <x:c r="AJ856" s="9" t="str">
        <x:v>Held-out largest × green block — Move</x:v>
      </x:c>
      <x:c r="AK856" s="9" t="str">
        <x:v>Eval_Size_Recognition (1).xlsm</x:v>
      </x:c>
      <x:c r="AL856" s="9" t="str">
        <x:v>MolmoAct2 Results</x:v>
      </x:c>
      <x:c r="AM856" s="9" t="n">
        <x:v>86</x:v>
      </x:c>
      <x:c r="AN856" s="9" t="n">
        <x:v>86</x:v>
      </x:c>
    </x:row>
    <x:row r="857">
      <x:c r="A857" s="9" t="str">
        <x:v>Success</x:v>
      </x:c>
      <x:c r="B857" s="9" t="str">
        <x:v>Size Recognition</x:v>
      </x:c>
      <x:c r="C857" s="10" t="n">
        <x:v>85</x:v>
      </x:c>
      <x:c r="D857" s="9" t="str">
        <x:v>Pick up the smallest item and place it in the bowl.</x:v>
      </x:c>
      <x:c r="E857" s="9" t="str">
        <x:v>Bowl: empty. Table, robot-left→robot-right: P1 crushed Pepsi can; P2 juggling ball. Adjacent centers 12 cm apart; row shifted 4 cm away from the robot; all objects fully visible and grasp paths clear.</x:v>
      </x:c>
      <x:c r="F857" s="9" t="str">
        <x:v>MOVE juggling ball to bowl</x:v>
      </x:c>
      <x:c r="G857" s="9" t="str">
        <x:v>initially went for the pepsi can, but switched to go for the juggling ball</x:v>
      </x:c>
      <x:c r="H857" s="9" t="str">
        <x:v>Concept/compositional transfer</x:v>
      </x:c>
      <x:c r="I857" s="9" t="str">
        <x:v>SZ-CT-SJ13</x:v>
      </x:c>
      <x:c r="J857" s="9" t="str">
        <x:v>smallest</x:v>
      </x:c>
      <x:c r="K857" s="9"/>
      <x:c r="L857" s="9" t="str">
        <x:v>1117</x:v>
      </x:c>
      <x:c r="M857" s="9"/>
      <x:c r="N857" s="9"/>
      <x:c r="O857" s="9" t="str">
        <x:v>Build the listed two-object scene and save a first-frame filename.</x:v>
      </x:c>
      <x:c r="P857" s="9" t="str">
        <x:v>Primary missing cell. Training episode 1117 contains the same target trajectory but masks the size word with a direct identity prompt.</x:v>
      </x:c>
      <x:c r="Q857" s="9"/>
      <x:c r="R857" s="10" t="n">
        <x:v>2</x:v>
      </x:c>
      <x:c r="S857" s="10"/>
      <x:c r="T857" s="9"/>
      <x:c r="U857" s="9"/>
      <x:c r="V857" s="9"/>
      <x:c r="W857" s="9"/>
      <x:c r="X857" s="10"/>
      <x:c r="Y857" s="10"/>
      <x:c r="Z857" s="9"/>
      <x:c r="AA857" s="9"/>
      <x:c r="AB857" s="9"/>
      <x:c r="AC857" s="9"/>
      <x:c r="AD857" s="9" t="str">
        <x:v>juggling ball</x:v>
      </x:c>
      <x:c r="AE857" s="9"/>
      <x:c r="AF857" s="9"/>
      <x:c r="AG857" s="9"/>
      <x:c r="AH857" s="9" t="str">
        <x:v>Right</x:v>
      </x:c>
      <x:c r="AI857" s="11" t="n">
        <x:v>12</x:v>
      </x:c>
      <x:c r="AJ857" s="9" t="str">
        <x:v>Held-out smallest × juggling ball — Pick up</x:v>
      </x:c>
      <x:c r="AK857" s="9" t="str">
        <x:v>Eval_Size_Recognition (1).xlsm</x:v>
      </x:c>
      <x:c r="AL857" s="9" t="str">
        <x:v>MolmoAct2 Results</x:v>
      </x:c>
      <x:c r="AM857" s="9" t="n">
        <x:v>87</x:v>
      </x:c>
      <x:c r="AN857" s="9" t="n">
        <x:v>87</x:v>
      </x:c>
    </x:row>
    <x:row r="858">
      <x:c r="A858" s="9" t="str">
        <x:v>Success</x:v>
      </x:c>
      <x:c r="B858" s="9" t="str">
        <x:v>Size Recognition</x:v>
      </x:c>
      <x:c r="C858" s="10" t="n">
        <x:v>86</x:v>
      </x:c>
      <x:c r="D858" s="9" t="str">
        <x:v>Pick up the largest item and place it in the bowl.</x:v>
      </x:c>
      <x:c r="E858" s="9" t="str">
        <x:v>Bowl: empty. Table, robot-left→robot-right: P1 red pencil sharpener; P2 green block. Adjacent centers 12 cm apart; row shifted 4 cm toward the robot; all objects fully visible and grasp paths clear.</x:v>
      </x:c>
      <x:c r="F858" s="9" t="str">
        <x:v>MOVE green block to bowl</x:v>
      </x:c>
      <x:c r="G858" s="9"/>
      <x:c r="H858" s="9" t="str">
        <x:v>Concept/compositional transfer</x:v>
      </x:c>
      <x:c r="I858" s="9" t="str">
        <x:v>SZ-CT-LG14</x:v>
      </x:c>
      <x:c r="J858" s="9" t="str">
        <x:v>largest</x:v>
      </x:c>
      <x:c r="K858" s="9"/>
      <x:c r="L858" s="9" t="str">
        <x:v>1093</x:v>
      </x:c>
      <x:c r="M858" s="9"/>
      <x:c r="N858" s="9"/>
      <x:c r="O858" s="9" t="str">
        <x:v>Build the listed two-object scene and save a first-frame filename.</x:v>
      </x:c>
      <x:c r="P858" s="9" t="str">
        <x:v>Primary missing cell. Training episode 1093 contains the same target trajectory but masks the size word with a direct identity prompt.</x:v>
      </x:c>
      <x:c r="Q858" s="9"/>
      <x:c r="R858" s="10" t="n">
        <x:v>2</x:v>
      </x:c>
      <x:c r="S858" s="10"/>
      <x:c r="T858" s="9"/>
      <x:c r="U858" s="9"/>
      <x:c r="V858" s="9"/>
      <x:c r="W858" s="9"/>
      <x:c r="X858" s="10"/>
      <x:c r="Y858" s="10"/>
      <x:c r="Z858" s="9"/>
      <x:c r="AA858" s="9"/>
      <x:c r="AB858" s="9"/>
      <x:c r="AC858" s="9"/>
      <x:c r="AD858" s="9" t="str">
        <x:v>green block</x:v>
      </x:c>
      <x:c r="AE858" s="9"/>
      <x:c r="AF858" s="9"/>
      <x:c r="AG858" s="9"/>
      <x:c r="AH858" s="9" t="str">
        <x:v>Right</x:v>
      </x:c>
      <x:c r="AI858" s="11" t="n">
        <x:v>12</x:v>
      </x:c>
      <x:c r="AJ858" s="9" t="str">
        <x:v>Held-out largest × green block — Pick up</x:v>
      </x:c>
      <x:c r="AK858" s="9" t="str">
        <x:v>Eval_Size_Recognition (1).xlsm</x:v>
      </x:c>
      <x:c r="AL858" s="9" t="str">
        <x:v>MolmoAct2 Results</x:v>
      </x:c>
      <x:c r="AM858" s="9" t="n">
        <x:v>88</x:v>
      </x:c>
      <x:c r="AN858" s="9" t="n">
        <x:v>88</x:v>
      </x:c>
    </x:row>
    <x:row r="859">
      <x:c r="A859" s="9" t="str">
        <x:v>Success</x:v>
      </x:c>
      <x:c r="B859" s="9" t="str">
        <x:v>Size Recognition</x:v>
      </x:c>
      <x:c r="C859" s="10" t="n">
        <x:v>87</x:v>
      </x:c>
      <x:c r="D859" s="9" t="str">
        <x:v>Put the smallest object in the bowl.</x:v>
      </x:c>
      <x:c r="E859" s="9" t="str">
        <x:v>Bowl: empty. Table, robot-left→robot-right: P1 juggling ball; P2 crushed Pepsi can. Adjacent centers 16 cm apart; row centered on the workspace; all objects fully visible and grasp paths clear.</x:v>
      </x:c>
      <x:c r="F859" s="9" t="str">
        <x:v>MOVE juggling ball to bowl</x:v>
      </x:c>
      <x:c r="G859" s="9"/>
      <x:c r="H859" s="9" t="str">
        <x:v>Concept/compositional transfer</x:v>
      </x:c>
      <x:c r="I859" s="9" t="str">
        <x:v>SZ-CT-SJ14</x:v>
      </x:c>
      <x:c r="J859" s="9" t="str">
        <x:v>smallest</x:v>
      </x:c>
      <x:c r="K859" s="9"/>
      <x:c r="L859" s="9" t="str">
        <x:v>1118</x:v>
      </x:c>
      <x:c r="M859" s="9"/>
      <x:c r="N859" s="9"/>
      <x:c r="O859" s="9" t="str">
        <x:v>Build the listed two-object scene and save a first-frame filename.</x:v>
      </x:c>
      <x:c r="P859" s="9" t="str">
        <x:v>Primary missing cell. Training episode 1118 contains the same target trajectory but masks the size word with a direct identity prompt.</x:v>
      </x:c>
      <x:c r="Q859" s="9"/>
      <x:c r="R859" s="10" t="n">
        <x:v>2</x:v>
      </x:c>
      <x:c r="S859" s="10"/>
      <x:c r="T859" s="9"/>
      <x:c r="U859" s="9"/>
      <x:c r="V859" s="9"/>
      <x:c r="W859" s="9"/>
      <x:c r="X859" s="10"/>
      <x:c r="Y859" s="10"/>
      <x:c r="Z859" s="9"/>
      <x:c r="AA859" s="9"/>
      <x:c r="AB859" s="9"/>
      <x:c r="AC859" s="9"/>
      <x:c r="AD859" s="9" t="str">
        <x:v>juggling ball</x:v>
      </x:c>
      <x:c r="AE859" s="9"/>
      <x:c r="AF859" s="9"/>
      <x:c r="AG859" s="9"/>
      <x:c r="AH859" s="9" t="str">
        <x:v>Left</x:v>
      </x:c>
      <x:c r="AI859" s="11" t="n">
        <x:v>16</x:v>
      </x:c>
      <x:c r="AJ859" s="9" t="str">
        <x:v>Held-out smallest × juggling ball — Put</x:v>
      </x:c>
      <x:c r="AK859" s="9" t="str">
        <x:v>Eval_Size_Recognition (1).xlsm</x:v>
      </x:c>
      <x:c r="AL859" s="9" t="str">
        <x:v>MolmoAct2 Results</x:v>
      </x:c>
      <x:c r="AM859" s="9" t="n">
        <x:v>89</x:v>
      </x:c>
      <x:c r="AN859" s="9" t="n">
        <x:v>89</x:v>
      </x:c>
    </x:row>
    <x:row r="860">
      <x:c r="A860" s="9" t="str">
        <x:v>Failure</x:v>
      </x:c>
      <x:c r="B860" s="9" t="str">
        <x:v>Size Recognition</x:v>
      </x:c>
      <x:c r="C860" s="10" t="n">
        <x:v>88</x:v>
      </x:c>
      <x:c r="D860" s="9" t="str">
        <x:v>Put the largest object in the bowl.</x:v>
      </x:c>
      <x:c r="E860" s="9" t="str">
        <x:v>Bowl: empty. Table, robot-left→robot-right: P1 green block; P2 red pencil sharpener. Adjacent centers 16 cm apart; row shifted 4 cm away from the robot; all objects fully visible and grasp paths clear.</x:v>
      </x:c>
      <x:c r="F860" s="9" t="str">
        <x:v>MOVE green block to bowl</x:v>
      </x:c>
      <x:c r="G860" s="9" t="str">
        <x:v>robot didn't move</x:v>
      </x:c>
      <x:c r="H860" s="9" t="str">
        <x:v>Concept/compositional transfer</x:v>
      </x:c>
      <x:c r="I860" s="9" t="str">
        <x:v>SZ-CT-LG15</x:v>
      </x:c>
      <x:c r="J860" s="9" t="str">
        <x:v>largest</x:v>
      </x:c>
      <x:c r="K860" s="9"/>
      <x:c r="L860" s="9" t="str">
        <x:v>1094</x:v>
      </x:c>
      <x:c r="M860" s="9"/>
      <x:c r="N860" s="9"/>
      <x:c r="O860" s="9" t="str">
        <x:v>Build the listed two-object scene and save a first-frame filename.</x:v>
      </x:c>
      <x:c r="P860" s="9" t="str">
        <x:v>Primary missing cell. Training episode 1094 contains the same target trajectory but masks the size word with a direct identity prompt.</x:v>
      </x:c>
      <x:c r="Q860" s="9"/>
      <x:c r="R860" s="10" t="n">
        <x:v>2</x:v>
      </x:c>
      <x:c r="S860" s="10"/>
      <x:c r="T860" s="9"/>
      <x:c r="U860" s="9"/>
      <x:c r="V860" s="9"/>
      <x:c r="W860" s="9"/>
      <x:c r="X860" s="10"/>
      <x:c r="Y860" s="10"/>
      <x:c r="Z860" s="9"/>
      <x:c r="AA860" s="9"/>
      <x:c r="AB860" s="9"/>
      <x:c r="AC860" s="9"/>
      <x:c r="AD860" s="9" t="str">
        <x:v>green block</x:v>
      </x:c>
      <x:c r="AE860" s="9"/>
      <x:c r="AF860" s="9"/>
      <x:c r="AG860" s="9"/>
      <x:c r="AH860" s="9" t="str">
        <x:v>Left</x:v>
      </x:c>
      <x:c r="AI860" s="11" t="n">
        <x:v>16</x:v>
      </x:c>
      <x:c r="AJ860" s="9" t="str">
        <x:v>Held-out largest × green block — Put</x:v>
      </x:c>
      <x:c r="AK860" s="9" t="str">
        <x:v>Eval_Size_Recognition (1).xlsm</x:v>
      </x:c>
      <x:c r="AL860" s="9" t="str">
        <x:v>MolmoAct2 Results</x:v>
      </x:c>
      <x:c r="AM860" s="9" t="n">
        <x:v>90</x:v>
      </x:c>
      <x:c r="AN860" s="9" t="n">
        <x:v>90</x:v>
      </x:c>
    </x:row>
    <x:row r="861">
      <x:c r="A861" s="9" t="str">
        <x:v>Success</x:v>
      </x:c>
      <x:c r="B861" s="9" t="str">
        <x:v>Size Recognition</x:v>
      </x:c>
      <x:c r="C861" s="10" t="n">
        <x:v>89</x:v>
      </x:c>
      <x:c r="D861" s="9" t="str">
        <x:v>Move the object that is smallest into the bowl.</x:v>
      </x:c>
      <x:c r="E861" s="9" t="str">
        <x:v>Bowl: empty. Table, robot-left→robot-right: P1 crushed Pepsi can; P2 juggling ball. Adjacent centers 8 cm apart; row shifted 4 cm toward robot-left; all objects fully visible and grasp paths clear.</x:v>
      </x:c>
      <x:c r="F861" s="9" t="str">
        <x:v>MOVE juggling ball to bowl</x:v>
      </x:c>
      <x:c r="G861" s="9"/>
      <x:c r="H861" s="9" t="str">
        <x:v>Concept/compositional transfer</x:v>
      </x:c>
      <x:c r="I861" s="9" t="str">
        <x:v>SZ-CT-SJ15</x:v>
      </x:c>
      <x:c r="J861" s="9" t="str">
        <x:v>smallest</x:v>
      </x:c>
      <x:c r="K861" s="9"/>
      <x:c r="L861" s="9" t="str">
        <x:v>1119</x:v>
      </x:c>
      <x:c r="M861" s="9"/>
      <x:c r="N861" s="9"/>
      <x:c r="O861" s="9" t="str">
        <x:v>Build the listed two-object scene and save a first-frame filename.</x:v>
      </x:c>
      <x:c r="P861" s="9" t="str">
        <x:v>Primary missing cell. Training episode 1119 contains the same target trajectory but masks the size word with a direct identity prompt.</x:v>
      </x:c>
      <x:c r="Q861" s="9"/>
      <x:c r="R861" s="10" t="n">
        <x:v>2</x:v>
      </x:c>
      <x:c r="S861" s="10"/>
      <x:c r="T861" s="9"/>
      <x:c r="U861" s="9"/>
      <x:c r="V861" s="9"/>
      <x:c r="W861" s="9"/>
      <x:c r="X861" s="10"/>
      <x:c r="Y861" s="10"/>
      <x:c r="Z861" s="9"/>
      <x:c r="AA861" s="9"/>
      <x:c r="AB861" s="9"/>
      <x:c r="AC861" s="9"/>
      <x:c r="AD861" s="9" t="str">
        <x:v>juggling ball</x:v>
      </x:c>
      <x:c r="AE861" s="9"/>
      <x:c r="AF861" s="9"/>
      <x:c r="AG861" s="9"/>
      <x:c r="AH861" s="9" t="str">
        <x:v>Right</x:v>
      </x:c>
      <x:c r="AI861" s="11" t="n">
        <x:v>8</x:v>
      </x:c>
      <x:c r="AJ861" s="9" t="str">
        <x:v>Held-out smallest × juggling ball — Move</x:v>
      </x:c>
      <x:c r="AK861" s="9" t="str">
        <x:v>Eval_Size_Recognition (1).xlsm</x:v>
      </x:c>
      <x:c r="AL861" s="9" t="str">
        <x:v>MolmoAct2 Results</x:v>
      </x:c>
      <x:c r="AM861" s="9" t="n">
        <x:v>91</x:v>
      </x:c>
      <x:c r="AN861" s="9" t="n">
        <x:v>91</x:v>
      </x:c>
    </x:row>
    <x:row r="862">
      <x:c r="A862" s="9" t="str">
        <x:v>Failure</x:v>
      </x:c>
      <x:c r="B862" s="9" t="str">
        <x:v>Size Recognition</x:v>
      </x:c>
      <x:c r="C862" s="10" t="n">
        <x:v>90</x:v>
      </x:c>
      <x:c r="D862" s="9" t="str">
        <x:v>Move the object that is largest into the bowl.</x:v>
      </x:c>
      <x:c r="E862" s="9" t="str">
        <x:v>Bowl: empty. Table, robot-left→robot-right: P1 red pencil sharpener; P2 green block. Adjacent centers 8 cm apart; row centered on the workspace; all objects fully visible and grasp paths clear.</x:v>
      </x:c>
      <x:c r="F862" s="9" t="str">
        <x:v>MOVE green block to bowl</x:v>
      </x:c>
      <x:c r="G862" s="9" t="str">
        <x:v>picked red pencil sharpener. paused for a long time at the beginning but picked it at just the last minute.</x:v>
      </x:c>
      <x:c r="H862" s="9" t="str">
        <x:v>Concept/compositional transfer</x:v>
      </x:c>
      <x:c r="I862" s="9" t="str">
        <x:v>SZ-CT-LG16</x:v>
      </x:c>
      <x:c r="J862" s="9" t="str">
        <x:v>largest</x:v>
      </x:c>
      <x:c r="K862" s="9"/>
      <x:c r="L862" s="9" t="str">
        <x:v>1095</x:v>
      </x:c>
      <x:c r="M862" s="9"/>
      <x:c r="N862" s="9"/>
      <x:c r="O862" s="9" t="str">
        <x:v>Build the listed two-object scene and save a first-frame filename.</x:v>
      </x:c>
      <x:c r="P862" s="9" t="str">
        <x:v>Primary missing cell. Training episode 1095 contains the same target trajectory but masks the size word with a direct identity prompt.</x:v>
      </x:c>
      <x:c r="Q862" s="9"/>
      <x:c r="R862" s="10" t="n">
        <x:v>2</x:v>
      </x:c>
      <x:c r="S862" s="10"/>
      <x:c r="T862" s="9"/>
      <x:c r="U862" s="9"/>
      <x:c r="V862" s="9"/>
      <x:c r="W862" s="9"/>
      <x:c r="X862" s="10"/>
      <x:c r="Y862" s="10"/>
      <x:c r="Z862" s="9"/>
      <x:c r="AA862" s="9"/>
      <x:c r="AB862" s="9"/>
      <x:c r="AC862" s="9"/>
      <x:c r="AD862" s="9" t="str">
        <x:v>green block</x:v>
      </x:c>
      <x:c r="AE862" s="9"/>
      <x:c r="AF862" s="9"/>
      <x:c r="AG862" s="9"/>
      <x:c r="AH862" s="9" t="str">
        <x:v>Right</x:v>
      </x:c>
      <x:c r="AI862" s="11" t="n">
        <x:v>8</x:v>
      </x:c>
      <x:c r="AJ862" s="9" t="str">
        <x:v>Held-out largest × green block — Move</x:v>
      </x:c>
      <x:c r="AK862" s="9" t="str">
        <x:v>Eval_Size_Recognition (1).xlsm</x:v>
      </x:c>
      <x:c r="AL862" s="9" t="str">
        <x:v>MolmoAct2 Results</x:v>
      </x:c>
      <x:c r="AM862" s="9" t="n">
        <x:v>92</x:v>
      </x:c>
      <x:c r="AN862" s="9" t="n">
        <x:v>92</x:v>
      </x:c>
    </x:row>
    <x:row r="863">
      <x:c r="A863" s="9" t="str">
        <x:v>Success</x:v>
      </x:c>
      <x:c r="B863" s="9" t="str">
        <x:v>Size Recognition</x:v>
      </x:c>
      <x:c r="C863" s="10" t="n">
        <x:v>91</x:v>
      </x:c>
      <x:c r="D863" s="9" t="str">
        <x:v>Pick up the smallest item and place it in the bowl.</x:v>
      </x:c>
      <x:c r="E863" s="9" t="str">
        <x:v>Bowl: empty. Table, robot-left→robot-right: P1 juggling ball; P2 crushed Pepsi can. Adjacent centers 12 cm apart; row shifted 4 cm toward robot-right; all objects fully visible and grasp paths clear.</x:v>
      </x:c>
      <x:c r="F863" s="9" t="str">
        <x:v>MOVE juggling ball to bowl</x:v>
      </x:c>
      <x:c r="G863" s="9"/>
      <x:c r="H863" s="9" t="str">
        <x:v>Concept/compositional transfer</x:v>
      </x:c>
      <x:c r="I863" s="9" t="str">
        <x:v>SZ-CT-SJ16</x:v>
      </x:c>
      <x:c r="J863" s="9" t="str">
        <x:v>smallest</x:v>
      </x:c>
      <x:c r="K863" s="9"/>
      <x:c r="L863" s="9" t="str">
        <x:v>1120</x:v>
      </x:c>
      <x:c r="M863" s="9"/>
      <x:c r="N863" s="9"/>
      <x:c r="O863" s="9" t="str">
        <x:v>Build the listed two-object scene and save a first-frame filename.</x:v>
      </x:c>
      <x:c r="P863" s="9" t="str">
        <x:v>Primary missing cell. Training episode 1120 contains the same target trajectory but masks the size word with a direct identity prompt.</x:v>
      </x:c>
      <x:c r="Q863" s="9"/>
      <x:c r="R863" s="10" t="n">
        <x:v>2</x:v>
      </x:c>
      <x:c r="S863" s="10"/>
      <x:c r="T863" s="9"/>
      <x:c r="U863" s="9"/>
      <x:c r="V863" s="9"/>
      <x:c r="W863" s="9"/>
      <x:c r="X863" s="10"/>
      <x:c r="Y863" s="10"/>
      <x:c r="Z863" s="9"/>
      <x:c r="AA863" s="9"/>
      <x:c r="AB863" s="9"/>
      <x:c r="AC863" s="9"/>
      <x:c r="AD863" s="9" t="str">
        <x:v>juggling ball</x:v>
      </x:c>
      <x:c r="AE863" s="9"/>
      <x:c r="AF863" s="9"/>
      <x:c r="AG863" s="9"/>
      <x:c r="AH863" s="9" t="str">
        <x:v>Left</x:v>
      </x:c>
      <x:c r="AI863" s="11" t="n">
        <x:v>12</x:v>
      </x:c>
      <x:c r="AJ863" s="9" t="str">
        <x:v>Held-out smallest × juggling ball — Pick up</x:v>
      </x:c>
      <x:c r="AK863" s="9" t="str">
        <x:v>Eval_Size_Recognition (1).xlsm</x:v>
      </x:c>
      <x:c r="AL863" s="9" t="str">
        <x:v>MolmoAct2 Results</x:v>
      </x:c>
      <x:c r="AM863" s="9" t="n">
        <x:v>93</x:v>
      </x:c>
      <x:c r="AN863" s="9" t="n">
        <x:v>93</x:v>
      </x:c>
    </x:row>
    <x:row r="864">
      <x:c r="A864" s="9" t="str">
        <x:v>Failure</x:v>
      </x:c>
      <x:c r="B864" s="9" t="str">
        <x:v>Size Recognition</x:v>
      </x:c>
      <x:c r="C864" s="10" t="n">
        <x:v>92</x:v>
      </x:c>
      <x:c r="D864" s="9" t="str">
        <x:v>Pick up the largest item and place it in the bowl.</x:v>
      </x:c>
      <x:c r="E864" s="9" t="str">
        <x:v>Bowl: empty. Table, robot-left→robot-right: P1 green block; P2 red pencil sharpener. Adjacent centers 12 cm apart; row shifted 4 cm toward robot-left; all objects fully visible and grasp paths clear.</x:v>
      </x:c>
      <x:c r="F864" s="9" t="str">
        <x:v>MOVE green block to bowl</x:v>
      </x:c>
      <x:c r="G864" s="9" t="str">
        <x:v>picked pencil sharpener</x:v>
      </x:c>
      <x:c r="H864" s="9" t="str">
        <x:v>Concept/compositional transfer</x:v>
      </x:c>
      <x:c r="I864" s="9" t="str">
        <x:v>SZ-CT-LG17</x:v>
      </x:c>
      <x:c r="J864" s="9" t="str">
        <x:v>largest</x:v>
      </x:c>
      <x:c r="K864" s="9"/>
      <x:c r="L864" s="9" t="str">
        <x:v>1096</x:v>
      </x:c>
      <x:c r="M864" s="9"/>
      <x:c r="N864" s="9"/>
      <x:c r="O864" s="9" t="str">
        <x:v>Build the listed two-object scene and save a first-frame filename.</x:v>
      </x:c>
      <x:c r="P864" s="9" t="str">
        <x:v>Primary missing cell. Training episode 1096 contains the same target trajectory but masks the size word with a direct identity prompt.</x:v>
      </x:c>
      <x:c r="Q864" s="9"/>
      <x:c r="R864" s="10" t="n">
        <x:v>2</x:v>
      </x:c>
      <x:c r="S864" s="10"/>
      <x:c r="T864" s="9"/>
      <x:c r="U864" s="9"/>
      <x:c r="V864" s="9"/>
      <x:c r="W864" s="9"/>
      <x:c r="X864" s="10"/>
      <x:c r="Y864" s="10"/>
      <x:c r="Z864" s="9"/>
      <x:c r="AA864" s="9"/>
      <x:c r="AB864" s="9"/>
      <x:c r="AC864" s="9"/>
      <x:c r="AD864" s="9" t="str">
        <x:v>green block</x:v>
      </x:c>
      <x:c r="AE864" s="9"/>
      <x:c r="AF864" s="9"/>
      <x:c r="AG864" s="9"/>
      <x:c r="AH864" s="9" t="str">
        <x:v>Left</x:v>
      </x:c>
      <x:c r="AI864" s="11" t="n">
        <x:v>12</x:v>
      </x:c>
      <x:c r="AJ864" s="9" t="str">
        <x:v>Held-out largest × green block — Pick up</x:v>
      </x:c>
      <x:c r="AK864" s="9" t="str">
        <x:v>Eval_Size_Recognition (1).xlsm</x:v>
      </x:c>
      <x:c r="AL864" s="9" t="str">
        <x:v>MolmoAct2 Results</x:v>
      </x:c>
      <x:c r="AM864" s="9" t="n">
        <x:v>94</x:v>
      </x:c>
      <x:c r="AN864" s="9" t="n">
        <x:v>94</x:v>
      </x:c>
    </x:row>
    <x:row r="865">
      <x:c r="A865" s="9" t="str">
        <x:v>Success</x:v>
      </x:c>
      <x:c r="B865" s="9" t="str">
        <x:v>Size Recognition</x:v>
      </x:c>
      <x:c r="C865" s="10" t="n">
        <x:v>93</x:v>
      </x:c>
      <x:c r="D865" s="9" t="str">
        <x:v>Put the smallest object in the bowl.</x:v>
      </x:c>
      <x:c r="E865" s="9" t="str">
        <x:v>Bowl: empty. Table, robot-left→robot-right: P1 crushed Pepsi can; P2 juggling ball. Adjacent centers 16 cm apart; row shifted 4 cm toward the robot; all objects fully visible and grasp paths clear.</x:v>
      </x:c>
      <x:c r="F865" s="9" t="str">
        <x:v>MOVE juggling ball to bowl</x:v>
      </x:c>
      <x:c r="G865" s="9"/>
      <x:c r="H865" s="9" t="str">
        <x:v>Concept/compositional transfer</x:v>
      </x:c>
      <x:c r="I865" s="9" t="str">
        <x:v>SZ-CT-SJ17</x:v>
      </x:c>
      <x:c r="J865" s="9" t="str">
        <x:v>smallest</x:v>
      </x:c>
      <x:c r="K865" s="9"/>
      <x:c r="L865" s="9" t="str">
        <x:v>1121</x:v>
      </x:c>
      <x:c r="M865" s="9"/>
      <x:c r="N865" s="9"/>
      <x:c r="O865" s="9" t="str">
        <x:v>Build the listed two-object scene and save a first-frame filename.</x:v>
      </x:c>
      <x:c r="P865" s="9" t="str">
        <x:v>Primary missing cell. Training episode 1121 contains the same target trajectory but masks the size word with a direct identity prompt.</x:v>
      </x:c>
      <x:c r="Q865" s="9"/>
      <x:c r="R865" s="10" t="n">
        <x:v>2</x:v>
      </x:c>
      <x:c r="S865" s="10"/>
      <x:c r="T865" s="9"/>
      <x:c r="U865" s="9"/>
      <x:c r="V865" s="9"/>
      <x:c r="W865" s="9"/>
      <x:c r="X865" s="10"/>
      <x:c r="Y865" s="10"/>
      <x:c r="Z865" s="9"/>
      <x:c r="AA865" s="9"/>
      <x:c r="AB865" s="9"/>
      <x:c r="AC865" s="9"/>
      <x:c r="AD865" s="9" t="str">
        <x:v>juggling ball</x:v>
      </x:c>
      <x:c r="AE865" s="9"/>
      <x:c r="AF865" s="9"/>
      <x:c r="AG865" s="9"/>
      <x:c r="AH865" s="9" t="str">
        <x:v>Right</x:v>
      </x:c>
      <x:c r="AI865" s="11" t="n">
        <x:v>16</x:v>
      </x:c>
      <x:c r="AJ865" s="9" t="str">
        <x:v>Held-out smallest × juggling ball — Put</x:v>
      </x:c>
      <x:c r="AK865" s="9" t="str">
        <x:v>Eval_Size_Recognition (1).xlsm</x:v>
      </x:c>
      <x:c r="AL865" s="9" t="str">
        <x:v>MolmoAct2 Results</x:v>
      </x:c>
      <x:c r="AM865" s="9" t="n">
        <x:v>95</x:v>
      </x:c>
      <x:c r="AN865" s="9" t="n">
        <x:v>95</x:v>
      </x:c>
    </x:row>
    <x:row r="866">
      <x:c r="A866" s="9" t="str">
        <x:v>Success</x:v>
      </x:c>
      <x:c r="B866" s="9" t="str">
        <x:v>Size Recognition</x:v>
      </x:c>
      <x:c r="C866" s="10" t="n">
        <x:v>94</x:v>
      </x:c>
      <x:c r="D866" s="9" t="str">
        <x:v>Put the largest object in the bowl.</x:v>
      </x:c>
      <x:c r="E866" s="9" t="str">
        <x:v>Bowl: empty. Table, robot-left→robot-right: P1 red pencil sharpener; P2 green block. Adjacent centers 16 cm apart; row shifted 4 cm toward robot-right; all objects fully visible and grasp paths clear.</x:v>
      </x:c>
      <x:c r="F866" s="9" t="str">
        <x:v>MOVE green block to bowl</x:v>
      </x:c>
      <x:c r="G866" s="9" t="str">
        <x:v>picked it like soda can</x:v>
      </x:c>
      <x:c r="H866" s="9" t="str">
        <x:v>Concept/compositional transfer</x:v>
      </x:c>
      <x:c r="I866" s="9" t="str">
        <x:v>SZ-CT-LG18</x:v>
      </x:c>
      <x:c r="J866" s="9" t="str">
        <x:v>largest</x:v>
      </x:c>
      <x:c r="K866" s="9"/>
      <x:c r="L866" s="9" t="str">
        <x:v>1097</x:v>
      </x:c>
      <x:c r="M866" s="9"/>
      <x:c r="N866" s="9"/>
      <x:c r="O866" s="9" t="str">
        <x:v>Build the listed two-object scene and save a first-frame filename.</x:v>
      </x:c>
      <x:c r="P866" s="9" t="str">
        <x:v>Primary missing cell. Training episode 1097 contains the same target trajectory but masks the size word with a direct identity prompt.</x:v>
      </x:c>
      <x:c r="Q866" s="9"/>
      <x:c r="R866" s="10" t="n">
        <x:v>2</x:v>
      </x:c>
      <x:c r="S866" s="10"/>
      <x:c r="T866" s="9"/>
      <x:c r="U866" s="9"/>
      <x:c r="V866" s="9"/>
      <x:c r="W866" s="9"/>
      <x:c r="X866" s="10"/>
      <x:c r="Y866" s="10"/>
      <x:c r="Z866" s="9"/>
      <x:c r="AA866" s="9"/>
      <x:c r="AB866" s="9"/>
      <x:c r="AC866" s="9"/>
      <x:c r="AD866" s="9" t="str">
        <x:v>green block</x:v>
      </x:c>
      <x:c r="AE866" s="9"/>
      <x:c r="AF866" s="9"/>
      <x:c r="AG866" s="9"/>
      <x:c r="AH866" s="9" t="str">
        <x:v>Right</x:v>
      </x:c>
      <x:c r="AI866" s="11" t="n">
        <x:v>16</x:v>
      </x:c>
      <x:c r="AJ866" s="9" t="str">
        <x:v>Held-out largest × green block — Put</x:v>
      </x:c>
      <x:c r="AK866" s="9" t="str">
        <x:v>Eval_Size_Recognition (1).xlsm</x:v>
      </x:c>
      <x:c r="AL866" s="9" t="str">
        <x:v>MolmoAct2 Results</x:v>
      </x:c>
      <x:c r="AM866" s="9" t="n">
        <x:v>96</x:v>
      </x:c>
      <x:c r="AN866" s="9" t="n">
        <x:v>96</x:v>
      </x:c>
    </x:row>
    <x:row r="867">
      <x:c r="A867" s="9" t="str">
        <x:v>Success</x:v>
      </x:c>
      <x:c r="B867" s="9" t="str">
        <x:v>Size Recognition</x:v>
      </x:c>
      <x:c r="C867" s="10" t="n">
        <x:v>95</x:v>
      </x:c>
      <x:c r="D867" s="9" t="str">
        <x:v>Move the object that is smallest into the bowl.</x:v>
      </x:c>
      <x:c r="E867" s="9" t="str">
        <x:v>Bowl: empty. Table, robot-left→robot-right: P1 juggling ball; P2 crushed Pepsi can. Adjacent centers 8 cm apart; row shifted 4 cm away from the robot; all objects fully visible and grasp paths clear.</x:v>
      </x:c>
      <x:c r="F867" s="9" t="str">
        <x:v>MOVE juggling ball to bowl</x:v>
      </x:c>
      <x:c r="G867" s="9"/>
      <x:c r="H867" s="9" t="str">
        <x:v>Concept/compositional transfer</x:v>
      </x:c>
      <x:c r="I867" s="9" t="str">
        <x:v>SZ-CT-SJ18</x:v>
      </x:c>
      <x:c r="J867" s="9" t="str">
        <x:v>smallest</x:v>
      </x:c>
      <x:c r="K867" s="9"/>
      <x:c r="L867" s="9" t="str">
        <x:v>1122</x:v>
      </x:c>
      <x:c r="M867" s="9"/>
      <x:c r="N867" s="9"/>
      <x:c r="O867" s="9" t="str">
        <x:v>Build the listed two-object scene and save a first-frame filename.</x:v>
      </x:c>
      <x:c r="P867" s="9" t="str">
        <x:v>Primary missing cell. Training episode 1122 contains the same target trajectory but masks the size word with a direct identity prompt.</x:v>
      </x:c>
      <x:c r="Q867" s="9"/>
      <x:c r="R867" s="10" t="n">
        <x:v>2</x:v>
      </x:c>
      <x:c r="S867" s="10"/>
      <x:c r="T867" s="9"/>
      <x:c r="U867" s="9"/>
      <x:c r="V867" s="9"/>
      <x:c r="W867" s="9"/>
      <x:c r="X867" s="10"/>
      <x:c r="Y867" s="10"/>
      <x:c r="Z867" s="9"/>
      <x:c r="AA867" s="9"/>
      <x:c r="AB867" s="9"/>
      <x:c r="AC867" s="9"/>
      <x:c r="AD867" s="9" t="str">
        <x:v>juggling ball</x:v>
      </x:c>
      <x:c r="AE867" s="9"/>
      <x:c r="AF867" s="9"/>
      <x:c r="AG867" s="9"/>
      <x:c r="AH867" s="9" t="str">
        <x:v>Left</x:v>
      </x:c>
      <x:c r="AI867" s="11" t="n">
        <x:v>8</x:v>
      </x:c>
      <x:c r="AJ867" s="9" t="str">
        <x:v>Held-out smallest × juggling ball — Move</x:v>
      </x:c>
      <x:c r="AK867" s="9" t="str">
        <x:v>Eval_Size_Recognition (1).xlsm</x:v>
      </x:c>
      <x:c r="AL867" s="9" t="str">
        <x:v>MolmoAct2 Results</x:v>
      </x:c>
      <x:c r="AM867" s="9" t="n">
        <x:v>97</x:v>
      </x:c>
      <x:c r="AN867" s="9" t="n">
        <x:v>97</x:v>
      </x:c>
    </x:row>
    <x:row r="868">
      <x:c r="A868" s="9" t="str">
        <x:v>Failure</x:v>
      </x:c>
      <x:c r="B868" s="9" t="str">
        <x:v>Size Recognition</x:v>
      </x:c>
      <x:c r="C868" s="10" t="n">
        <x:v>96</x:v>
      </x:c>
      <x:c r="D868" s="9" t="str">
        <x:v>Move the object that is largest into the bowl.</x:v>
      </x:c>
      <x:c r="E868" s="9" t="str">
        <x:v>Bowl: empty. Table, robot-left→robot-right: P1 green block; P2 red pencil sharpener. Adjacent centers 8 cm apart; row shifted 4 cm toward the robot; all objects fully visible and grasp paths clear.</x:v>
      </x:c>
      <x:c r="F868" s="9" t="str">
        <x:v>MOVE green block to bowl</x:v>
      </x:c>
      <x:c r="G868" s="9" t="str">
        <x:v>robot didn't move</x:v>
      </x:c>
      <x:c r="H868" s="9" t="str">
        <x:v>Concept/compositional transfer</x:v>
      </x:c>
      <x:c r="I868" s="9" t="str">
        <x:v>SZ-CT-LG19</x:v>
      </x:c>
      <x:c r="J868" s="9" t="str">
        <x:v>largest</x:v>
      </x:c>
      <x:c r="K868" s="9"/>
      <x:c r="L868" s="9" t="str">
        <x:v>1098</x:v>
      </x:c>
      <x:c r="M868" s="9"/>
      <x:c r="N868" s="9"/>
      <x:c r="O868" s="9" t="str">
        <x:v>Build the listed two-object scene and save a first-frame filename.</x:v>
      </x:c>
      <x:c r="P868" s="9" t="str">
        <x:v>Primary missing cell. Training episode 1098 contains the same target trajectory but masks the size word with a direct identity prompt.</x:v>
      </x:c>
      <x:c r="Q868" s="9"/>
      <x:c r="R868" s="10" t="n">
        <x:v>2</x:v>
      </x:c>
      <x:c r="S868" s="10"/>
      <x:c r="T868" s="9"/>
      <x:c r="U868" s="9"/>
      <x:c r="V868" s="9"/>
      <x:c r="W868" s="9"/>
      <x:c r="X868" s="10"/>
      <x:c r="Y868" s="10"/>
      <x:c r="Z868" s="9"/>
      <x:c r="AA868" s="9"/>
      <x:c r="AB868" s="9"/>
      <x:c r="AC868" s="9"/>
      <x:c r="AD868" s="9" t="str">
        <x:v>green block</x:v>
      </x:c>
      <x:c r="AE868" s="9"/>
      <x:c r="AF868" s="9"/>
      <x:c r="AG868" s="9"/>
      <x:c r="AH868" s="9" t="str">
        <x:v>Left</x:v>
      </x:c>
      <x:c r="AI868" s="11" t="n">
        <x:v>8</x:v>
      </x:c>
      <x:c r="AJ868" s="9" t="str">
        <x:v>Held-out largest × green block — Move</x:v>
      </x:c>
      <x:c r="AK868" s="9" t="str">
        <x:v>Eval_Size_Recognition (1).xlsm</x:v>
      </x:c>
      <x:c r="AL868" s="9" t="str">
        <x:v>MolmoAct2 Results</x:v>
      </x:c>
      <x:c r="AM868" s="9" t="n">
        <x:v>98</x:v>
      </x:c>
      <x:c r="AN868" s="9" t="n">
        <x:v>98</x:v>
      </x:c>
    </x:row>
    <x:row r="869">
      <x:c r="A869" s="9" t="str">
        <x:v>Success</x:v>
      </x:c>
      <x:c r="B869" s="9" t="str">
        <x:v>Size Recognition</x:v>
      </x:c>
      <x:c r="C869" s="10" t="n">
        <x:v>97</x:v>
      </x:c>
      <x:c r="D869" s="9" t="str">
        <x:v>Pick up the smallest item and place it in the bowl.</x:v>
      </x:c>
      <x:c r="E869" s="9" t="str">
        <x:v>Bowl: empty. Table, robot-left→robot-right: P1 crushed Pepsi can; P2 juggling ball. Adjacent centers 12 cm apart; row centered on the workspace; all objects fully visible and grasp paths clear.</x:v>
      </x:c>
      <x:c r="F869" s="9" t="str">
        <x:v>MOVE juggling ball to bowl</x:v>
      </x:c>
      <x:c r="G869" s="9"/>
      <x:c r="H869" s="9" t="str">
        <x:v>Concept/compositional transfer</x:v>
      </x:c>
      <x:c r="I869" s="9" t="str">
        <x:v>SZ-CT-SJ19</x:v>
      </x:c>
      <x:c r="J869" s="9" t="str">
        <x:v>smallest</x:v>
      </x:c>
      <x:c r="K869" s="9"/>
      <x:c r="L869" s="9" t="str">
        <x:v>1123</x:v>
      </x:c>
      <x:c r="M869" s="9"/>
      <x:c r="N869" s="9"/>
      <x:c r="O869" s="9" t="str">
        <x:v>Build the listed two-object scene and save a first-frame filename.</x:v>
      </x:c>
      <x:c r="P869" s="9" t="str">
        <x:v>Primary missing cell. Training episode 1123 contains the same target trajectory but masks the size word with a direct identity prompt.</x:v>
      </x:c>
      <x:c r="Q869" s="9"/>
      <x:c r="R869" s="10" t="n">
        <x:v>2</x:v>
      </x:c>
      <x:c r="S869" s="10"/>
      <x:c r="T869" s="9"/>
      <x:c r="U869" s="9"/>
      <x:c r="V869" s="9"/>
      <x:c r="W869" s="9"/>
      <x:c r="X869" s="10"/>
      <x:c r="Y869" s="10"/>
      <x:c r="Z869" s="9"/>
      <x:c r="AA869" s="9"/>
      <x:c r="AB869" s="9"/>
      <x:c r="AC869" s="9"/>
      <x:c r="AD869" s="9" t="str">
        <x:v>juggling ball</x:v>
      </x:c>
      <x:c r="AE869" s="9"/>
      <x:c r="AF869" s="9"/>
      <x:c r="AG869" s="9"/>
      <x:c r="AH869" s="9" t="str">
        <x:v>Right</x:v>
      </x:c>
      <x:c r="AI869" s="11" t="n">
        <x:v>12</x:v>
      </x:c>
      <x:c r="AJ869" s="9" t="str">
        <x:v>Held-out smallest × juggling ball — Pick up</x:v>
      </x:c>
      <x:c r="AK869" s="9" t="str">
        <x:v>Eval_Size_Recognition (1).xlsm</x:v>
      </x:c>
      <x:c r="AL869" s="9" t="str">
        <x:v>MolmoAct2 Results</x:v>
      </x:c>
      <x:c r="AM869" s="9" t="n">
        <x:v>99</x:v>
      </x:c>
      <x:c r="AN869" s="9" t="n">
        <x:v>99</x:v>
      </x:c>
    </x:row>
    <x:row r="870">
      <x:c r="A870" s="9" t="str">
        <x:v>Failure</x:v>
      </x:c>
      <x:c r="B870" s="9" t="str">
        <x:v>Size Recognition</x:v>
      </x:c>
      <x:c r="C870" s="10" t="n">
        <x:v>98</x:v>
      </x:c>
      <x:c r="D870" s="9" t="str">
        <x:v>Pick up the largest item and place it in the bowl.</x:v>
      </x:c>
      <x:c r="E870" s="9" t="str">
        <x:v>Bowl: empty. Table, robot-left→robot-right: P1 red pencil sharpener; P2 green block. Adjacent centers 12 cm apart; row shifted 4 cm away from the robot; all objects fully visible and grasp paths clear.</x:v>
      </x:c>
      <x:c r="F870" s="9" t="str">
        <x:v>MOVE green block to bowl</x:v>
      </x:c>
      <x:c r="G870" s="9" t="str">
        <x:v>picked pencil sharpener</x:v>
      </x:c>
      <x:c r="H870" s="9" t="str">
        <x:v>Concept/compositional transfer</x:v>
      </x:c>
      <x:c r="I870" s="9" t="str">
        <x:v>SZ-CT-LG20</x:v>
      </x:c>
      <x:c r="J870" s="9" t="str">
        <x:v>largest</x:v>
      </x:c>
      <x:c r="K870" s="9"/>
      <x:c r="L870" s="9" t="str">
        <x:v>1099</x:v>
      </x:c>
      <x:c r="M870" s="9"/>
      <x:c r="N870" s="9"/>
      <x:c r="O870" s="9" t="str">
        <x:v>Build the listed two-object scene and save a first-frame filename.</x:v>
      </x:c>
      <x:c r="P870" s="9" t="str">
        <x:v>Primary missing cell. Training episode 1099 contains the same target trajectory but masks the size word with a direct identity prompt.</x:v>
      </x:c>
      <x:c r="Q870" s="9"/>
      <x:c r="R870" s="10" t="n">
        <x:v>2</x:v>
      </x:c>
      <x:c r="S870" s="10"/>
      <x:c r="T870" s="9"/>
      <x:c r="U870" s="9"/>
      <x:c r="V870" s="9"/>
      <x:c r="W870" s="9"/>
      <x:c r="X870" s="10"/>
      <x:c r="Y870" s="10"/>
      <x:c r="Z870" s="9"/>
      <x:c r="AA870" s="9"/>
      <x:c r="AB870" s="9"/>
      <x:c r="AC870" s="9"/>
      <x:c r="AD870" s="9" t="str">
        <x:v>green block</x:v>
      </x:c>
      <x:c r="AE870" s="9"/>
      <x:c r="AF870" s="9"/>
      <x:c r="AG870" s="9"/>
      <x:c r="AH870" s="9" t="str">
        <x:v>Right</x:v>
      </x:c>
      <x:c r="AI870" s="11" t="n">
        <x:v>12</x:v>
      </x:c>
      <x:c r="AJ870" s="9" t="str">
        <x:v>Held-out largest × green block — Pick up</x:v>
      </x:c>
      <x:c r="AK870" s="9" t="str">
        <x:v>Eval_Size_Recognition (1).xlsm</x:v>
      </x:c>
      <x:c r="AL870" s="9" t="str">
        <x:v>MolmoAct2 Results</x:v>
      </x:c>
      <x:c r="AM870" s="9" t="n">
        <x:v>100</x:v>
      </x:c>
      <x:c r="AN870" s="9" t="n">
        <x:v>100</x:v>
      </x:c>
    </x:row>
    <x:row r="871">
      <x:c r="A871" s="9" t="str">
        <x:v>Success</x:v>
      </x:c>
      <x:c r="B871" s="9" t="str">
        <x:v>Size Recognition</x:v>
      </x:c>
      <x:c r="C871" s="10" t="n">
        <x:v>99</x:v>
      </x:c>
      <x:c r="D871" s="9" t="str">
        <x:v>Put the smallest object in the bowl.</x:v>
      </x:c>
      <x:c r="E871" s="9" t="str">
        <x:v>Bowl: empty. Table, robot-left→robot-right: P1 juggling ball; P2 crushed Pepsi can. Adjacent centers 16 cm apart; row shifted 4 cm toward robot-left; all objects fully visible and grasp paths clear.</x:v>
      </x:c>
      <x:c r="F871" s="9" t="str">
        <x:v>MOVE juggling ball to bowl</x:v>
      </x:c>
      <x:c r="G871" s="9"/>
      <x:c r="H871" s="9" t="str">
        <x:v>Concept/compositional transfer</x:v>
      </x:c>
      <x:c r="I871" s="9" t="str">
        <x:v>SZ-CT-SJ20</x:v>
      </x:c>
      <x:c r="J871" s="9" t="str">
        <x:v>smallest</x:v>
      </x:c>
      <x:c r="K871" s="9"/>
      <x:c r="L871" s="9" t="str">
        <x:v>1124</x:v>
      </x:c>
      <x:c r="M871" s="9"/>
      <x:c r="N871" s="9"/>
      <x:c r="O871" s="9" t="str">
        <x:v>Build the listed two-object scene and save a first-frame filename.</x:v>
      </x:c>
      <x:c r="P871" s="9" t="str">
        <x:v>Primary missing cell. Training episode 1124 contains the same target trajectory but masks the size word with a direct identity prompt.</x:v>
      </x:c>
      <x:c r="Q871" s="9"/>
      <x:c r="R871" s="10" t="n">
        <x:v>2</x:v>
      </x:c>
      <x:c r="S871" s="10"/>
      <x:c r="T871" s="9"/>
      <x:c r="U871" s="9"/>
      <x:c r="V871" s="9"/>
      <x:c r="W871" s="9"/>
      <x:c r="X871" s="10"/>
      <x:c r="Y871" s="10"/>
      <x:c r="Z871" s="9"/>
      <x:c r="AA871" s="9"/>
      <x:c r="AB871" s="9"/>
      <x:c r="AC871" s="9"/>
      <x:c r="AD871" s="9" t="str">
        <x:v>juggling ball</x:v>
      </x:c>
      <x:c r="AE871" s="9"/>
      <x:c r="AF871" s="9"/>
      <x:c r="AG871" s="9"/>
      <x:c r="AH871" s="9" t="str">
        <x:v>Left</x:v>
      </x:c>
      <x:c r="AI871" s="11" t="n">
        <x:v>16</x:v>
      </x:c>
      <x:c r="AJ871" s="9" t="str">
        <x:v>Held-out smallest × juggling ball — Put</x:v>
      </x:c>
      <x:c r="AK871" s="9" t="str">
        <x:v>Eval_Size_Recognition (1).xlsm</x:v>
      </x:c>
      <x:c r="AL871" s="9" t="str">
        <x:v>MolmoAct2 Results</x:v>
      </x:c>
      <x:c r="AM871" s="9" t="n">
        <x:v>101</x:v>
      </x:c>
      <x:c r="AN871" s="9" t="n">
        <x:v>101</x:v>
      </x:c>
    </x:row>
    <x:row r="872">
      <x:c r="A872" s="9" t="str">
        <x:v>Failure</x:v>
      </x:c>
      <x:c r="B872" s="9" t="str">
        <x:v>Size Recognition</x:v>
      </x:c>
      <x:c r="C872" s="10" t="n">
        <x:v>100</x:v>
      </x:c>
      <x:c r="D872" s="9" t="str">
        <x:v>Put the largest object in the bowl.</x:v>
      </x:c>
      <x:c r="E872" s="9" t="str">
        <x:v>Bowl: empty. Table, robot-left→robot-right: P1 green block; P2 red pencil sharpener. Adjacent centers 16 cm apart; row centered on the workspace; all objects fully visible and grasp paths clear.</x:v>
      </x:c>
      <x:c r="F872" s="9" t="str">
        <x:v>MOVE green block to bowl</x:v>
      </x:c>
      <x:c r="G872" s="9" t="str">
        <x:v>picked pencil sharpener</x:v>
      </x:c>
      <x:c r="H872" s="9" t="str">
        <x:v>Concept/compositional transfer</x:v>
      </x:c>
      <x:c r="I872" s="9" t="str">
        <x:v>SZ-CT-LG21</x:v>
      </x:c>
      <x:c r="J872" s="9" t="str">
        <x:v>largest</x:v>
      </x:c>
      <x:c r="K872" s="9"/>
      <x:c r="L872" s="9" t="str">
        <x:v>1080</x:v>
      </x:c>
      <x:c r="M872" s="9"/>
      <x:c r="N872" s="9"/>
      <x:c r="O872" s="9" t="str">
        <x:v>Build the listed two-object scene and save a first-frame filename.</x:v>
      </x:c>
      <x:c r="P872" s="9" t="str">
        <x:v>Primary missing cell. Training episode 1080 contains the same target trajectory but masks the size word with a direct identity prompt.</x:v>
      </x:c>
      <x:c r="Q872" s="9"/>
      <x:c r="R872" s="10" t="n">
        <x:v>2</x:v>
      </x:c>
      <x:c r="S872" s="10"/>
      <x:c r="T872" s="9"/>
      <x:c r="U872" s="9"/>
      <x:c r="V872" s="9"/>
      <x:c r="W872" s="9"/>
      <x:c r="X872" s="10"/>
      <x:c r="Y872" s="10"/>
      <x:c r="Z872" s="9"/>
      <x:c r="AA872" s="9"/>
      <x:c r="AB872" s="9"/>
      <x:c r="AC872" s="9"/>
      <x:c r="AD872" s="9" t="str">
        <x:v>green block</x:v>
      </x:c>
      <x:c r="AE872" s="9"/>
      <x:c r="AF872" s="9"/>
      <x:c r="AG872" s="9"/>
      <x:c r="AH872" s="9" t="str">
        <x:v>Left</x:v>
      </x:c>
      <x:c r="AI872" s="11" t="n">
        <x:v>16</x:v>
      </x:c>
      <x:c r="AJ872" s="9" t="str">
        <x:v>Held-out largest × green block — Put</x:v>
      </x:c>
      <x:c r="AK872" s="9" t="str">
        <x:v>Eval_Size_Recognition (1).xlsm</x:v>
      </x:c>
      <x:c r="AL872" s="9" t="str">
        <x:v>MolmoAct2 Results</x:v>
      </x:c>
      <x:c r="AM872" s="9" t="n">
        <x:v>102</x:v>
      </x:c>
      <x:c r="AN872" s="9" t="n">
        <x:v>102</x:v>
      </x:c>
    </x:row>
    <x:row r="873">
      <x:c r="A873" s="9" t="str">
        <x:v>Failure</x:v>
      </x:c>
      <x:c r="B873" s="9" t="str">
        <x:v>Size Recognition</x:v>
      </x:c>
      <x:c r="C873" s="10" t="n">
        <x:v>101</x:v>
      </x:c>
      <x:c r="D873" s="9" t="str">
        <x:v>Move the object that is smallest into the bowl.</x:v>
      </x:c>
      <x:c r="E873" s="9" t="str">
        <x:v>Bowl: empty. Table, robot-left→robot-right: P1 crushed Pepsi can; P2 juggling ball. Adjacent centers 8 cm apart; row shifted 4 cm toward robot-right; all objects fully visible and grasp paths clear.</x:v>
      </x:c>
      <x:c r="F873" s="9" t="str">
        <x:v>MOVE juggling ball to bowl</x:v>
      </x:c>
      <x:c r="G873" s="9" t="str">
        <x:v>went for pepsi can, knocked it out of range, and kept trying to pick it up until 60 seconds elapsed</x:v>
      </x:c>
      <x:c r="H873" s="9" t="str">
        <x:v>Concept/compositional transfer</x:v>
      </x:c>
      <x:c r="I873" s="9" t="str">
        <x:v>SZ-CT-SJ21</x:v>
      </x:c>
      <x:c r="J873" s="9" t="str">
        <x:v>smallest</x:v>
      </x:c>
      <x:c r="K873" s="9"/>
      <x:c r="L873" s="9" t="str">
        <x:v>1105</x:v>
      </x:c>
      <x:c r="M873" s="9"/>
      <x:c r="N873" s="9"/>
      <x:c r="O873" s="9" t="str">
        <x:v>Build the listed two-object scene and save a first-frame filename.</x:v>
      </x:c>
      <x:c r="P873" s="9" t="str">
        <x:v>Primary missing cell. Training episode 1105 contains the same target trajectory but masks the size word with a direct identity prompt.</x:v>
      </x:c>
      <x:c r="Q873" s="9"/>
      <x:c r="R873" s="10" t="n">
        <x:v>2</x:v>
      </x:c>
      <x:c r="S873" s="10"/>
      <x:c r="T873" s="9"/>
      <x:c r="U873" s="9"/>
      <x:c r="V873" s="9"/>
      <x:c r="W873" s="9"/>
      <x:c r="X873" s="10"/>
      <x:c r="Y873" s="10"/>
      <x:c r="Z873" s="9"/>
      <x:c r="AA873" s="9"/>
      <x:c r="AB873" s="9"/>
      <x:c r="AC873" s="9"/>
      <x:c r="AD873" s="9" t="str">
        <x:v>juggling ball</x:v>
      </x:c>
      <x:c r="AE873" s="9"/>
      <x:c r="AF873" s="9"/>
      <x:c r="AG873" s="9"/>
      <x:c r="AH873" s="9" t="str">
        <x:v>Right</x:v>
      </x:c>
      <x:c r="AI873" s="11" t="n">
        <x:v>8</x:v>
      </x:c>
      <x:c r="AJ873" s="9" t="str">
        <x:v>Held-out smallest × juggling ball — Move</x:v>
      </x:c>
      <x:c r="AK873" s="9" t="str">
        <x:v>Eval_Size_Recognition (1).xlsm</x:v>
      </x:c>
      <x:c r="AL873" s="9" t="str">
        <x:v>MolmoAct2 Results</x:v>
      </x:c>
      <x:c r="AM873" s="9" t="n">
        <x:v>103</x:v>
      </x:c>
      <x:c r="AN873" s="9" t="n">
        <x:v>103</x:v>
      </x:c>
    </x:row>
    <x:row r="874">
      <x:c r="A874" s="9" t="str">
        <x:v>Failure</x:v>
      </x:c>
      <x:c r="B874" s="9" t="str">
        <x:v>Size Recognition</x:v>
      </x:c>
      <x:c r="C874" s="10" t="n">
        <x:v>102</x:v>
      </x:c>
      <x:c r="D874" s="9" t="str">
        <x:v>Move the object that is largest into the bowl.</x:v>
      </x:c>
      <x:c r="E874" s="9" t="str">
        <x:v>Bowl: empty. Table, robot-left→robot-right: P1 red pencil sharpener; P2 green block. Adjacent centers 8 cm apart; row shifted 4 cm toward robot-left; all objects fully visible and grasp paths clear.</x:v>
      </x:c>
      <x:c r="F874" s="9" t="str">
        <x:v>MOVE green block to bowl</x:v>
      </x:c>
      <x:c r="G874" s="9" t="str">
        <x:v>went for red pencil sharpener</x:v>
      </x:c>
      <x:c r="H874" s="9" t="str">
        <x:v>Concept/compositional transfer</x:v>
      </x:c>
      <x:c r="I874" s="9" t="str">
        <x:v>SZ-CT-LG22</x:v>
      </x:c>
      <x:c r="J874" s="9" t="str">
        <x:v>largest</x:v>
      </x:c>
      <x:c r="K874" s="9"/>
      <x:c r="L874" s="9" t="str">
        <x:v>1081</x:v>
      </x:c>
      <x:c r="M874" s="9"/>
      <x:c r="N874" s="9"/>
      <x:c r="O874" s="9" t="str">
        <x:v>Build the listed two-object scene and save a first-frame filename.</x:v>
      </x:c>
      <x:c r="P874" s="9" t="str">
        <x:v>Primary missing cell. Training episode 1081 contains the same target trajectory but masks the size word with a direct identity prompt.</x:v>
      </x:c>
      <x:c r="Q874" s="9"/>
      <x:c r="R874" s="10" t="n">
        <x:v>2</x:v>
      </x:c>
      <x:c r="S874" s="10"/>
      <x:c r="T874" s="9"/>
      <x:c r="U874" s="9"/>
      <x:c r="V874" s="9"/>
      <x:c r="W874" s="9"/>
      <x:c r="X874" s="10"/>
      <x:c r="Y874" s="10"/>
      <x:c r="Z874" s="9"/>
      <x:c r="AA874" s="9"/>
      <x:c r="AB874" s="9"/>
      <x:c r="AC874" s="9"/>
      <x:c r="AD874" s="9" t="str">
        <x:v>green block</x:v>
      </x:c>
      <x:c r="AE874" s="9"/>
      <x:c r="AF874" s="9"/>
      <x:c r="AG874" s="9"/>
      <x:c r="AH874" s="9" t="str">
        <x:v>Right</x:v>
      </x:c>
      <x:c r="AI874" s="11" t="n">
        <x:v>8</x:v>
      </x:c>
      <x:c r="AJ874" s="9" t="str">
        <x:v>Held-out largest × green block — Move</x:v>
      </x:c>
      <x:c r="AK874" s="9" t="str">
        <x:v>Eval_Size_Recognition (1).xlsm</x:v>
      </x:c>
      <x:c r="AL874" s="9" t="str">
        <x:v>MolmoAct2 Results</x:v>
      </x:c>
      <x:c r="AM874" s="9" t="n">
        <x:v>104</x:v>
      </x:c>
      <x:c r="AN874" s="9" t="n">
        <x:v>104</x:v>
      </x:c>
    </x:row>
    <x:row r="875">
      <x:c r="A875" s="9" t="str">
        <x:v>Success</x:v>
      </x:c>
      <x:c r="B875" s="9" t="str">
        <x:v>Size Recognition</x:v>
      </x:c>
      <x:c r="C875" s="10" t="n">
        <x:v>103</x:v>
      </x:c>
      <x:c r="D875" s="9" t="str">
        <x:v>Pick up the smallest item and place it in the bowl.</x:v>
      </x:c>
      <x:c r="E875" s="9" t="str">
        <x:v>Bowl: empty. Table, robot-left→robot-right: P1 juggling ball; P2 crushed Pepsi can. Adjacent centers 12 cm apart; row shifted 4 cm toward the robot; all objects fully visible and grasp paths clear.</x:v>
      </x:c>
      <x:c r="F875" s="9" t="str">
        <x:v>MOVE juggling ball to bowl</x:v>
      </x:c>
      <x:c r="G875" s="9"/>
      <x:c r="H875" s="9" t="str">
        <x:v>Concept/compositional transfer</x:v>
      </x:c>
      <x:c r="I875" s="9" t="str">
        <x:v>SZ-CT-SJ22</x:v>
      </x:c>
      <x:c r="J875" s="9" t="str">
        <x:v>smallest</x:v>
      </x:c>
      <x:c r="K875" s="9"/>
      <x:c r="L875" s="9" t="str">
        <x:v>1106</x:v>
      </x:c>
      <x:c r="M875" s="9"/>
      <x:c r="N875" s="9"/>
      <x:c r="O875" s="9" t="str">
        <x:v>Build the listed two-object scene and save a first-frame filename.</x:v>
      </x:c>
      <x:c r="P875" s="9" t="str">
        <x:v>Primary missing cell. Training episode 1106 contains the same target trajectory but masks the size word with a direct identity prompt.</x:v>
      </x:c>
      <x:c r="Q875" s="9"/>
      <x:c r="R875" s="10" t="n">
        <x:v>2</x:v>
      </x:c>
      <x:c r="S875" s="10"/>
      <x:c r="T875" s="9"/>
      <x:c r="U875" s="9"/>
      <x:c r="V875" s="9"/>
      <x:c r="W875" s="9"/>
      <x:c r="X875" s="10"/>
      <x:c r="Y875" s="10"/>
      <x:c r="Z875" s="9"/>
      <x:c r="AA875" s="9"/>
      <x:c r="AB875" s="9"/>
      <x:c r="AC875" s="9"/>
      <x:c r="AD875" s="9" t="str">
        <x:v>juggling ball</x:v>
      </x:c>
      <x:c r="AE875" s="9"/>
      <x:c r="AF875" s="9"/>
      <x:c r="AG875" s="9"/>
      <x:c r="AH875" s="9" t="str">
        <x:v>Left</x:v>
      </x:c>
      <x:c r="AI875" s="11" t="n">
        <x:v>12</x:v>
      </x:c>
      <x:c r="AJ875" s="9" t="str">
        <x:v>Held-out smallest × juggling ball — Pick up</x:v>
      </x:c>
      <x:c r="AK875" s="9" t="str">
        <x:v>Eval_Size_Recognition (1).xlsm</x:v>
      </x:c>
      <x:c r="AL875" s="9" t="str">
        <x:v>MolmoAct2 Results</x:v>
      </x:c>
      <x:c r="AM875" s="9" t="n">
        <x:v>105</x:v>
      </x:c>
      <x:c r="AN875" s="9" t="n">
        <x:v>105</x:v>
      </x:c>
    </x:row>
    <x:row r="876">
      <x:c r="A876" s="9" t="str">
        <x:v>Failure</x:v>
      </x:c>
      <x:c r="B876" s="9" t="str">
        <x:v>Size Recognition</x:v>
      </x:c>
      <x:c r="C876" s="10" t="n">
        <x:v>104</x:v>
      </x:c>
      <x:c r="D876" s="9" t="str">
        <x:v>Pick up the largest item and place it in the bowl.</x:v>
      </x:c>
      <x:c r="E876" s="9" t="str">
        <x:v>Bowl: empty. Table, robot-left→robot-right: P1 green block; P2 red pencil sharpener. Adjacent centers 12 cm apart; row shifted 4 cm toward robot-right; all objects fully visible and grasp paths clear.</x:v>
      </x:c>
      <x:c r="F876" s="9" t="str">
        <x:v>MOVE green block to bowl</x:v>
      </x:c>
      <x:c r="G876" s="9" t="str">
        <x:v>picked red pencil sharpener</x:v>
      </x:c>
      <x:c r="H876" s="9" t="str">
        <x:v>Concept/compositional transfer</x:v>
      </x:c>
      <x:c r="I876" s="9" t="str">
        <x:v>SZ-CT-LG23</x:v>
      </x:c>
      <x:c r="J876" s="9" t="str">
        <x:v>largest</x:v>
      </x:c>
      <x:c r="K876" s="9"/>
      <x:c r="L876" s="9" t="str">
        <x:v>1082</x:v>
      </x:c>
      <x:c r="M876" s="9"/>
      <x:c r="N876" s="9"/>
      <x:c r="O876" s="9" t="str">
        <x:v>Build the listed two-object scene and save a first-frame filename.</x:v>
      </x:c>
      <x:c r="P876" s="9" t="str">
        <x:v>Primary missing cell. Training episode 1082 contains the same target trajectory but masks the size word with a direct identity prompt.</x:v>
      </x:c>
      <x:c r="Q876" s="9"/>
      <x:c r="R876" s="10" t="n">
        <x:v>2</x:v>
      </x:c>
      <x:c r="S876" s="10"/>
      <x:c r="T876" s="9"/>
      <x:c r="U876" s="9"/>
      <x:c r="V876" s="9"/>
      <x:c r="W876" s="9"/>
      <x:c r="X876" s="10"/>
      <x:c r="Y876" s="10"/>
      <x:c r="Z876" s="9"/>
      <x:c r="AA876" s="9"/>
      <x:c r="AB876" s="9"/>
      <x:c r="AC876" s="9"/>
      <x:c r="AD876" s="9" t="str">
        <x:v>green block</x:v>
      </x:c>
      <x:c r="AE876" s="9"/>
      <x:c r="AF876" s="9"/>
      <x:c r="AG876" s="9"/>
      <x:c r="AH876" s="9" t="str">
        <x:v>Left</x:v>
      </x:c>
      <x:c r="AI876" s="11" t="n">
        <x:v>12</x:v>
      </x:c>
      <x:c r="AJ876" s="9" t="str">
        <x:v>Held-out largest × green block — Pick up</x:v>
      </x:c>
      <x:c r="AK876" s="9" t="str">
        <x:v>Eval_Size_Recognition (1).xlsm</x:v>
      </x:c>
      <x:c r="AL876" s="9" t="str">
        <x:v>MolmoAct2 Results</x:v>
      </x:c>
      <x:c r="AM876" s="9" t="n">
        <x:v>106</x:v>
      </x:c>
      <x:c r="AN876" s="9" t="n">
        <x:v>106</x:v>
      </x:c>
    </x:row>
    <x:row r="877">
      <x:c r="A877" s="9" t="str">
        <x:v>Success</x:v>
      </x:c>
      <x:c r="B877" s="9" t="str">
        <x:v>Size Recognition</x:v>
      </x:c>
      <x:c r="C877" s="10" t="n">
        <x:v>105</x:v>
      </x:c>
      <x:c r="D877" s="9" t="str">
        <x:v>Put the smallest object in the bowl.</x:v>
      </x:c>
      <x:c r="E877" s="9" t="str">
        <x:v>Bowl: empty. Table, robot-left→robot-right: P1 crushed Pepsi can; P2 juggling ball. Adjacent centers 16 cm apart; row shifted 4 cm away from the robot; all objects fully visible and grasp paths clear.</x:v>
      </x:c>
      <x:c r="F877" s="9" t="str">
        <x:v>MOVE juggling ball to bowl</x:v>
      </x:c>
      <x:c r="G877" s="9"/>
      <x:c r="H877" s="9" t="str">
        <x:v>Concept/compositional transfer</x:v>
      </x:c>
      <x:c r="I877" s="9" t="str">
        <x:v>SZ-CT-SJ23</x:v>
      </x:c>
      <x:c r="J877" s="9" t="str">
        <x:v>smallest</x:v>
      </x:c>
      <x:c r="K877" s="9"/>
      <x:c r="L877" s="9" t="str">
        <x:v>1107</x:v>
      </x:c>
      <x:c r="M877" s="9"/>
      <x:c r="N877" s="9"/>
      <x:c r="O877" s="9" t="str">
        <x:v>Build the listed two-object scene and save a first-frame filename.</x:v>
      </x:c>
      <x:c r="P877" s="9" t="str">
        <x:v>Primary missing cell. Training episode 1107 contains the same target trajectory but masks the size word with a direct identity prompt.</x:v>
      </x:c>
      <x:c r="Q877" s="9"/>
      <x:c r="R877" s="10" t="n">
        <x:v>2</x:v>
      </x:c>
      <x:c r="S877" s="10"/>
      <x:c r="T877" s="9"/>
      <x:c r="U877" s="9"/>
      <x:c r="V877" s="9"/>
      <x:c r="W877" s="9"/>
      <x:c r="X877" s="10"/>
      <x:c r="Y877" s="10"/>
      <x:c r="Z877" s="9"/>
      <x:c r="AA877" s="9"/>
      <x:c r="AB877" s="9"/>
      <x:c r="AC877" s="9"/>
      <x:c r="AD877" s="9" t="str">
        <x:v>juggling ball</x:v>
      </x:c>
      <x:c r="AE877" s="9"/>
      <x:c r="AF877" s="9"/>
      <x:c r="AG877" s="9"/>
      <x:c r="AH877" s="9" t="str">
        <x:v>Right</x:v>
      </x:c>
      <x:c r="AI877" s="11" t="n">
        <x:v>16</x:v>
      </x:c>
      <x:c r="AJ877" s="9" t="str">
        <x:v>Held-out smallest × juggling ball — Put</x:v>
      </x:c>
      <x:c r="AK877" s="9" t="str">
        <x:v>Eval_Size_Recognition (1).xlsm</x:v>
      </x:c>
      <x:c r="AL877" s="9" t="str">
        <x:v>MolmoAct2 Results</x:v>
      </x:c>
      <x:c r="AM877" s="9" t="n">
        <x:v>107</x:v>
      </x:c>
      <x:c r="AN877" s="9" t="n">
        <x:v>107</x:v>
      </x:c>
    </x:row>
    <x:row r="878">
      <x:c r="A878" s="9" t="str">
        <x:v>Failure</x:v>
      </x:c>
      <x:c r="B878" s="9" t="str">
        <x:v>Size Recognition</x:v>
      </x:c>
      <x:c r="C878" s="10" t="n">
        <x:v>106</x:v>
      </x:c>
      <x:c r="D878" s="9" t="str">
        <x:v>Put the largest object in the bowl.</x:v>
      </x:c>
      <x:c r="E878" s="9" t="str">
        <x:v>Bowl: empty. Table, robot-left→robot-right: P1 red pencil sharpener; P2 green block. Adjacent centers 16 cm apart; row shifted 4 cm toward the robot; all objects fully visible and grasp paths clear.</x:v>
      </x:c>
      <x:c r="F878" s="9" t="str">
        <x:v>MOVE green block to bowl</x:v>
      </x:c>
      <x:c r="G878" s="9" t="str">
        <x:v>picked red pencil sharpener</x:v>
      </x:c>
      <x:c r="H878" s="9" t="str">
        <x:v>Concept/compositional transfer</x:v>
      </x:c>
      <x:c r="I878" s="9" t="str">
        <x:v>SZ-CT-LG24</x:v>
      </x:c>
      <x:c r="J878" s="9" t="str">
        <x:v>largest</x:v>
      </x:c>
      <x:c r="K878" s="9"/>
      <x:c r="L878" s="9" t="str">
        <x:v>1083</x:v>
      </x:c>
      <x:c r="M878" s="9"/>
      <x:c r="N878" s="9"/>
      <x:c r="O878" s="9" t="str">
        <x:v>Build the listed two-object scene and save a first-frame filename.</x:v>
      </x:c>
      <x:c r="P878" s="9" t="str">
        <x:v>Primary missing cell. Training episode 1083 contains the same target trajectory but masks the size word with a direct identity prompt.</x:v>
      </x:c>
      <x:c r="Q878" s="9"/>
      <x:c r="R878" s="10" t="n">
        <x:v>2</x:v>
      </x:c>
      <x:c r="S878" s="10"/>
      <x:c r="T878" s="9"/>
      <x:c r="U878" s="9"/>
      <x:c r="V878" s="9"/>
      <x:c r="W878" s="9"/>
      <x:c r="X878" s="10"/>
      <x:c r="Y878" s="10"/>
      <x:c r="Z878" s="9"/>
      <x:c r="AA878" s="9"/>
      <x:c r="AB878" s="9"/>
      <x:c r="AC878" s="9"/>
      <x:c r="AD878" s="9" t="str">
        <x:v>green block</x:v>
      </x:c>
      <x:c r="AE878" s="9"/>
      <x:c r="AF878" s="9"/>
      <x:c r="AG878" s="9"/>
      <x:c r="AH878" s="9" t="str">
        <x:v>Right</x:v>
      </x:c>
      <x:c r="AI878" s="11" t="n">
        <x:v>16</x:v>
      </x:c>
      <x:c r="AJ878" s="9" t="str">
        <x:v>Held-out largest × green block — Put</x:v>
      </x:c>
      <x:c r="AK878" s="9" t="str">
        <x:v>Eval_Size_Recognition (1).xlsm</x:v>
      </x:c>
      <x:c r="AL878" s="9" t="str">
        <x:v>MolmoAct2 Results</x:v>
      </x:c>
      <x:c r="AM878" s="9" t="n">
        <x:v>108</x:v>
      </x:c>
      <x:c r="AN878" s="9" t="n">
        <x:v>108</x:v>
      </x:c>
    </x:row>
    <x:row r="879">
      <x:c r="A879" s="9" t="str">
        <x:v>Success</x:v>
      </x:c>
      <x:c r="B879" s="9" t="str">
        <x:v>Size Recognition</x:v>
      </x:c>
      <x:c r="C879" s="10" t="n">
        <x:v>107</x:v>
      </x:c>
      <x:c r="D879" s="9" t="str">
        <x:v>Move the object that is smallest into the bowl.</x:v>
      </x:c>
      <x:c r="E879" s="9" t="str">
        <x:v>Bowl: empty. Table, robot-left→robot-right: P1 juggling ball; P2 crushed Pepsi can. Adjacent centers 8 cm apart; row centered on the workspace; all objects fully visible and grasp paths clear.</x:v>
      </x:c>
      <x:c r="F879" s="9" t="str">
        <x:v>MOVE juggling ball to bowl</x:v>
      </x:c>
      <x:c r="G879" s="9"/>
      <x:c r="H879" s="9" t="str">
        <x:v>Concept/compositional transfer</x:v>
      </x:c>
      <x:c r="I879" s="9" t="str">
        <x:v>SZ-CT-SJ24</x:v>
      </x:c>
      <x:c r="J879" s="9" t="str">
        <x:v>smallest</x:v>
      </x:c>
      <x:c r="K879" s="9"/>
      <x:c r="L879" s="9" t="str">
        <x:v>1108</x:v>
      </x:c>
      <x:c r="M879" s="9"/>
      <x:c r="N879" s="9"/>
      <x:c r="O879" s="9" t="str">
        <x:v>Build the listed two-object scene and save a first-frame filename.</x:v>
      </x:c>
      <x:c r="P879" s="9" t="str">
        <x:v>Primary missing cell. Training episode 1108 contains the same target trajectory but masks the size word with a direct identity prompt.</x:v>
      </x:c>
      <x:c r="Q879" s="9"/>
      <x:c r="R879" s="10" t="n">
        <x:v>2</x:v>
      </x:c>
      <x:c r="S879" s="10"/>
      <x:c r="T879" s="9"/>
      <x:c r="U879" s="9"/>
      <x:c r="V879" s="9"/>
      <x:c r="W879" s="9"/>
      <x:c r="X879" s="10"/>
      <x:c r="Y879" s="10"/>
      <x:c r="Z879" s="9"/>
      <x:c r="AA879" s="9"/>
      <x:c r="AB879" s="9"/>
      <x:c r="AC879" s="9"/>
      <x:c r="AD879" s="9" t="str">
        <x:v>juggling ball</x:v>
      </x:c>
      <x:c r="AE879" s="9"/>
      <x:c r="AF879" s="9"/>
      <x:c r="AG879" s="9"/>
      <x:c r="AH879" s="9" t="str">
        <x:v>Left</x:v>
      </x:c>
      <x:c r="AI879" s="11" t="n">
        <x:v>8</x:v>
      </x:c>
      <x:c r="AJ879" s="9" t="str">
        <x:v>Held-out smallest × juggling ball — Move</x:v>
      </x:c>
      <x:c r="AK879" s="9" t="str">
        <x:v>Eval_Size_Recognition (1).xlsm</x:v>
      </x:c>
      <x:c r="AL879" s="9" t="str">
        <x:v>MolmoAct2 Results</x:v>
      </x:c>
      <x:c r="AM879" s="9" t="n">
        <x:v>109</x:v>
      </x:c>
      <x:c r="AN879" s="9" t="n">
        <x:v>109</x:v>
      </x:c>
    </x:row>
    <x:row r="880">
      <x:c r="A880" s="9" t="str">
        <x:v>Failure</x:v>
      </x:c>
      <x:c r="B880" s="9" t="str">
        <x:v>Size Recognition</x:v>
      </x:c>
      <x:c r="C880" s="10" t="n">
        <x:v>108</x:v>
      </x:c>
      <x:c r="D880" s="9" t="str">
        <x:v>Move the object that is largest into the bowl.</x:v>
      </x:c>
      <x:c r="E880" s="9" t="str">
        <x:v>Bowl: empty. Table, robot-left→robot-right: P1 green block; P2 red pencil sharpener. Adjacent centers 8 cm apart; row shifted 4 cm away from the robot; all objects fully visible and grasp paths clear.</x:v>
      </x:c>
      <x:c r="F880" s="9" t="str">
        <x:v>MOVE green block to bowl</x:v>
      </x:c>
      <x:c r="G880" s="9" t="str">
        <x:v>picked red pencil sharpener</x:v>
      </x:c>
      <x:c r="H880" s="9" t="str">
        <x:v>Concept/compositional transfer</x:v>
      </x:c>
      <x:c r="I880" s="9" t="str">
        <x:v>SZ-CT-LG25</x:v>
      </x:c>
      <x:c r="J880" s="9" t="str">
        <x:v>largest</x:v>
      </x:c>
      <x:c r="K880" s="9"/>
      <x:c r="L880" s="9" t="str">
        <x:v>1084</x:v>
      </x:c>
      <x:c r="M880" s="9"/>
      <x:c r="N880" s="9"/>
      <x:c r="O880" s="9" t="str">
        <x:v>Build the listed two-object scene and save a first-frame filename.</x:v>
      </x:c>
      <x:c r="P880" s="9" t="str">
        <x:v>Primary missing cell. Training episode 1084 contains the same target trajectory but masks the size word with a direct identity prompt.</x:v>
      </x:c>
      <x:c r="Q880" s="9"/>
      <x:c r="R880" s="10" t="n">
        <x:v>2</x:v>
      </x:c>
      <x:c r="S880" s="10"/>
      <x:c r="T880" s="9"/>
      <x:c r="U880" s="9"/>
      <x:c r="V880" s="9"/>
      <x:c r="W880" s="9"/>
      <x:c r="X880" s="10"/>
      <x:c r="Y880" s="10"/>
      <x:c r="Z880" s="9"/>
      <x:c r="AA880" s="9"/>
      <x:c r="AB880" s="9"/>
      <x:c r="AC880" s="9"/>
      <x:c r="AD880" s="9" t="str">
        <x:v>green block</x:v>
      </x:c>
      <x:c r="AE880" s="9"/>
      <x:c r="AF880" s="9"/>
      <x:c r="AG880" s="9"/>
      <x:c r="AH880" s="9" t="str">
        <x:v>Left</x:v>
      </x:c>
      <x:c r="AI880" s="11" t="n">
        <x:v>8</x:v>
      </x:c>
      <x:c r="AJ880" s="9" t="str">
        <x:v>Held-out largest × green block — Move</x:v>
      </x:c>
      <x:c r="AK880" s="9" t="str">
        <x:v>Eval_Size_Recognition (1).xlsm</x:v>
      </x:c>
      <x:c r="AL880" s="9" t="str">
        <x:v>MolmoAct2 Results</x:v>
      </x:c>
      <x:c r="AM880" s="9" t="n">
        <x:v>110</x:v>
      </x:c>
      <x:c r="AN880" s="9" t="n">
        <x:v>110</x:v>
      </x:c>
    </x:row>
    <x:row r="881">
      <x:c r="A881" s="9" t="str">
        <x:v>Success</x:v>
      </x:c>
      <x:c r="B881" s="9" t="str">
        <x:v>Size Recognition</x:v>
      </x:c>
      <x:c r="C881" s="10" t="n">
        <x:v>109</x:v>
      </x:c>
      <x:c r="D881" s="9" t="str">
        <x:v>Pick up the smallest item and place it in the bowl.</x:v>
      </x:c>
      <x:c r="E881" s="9" t="str">
        <x:v>Bowl: empty. Table, robot-left→robot-right: P1 crushed Pepsi can; P2 juggling ball. Adjacent centers 12 cm apart; row shifted 4 cm toward robot-left; all objects fully visible and grasp paths clear.</x:v>
      </x:c>
      <x:c r="F881" s="9" t="str">
        <x:v>MOVE juggling ball to bowl</x:v>
      </x:c>
      <x:c r="G881" s="9"/>
      <x:c r="H881" s="9" t="str">
        <x:v>Concept/compositional transfer</x:v>
      </x:c>
      <x:c r="I881" s="9" t="str">
        <x:v>SZ-CT-SJ25</x:v>
      </x:c>
      <x:c r="J881" s="9" t="str">
        <x:v>smallest</x:v>
      </x:c>
      <x:c r="K881" s="9"/>
      <x:c r="L881" s="9" t="str">
        <x:v>1109</x:v>
      </x:c>
      <x:c r="M881" s="9"/>
      <x:c r="N881" s="9"/>
      <x:c r="O881" s="9" t="str">
        <x:v>Build the listed two-object scene and save a first-frame filename.</x:v>
      </x:c>
      <x:c r="P881" s="9" t="str">
        <x:v>Primary missing cell. Training episode 1109 contains the same target trajectory but masks the size word with a direct identity prompt.</x:v>
      </x:c>
      <x:c r="Q881" s="9"/>
      <x:c r="R881" s="10" t="n">
        <x:v>2</x:v>
      </x:c>
      <x:c r="S881" s="10"/>
      <x:c r="T881" s="9"/>
      <x:c r="U881" s="9"/>
      <x:c r="V881" s="9"/>
      <x:c r="W881" s="9"/>
      <x:c r="X881" s="10"/>
      <x:c r="Y881" s="10"/>
      <x:c r="Z881" s="9"/>
      <x:c r="AA881" s="9"/>
      <x:c r="AB881" s="9"/>
      <x:c r="AC881" s="9"/>
      <x:c r="AD881" s="9" t="str">
        <x:v>juggling ball</x:v>
      </x:c>
      <x:c r="AE881" s="9"/>
      <x:c r="AF881" s="9"/>
      <x:c r="AG881" s="9"/>
      <x:c r="AH881" s="9" t="str">
        <x:v>Right</x:v>
      </x:c>
      <x:c r="AI881" s="11" t="n">
        <x:v>12</x:v>
      </x:c>
      <x:c r="AJ881" s="9" t="str">
        <x:v>Held-out smallest × juggling ball — Pick up</x:v>
      </x:c>
      <x:c r="AK881" s="9" t="str">
        <x:v>Eval_Size_Recognition (1).xlsm</x:v>
      </x:c>
      <x:c r="AL881" s="9" t="str">
        <x:v>MolmoAct2 Results</x:v>
      </x:c>
      <x:c r="AM881" s="9" t="n">
        <x:v>111</x:v>
      </x:c>
      <x:c r="AN881" s="9" t="n">
        <x:v>111</x:v>
      </x:c>
    </x:row>
    <x:row r="882">
      <x:c r="A882" s="9" t="str">
        <x:v>Success</x:v>
      </x:c>
      <x:c r="B882" s="9" t="str">
        <x:v>Size Recognition</x:v>
      </x:c>
      <x:c r="C882" s="10" t="n">
        <x:v>110</x:v>
      </x:c>
      <x:c r="D882" s="9" t="str">
        <x:v>Move the object that is largest into the bowl.</x:v>
      </x:c>
      <x:c r="E882" s="9" t="str">
        <x:v>Bowl: empty. Table, robot-left→robot-right: P1 airplane toy with propellers; P2 red pencil sharpener. Adjacent centers 8 cm apart; row centered on the workspace; all objects fully visible and grasp paths clear.</x:v>
      </x:c>
      <x:c r="F882" s="9" t="str">
        <x:v>MOVE airplane toy with propellers to bowl</x:v>
      </x:c>
      <x:c r="G882" s="9"/>
      <x:c r="H882" s="9" t="str">
        <x:v>Cross-task airplane reasoning</x:v>
      </x:c>
      <x:c r="I882" s="9" t="str">
        <x:v>SZ-XA01</x:v>
      </x:c>
      <x:c r="J882" s="9" t="str">
        <x:v>largest</x:v>
      </x:c>
      <x:c r="K882" s="9"/>
      <x:c r="L882" s="9" t="str">
        <x:v>airplane exposure 550</x:v>
      </x:c>
      <x:c r="M882" s="9"/>
      <x:c r="N882" s="9"/>
      <x:c r="O882" s="9" t="str">
        <x:v>Build the listed airplane scene and save a first-frame filename.</x:v>
      </x:c>
      <x:c r="P882" s="9" t="str">
        <x:v>The airplane is larger than the red pencil sharpener. It is known globally but never received size language in training.</x:v>
      </x:c>
      <x:c r="Q882" s="9"/>
      <x:c r="R882" s="10" t="n">
        <x:v>2</x:v>
      </x:c>
      <x:c r="S882" s="10"/>
      <x:c r="T882" s="9"/>
      <x:c r="U882" s="9"/>
      <x:c r="V882" s="9"/>
      <x:c r="W882" s="9"/>
      <x:c r="X882" s="10"/>
      <x:c r="Y882" s="10"/>
      <x:c r="Z882" s="9"/>
      <x:c r="AA882" s="9"/>
      <x:c r="AB882" s="9"/>
      <x:c r="AC882" s="9"/>
      <x:c r="AD882" s="9" t="str">
        <x:v>airplane toy with propellers</x:v>
      </x:c>
      <x:c r="AE882" s="9"/>
      <x:c r="AF882" s="9"/>
      <x:c r="AG882" s="9"/>
      <x:c r="AH882" s="9" t="str">
        <x:v>Left</x:v>
      </x:c>
      <x:c r="AI882" s="11" t="n">
        <x:v>8</x:v>
      </x:c>
      <x:c r="AJ882" s="9" t="str">
        <x:v>Airplane is largest</x:v>
      </x:c>
      <x:c r="AK882" s="9" t="str">
        <x:v>Eval_Size_Recognition (1).xlsm</x:v>
      </x:c>
      <x:c r="AL882" s="9" t="str">
        <x:v>MolmoAct2 Results</x:v>
      </x:c>
      <x:c r="AM882" s="9" t="n">
        <x:v>112</x:v>
      </x:c>
      <x:c r="AN882" s="9" t="n">
        <x:v>112</x:v>
      </x:c>
    </x:row>
    <x:row r="883">
      <x:c r="A883" s="9" t="str">
        <x:v>Success</x:v>
      </x:c>
      <x:c r="B883" s="9" t="str">
        <x:v>Size Recognition</x:v>
      </x:c>
      <x:c r="C883" s="10" t="n">
        <x:v>111</x:v>
      </x:c>
      <x:c r="D883" s="9" t="str">
        <x:v>Put the smallest object in the bowl.</x:v>
      </x:c>
      <x:c r="E883" s="9" t="str">
        <x:v>Bowl: empty. Table, robot-left→robot-right: P1 airplane toy with propellers; P2 red pencil sharpener. Adjacent centers 8 cm apart; row centered on the workspace; all objects fully visible and grasp paths clear.</x:v>
      </x:c>
      <x:c r="F883" s="9" t="str">
        <x:v>MOVE red pencil sharpener to bowl</x:v>
      </x:c>
      <x:c r="G883" s="9"/>
      <x:c r="H883" s="9" t="str">
        <x:v>Cross-task airplane counterfactual</x:v>
      </x:c>
      <x:c r="I883" s="9" t="str">
        <x:v>SZ-XA01</x:v>
      </x:c>
      <x:c r="J883" s="9" t="str">
        <x:v>smallest</x:v>
      </x:c>
      <x:c r="K883" s="9" t="n">
        <x:v>110</x:v>
      </x:c>
      <x:c r="L883" s="9" t="str">
        <x:v>1005; airplane exposure 550</x:v>
      </x:c>
      <x:c r="M883" s="9"/>
      <x:c r="N883" s="9"/>
      <x:c r="O883" s="9" t="str">
        <x:v>Reset the airplane; preserve the exact scene and reverse only the size comparison.</x:v>
      </x:c>
      <x:c r="P883" s="9" t="str">
        <x:v>Reasoning-only counterfactual grounded by trained cell smallest × red pencil sharpener; an always-pick-airplane shortcut must fail.</x:v>
      </x:c>
      <x:c r="Q883" s="9"/>
      <x:c r="R883" s="10" t="n">
        <x:v>2</x:v>
      </x:c>
      <x:c r="S883" s="10"/>
      <x:c r="T883" s="9"/>
      <x:c r="U883" s="9"/>
      <x:c r="V883" s="9"/>
      <x:c r="W883" s="9"/>
      <x:c r="X883" s="10"/>
      <x:c r="Y883" s="10"/>
      <x:c r="Z883" s="9"/>
      <x:c r="AA883" s="9"/>
      <x:c r="AB883" s="9"/>
      <x:c r="AC883" s="9"/>
      <x:c r="AD883" s="9" t="str">
        <x:v>red pencil sharpener</x:v>
      </x:c>
      <x:c r="AE883" s="9"/>
      <x:c r="AF883" s="9"/>
      <x:c r="AG883" s="9"/>
      <x:c r="AH883" s="9" t="str">
        <x:v>Right</x:v>
      </x:c>
      <x:c r="AI883" s="11" t="n">
        <x:v>8</x:v>
      </x:c>
      <x:c r="AJ883" s="9" t="str">
        <x:v>Exact-scene opposite-comparison reasoning control</x:v>
      </x:c>
      <x:c r="AK883" s="9" t="str">
        <x:v>Eval_Size_Recognition (1).xlsm</x:v>
      </x:c>
      <x:c r="AL883" s="9" t="str">
        <x:v>MolmoAct2 Results</x:v>
      </x:c>
      <x:c r="AM883" s="9" t="n">
        <x:v>113</x:v>
      </x:c>
      <x:c r="AN883" s="9" t="n">
        <x:v>113</x:v>
      </x:c>
    </x:row>
    <x:row r="884">
      <x:c r="A884" s="9" t="str">
        <x:v>Success</x:v>
      </x:c>
      <x:c r="B884" s="9" t="str">
        <x:v>Size Recognition</x:v>
      </x:c>
      <x:c r="C884" s="10" t="n">
        <x:v>112</x:v>
      </x:c>
      <x:c r="D884" s="9" t="str">
        <x:v>Pick up the smallest item and place it in the bowl.</x:v>
      </x:c>
      <x:c r="E884" s="9" t="str">
        <x:v>Bowl: empty. Table, robot-left→robot-right: P1 airplane toy with propellers; P2 green block; P3 crushed Pepsi can. Adjacent centers 12 cm apart; row shifted 4 cm toward robot-right; all objects fully visible and grasp paths clear.</x:v>
      </x:c>
      <x:c r="F884" s="9" t="str">
        <x:v>MOVE airplane toy with propellers to bowl</x:v>
      </x:c>
      <x:c r="G884" s="9"/>
      <x:c r="H884" s="9" t="str">
        <x:v>Cross-task airplane reasoning</x:v>
      </x:c>
      <x:c r="I884" s="9" t="str">
        <x:v>SZ-XA02</x:v>
      </x:c>
      <x:c r="J884" s="9" t="str">
        <x:v>smallest</x:v>
      </x:c>
      <x:c r="K884" s="9"/>
      <x:c r="L884" s="9" t="str">
        <x:v>airplane exposure 552</x:v>
      </x:c>
      <x:c r="M884" s="9"/>
      <x:c r="N884" s="9"/>
      <x:c r="O884" s="9" t="str">
        <x:v>Build the listed airplane scene and save a first-frame filename.</x:v>
      </x:c>
      <x:c r="P884" s="9" t="str">
        <x:v>The airplane is smaller than every listed table comparator. Green-block scenes also include a trained larger endpoint so the counterfactual does not test largest×green.</x:v>
      </x:c>
      <x:c r="Q884" s="9"/>
      <x:c r="R884" s="10" t="n">
        <x:v>3</x:v>
      </x:c>
      <x:c r="S884" s="10"/>
      <x:c r="T884" s="9"/>
      <x:c r="U884" s="9"/>
      <x:c r="V884" s="9"/>
      <x:c r="W884" s="9"/>
      <x:c r="X884" s="10"/>
      <x:c r="Y884" s="10"/>
      <x:c r="Z884" s="9"/>
      <x:c r="AA884" s="9"/>
      <x:c r="AB884" s="9"/>
      <x:c r="AC884" s="9"/>
      <x:c r="AD884" s="9" t="str">
        <x:v>airplane toy with propellers</x:v>
      </x:c>
      <x:c r="AE884" s="9"/>
      <x:c r="AF884" s="9"/>
      <x:c r="AG884" s="9"/>
      <x:c r="AH884" s="9" t="str">
        <x:v>Left</x:v>
      </x:c>
      <x:c r="AI884" s="11" t="n">
        <x:v>12</x:v>
      </x:c>
      <x:c r="AJ884" s="9" t="str">
        <x:v>Airplane is smallest</x:v>
      </x:c>
      <x:c r="AK884" s="9" t="str">
        <x:v>Eval_Size_Recognition (1).xlsm</x:v>
      </x:c>
      <x:c r="AL884" s="9" t="str">
        <x:v>MolmoAct2 Results</x:v>
      </x:c>
      <x:c r="AM884" s="9" t="n">
        <x:v>114</x:v>
      </x:c>
      <x:c r="AN884" s="9" t="n">
        <x:v>114</x:v>
      </x:c>
    </x:row>
    <x:row r="885">
      <x:c r="A885" s="9" t="str">
        <x:v>Failure</x:v>
      </x:c>
      <x:c r="B885" s="9" t="str">
        <x:v>Size Recognition</x:v>
      </x:c>
      <x:c r="C885" s="10" t="n">
        <x:v>113</x:v>
      </x:c>
      <x:c r="D885" s="9" t="str">
        <x:v>Put the largest object in the bowl.</x:v>
      </x:c>
      <x:c r="E885" s="9" t="str">
        <x:v>Bowl: empty. Table, robot-left→robot-right: P1 airplane toy with propellers; P2 green block; P3 crushed Pepsi can. Adjacent centers 12 cm apart; row shifted 4 cm toward robot-right; all objects fully visible and grasp paths clear.</x:v>
      </x:c>
      <x:c r="F885" s="9" t="str">
        <x:v>MOVE crushed Pepsi can to bowl</x:v>
      </x:c>
      <x:c r="G885" s="9" t="str">
        <x:v>Succeeded on readoning, but failed to grasp the pepsi can, and knocked it out of frame. Upon recovery, picked the green block, which is technically the next largest item, however, the grene block was also close to the pepsi can</x:v>
      </x:c>
      <x:c r="H885" s="9" t="str">
        <x:v>Cross-task airplane counterfactual</x:v>
      </x:c>
      <x:c r="I885" s="9" t="str">
        <x:v>SZ-XA02</x:v>
      </x:c>
      <x:c r="J885" s="9" t="str">
        <x:v>largest</x:v>
      </x:c>
      <x:c r="K885" s="9" t="n">
        <x:v>112</x:v>
      </x:c>
      <x:c r="L885" s="9" t="str">
        <x:v>1155; airplane exposure 552</x:v>
      </x:c>
      <x:c r="M885" s="9"/>
      <x:c r="N885" s="9"/>
      <x:c r="O885" s="9" t="str">
        <x:v>Reset the airplane; preserve the exact scene and reverse only the size comparison.</x:v>
      </x:c>
      <x:c r="P885" s="9" t="str">
        <x:v>Reasoning-only counterfactual grounded by trained cell largest × crushed Pepsi can; an always-pick-airplane shortcut must fail.</x:v>
      </x:c>
      <x:c r="Q885" s="9"/>
      <x:c r="R885" s="10" t="n">
        <x:v>3</x:v>
      </x:c>
      <x:c r="S885" s="10"/>
      <x:c r="T885" s="9"/>
      <x:c r="U885" s="9"/>
      <x:c r="V885" s="9"/>
      <x:c r="W885" s="9"/>
      <x:c r="X885" s="10"/>
      <x:c r="Y885" s="10"/>
      <x:c r="Z885" s="9"/>
      <x:c r="AA885" s="9"/>
      <x:c r="AB885" s="9"/>
      <x:c r="AC885" s="9"/>
      <x:c r="AD885" s="9" t="str">
        <x:v>crushed Pepsi can</x:v>
      </x:c>
      <x:c r="AE885" s="9"/>
      <x:c r="AF885" s="9"/>
      <x:c r="AG885" s="9"/>
      <x:c r="AH885" s="9" t="str">
        <x:v>Right</x:v>
      </x:c>
      <x:c r="AI885" s="11" t="n">
        <x:v>12</x:v>
      </x:c>
      <x:c r="AJ885" s="9" t="str">
        <x:v>Exact-scene opposite-comparison reasoning control</x:v>
      </x:c>
      <x:c r="AK885" s="9" t="str">
        <x:v>Eval_Size_Recognition (1).xlsm</x:v>
      </x:c>
      <x:c r="AL885" s="9" t="str">
        <x:v>MolmoAct2 Results</x:v>
      </x:c>
      <x:c r="AM885" s="9" t="n">
        <x:v>115</x:v>
      </x:c>
      <x:c r="AN885" s="9" t="n">
        <x:v>115</x:v>
      </x:c>
    </x:row>
    <x:row r="886">
      <x:c r="A886" s="9" t="str">
        <x:v>Success</x:v>
      </x:c>
      <x:c r="B886" s="9" t="str">
        <x:v>Size Recognition</x:v>
      </x:c>
      <x:c r="C886" s="10" t="n">
        <x:v>114</x:v>
      </x:c>
      <x:c r="D886" s="9" t="str">
        <x:v>Pick up the largest item and place it in the bowl.</x:v>
      </x:c>
      <x:c r="E886" s="9" t="str">
        <x:v>Bowl: empty. Table, robot-left→robot-right: P1 red pencil sharpener; P2 airplane toy with propellers. Adjacent centers 12 cm apart; row shifted 4 cm toward robot-left; all objects fully visible and grasp paths clear.</x:v>
      </x:c>
      <x:c r="F886" s="9" t="str">
        <x:v>MOVE airplane toy with propellers to bowl</x:v>
      </x:c>
      <x:c r="G886" s="9"/>
      <x:c r="H886" s="9" t="str">
        <x:v>Cross-task airplane reasoning</x:v>
      </x:c>
      <x:c r="I886" s="9" t="str">
        <x:v>SZ-XA03</x:v>
      </x:c>
      <x:c r="J886" s="9" t="str">
        <x:v>largest</x:v>
      </x:c>
      <x:c r="K886" s="9"/>
      <x:c r="L886" s="9" t="str">
        <x:v>airplane exposure 554</x:v>
      </x:c>
      <x:c r="M886" s="9"/>
      <x:c r="N886" s="9"/>
      <x:c r="O886" s="9" t="str">
        <x:v>Build the listed airplane scene and save a first-frame filename.</x:v>
      </x:c>
      <x:c r="P886" s="9" t="str">
        <x:v>The airplane is larger than the red pencil sharpener. It is known globally but never received size language in training.</x:v>
      </x:c>
      <x:c r="Q886" s="9"/>
      <x:c r="R886" s="10" t="n">
        <x:v>2</x:v>
      </x:c>
      <x:c r="S886" s="10"/>
      <x:c r="T886" s="9"/>
      <x:c r="U886" s="9"/>
      <x:c r="V886" s="9"/>
      <x:c r="W886" s="9"/>
      <x:c r="X886" s="10"/>
      <x:c r="Y886" s="10"/>
      <x:c r="Z886" s="9"/>
      <x:c r="AA886" s="9"/>
      <x:c r="AB886" s="9"/>
      <x:c r="AC886" s="9"/>
      <x:c r="AD886" s="9" t="str">
        <x:v>airplane toy with propellers</x:v>
      </x:c>
      <x:c r="AE886" s="9"/>
      <x:c r="AF886" s="9"/>
      <x:c r="AG886" s="9"/>
      <x:c r="AH886" s="9" t="str">
        <x:v>Right</x:v>
      </x:c>
      <x:c r="AI886" s="11" t="n">
        <x:v>12</x:v>
      </x:c>
      <x:c r="AJ886" s="9" t="str">
        <x:v>Airplane is largest</x:v>
      </x:c>
      <x:c r="AK886" s="9" t="str">
        <x:v>Eval_Size_Recognition (1).xlsm</x:v>
      </x:c>
      <x:c r="AL886" s="9" t="str">
        <x:v>MolmoAct2 Results</x:v>
      </x:c>
      <x:c r="AM886" s="9" t="n">
        <x:v>116</x:v>
      </x:c>
      <x:c r="AN886" s="9" t="n">
        <x:v>116</x:v>
      </x:c>
    </x:row>
    <x:row r="887">
      <x:c r="A887" s="9" t="str">
        <x:v>Success</x:v>
      </x:c>
      <x:c r="B887" s="9" t="str">
        <x:v>Size Recognition</x:v>
      </x:c>
      <x:c r="C887" s="10" t="n">
        <x:v>115</x:v>
      </x:c>
      <x:c r="D887" s="9" t="str">
        <x:v>Move the object that is smallest into the bowl.</x:v>
      </x:c>
      <x:c r="E887" s="9" t="str">
        <x:v>Bowl: empty. Table, robot-left→robot-right: P1 red pencil sharpener; P2 airplane toy with propellers. Adjacent centers 12 cm apart; row shifted 4 cm toward robot-left; all objects fully visible and grasp paths clear.</x:v>
      </x:c>
      <x:c r="F887" s="9" t="str">
        <x:v>MOVE red pencil sharpener to bowl</x:v>
      </x:c>
      <x:c r="G887" s="9"/>
      <x:c r="H887" s="9" t="str">
        <x:v>Cross-task airplane counterfactual</x:v>
      </x:c>
      <x:c r="I887" s="9" t="str">
        <x:v>SZ-XA03</x:v>
      </x:c>
      <x:c r="J887" s="9" t="str">
        <x:v>smallest</x:v>
      </x:c>
      <x:c r="K887" s="9" t="n">
        <x:v>114</x:v>
      </x:c>
      <x:c r="L887" s="9" t="str">
        <x:v>1006; airplane exposure 554</x:v>
      </x:c>
      <x:c r="M887" s="9"/>
      <x:c r="N887" s="9"/>
      <x:c r="O887" s="9" t="str">
        <x:v>Reset the airplane; preserve the exact scene and reverse only the size comparison.</x:v>
      </x:c>
      <x:c r="P887" s="9" t="str">
        <x:v>Reasoning-only counterfactual grounded by trained cell smallest × red pencil sharpener; an always-pick-airplane shortcut must fail.</x:v>
      </x:c>
      <x:c r="Q887" s="9"/>
      <x:c r="R887" s="10" t="n">
        <x:v>2</x:v>
      </x:c>
      <x:c r="S887" s="10"/>
      <x:c r="T887" s="9"/>
      <x:c r="U887" s="9"/>
      <x:c r="V887" s="9"/>
      <x:c r="W887" s="9"/>
      <x:c r="X887" s="10"/>
      <x:c r="Y887" s="10"/>
      <x:c r="Z887" s="9"/>
      <x:c r="AA887" s="9"/>
      <x:c r="AB887" s="9"/>
      <x:c r="AC887" s="9"/>
      <x:c r="AD887" s="9" t="str">
        <x:v>red pencil sharpener</x:v>
      </x:c>
      <x:c r="AE887" s="9"/>
      <x:c r="AF887" s="9"/>
      <x:c r="AG887" s="9"/>
      <x:c r="AH887" s="9" t="str">
        <x:v>Left</x:v>
      </x:c>
      <x:c r="AI887" s="11" t="n">
        <x:v>12</x:v>
      </x:c>
      <x:c r="AJ887" s="9" t="str">
        <x:v>Exact-scene opposite-comparison reasoning control</x:v>
      </x:c>
      <x:c r="AK887" s="9" t="str">
        <x:v>Eval_Size_Recognition (1).xlsm</x:v>
      </x:c>
      <x:c r="AL887" s="9" t="str">
        <x:v>MolmoAct2 Results</x:v>
      </x:c>
      <x:c r="AM887" s="9" t="n">
        <x:v>117</x:v>
      </x:c>
      <x:c r="AN887" s="9" t="n">
        <x:v>117</x:v>
      </x:c>
    </x:row>
    <x:row r="888">
      <x:c r="A888" s="9" t="str">
        <x:v>Success</x:v>
      </x:c>
      <x:c r="B888" s="9" t="str">
        <x:v>Size Recognition</x:v>
      </x:c>
      <x:c r="C888" s="10" t="n">
        <x:v>116</x:v>
      </x:c>
      <x:c r="D888" s="9" t="str">
        <x:v>Put the smallest object in the bowl.</x:v>
      </x:c>
      <x:c r="E888" s="9" t="str">
        <x:v>Bowl: empty. Table, robot-left→robot-right: P1 juggling ball; P2 green block; P3 airplane toy with propellers. Adjacent centers 16 cm apart; row shifted 4 cm toward the robot; all objects fully visible and grasp paths clear.</x:v>
      </x:c>
      <x:c r="F888" s="9" t="str">
        <x:v>MOVE airplane toy with propellers to bowl</x:v>
      </x:c>
      <x:c r="G888" s="9"/>
      <x:c r="H888" s="9" t="str">
        <x:v>Cross-task airplane reasoning</x:v>
      </x:c>
      <x:c r="I888" s="9" t="str">
        <x:v>SZ-XA04</x:v>
      </x:c>
      <x:c r="J888" s="9" t="str">
        <x:v>smallest</x:v>
      </x:c>
      <x:c r="K888" s="9"/>
      <x:c r="L888" s="9" t="str">
        <x:v>airplane exposure 556</x:v>
      </x:c>
      <x:c r="M888" s="9"/>
      <x:c r="N888" s="9"/>
      <x:c r="O888" s="9" t="str">
        <x:v>Build the listed airplane scene and save a first-frame filename.</x:v>
      </x:c>
      <x:c r="P888" s="9" t="str">
        <x:v>The airplane is smaller than every listed table comparator. Green-block scenes also include a trained larger endpoint so the counterfactual does not test largest×green.</x:v>
      </x:c>
      <x:c r="Q888" s="9"/>
      <x:c r="R888" s="10" t="n">
        <x:v>3</x:v>
      </x:c>
      <x:c r="S888" s="10"/>
      <x:c r="T888" s="9"/>
      <x:c r="U888" s="9"/>
      <x:c r="V888" s="9"/>
      <x:c r="W888" s="9"/>
      <x:c r="X888" s="10"/>
      <x:c r="Y888" s="10"/>
      <x:c r="Z888" s="9"/>
      <x:c r="AA888" s="9"/>
      <x:c r="AB888" s="9"/>
      <x:c r="AC888" s="9"/>
      <x:c r="AD888" s="9" t="str">
        <x:v>airplane toy with propellers</x:v>
      </x:c>
      <x:c r="AE888" s="9"/>
      <x:c r="AF888" s="9"/>
      <x:c r="AG888" s="9"/>
      <x:c r="AH888" s="9" t="str">
        <x:v>Right</x:v>
      </x:c>
      <x:c r="AI888" s="11" t="n">
        <x:v>16</x:v>
      </x:c>
      <x:c r="AJ888" s="9" t="str">
        <x:v>Airplane is smallest</x:v>
      </x:c>
      <x:c r="AK888" s="9" t="str">
        <x:v>Eval_Size_Recognition (1).xlsm</x:v>
      </x:c>
      <x:c r="AL888" s="9" t="str">
        <x:v>MolmoAct2 Results</x:v>
      </x:c>
      <x:c r="AM888" s="9" t="n">
        <x:v>118</x:v>
      </x:c>
      <x:c r="AN888" s="9" t="n">
        <x:v>118</x:v>
      </x:c>
    </x:row>
    <x:row r="889">
      <x:c r="A889" s="9" t="str">
        <x:v>Success</x:v>
      </x:c>
      <x:c r="B889" s="9" t="str">
        <x:v>Size Recognition</x:v>
      </x:c>
      <x:c r="C889" s="10" t="n">
        <x:v>117</x:v>
      </x:c>
      <x:c r="D889" s="9" t="str">
        <x:v>Move the object that is largest into the bowl.</x:v>
      </x:c>
      <x:c r="E889" s="9" t="str">
        <x:v>Bowl: empty. Table, robot-left→robot-right: P1 juggling ball; P2 green block; P3 airplane toy with propellers. Adjacent centers 16 cm apart; row shifted 4 cm toward the robot; all objects fully visible and grasp paths clear.</x:v>
      </x:c>
      <x:c r="F889" s="9" t="str">
        <x:v>MOVE juggling ball to bowl</x:v>
      </x:c>
      <x:c r="G889" s="9"/>
      <x:c r="H889" s="9" t="str">
        <x:v>Cross-task airplane counterfactual</x:v>
      </x:c>
      <x:c r="I889" s="9" t="str">
        <x:v>SZ-XA04</x:v>
      </x:c>
      <x:c r="J889" s="9" t="str">
        <x:v>largest</x:v>
      </x:c>
      <x:c r="K889" s="9" t="n">
        <x:v>116</x:v>
      </x:c>
      <x:c r="L889" s="9" t="str">
        <x:v>1126; airplane exposure 556</x:v>
      </x:c>
      <x:c r="M889" s="9"/>
      <x:c r="N889" s="9"/>
      <x:c r="O889" s="9" t="str">
        <x:v>Reset the airplane; preserve the exact scene and reverse only the size comparison.</x:v>
      </x:c>
      <x:c r="P889" s="9" t="str">
        <x:v>Reasoning-only counterfactual grounded by trained cell largest × juggling ball; an always-pick-airplane shortcut must fail.</x:v>
      </x:c>
      <x:c r="Q889" s="9"/>
      <x:c r="R889" s="10" t="n">
        <x:v>3</x:v>
      </x:c>
      <x:c r="S889" s="10"/>
      <x:c r="T889" s="9"/>
      <x:c r="U889" s="9"/>
      <x:c r="V889" s="9"/>
      <x:c r="W889" s="9"/>
      <x:c r="X889" s="10"/>
      <x:c r="Y889" s="10"/>
      <x:c r="Z889" s="9"/>
      <x:c r="AA889" s="9"/>
      <x:c r="AB889" s="9"/>
      <x:c r="AC889" s="9"/>
      <x:c r="AD889" s="9" t="str">
        <x:v>juggling ball</x:v>
      </x:c>
      <x:c r="AE889" s="9"/>
      <x:c r="AF889" s="9"/>
      <x:c r="AG889" s="9"/>
      <x:c r="AH889" s="9" t="str">
        <x:v>Left</x:v>
      </x:c>
      <x:c r="AI889" s="11" t="n">
        <x:v>16</x:v>
      </x:c>
      <x:c r="AJ889" s="9" t="str">
        <x:v>Exact-scene opposite-comparison reasoning control</x:v>
      </x:c>
      <x:c r="AK889" s="9" t="str">
        <x:v>Eval_Size_Recognition (1).xlsm</x:v>
      </x:c>
      <x:c r="AL889" s="9" t="str">
        <x:v>MolmoAct2 Results</x:v>
      </x:c>
      <x:c r="AM889" s="9" t="n">
        <x:v>119</x:v>
      </x:c>
      <x:c r="AN889" s="9" t="n">
        <x:v>119</x:v>
      </x:c>
    </x:row>
    <x:row r="890">
      <x:c r="A890" s="9" t="str">
        <x:v>Success</x:v>
      </x:c>
      <x:c r="B890" s="9" t="str">
        <x:v>Size Recognition</x:v>
      </x:c>
      <x:c r="C890" s="10" t="n">
        <x:v>118</x:v>
      </x:c>
      <x:c r="D890" s="9" t="str">
        <x:v>Put the largest object in the bowl.</x:v>
      </x:c>
      <x:c r="E890" s="9" t="str">
        <x:v>Bowl: empty. Table, robot-left→robot-right: P1 airplane toy with propellers; P2 red pencil sharpener. Adjacent centers 16 cm apart; row shifted 4 cm toward robot-right; all objects fully visible and grasp paths clear.</x:v>
      </x:c>
      <x:c r="F890" s="9" t="str">
        <x:v>MOVE airplane toy with propellers to bowl</x:v>
      </x:c>
      <x:c r="G890" s="9" t="str">
        <x:v>started to pick the airplane toy like the soda can, then recovered</x:v>
      </x:c>
      <x:c r="H890" s="9" t="str">
        <x:v>Cross-task airplane reasoning</x:v>
      </x:c>
      <x:c r="I890" s="9" t="str">
        <x:v>SZ-XA05</x:v>
      </x:c>
      <x:c r="J890" s="9" t="str">
        <x:v>largest</x:v>
      </x:c>
      <x:c r="K890" s="9"/>
      <x:c r="L890" s="9" t="str">
        <x:v>airplane exposure 558</x:v>
      </x:c>
      <x:c r="M890" s="9"/>
      <x:c r="N890" s="9"/>
      <x:c r="O890" s="9" t="str">
        <x:v>Build the listed airplane scene and save a first-frame filename.</x:v>
      </x:c>
      <x:c r="P890" s="9" t="str">
        <x:v>The airplane is larger than the red pencil sharpener. It is known globally but never received size language in training.</x:v>
      </x:c>
      <x:c r="Q890" s="9"/>
      <x:c r="R890" s="10" t="n">
        <x:v>2</x:v>
      </x:c>
      <x:c r="S890" s="10"/>
      <x:c r="T890" s="9"/>
      <x:c r="U890" s="9"/>
      <x:c r="V890" s="9"/>
      <x:c r="W890" s="9"/>
      <x:c r="X890" s="10"/>
      <x:c r="Y890" s="10"/>
      <x:c r="Z890" s="9"/>
      <x:c r="AA890" s="9"/>
      <x:c r="AB890" s="9"/>
      <x:c r="AC890" s="9"/>
      <x:c r="AD890" s="9" t="str">
        <x:v>airplane toy with propellers</x:v>
      </x:c>
      <x:c r="AE890" s="9"/>
      <x:c r="AF890" s="9"/>
      <x:c r="AG890" s="9"/>
      <x:c r="AH890" s="9" t="str">
        <x:v>Left</x:v>
      </x:c>
      <x:c r="AI890" s="11" t="n">
        <x:v>16</x:v>
      </x:c>
      <x:c r="AJ890" s="9" t="str">
        <x:v>Airplane is largest</x:v>
      </x:c>
      <x:c r="AK890" s="9" t="str">
        <x:v>Eval_Size_Recognition (1).xlsm</x:v>
      </x:c>
      <x:c r="AL890" s="9" t="str">
        <x:v>MolmoAct2 Results</x:v>
      </x:c>
      <x:c r="AM890" s="9" t="n">
        <x:v>120</x:v>
      </x:c>
      <x:c r="AN890" s="9" t="n">
        <x:v>120</x:v>
      </x:c>
    </x:row>
    <x:row r="891">
      <x:c r="A891" s="9" t="str">
        <x:v>Success</x:v>
      </x:c>
      <x:c r="B891" s="9" t="str">
        <x:v>Size Recognition</x:v>
      </x:c>
      <x:c r="C891" s="10" t="n">
        <x:v>119</x:v>
      </x:c>
      <x:c r="D891" s="9" t="str">
        <x:v>Pick up the smallest item and place it in the bowl.</x:v>
      </x:c>
      <x:c r="E891" s="9" t="str">
        <x:v>Bowl: empty. Table, robot-left→robot-right: P1 airplane toy with propellers; P2 red pencil sharpener. Adjacent centers 16 cm apart; row shifted 4 cm toward robot-right; all objects fully visible and grasp paths clear.</x:v>
      </x:c>
      <x:c r="F891" s="9" t="str">
        <x:v>MOVE red pencil sharpener to bowl</x:v>
      </x:c>
      <x:c r="G891" s="9"/>
      <x:c r="H891" s="9" t="str">
        <x:v>Cross-task airplane counterfactual</x:v>
      </x:c>
      <x:c r="I891" s="9" t="str">
        <x:v>SZ-XA05</x:v>
      </x:c>
      <x:c r="J891" s="9" t="str">
        <x:v>smallest</x:v>
      </x:c>
      <x:c r="K891" s="9" t="n">
        <x:v>118</x:v>
      </x:c>
      <x:c r="L891" s="9" t="str">
        <x:v>1007; airplane exposure 558</x:v>
      </x:c>
      <x:c r="M891" s="9"/>
      <x:c r="N891" s="9"/>
      <x:c r="O891" s="9" t="str">
        <x:v>Reset the airplane; preserve the exact scene and reverse only the size comparison.</x:v>
      </x:c>
      <x:c r="P891" s="9" t="str">
        <x:v>Reasoning-only counterfactual grounded by trained cell smallest × red pencil sharpener; an always-pick-airplane shortcut must fail.</x:v>
      </x:c>
      <x:c r="Q891" s="9"/>
      <x:c r="R891" s="10" t="n">
        <x:v>2</x:v>
      </x:c>
      <x:c r="S891" s="10"/>
      <x:c r="T891" s="9"/>
      <x:c r="U891" s="9"/>
      <x:c r="V891" s="9"/>
      <x:c r="W891" s="9"/>
      <x:c r="X891" s="10"/>
      <x:c r="Y891" s="10"/>
      <x:c r="Z891" s="9"/>
      <x:c r="AA891" s="9"/>
      <x:c r="AB891" s="9"/>
      <x:c r="AC891" s="9"/>
      <x:c r="AD891" s="9" t="str">
        <x:v>red pencil sharpener</x:v>
      </x:c>
      <x:c r="AE891" s="9"/>
      <x:c r="AF891" s="9"/>
      <x:c r="AG891" s="9"/>
      <x:c r="AH891" s="9" t="str">
        <x:v>Right</x:v>
      </x:c>
      <x:c r="AI891" s="11" t="n">
        <x:v>16</x:v>
      </x:c>
      <x:c r="AJ891" s="9" t="str">
        <x:v>Exact-scene opposite-comparison reasoning control</x:v>
      </x:c>
      <x:c r="AK891" s="9" t="str">
        <x:v>Eval_Size_Recognition (1).xlsm</x:v>
      </x:c>
      <x:c r="AL891" s="9" t="str">
        <x:v>MolmoAct2 Results</x:v>
      </x:c>
      <x:c r="AM891" s="9" t="n">
        <x:v>121</x:v>
      </x:c>
      <x:c r="AN891" s="9" t="n">
        <x:v>121</x:v>
      </x:c>
    </x:row>
    <x:row r="892">
      <x:c r="A892" s="9" t="str">
        <x:v>Success</x:v>
      </x:c>
      <x:c r="B892" s="9" t="str">
        <x:v>Size Recognition</x:v>
      </x:c>
      <x:c r="C892" s="10" t="n">
        <x:v>120</x:v>
      </x:c>
      <x:c r="D892" s="9" t="str">
        <x:v>Move the object that is smallest into the bowl.</x:v>
      </x:c>
      <x:c r="E892" s="9" t="str">
        <x:v>Bowl: empty. Table, robot-left→robot-right: P1 green block; P2 crushed Pepsi can; P3 airplane toy with propellers. Adjacent centers 8 cm apart; row shifted 4 cm away from the robot; all objects fully visible and grasp paths clear.</x:v>
      </x:c>
      <x:c r="F892" s="9" t="str">
        <x:v>MOVE airplane toy with propellers to bowl</x:v>
      </x:c>
      <x:c r="G892" s="9"/>
      <x:c r="H892" s="9" t="str">
        <x:v>Cross-task airplane reasoning</x:v>
      </x:c>
      <x:c r="I892" s="9" t="str">
        <x:v>SZ-XA06</x:v>
      </x:c>
      <x:c r="J892" s="9" t="str">
        <x:v>smallest</x:v>
      </x:c>
      <x:c r="K892" s="9"/>
      <x:c r="L892" s="9" t="str">
        <x:v>airplane exposure 560</x:v>
      </x:c>
      <x:c r="M892" s="9"/>
      <x:c r="N892" s="9"/>
      <x:c r="O892" s="9" t="str">
        <x:v>Build the listed airplane scene and save a first-frame filename.</x:v>
      </x:c>
      <x:c r="P892" s="9" t="str">
        <x:v>The airplane is smaller than every listed table comparator. Green-block scenes also include a trained larger endpoint so the counterfactual does not test largest×green.</x:v>
      </x:c>
      <x:c r="Q892" s="9"/>
      <x:c r="R892" s="10" t="n">
        <x:v>3</x:v>
      </x:c>
      <x:c r="S892" s="10"/>
      <x:c r="T892" s="9"/>
      <x:c r="U892" s="9"/>
      <x:c r="V892" s="9"/>
      <x:c r="W892" s="9"/>
      <x:c r="X892" s="10"/>
      <x:c r="Y892" s="10"/>
      <x:c r="Z892" s="9"/>
      <x:c r="AA892" s="9"/>
      <x:c r="AB892" s="9"/>
      <x:c r="AC892" s="9"/>
      <x:c r="AD892" s="9" t="str">
        <x:v>airplane toy with propellers</x:v>
      </x:c>
      <x:c r="AE892" s="9"/>
      <x:c r="AF892" s="9"/>
      <x:c r="AG892" s="9"/>
      <x:c r="AH892" s="9" t="str">
        <x:v>Right</x:v>
      </x:c>
      <x:c r="AI892" s="11" t="n">
        <x:v>8</x:v>
      </x:c>
      <x:c r="AJ892" s="9" t="str">
        <x:v>Airplane is smallest</x:v>
      </x:c>
      <x:c r="AK892" s="9" t="str">
        <x:v>Eval_Size_Recognition (1).xlsm</x:v>
      </x:c>
      <x:c r="AL892" s="9" t="str">
        <x:v>MolmoAct2 Results</x:v>
      </x:c>
      <x:c r="AM892" s="9" t="n">
        <x:v>122</x:v>
      </x:c>
      <x:c r="AN892" s="9" t="n">
        <x:v>122</x:v>
      </x:c>
    </x:row>
    <x:row r="893">
      <x:c r="A893" s="9" t="str">
        <x:v>Failure</x:v>
      </x:c>
      <x:c r="B893" s="9" t="str">
        <x:v>Size Recognition</x:v>
      </x:c>
      <x:c r="C893" s="10" t="n">
        <x:v>121</x:v>
      </x:c>
      <x:c r="D893" s="9" t="str">
        <x:v>Pick up the largest item and place it in the bowl.</x:v>
      </x:c>
      <x:c r="E893" s="9" t="str">
        <x:v>Bowl: empty. Table, robot-left→robot-right: P1 green block; P2 crushed Pepsi can; P3 airplane toy with propellers. Adjacent centers 8 cm apart; row shifted 4 cm away from the robot; all objects fully visible and grasp paths clear.</x:v>
      </x:c>
      <x:c r="F893" s="9" t="str">
        <x:v>MOVE crushed Pepsi can to bowl</x:v>
      </x:c>
      <x:c r="G893" s="9" t="str">
        <x:v>picked airplane toy</x:v>
      </x:c>
      <x:c r="H893" s="9" t="str">
        <x:v>Cross-task airplane counterfactual</x:v>
      </x:c>
      <x:c r="I893" s="9" t="str">
        <x:v>SZ-XA06</x:v>
      </x:c>
      <x:c r="J893" s="9" t="str">
        <x:v>largest</x:v>
      </x:c>
      <x:c r="K893" s="9" t="n">
        <x:v>120</x:v>
      </x:c>
      <x:c r="L893" s="9" t="str">
        <x:v>1157; airplane exposure 560</x:v>
      </x:c>
      <x:c r="M893" s="9"/>
      <x:c r="N893" s="9"/>
      <x:c r="O893" s="9" t="str">
        <x:v>Reset the airplane; preserve the exact scene and reverse only the size comparison.</x:v>
      </x:c>
      <x:c r="P893" s="9" t="str">
        <x:v>Reasoning-only counterfactual grounded by trained cell largest × crushed Pepsi can; an always-pick-airplane shortcut must fail.</x:v>
      </x:c>
      <x:c r="Q893" s="9"/>
      <x:c r="R893" s="10" t="n">
        <x:v>3</x:v>
      </x:c>
      <x:c r="S893" s="10"/>
      <x:c r="T893" s="9"/>
      <x:c r="U893" s="9"/>
      <x:c r="V893" s="9"/>
      <x:c r="W893" s="9"/>
      <x:c r="X893" s="10"/>
      <x:c r="Y893" s="10"/>
      <x:c r="Z893" s="9"/>
      <x:c r="AA893" s="9"/>
      <x:c r="AB893" s="9"/>
      <x:c r="AC893" s="9"/>
      <x:c r="AD893" s="9" t="str">
        <x:v>crushed Pepsi can</x:v>
      </x:c>
      <x:c r="AE893" s="9"/>
      <x:c r="AF893" s="9"/>
      <x:c r="AG893" s="9"/>
      <x:c r="AH893" s="9" t="str">
        <x:v>Center</x:v>
      </x:c>
      <x:c r="AI893" s="11" t="n">
        <x:v>8</x:v>
      </x:c>
      <x:c r="AJ893" s="9" t="str">
        <x:v>Exact-scene opposite-comparison reasoning control</x:v>
      </x:c>
      <x:c r="AK893" s="9" t="str">
        <x:v>Eval_Size_Recognition (1).xlsm</x:v>
      </x:c>
      <x:c r="AL893" s="9" t="str">
        <x:v>MolmoAct2 Results</x:v>
      </x:c>
      <x:c r="AM893" s="9" t="n">
        <x:v>123</x:v>
      </x:c>
      <x:c r="AN893" s="9" t="n">
        <x:v>123</x:v>
      </x:c>
    </x:row>
    <x:row r="894">
      <x:c r="A894" s="9" t="str">
        <x:v>Failure</x:v>
      </x:c>
      <x:c r="B894" s="9" t="str">
        <x:v>Size Recognition</x:v>
      </x:c>
      <x:c r="C894" s="10" t="n">
        <x:v>122</x:v>
      </x:c>
      <x:c r="D894" s="9" t="str">
        <x:v>Move the object that is largest into the bowl.</x:v>
      </x:c>
      <x:c r="E894" s="9" t="str">
        <x:v>Bowl: empty. Table, robot-left→robot-right: P1 red pencil sharpener; P2 airplane toy with propellers. Adjacent centers 8 cm apart; row shifted 4 cm toward the robot; all objects fully visible and grasp paths clear.</x:v>
      </x:c>
      <x:c r="F894" s="9" t="str">
        <x:v>MOVE airplane toy with propellers to bowl</x:v>
      </x:c>
      <x:c r="G894" s="9" t="str">
        <x:v>initially tried to pick airplane toy like soda can, recorded to pick normally, knocked it a bit, and by the time it finally grabbed it, time ran out. Successful reasoning, but timed out.</x:v>
      </x:c>
      <x:c r="H894" s="9" t="str">
        <x:v>Cross-task airplane reasoning</x:v>
      </x:c>
      <x:c r="I894" s="9" t="str">
        <x:v>SZ-XA07</x:v>
      </x:c>
      <x:c r="J894" s="9" t="str">
        <x:v>largest</x:v>
      </x:c>
      <x:c r="K894" s="9"/>
      <x:c r="L894" s="9" t="str">
        <x:v>airplane exposure 562</x:v>
      </x:c>
      <x:c r="M894" s="9"/>
      <x:c r="N894" s="9"/>
      <x:c r="O894" s="9" t="str">
        <x:v>Build the listed airplane scene and save a first-frame filename.</x:v>
      </x:c>
      <x:c r="P894" s="9" t="str">
        <x:v>The airplane is larger than the red pencil sharpener. It is known globally but never received size language in training.</x:v>
      </x:c>
      <x:c r="Q894" s="9"/>
      <x:c r="R894" s="10" t="n">
        <x:v>2</x:v>
      </x:c>
      <x:c r="S894" s="10"/>
      <x:c r="T894" s="9"/>
      <x:c r="U894" s="9"/>
      <x:c r="V894" s="9"/>
      <x:c r="W894" s="9"/>
      <x:c r="X894" s="10"/>
      <x:c r="Y894" s="10"/>
      <x:c r="Z894" s="9"/>
      <x:c r="AA894" s="9"/>
      <x:c r="AB894" s="9"/>
      <x:c r="AC894" s="9"/>
      <x:c r="AD894" s="9" t="str">
        <x:v>airplane toy with propellers</x:v>
      </x:c>
      <x:c r="AE894" s="9"/>
      <x:c r="AF894" s="9"/>
      <x:c r="AG894" s="9"/>
      <x:c r="AH894" s="9" t="str">
        <x:v>Right</x:v>
      </x:c>
      <x:c r="AI894" s="11" t="n">
        <x:v>8</x:v>
      </x:c>
      <x:c r="AJ894" s="9" t="str">
        <x:v>Airplane is largest</x:v>
      </x:c>
      <x:c r="AK894" s="9" t="str">
        <x:v>Eval_Size_Recognition (1).xlsm</x:v>
      </x:c>
      <x:c r="AL894" s="9" t="str">
        <x:v>MolmoAct2 Results</x:v>
      </x:c>
      <x:c r="AM894" s="9" t="n">
        <x:v>124</x:v>
      </x:c>
      <x:c r="AN894" s="9" t="n">
        <x:v>124</x:v>
      </x:c>
    </x:row>
    <x:row r="895">
      <x:c r="A895" s="9" t="str">
        <x:v>Failure</x:v>
      </x:c>
      <x:c r="B895" s="9" t="str">
        <x:v>Size Recognition</x:v>
      </x:c>
      <x:c r="C895" s="10" t="n">
        <x:v>123</x:v>
      </x:c>
      <x:c r="D895" s="9" t="str">
        <x:v>Put the smallest object in the bowl.</x:v>
      </x:c>
      <x:c r="E895" s="9" t="str">
        <x:v>Bowl: empty. Table, robot-left→robot-right: P1 red pencil sharpener; P2 airplane toy with propellers. Adjacent centers 8 cm apart; row shifted 4 cm toward the robot; all objects fully visible and grasp paths clear.</x:v>
      </x:c>
      <x:c r="F895" s="9" t="str">
        <x:v>MOVE red pencil sharpener to bowl</x:v>
      </x:c>
      <x:c r="G895" s="9" t="str">
        <x:v>picked airplane toy, but grabbed it normally</x:v>
      </x:c>
      <x:c r="H895" s="9" t="str">
        <x:v>Cross-task airplane counterfactual</x:v>
      </x:c>
      <x:c r="I895" s="9" t="str">
        <x:v>SZ-XA07</x:v>
      </x:c>
      <x:c r="J895" s="9" t="str">
        <x:v>smallest</x:v>
      </x:c>
      <x:c r="K895" s="9" t="n">
        <x:v>122</x:v>
      </x:c>
      <x:c r="L895" s="9" t="str">
        <x:v>1008; airplane exposure 562</x:v>
      </x:c>
      <x:c r="M895" s="9"/>
      <x:c r="N895" s="9"/>
      <x:c r="O895" s="9" t="str">
        <x:v>Reset the airplane; preserve the exact scene and reverse only the size comparison.</x:v>
      </x:c>
      <x:c r="P895" s="9" t="str">
        <x:v>Reasoning-only counterfactual grounded by trained cell smallest × red pencil sharpener; an always-pick-airplane shortcut must fail.</x:v>
      </x:c>
      <x:c r="Q895" s="9"/>
      <x:c r="R895" s="10" t="n">
        <x:v>2</x:v>
      </x:c>
      <x:c r="S895" s="10"/>
      <x:c r="T895" s="9"/>
      <x:c r="U895" s="9"/>
      <x:c r="V895" s="9"/>
      <x:c r="W895" s="9"/>
      <x:c r="X895" s="10"/>
      <x:c r="Y895" s="10"/>
      <x:c r="Z895" s="9"/>
      <x:c r="AA895" s="9"/>
      <x:c r="AB895" s="9"/>
      <x:c r="AC895" s="9"/>
      <x:c r="AD895" s="9" t="str">
        <x:v>red pencil sharpener</x:v>
      </x:c>
      <x:c r="AE895" s="9"/>
      <x:c r="AF895" s="9"/>
      <x:c r="AG895" s="9"/>
      <x:c r="AH895" s="9" t="str">
        <x:v>Left</x:v>
      </x:c>
      <x:c r="AI895" s="11" t="n">
        <x:v>8</x:v>
      </x:c>
      <x:c r="AJ895" s="9" t="str">
        <x:v>Exact-scene opposite-comparison reasoning control</x:v>
      </x:c>
      <x:c r="AK895" s="9" t="str">
        <x:v>Eval_Size_Recognition (1).xlsm</x:v>
      </x:c>
      <x:c r="AL895" s="9" t="str">
        <x:v>MolmoAct2 Results</x:v>
      </x:c>
      <x:c r="AM895" s="9" t="n">
        <x:v>125</x:v>
      </x:c>
      <x:c r="AN895" s="9" t="n">
        <x:v>125</x:v>
      </x:c>
    </x:row>
    <x:row r="896">
      <x:c r="A896" s="9" t="str">
        <x:v>Success</x:v>
      </x:c>
      <x:c r="B896" s="9" t="str">
        <x:v>Size Recognition</x:v>
      </x:c>
      <x:c r="C896" s="10" t="n">
        <x:v>124</x:v>
      </x:c>
      <x:c r="D896" s="9" t="str">
        <x:v>Pick up the smallest item and place it in the bowl.</x:v>
      </x:c>
      <x:c r="E896" s="9" t="str">
        <x:v>Bowl: empty. Table, robot-left→robot-right: P1 airplane toy with propellers; P2 green block; P3 juggling ball. Adjacent centers 12 cm apart; row centered on the workspace; all objects fully visible and grasp paths clear.</x:v>
      </x:c>
      <x:c r="F896" s="9" t="str">
        <x:v>MOVE airplane toy with propellers to bowl</x:v>
      </x:c>
      <x:c r="G896" s="9"/>
      <x:c r="H896" s="9" t="str">
        <x:v>Cross-task airplane reasoning</x:v>
      </x:c>
      <x:c r="I896" s="9" t="str">
        <x:v>SZ-XA08</x:v>
      </x:c>
      <x:c r="J896" s="9" t="str">
        <x:v>smallest</x:v>
      </x:c>
      <x:c r="K896" s="9"/>
      <x:c r="L896" s="9" t="str">
        <x:v>airplane exposure 564</x:v>
      </x:c>
      <x:c r="M896" s="9"/>
      <x:c r="N896" s="9"/>
      <x:c r="O896" s="9" t="str">
        <x:v>Build the listed airplane scene and save a first-frame filename.</x:v>
      </x:c>
      <x:c r="P896" s="9" t="str">
        <x:v>The airplane is smaller than every listed table comparator. Green-block scenes also include a trained larger endpoint so the counterfactual does not test largest×green.</x:v>
      </x:c>
      <x:c r="Q896" s="9"/>
      <x:c r="R896" s="10" t="n">
        <x:v>3</x:v>
      </x:c>
      <x:c r="S896" s="10"/>
      <x:c r="T896" s="9"/>
      <x:c r="U896" s="9"/>
      <x:c r="V896" s="9"/>
      <x:c r="W896" s="9"/>
      <x:c r="X896" s="10"/>
      <x:c r="Y896" s="10"/>
      <x:c r="Z896" s="9"/>
      <x:c r="AA896" s="9"/>
      <x:c r="AB896" s="9"/>
      <x:c r="AC896" s="9"/>
      <x:c r="AD896" s="9" t="str">
        <x:v>airplane toy with propellers</x:v>
      </x:c>
      <x:c r="AE896" s="9"/>
      <x:c r="AF896" s="9"/>
      <x:c r="AG896" s="9"/>
      <x:c r="AH896" s="9" t="str">
        <x:v>Left</x:v>
      </x:c>
      <x:c r="AI896" s="11" t="n">
        <x:v>12</x:v>
      </x:c>
      <x:c r="AJ896" s="9" t="str">
        <x:v>Airplane is smallest</x:v>
      </x:c>
      <x:c r="AK896" s="9" t="str">
        <x:v>Eval_Size_Recognition (1).xlsm</x:v>
      </x:c>
      <x:c r="AL896" s="9" t="str">
        <x:v>MolmoAct2 Results</x:v>
      </x:c>
      <x:c r="AM896" s="9" t="n">
        <x:v>126</x:v>
      </x:c>
      <x:c r="AN896" s="9" t="n">
        <x:v>126</x:v>
      </x:c>
    </x:row>
    <x:row r="897">
      <x:c r="A897" s="9" t="str">
        <x:v>Success</x:v>
      </x:c>
      <x:c r="B897" s="9" t="str">
        <x:v>Size Recognition</x:v>
      </x:c>
      <x:c r="C897" s="10" t="n">
        <x:v>125</x:v>
      </x:c>
      <x:c r="D897" s="9" t="str">
        <x:v>Put the largest object in the bowl.</x:v>
      </x:c>
      <x:c r="E897" s="9" t="str">
        <x:v>Bowl: empty. Table, robot-left→robot-right: P1 airplane toy with propellers; P2 green block; P3 juggling ball. Adjacent centers 12 cm apart; row centered on the workspace; all objects fully visible and grasp paths clear.</x:v>
      </x:c>
      <x:c r="F897" s="9" t="str">
        <x:v>MOVE juggling ball to bowl</x:v>
      </x:c>
      <x:c r="G897" s="9"/>
      <x:c r="H897" s="9" t="str">
        <x:v>Cross-task airplane counterfactual</x:v>
      </x:c>
      <x:c r="I897" s="9" t="str">
        <x:v>SZ-XA08</x:v>
      </x:c>
      <x:c r="J897" s="9" t="str">
        <x:v>largest</x:v>
      </x:c>
      <x:c r="K897" s="9" t="n">
        <x:v>124</x:v>
      </x:c>
      <x:c r="L897" s="9" t="str">
        <x:v>1128; airplane exposure 564</x:v>
      </x:c>
      <x:c r="M897" s="9"/>
      <x:c r="N897" s="9"/>
      <x:c r="O897" s="9" t="str">
        <x:v>Reset the airplane; preserve the exact scene and reverse only the size comparison.</x:v>
      </x:c>
      <x:c r="P897" s="9" t="str">
        <x:v>Reasoning-only counterfactual grounded by trained cell largest × juggling ball; an always-pick-airplane shortcut must fail.</x:v>
      </x:c>
      <x:c r="Q897" s="9"/>
      <x:c r="R897" s="10" t="n">
        <x:v>3</x:v>
      </x:c>
      <x:c r="S897" s="10"/>
      <x:c r="T897" s="9"/>
      <x:c r="U897" s="9"/>
      <x:c r="V897" s="9"/>
      <x:c r="W897" s="9"/>
      <x:c r="X897" s="10"/>
      <x:c r="Y897" s="10"/>
      <x:c r="Z897" s="9"/>
      <x:c r="AA897" s="9"/>
      <x:c r="AB897" s="9"/>
      <x:c r="AC897" s="9"/>
      <x:c r="AD897" s="9" t="str">
        <x:v>juggling ball</x:v>
      </x:c>
      <x:c r="AE897" s="9"/>
      <x:c r="AF897" s="9"/>
      <x:c r="AG897" s="9"/>
      <x:c r="AH897" s="9" t="str">
        <x:v>Right</x:v>
      </x:c>
      <x:c r="AI897" s="11" t="n">
        <x:v>12</x:v>
      </x:c>
      <x:c r="AJ897" s="9" t="str">
        <x:v>Exact-scene opposite-comparison reasoning control</x:v>
      </x:c>
      <x:c r="AK897" s="9" t="str">
        <x:v>Eval_Size_Recognition (1).xlsm</x:v>
      </x:c>
      <x:c r="AL897" s="9" t="str">
        <x:v>MolmoAct2 Results</x:v>
      </x:c>
      <x:c r="AM897" s="9" t="n">
        <x:v>127</x:v>
      </x:c>
      <x:c r="AN897" s="9" t="n">
        <x:v>127</x:v>
      </x:c>
    </x:row>
    <x:row r="898">
      <x:c r="A898" s="9" t="str">
        <x:v>Success</x:v>
      </x:c>
      <x:c r="B898" s="9" t="str">
        <x:v>Size Recognition</x:v>
      </x:c>
      <x:c r="C898" s="10" t="n">
        <x:v>126</x:v>
      </x:c>
      <x:c r="D898" s="9" t="str">
        <x:v>Pick up the largest item and place it in the bowl.</x:v>
      </x:c>
      <x:c r="E898" s="9" t="str">
        <x:v>Bowl: empty. Table, robot-left→robot-right: P1 airplane toy with propellers; P2 red pencil sharpener. Adjacent centers 12 cm apart; row shifted 4 cm away from the robot; all objects fully visible and grasp paths clear.</x:v>
      </x:c>
      <x:c r="F898" s="9" t="str">
        <x:v>MOVE airplane toy with propellers to bowl</x:v>
      </x:c>
      <x:c r="G898" s="9"/>
      <x:c r="H898" s="9" t="str">
        <x:v>Cross-task airplane reasoning</x:v>
      </x:c>
      <x:c r="I898" s="9" t="str">
        <x:v>SZ-XA09</x:v>
      </x:c>
      <x:c r="J898" s="9" t="str">
        <x:v>largest</x:v>
      </x:c>
      <x:c r="K898" s="9"/>
      <x:c r="L898" s="9" t="str">
        <x:v>airplane exposure 566</x:v>
      </x:c>
      <x:c r="M898" s="9"/>
      <x:c r="N898" s="9"/>
      <x:c r="O898" s="9" t="str">
        <x:v>Build the listed airplane scene and save a first-frame filename.</x:v>
      </x:c>
      <x:c r="P898" s="9" t="str">
        <x:v>The airplane is larger than the red pencil sharpener. It is known globally but never received size language in training.</x:v>
      </x:c>
      <x:c r="Q898" s="9"/>
      <x:c r="R898" s="10" t="n">
        <x:v>2</x:v>
      </x:c>
      <x:c r="S898" s="10"/>
      <x:c r="T898" s="9"/>
      <x:c r="U898" s="9"/>
      <x:c r="V898" s="9"/>
      <x:c r="W898" s="9"/>
      <x:c r="X898" s="10"/>
      <x:c r="Y898" s="10"/>
      <x:c r="Z898" s="9"/>
      <x:c r="AA898" s="9"/>
      <x:c r="AB898" s="9"/>
      <x:c r="AC898" s="9"/>
      <x:c r="AD898" s="9" t="str">
        <x:v>airplane toy with propellers</x:v>
      </x:c>
      <x:c r="AE898" s="9"/>
      <x:c r="AF898" s="9"/>
      <x:c r="AG898" s="9"/>
      <x:c r="AH898" s="9" t="str">
        <x:v>Left</x:v>
      </x:c>
      <x:c r="AI898" s="11" t="n">
        <x:v>12</x:v>
      </x:c>
      <x:c r="AJ898" s="9" t="str">
        <x:v>Airplane is largest</x:v>
      </x:c>
      <x:c r="AK898" s="9" t="str">
        <x:v>Eval_Size_Recognition (1).xlsm</x:v>
      </x:c>
      <x:c r="AL898" s="9" t="str">
        <x:v>MolmoAct2 Results</x:v>
      </x:c>
      <x:c r="AM898" s="9" t="n">
        <x:v>128</x:v>
      </x:c>
      <x:c r="AN898" s="9" t="n">
        <x:v>128</x:v>
      </x:c>
    </x:row>
    <x:row r="899">
      <x:c r="A899" s="9" t="str">
        <x:v>Failure</x:v>
      </x:c>
      <x:c r="B899" s="9" t="str">
        <x:v>Size Recognition</x:v>
      </x:c>
      <x:c r="C899" s="10" t="n">
        <x:v>127</x:v>
      </x:c>
      <x:c r="D899" s="9" t="str">
        <x:v>Move the object that is smallest into the bowl.</x:v>
      </x:c>
      <x:c r="E899" s="9" t="str">
        <x:v>Bowl: empty. Table, robot-left→robot-right: P1 airplane toy with propellers; P2 red pencil sharpener. Adjacent centers 12 cm apart; row shifted 4 cm away from the robot; all objects fully visible and grasp paths clear.</x:v>
      </x:c>
      <x:c r="F899" s="9" t="str">
        <x:v>MOVE red pencil sharpener to bowl</x:v>
      </x:c>
      <x:c r="G899" s="9" t="str">
        <x:v>picked airplane toy again</x:v>
      </x:c>
      <x:c r="H899" s="9" t="str">
        <x:v>Cross-task airplane counterfactual</x:v>
      </x:c>
      <x:c r="I899" s="9" t="str">
        <x:v>SZ-XA09</x:v>
      </x:c>
      <x:c r="J899" s="9" t="str">
        <x:v>smallest</x:v>
      </x:c>
      <x:c r="K899" s="9" t="n">
        <x:v>126</x:v>
      </x:c>
      <x:c r="L899" s="9" t="str">
        <x:v>1009; airplane exposure 566</x:v>
      </x:c>
      <x:c r="M899" s="9"/>
      <x:c r="N899" s="9"/>
      <x:c r="O899" s="9" t="str">
        <x:v>Reset the airplane; preserve the exact scene and reverse only the size comparison.</x:v>
      </x:c>
      <x:c r="P899" s="9" t="str">
        <x:v>Reasoning-only counterfactual grounded by trained cell smallest × red pencil sharpener; an always-pick-airplane shortcut must fail.</x:v>
      </x:c>
      <x:c r="Q899" s="9"/>
      <x:c r="R899" s="10" t="n">
        <x:v>2</x:v>
      </x:c>
      <x:c r="S899" s="10"/>
      <x:c r="T899" s="9"/>
      <x:c r="U899" s="9"/>
      <x:c r="V899" s="9"/>
      <x:c r="W899" s="9"/>
      <x:c r="X899" s="10"/>
      <x:c r="Y899" s="10"/>
      <x:c r="Z899" s="9"/>
      <x:c r="AA899" s="9"/>
      <x:c r="AB899" s="9"/>
      <x:c r="AC899" s="9"/>
      <x:c r="AD899" s="9" t="str">
        <x:v>red pencil sharpener</x:v>
      </x:c>
      <x:c r="AE899" s="9"/>
      <x:c r="AF899" s="9"/>
      <x:c r="AG899" s="9"/>
      <x:c r="AH899" s="9" t="str">
        <x:v>Right</x:v>
      </x:c>
      <x:c r="AI899" s="11" t="n">
        <x:v>12</x:v>
      </x:c>
      <x:c r="AJ899" s="9" t="str">
        <x:v>Exact-scene opposite-comparison reasoning control</x:v>
      </x:c>
      <x:c r="AK899" s="9" t="str">
        <x:v>Eval_Size_Recognition (1).xlsm</x:v>
      </x:c>
      <x:c r="AL899" s="9" t="str">
        <x:v>MolmoAct2 Results</x:v>
      </x:c>
      <x:c r="AM899" s="9" t="n">
        <x:v>129</x:v>
      </x:c>
      <x:c r="AN899" s="9" t="n">
        <x:v>129</x:v>
      </x:c>
    </x:row>
    <x:row r="900">
      <x:c r="A900" s="9" t="str">
        <x:v>Success</x:v>
      </x:c>
      <x:c r="B900" s="9" t="str">
        <x:v>Size Recognition</x:v>
      </x:c>
      <x:c r="C900" s="10" t="n">
        <x:v>128</x:v>
      </x:c>
      <x:c r="D900" s="9" t="str">
        <x:v>Put the smallest object in the bowl.</x:v>
      </x:c>
      <x:c r="E900" s="9" t="str">
        <x:v>Bowl: empty. Table, robot-left→robot-right: P1 crushed Pepsi can; P2 juggling ball; P3 airplane toy with propellers. Adjacent centers 16 cm apart; row shifted 4 cm toward robot-left; all objects fully visible and grasp paths clear.</x:v>
      </x:c>
      <x:c r="F900" s="9" t="str">
        <x:v>MOVE airplane toy with propellers to bowl</x:v>
      </x:c>
      <x:c r="G900" s="9"/>
      <x:c r="H900" s="9" t="str">
        <x:v>Cross-task airplane reasoning</x:v>
      </x:c>
      <x:c r="I900" s="9" t="str">
        <x:v>SZ-XA10</x:v>
      </x:c>
      <x:c r="J900" s="9" t="str">
        <x:v>smallest</x:v>
      </x:c>
      <x:c r="K900" s="9"/>
      <x:c r="L900" s="9" t="str">
        <x:v>airplane exposure 568</x:v>
      </x:c>
      <x:c r="M900" s="9"/>
      <x:c r="N900" s="9"/>
      <x:c r="O900" s="9" t="str">
        <x:v>Build the listed airplane scene and save a first-frame filename.</x:v>
      </x:c>
      <x:c r="P900" s="9" t="str">
        <x:v>The airplane is smaller than every listed table comparator. Green-block scenes also include a trained larger endpoint so the counterfactual does not test largest×green.</x:v>
      </x:c>
      <x:c r="Q900" s="9"/>
      <x:c r="R900" s="10" t="n">
        <x:v>3</x:v>
      </x:c>
      <x:c r="S900" s="10"/>
      <x:c r="T900" s="9"/>
      <x:c r="U900" s="9"/>
      <x:c r="V900" s="9"/>
      <x:c r="W900" s="9"/>
      <x:c r="X900" s="10"/>
      <x:c r="Y900" s="10"/>
      <x:c r="Z900" s="9"/>
      <x:c r="AA900" s="9"/>
      <x:c r="AB900" s="9"/>
      <x:c r="AC900" s="9"/>
      <x:c r="AD900" s="9" t="str">
        <x:v>airplane toy with propellers</x:v>
      </x:c>
      <x:c r="AE900" s="9"/>
      <x:c r="AF900" s="9"/>
      <x:c r="AG900" s="9"/>
      <x:c r="AH900" s="9" t="str">
        <x:v>Right</x:v>
      </x:c>
      <x:c r="AI900" s="11" t="n">
        <x:v>16</x:v>
      </x:c>
      <x:c r="AJ900" s="9" t="str">
        <x:v>Airplane is smallest</x:v>
      </x:c>
      <x:c r="AK900" s="9" t="str">
        <x:v>Eval_Size_Recognition (1).xlsm</x:v>
      </x:c>
      <x:c r="AL900" s="9" t="str">
        <x:v>MolmoAct2 Results</x:v>
      </x:c>
      <x:c r="AM900" s="9" t="n">
        <x:v>130</x:v>
      </x:c>
      <x:c r="AN900" s="9" t="n">
        <x:v>130</x:v>
      </x:c>
    </x:row>
    <x:row r="901">
      <x:c r="A901" s="9" t="str">
        <x:v>Success</x:v>
      </x:c>
      <x:c r="B901" s="9" t="str">
        <x:v>Size Recognition</x:v>
      </x:c>
      <x:c r="C901" s="10" t="n">
        <x:v>129</x:v>
      </x:c>
      <x:c r="D901" s="9" t="str">
        <x:v>Move the object that is largest into the bowl.</x:v>
      </x:c>
      <x:c r="E901" s="9" t="str">
        <x:v>Bowl: empty. Table, robot-left→robot-right: P1 crushed Pepsi can; P2 juggling ball; P3 airplane toy with propellers. Adjacent centers 16 cm apart; row shifted 4 cm toward robot-left; all objects fully visible and grasp paths clear.</x:v>
      </x:c>
      <x:c r="F901" s="9" t="str">
        <x:v>MOVE crushed Pepsi can to bowl</x:v>
      </x:c>
      <x:c r="G901" s="9"/>
      <x:c r="H901" s="9" t="str">
        <x:v>Cross-task airplane counterfactual</x:v>
      </x:c>
      <x:c r="I901" s="9" t="str">
        <x:v>SZ-XA10</x:v>
      </x:c>
      <x:c r="J901" s="9" t="str">
        <x:v>largest</x:v>
      </x:c>
      <x:c r="K901" s="9" t="n">
        <x:v>128</x:v>
      </x:c>
      <x:c r="L901" s="9" t="str">
        <x:v>1159; airplane exposure 568</x:v>
      </x:c>
      <x:c r="M901" s="9"/>
      <x:c r="N901" s="9"/>
      <x:c r="O901" s="9" t="str">
        <x:v>Reset the airplane; preserve the exact scene and reverse only the size comparison.</x:v>
      </x:c>
      <x:c r="P901" s="9" t="str">
        <x:v>Reasoning-only counterfactual grounded by trained cell largest × crushed Pepsi can; an always-pick-airplane shortcut must fail.</x:v>
      </x:c>
      <x:c r="Q901" s="9"/>
      <x:c r="R901" s="10" t="n">
        <x:v>3</x:v>
      </x:c>
      <x:c r="S901" s="10"/>
      <x:c r="T901" s="9"/>
      <x:c r="U901" s="9"/>
      <x:c r="V901" s="9"/>
      <x:c r="W901" s="9"/>
      <x:c r="X901" s="10"/>
      <x:c r="Y901" s="10"/>
      <x:c r="Z901" s="9"/>
      <x:c r="AA901" s="9"/>
      <x:c r="AB901" s="9"/>
      <x:c r="AC901" s="9"/>
      <x:c r="AD901" s="9" t="str">
        <x:v>crushed Pepsi can</x:v>
      </x:c>
      <x:c r="AE901" s="9"/>
      <x:c r="AF901" s="9"/>
      <x:c r="AG901" s="9"/>
      <x:c r="AH901" s="9" t="str">
        <x:v>Left</x:v>
      </x:c>
      <x:c r="AI901" s="11" t="n">
        <x:v>16</x:v>
      </x:c>
      <x:c r="AJ901" s="9" t="str">
        <x:v>Exact-scene opposite-comparison reasoning control</x:v>
      </x:c>
      <x:c r="AK901" s="9" t="str">
        <x:v>Eval_Size_Recognition (1).xlsm</x:v>
      </x:c>
      <x:c r="AL901" s="9" t="str">
        <x:v>MolmoAct2 Results</x:v>
      </x:c>
      <x:c r="AM901" s="9" t="n">
        <x:v>131</x:v>
      </x:c>
      <x:c r="AN901" s="9" t="n">
        <x:v>131</x:v>
      </x:c>
    </x:row>
  </x:sheetData>
  <x:conditionalFormatting sqref="A2:A901">
    <x:cfRule type="containsText" dxfId="6" priority="1" operator="containsText" text="Success"/>
    <x:cfRule type="containsText" dxfId="7" priority="2" operator="containsText" text="Failure"/>
  </x:conditionalFormatting>
  <x:dataValidations count="1">
    <x:dataValidation type="list" sqref="A2:A901">
      <x:formula1>"Success,Failure"</x:formula1>
    </x:dataValidation>
  </x:dataValidations>
  <x:pageMargins left="0.7" right="0.7" top="0.75" bottom="0.75" header="0.3" footer="0.3"/>
  <x:tableParts count="1">
    <x:tablePart xmlns:r="http://schemas.openxmlformats.org/officeDocument/2006/relationships" r:id="R5f3f72b31f76451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27" hidden="0" customWidth="1"/>
    <x:col min="3" max="3" width="9" hidden="0" customWidth="1"/>
    <x:col min="4" max="4" width="44" hidden="0" customWidth="1"/>
    <x:col min="5" max="5" width="54" hidden="0" customWidth="1"/>
    <x:col min="6" max="6" width="34" hidden="0" customWidth="1"/>
    <x:col min="7" max="7" width="34" hidden="0" customWidth="1"/>
    <x:col min="8" max="8" width="38" hidden="0" customWidth="1"/>
    <x:col min="9" max="9" width="20" hidden="0" customWidth="1"/>
    <x:col min="10" max="10" width="34" hidden="0" customWidth="1"/>
    <x:col min="11" max="11" width="16" hidden="0" customWidth="1"/>
    <x:col min="12" max="12" width="20" hidden="0" customWidth="1"/>
    <x:col min="13" max="13" width="42" hidden="0" customWidth="1"/>
    <x:col min="14" max="14" width="16" hidden="0" customWidth="1"/>
    <x:col min="15" max="15" width="38" hidden="0" customWidth="1"/>
    <x:col min="16" max="16" width="44" hidden="0" customWidth="1"/>
    <x:col min="17" max="17" width="24" hidden="0" customWidth="1"/>
    <x:col min="18" max="18" width="13" hidden="0" customWidth="1"/>
    <x:col min="19" max="19" width="15" hidden="0" customWidth="1"/>
    <x:col min="20" max="20" width="14" hidden="0" customWidth="1"/>
    <x:col min="21" max="21" width="14" hidden="0" customWidth="1"/>
    <x:col min="22" max="22" width="18" hidden="0" customWidth="1"/>
    <x:col min="23" max="23" width="20" hidden="0" customWidth="1"/>
    <x:col min="24" max="24" width="15" hidden="0" customWidth="1"/>
    <x:col min="25" max="25" width="12" hidden="0" customWidth="1"/>
    <x:col min="26" max="26" width="18" hidden="0" customWidth="1"/>
    <x:col min="27" max="27" width="14" hidden="0" customWidth="1"/>
    <x:col min="28" max="28" width="18" hidden="0" customWidth="1"/>
    <x:col min="29" max="29" width="16" hidden="0" customWidth="1"/>
    <x:col min="30" max="30" width="20" hidden="0" customWidth="1"/>
    <x:col min="31" max="31" width="20" hidden="0" customWidth="1"/>
    <x:col min="32" max="32" width="18" hidden="0" customWidth="1"/>
    <x:col min="33" max="33" width="20" hidden="0" customWidth="1"/>
    <x:col min="34" max="34" width="14" hidden="0" customWidth="1"/>
    <x:col min="35" max="35" width="15" hidden="0" customWidth="1"/>
    <x:col min="36" max="36" width="28" hidden="0" customWidth="1"/>
    <x:col min="37" max="37" width="32" hidden="0" customWidth="1"/>
    <x:col min="38" max="38" width="28" hidden="0" customWidth="1"/>
    <x:col min="39" max="39" width="16" hidden="0" customWidth="1"/>
    <x:col min="40" max="40" width="15" hidden="0" customWidth="1"/>
  </x:cols>
  <x:sheetData>
    <x:row r="1" ht="36" customHeight="1">
      <x:c r="A1" s="6" t="str">
        <x:v>Status</x:v>
      </x:c>
      <x:c r="B1" s="6" t="str">
        <x:v>Task</x:v>
      </x:c>
      <x:c r="C1" s="6" t="str">
        <x:v>Episode</x:v>
      </x:c>
      <x:c r="D1" s="6" t="str">
        <x:v>Prompt</x:v>
      </x:c>
      <x:c r="E1" s="6" t="str">
        <x:v>Scene Setup</x:v>
      </x:c>
      <x:c r="F1" s="6" t="str">
        <x:v>Expected Target / Action</x:v>
      </x:c>
      <x:c r="G1" s="6" t="str">
        <x:v>Observations</x:v>
      </x:c>
      <x:c r="H1" s="6" t="str">
        <x:v>Condition</x:v>
      </x:c>
      <x:c r="I1" s="6" t="str">
        <x:v>Scene Family</x:v>
      </x:c>
      <x:c r="J1" s="6" t="str">
        <x:v>Comparison / Subtype</x:v>
      </x:c>
      <x:c r="K1" s="6" t="str">
        <x:v>Reference Episode</x:v>
      </x:c>
      <x:c r="L1" s="6" t="str">
        <x:v>Original Training Episode(s)</x:v>
      </x:c>
      <x:c r="M1" s="6" t="str">
        <x:v>Manifest Alignment</x:v>
      </x:c>
      <x:c r="N1" s="6" t="str">
        <x:v>Collection Block</x:v>
      </x:c>
      <x:c r="O1" s="6" t="str">
        <x:v>Setup Change from Previous</x:v>
      </x:c>
      <x:c r="P1" s="6" t="str">
        <x:v>Design Note</x:v>
      </x:c>
      <x:c r="Q1" s="6" t="str">
        <x:v>Reference Media Filename</x:v>
      </x:c>
      <x:c r="R1" s="6" t="str">
        <x:v>Object Count</x:v>
      </x:c>
      <x:c r="S1" s="6" t="str">
        <x:v>Valid Candidate Count</x:v>
      </x:c>
      <x:c r="T1" s="6" t="str">
        <x:v>Bowl Start</x:v>
      </x:c>
      <x:c r="U1" s="6" t="str">
        <x:v>Queried State</x:v>
      </x:c>
      <x:c r="V1" s="6" t="str">
        <x:v>Queried Category</x:v>
      </x:c>
      <x:c r="W1" s="6" t="str">
        <x:v>Contrast Pair</x:v>
      </x:c>
      <x:c r="X1" s="6" t="str">
        <x:v>Initial Bowl Count</x:v>
      </x:c>
      <x:c r="Y1" s="6" t="str">
        <x:v>Goal Count</x:v>
      </x:c>
      <x:c r="Z1" s="6" t="str">
        <x:v>Action Direction</x:v>
      </x:c>
      <x:c r="AA1" s="6" t="str">
        <x:v>Target Position</x:v>
      </x:c>
      <x:c r="AB1" s="6" t="str">
        <x:v>Query Concept</x:v>
      </x:c>
      <x:c r="AC1" s="6" t="str">
        <x:v>Relation</x:v>
      </x:c>
      <x:c r="AD1" s="6" t="str">
        <x:v>Target Object</x:v>
      </x:c>
      <x:c r="AE1" s="6" t="str">
        <x:v>Reference Object</x:v>
      </x:c>
      <x:c r="AF1" s="6" t="str">
        <x:v>Juggling Ball Role</x:v>
      </x:c>
      <x:c r="AG1" s="6" t="str">
        <x:v>Candidate Category</x:v>
      </x:c>
      <x:c r="AH1" s="6" t="str">
        <x:v>Target Side</x:v>
      </x:c>
      <x:c r="AI1" s="6" t="str">
        <x:v>Separation (cm)</x:v>
      </x:c>
      <x:c r="AJ1" s="6" t="str">
        <x:v>Tested Cell / Role</x:v>
      </x:c>
      <x:c r="AK1" s="6" t="str">
        <x:v>Source Workbook</x:v>
      </x:c>
      <x:c r="AL1" s="6" t="str">
        <x:v>Source Result Sheet</x:v>
      </x:c>
      <x:c r="AM1" s="6" t="str">
        <x:v>Source Result Row</x:v>
      </x:c>
      <x:c r="AN1" s="6" t="str">
        <x:v>Source Plan Row</x:v>
      </x:c>
    </x:row>
    <x:row r="2">
      <x:c r="A2" s="9" t="str">
        <x:v>Success</x:v>
      </x:c>
      <x:c r="B2" s="9" t="str">
        <x:v>State Recognition</x:v>
      </x:c>
      <x:c r="C2" s="10" t="n">
        <x:v>0</x:v>
      </x:c>
      <x:c r="D2" s="9" t="str">
        <x:v>Put the open white cup in the bowl.</x:v>
      </x:c>
      <x:c r="E2" s="9" t="str">
        <x:v>white cup A (O, RU); white cup B (C, RU); glass spice container A (O, RU); yellow-white striped cup B (O, RU)</x:v>
      </x:c>
      <x:c r="F2" s="9" t="str">
        <x:v>white cup A</x:v>
      </x:c>
      <x:c r="G2" s="9"/>
      <x:c r="H2" s="9" t="str">
        <x:v>In-distribution concept baseline</x:v>
      </x:c>
      <x:c r="I2" s="9" t="str">
        <x:v>SR-ID01</x:v>
      </x:c>
      <x:c r="J2" s="9" t="str">
        <x:v>Exact training-supported state-object baseline</x:v>
      </x:c>
      <x:c r="K2" s="9"/>
      <x:c r="L2" s="9" t="str">
        <x:v>2</x:v>
      </x:c>
      <x:c r="M2" s="9" t="str">
        <x:v>Exact manifest episode: trained state-object cell, prompt, same-category candidate structure, and object membership match; physical layout is manually recreated. All objects are upright, matching the context of every explicit open/closed training demonstration.</x:v>
      </x:c>
      <x:c r="N2" s="9" t="n">
        <x:v>1</x:v>
      </x:c>
      <x:c r="O2" s="9" t="str">
        <x:v>Recreate the listed manifest scene with the bowl empty.</x:v>
      </x:c>
      <x:c r="P2" s="9" t="str">
        <x:v>The queried state-object combination and same-category discrimination structure are explicitly represented in training. The orthogonal orientation axis is fixed: every object is RU.</x:v>
      </x:c>
      <x:c r="Q2" s="9"/>
      <x:c r="R2" s="10" t="n">
        <x:v>4</x:v>
      </x:c>
      <x:c r="S2" s="10" t="n">
        <x:v>1</x:v>
      </x:c>
      <x:c r="T2" s="9" t="str">
        <x:v>Empty</x:v>
      </x:c>
      <x:c r="U2" s="9" t="str">
        <x:v>O</x:v>
      </x:c>
      <x:c r="V2" s="9" t="str">
        <x:v>white cup</x:v>
      </x:c>
      <x:c r="W2" s="9"/>
      <x:c r="X2" s="10"/>
      <x:c r="Y2" s="10"/>
      <x:c r="Z2" s="9"/>
      <x:c r="AA2" s="9"/>
      <x:c r="AB2" s="9"/>
      <x:c r="AC2" s="9"/>
      <x:c r="AD2" s="9"/>
      <x:c r="AE2" s="9"/>
      <x:c r="AF2" s="9"/>
      <x:c r="AG2" s="9"/>
      <x:c r="AH2" s="9"/>
      <x:c r="AI2" s="11"/>
      <x:c r="AJ2" s="9"/>
      <x:c r="AK2" s="9" t="str">
        <x:v>Eval_State_Recognition.xlsm</x:v>
      </x:c>
      <x:c r="AL2" s="9" t="str">
        <x:v>pi0.5 Results</x:v>
      </x:c>
      <x:c r="AM2" s="9" t="n">
        <x:v>2</x:v>
      </x:c>
      <x:c r="AN2" s="9" t="n">
        <x:v>2</x:v>
      </x:c>
    </x:row>
    <x:row r="3">
      <x:c r="A3" s="9" t="str">
        <x:v>Success</x:v>
      </x:c>
      <x:c r="B3" s="9" t="str">
        <x:v>State Recognition</x:v>
      </x:c>
      <x:c r="C3" s="10" t="n">
        <x:v>1</x:v>
      </x:c>
      <x:c r="D3" s="9" t="str">
        <x:v>Put the upright white cup in the bowl.</x:v>
      </x:c>
      <x:c r="E3" s="9" t="str">
        <x:v>white cup A (O, RU); white cup B (O, UD)</x:v>
      </x:c>
      <x:c r="F3" s="9" t="str">
        <x:v>white cup A</x:v>
      </x:c>
      <x:c r="G3" s="9"/>
      <x:c r="H3" s="9" t="str">
        <x:v>In-distribution concept baseline</x:v>
      </x:c>
      <x:c r="I3" s="9" t="str">
        <x:v>SR-ID02</x:v>
      </x:c>
      <x:c r="J3" s="9" t="str">
        <x:v>Exact training-supported state-object baseline</x:v>
      </x:c>
      <x:c r="K3" s="9"/>
      <x:c r="L3" s="9" t="str">
        <x:v>26</x:v>
      </x:c>
      <x:c r="M3" s="9" t="str">
        <x:v>Exact manifest episode: trained state-object cell, prompt, same-category candidate structure, and object membership match; physical layout is manually recreated.</x:v>
      </x:c>
      <x:c r="N3" s="9" t="n">
        <x:v>1</x:v>
      </x:c>
      <x:c r="O3" s="9" t="str">
        <x:v>Recreate the listed manifest scene with the bowl empty.</x:v>
      </x:c>
      <x:c r="P3" s="9" t="str">
        <x:v>The queried state-object combination and same-category discrimination structure are explicitly represented in training. The same-category candidates share the orthogonal C/O state (O).</x:v>
      </x:c>
      <x:c r="Q3" s="9"/>
      <x:c r="R3" s="10" t="n">
        <x:v>2</x:v>
      </x:c>
      <x:c r="S3" s="10" t="n">
        <x:v>1</x:v>
      </x:c>
      <x:c r="T3" s="9" t="str">
        <x:v>Empty</x:v>
      </x:c>
      <x:c r="U3" s="9" t="str">
        <x:v>RU</x:v>
      </x:c>
      <x:c r="V3" s="9" t="str">
        <x:v>white cup</x:v>
      </x:c>
      <x:c r="W3" s="9"/>
      <x:c r="X3" s="10"/>
      <x:c r="Y3" s="10"/>
      <x:c r="Z3" s="9"/>
      <x:c r="AA3" s="9"/>
      <x:c r="AB3" s="9"/>
      <x:c r="AC3" s="9"/>
      <x:c r="AD3" s="9"/>
      <x:c r="AE3" s="9"/>
      <x:c r="AF3" s="9"/>
      <x:c r="AG3" s="9"/>
      <x:c r="AH3" s="9"/>
      <x:c r="AI3" s="11"/>
      <x:c r="AJ3" s="9"/>
      <x:c r="AK3" s="9" t="str">
        <x:v>Eval_State_Recognition.xlsm</x:v>
      </x:c>
      <x:c r="AL3" s="9" t="str">
        <x:v>pi0.5 Results</x:v>
      </x:c>
      <x:c r="AM3" s="9" t="n">
        <x:v>3</x:v>
      </x:c>
      <x:c r="AN3" s="9" t="n">
        <x:v>3</x:v>
      </x:c>
    </x:row>
    <x:row r="4">
      <x:c r="A4" s="9" t="str">
        <x:v>Success</x:v>
      </x:c>
      <x:c r="B4" s="9" t="str">
        <x:v>State Recognition</x:v>
      </x:c>
      <x:c r="C4" s="10" t="n">
        <x:v>2</x:v>
      </x:c>
      <x:c r="D4" s="9" t="str">
        <x:v>Move the closed yellow-white striped cup into the bowl.</x:v>
      </x:c>
      <x:c r="E4" s="9" t="str">
        <x:v>yellow-white striped cup B (C, RU); yellow-white striped cup A (O, RU); white cup A (C, RU)</x:v>
      </x:c>
      <x:c r="F4" s="9" t="str">
        <x:v>yellow-white striped cup B</x:v>
      </x:c>
      <x:c r="G4" s="9"/>
      <x:c r="H4" s="9" t="str">
        <x:v>In-distribution concept baseline</x:v>
      </x:c>
      <x:c r="I4" s="9" t="str">
        <x:v>SR-ID03</x:v>
      </x:c>
      <x:c r="J4" s="9" t="str">
        <x:v>Exact training-supported state-object baseline</x:v>
      </x:c>
      <x:c r="K4" s="9"/>
      <x:c r="L4" s="9" t="str">
        <x:v>51</x:v>
      </x:c>
      <x:c r="M4" s="9" t="str">
        <x:v>Exact manifest episode: trained state-object cell, prompt, same-category candidate structure, and object membership match; physical layout is manually recreated. All objects are upright, matching the context of every explicit open/closed training demonstration.</x:v>
      </x:c>
      <x:c r="N4" s="9" t="n">
        <x:v>1</x:v>
      </x:c>
      <x:c r="O4" s="9" t="str">
        <x:v>Recreate the listed manifest scene with the bowl empty.</x:v>
      </x:c>
      <x:c r="P4" s="9" t="str">
        <x:v>The queried state-object combination and same-category discrimination structure are explicitly represented in training. The orthogonal orientation axis is fixed: every object is RU.</x:v>
      </x:c>
      <x:c r="Q4" s="9"/>
      <x:c r="R4" s="10" t="n">
        <x:v>3</x:v>
      </x:c>
      <x:c r="S4" s="10" t="n">
        <x:v>1</x:v>
      </x:c>
      <x:c r="T4" s="9" t="str">
        <x:v>Empty</x:v>
      </x:c>
      <x:c r="U4" s="9" t="str">
        <x:v>C</x:v>
      </x:c>
      <x:c r="V4" s="9" t="str">
        <x:v>yellow-white striped cup</x:v>
      </x:c>
      <x:c r="W4" s="9"/>
      <x:c r="X4" s="10"/>
      <x:c r="Y4" s="10"/>
      <x:c r="Z4" s="9"/>
      <x:c r="AA4" s="9"/>
      <x:c r="AB4" s="9"/>
      <x:c r="AC4" s="9"/>
      <x:c r="AD4" s="9"/>
      <x:c r="AE4" s="9"/>
      <x:c r="AF4" s="9"/>
      <x:c r="AG4" s="9"/>
      <x:c r="AH4" s="9"/>
      <x:c r="AI4" s="11"/>
      <x:c r="AJ4" s="9"/>
      <x:c r="AK4" s="9" t="str">
        <x:v>Eval_State_Recognition.xlsm</x:v>
      </x:c>
      <x:c r="AL4" s="9" t="str">
        <x:v>pi0.5 Results</x:v>
      </x:c>
      <x:c r="AM4" s="9" t="n">
        <x:v>4</x:v>
      </x:c>
      <x:c r="AN4" s="9" t="n">
        <x:v>4</x:v>
      </x:c>
    </x:row>
    <x:row r="5">
      <x:c r="A5" s="9" t="str">
        <x:v>Success</x:v>
      </x:c>
      <x:c r="B5" s="9" t="str">
        <x:v>State Recognition</x:v>
      </x:c>
      <x:c r="C5" s="10" t="n">
        <x:v>3</x:v>
      </x:c>
      <x:c r="D5" s="9" t="str">
        <x:v>Move the upside-down yellow-white striped cup into the bowl.</x:v>
      </x:c>
      <x:c r="E5" s="9" t="str">
        <x:v>yellow-white striped cup B (O, UD); yellow-white striped cup A (O, RU); brown cup B (C, RU); glass spice container A (O, RU)</x:v>
      </x:c>
      <x:c r="F5" s="9" t="str">
        <x:v>yellow-white striped cup B</x:v>
      </x:c>
      <x:c r="G5" s="9"/>
      <x:c r="H5" s="9" t="str">
        <x:v>In-distribution concept baseline</x:v>
      </x:c>
      <x:c r="I5" s="9" t="str">
        <x:v>SR-ID04</x:v>
      </x:c>
      <x:c r="J5" s="9" t="str">
        <x:v>Exact training-supported state-object baseline</x:v>
      </x:c>
      <x:c r="K5" s="9"/>
      <x:c r="L5" s="9" t="str">
        <x:v>78</x:v>
      </x:c>
      <x:c r="M5" s="9" t="str">
        <x:v>Exact manifest episode: trained state-object cell, prompt, same-category candidate structure, and object membership match; physical layout is manually recreated.</x:v>
      </x:c>
      <x:c r="N5" s="9" t="n">
        <x:v>1</x:v>
      </x:c>
      <x:c r="O5" s="9" t="str">
        <x:v>Recreate the listed manifest scene with the bowl empty.</x:v>
      </x:c>
      <x:c r="P5" s="9" t="str">
        <x:v>The queried state-object combination and same-category discrimination structure are explicitly represented in training. The same-category candidates share the orthogonal C/O state (O).</x:v>
      </x:c>
      <x:c r="Q5" s="9"/>
      <x:c r="R5" s="10" t="n">
        <x:v>4</x:v>
      </x:c>
      <x:c r="S5" s="10" t="n">
        <x:v>1</x:v>
      </x:c>
      <x:c r="T5" s="9" t="str">
        <x:v>Empty</x:v>
      </x:c>
      <x:c r="U5" s="9" t="str">
        <x:v>UD</x:v>
      </x:c>
      <x:c r="V5" s="9" t="str">
        <x:v>yellow-white striped cup</x:v>
      </x:c>
      <x:c r="W5" s="9"/>
      <x:c r="X5" s="10"/>
      <x:c r="Y5" s="10"/>
      <x:c r="Z5" s="9"/>
      <x:c r="AA5" s="9"/>
      <x:c r="AB5" s="9"/>
      <x:c r="AC5" s="9"/>
      <x:c r="AD5" s="9"/>
      <x:c r="AE5" s="9"/>
      <x:c r="AF5" s="9"/>
      <x:c r="AG5" s="9"/>
      <x:c r="AH5" s="9"/>
      <x:c r="AI5" s="11"/>
      <x:c r="AJ5" s="9"/>
      <x:c r="AK5" s="9" t="str">
        <x:v>Eval_State_Recognition.xlsm</x:v>
      </x:c>
      <x:c r="AL5" s="9" t="str">
        <x:v>pi0.5 Results</x:v>
      </x:c>
      <x:c r="AM5" s="9" t="n">
        <x:v>5</x:v>
      </x:c>
      <x:c r="AN5" s="9" t="n">
        <x:v>5</x:v>
      </x:c>
    </x:row>
    <x:row r="6">
      <x:c r="A6" s="9" t="str">
        <x:v>Success</x:v>
      </x:c>
      <x:c r="B6" s="9" t="str">
        <x:v>State Recognition</x:v>
      </x:c>
      <x:c r="C6" s="10" t="n">
        <x:v>4</x:v>
      </x:c>
      <x:c r="D6" s="9" t="str">
        <x:v>Put the open brown cup in the bowl.</x:v>
      </x:c>
      <x:c r="E6" s="9" t="str">
        <x:v>brown cup B (O, RU); brown cup A (C, RU); glass spice container A (O, RU)</x:v>
      </x:c>
      <x:c r="F6" s="9" t="str">
        <x:v>brown cup B</x:v>
      </x:c>
      <x:c r="G6" s="9"/>
      <x:c r="H6" s="9" t="str">
        <x:v>In-distribution concept baseline</x:v>
      </x:c>
      <x:c r="I6" s="9" t="str">
        <x:v>SR-ID05</x:v>
      </x:c>
      <x:c r="J6" s="9" t="str">
        <x:v>Exact training-supported state-object baseline</x:v>
      </x:c>
      <x:c r="K6" s="9"/>
      <x:c r="L6" s="9" t="str">
        <x:v>104</x:v>
      </x:c>
      <x:c r="M6" s="9" t="str">
        <x:v>Exact manifest episode: trained state-object cell, prompt, same-category candidate structure, and object membership match; physical layout is manually recreated. All objects are upright, matching the context of every explicit open/closed training demonstration.</x:v>
      </x:c>
      <x:c r="N6" s="9" t="n">
        <x:v>1</x:v>
      </x:c>
      <x:c r="O6" s="9" t="str">
        <x:v>Recreate the listed manifest scene with the bowl empty.</x:v>
      </x:c>
      <x:c r="P6" s="9" t="str">
        <x:v>The queried state-object combination and same-category discrimination structure are explicitly represented in training. The orthogonal orientation axis is fixed: every object is RU.</x:v>
      </x:c>
      <x:c r="Q6" s="9"/>
      <x:c r="R6" s="10" t="n">
        <x:v>3</x:v>
      </x:c>
      <x:c r="S6" s="10" t="n">
        <x:v>1</x:v>
      </x:c>
      <x:c r="T6" s="9" t="str">
        <x:v>Empty</x:v>
      </x:c>
      <x:c r="U6" s="9" t="str">
        <x:v>O</x:v>
      </x:c>
      <x:c r="V6" s="9" t="str">
        <x:v>brown cup</x:v>
      </x:c>
      <x:c r="W6" s="9"/>
      <x:c r="X6" s="10"/>
      <x:c r="Y6" s="10"/>
      <x:c r="Z6" s="9"/>
      <x:c r="AA6" s="9"/>
      <x:c r="AB6" s="9"/>
      <x:c r="AC6" s="9"/>
      <x:c r="AD6" s="9"/>
      <x:c r="AE6" s="9"/>
      <x:c r="AF6" s="9"/>
      <x:c r="AG6" s="9"/>
      <x:c r="AH6" s="9"/>
      <x:c r="AI6" s="11"/>
      <x:c r="AJ6" s="9"/>
      <x:c r="AK6" s="9" t="str">
        <x:v>Eval_State_Recognition.xlsm</x:v>
      </x:c>
      <x:c r="AL6" s="9" t="str">
        <x:v>pi0.5 Results</x:v>
      </x:c>
      <x:c r="AM6" s="9" t="n">
        <x:v>6</x:v>
      </x:c>
      <x:c r="AN6" s="9" t="n">
        <x:v>6</x:v>
      </x:c>
    </x:row>
    <x:row r="7">
      <x:c r="A7" s="9" t="str">
        <x:v>Failure</x:v>
      </x:c>
      <x:c r="B7" s="9" t="str">
        <x:v>State Recognition</x:v>
      </x:c>
      <x:c r="C7" s="10" t="n">
        <x:v>5</x:v>
      </x:c>
      <x:c r="D7" s="9" t="str">
        <x:v>Put the upside-down brown cup in the bowl.</x:v>
      </x:c>
      <x:c r="E7" s="9" t="str">
        <x:v>brown cup A (O, UD); brown cup B (O, RU)</x:v>
      </x:c>
      <x:c r="F7" s="9" t="str">
        <x:v>brown cup A</x:v>
      </x:c>
      <x:c r="G7" s="9"/>
      <x:c r="H7" s="9" t="str">
        <x:v>In-distribution concept baseline</x:v>
      </x:c>
      <x:c r="I7" s="9" t="str">
        <x:v>SR-ID06</x:v>
      </x:c>
      <x:c r="J7" s="9" t="str">
        <x:v>Exact training-supported state-object baseline</x:v>
      </x:c>
      <x:c r="K7" s="9"/>
      <x:c r="L7" s="9" t="str">
        <x:v>125</x:v>
      </x:c>
      <x:c r="M7" s="9" t="str">
        <x:v>Exact manifest episode: trained state-object cell, prompt, same-category candidate structure, and object membership match; physical layout is manually recreated.</x:v>
      </x:c>
      <x:c r="N7" s="9" t="n">
        <x:v>1</x:v>
      </x:c>
      <x:c r="O7" s="9" t="str">
        <x:v>Recreate the listed manifest scene with the bowl empty.</x:v>
      </x:c>
      <x:c r="P7" s="9" t="str">
        <x:v>The queried state-object combination and same-category discrimination structure are explicitly represented in training. The same-category candidates share the orthogonal C/O state (O).</x:v>
      </x:c>
      <x:c r="Q7" s="9"/>
      <x:c r="R7" s="10" t="n">
        <x:v>2</x:v>
      </x:c>
      <x:c r="S7" s="10" t="n">
        <x:v>1</x:v>
      </x:c>
      <x:c r="T7" s="9" t="str">
        <x:v>Empty</x:v>
      </x:c>
      <x:c r="U7" s="9" t="str">
        <x:v>UD</x:v>
      </x:c>
      <x:c r="V7" s="9" t="str">
        <x:v>brown cup</x:v>
      </x:c>
      <x:c r="W7" s="9"/>
      <x:c r="X7" s="10"/>
      <x:c r="Y7" s="10"/>
      <x:c r="Z7" s="9"/>
      <x:c r="AA7" s="9"/>
      <x:c r="AB7" s="9"/>
      <x:c r="AC7" s="9"/>
      <x:c r="AD7" s="9"/>
      <x:c r="AE7" s="9"/>
      <x:c r="AF7" s="9"/>
      <x:c r="AG7" s="9"/>
      <x:c r="AH7" s="9"/>
      <x:c r="AI7" s="11"/>
      <x:c r="AJ7" s="9"/>
      <x:c r="AK7" s="9" t="str">
        <x:v>Eval_State_Recognition.xlsm</x:v>
      </x:c>
      <x:c r="AL7" s="9" t="str">
        <x:v>pi0.5 Results</x:v>
      </x:c>
      <x:c r="AM7" s="9" t="n">
        <x:v>7</x:v>
      </x:c>
      <x:c r="AN7" s="9" t="n">
        <x:v>7</x:v>
      </x:c>
    </x:row>
    <x:row r="8">
      <x:c r="A8" s="9" t="str">
        <x:v>Failure</x:v>
      </x:c>
      <x:c r="B8" s="9" t="str">
        <x:v>State Recognition</x:v>
      </x:c>
      <x:c r="C8" s="10" t="n">
        <x:v>6</x:v>
      </x:c>
      <x:c r="D8" s="9" t="str">
        <x:v>Put the upright brown cup in the bowl.</x:v>
      </x:c>
      <x:c r="E8" s="9" t="str">
        <x:v>brown cup B (C, RU); brown cup A (C, UD)</x:v>
      </x:c>
      <x:c r="F8" s="9" t="str">
        <x:v>brown cup B</x:v>
      </x:c>
      <x:c r="G8" s="9"/>
      <x:c r="H8" s="9" t="str">
        <x:v>In-distribution concept baseline</x:v>
      </x:c>
      <x:c r="I8" s="9" t="str">
        <x:v>SR-ID07</x:v>
      </x:c>
      <x:c r="J8" s="9" t="str">
        <x:v>Exact training-supported state-object baseline</x:v>
      </x:c>
      <x:c r="K8" s="9"/>
      <x:c r="L8" s="9" t="str">
        <x:v>134</x:v>
      </x:c>
      <x:c r="M8" s="9" t="str">
        <x:v>Exact manifest episode: trained state-object cell, prompt, same-category candidate structure, and object membership match; physical layout is manually recreated.</x:v>
      </x:c>
      <x:c r="N8" s="9" t="n">
        <x:v>1</x:v>
      </x:c>
      <x:c r="O8" s="9" t="str">
        <x:v>Recreate the listed manifest scene with the bowl empty.</x:v>
      </x:c>
      <x:c r="P8" s="9" t="str">
        <x:v>The queried state-object combination and same-category discrimination structure are explicitly represented in training. The same-category candidates share the orthogonal C/O state (C).</x:v>
      </x:c>
      <x:c r="Q8" s="9"/>
      <x:c r="R8" s="10" t="n">
        <x:v>2</x:v>
      </x:c>
      <x:c r="S8" s="10" t="n">
        <x:v>1</x:v>
      </x:c>
      <x:c r="T8" s="9" t="str">
        <x:v>Empty</x:v>
      </x:c>
      <x:c r="U8" s="9" t="str">
        <x:v>RU</x:v>
      </x:c>
      <x:c r="V8" s="9" t="str">
        <x:v>brown cup</x:v>
      </x:c>
      <x:c r="W8" s="9"/>
      <x:c r="X8" s="10"/>
      <x:c r="Y8" s="10"/>
      <x:c r="Z8" s="9"/>
      <x:c r="AA8" s="9"/>
      <x:c r="AB8" s="9"/>
      <x:c r="AC8" s="9"/>
      <x:c r="AD8" s="9"/>
      <x:c r="AE8" s="9"/>
      <x:c r="AF8" s="9"/>
      <x:c r="AG8" s="9"/>
      <x:c r="AH8" s="9"/>
      <x:c r="AI8" s="11"/>
      <x:c r="AJ8" s="9"/>
      <x:c r="AK8" s="9" t="str">
        <x:v>Eval_State_Recognition.xlsm</x:v>
      </x:c>
      <x:c r="AL8" s="9" t="str">
        <x:v>pi0.5 Results</x:v>
      </x:c>
      <x:c r="AM8" s="9" t="n">
        <x:v>8</x:v>
      </x:c>
      <x:c r="AN8" s="9" t="n">
        <x:v>8</x:v>
      </x:c>
    </x:row>
    <x:row r="9">
      <x:c r="A9" s="9" t="str">
        <x:v>Failure</x:v>
      </x:c>
      <x:c r="B9" s="9" t="str">
        <x:v>State Recognition</x:v>
      </x:c>
      <x:c r="C9" s="10" t="n">
        <x:v>7</x:v>
      </x:c>
      <x:c r="D9" s="9" t="str">
        <x:v>Place the closed glass spice container in the bowl.</x:v>
      </x:c>
      <x:c r="E9" s="9" t="str">
        <x:v>glass spice container A (C, RU); glass spice container B (O, RU); yellow-white striped cup A (C, RU)</x:v>
      </x:c>
      <x:c r="F9" s="9" t="str">
        <x:v>glass spice container A</x:v>
      </x:c>
      <x:c r="G9" s="9"/>
      <x:c r="H9" s="9" t="str">
        <x:v>In-distribution concept baseline</x:v>
      </x:c>
      <x:c r="I9" s="9" t="str">
        <x:v>SR-ID08</x:v>
      </x:c>
      <x:c r="J9" s="9" t="str">
        <x:v>Exact training-supported state-object baseline</x:v>
      </x:c>
      <x:c r="K9" s="9"/>
      <x:c r="L9" s="9" t="str">
        <x:v>151</x:v>
      </x:c>
      <x:c r="M9" s="9" t="str">
        <x:v>Exact manifest episode: trained state-object cell, prompt, same-category candidate structure, and object membership match; physical layout is manually recreated. All objects are upright, matching the context of every explicit open/closed training demonstration.</x:v>
      </x:c>
      <x:c r="N9" s="9" t="n">
        <x:v>1</x:v>
      </x:c>
      <x:c r="O9" s="9" t="str">
        <x:v>Recreate the listed manifest scene with the bowl empty.</x:v>
      </x:c>
      <x:c r="P9" s="9" t="str">
        <x:v>The queried state-object combination and same-category discrimination structure are explicitly represented in training. The orthogonal orientation axis is fixed: every object is RU.</x:v>
      </x:c>
      <x:c r="Q9" s="9"/>
      <x:c r="R9" s="10" t="n">
        <x:v>3</x:v>
      </x:c>
      <x:c r="S9" s="10" t="n">
        <x:v>1</x:v>
      </x:c>
      <x:c r="T9" s="9" t="str">
        <x:v>Empty</x:v>
      </x:c>
      <x:c r="U9" s="9" t="str">
        <x:v>C</x:v>
      </x:c>
      <x:c r="V9" s="9" t="str">
        <x:v>glass spice container</x:v>
      </x:c>
      <x:c r="W9" s="9"/>
      <x:c r="X9" s="10"/>
      <x:c r="Y9" s="10"/>
      <x:c r="Z9" s="9"/>
      <x:c r="AA9" s="9"/>
      <x:c r="AB9" s="9"/>
      <x:c r="AC9" s="9"/>
      <x:c r="AD9" s="9"/>
      <x:c r="AE9" s="9"/>
      <x:c r="AF9" s="9"/>
      <x:c r="AG9" s="9"/>
      <x:c r="AH9" s="9"/>
      <x:c r="AI9" s="11"/>
      <x:c r="AJ9" s="9"/>
      <x:c r="AK9" s="9" t="str">
        <x:v>Eval_State_Recognition.xlsm</x:v>
      </x:c>
      <x:c r="AL9" s="9" t="str">
        <x:v>pi0.5 Results</x:v>
      </x:c>
      <x:c r="AM9" s="9" t="n">
        <x:v>9</x:v>
      </x:c>
      <x:c r="AN9" s="9" t="n">
        <x:v>9</x:v>
      </x:c>
    </x:row>
    <x:row r="10">
      <x:c r="A10" s="9" t="str">
        <x:v>Success</x:v>
      </x:c>
      <x:c r="B10" s="9" t="str">
        <x:v>State Recognition</x:v>
      </x:c>
      <x:c r="C10" s="10" t="n">
        <x:v>8</x:v>
      </x:c>
      <x:c r="D10" s="9" t="str">
        <x:v>Move the open glass spice container into the bowl.</x:v>
      </x:c>
      <x:c r="E10" s="9" t="str">
        <x:v>glass spice container B (O, RU); glass spice container A (C, RU); white cup B (O, RU)</x:v>
      </x:c>
      <x:c r="F10" s="9" t="str">
        <x:v>glass spice container B</x:v>
      </x:c>
      <x:c r="G10" s="9"/>
      <x:c r="H10" s="9" t="str">
        <x:v>In-distribution concept baseline</x:v>
      </x:c>
      <x:c r="I10" s="9" t="str">
        <x:v>SR-ID09</x:v>
      </x:c>
      <x:c r="J10" s="9" t="str">
        <x:v>Exact training-supported state-object baseline</x:v>
      </x:c>
      <x:c r="K10" s="9"/>
      <x:c r="L10" s="9" t="str">
        <x:v>156</x:v>
      </x:c>
      <x:c r="M10" s="9" t="str">
        <x:v>Exact manifest episode: trained state-object cell, prompt, same-category candidate structure, and object membership match; physical layout is manually recreated. All objects are upright, matching the context of every explicit open/closed training demonstration.</x:v>
      </x:c>
      <x:c r="N10" s="9" t="n">
        <x:v>1</x:v>
      </x:c>
      <x:c r="O10" s="9" t="str">
        <x:v>Recreate the listed manifest scene with the bowl empty.</x:v>
      </x:c>
      <x:c r="P10" s="9" t="str">
        <x:v>The queried state-object combination and same-category discrimination structure are explicitly represented in training. The orthogonal orientation axis is fixed: every object is RU.</x:v>
      </x:c>
      <x:c r="Q10" s="9"/>
      <x:c r="R10" s="10" t="n">
        <x:v>3</x:v>
      </x:c>
      <x:c r="S10" s="10" t="n">
        <x:v>1</x:v>
      </x:c>
      <x:c r="T10" s="9" t="str">
        <x:v>Empty</x:v>
      </x:c>
      <x:c r="U10" s="9" t="str">
        <x:v>O</x:v>
      </x:c>
      <x:c r="V10" s="9" t="str">
        <x:v>glass spice container</x:v>
      </x:c>
      <x:c r="W10" s="9"/>
      <x:c r="X10" s="10"/>
      <x:c r="Y10" s="10"/>
      <x:c r="Z10" s="9"/>
      <x:c r="AA10" s="9"/>
      <x:c r="AB10" s="9"/>
      <x:c r="AC10" s="9"/>
      <x:c r="AD10" s="9"/>
      <x:c r="AE10" s="9"/>
      <x:c r="AF10" s="9"/>
      <x:c r="AG10" s="9"/>
      <x:c r="AH10" s="9"/>
      <x:c r="AI10" s="11"/>
      <x:c r="AJ10" s="9"/>
      <x:c r="AK10" s="9" t="str">
        <x:v>Eval_State_Recognition.xlsm</x:v>
      </x:c>
      <x:c r="AL10" s="9" t="str">
        <x:v>pi0.5 Results</x:v>
      </x:c>
      <x:c r="AM10" s="9" t="n">
        <x:v>10</x:v>
      </x:c>
      <x:c r="AN10" s="9" t="n">
        <x:v>10</x:v>
      </x:c>
    </x:row>
    <x:row r="11">
      <x:c r="A11" s="9" t="str">
        <x:v>Success</x:v>
      </x:c>
      <x:c r="B11" s="9" t="str">
        <x:v>State Recognition</x:v>
      </x:c>
      <x:c r="C11" s="10" t="n">
        <x:v>9</x:v>
      </x:c>
      <x:c r="D11" s="9" t="str">
        <x:v>Put the upside-down glass spice container in the bowl.</x:v>
      </x:c>
      <x:c r="E11" s="9" t="str">
        <x:v>glass spice container B (C, UD); glass spice container A (C, RU)</x:v>
      </x:c>
      <x:c r="F11" s="9" t="str">
        <x:v>glass spice container B</x:v>
      </x:c>
      <x:c r="G11" s="9"/>
      <x:c r="H11" s="9" t="str">
        <x:v>In-distribution concept baseline</x:v>
      </x:c>
      <x:c r="I11" s="9" t="str">
        <x:v>SR-ID10</x:v>
      </x:c>
      <x:c r="J11" s="9" t="str">
        <x:v>Exact training-supported state-object baseline</x:v>
      </x:c>
      <x:c r="K11" s="9"/>
      <x:c r="L11" s="9" t="str">
        <x:v>176</x:v>
      </x:c>
      <x:c r="M11" s="9" t="str">
        <x:v>Exact manifest episode: trained state-object cell, prompt, same-category candidate structure, and object membership match; physical layout is manually recreated.</x:v>
      </x:c>
      <x:c r="N11" s="9" t="n">
        <x:v>1</x:v>
      </x:c>
      <x:c r="O11" s="9" t="str">
        <x:v>Recreate the listed manifest scene with the bowl empty.</x:v>
      </x:c>
      <x:c r="P11" s="9" t="str">
        <x:v>The queried state-object combination and same-category discrimination structure are explicitly represented in training. The same-category candidates share the orthogonal C/O state (C).</x:v>
      </x:c>
      <x:c r="Q11" s="9"/>
      <x:c r="R11" s="10" t="n">
        <x:v>2</x:v>
      </x:c>
      <x:c r="S11" s="10" t="n">
        <x:v>1</x:v>
      </x:c>
      <x:c r="T11" s="9" t="str">
        <x:v>Empty</x:v>
      </x:c>
      <x:c r="U11" s="9" t="str">
        <x:v>UD</x:v>
      </x:c>
      <x:c r="V11" s="9" t="str">
        <x:v>glass spice container</x:v>
      </x:c>
      <x:c r="W11" s="9"/>
      <x:c r="X11" s="10"/>
      <x:c r="Y11" s="10"/>
      <x:c r="Z11" s="9"/>
      <x:c r="AA11" s="9"/>
      <x:c r="AB11" s="9"/>
      <x:c r="AC11" s="9"/>
      <x:c r="AD11" s="9"/>
      <x:c r="AE11" s="9"/>
      <x:c r="AF11" s="9"/>
      <x:c r="AG11" s="9"/>
      <x:c r="AH11" s="9"/>
      <x:c r="AI11" s="11"/>
      <x:c r="AJ11" s="9"/>
      <x:c r="AK11" s="9" t="str">
        <x:v>Eval_State_Recognition.xlsm</x:v>
      </x:c>
      <x:c r="AL11" s="9" t="str">
        <x:v>pi0.5 Results</x:v>
      </x:c>
      <x:c r="AM11" s="9" t="n">
        <x:v>11</x:v>
      </x:c>
      <x:c r="AN11" s="9" t="n">
        <x:v>11</x:v>
      </x:c>
    </x:row>
    <x:row r="12">
      <x:c r="A12" s="9" t="str">
        <x:v>Success</x:v>
      </x:c>
      <x:c r="B12" s="9" t="str">
        <x:v>State Recognition</x:v>
      </x:c>
      <x:c r="C12" s="10" t="n">
        <x:v>10</x:v>
      </x:c>
      <x:c r="D12" s="9" t="str">
        <x:v>Move the closed white cup into the bowl.</x:v>
      </x:c>
      <x:c r="E12" s="9" t="str">
        <x:v>white cup B (C, RU); white cup A (O, RU); yellow-white striped cup A (C, RU); brown cup B (C, RU)</x:v>
      </x:c>
      <x:c r="F12" s="9" t="str">
        <x:v>white cup B</x:v>
      </x:c>
      <x:c r="G12" s="9"/>
      <x:c r="H12" s="9" t="str">
        <x:v>In-distribution concept baseline</x:v>
      </x:c>
      <x:c r="I12" s="9" t="str">
        <x:v>SR-ID11</x:v>
      </x:c>
      <x:c r="J12" s="9" t="str">
        <x:v>Exact training-supported state-object baseline</x:v>
      </x:c>
      <x:c r="K12" s="9"/>
      <x:c r="L12" s="9" t="str">
        <x:v>0</x:v>
      </x:c>
      <x:c r="M12" s="9" t="str">
        <x:v>Exact manifest episode: trained state-object cell, prompt, same-category candidate structure, and object membership match; physical layout is manually recreated. All objects are upright, matching the context of every explicit open/closed training demonstration.</x:v>
      </x:c>
      <x:c r="N12" s="9" t="n">
        <x:v>1</x:v>
      </x:c>
      <x:c r="O12" s="9" t="str">
        <x:v>Recreate the listed manifest scene with the bowl empty.</x:v>
      </x:c>
      <x:c r="P12" s="9" t="str">
        <x:v>The queried state-object combination and same-category discrimination structure are explicitly represented in training. The orthogonal orientation axis is fixed: every object is RU.</x:v>
      </x:c>
      <x:c r="Q12" s="9"/>
      <x:c r="R12" s="10" t="n">
        <x:v>4</x:v>
      </x:c>
      <x:c r="S12" s="10" t="n">
        <x:v>1</x:v>
      </x:c>
      <x:c r="T12" s="9" t="str">
        <x:v>Empty</x:v>
      </x:c>
      <x:c r="U12" s="9" t="str">
        <x:v>C</x:v>
      </x:c>
      <x:c r="V12" s="9" t="str">
        <x:v>white cup</x:v>
      </x:c>
      <x:c r="W12" s="9"/>
      <x:c r="X12" s="10"/>
      <x:c r="Y12" s="10"/>
      <x:c r="Z12" s="9"/>
      <x:c r="AA12" s="9"/>
      <x:c r="AB12" s="9"/>
      <x:c r="AC12" s="9"/>
      <x:c r="AD12" s="9"/>
      <x:c r="AE12" s="9"/>
      <x:c r="AF12" s="9"/>
      <x:c r="AG12" s="9"/>
      <x:c r="AH12" s="9"/>
      <x:c r="AI12" s="11"/>
      <x:c r="AJ12" s="9"/>
      <x:c r="AK12" s="9" t="str">
        <x:v>Eval_State_Recognition.xlsm</x:v>
      </x:c>
      <x:c r="AL12" s="9" t="str">
        <x:v>pi0.5 Results</x:v>
      </x:c>
      <x:c r="AM12" s="9" t="n">
        <x:v>12</x:v>
      </x:c>
      <x:c r="AN12" s="9" t="n">
        <x:v>12</x:v>
      </x:c>
    </x:row>
    <x:row r="13">
      <x:c r="A13" s="9" t="str">
        <x:v>Success</x:v>
      </x:c>
      <x:c r="B13" s="9" t="str">
        <x:v>State Recognition</x:v>
      </x:c>
      <x:c r="C13" s="10" t="n">
        <x:v>11</x:v>
      </x:c>
      <x:c r="D13" s="9" t="str">
        <x:v>Place the closed white cup in the bowl.</x:v>
      </x:c>
      <x:c r="E13" s="9" t="str">
        <x:v>white cup A (C, RU); white cup B (O, RU); brown cup B (O, RU)</x:v>
      </x:c>
      <x:c r="F13" s="9" t="str">
        <x:v>white cup A</x:v>
      </x:c>
      <x:c r="G13" s="9"/>
      <x:c r="H13" s="9" t="str">
        <x:v>In-distribution concept baseline</x:v>
      </x:c>
      <x:c r="I13" s="9" t="str">
        <x:v>SR-ID12</x:v>
      </x:c>
      <x:c r="J13" s="9" t="str">
        <x:v>Exact training-supported state-object baseline</x:v>
      </x:c>
      <x:c r="K13" s="9"/>
      <x:c r="L13" s="9" t="str">
        <x:v>7</x:v>
      </x:c>
      <x:c r="M13" s="9" t="str">
        <x:v>Exact manifest episode: trained state-object cell, prompt, same-category candidate structure, and object membership match; physical layout is manually recreated. All objects are upright, matching the context of every explicit open/closed training demonstration.</x:v>
      </x:c>
      <x:c r="N13" s="9" t="n">
        <x:v>1</x:v>
      </x:c>
      <x:c r="O13" s="9" t="str">
        <x:v>Recreate the listed manifest scene with the bowl empty.</x:v>
      </x:c>
      <x:c r="P13" s="9" t="str">
        <x:v>The queried state-object combination and same-category discrimination structure are explicitly represented in training. The orthogonal orientation axis is fixed: every object is RU.</x:v>
      </x:c>
      <x:c r="Q13" s="9"/>
      <x:c r="R13" s="10" t="n">
        <x:v>3</x:v>
      </x:c>
      <x:c r="S13" s="10" t="n">
        <x:v>1</x:v>
      </x:c>
      <x:c r="T13" s="9" t="str">
        <x:v>Empty</x:v>
      </x:c>
      <x:c r="U13" s="9" t="str">
        <x:v>C</x:v>
      </x:c>
      <x:c r="V13" s="9" t="str">
        <x:v>white cup</x:v>
      </x:c>
      <x:c r="W13" s="9"/>
      <x:c r="X13" s="10"/>
      <x:c r="Y13" s="10"/>
      <x:c r="Z13" s="9"/>
      <x:c r="AA13" s="9"/>
      <x:c r="AB13" s="9"/>
      <x:c r="AC13" s="9"/>
      <x:c r="AD13" s="9"/>
      <x:c r="AE13" s="9"/>
      <x:c r="AF13" s="9"/>
      <x:c r="AG13" s="9"/>
      <x:c r="AH13" s="9"/>
      <x:c r="AI13" s="11"/>
      <x:c r="AJ13" s="9"/>
      <x:c r="AK13" s="9" t="str">
        <x:v>Eval_State_Recognition.xlsm</x:v>
      </x:c>
      <x:c r="AL13" s="9" t="str">
        <x:v>pi0.5 Results</x:v>
      </x:c>
      <x:c r="AM13" s="9" t="n">
        <x:v>13</x:v>
      </x:c>
      <x:c r="AN13" s="9" t="n">
        <x:v>13</x:v>
      </x:c>
    </x:row>
    <x:row r="14">
      <x:c r="A14" s="9" t="str">
        <x:v>Success</x:v>
      </x:c>
      <x:c r="B14" s="9" t="str">
        <x:v>State Recognition</x:v>
      </x:c>
      <x:c r="C14" s="10" t="n">
        <x:v>12</x:v>
      </x:c>
      <x:c r="D14" s="9" t="str">
        <x:v>Put the open white cup in the bowl.</x:v>
      </x:c>
      <x:c r="E14" s="9" t="str">
        <x:v>white cup B (O, RU); white cup A (C, RU); glass spice container B (O, RU)</x:v>
      </x:c>
      <x:c r="F14" s="9" t="str">
        <x:v>white cup B</x:v>
      </x:c>
      <x:c r="G14" s="9"/>
      <x:c r="H14" s="9" t="str">
        <x:v>In-distribution concept baseline</x:v>
      </x:c>
      <x:c r="I14" s="9" t="str">
        <x:v>SR-ID13</x:v>
      </x:c>
      <x:c r="J14" s="9" t="str">
        <x:v>Exact training-supported state-object baseline</x:v>
      </x:c>
      <x:c r="K14" s="9"/>
      <x:c r="L14" s="9" t="str">
        <x:v>17</x:v>
      </x:c>
      <x:c r="M14" s="9" t="str">
        <x:v>Exact manifest episode: trained state-object cell, prompt, same-category candidate structure, and object membership match; physical layout is manually recreated. All objects are upright, matching the context of every explicit open/closed training demonstration.</x:v>
      </x:c>
      <x:c r="N14" s="9" t="n">
        <x:v>1</x:v>
      </x:c>
      <x:c r="O14" s="9" t="str">
        <x:v>Recreate the listed manifest scene with the bowl empty.</x:v>
      </x:c>
      <x:c r="P14" s="9" t="str">
        <x:v>The queried state-object combination and same-category discrimination structure are explicitly represented in training. The orthogonal orientation axis is fixed: every object is RU.</x:v>
      </x:c>
      <x:c r="Q14" s="9"/>
      <x:c r="R14" s="10" t="n">
        <x:v>3</x:v>
      </x:c>
      <x:c r="S14" s="10" t="n">
        <x:v>1</x:v>
      </x:c>
      <x:c r="T14" s="9" t="str">
        <x:v>Empty</x:v>
      </x:c>
      <x:c r="U14" s="9" t="str">
        <x:v>O</x:v>
      </x:c>
      <x:c r="V14" s="9" t="str">
        <x:v>white cup</x:v>
      </x:c>
      <x:c r="W14" s="9"/>
      <x:c r="X14" s="10"/>
      <x:c r="Y14" s="10"/>
      <x:c r="Z14" s="9"/>
      <x:c r="AA14" s="9"/>
      <x:c r="AB14" s="9"/>
      <x:c r="AC14" s="9"/>
      <x:c r="AD14" s="9"/>
      <x:c r="AE14" s="9"/>
      <x:c r="AF14" s="9"/>
      <x:c r="AG14" s="9"/>
      <x:c r="AH14" s="9"/>
      <x:c r="AI14" s="11"/>
      <x:c r="AJ14" s="9"/>
      <x:c r="AK14" s="9" t="str">
        <x:v>Eval_State_Recognition.xlsm</x:v>
      </x:c>
      <x:c r="AL14" s="9" t="str">
        <x:v>pi0.5 Results</x:v>
      </x:c>
      <x:c r="AM14" s="9" t="n">
        <x:v>14</x:v>
      </x:c>
      <x:c r="AN14" s="9" t="n">
        <x:v>14</x:v>
      </x:c>
    </x:row>
    <x:row r="15">
      <x:c r="A15" s="9" t="str">
        <x:v>Failure</x:v>
      </x:c>
      <x:c r="B15" s="9" t="str">
        <x:v>State Recognition</x:v>
      </x:c>
      <x:c r="C15" s="10" t="n">
        <x:v>13</x:v>
      </x:c>
      <x:c r="D15" s="9" t="str">
        <x:v>Place the upside-down yellow-white striped cup in the bowl.</x:v>
      </x:c>
      <x:c r="E15" s="9" t="str">
        <x:v>yellow-white striped cup A (O, UD); yellow-white striped cup B (O, RU)</x:v>
      </x:c>
      <x:c r="F15" s="9" t="str">
        <x:v>yellow-white striped cup A</x:v>
      </x:c>
      <x:c r="G15" s="9"/>
      <x:c r="H15" s="9" t="str">
        <x:v>In-distribution concept baseline</x:v>
      </x:c>
      <x:c r="I15" s="9" t="str">
        <x:v>SR-ID14</x:v>
      </x:c>
      <x:c r="J15" s="9" t="str">
        <x:v>Exact training-supported state-object baseline</x:v>
      </x:c>
      <x:c r="K15" s="9"/>
      <x:c r="L15" s="9" t="str">
        <x:v>88</x:v>
      </x:c>
      <x:c r="M15" s="9" t="str">
        <x:v>Exact manifest episode: trained state-object cell, prompt, same-category candidate structure, and object membership match; physical layout is manually recreated.</x:v>
      </x:c>
      <x:c r="N15" s="9" t="n">
        <x:v>1</x:v>
      </x:c>
      <x:c r="O15" s="9" t="str">
        <x:v>Recreate the listed manifest scene with the bowl empty.</x:v>
      </x:c>
      <x:c r="P15" s="9" t="str">
        <x:v>The queried state-object combination and same-category discrimination structure are explicitly represented in training. The same-category candidates share the orthogonal C/O state (O).</x:v>
      </x:c>
      <x:c r="Q15" s="9"/>
      <x:c r="R15" s="10" t="n">
        <x:v>2</x:v>
      </x:c>
      <x:c r="S15" s="10" t="n">
        <x:v>1</x:v>
      </x:c>
      <x:c r="T15" s="9" t="str">
        <x:v>Empty</x:v>
      </x:c>
      <x:c r="U15" s="9" t="str">
        <x:v>UD</x:v>
      </x:c>
      <x:c r="V15" s="9" t="str">
        <x:v>yellow-white striped cup</x:v>
      </x:c>
      <x:c r="W15" s="9"/>
      <x:c r="X15" s="10"/>
      <x:c r="Y15" s="10"/>
      <x:c r="Z15" s="9"/>
      <x:c r="AA15" s="9"/>
      <x:c r="AB15" s="9"/>
      <x:c r="AC15" s="9"/>
      <x:c r="AD15" s="9"/>
      <x:c r="AE15" s="9"/>
      <x:c r="AF15" s="9"/>
      <x:c r="AG15" s="9"/>
      <x:c r="AH15" s="9"/>
      <x:c r="AI15" s="11"/>
      <x:c r="AJ15" s="9"/>
      <x:c r="AK15" s="9" t="str">
        <x:v>Eval_State_Recognition.xlsm</x:v>
      </x:c>
      <x:c r="AL15" s="9" t="str">
        <x:v>pi0.5 Results</x:v>
      </x:c>
      <x:c r="AM15" s="9" t="n">
        <x:v>15</x:v>
      </x:c>
      <x:c r="AN15" s="9" t="n">
        <x:v>15</x:v>
      </x:c>
    </x:row>
    <x:row r="16">
      <x:c r="A16" s="9" t="str">
        <x:v>Success</x:v>
      </x:c>
      <x:c r="B16" s="9" t="str">
        <x:v>State Recognition</x:v>
      </x:c>
      <x:c r="C16" s="10" t="n">
        <x:v>14</x:v>
      </x:c>
      <x:c r="D16" s="9" t="str">
        <x:v>Move the upright yellow-white striped cup into the bowl.</x:v>
      </x:c>
      <x:c r="E16" s="9" t="str">
        <x:v>yellow-white striped cup A (O, RU); yellow-white striped cup B (O, UD); glass spice container A (O, RU); white cup B (C, UD)</x:v>
      </x:c>
      <x:c r="F16" s="9" t="str">
        <x:v>yellow-white striped cup A</x:v>
      </x:c>
      <x:c r="G16" s="9"/>
      <x:c r="H16" s="9" t="str">
        <x:v>In-distribution concept baseline</x:v>
      </x:c>
      <x:c r="I16" s="9" t="str">
        <x:v>SR-ID15</x:v>
      </x:c>
      <x:c r="J16" s="9" t="str">
        <x:v>Exact training-supported state-object baseline</x:v>
      </x:c>
      <x:c r="K16" s="9"/>
      <x:c r="L16" s="9" t="str">
        <x:v>75</x:v>
      </x:c>
      <x:c r="M16" s="9" t="str">
        <x:v>Exact manifest episode: trained state-object cell, prompt, same-category candidate structure, and object membership match; physical layout is manually recreated.</x:v>
      </x:c>
      <x:c r="N16" s="9" t="n">
        <x:v>1</x:v>
      </x:c>
      <x:c r="O16" s="9" t="str">
        <x:v>Recreate the listed manifest scene with the bowl empty.</x:v>
      </x:c>
      <x:c r="P16" s="9" t="str">
        <x:v>The queried state-object combination and same-category discrimination structure are explicitly represented in training. The same-category candidates share the orthogonal C/O state (O).</x:v>
      </x:c>
      <x:c r="Q16" s="9"/>
      <x:c r="R16" s="10" t="n">
        <x:v>4</x:v>
      </x:c>
      <x:c r="S16" s="10" t="n">
        <x:v>1</x:v>
      </x:c>
      <x:c r="T16" s="9" t="str">
        <x:v>Empty</x:v>
      </x:c>
      <x:c r="U16" s="9" t="str">
        <x:v>RU</x:v>
      </x:c>
      <x:c r="V16" s="9" t="str">
        <x:v>yellow-white striped cup</x:v>
      </x:c>
      <x:c r="W16" s="9"/>
      <x:c r="X16" s="10"/>
      <x:c r="Y16" s="10"/>
      <x:c r="Z16" s="9"/>
      <x:c r="AA16" s="9"/>
      <x:c r="AB16" s="9"/>
      <x:c r="AC16" s="9"/>
      <x:c r="AD16" s="9"/>
      <x:c r="AE16" s="9"/>
      <x:c r="AF16" s="9"/>
      <x:c r="AG16" s="9"/>
      <x:c r="AH16" s="9"/>
      <x:c r="AI16" s="11"/>
      <x:c r="AJ16" s="9"/>
      <x:c r="AK16" s="9" t="str">
        <x:v>Eval_State_Recognition.xlsm</x:v>
      </x:c>
      <x:c r="AL16" s="9" t="str">
        <x:v>pi0.5 Results</x:v>
      </x:c>
      <x:c r="AM16" s="9" t="n">
        <x:v>16</x:v>
      </x:c>
      <x:c r="AN16" s="9" t="n">
        <x:v>16</x:v>
      </x:c>
    </x:row>
    <x:row r="17">
      <x:c r="A17" s="9" t="str">
        <x:v>Success</x:v>
      </x:c>
      <x:c r="B17" s="9" t="str">
        <x:v>State Recognition</x:v>
      </x:c>
      <x:c r="C17" s="10" t="n">
        <x:v>15</x:v>
      </x:c>
      <x:c r="D17" s="9" t="str">
        <x:v>Put the upright yellow-white striped cup in the bowl.</x:v>
      </x:c>
      <x:c r="E17" s="9" t="str">
        <x:v>yellow-white striped cup B (C, RU); yellow-white striped cup A (C, UD)</x:v>
      </x:c>
      <x:c r="F17" s="9" t="str">
        <x:v>yellow-white striped cup B</x:v>
      </x:c>
      <x:c r="G17" s="9"/>
      <x:c r="H17" s="9" t="str">
        <x:v>In-distribution concept baseline</x:v>
      </x:c>
      <x:c r="I17" s="9" t="str">
        <x:v>SR-ID16</x:v>
      </x:c>
      <x:c r="J17" s="9" t="str">
        <x:v>Exact training-supported state-object baseline</x:v>
      </x:c>
      <x:c r="K17" s="9"/>
      <x:c r="L17" s="9" t="str">
        <x:v>80</x:v>
      </x:c>
      <x:c r="M17" s="9" t="str">
        <x:v>Exact manifest episode: trained state-object cell, prompt, same-category candidate structure, and object membership match; physical layout is manually recreated.</x:v>
      </x:c>
      <x:c r="N17" s="9" t="n">
        <x:v>1</x:v>
      </x:c>
      <x:c r="O17" s="9" t="str">
        <x:v>Recreate the listed manifest scene with the bowl empty.</x:v>
      </x:c>
      <x:c r="P17" s="9" t="str">
        <x:v>The queried state-object combination and same-category discrimination structure are explicitly represented in training. The same-category candidates share the orthogonal C/O state (C).</x:v>
      </x:c>
      <x:c r="Q17" s="9"/>
      <x:c r="R17" s="10" t="n">
        <x:v>2</x:v>
      </x:c>
      <x:c r="S17" s="10" t="n">
        <x:v>1</x:v>
      </x:c>
      <x:c r="T17" s="9" t="str">
        <x:v>Empty</x:v>
      </x:c>
      <x:c r="U17" s="9" t="str">
        <x:v>RU</x:v>
      </x:c>
      <x:c r="V17" s="9" t="str">
        <x:v>yellow-white striped cup</x:v>
      </x:c>
      <x:c r="W17" s="9"/>
      <x:c r="X17" s="10"/>
      <x:c r="Y17" s="10"/>
      <x:c r="Z17" s="9"/>
      <x:c r="AA17" s="9"/>
      <x:c r="AB17" s="9"/>
      <x:c r="AC17" s="9"/>
      <x:c r="AD17" s="9"/>
      <x:c r="AE17" s="9"/>
      <x:c r="AF17" s="9"/>
      <x:c r="AG17" s="9"/>
      <x:c r="AH17" s="9"/>
      <x:c r="AI17" s="11"/>
      <x:c r="AJ17" s="9"/>
      <x:c r="AK17" s="9" t="str">
        <x:v>Eval_State_Recognition.xlsm</x:v>
      </x:c>
      <x:c r="AL17" s="9" t="str">
        <x:v>pi0.5 Results</x:v>
      </x:c>
      <x:c r="AM17" s="9" t="n">
        <x:v>17</x:v>
      </x:c>
      <x:c r="AN17" s="9" t="n">
        <x:v>17</x:v>
      </x:c>
    </x:row>
    <x:row r="18">
      <x:c r="A18" s="9" t="str">
        <x:v>Success</x:v>
      </x:c>
      <x:c r="B18" s="9" t="str">
        <x:v>State Recognition</x:v>
      </x:c>
      <x:c r="C18" s="10" t="n">
        <x:v>16</x:v>
      </x:c>
      <x:c r="D18" s="9" t="str">
        <x:v>Move the upside-down brown cup into the bowl.</x:v>
      </x:c>
      <x:c r="E18" s="9" t="str">
        <x:v>brown cup A (C, UD); brown cup B (C, RU); yellow-white striped cup B (C, UD); glass spice container A (O, RU)</x:v>
      </x:c>
      <x:c r="F18" s="9" t="str">
        <x:v>brown cup A</x:v>
      </x:c>
      <x:c r="G18" s="9"/>
      <x:c r="H18" s="9" t="str">
        <x:v>In-distribution concept baseline</x:v>
      </x:c>
      <x:c r="I18" s="9" t="str">
        <x:v>SR-ID17</x:v>
      </x:c>
      <x:c r="J18" s="9" t="str">
        <x:v>Exact training-supported state-object baseline</x:v>
      </x:c>
      <x:c r="K18" s="9"/>
      <x:c r="L18" s="9" t="str">
        <x:v>135</x:v>
      </x:c>
      <x:c r="M18" s="9" t="str">
        <x:v>Exact manifest episode: trained state-object cell, prompt, same-category candidate structure, and object membership match; physical layout is manually recreated.</x:v>
      </x:c>
      <x:c r="N18" s="9" t="n">
        <x:v>1</x:v>
      </x:c>
      <x:c r="O18" s="9" t="str">
        <x:v>Recreate the listed manifest scene with the bowl empty.</x:v>
      </x:c>
      <x:c r="P18" s="9" t="str">
        <x:v>The queried state-object combination and same-category discrimination structure are explicitly represented in training. The same-category candidates share the orthogonal C/O state (C).</x:v>
      </x:c>
      <x:c r="Q18" s="9"/>
      <x:c r="R18" s="10" t="n">
        <x:v>4</x:v>
      </x:c>
      <x:c r="S18" s="10" t="n">
        <x:v>1</x:v>
      </x:c>
      <x:c r="T18" s="9" t="str">
        <x:v>Empty</x:v>
      </x:c>
      <x:c r="U18" s="9" t="str">
        <x:v>UD</x:v>
      </x:c>
      <x:c r="V18" s="9" t="str">
        <x:v>brown cup</x:v>
      </x:c>
      <x:c r="W18" s="9"/>
      <x:c r="X18" s="10"/>
      <x:c r="Y18" s="10"/>
      <x:c r="Z18" s="9"/>
      <x:c r="AA18" s="9"/>
      <x:c r="AB18" s="9"/>
      <x:c r="AC18" s="9"/>
      <x:c r="AD18" s="9"/>
      <x:c r="AE18" s="9"/>
      <x:c r="AF18" s="9"/>
      <x:c r="AG18" s="9"/>
      <x:c r="AH18" s="9"/>
      <x:c r="AI18" s="11"/>
      <x:c r="AJ18" s="9"/>
      <x:c r="AK18" s="9" t="str">
        <x:v>Eval_State_Recognition.xlsm</x:v>
      </x:c>
      <x:c r="AL18" s="9" t="str">
        <x:v>pi0.5 Results</x:v>
      </x:c>
      <x:c r="AM18" s="9" t="n">
        <x:v>18</x:v>
      </x:c>
      <x:c r="AN18" s="9" t="n">
        <x:v>18</x:v>
      </x:c>
    </x:row>
    <x:row r="19">
      <x:c r="A19" s="9" t="str">
        <x:v>Success</x:v>
      </x:c>
      <x:c r="B19" s="9" t="str">
        <x:v>State Recognition</x:v>
      </x:c>
      <x:c r="C19" s="10" t="n">
        <x:v>17</x:v>
      </x:c>
      <x:c r="D19" s="9" t="str">
        <x:v>Place the upright brown cup in the bowl.</x:v>
      </x:c>
      <x:c r="E19" s="9" t="str">
        <x:v>brown cup A (C, RU); brown cup B (C, UD); glass spice container B (C, UD)</x:v>
      </x:c>
      <x:c r="F19" s="9" t="str">
        <x:v>brown cup A</x:v>
      </x:c>
      <x:c r="G19" s="9"/>
      <x:c r="H19" s="9" t="str">
        <x:v>In-distribution concept baseline</x:v>
      </x:c>
      <x:c r="I19" s="9" t="str">
        <x:v>SR-ID18</x:v>
      </x:c>
      <x:c r="J19" s="9" t="str">
        <x:v>Exact training-supported state-object baseline</x:v>
      </x:c>
      <x:c r="K19" s="9"/>
      <x:c r="L19" s="9" t="str">
        <x:v>139</x:v>
      </x:c>
      <x:c r="M19" s="9" t="str">
        <x:v>Exact manifest episode: trained state-object cell, prompt, same-category candidate structure, and object membership match; physical layout is manually recreated.</x:v>
      </x:c>
      <x:c r="N19" s="9" t="n">
        <x:v>1</x:v>
      </x:c>
      <x:c r="O19" s="9" t="str">
        <x:v>Recreate the listed manifest scene with the bowl empty.</x:v>
      </x:c>
      <x:c r="P19" s="9" t="str">
        <x:v>The queried state-object combination and same-category discrimination structure are explicitly represented in training. The same-category candidates share the orthogonal C/O state (C).</x:v>
      </x:c>
      <x:c r="Q19" s="9"/>
      <x:c r="R19" s="10" t="n">
        <x:v>3</x:v>
      </x:c>
      <x:c r="S19" s="10" t="n">
        <x:v>1</x:v>
      </x:c>
      <x:c r="T19" s="9" t="str">
        <x:v>Empty</x:v>
      </x:c>
      <x:c r="U19" s="9" t="str">
        <x:v>RU</x:v>
      </x:c>
      <x:c r="V19" s="9" t="str">
        <x:v>brown cup</x:v>
      </x:c>
      <x:c r="W19" s="9"/>
      <x:c r="X19" s="10"/>
      <x:c r="Y19" s="10"/>
      <x:c r="Z19" s="9"/>
      <x:c r="AA19" s="9"/>
      <x:c r="AB19" s="9"/>
      <x:c r="AC19" s="9"/>
      <x:c r="AD19" s="9"/>
      <x:c r="AE19" s="9"/>
      <x:c r="AF19" s="9"/>
      <x:c r="AG19" s="9"/>
      <x:c r="AH19" s="9"/>
      <x:c r="AI19" s="11"/>
      <x:c r="AJ19" s="9"/>
      <x:c r="AK19" s="9" t="str">
        <x:v>Eval_State_Recognition.xlsm</x:v>
      </x:c>
      <x:c r="AL19" s="9" t="str">
        <x:v>pi0.5 Results</x:v>
      </x:c>
      <x:c r="AM19" s="9" t="n">
        <x:v>19</x:v>
      </x:c>
      <x:c r="AN19" s="9" t="n">
        <x:v>19</x:v>
      </x:c>
    </x:row>
    <x:row r="20">
      <x:c r="A20" s="9" t="str">
        <x:v>Success</x:v>
      </x:c>
      <x:c r="B20" s="9" t="str">
        <x:v>State Recognition</x:v>
      </x:c>
      <x:c r="C20" s="10" t="n">
        <x:v>18</x:v>
      </x:c>
      <x:c r="D20" s="9" t="str">
        <x:v>Put the closed glass spice container in the bowl.</x:v>
      </x:c>
      <x:c r="E20" s="9" t="str">
        <x:v>glass spice container A (C, RU); glass spice container B (O, RU); brown cup A (C, RU); white cup B (O, RU)</x:v>
      </x:c>
      <x:c r="F20" s="9" t="str">
        <x:v>glass spice container A</x:v>
      </x:c>
      <x:c r="G20" s="9"/>
      <x:c r="H20" s="9" t="str">
        <x:v>In-distribution concept baseline</x:v>
      </x:c>
      <x:c r="I20" s="9" t="str">
        <x:v>SR-ID19</x:v>
      </x:c>
      <x:c r="J20" s="9" t="str">
        <x:v>Exact training-supported state-object baseline</x:v>
      </x:c>
      <x:c r="K20" s="9"/>
      <x:c r="L20" s="9" t="str">
        <x:v>155</x:v>
      </x:c>
      <x:c r="M20" s="9" t="str">
        <x:v>Exact manifest episode: trained state-object cell, prompt, same-category candidate structure, and object membership match; physical layout is manually recreated. All objects are upright, matching the context of every explicit open/closed training demonstration.</x:v>
      </x:c>
      <x:c r="N20" s="9" t="n">
        <x:v>1</x:v>
      </x:c>
      <x:c r="O20" s="9" t="str">
        <x:v>Recreate the listed manifest scene with the bowl empty.</x:v>
      </x:c>
      <x:c r="P20" s="9" t="str">
        <x:v>The queried state-object combination and same-category discrimination structure are explicitly represented in training. The orthogonal orientation axis is fixed: every object is RU.</x:v>
      </x:c>
      <x:c r="Q20" s="9"/>
      <x:c r="R20" s="10" t="n">
        <x:v>4</x:v>
      </x:c>
      <x:c r="S20" s="10" t="n">
        <x:v>1</x:v>
      </x:c>
      <x:c r="T20" s="9" t="str">
        <x:v>Empty</x:v>
      </x:c>
      <x:c r="U20" s="9" t="str">
        <x:v>C</x:v>
      </x:c>
      <x:c r="V20" s="9" t="str">
        <x:v>glass spice container</x:v>
      </x:c>
      <x:c r="W20" s="9"/>
      <x:c r="X20" s="10"/>
      <x:c r="Y20" s="10"/>
      <x:c r="Z20" s="9"/>
      <x:c r="AA20" s="9"/>
      <x:c r="AB20" s="9"/>
      <x:c r="AC20" s="9"/>
      <x:c r="AD20" s="9"/>
      <x:c r="AE20" s="9"/>
      <x:c r="AF20" s="9"/>
      <x:c r="AG20" s="9"/>
      <x:c r="AH20" s="9"/>
      <x:c r="AI20" s="11"/>
      <x:c r="AJ20" s="9"/>
      <x:c r="AK20" s="9" t="str">
        <x:v>Eval_State_Recognition.xlsm</x:v>
      </x:c>
      <x:c r="AL20" s="9" t="str">
        <x:v>pi0.5 Results</x:v>
      </x:c>
      <x:c r="AM20" s="9" t="n">
        <x:v>20</x:v>
      </x:c>
      <x:c r="AN20" s="9" t="n">
        <x:v>20</x:v>
      </x:c>
    </x:row>
    <x:row r="21">
      <x:c r="A21" s="9" t="str">
        <x:v>Success</x:v>
      </x:c>
      <x:c r="B21" s="9" t="str">
        <x:v>State Recognition</x:v>
      </x:c>
      <x:c r="C21" s="10" t="n">
        <x:v>19</x:v>
      </x:c>
      <x:c r="D21" s="9" t="str">
        <x:v>Move the open glass spice container into the bowl.</x:v>
      </x:c>
      <x:c r="E21" s="9" t="str">
        <x:v>glass spice container B (O, RU); glass spice container A (C, RU); white cup B (O, RU); yellow-white striped cup A (O, RU)</x:v>
      </x:c>
      <x:c r="F21" s="9" t="str">
        <x:v>glass spice container B</x:v>
      </x:c>
      <x:c r="G21" s="9"/>
      <x:c r="H21" s="9" t="str">
        <x:v>In-distribution concept baseline</x:v>
      </x:c>
      <x:c r="I21" s="9" t="str">
        <x:v>SR-ID20</x:v>
      </x:c>
      <x:c r="J21" s="9" t="str">
        <x:v>Exact training-supported state-object baseline</x:v>
      </x:c>
      <x:c r="K21" s="9"/>
      <x:c r="L21" s="9" t="str">
        <x:v>162</x:v>
      </x:c>
      <x:c r="M21" s="9" t="str">
        <x:v>Exact manifest episode: trained state-object cell, prompt, same-category candidate structure, and object membership match; physical layout is manually recreated. All objects are upright, matching the context of every explicit open/closed training demonstration.</x:v>
      </x:c>
      <x:c r="N21" s="9" t="n">
        <x:v>1</x:v>
      </x:c>
      <x:c r="O21" s="9" t="str">
        <x:v>Recreate the listed manifest scene with the bowl empty.</x:v>
      </x:c>
      <x:c r="P21" s="9" t="str">
        <x:v>The queried state-object combination and same-category discrimination structure are explicitly represented in training. The orthogonal orientation axis is fixed: every object is RU.</x:v>
      </x:c>
      <x:c r="Q21" s="9"/>
      <x:c r="R21" s="10" t="n">
        <x:v>4</x:v>
      </x:c>
      <x:c r="S21" s="10" t="n">
        <x:v>1</x:v>
      </x:c>
      <x:c r="T21" s="9" t="str">
        <x:v>Empty</x:v>
      </x:c>
      <x:c r="U21" s="9" t="str">
        <x:v>O</x:v>
      </x:c>
      <x:c r="V21" s="9" t="str">
        <x:v>glass spice container</x:v>
      </x:c>
      <x:c r="W21" s="9"/>
      <x:c r="X21" s="10"/>
      <x:c r="Y21" s="10"/>
      <x:c r="Z21" s="9"/>
      <x:c r="AA21" s="9"/>
      <x:c r="AB21" s="9"/>
      <x:c r="AC21" s="9"/>
      <x:c r="AD21" s="9"/>
      <x:c r="AE21" s="9"/>
      <x:c r="AF21" s="9"/>
      <x:c r="AG21" s="9"/>
      <x:c r="AH21" s="9"/>
      <x:c r="AI21" s="11"/>
      <x:c r="AJ21" s="9"/>
      <x:c r="AK21" s="9" t="str">
        <x:v>Eval_State_Recognition.xlsm</x:v>
      </x:c>
      <x:c r="AL21" s="9" t="str">
        <x:v>pi0.5 Results</x:v>
      </x:c>
      <x:c r="AM21" s="9" t="n">
        <x:v>21</x:v>
      </x:c>
      <x:c r="AN21" s="9" t="n">
        <x:v>21</x:v>
      </x:c>
    </x:row>
    <x:row r="22">
      <x:c r="A22" s="9" t="str">
        <x:v>Failure</x:v>
      </x:c>
      <x:c r="B22" s="9" t="str">
        <x:v>State Recognition</x:v>
      </x:c>
      <x:c r="C22" s="10" t="n">
        <x:v>20</x:v>
      </x:c>
      <x:c r="D22" s="9" t="str">
        <x:v>Place the upside-down white cup in the bowl.</x:v>
      </x:c>
      <x:c r="E22" s="9" t="str">
        <x:v>white cup A (C, UD); white cup B (C, RU)</x:v>
      </x:c>
      <x:c r="F22" s="9" t="str">
        <x:v>white cup A</x:v>
      </x:c>
      <x:c r="G22" s="9" t="str">
        <x:v>Pick up the upright cup</x:v>
      </x:c>
      <x:c r="H22" s="9" t="str">
        <x:v>Concept/compositional transfer</x:v>
      </x:c>
      <x:c r="I22" s="9" t="str">
        <x:v>SR-CT01</x:v>
      </x:c>
      <x:c r="J22" s="9" t="str">
        <x:v>Primary held-out state-object composition</x:v>
      </x:c>
      <x:c r="K22" s="9"/>
      <x:c r="L22" s="9" t="str">
        <x:v>35</x:v>
      </x:c>
      <x:c r="M22" s="9" t="str">
        <x:v>Physical-state and manipulation-trajectory reference under a direct category prompt; the evaluated state word × object-category cell is intentionally absent from training.</x:v>
      </x:c>
      <x:c r="N22" s="9" t="n">
        <x:v>2</x:v>
      </x:c>
      <x:c r="O22" s="9" t="str">
        <x:v>Build the listed same-category discrimination scene with the bowl empty.</x:v>
      </x:c>
      <x:c r="P22" s="9" t="str">
        <x:v>Two same-category candidates share the non-queried state axis; only the held-out state word identifies the target. The same-category candidates share the orthogonal C/O state (C).</x:v>
      </x:c>
      <x:c r="Q22" s="9"/>
      <x:c r="R22" s="10" t="n">
        <x:v>2</x:v>
      </x:c>
      <x:c r="S22" s="10" t="n">
        <x:v>1</x:v>
      </x:c>
      <x:c r="T22" s="9" t="str">
        <x:v>Empty</x:v>
      </x:c>
      <x:c r="U22" s="9" t="str">
        <x:v>UD</x:v>
      </x:c>
      <x:c r="V22" s="9" t="str">
        <x:v>white cup</x:v>
      </x:c>
      <x:c r="W22" s="9"/>
      <x:c r="X22" s="10"/>
      <x:c r="Y22" s="10"/>
      <x:c r="Z22" s="9"/>
      <x:c r="AA22" s="9"/>
      <x:c r="AB22" s="9"/>
      <x:c r="AC22" s="9"/>
      <x:c r="AD22" s="9"/>
      <x:c r="AE22" s="9"/>
      <x:c r="AF22" s="9"/>
      <x:c r="AG22" s="9"/>
      <x:c r="AH22" s="9"/>
      <x:c r="AI22" s="11"/>
      <x:c r="AJ22" s="9"/>
      <x:c r="AK22" s="9" t="str">
        <x:v>Eval_State_Recognition.xlsm</x:v>
      </x:c>
      <x:c r="AL22" s="9" t="str">
        <x:v>pi0.5 Results</x:v>
      </x:c>
      <x:c r="AM22" s="9" t="n">
        <x:v>22</x:v>
      </x:c>
      <x:c r="AN22" s="9" t="n">
        <x:v>22</x:v>
      </x:c>
    </x:row>
    <x:row r="23">
      <x:c r="A23" s="9" t="str">
        <x:v>Success</x:v>
      </x:c>
      <x:c r="B23" s="9" t="str">
        <x:v>State Recognition</x:v>
      </x:c>
      <x:c r="C23" s="10" t="n">
        <x:v>21</x:v>
      </x:c>
      <x:c r="D23" s="9" t="str">
        <x:v>Put a white cup in the bowl.</x:v>
      </x:c>
      <x:c r="E23" s="9" t="str">
        <x:v>white cup A (C, UD); yellow-white striped cup A (C, RU)</x:v>
      </x:c>
      <x:c r="F23" s="9" t="str">
        <x:v>white cup A</x:v>
      </x:c>
      <x:c r="G23" s="9"/>
      <x:c r="H23" s="9" t="str">
        <x:v>Matched manipulation control</x:v>
      </x:c>
      <x:c r="I23" s="9" t="str">
        <x:v>SR-CT01</x:v>
      </x:c>
      <x:c r="J23" s="9" t="str">
        <x:v>One-object-substitution direct-category control</x:v>
      </x:c>
      <x:c r="K23" s="9" t="n">
        <x:v>20</x:v>
      </x:c>
      <x:c r="L23" s="9" t="n">
        <x:v>35</x:v>
      </x:c>
      <x:c r="M23" s="9" t="str">
        <x:v>Exact direct-category manipulation prompt from training episode 35. The transfer target, state, and pose are preserved; only the competing white cup is replaced by yellow-white striped cup A.</x:v>
      </x:c>
      <x:c r="N23" s="9" t="n">
        <x:v>2</x:v>
      </x:c>
      <x:c r="O23" s="9" t="str">
        <x:v>Reset white cup A to its transfer pose. Replace white cup B with yellow-white striped cup A in the same location and use the states listed in this row; preserve all other objects.</x:v>
      </x:c>
      <x:c r="P23" s="9" t="str">
        <x:v>Pure recognition/manipulation control: the prompt uniquely names the only object from the target category, while the physical target remains identical to the transfer row.</x:v>
      </x:c>
      <x:c r="Q23" s="9"/>
      <x:c r="R23" s="10" t="n">
        <x:v>2</x:v>
      </x:c>
      <x:c r="S23" s="10" t="n">
        <x:v>1</x:v>
      </x:c>
      <x:c r="T23" s="9" t="str">
        <x:v>Empty</x:v>
      </x:c>
      <x:c r="U23" s="9" t="str">
        <x:v>N/A</x:v>
      </x:c>
      <x:c r="V23" s="9" t="str">
        <x:v>white cup</x:v>
      </x:c>
      <x:c r="W23" s="9"/>
      <x:c r="X23" s="10"/>
      <x:c r="Y23" s="10"/>
      <x:c r="Z23" s="9"/>
      <x:c r="AA23" s="9"/>
      <x:c r="AB23" s="9"/>
      <x:c r="AC23" s="9"/>
      <x:c r="AD23" s="9"/>
      <x:c r="AE23" s="9"/>
      <x:c r="AF23" s="9"/>
      <x:c r="AG23" s="9"/>
      <x:c r="AH23" s="9"/>
      <x:c r="AI23" s="11"/>
      <x:c r="AJ23" s="9"/>
      <x:c r="AK23" s="9" t="str">
        <x:v>Eval_State_Recognition.xlsm</x:v>
      </x:c>
      <x:c r="AL23" s="9" t="str">
        <x:v>pi0.5 Results</x:v>
      </x:c>
      <x:c r="AM23" s="9" t="n">
        <x:v>23</x:v>
      </x:c>
      <x:c r="AN23" s="9" t="n">
        <x:v>23</x:v>
      </x:c>
    </x:row>
    <x:row r="24">
      <x:c r="A24" s="9" t="str">
        <x:v>Failure</x:v>
      </x:c>
      <x:c r="B24" s="9" t="str">
        <x:v>State Recognition</x:v>
      </x:c>
      <x:c r="C24" s="10" t="n">
        <x:v>22</x:v>
      </x:c>
      <x:c r="D24" s="9" t="str">
        <x:v>Move the inverted white cup into the bowl.</x:v>
      </x:c>
      <x:c r="E24" s="9" t="str">
        <x:v>white cup A (C, UD); white cup B (C, RU)</x:v>
      </x:c>
      <x:c r="F24" s="9" t="str">
        <x:v>white cup A</x:v>
      </x:c>
      <x:c r="G24" s="9" t="str">
        <x:v>picked upright cup</x:v>
      </x:c>
      <x:c r="H24" s="9" t="str">
        <x:v>Language robustness</x:v>
      </x:c>
      <x:c r="I24" s="9" t="str">
        <x:v>SR-CT01</x:v>
      </x:c>
      <x:c r="J24" s="9" t="str">
        <x:v>Primary compositional-transfer prompt paraphrase</x:v>
      </x:c>
      <x:c r="K24" s="9" t="n">
        <x:v>20</x:v>
      </x:c>
      <x:c r="L24" s="9" t="str">
        <x:v>35</x:v>
      </x:c>
      <x:c r="M24" s="9" t="str">
        <x:v>The canonical transfer scene and masked trajectory reference are unchanged; only the evaluation wording is paraphrased. This remains a language diagnostic and is not pooled into the primary 50.</x:v>
      </x:c>
      <x:c r="N24" s="9" t="n">
        <x:v>2</x:v>
      </x:c>
      <x:c r="O24" s="9" t="str">
        <x:v>Reset the moved object exactly; preserve every object and state; change only the prompt wording.</x:v>
      </x:c>
      <x:c r="P24" s="9" t="str">
        <x:v>Exact-scene paraphrase of one of the 50 canonical compositional-transfer trials. The same-category candidates share the orthogonal C/O state (C). The scene is an exact copy of the referenced canonical row.</x:v>
      </x:c>
      <x:c r="Q24" s="9"/>
      <x:c r="R24" s="10" t="n">
        <x:v>2</x:v>
      </x:c>
      <x:c r="S24" s="10" t="n">
        <x:v>1</x:v>
      </x:c>
      <x:c r="T24" s="9" t="str">
        <x:v>Empty</x:v>
      </x:c>
      <x:c r="U24" s="9" t="str">
        <x:v>UD</x:v>
      </x:c>
      <x:c r="V24" s="9" t="str">
        <x:v>white cup</x:v>
      </x:c>
      <x:c r="W24" s="9"/>
      <x:c r="X24" s="10"/>
      <x:c r="Y24" s="10"/>
      <x:c r="Z24" s="9"/>
      <x:c r="AA24" s="9"/>
      <x:c r="AB24" s="9"/>
      <x:c r="AC24" s="9"/>
      <x:c r="AD24" s="9"/>
      <x:c r="AE24" s="9"/>
      <x:c r="AF24" s="9"/>
      <x:c r="AG24" s="9"/>
      <x:c r="AH24" s="9"/>
      <x:c r="AI24" s="11"/>
      <x:c r="AJ24" s="9"/>
      <x:c r="AK24" s="9" t="str">
        <x:v>Eval_State_Recognition.xlsm</x:v>
      </x:c>
      <x:c r="AL24" s="9" t="str">
        <x:v>pi0.5 Results</x:v>
      </x:c>
      <x:c r="AM24" s="9" t="n">
        <x:v>24</x:v>
      </x:c>
      <x:c r="AN24" s="9" t="n">
        <x:v>24</x:v>
      </x:c>
    </x:row>
    <x:row r="25">
      <x:c r="A25" s="9" t="str">
        <x:v>Success</x:v>
      </x:c>
      <x:c r="B25" s="9" t="str">
        <x:v>State Recognition</x:v>
      </x:c>
      <x:c r="C25" s="10" t="n">
        <x:v>23</x:v>
      </x:c>
      <x:c r="D25" s="9" t="str">
        <x:v>Transfer the white cup from the table into the bowl.</x:v>
      </x:c>
      <x:c r="E25" s="9" t="str">
        <x:v>white cup A (C, UD); yellow-white striped cup A (C, RU)</x:v>
      </x:c>
      <x:c r="F25" s="9" t="str">
        <x:v>white cup A</x:v>
      </x:c>
      <x:c r="G25" s="9"/>
      <x:c r="H25" s="9" t="str">
        <x:v>Language robustness</x:v>
      </x:c>
      <x:c r="I25" s="9" t="str">
        <x:v>SR-CT01</x:v>
      </x:c>
      <x:c r="J25" s="9" t="str">
        <x:v>Direct-category matched-control paraphrase</x:v>
      </x:c>
      <x:c r="K25" s="9" t="n">
        <x:v>21</x:v>
      </x:c>
      <x:c r="L25" s="9" t="n">
        <x:v>35</x:v>
      </x:c>
      <x:c r="M25" s="9" t="str">
        <x:v>Paraphrase of the direct-category matched control grounded by training episode 35. The modified control scene and physical target are unchanged.</x:v>
      </x:c>
      <x:c r="N25" s="9" t="n">
        <x:v>2</x:v>
      </x:c>
      <x:c r="O25" s="9" t="str">
        <x:v>Reset the target to its marked pose; preserve the exact modified control scene and change only the direct instruction wording.</x:v>
      </x:c>
      <x:c r="P25" s="9" t="str">
        <x:v>Language diagnostic for the pure manipulation control; no state word or state-based selection is required. The scene is an exact copy of the referenced canonical row.</x:v>
      </x:c>
      <x:c r="Q25" s="9"/>
      <x:c r="R25" s="10" t="n">
        <x:v>2</x:v>
      </x:c>
      <x:c r="S25" s="10" t="n">
        <x:v>1</x:v>
      </x:c>
      <x:c r="T25" s="9" t="str">
        <x:v>Empty</x:v>
      </x:c>
      <x:c r="U25" s="9" t="str">
        <x:v>N/A</x:v>
      </x:c>
      <x:c r="V25" s="9" t="str">
        <x:v>white cup</x:v>
      </x:c>
      <x:c r="W25" s="9"/>
      <x:c r="X25" s="10"/>
      <x:c r="Y25" s="10"/>
      <x:c r="Z25" s="9"/>
      <x:c r="AA25" s="9"/>
      <x:c r="AB25" s="9"/>
      <x:c r="AC25" s="9"/>
      <x:c r="AD25" s="9"/>
      <x:c r="AE25" s="9"/>
      <x:c r="AF25" s="9"/>
      <x:c r="AG25" s="9"/>
      <x:c r="AH25" s="9"/>
      <x:c r="AI25" s="11"/>
      <x:c r="AJ25" s="9"/>
      <x:c r="AK25" s="9" t="str">
        <x:v>Eval_State_Recognition.xlsm</x:v>
      </x:c>
      <x:c r="AL25" s="9" t="str">
        <x:v>pi0.5 Results</x:v>
      </x:c>
      <x:c r="AM25" s="9" t="n">
        <x:v>25</x:v>
      </x:c>
      <x:c r="AN25" s="9" t="n">
        <x:v>25</x:v>
      </x:c>
    </x:row>
    <x:row r="26">
      <x:c r="A26" s="9" t="str">
        <x:v>Success</x:v>
      </x:c>
      <x:c r="B26" s="9" t="str">
        <x:v>State Recognition</x:v>
      </x:c>
      <x:c r="C26" s="10" t="n">
        <x:v>24</x:v>
      </x:c>
      <x:c r="D26" s="9" t="str">
        <x:v>Place the open yellow-white striped cup in the bowl.</x:v>
      </x:c>
      <x:c r="E26" s="9" t="str">
        <x:v>yellow-white striped cup B (O, RU); yellow-white striped cup A (C, RU); brown cup B (O, RU)</x:v>
      </x:c>
      <x:c r="F26" s="9" t="str">
        <x:v>yellow-white striped cup B</x:v>
      </x:c>
      <x:c r="G26" s="9"/>
      <x:c r="H26" s="9" t="str">
        <x:v>Concept/compositional transfer</x:v>
      </x:c>
      <x:c r="I26" s="9" t="str">
        <x:v>SR-CT02</x:v>
      </x:c>
      <x:c r="J26" s="9" t="str">
        <x:v>Primary held-out state-object composition</x:v>
      </x:c>
      <x:c r="K26" s="9"/>
      <x:c r="L26" s="9" t="str">
        <x:v>64</x:v>
      </x:c>
      <x:c r="M26"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26" s="9" t="n">
        <x:v>2</x:v>
      </x:c>
      <x:c r="O26" s="9" t="str">
        <x:v>Build the listed same-category discrimination scene with the bowl empty.</x:v>
      </x:c>
      <x:c r="P26" s="9" t="str">
        <x:v>Two same-category candidates share the non-queried state axis; only the held-out state word identifies the target. The orthogonal orientation axis is fixed: every object is RU.</x:v>
      </x:c>
      <x:c r="Q26" s="9"/>
      <x:c r="R26" s="10" t="n">
        <x:v>3</x:v>
      </x:c>
      <x:c r="S26" s="10" t="n">
        <x:v>1</x:v>
      </x:c>
      <x:c r="T26" s="9" t="str">
        <x:v>Empty</x:v>
      </x:c>
      <x:c r="U26" s="9" t="str">
        <x:v>O</x:v>
      </x:c>
      <x:c r="V26" s="9" t="str">
        <x:v>yellow-white striped cup</x:v>
      </x:c>
      <x:c r="W26" s="9"/>
      <x:c r="X26" s="10"/>
      <x:c r="Y26" s="10"/>
      <x:c r="Z26" s="9"/>
      <x:c r="AA26" s="9"/>
      <x:c r="AB26" s="9"/>
      <x:c r="AC26" s="9"/>
      <x:c r="AD26" s="9"/>
      <x:c r="AE26" s="9"/>
      <x:c r="AF26" s="9"/>
      <x:c r="AG26" s="9"/>
      <x:c r="AH26" s="9"/>
      <x:c r="AI26" s="11"/>
      <x:c r="AJ26" s="9"/>
      <x:c r="AK26" s="9" t="str">
        <x:v>Eval_State_Recognition.xlsm</x:v>
      </x:c>
      <x:c r="AL26" s="9" t="str">
        <x:v>pi0.5 Results</x:v>
      </x:c>
      <x:c r="AM26" s="9" t="n">
        <x:v>26</x:v>
      </x:c>
      <x:c r="AN26" s="9" t="n">
        <x:v>26</x:v>
      </x:c>
    </x:row>
    <x:row r="27">
      <x:c r="A27" s="9" t="str">
        <x:v>Success</x:v>
      </x:c>
      <x:c r="B27" s="9" t="str">
        <x:v>State Recognition</x:v>
      </x:c>
      <x:c r="C27" s="10" t="n">
        <x:v>25</x:v>
      </x:c>
      <x:c r="D27" s="9" t="str">
        <x:v>Place a yellow-white striped cup in the bowl.</x:v>
      </x:c>
      <x:c r="E27" s="9" t="str">
        <x:v>yellow-white striped cup B (O, RU); glass spice container B (C, RU); brown cup B (O, RU)</x:v>
      </x:c>
      <x:c r="F27" s="9" t="str">
        <x:v>yellow-white striped cup B</x:v>
      </x:c>
      <x:c r="G27" s="9"/>
      <x:c r="H27" s="9" t="str">
        <x:v>Matched manipulation control</x:v>
      </x:c>
      <x:c r="I27" s="9" t="str">
        <x:v>SR-CT02</x:v>
      </x:c>
      <x:c r="J27" s="9" t="str">
        <x:v>One-object-substitution direct-category control</x:v>
      </x:c>
      <x:c r="K27" s="9" t="n">
        <x:v>24</x:v>
      </x:c>
      <x:c r="L27" s="9" t="n">
        <x:v>64</x:v>
      </x:c>
      <x:c r="M27" s="9" t="str">
        <x:v>Exact direct-category manipulation prompt from training episode 64. The transfer target, state, and pose are preserved; only the competing yellow-white striped cup is replaced by glass spice container B. The full control scene is upright because its paired transfer instruction queries open/closed.</x:v>
      </x:c>
      <x:c r="N27" s="9" t="n">
        <x:v>2</x:v>
      </x:c>
      <x:c r="O27" s="9" t="str">
        <x:v>Reset yellow-white striped cup B to its transfer pose. Replace yellow-white striped cup A with glass spice container B in the same location and use the states listed in this row; preserve all other objects.</x:v>
      </x:c>
      <x:c r="P27" s="9" t="str">
        <x:v>Pure recognition/manipulation control: the prompt uniquely names the only object from the target category, while the physical target remains identical to the transfer row. Every object is RU.</x:v>
      </x:c>
      <x:c r="Q27" s="9"/>
      <x:c r="R27" s="10" t="n">
        <x:v>3</x:v>
      </x:c>
      <x:c r="S27" s="10" t="n">
        <x:v>1</x:v>
      </x:c>
      <x:c r="T27" s="9" t="str">
        <x:v>Empty</x:v>
      </x:c>
      <x:c r="U27" s="9" t="str">
        <x:v>N/A</x:v>
      </x:c>
      <x:c r="V27" s="9" t="str">
        <x:v>yellow-white striped cup</x:v>
      </x:c>
      <x:c r="W27" s="9"/>
      <x:c r="X27" s="10"/>
      <x:c r="Y27" s="10"/>
      <x:c r="Z27" s="9"/>
      <x:c r="AA27" s="9"/>
      <x:c r="AB27" s="9"/>
      <x:c r="AC27" s="9"/>
      <x:c r="AD27" s="9"/>
      <x:c r="AE27" s="9"/>
      <x:c r="AF27" s="9"/>
      <x:c r="AG27" s="9"/>
      <x:c r="AH27" s="9"/>
      <x:c r="AI27" s="11"/>
      <x:c r="AJ27" s="9"/>
      <x:c r="AK27" s="9" t="str">
        <x:v>Eval_State_Recognition.xlsm</x:v>
      </x:c>
      <x:c r="AL27" s="9" t="str">
        <x:v>pi0.5 Results</x:v>
      </x:c>
      <x:c r="AM27" s="9" t="n">
        <x:v>27</x:v>
      </x:c>
      <x:c r="AN27" s="9" t="n">
        <x:v>27</x:v>
      </x:c>
    </x:row>
    <x:row r="28">
      <x:c r="A28" s="9" t="str">
        <x:v>Success</x:v>
      </x:c>
      <x:c r="B28" s="9" t="str">
        <x:v>State Recognition</x:v>
      </x:c>
      <x:c r="C28" s="10" t="n">
        <x:v>26</x:v>
      </x:c>
      <x:c r="D28" s="9" t="str">
        <x:v>Move the yellow-white striped cup whose opening is uncovered into the bowl.</x:v>
      </x:c>
      <x:c r="E28" s="9" t="str">
        <x:v>yellow-white striped cup B (O, RU); yellow-white striped cup A (C, RU); brown cup B (O, RU)</x:v>
      </x:c>
      <x:c r="F28" s="9" t="str">
        <x:v>yellow-white striped cup B</x:v>
      </x:c>
      <x:c r="G28" s="9"/>
      <x:c r="H28" s="9" t="str">
        <x:v>Language robustness</x:v>
      </x:c>
      <x:c r="I28" s="9" t="str">
        <x:v>SR-CT02</x:v>
      </x:c>
      <x:c r="J28" s="9" t="str">
        <x:v>Primary compositional-transfer prompt paraphrase</x:v>
      </x:c>
      <x:c r="K28" s="9" t="n">
        <x:v>24</x:v>
      </x:c>
      <x:c r="L28" s="9" t="str">
        <x:v>64</x:v>
      </x:c>
      <x:c r="M28" s="9" t="str">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N28" s="9" t="n">
        <x:v>2</x:v>
      </x:c>
      <x:c r="O28" s="9" t="str">
        <x:v>Reset the moved object exactly; preserve every object and state; change only the prompt wording.</x:v>
      </x:c>
      <x:c r="P28" s="9" t="str">
        <x:v>Exact-scene paraphrase of one of the 50 canonical compositional-transfer trials. The orthogonal orientation axis is fixed: every object is RU. The scene is an exact copy of the referenced canonical row.</x:v>
      </x:c>
      <x:c r="Q28" s="9"/>
      <x:c r="R28" s="10" t="n">
        <x:v>3</x:v>
      </x:c>
      <x:c r="S28" s="10" t="n">
        <x:v>1</x:v>
      </x:c>
      <x:c r="T28" s="9" t="str">
        <x:v>Empty</x:v>
      </x:c>
      <x:c r="U28" s="9" t="str">
        <x:v>O</x:v>
      </x:c>
      <x:c r="V28" s="9" t="str">
        <x:v>yellow-white striped cup</x:v>
      </x:c>
      <x:c r="W28" s="9"/>
      <x:c r="X28" s="10"/>
      <x:c r="Y28" s="10"/>
      <x:c r="Z28" s="9"/>
      <x:c r="AA28" s="9"/>
      <x:c r="AB28" s="9"/>
      <x:c r="AC28" s="9"/>
      <x:c r="AD28" s="9"/>
      <x:c r="AE28" s="9"/>
      <x:c r="AF28" s="9"/>
      <x:c r="AG28" s="9"/>
      <x:c r="AH28" s="9"/>
      <x:c r="AI28" s="11"/>
      <x:c r="AJ28" s="9"/>
      <x:c r="AK28" s="9" t="str">
        <x:v>Eval_State_Recognition.xlsm</x:v>
      </x:c>
      <x:c r="AL28" s="9" t="str">
        <x:v>pi0.5 Results</x:v>
      </x:c>
      <x:c r="AM28" s="9" t="n">
        <x:v>28</x:v>
      </x:c>
      <x:c r="AN28" s="9" t="n">
        <x:v>28</x:v>
      </x:c>
    </x:row>
    <x:row r="29">
      <x:c r="A29" s="9" t="str">
        <x:v>Success</x:v>
      </x:c>
      <x:c r="B29" s="9" t="str">
        <x:v>State Recognition</x:v>
      </x:c>
      <x:c r="C29" s="10" t="n">
        <x:v>27</x:v>
      </x:c>
      <x:c r="D29" s="9" t="str">
        <x:v>Lift the yellow-white striped cup and set it inside the bowl.</x:v>
      </x:c>
      <x:c r="E29" s="9" t="str">
        <x:v>yellow-white striped cup B (O, RU); glass spice container B (C, RU); brown cup B (O, RU)</x:v>
      </x:c>
      <x:c r="F29" s="9" t="str">
        <x:v>yellow-white striped cup B</x:v>
      </x:c>
      <x:c r="G29" s="9"/>
      <x:c r="H29" s="9" t="str">
        <x:v>Language robustness</x:v>
      </x:c>
      <x:c r="I29" s="9" t="str">
        <x:v>SR-CT02</x:v>
      </x:c>
      <x:c r="J29" s="9" t="str">
        <x:v>Direct-category matched-control paraphrase</x:v>
      </x:c>
      <x:c r="K29" s="9" t="n">
        <x:v>25</x:v>
      </x:c>
      <x:c r="L29" s="9" t="n">
        <x:v>64</x:v>
      </x:c>
      <x:c r="M29" s="9" t="str">
        <x:v>Paraphrase of the direct-category matched control grounded by training episode 64. The modified control scene and physical target are unchanged.</x:v>
      </x:c>
      <x:c r="N29" s="9" t="n">
        <x:v>2</x:v>
      </x:c>
      <x:c r="O29" s="9" t="str">
        <x:v>Reset the target to its marked pose; preserve the exact modified control scene and change only the direct instruction wording.</x:v>
      </x:c>
      <x:c r="P29" s="9" t="str">
        <x:v>Language diagnostic for the pure manipulation control; no state word or state-based selection is required. The scene is an exact copy of the referenced canonical row.</x:v>
      </x:c>
      <x:c r="Q29" s="9"/>
      <x:c r="R29" s="10" t="n">
        <x:v>3</x:v>
      </x:c>
      <x:c r="S29" s="10" t="n">
        <x:v>1</x:v>
      </x:c>
      <x:c r="T29" s="9" t="str">
        <x:v>Empty</x:v>
      </x:c>
      <x:c r="U29" s="9" t="str">
        <x:v>N/A</x:v>
      </x:c>
      <x:c r="V29" s="9" t="str">
        <x:v>yellow-white striped cup</x:v>
      </x:c>
      <x:c r="W29" s="9"/>
      <x:c r="X29" s="10"/>
      <x:c r="Y29" s="10"/>
      <x:c r="Z29" s="9"/>
      <x:c r="AA29" s="9"/>
      <x:c r="AB29" s="9"/>
      <x:c r="AC29" s="9"/>
      <x:c r="AD29" s="9"/>
      <x:c r="AE29" s="9"/>
      <x:c r="AF29" s="9"/>
      <x:c r="AG29" s="9"/>
      <x:c r="AH29" s="9"/>
      <x:c r="AI29" s="11"/>
      <x:c r="AJ29" s="9"/>
      <x:c r="AK29" s="9" t="str">
        <x:v>Eval_State_Recognition.xlsm</x:v>
      </x:c>
      <x:c r="AL29" s="9" t="str">
        <x:v>pi0.5 Results</x:v>
      </x:c>
      <x:c r="AM29" s="9" t="n">
        <x:v>29</x:v>
      </x:c>
      <x:c r="AN29" s="9" t="n">
        <x:v>29</x:v>
      </x:c>
    </x:row>
    <x:row r="30">
      <x:c r="A30" s="9" t="str">
        <x:v>Failure</x:v>
      </x:c>
      <x:c r="B30" s="9" t="str">
        <x:v>State Recognition</x:v>
      </x:c>
      <x:c r="C30" s="10" t="n">
        <x:v>28</x:v>
      </x:c>
      <x:c r="D30" s="9" t="str">
        <x:v>Place the upright glass spice container in the bowl.</x:v>
      </x:c>
      <x:c r="E30" s="9" t="str">
        <x:v>glass spice container B (C, RU); glass spice container A (C, UD)</x:v>
      </x:c>
      <x:c r="F30" s="9" t="str">
        <x:v>glass spice container B</x:v>
      </x:c>
      <x:c r="G30" s="9" t="str">
        <x:v>Placed the upside down one in the bowl</x:v>
      </x:c>
      <x:c r="H30" s="9" t="str">
        <x:v>Concept/compositional transfer</x:v>
      </x:c>
      <x:c r="I30" s="9" t="str">
        <x:v>SR-CT04</x:v>
      </x:c>
      <x:c r="J30" s="9" t="str">
        <x:v>Primary held-out state-object composition</x:v>
      </x:c>
      <x:c r="K30" s="9"/>
      <x:c r="L30" s="9" t="str">
        <x:v>169</x:v>
      </x:c>
      <x:c r="M30" s="9" t="str">
        <x:v>Physical-state and manipulation-trajectory reference under a direct category prompt; the evaluated state word × object-category cell is intentionally absent from training.</x:v>
      </x:c>
      <x:c r="N30" s="9" t="n">
        <x:v>2</x:v>
      </x:c>
      <x:c r="O30" s="9" t="str">
        <x:v>Build the listed same-category discrimination scene with the bowl empty.</x:v>
      </x:c>
      <x:c r="P30" s="9" t="str">
        <x:v>Two same-category candidates share the non-queried state axis; only the held-out state word identifies the target. The same-category candidates share the orthogonal C/O state (C).</x:v>
      </x:c>
      <x:c r="Q30" s="9"/>
      <x:c r="R30" s="10" t="n">
        <x:v>2</x:v>
      </x:c>
      <x:c r="S30" s="10" t="n">
        <x:v>1</x:v>
      </x:c>
      <x:c r="T30" s="9" t="str">
        <x:v>Empty</x:v>
      </x:c>
      <x:c r="U30" s="9" t="str">
        <x:v>RU</x:v>
      </x:c>
      <x:c r="V30" s="9" t="str">
        <x:v>glass spice container</x:v>
      </x:c>
      <x:c r="W30" s="9"/>
      <x:c r="X30" s="10"/>
      <x:c r="Y30" s="10"/>
      <x:c r="Z30" s="9"/>
      <x:c r="AA30" s="9"/>
      <x:c r="AB30" s="9"/>
      <x:c r="AC30" s="9"/>
      <x:c r="AD30" s="9"/>
      <x:c r="AE30" s="9"/>
      <x:c r="AF30" s="9"/>
      <x:c r="AG30" s="9"/>
      <x:c r="AH30" s="9"/>
      <x:c r="AI30" s="11"/>
      <x:c r="AJ30" s="9"/>
      <x:c r="AK30" s="9" t="str">
        <x:v>Eval_State_Recognition.xlsm</x:v>
      </x:c>
      <x:c r="AL30" s="9" t="str">
        <x:v>pi0.5 Results</x:v>
      </x:c>
      <x:c r="AM30" s="9" t="n">
        <x:v>30</x:v>
      </x:c>
      <x:c r="AN30" s="9" t="n">
        <x:v>30</x:v>
      </x:c>
    </x:row>
    <x:row r="31">
      <x:c r="A31" s="9" t="str">
        <x:v>Success</x:v>
      </x:c>
      <x:c r="B31" s="9" t="str">
        <x:v>State Recognition</x:v>
      </x:c>
      <x:c r="C31" s="10" t="n">
        <x:v>29</x:v>
      </x:c>
      <x:c r="D31" s="9" t="str">
        <x:v>Place a glass spice container in the bowl.</x:v>
      </x:c>
      <x:c r="E31" s="9" t="str">
        <x:v>glass spice container B (C, RU); white cup B (C, UD)</x:v>
      </x:c>
      <x:c r="F31" s="9" t="str">
        <x:v>glass spice container B</x:v>
      </x:c>
      <x:c r="G31" s="9"/>
      <x:c r="H31" s="9" t="str">
        <x:v>Matched manipulation control</x:v>
      </x:c>
      <x:c r="I31" s="9" t="str">
        <x:v>SR-CT04</x:v>
      </x:c>
      <x:c r="J31" s="9" t="str">
        <x:v>One-object-substitution direct-category control</x:v>
      </x:c>
      <x:c r="K31" s="9" t="n">
        <x:v>28</x:v>
      </x:c>
      <x:c r="L31" s="9" t="n">
        <x:v>169</x:v>
      </x:c>
      <x:c r="M31" s="9" t="str">
        <x:v>Exact direct-category manipulation prompt from training episode 169. The transfer target, state, and pose are preserved; only the competing glass spice container is replaced by white cup B.</x:v>
      </x:c>
      <x:c r="N31" s="9" t="n">
        <x:v>2</x:v>
      </x:c>
      <x:c r="O31" s="9" t="str">
        <x:v>Reset glass spice container B to its transfer pose. Replace glass spice container A with white cup B in the same location and use the states listed in this row; preserve all other objects.</x:v>
      </x:c>
      <x:c r="P31" s="9" t="str">
        <x:v>Pure recognition/manipulation control: the prompt uniquely names the only object from the target category, while the physical target remains identical to the transfer row.</x:v>
      </x:c>
      <x:c r="Q31" s="9"/>
      <x:c r="R31" s="10" t="n">
        <x:v>2</x:v>
      </x:c>
      <x:c r="S31" s="10" t="n">
        <x:v>1</x:v>
      </x:c>
      <x:c r="T31" s="9" t="str">
        <x:v>Empty</x:v>
      </x:c>
      <x:c r="U31" s="9" t="str">
        <x:v>N/A</x:v>
      </x:c>
      <x:c r="V31" s="9" t="str">
        <x:v>glass spice container</x:v>
      </x:c>
      <x:c r="W31" s="9"/>
      <x:c r="X31" s="10"/>
      <x:c r="Y31" s="10"/>
      <x:c r="Z31" s="9"/>
      <x:c r="AA31" s="9"/>
      <x:c r="AB31" s="9"/>
      <x:c r="AC31" s="9"/>
      <x:c r="AD31" s="9"/>
      <x:c r="AE31" s="9"/>
      <x:c r="AF31" s="9"/>
      <x:c r="AG31" s="9"/>
      <x:c r="AH31" s="9"/>
      <x:c r="AI31" s="11"/>
      <x:c r="AJ31" s="9"/>
      <x:c r="AK31" s="9" t="str">
        <x:v>Eval_State_Recognition.xlsm</x:v>
      </x:c>
      <x:c r="AL31" s="9" t="str">
        <x:v>pi0.5 Results</x:v>
      </x:c>
      <x:c r="AM31" s="9" t="n">
        <x:v>31</x:v>
      </x:c>
      <x:c r="AN31" s="9" t="n">
        <x:v>31</x:v>
      </x:c>
    </x:row>
    <x:row r="32">
      <x:c r="A32" s="9" t="str">
        <x:v>Failure</x:v>
      </x:c>
      <x:c r="B32" s="9" t="str">
        <x:v>State Recognition</x:v>
      </x:c>
      <x:c r="C32" s="10" t="n">
        <x:v>30</x:v>
      </x:c>
      <x:c r="D32" s="9" t="str">
        <x:v>Move the right-side-up glass spice container into the bowl.</x:v>
      </x:c>
      <x:c r="E32" s="9" t="str">
        <x:v>glass spice container B (C, RU); glass spice container A (C, UD)</x:v>
      </x:c>
      <x:c r="F32" s="9" t="str">
        <x:v>glass spice container B</x:v>
      </x:c>
      <x:c r="G32" s="9" t="str">
        <x:v>Placed the upside down one in the bowl</x:v>
      </x:c>
      <x:c r="H32" s="9" t="str">
        <x:v>Language robustness</x:v>
      </x:c>
      <x:c r="I32" s="9" t="str">
        <x:v>SR-CT04</x:v>
      </x:c>
      <x:c r="J32" s="9" t="str">
        <x:v>Primary compositional-transfer prompt paraphrase</x:v>
      </x:c>
      <x:c r="K32" s="9" t="n">
        <x:v>28</x:v>
      </x:c>
      <x:c r="L32" s="9" t="str">
        <x:v>169</x:v>
      </x:c>
      <x:c r="M32" s="9" t="str">
        <x:v>The canonical transfer scene and masked trajectory reference are unchanged; only the evaluation wording is paraphrased. This remains a language diagnostic and is not pooled into the primary 50.</x:v>
      </x:c>
      <x:c r="N32" s="9" t="n">
        <x:v>2</x:v>
      </x:c>
      <x:c r="O32" s="9" t="str">
        <x:v>Reset the moved object exactly; preserve every object and state; change only the prompt wording.</x:v>
      </x:c>
      <x:c r="P32" s="9" t="str">
        <x:v>Exact-scene paraphrase of one of the 50 canonical compositional-transfer trials. The same-category candidates share the orthogonal C/O state (C). The scene is an exact copy of the referenced canonical row.</x:v>
      </x:c>
      <x:c r="Q32" s="9"/>
      <x:c r="R32" s="10" t="n">
        <x:v>2</x:v>
      </x:c>
      <x:c r="S32" s="10" t="n">
        <x:v>1</x:v>
      </x:c>
      <x:c r="T32" s="9" t="str">
        <x:v>Empty</x:v>
      </x:c>
      <x:c r="U32" s="9" t="str">
        <x:v>RU</x:v>
      </x:c>
      <x:c r="V32" s="9" t="str">
        <x:v>glass spice container</x:v>
      </x:c>
      <x:c r="W32" s="9"/>
      <x:c r="X32" s="10"/>
      <x:c r="Y32" s="10"/>
      <x:c r="Z32" s="9"/>
      <x:c r="AA32" s="9"/>
      <x:c r="AB32" s="9"/>
      <x:c r="AC32" s="9"/>
      <x:c r="AD32" s="9"/>
      <x:c r="AE32" s="9"/>
      <x:c r="AF32" s="9"/>
      <x:c r="AG32" s="9"/>
      <x:c r="AH32" s="9"/>
      <x:c r="AI32" s="11"/>
      <x:c r="AJ32" s="9"/>
      <x:c r="AK32" s="9" t="str">
        <x:v>Eval_State_Recognition.xlsm</x:v>
      </x:c>
      <x:c r="AL32" s="9" t="str">
        <x:v>pi0.5 Results</x:v>
      </x:c>
      <x:c r="AM32" s="9" t="n">
        <x:v>32</x:v>
      </x:c>
      <x:c r="AN32" s="9" t="n">
        <x:v>32</x:v>
      </x:c>
    </x:row>
    <x:row r="33">
      <x:c r="A33" s="9" t="str">
        <x:v>Success</x:v>
      </x:c>
      <x:c r="B33" s="9" t="str">
        <x:v>State Recognition</x:v>
      </x:c>
      <x:c r="C33" s="10" t="n">
        <x:v>31</x:v>
      </x:c>
      <x:c r="D33" s="9" t="str">
        <x:v>Move the glass spice container from the workspace into the bowl.</x:v>
      </x:c>
      <x:c r="E33" s="9" t="str">
        <x:v>glass spice container B (C, RU); white cup B (C, UD)</x:v>
      </x:c>
      <x:c r="F33" s="9" t="str">
        <x:v>glass spice container B</x:v>
      </x:c>
      <x:c r="G33" s="9"/>
      <x:c r="H33" s="9" t="str">
        <x:v>Language robustness</x:v>
      </x:c>
      <x:c r="I33" s="9" t="str">
        <x:v>SR-CT04</x:v>
      </x:c>
      <x:c r="J33" s="9" t="str">
        <x:v>Direct-category matched-control paraphrase</x:v>
      </x:c>
      <x:c r="K33" s="9" t="n">
        <x:v>29</x:v>
      </x:c>
      <x:c r="L33" s="9" t="n">
        <x:v>169</x:v>
      </x:c>
      <x:c r="M33" s="9" t="str">
        <x:v>Paraphrase of the direct-category matched control grounded by training episode 169. The modified control scene and physical target are unchanged.</x:v>
      </x:c>
      <x:c r="N33" s="9" t="n">
        <x:v>2</x:v>
      </x:c>
      <x:c r="O33" s="9" t="str">
        <x:v>Reset the target to its marked pose; preserve the exact modified control scene and change only the direct instruction wording.</x:v>
      </x:c>
      <x:c r="P33" s="9" t="str">
        <x:v>Language diagnostic for the pure manipulation control; no state word or state-based selection is required. The scene is an exact copy of the referenced canonical row.</x:v>
      </x:c>
      <x:c r="Q33" s="9"/>
      <x:c r="R33" s="10" t="n">
        <x:v>2</x:v>
      </x:c>
      <x:c r="S33" s="10" t="n">
        <x:v>1</x:v>
      </x:c>
      <x:c r="T33" s="9" t="str">
        <x:v>Empty</x:v>
      </x:c>
      <x:c r="U33" s="9" t="str">
        <x:v>N/A</x:v>
      </x:c>
      <x:c r="V33" s="9" t="str">
        <x:v>glass spice container</x:v>
      </x:c>
      <x:c r="W33" s="9"/>
      <x:c r="X33" s="10"/>
      <x:c r="Y33" s="10"/>
      <x:c r="Z33" s="9"/>
      <x:c r="AA33" s="9"/>
      <x:c r="AB33" s="9"/>
      <x:c r="AC33" s="9"/>
      <x:c r="AD33" s="9"/>
      <x:c r="AE33" s="9"/>
      <x:c r="AF33" s="9"/>
      <x:c r="AG33" s="9"/>
      <x:c r="AH33" s="9"/>
      <x:c r="AI33" s="11"/>
      <x:c r="AJ33" s="9"/>
      <x:c r="AK33" s="9" t="str">
        <x:v>Eval_State_Recognition.xlsm</x:v>
      </x:c>
      <x:c r="AL33" s="9" t="str">
        <x:v>pi0.5 Results</x:v>
      </x:c>
      <x:c r="AM33" s="9" t="n">
        <x:v>33</x:v>
      </x:c>
      <x:c r="AN33" s="9" t="n">
        <x:v>33</x:v>
      </x:c>
    </x:row>
    <x:row r="34">
      <x:c r="A34" s="9" t="str">
        <x:v>Success</x:v>
      </x:c>
      <x:c r="B34" s="9" t="str">
        <x:v>State Recognition</x:v>
      </x:c>
      <x:c r="C34" s="10" t="n">
        <x:v>32</x:v>
      </x:c>
      <x:c r="D34" s="9" t="str">
        <x:v>Place the upside-down white cup in the bowl.</x:v>
      </x:c>
      <x:c r="E34" s="9" t="str">
        <x:v>white cup A (O, UD); white cup B (O, RU); brown cup A (C, RU)</x:v>
      </x:c>
      <x:c r="F34" s="9" t="str">
        <x:v>white cup A</x:v>
      </x:c>
      <x:c r="G34" s="9"/>
      <x:c r="H34" s="9" t="str">
        <x:v>Concept/compositional transfer</x:v>
      </x:c>
      <x:c r="I34" s="9" t="str">
        <x:v>SR-CT05</x:v>
      </x:c>
      <x:c r="J34" s="9" t="str">
        <x:v>Primary held-out state-object composition</x:v>
      </x:c>
      <x:c r="K34" s="9"/>
      <x:c r="L34" s="9" t="str">
        <x:v>30</x:v>
      </x:c>
      <x:c r="M34" s="9" t="str">
        <x:v>Physical-state and manipulation-trajectory reference under a direct category prompt; the evaluated state word × object-category cell is intentionally absent from training.</x:v>
      </x:c>
      <x:c r="N34" s="9" t="n">
        <x:v>2</x:v>
      </x:c>
      <x:c r="O34" s="9" t="str">
        <x:v>Build the listed same-category discrimination scene with the bowl empty.</x:v>
      </x:c>
      <x:c r="P34" s="9" t="str">
        <x:v>Two same-category candidates share the non-queried state axis; only the held-out state word identifies the target. The same-category candidates share the orthogonal C/O state (O).</x:v>
      </x:c>
      <x:c r="Q34" s="9"/>
      <x:c r="R34" s="10" t="n">
        <x:v>3</x:v>
      </x:c>
      <x:c r="S34" s="10" t="n">
        <x:v>1</x:v>
      </x:c>
      <x:c r="T34" s="9" t="str">
        <x:v>Empty</x:v>
      </x:c>
      <x:c r="U34" s="9" t="str">
        <x:v>UD</x:v>
      </x:c>
      <x:c r="V34" s="9" t="str">
        <x:v>white cup</x:v>
      </x:c>
      <x:c r="W34" s="9"/>
      <x:c r="X34" s="10"/>
      <x:c r="Y34" s="10"/>
      <x:c r="Z34" s="9"/>
      <x:c r="AA34" s="9"/>
      <x:c r="AB34" s="9"/>
      <x:c r="AC34" s="9"/>
      <x:c r="AD34" s="9"/>
      <x:c r="AE34" s="9"/>
      <x:c r="AF34" s="9"/>
      <x:c r="AG34" s="9"/>
      <x:c r="AH34" s="9"/>
      <x:c r="AI34" s="11"/>
      <x:c r="AJ34" s="9"/>
      <x:c r="AK34" s="9" t="str">
        <x:v>Eval_State_Recognition.xlsm</x:v>
      </x:c>
      <x:c r="AL34" s="9" t="str">
        <x:v>pi0.5 Results</x:v>
      </x:c>
      <x:c r="AM34" s="9" t="n">
        <x:v>34</x:v>
      </x:c>
      <x:c r="AN34" s="9" t="n">
        <x:v>34</x:v>
      </x:c>
    </x:row>
    <x:row r="35">
      <x:c r="A35" s="9" t="str">
        <x:v>Success</x:v>
      </x:c>
      <x:c r="B35" s="9" t="str">
        <x:v>State Recognition</x:v>
      </x:c>
      <x:c r="C35" s="10" t="n">
        <x:v>33</x:v>
      </x:c>
      <x:c r="D35" s="9" t="str">
        <x:v>Move a white cup into the bowl.</x:v>
      </x:c>
      <x:c r="E35" s="9" t="str">
        <x:v>white cup A (O, UD); yellow-white striped cup A (O, RU); brown cup A (C, RU)</x:v>
      </x:c>
      <x:c r="F35" s="9" t="str">
        <x:v>white cup A</x:v>
      </x:c>
      <x:c r="G35" s="9"/>
      <x:c r="H35" s="9" t="str">
        <x:v>Matched manipulation control</x:v>
      </x:c>
      <x:c r="I35" s="9" t="str">
        <x:v>SR-CT05</x:v>
      </x:c>
      <x:c r="J35" s="9" t="str">
        <x:v>One-object-substitution direct-category control</x:v>
      </x:c>
      <x:c r="K35" s="9" t="n">
        <x:v>32</x:v>
      </x:c>
      <x:c r="L35" s="9" t="n">
        <x:v>30</x:v>
      </x:c>
      <x:c r="M35" s="9" t="str">
        <x:v>Exact direct-category manipulation prompt from training episode 30. The transfer target, state, and pose are preserved; only the competing white cup is replaced by yellow-white striped cup A.</x:v>
      </x:c>
      <x:c r="N35" s="9" t="n">
        <x:v>2</x:v>
      </x:c>
      <x:c r="O35" s="9" t="str">
        <x:v>Reset white cup A to its transfer pose. Replace white cup B with yellow-white striped cup A in the same location and use the states listed in this row; preserve all other objects.</x:v>
      </x:c>
      <x:c r="P35" s="9" t="str">
        <x:v>Pure recognition/manipulation control: the prompt uniquely names the only object from the target category, while the physical target remains identical to the transfer row.</x:v>
      </x:c>
      <x:c r="Q35" s="9"/>
      <x:c r="R35" s="10" t="n">
        <x:v>3</x:v>
      </x:c>
      <x:c r="S35" s="10" t="n">
        <x:v>1</x:v>
      </x:c>
      <x:c r="T35" s="9" t="str">
        <x:v>Empty</x:v>
      </x:c>
      <x:c r="U35" s="9" t="str">
        <x:v>N/A</x:v>
      </x:c>
      <x:c r="V35" s="9" t="str">
        <x:v>white cup</x:v>
      </x:c>
      <x:c r="W35" s="9"/>
      <x:c r="X35" s="10"/>
      <x:c r="Y35" s="10"/>
      <x:c r="Z35" s="9"/>
      <x:c r="AA35" s="9"/>
      <x:c r="AB35" s="9"/>
      <x:c r="AC35" s="9"/>
      <x:c r="AD35" s="9"/>
      <x:c r="AE35" s="9"/>
      <x:c r="AF35" s="9"/>
      <x:c r="AG35" s="9"/>
      <x:c r="AH35" s="9"/>
      <x:c r="AI35" s="11"/>
      <x:c r="AJ35" s="9"/>
      <x:c r="AK35" s="9" t="str">
        <x:v>Eval_State_Recognition.xlsm</x:v>
      </x:c>
      <x:c r="AL35" s="9" t="str">
        <x:v>pi0.5 Results</x:v>
      </x:c>
      <x:c r="AM35" s="9" t="n">
        <x:v>35</x:v>
      </x:c>
      <x:c r="AN35" s="9" t="n">
        <x:v>35</x:v>
      </x:c>
    </x:row>
    <x:row r="36">
      <x:c r="A36" s="9" t="str">
        <x:v>Failure</x:v>
      </x:c>
      <x:c r="B36" s="9" t="str">
        <x:v>State Recognition</x:v>
      </x:c>
      <x:c r="C36" s="10" t="n">
        <x:v>34</x:v>
      </x:c>
      <x:c r="D36" s="9" t="str">
        <x:v>Move the inverted white cup into the bowl.</x:v>
      </x:c>
      <x:c r="E36" s="9" t="str">
        <x:v>white cup A (O, UD); white cup B (O, RU); brown cup A (C, RU)</x:v>
      </x:c>
      <x:c r="F36" s="9" t="str">
        <x:v>white cup A</x:v>
      </x:c>
      <x:c r="G36" s="9" t="str">
        <x:v>picked the upright cup</x:v>
      </x:c>
      <x:c r="H36" s="9" t="str">
        <x:v>Language robustness</x:v>
      </x:c>
      <x:c r="I36" s="9" t="str">
        <x:v>SR-CT05</x:v>
      </x:c>
      <x:c r="J36" s="9" t="str">
        <x:v>Primary compositional-transfer prompt paraphrase</x:v>
      </x:c>
      <x:c r="K36" s="9" t="n">
        <x:v>32</x:v>
      </x:c>
      <x:c r="L36" s="9" t="str">
        <x:v>30</x:v>
      </x:c>
      <x:c r="M36" s="9" t="str">
        <x:v>The canonical transfer scene and masked trajectory reference are unchanged; only the evaluation wording is paraphrased. This remains a language diagnostic and is not pooled into the primary 50.</x:v>
      </x:c>
      <x:c r="N36" s="9" t="n">
        <x:v>2</x:v>
      </x:c>
      <x:c r="O36" s="9" t="str">
        <x:v>Reset the moved object exactly; preserve every object and state; change only the prompt wording.</x:v>
      </x:c>
      <x:c r="P36" s="9" t="str">
        <x:v>Exact-scene paraphrase of one of the 50 canonical compositional-transfer trials. The same-category candidates share the orthogonal C/O state (O). The scene is an exact copy of the referenced canonical row.</x:v>
      </x:c>
      <x:c r="Q36" s="9"/>
      <x:c r="R36" s="10" t="n">
        <x:v>3</x:v>
      </x:c>
      <x:c r="S36" s="10" t="n">
        <x:v>1</x:v>
      </x:c>
      <x:c r="T36" s="9" t="str">
        <x:v>Empty</x:v>
      </x:c>
      <x:c r="U36" s="9" t="str">
        <x:v>UD</x:v>
      </x:c>
      <x:c r="V36" s="9" t="str">
        <x:v>white cup</x:v>
      </x:c>
      <x:c r="W36" s="9"/>
      <x:c r="X36" s="10"/>
      <x:c r="Y36" s="10"/>
      <x:c r="Z36" s="9"/>
      <x:c r="AA36" s="9"/>
      <x:c r="AB36" s="9"/>
      <x:c r="AC36" s="9"/>
      <x:c r="AD36" s="9"/>
      <x:c r="AE36" s="9"/>
      <x:c r="AF36" s="9"/>
      <x:c r="AG36" s="9"/>
      <x:c r="AH36" s="9"/>
      <x:c r="AI36" s="11"/>
      <x:c r="AJ36" s="9"/>
      <x:c r="AK36" s="9" t="str">
        <x:v>Eval_State_Recognition.xlsm</x:v>
      </x:c>
      <x:c r="AL36" s="9" t="str">
        <x:v>pi0.5 Results</x:v>
      </x:c>
      <x:c r="AM36" s="9" t="n">
        <x:v>36</x:v>
      </x:c>
      <x:c r="AN36" s="9" t="n">
        <x:v>36</x:v>
      </x:c>
    </x:row>
    <x:row r="37">
      <x:c r="A37" s="9" t="str">
        <x:v>Success</x:v>
      </x:c>
      <x:c r="B37" s="9" t="str">
        <x:v>State Recognition</x:v>
      </x:c>
      <x:c r="C37" s="10" t="n">
        <x:v>35</x:v>
      </x:c>
      <x:c r="D37" s="9" t="str">
        <x:v>Set the white cup inside the bowl.</x:v>
      </x:c>
      <x:c r="E37" s="9" t="str">
        <x:v>white cup A (O, UD); yellow-white striped cup A (O, RU); brown cup A (C, RU)</x:v>
      </x:c>
      <x:c r="F37" s="9" t="str">
        <x:v>white cup A</x:v>
      </x:c>
      <x:c r="G37" s="9"/>
      <x:c r="H37" s="9" t="str">
        <x:v>Language robustness</x:v>
      </x:c>
      <x:c r="I37" s="9" t="str">
        <x:v>SR-CT05</x:v>
      </x:c>
      <x:c r="J37" s="9" t="str">
        <x:v>Direct-category matched-control paraphrase</x:v>
      </x:c>
      <x:c r="K37" s="9" t="n">
        <x:v>33</x:v>
      </x:c>
      <x:c r="L37" s="9" t="n">
        <x:v>30</x:v>
      </x:c>
      <x:c r="M37" s="9" t="str">
        <x:v>Paraphrase of the direct-category matched control grounded by training episode 30. The modified control scene and physical target are unchanged.</x:v>
      </x:c>
      <x:c r="N37" s="9" t="n">
        <x:v>2</x:v>
      </x:c>
      <x:c r="O37" s="9" t="str">
        <x:v>Reset the target to its marked pose; preserve the exact modified control scene and change only the direct instruction wording.</x:v>
      </x:c>
      <x:c r="P37" s="9" t="str">
        <x:v>Language diagnostic for the pure manipulation control; no state word or state-based selection is required. The scene is an exact copy of the referenced canonical row.</x:v>
      </x:c>
      <x:c r="Q37" s="9"/>
      <x:c r="R37" s="10" t="n">
        <x:v>3</x:v>
      </x:c>
      <x:c r="S37" s="10" t="n">
        <x:v>1</x:v>
      </x:c>
      <x:c r="T37" s="9" t="str">
        <x:v>Empty</x:v>
      </x:c>
      <x:c r="U37" s="9" t="str">
        <x:v>N/A</x:v>
      </x:c>
      <x:c r="V37" s="9" t="str">
        <x:v>white cup</x:v>
      </x:c>
      <x:c r="W37" s="9"/>
      <x:c r="X37" s="10"/>
      <x:c r="Y37" s="10"/>
      <x:c r="Z37" s="9"/>
      <x:c r="AA37" s="9"/>
      <x:c r="AB37" s="9"/>
      <x:c r="AC37" s="9"/>
      <x:c r="AD37" s="9"/>
      <x:c r="AE37" s="9"/>
      <x:c r="AF37" s="9"/>
      <x:c r="AG37" s="9"/>
      <x:c r="AH37" s="9"/>
      <x:c r="AI37" s="11"/>
      <x:c r="AJ37" s="9"/>
      <x:c r="AK37" s="9" t="str">
        <x:v>Eval_State_Recognition.xlsm</x:v>
      </x:c>
      <x:c r="AL37" s="9" t="str">
        <x:v>pi0.5 Results</x:v>
      </x:c>
      <x:c r="AM37" s="9" t="n">
        <x:v>37</x:v>
      </x:c>
      <x:c r="AN37" s="9" t="n">
        <x:v>37</x:v>
      </x:c>
    </x:row>
    <x:row r="38">
      <x:c r="A38" s="9" t="str">
        <x:v>Failure</x:v>
      </x:c>
      <x:c r="B38" s="9" t="str">
        <x:v>State Recognition</x:v>
      </x:c>
      <x:c r="C38" s="10" t="n">
        <x:v>36</x:v>
      </x:c>
      <x:c r="D38" s="9" t="str">
        <x:v>Place the closed brown cup in the bowl.</x:v>
      </x:c>
      <x:c r="E38" s="9" t="str">
        <x:v>brown cup A (C, RU); brown cup B (O, RU); glass spice container A (C, RU); white cup B (O, RU)</x:v>
      </x:c>
      <x:c r="F38" s="9" t="str">
        <x:v>brown cup A</x:v>
      </x:c>
      <x:c r="G38" s="9" t="str">
        <x:v>picked the open cup</x:v>
      </x:c>
      <x:c r="H38" s="9" t="str">
        <x:v>Concept/compositional transfer</x:v>
      </x:c>
      <x:c r="I38" s="9" t="str">
        <x:v>SR-CT03</x:v>
      </x:c>
      <x:c r="J38" s="9" t="str">
        <x:v>Primary held-out state-object composition</x:v>
      </x:c>
      <x:c r="K38" s="9"/>
      <x:c r="L38" s="9" t="str">
        <x:v>100</x:v>
      </x:c>
      <x:c r="M38"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38" s="9" t="n">
        <x:v>2</x:v>
      </x:c>
      <x:c r="O38" s="9" t="str">
        <x:v>Build the listed same-category discrimination scene with the bowl empty.</x:v>
      </x:c>
      <x:c r="P38" s="9" t="str">
        <x:v>Two same-category candidates share the non-queried state axis; only the held-out state word identifies the target. The orthogonal orientation axis is fixed: every object is RU.</x:v>
      </x:c>
      <x:c r="Q38" s="9"/>
      <x:c r="R38" s="10" t="n">
        <x:v>4</x:v>
      </x:c>
      <x:c r="S38" s="10" t="n">
        <x:v>1</x:v>
      </x:c>
      <x:c r="T38" s="9" t="str">
        <x:v>Empty</x:v>
      </x:c>
      <x:c r="U38" s="9" t="str">
        <x:v>C</x:v>
      </x:c>
      <x:c r="V38" s="9" t="str">
        <x:v>brown cup</x:v>
      </x:c>
      <x:c r="W38" s="9"/>
      <x:c r="X38" s="10"/>
      <x:c r="Y38" s="10"/>
      <x:c r="Z38" s="9"/>
      <x:c r="AA38" s="9"/>
      <x:c r="AB38" s="9"/>
      <x:c r="AC38" s="9"/>
      <x:c r="AD38" s="9"/>
      <x:c r="AE38" s="9"/>
      <x:c r="AF38" s="9"/>
      <x:c r="AG38" s="9"/>
      <x:c r="AH38" s="9"/>
      <x:c r="AI38" s="11"/>
      <x:c r="AJ38" s="9"/>
      <x:c r="AK38" s="9" t="str">
        <x:v>Eval_State_Recognition.xlsm</x:v>
      </x:c>
      <x:c r="AL38" s="9" t="str">
        <x:v>pi0.5 Results</x:v>
      </x:c>
      <x:c r="AM38" s="9" t="n">
        <x:v>38</x:v>
      </x:c>
      <x:c r="AN38" s="9" t="n">
        <x:v>38</x:v>
      </x:c>
    </x:row>
    <x:row r="39">
      <x:c r="A39" s="9" t="str">
        <x:v>Success</x:v>
      </x:c>
      <x:c r="B39" s="9" t="str">
        <x:v>State Recognition</x:v>
      </x:c>
      <x:c r="C39" s="10" t="n">
        <x:v>37</x:v>
      </x:c>
      <x:c r="D39" s="9" t="str">
        <x:v>Place a brown cup in the bowl.</x:v>
      </x:c>
      <x:c r="E39" s="9" t="str">
        <x:v>brown cup A (C, RU); yellow-white striped cup A (O, RU); glass spice container A (C, RU); white cup B (O, RU)</x:v>
      </x:c>
      <x:c r="F39" s="9" t="str">
        <x:v>brown cup A</x:v>
      </x:c>
      <x:c r="G39" s="9"/>
      <x:c r="H39" s="9" t="str">
        <x:v>Matched manipulation control</x:v>
      </x:c>
      <x:c r="I39" s="9" t="str">
        <x:v>SR-CT03</x:v>
      </x:c>
      <x:c r="J39" s="9" t="str">
        <x:v>One-object-substitution direct-category control</x:v>
      </x:c>
      <x:c r="K39" s="9" t="n">
        <x:v>36</x:v>
      </x:c>
      <x:c r="L39" s="9" t="n">
        <x:v>100</x:v>
      </x:c>
      <x:c r="M39" s="9" t="str">
        <x:v>Exact direct-category manipulation prompt from training episode 100. The transfer target, state, and pose are preserved; only the competing brown cup is replaced by yellow-white striped cup A. The full control scene is upright because its paired transfer instruction queries open/closed.</x:v>
      </x:c>
      <x:c r="N39" s="9" t="n">
        <x:v>2</x:v>
      </x:c>
      <x:c r="O39" s="9" t="str">
        <x:v>Reset brown cup A to its transfer pose. Replace brown cup B with yellow-white striped cup A in the same location and use the states listed in this row; preserve all other objects.</x:v>
      </x:c>
      <x:c r="P39" s="9" t="str">
        <x:v>Pure recognition/manipulation control: the prompt uniquely names the only object from the target category, while the physical target remains identical to the transfer row. Every object is RU.</x:v>
      </x:c>
      <x:c r="Q39" s="9"/>
      <x:c r="R39" s="10" t="n">
        <x:v>4</x:v>
      </x:c>
      <x:c r="S39" s="10" t="n">
        <x:v>1</x:v>
      </x:c>
      <x:c r="T39" s="9" t="str">
        <x:v>Empty</x:v>
      </x:c>
      <x:c r="U39" s="9" t="str">
        <x:v>N/A</x:v>
      </x:c>
      <x:c r="V39" s="9" t="str">
        <x:v>brown cup</x:v>
      </x:c>
      <x:c r="W39" s="9"/>
      <x:c r="X39" s="10"/>
      <x:c r="Y39" s="10"/>
      <x:c r="Z39" s="9"/>
      <x:c r="AA39" s="9"/>
      <x:c r="AB39" s="9"/>
      <x:c r="AC39" s="9"/>
      <x:c r="AD39" s="9"/>
      <x:c r="AE39" s="9"/>
      <x:c r="AF39" s="9"/>
      <x:c r="AG39" s="9"/>
      <x:c r="AH39" s="9"/>
      <x:c r="AI39" s="11"/>
      <x:c r="AJ39" s="9"/>
      <x:c r="AK39" s="9" t="str">
        <x:v>Eval_State_Recognition.xlsm</x:v>
      </x:c>
      <x:c r="AL39" s="9" t="str">
        <x:v>pi0.5 Results</x:v>
      </x:c>
      <x:c r="AM39" s="9" t="n">
        <x:v>39</x:v>
      </x:c>
      <x:c r="AN39" s="9" t="n">
        <x:v>39</x:v>
      </x:c>
    </x:row>
    <x:row r="40">
      <x:c r="A40" s="9" t="str">
        <x:v>Failure</x:v>
      </x:c>
      <x:c r="B40" s="9" t="str">
        <x:v>State Recognition</x:v>
      </x:c>
      <x:c r="C40" s="10" t="n">
        <x:v>38</x:v>
      </x:c>
      <x:c r="D40" s="9" t="str">
        <x:v>Move the brown cup whose opening is covered into the bowl.</x:v>
      </x:c>
      <x:c r="E40" s="9" t="str">
        <x:v>brown cup A (C, RU); brown cup B (O, RU); glass spice container A (C, RU); white cup B (O, RU)</x:v>
      </x:c>
      <x:c r="F40" s="9" t="str">
        <x:v>brown cup A</x:v>
      </x:c>
      <x:c r="G40" s="9" t="str">
        <x:v>picked the open cup</x:v>
      </x:c>
      <x:c r="H40" s="9" t="str">
        <x:v>Language robustness</x:v>
      </x:c>
      <x:c r="I40" s="9" t="str">
        <x:v>SR-CT03</x:v>
      </x:c>
      <x:c r="J40" s="9" t="str">
        <x:v>Primary compositional-transfer prompt paraphrase</x:v>
      </x:c>
      <x:c r="K40" s="9" t="n">
        <x:v>36</x:v>
      </x:c>
      <x:c r="L40" s="9" t="str">
        <x:v>100</x:v>
      </x:c>
      <x:c r="M40" s="9" t="str">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N40" s="9" t="n">
        <x:v>2</x:v>
      </x:c>
      <x:c r="O40" s="9" t="str">
        <x:v>Reset the moved object exactly; preserve every object and state; change only the prompt wording.</x:v>
      </x:c>
      <x:c r="P40" s="9" t="str">
        <x:v>Exact-scene paraphrase of one of the 50 canonical compositional-transfer trials. The orthogonal orientation axis is fixed: every object is RU. The scene is an exact copy of the referenced canonical row.</x:v>
      </x:c>
      <x:c r="Q40" s="9"/>
      <x:c r="R40" s="10" t="n">
        <x:v>4</x:v>
      </x:c>
      <x:c r="S40" s="10" t="n">
        <x:v>1</x:v>
      </x:c>
      <x:c r="T40" s="9" t="str">
        <x:v>Empty</x:v>
      </x:c>
      <x:c r="U40" s="9" t="str">
        <x:v>C</x:v>
      </x:c>
      <x:c r="V40" s="9" t="str">
        <x:v>brown cup</x:v>
      </x:c>
      <x:c r="W40" s="9"/>
      <x:c r="X40" s="10"/>
      <x:c r="Y40" s="10"/>
      <x:c r="Z40" s="9"/>
      <x:c r="AA40" s="9"/>
      <x:c r="AB40" s="9"/>
      <x:c r="AC40" s="9"/>
      <x:c r="AD40" s="9"/>
      <x:c r="AE40" s="9"/>
      <x:c r="AF40" s="9"/>
      <x:c r="AG40" s="9"/>
      <x:c r="AH40" s="9"/>
      <x:c r="AI40" s="11"/>
      <x:c r="AJ40" s="9"/>
      <x:c r="AK40" s="9" t="str">
        <x:v>Eval_State_Recognition.xlsm</x:v>
      </x:c>
      <x:c r="AL40" s="9" t="str">
        <x:v>pi0.5 Results</x:v>
      </x:c>
      <x:c r="AM40" s="9" t="n">
        <x:v>40</x:v>
      </x:c>
      <x:c r="AN40" s="9" t="n">
        <x:v>40</x:v>
      </x:c>
    </x:row>
    <x:row r="41">
      <x:c r="A41" s="9" t="str">
        <x:v>Success</x:v>
      </x:c>
      <x:c r="B41" s="9" t="str">
        <x:v>State Recognition</x:v>
      </x:c>
      <x:c r="C41" s="10" t="n">
        <x:v>39</x:v>
      </x:c>
      <x:c r="D41" s="9" t="str">
        <x:v>Take the brown cup off the table and place it in the bowl.</x:v>
      </x:c>
      <x:c r="E41" s="9" t="str">
        <x:v>brown cup A (C, RU); yellow-white striped cup A (O, RU); glass spice container A (C, RU); white cup B (O, RU)</x:v>
      </x:c>
      <x:c r="F41" s="9" t="str">
        <x:v>brown cup A</x:v>
      </x:c>
      <x:c r="G41" s="9"/>
      <x:c r="H41" s="9" t="str">
        <x:v>Language robustness</x:v>
      </x:c>
      <x:c r="I41" s="9" t="str">
        <x:v>SR-CT03</x:v>
      </x:c>
      <x:c r="J41" s="9" t="str">
        <x:v>Direct-category matched-control paraphrase</x:v>
      </x:c>
      <x:c r="K41" s="9" t="n">
        <x:v>37</x:v>
      </x:c>
      <x:c r="L41" s="9" t="n">
        <x:v>100</x:v>
      </x:c>
      <x:c r="M41" s="9" t="str">
        <x:v>Paraphrase of the direct-category matched control grounded by training episode 100. The modified control scene and physical target are unchanged.</x:v>
      </x:c>
      <x:c r="N41" s="9" t="n">
        <x:v>2</x:v>
      </x:c>
      <x:c r="O41" s="9" t="str">
        <x:v>Reset the target to its marked pose; preserve the exact modified control scene and change only the direct instruction wording.</x:v>
      </x:c>
      <x:c r="P41" s="9" t="str">
        <x:v>Language diagnostic for the pure manipulation control; no state word or state-based selection is required. The scene is an exact copy of the referenced canonical row.</x:v>
      </x:c>
      <x:c r="Q41" s="9"/>
      <x:c r="R41" s="10" t="n">
        <x:v>4</x:v>
      </x:c>
      <x:c r="S41" s="10" t="n">
        <x:v>1</x:v>
      </x:c>
      <x:c r="T41" s="9" t="str">
        <x:v>Empty</x:v>
      </x:c>
      <x:c r="U41" s="9" t="str">
        <x:v>N/A</x:v>
      </x:c>
      <x:c r="V41" s="9" t="str">
        <x:v>brown cup</x:v>
      </x:c>
      <x:c r="W41" s="9"/>
      <x:c r="X41" s="10"/>
      <x:c r="Y41" s="10"/>
      <x:c r="Z41" s="9"/>
      <x:c r="AA41" s="9"/>
      <x:c r="AB41" s="9"/>
      <x:c r="AC41" s="9"/>
      <x:c r="AD41" s="9"/>
      <x:c r="AE41" s="9"/>
      <x:c r="AF41" s="9"/>
      <x:c r="AG41" s="9"/>
      <x:c r="AH41" s="9"/>
      <x:c r="AI41" s="11"/>
      <x:c r="AJ41" s="9"/>
      <x:c r="AK41" s="9" t="str">
        <x:v>Eval_State_Recognition.xlsm</x:v>
      </x:c>
      <x:c r="AL41" s="9" t="str">
        <x:v>pi0.5 Results</x:v>
      </x:c>
      <x:c r="AM41" s="9" t="n">
        <x:v>41</x:v>
      </x:c>
      <x:c r="AN41" s="9" t="n">
        <x:v>41</x:v>
      </x:c>
    </x:row>
    <x:row r="42">
      <x:c r="A42" s="9" t="str">
        <x:v>Failure</x:v>
      </x:c>
      <x:c r="B42" s="9" t="str">
        <x:v>State Recognition</x:v>
      </x:c>
      <x:c r="C42" s="10" t="n">
        <x:v>40</x:v>
      </x:c>
      <x:c r="D42" s="9" t="str">
        <x:v>Place the open yellow-white striped cup in the bowl.</x:v>
      </x:c>
      <x:c r="E42" s="9" t="str">
        <x:v>yellow-white striped cup B (O, RU); yellow-white striped cup A (C, RU); glass spice container B (O, RU); white cup A (C, RU)</x:v>
      </x:c>
      <x:c r="F42" s="9" t="str">
        <x:v>yellow-white striped cup B</x:v>
      </x:c>
      <x:c r="G42" s="9" t="str">
        <x:v>picked closed cup</x:v>
      </x:c>
      <x:c r="H42" s="9" t="str">
        <x:v>Concept/compositional transfer</x:v>
      </x:c>
      <x:c r="I42" s="9" t="str">
        <x:v>SR-CT06</x:v>
      </x:c>
      <x:c r="J42" s="9" t="str">
        <x:v>Primary held-out state-object composition</x:v>
      </x:c>
      <x:c r="K42" s="9"/>
      <x:c r="L42" s="9" t="str">
        <x:v>53</x:v>
      </x:c>
      <x:c r="M42"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42" s="9" t="n">
        <x:v>2</x:v>
      </x:c>
      <x:c r="O42" s="9" t="str">
        <x:v>Build the listed same-category discrimination scene with the bowl empty.</x:v>
      </x:c>
      <x:c r="P42" s="9" t="str">
        <x:v>Two same-category candidates share the non-queried state axis; only the held-out state word identifies the target. The orthogonal orientation axis is fixed: every object is RU.</x:v>
      </x:c>
      <x:c r="Q42" s="9"/>
      <x:c r="R42" s="10" t="n">
        <x:v>4</x:v>
      </x:c>
      <x:c r="S42" s="10" t="n">
        <x:v>1</x:v>
      </x:c>
      <x:c r="T42" s="9" t="str">
        <x:v>Empty</x:v>
      </x:c>
      <x:c r="U42" s="9" t="str">
        <x:v>O</x:v>
      </x:c>
      <x:c r="V42" s="9" t="str">
        <x:v>yellow-white striped cup</x:v>
      </x:c>
      <x:c r="W42" s="9"/>
      <x:c r="X42" s="10"/>
      <x:c r="Y42" s="10"/>
      <x:c r="Z42" s="9"/>
      <x:c r="AA42" s="9"/>
      <x:c r="AB42" s="9"/>
      <x:c r="AC42" s="9"/>
      <x:c r="AD42" s="9"/>
      <x:c r="AE42" s="9"/>
      <x:c r="AF42" s="9"/>
      <x:c r="AG42" s="9"/>
      <x:c r="AH42" s="9"/>
      <x:c r="AI42" s="11"/>
      <x:c r="AJ42" s="9"/>
      <x:c r="AK42" s="9" t="str">
        <x:v>Eval_State_Recognition.xlsm</x:v>
      </x:c>
      <x:c r="AL42" s="9" t="str">
        <x:v>pi0.5 Results</x:v>
      </x:c>
      <x:c r="AM42" s="9" t="n">
        <x:v>42</x:v>
      </x:c>
      <x:c r="AN42" s="9" t="n">
        <x:v>42</x:v>
      </x:c>
    </x:row>
    <x:row r="43">
      <x:c r="A43" s="9" t="str">
        <x:v>Success</x:v>
      </x:c>
      <x:c r="B43" s="9" t="str">
        <x:v>State Recognition</x:v>
      </x:c>
      <x:c r="C43" s="10" t="n">
        <x:v>41</x:v>
      </x:c>
      <x:c r="D43" s="9" t="str">
        <x:v>Put a yellow-white striped cup in the bowl.</x:v>
      </x:c>
      <x:c r="E43" s="9" t="str">
        <x:v>yellow-white striped cup B (O, RU); brown cup B (C, RU); glass spice container B (O, RU); white cup A (C, RU)</x:v>
      </x:c>
      <x:c r="F43" s="9" t="str">
        <x:v>yellow-white striped cup B</x:v>
      </x:c>
      <x:c r="G43" s="9"/>
      <x:c r="H43" s="9" t="str">
        <x:v>Matched manipulation control</x:v>
      </x:c>
      <x:c r="I43" s="9" t="str">
        <x:v>SR-CT06</x:v>
      </x:c>
      <x:c r="J43" s="9" t="str">
        <x:v>One-object-substitution direct-category control</x:v>
      </x:c>
      <x:c r="K43" s="9" t="n">
        <x:v>40</x:v>
      </x:c>
      <x:c r="L43" s="9" t="n">
        <x:v>53</x:v>
      </x:c>
      <x:c r="M43" s="9" t="str">
        <x:v>Exact direct-category manipulation prompt from training episode 53. The transfer target, state, and pose are preserved; only the competing yellow-white striped cup is replaced by brown cup B. The full control scene is upright because its paired transfer instruction queries open/closed.</x:v>
      </x:c>
      <x:c r="N43" s="9" t="n">
        <x:v>2</x:v>
      </x:c>
      <x:c r="O43" s="9" t="str">
        <x:v>Reset yellow-white striped cup B to its transfer pose. Replace yellow-white striped cup A with brown cup B in the same location and use the states listed in this row; preserve all other objects.</x:v>
      </x:c>
      <x:c r="P43" s="9" t="str">
        <x:v>Pure recognition/manipulation control: the prompt uniquely names the only object from the target category, while the physical target remains identical to the transfer row. Every object is RU.</x:v>
      </x:c>
      <x:c r="Q43" s="9"/>
      <x:c r="R43" s="10" t="n">
        <x:v>4</x:v>
      </x:c>
      <x:c r="S43" s="10" t="n">
        <x:v>1</x:v>
      </x:c>
      <x:c r="T43" s="9" t="str">
        <x:v>Empty</x:v>
      </x:c>
      <x:c r="U43" s="9" t="str">
        <x:v>N/A</x:v>
      </x:c>
      <x:c r="V43" s="9" t="str">
        <x:v>yellow-white striped cup</x:v>
      </x:c>
      <x:c r="W43" s="9"/>
      <x:c r="X43" s="10"/>
      <x:c r="Y43" s="10"/>
      <x:c r="Z43" s="9"/>
      <x:c r="AA43" s="9"/>
      <x:c r="AB43" s="9"/>
      <x:c r="AC43" s="9"/>
      <x:c r="AD43" s="9"/>
      <x:c r="AE43" s="9"/>
      <x:c r="AF43" s="9"/>
      <x:c r="AG43" s="9"/>
      <x:c r="AH43" s="9"/>
      <x:c r="AI43" s="11"/>
      <x:c r="AJ43" s="9"/>
      <x:c r="AK43" s="9" t="str">
        <x:v>Eval_State_Recognition.xlsm</x:v>
      </x:c>
      <x:c r="AL43" s="9" t="str">
        <x:v>pi0.5 Results</x:v>
      </x:c>
      <x:c r="AM43" s="9" t="n">
        <x:v>43</x:v>
      </x:c>
      <x:c r="AN43" s="9" t="n">
        <x:v>43</x:v>
      </x:c>
    </x:row>
    <x:row r="44">
      <x:c r="A44" s="9" t="str">
        <x:v>Success</x:v>
      </x:c>
      <x:c r="B44" s="9" t="str">
        <x:v>State Recognition</x:v>
      </x:c>
      <x:c r="C44" s="10" t="n">
        <x:v>42</x:v>
      </x:c>
      <x:c r="D44" s="9" t="str">
        <x:v>Move the yellow-white striped cup whose opening is uncovered into the bowl.</x:v>
      </x:c>
      <x:c r="E44" s="9" t="str">
        <x:v>yellow-white striped cup B (O, RU); yellow-white striped cup A (C, RU); glass spice container B (O, RU); white cup A (C, RU)</x:v>
      </x:c>
      <x:c r="F44" s="9" t="str">
        <x:v>yellow-white striped cup B</x:v>
      </x:c>
      <x:c r="G44" s="9"/>
      <x:c r="H44" s="9" t="str">
        <x:v>Language robustness</x:v>
      </x:c>
      <x:c r="I44" s="9" t="str">
        <x:v>SR-CT06</x:v>
      </x:c>
      <x:c r="J44" s="9" t="str">
        <x:v>Primary compositional-transfer prompt paraphrase</x:v>
      </x:c>
      <x:c r="K44" s="9" t="n">
        <x:v>40</x:v>
      </x:c>
      <x:c r="L44" s="9" t="str">
        <x:v>53</x:v>
      </x:c>
      <x:c r="M44" s="9" t="str">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N44" s="9" t="n">
        <x:v>2</x:v>
      </x:c>
      <x:c r="O44" s="9" t="str">
        <x:v>Reset the moved object exactly; preserve every object and state; change only the prompt wording.</x:v>
      </x:c>
      <x:c r="P44" s="9" t="str">
        <x:v>Exact-scene paraphrase of one of the 50 canonical compositional-transfer trials. The orthogonal orientation axis is fixed: every object is RU. The scene is an exact copy of the referenced canonical row.</x:v>
      </x:c>
      <x:c r="Q44" s="9"/>
      <x:c r="R44" s="10" t="n">
        <x:v>4</x:v>
      </x:c>
      <x:c r="S44" s="10" t="n">
        <x:v>1</x:v>
      </x:c>
      <x:c r="T44" s="9" t="str">
        <x:v>Empty</x:v>
      </x:c>
      <x:c r="U44" s="9" t="str">
        <x:v>O</x:v>
      </x:c>
      <x:c r="V44" s="9" t="str">
        <x:v>yellow-white striped cup</x:v>
      </x:c>
      <x:c r="W44" s="9"/>
      <x:c r="X44" s="10"/>
      <x:c r="Y44" s="10"/>
      <x:c r="Z44" s="9"/>
      <x:c r="AA44" s="9"/>
      <x:c r="AB44" s="9"/>
      <x:c r="AC44" s="9"/>
      <x:c r="AD44" s="9"/>
      <x:c r="AE44" s="9"/>
      <x:c r="AF44" s="9"/>
      <x:c r="AG44" s="9"/>
      <x:c r="AH44" s="9"/>
      <x:c r="AI44" s="11"/>
      <x:c r="AJ44" s="9"/>
      <x:c r="AK44" s="9" t="str">
        <x:v>Eval_State_Recognition.xlsm</x:v>
      </x:c>
      <x:c r="AL44" s="9" t="str">
        <x:v>pi0.5 Results</x:v>
      </x:c>
      <x:c r="AM44" s="9" t="n">
        <x:v>44</x:v>
      </x:c>
      <x:c r="AN44" s="9" t="n">
        <x:v>44</x:v>
      </x:c>
    </x:row>
    <x:row r="45">
      <x:c r="A45" s="9" t="str">
        <x:v>Success</x:v>
      </x:c>
      <x:c r="B45" s="9" t="str">
        <x:v>State Recognition</x:v>
      </x:c>
      <x:c r="C45" s="10" t="n">
        <x:v>43</x:v>
      </x:c>
      <x:c r="D45" s="9" t="str">
        <x:v>Transfer the yellow-white striped cup from the table into the bowl.</x:v>
      </x:c>
      <x:c r="E45" s="9" t="str">
        <x:v>yellow-white striped cup B (O, RU); brown cup B (C, RU); glass spice container B (O, RU); white cup A (C, RU)</x:v>
      </x:c>
      <x:c r="F45" s="9" t="str">
        <x:v>yellow-white striped cup B</x:v>
      </x:c>
      <x:c r="G45" s="9"/>
      <x:c r="H45" s="9" t="str">
        <x:v>Language robustness</x:v>
      </x:c>
      <x:c r="I45" s="9" t="str">
        <x:v>SR-CT06</x:v>
      </x:c>
      <x:c r="J45" s="9" t="str">
        <x:v>Direct-category matched-control paraphrase</x:v>
      </x:c>
      <x:c r="K45" s="9" t="n">
        <x:v>41</x:v>
      </x:c>
      <x:c r="L45" s="9" t="n">
        <x:v>53</x:v>
      </x:c>
      <x:c r="M45" s="9" t="str">
        <x:v>Paraphrase of the direct-category matched control grounded by training episode 53. The modified control scene and physical target are unchanged.</x:v>
      </x:c>
      <x:c r="N45" s="9" t="n">
        <x:v>2</x:v>
      </x:c>
      <x:c r="O45" s="9" t="str">
        <x:v>Reset the target to its marked pose; preserve the exact modified control scene and change only the direct instruction wording.</x:v>
      </x:c>
      <x:c r="P45" s="9" t="str">
        <x:v>Language diagnostic for the pure manipulation control; no state word or state-based selection is required. The scene is an exact copy of the referenced canonical row.</x:v>
      </x:c>
      <x:c r="Q45" s="9"/>
      <x:c r="R45" s="10" t="n">
        <x:v>4</x:v>
      </x:c>
      <x:c r="S45" s="10" t="n">
        <x:v>1</x:v>
      </x:c>
      <x:c r="T45" s="9" t="str">
        <x:v>Empty</x:v>
      </x:c>
      <x:c r="U45" s="9" t="str">
        <x:v>N/A</x:v>
      </x:c>
      <x:c r="V45" s="9" t="str">
        <x:v>yellow-white striped cup</x:v>
      </x:c>
      <x:c r="W45" s="9"/>
      <x:c r="X45" s="10"/>
      <x:c r="Y45" s="10"/>
      <x:c r="Z45" s="9"/>
      <x:c r="AA45" s="9"/>
      <x:c r="AB45" s="9"/>
      <x:c r="AC45" s="9"/>
      <x:c r="AD45" s="9"/>
      <x:c r="AE45" s="9"/>
      <x:c r="AF45" s="9"/>
      <x:c r="AG45" s="9"/>
      <x:c r="AH45" s="9"/>
      <x:c r="AI45" s="11"/>
      <x:c r="AJ45" s="9"/>
      <x:c r="AK45" s="9" t="str">
        <x:v>Eval_State_Recognition.xlsm</x:v>
      </x:c>
      <x:c r="AL45" s="9" t="str">
        <x:v>pi0.5 Results</x:v>
      </x:c>
      <x:c r="AM45" s="9" t="n">
        <x:v>45</x:v>
      </x:c>
      <x:c r="AN45" s="9" t="n">
        <x:v>45</x:v>
      </x:c>
    </x:row>
    <x:row r="46">
      <x:c r="A46" s="9" t="str">
        <x:v>Success</x:v>
      </x:c>
      <x:c r="B46" s="9" t="str">
        <x:v>State Recognition</x:v>
      </x:c>
      <x:c r="C46" s="10" t="n">
        <x:v>44</x:v>
      </x:c>
      <x:c r="D46" s="9" t="str">
        <x:v>Place the closed brown cup in the bowl.</x:v>
      </x:c>
      <x:c r="E46" s="9" t="str">
        <x:v>brown cup A (C, RU); brown cup B (O, RU)</x:v>
      </x:c>
      <x:c r="F46" s="9" t="str">
        <x:v>brown cup A</x:v>
      </x:c>
      <x:c r="G46" s="9"/>
      <x:c r="H46" s="9" t="str">
        <x:v>Concept/compositional transfer</x:v>
      </x:c>
      <x:c r="I46" s="9" t="str">
        <x:v>SR-CT07</x:v>
      </x:c>
      <x:c r="J46" s="9" t="str">
        <x:v>Primary held-out state-object composition</x:v>
      </x:c>
      <x:c r="K46" s="9"/>
      <x:c r="L46" s="9" t="str">
        <x:v>107</x:v>
      </x:c>
      <x:c r="M46"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46" s="9" t="n">
        <x:v>2</x:v>
      </x:c>
      <x:c r="O46" s="9" t="str">
        <x:v>Build the listed same-category discrimination scene with the bowl empty.</x:v>
      </x:c>
      <x:c r="P46" s="9" t="str">
        <x:v>Two same-category candidates share the non-queried state axis; only the held-out state word identifies the target. The orthogonal orientation axis is fixed: every object is RU.</x:v>
      </x:c>
      <x:c r="Q46" s="9"/>
      <x:c r="R46" s="10" t="n">
        <x:v>2</x:v>
      </x:c>
      <x:c r="S46" s="10" t="n">
        <x:v>1</x:v>
      </x:c>
      <x:c r="T46" s="9" t="str">
        <x:v>Empty</x:v>
      </x:c>
      <x:c r="U46" s="9" t="str">
        <x:v>C</x:v>
      </x:c>
      <x:c r="V46" s="9" t="str">
        <x:v>brown cup</x:v>
      </x:c>
      <x:c r="W46" s="9"/>
      <x:c r="X46" s="10"/>
      <x:c r="Y46" s="10"/>
      <x:c r="Z46" s="9"/>
      <x:c r="AA46" s="9"/>
      <x:c r="AB46" s="9"/>
      <x:c r="AC46" s="9"/>
      <x:c r="AD46" s="9"/>
      <x:c r="AE46" s="9"/>
      <x:c r="AF46" s="9"/>
      <x:c r="AG46" s="9"/>
      <x:c r="AH46" s="9"/>
      <x:c r="AI46" s="11"/>
      <x:c r="AJ46" s="9"/>
      <x:c r="AK46" s="9" t="str">
        <x:v>Eval_State_Recognition.xlsm</x:v>
      </x:c>
      <x:c r="AL46" s="9" t="str">
        <x:v>pi0.5 Results</x:v>
      </x:c>
      <x:c r="AM46" s="9" t="n">
        <x:v>46</x:v>
      </x:c>
      <x:c r="AN46" s="9" t="n">
        <x:v>46</x:v>
      </x:c>
    </x:row>
    <x:row r="47">
      <x:c r="A47" s="9" t="str">
        <x:v>Success</x:v>
      </x:c>
      <x:c r="B47" s="9" t="str">
        <x:v>State Recognition</x:v>
      </x:c>
      <x:c r="C47" s="10" t="n">
        <x:v>45</x:v>
      </x:c>
      <x:c r="D47" s="9" t="str">
        <x:v>Put a brown cup in the bowl.</x:v>
      </x:c>
      <x:c r="E47" s="9" t="str">
        <x:v>brown cup A (C, RU); white cup A (O, RU)</x:v>
      </x:c>
      <x:c r="F47" s="9" t="str">
        <x:v>brown cup A</x:v>
      </x:c>
      <x:c r="G47" s="9"/>
      <x:c r="H47" s="9" t="str">
        <x:v>Matched manipulation control</x:v>
      </x:c>
      <x:c r="I47" s="9" t="str">
        <x:v>SR-CT07</x:v>
      </x:c>
      <x:c r="J47" s="9" t="str">
        <x:v>One-object-substitution direct-category control</x:v>
      </x:c>
      <x:c r="K47" s="9" t="n">
        <x:v>44</x:v>
      </x:c>
      <x:c r="L47" s="9" t="n">
        <x:v>107</x:v>
      </x:c>
      <x:c r="M47" s="9" t="str">
        <x:v>Exact direct-category manipulation prompt from training episode 107. The transfer target, state, and pose are preserved; only the competing brown cup is replaced by white cup A. The full control scene is upright because its paired transfer instruction queries open/closed.</x:v>
      </x:c>
      <x:c r="N47" s="9" t="n">
        <x:v>2</x:v>
      </x:c>
      <x:c r="O47" s="9" t="str">
        <x:v>Reset brown cup A to its transfer pose. Replace brown cup B with white cup A in the same location and use the states listed in this row; preserve all other objects.</x:v>
      </x:c>
      <x:c r="P47" s="9" t="str">
        <x:v>Pure recognition/manipulation control: the prompt uniquely names the only object from the target category, while the physical target remains identical to the transfer row. Every object is RU.</x:v>
      </x:c>
      <x:c r="Q47" s="9"/>
      <x:c r="R47" s="10" t="n">
        <x:v>2</x:v>
      </x:c>
      <x:c r="S47" s="10" t="n">
        <x:v>1</x:v>
      </x:c>
      <x:c r="T47" s="9" t="str">
        <x:v>Empty</x:v>
      </x:c>
      <x:c r="U47" s="9" t="str">
        <x:v>N/A</x:v>
      </x:c>
      <x:c r="V47" s="9" t="str">
        <x:v>brown cup</x:v>
      </x:c>
      <x:c r="W47" s="9"/>
      <x:c r="X47" s="10"/>
      <x:c r="Y47" s="10"/>
      <x:c r="Z47" s="9"/>
      <x:c r="AA47" s="9"/>
      <x:c r="AB47" s="9"/>
      <x:c r="AC47" s="9"/>
      <x:c r="AD47" s="9"/>
      <x:c r="AE47" s="9"/>
      <x:c r="AF47" s="9"/>
      <x:c r="AG47" s="9"/>
      <x:c r="AH47" s="9"/>
      <x:c r="AI47" s="11"/>
      <x:c r="AJ47" s="9"/>
      <x:c r="AK47" s="9" t="str">
        <x:v>Eval_State_Recognition.xlsm</x:v>
      </x:c>
      <x:c r="AL47" s="9" t="str">
        <x:v>pi0.5 Results</x:v>
      </x:c>
      <x:c r="AM47" s="9" t="n">
        <x:v>47</x:v>
      </x:c>
      <x:c r="AN47" s="9" t="n">
        <x:v>47</x:v>
      </x:c>
    </x:row>
    <x:row r="48">
      <x:c r="A48" s="9" t="str">
        <x:v>Failure</x:v>
      </x:c>
      <x:c r="B48" s="9" t="str">
        <x:v>State Recognition</x:v>
      </x:c>
      <x:c r="C48" s="10" t="n">
        <x:v>46</x:v>
      </x:c>
      <x:c r="D48" s="9" t="str">
        <x:v>Move the brown cup whose opening is covered into the bowl.</x:v>
      </x:c>
      <x:c r="E48" s="9" t="str">
        <x:v>brown cup A (C, RU); brown cup B (O, RU)</x:v>
      </x:c>
      <x:c r="F48" s="9" t="str">
        <x:v>brown cup A</x:v>
      </x:c>
      <x:c r="G48" s="9" t="str">
        <x:v>went for open cup</x:v>
      </x:c>
      <x:c r="H48" s="9" t="str">
        <x:v>Language robustness</x:v>
      </x:c>
      <x:c r="I48" s="9" t="str">
        <x:v>SR-CT07</x:v>
      </x:c>
      <x:c r="J48" s="9" t="str">
        <x:v>Primary compositional-transfer prompt paraphrase</x:v>
      </x:c>
      <x:c r="K48" s="9" t="n">
        <x:v>44</x:v>
      </x:c>
      <x:c r="L48" s="9" t="str">
        <x:v>107</x:v>
      </x:c>
      <x:c r="M48" s="9" t="str">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N48" s="9" t="n">
        <x:v>2</x:v>
      </x:c>
      <x:c r="O48" s="9" t="str">
        <x:v>Reset the moved object exactly; preserve every object and state; change only the prompt wording.</x:v>
      </x:c>
      <x:c r="P48" s="9" t="str">
        <x:v>Exact-scene paraphrase of one of the 50 canonical compositional-transfer trials. The orthogonal orientation axis is fixed: every object is RU. The scene is an exact copy of the referenced canonical row.</x:v>
      </x:c>
      <x:c r="Q48" s="9"/>
      <x:c r="R48" s="10" t="n">
        <x:v>2</x:v>
      </x:c>
      <x:c r="S48" s="10" t="n">
        <x:v>1</x:v>
      </x:c>
      <x:c r="T48" s="9" t="str">
        <x:v>Empty</x:v>
      </x:c>
      <x:c r="U48" s="9" t="str">
        <x:v>C</x:v>
      </x:c>
      <x:c r="V48" s="9" t="str">
        <x:v>brown cup</x:v>
      </x:c>
      <x:c r="W48" s="9"/>
      <x:c r="X48" s="10"/>
      <x:c r="Y48" s="10"/>
      <x:c r="Z48" s="9"/>
      <x:c r="AA48" s="9"/>
      <x:c r="AB48" s="9"/>
      <x:c r="AC48" s="9"/>
      <x:c r="AD48" s="9"/>
      <x:c r="AE48" s="9"/>
      <x:c r="AF48" s="9"/>
      <x:c r="AG48" s="9"/>
      <x:c r="AH48" s="9"/>
      <x:c r="AI48" s="11"/>
      <x:c r="AJ48" s="9"/>
      <x:c r="AK48" s="9" t="str">
        <x:v>Eval_State_Recognition.xlsm</x:v>
      </x:c>
      <x:c r="AL48" s="9" t="str">
        <x:v>pi0.5 Results</x:v>
      </x:c>
      <x:c r="AM48" s="9" t="n">
        <x:v>48</x:v>
      </x:c>
      <x:c r="AN48" s="9" t="n">
        <x:v>48</x:v>
      </x:c>
    </x:row>
    <x:row r="49">
      <x:c r="A49" s="9" t="str">
        <x:v>Success</x:v>
      </x:c>
      <x:c r="B49" s="9" t="str">
        <x:v>State Recognition</x:v>
      </x:c>
      <x:c r="C49" s="10" t="n">
        <x:v>47</x:v>
      </x:c>
      <x:c r="D49" s="9" t="str">
        <x:v>Lift the brown cup and set it inside the bowl.</x:v>
      </x:c>
      <x:c r="E49" s="9" t="str">
        <x:v>brown cup A (C, RU); white cup A (O, RU)</x:v>
      </x:c>
      <x:c r="F49" s="9" t="str">
        <x:v>brown cup A</x:v>
      </x:c>
      <x:c r="G49" s="9"/>
      <x:c r="H49" s="9" t="str">
        <x:v>Language robustness</x:v>
      </x:c>
      <x:c r="I49" s="9" t="str">
        <x:v>SR-CT07</x:v>
      </x:c>
      <x:c r="J49" s="9" t="str">
        <x:v>Direct-category matched-control paraphrase</x:v>
      </x:c>
      <x:c r="K49" s="9" t="n">
        <x:v>45</x:v>
      </x:c>
      <x:c r="L49" s="9" t="n">
        <x:v>107</x:v>
      </x:c>
      <x:c r="M49" s="9" t="str">
        <x:v>Paraphrase of the direct-category matched control grounded by training episode 107. The modified control scene and physical target are unchanged.</x:v>
      </x:c>
      <x:c r="N49" s="9" t="n">
        <x:v>2</x:v>
      </x:c>
      <x:c r="O49" s="9" t="str">
        <x:v>Reset the target to its marked pose; preserve the exact modified control scene and change only the direct instruction wording.</x:v>
      </x:c>
      <x:c r="P49" s="9" t="str">
        <x:v>Language diagnostic for the pure manipulation control; no state word or state-based selection is required. The scene is an exact copy of the referenced canonical row.</x:v>
      </x:c>
      <x:c r="Q49" s="9"/>
      <x:c r="R49" s="10" t="n">
        <x:v>2</x:v>
      </x:c>
      <x:c r="S49" s="10" t="n">
        <x:v>1</x:v>
      </x:c>
      <x:c r="T49" s="9" t="str">
        <x:v>Empty</x:v>
      </x:c>
      <x:c r="U49" s="9" t="str">
        <x:v>N/A</x:v>
      </x:c>
      <x:c r="V49" s="9" t="str">
        <x:v>brown cup</x:v>
      </x:c>
      <x:c r="W49" s="9"/>
      <x:c r="X49" s="10"/>
      <x:c r="Y49" s="10"/>
      <x:c r="Z49" s="9"/>
      <x:c r="AA49" s="9"/>
      <x:c r="AB49" s="9"/>
      <x:c r="AC49" s="9"/>
      <x:c r="AD49" s="9"/>
      <x:c r="AE49" s="9"/>
      <x:c r="AF49" s="9"/>
      <x:c r="AG49" s="9"/>
      <x:c r="AH49" s="9"/>
      <x:c r="AI49" s="11"/>
      <x:c r="AJ49" s="9"/>
      <x:c r="AK49" s="9" t="str">
        <x:v>Eval_State_Recognition.xlsm</x:v>
      </x:c>
      <x:c r="AL49" s="9" t="str">
        <x:v>pi0.5 Results</x:v>
      </x:c>
      <x:c r="AM49" s="9" t="n">
        <x:v>49</x:v>
      </x:c>
      <x:c r="AN49" s="9" t="n">
        <x:v>49</x:v>
      </x:c>
    </x:row>
    <x:row r="50">
      <x:c r="A50" s="9" t="str">
        <x:v>Success</x:v>
      </x:c>
      <x:c r="B50" s="9" t="str">
        <x:v>State Recognition</x:v>
      </x:c>
      <x:c r="C50" s="10" t="n">
        <x:v>48</x:v>
      </x:c>
      <x:c r="D50" s="9" t="str">
        <x:v>Place the upright glass spice container in the bowl.</x:v>
      </x:c>
      <x:c r="E50" s="9" t="str">
        <x:v>glass spice container B (O, RU); glass spice container A (O, UD); yellow-white striped cup B (O, UD)</x:v>
      </x:c>
      <x:c r="F50" s="9" t="str">
        <x:v>glass spice container B</x:v>
      </x:c>
      <x:c r="G50" s="9"/>
      <x:c r="H50" s="9" t="str">
        <x:v>Concept/compositional transfer</x:v>
      </x:c>
      <x:c r="I50" s="9" t="str">
        <x:v>SR-CT08</x:v>
      </x:c>
      <x:c r="J50" s="9" t="str">
        <x:v>Primary held-out state-object composition</x:v>
      </x:c>
      <x:c r="K50" s="9"/>
      <x:c r="L50" s="9" t="str">
        <x:v>153</x:v>
      </x:c>
      <x:c r="M50" s="9" t="str">
        <x:v>Physical-state and manipulation-trajectory reference under a direct category prompt; the evaluated state word × object-category cell is intentionally absent from training.</x:v>
      </x:c>
      <x:c r="N50" s="9" t="n">
        <x:v>2</x:v>
      </x:c>
      <x:c r="O50" s="9" t="str">
        <x:v>Build the listed same-category discrimination scene with the bowl empty.</x:v>
      </x:c>
      <x:c r="P50" s="9" t="str">
        <x:v>Two same-category candidates share the non-queried state axis; only the held-out state word identifies the target. The same-category candidates share the orthogonal C/O state (O).</x:v>
      </x:c>
      <x:c r="Q50" s="9"/>
      <x:c r="R50" s="10" t="n">
        <x:v>3</x:v>
      </x:c>
      <x:c r="S50" s="10" t="n">
        <x:v>1</x:v>
      </x:c>
      <x:c r="T50" s="9" t="str">
        <x:v>Empty</x:v>
      </x:c>
      <x:c r="U50" s="9" t="str">
        <x:v>RU</x:v>
      </x:c>
      <x:c r="V50" s="9" t="str">
        <x:v>glass spice container</x:v>
      </x:c>
      <x:c r="W50" s="9"/>
      <x:c r="X50" s="10"/>
      <x:c r="Y50" s="10"/>
      <x:c r="Z50" s="9"/>
      <x:c r="AA50" s="9"/>
      <x:c r="AB50" s="9"/>
      <x:c r="AC50" s="9"/>
      <x:c r="AD50" s="9"/>
      <x:c r="AE50" s="9"/>
      <x:c r="AF50" s="9"/>
      <x:c r="AG50" s="9"/>
      <x:c r="AH50" s="9"/>
      <x:c r="AI50" s="11"/>
      <x:c r="AJ50" s="9"/>
      <x:c r="AK50" s="9" t="str">
        <x:v>Eval_State_Recognition.xlsm</x:v>
      </x:c>
      <x:c r="AL50" s="9" t="str">
        <x:v>pi0.5 Results</x:v>
      </x:c>
      <x:c r="AM50" s="9" t="n">
        <x:v>50</x:v>
      </x:c>
      <x:c r="AN50" s="9" t="n">
        <x:v>50</x:v>
      </x:c>
    </x:row>
    <x:row r="51">
      <x:c r="A51" s="9" t="str">
        <x:v>Failure</x:v>
      </x:c>
      <x:c r="B51" s="9" t="str">
        <x:v>State Recognition</x:v>
      </x:c>
      <x:c r="C51" s="10" t="n">
        <x:v>49</x:v>
      </x:c>
      <x:c r="D51" s="9" t="str">
        <x:v>Move a glass spice container into the bowl.</x:v>
      </x:c>
      <x:c r="E51" s="9" t="str">
        <x:v>glass spice container B (O, RU); brown cup B (O, UD); yellow-white striped cup B (O, UD)</x:v>
      </x:c>
      <x:c r="F51" s="9" t="str">
        <x:v>glass spice container B</x:v>
      </x:c>
      <x:c r="G51" s="9" t="str">
        <x:v>successfully went for the glass container, but messed up grasp and then started going all over the place. During recovery started to go for bronw cup</x:v>
      </x:c>
      <x:c r="H51" s="9" t="str">
        <x:v>Matched manipulation control</x:v>
      </x:c>
      <x:c r="I51" s="9" t="str">
        <x:v>SR-CT08</x:v>
      </x:c>
      <x:c r="J51" s="9" t="str">
        <x:v>One-object-substitution direct-category control</x:v>
      </x:c>
      <x:c r="K51" s="9" t="n">
        <x:v>48</x:v>
      </x:c>
      <x:c r="L51" s="9" t="n">
        <x:v>153</x:v>
      </x:c>
      <x:c r="M51" s="9" t="str">
        <x:v>Exact direct-category manipulation prompt from training episode 153. The transfer target, state, and pose are preserved; only the competing glass spice container is replaced by brown cup B.</x:v>
      </x:c>
      <x:c r="N51" s="9" t="n">
        <x:v>2</x:v>
      </x:c>
      <x:c r="O51" s="9" t="str">
        <x:v>Reset glass spice container B to its transfer pose. Replace glass spice container A with brown cup B in the same location and use the states listed in this row; preserve all other objects.</x:v>
      </x:c>
      <x:c r="P51" s="9" t="str">
        <x:v>Pure recognition/manipulation control: the prompt uniquely names the only object from the target category, while the physical target remains identical to the transfer row.</x:v>
      </x:c>
      <x:c r="Q51" s="9"/>
      <x:c r="R51" s="10" t="n">
        <x:v>3</x:v>
      </x:c>
      <x:c r="S51" s="10" t="n">
        <x:v>1</x:v>
      </x:c>
      <x:c r="T51" s="9" t="str">
        <x:v>Empty</x:v>
      </x:c>
      <x:c r="U51" s="9" t="str">
        <x:v>N/A</x:v>
      </x:c>
      <x:c r="V51" s="9" t="str">
        <x:v>glass spice container</x:v>
      </x:c>
      <x:c r="W51" s="9"/>
      <x:c r="X51" s="10"/>
      <x:c r="Y51" s="10"/>
      <x:c r="Z51" s="9"/>
      <x:c r="AA51" s="9"/>
      <x:c r="AB51" s="9"/>
      <x:c r="AC51" s="9"/>
      <x:c r="AD51" s="9"/>
      <x:c r="AE51" s="9"/>
      <x:c r="AF51" s="9"/>
      <x:c r="AG51" s="9"/>
      <x:c r="AH51" s="9"/>
      <x:c r="AI51" s="11"/>
      <x:c r="AJ51" s="9"/>
      <x:c r="AK51" s="9" t="str">
        <x:v>Eval_State_Recognition.xlsm</x:v>
      </x:c>
      <x:c r="AL51" s="9" t="str">
        <x:v>pi0.5 Results</x:v>
      </x:c>
      <x:c r="AM51" s="9" t="n">
        <x:v>51</x:v>
      </x:c>
      <x:c r="AN51" s="9" t="n">
        <x:v>51</x:v>
      </x:c>
    </x:row>
    <x:row r="52">
      <x:c r="A52" s="9" t="str">
        <x:v>Failure</x:v>
      </x:c>
      <x:c r="B52" s="9" t="str">
        <x:v>State Recognition</x:v>
      </x:c>
      <x:c r="C52" s="10" t="n">
        <x:v>50</x:v>
      </x:c>
      <x:c r="D52" s="9" t="str">
        <x:v>Move the right-side-up glass spice container into the bowl.</x:v>
      </x:c>
      <x:c r="E52" s="9" t="str">
        <x:v>glass spice container B (O, RU); glass spice container A (O, UD); yellow-white striped cup B (O, UD)</x:v>
      </x:c>
      <x:c r="F52" s="9" t="str">
        <x:v>glass spice container B</x:v>
      </x:c>
      <x:c r="G52" s="9" t="str">
        <x:v>picked the upside down one</x:v>
      </x:c>
      <x:c r="H52" s="9" t="str">
        <x:v>Language robustness</x:v>
      </x:c>
      <x:c r="I52" s="9" t="str">
        <x:v>SR-CT08</x:v>
      </x:c>
      <x:c r="J52" s="9" t="str">
        <x:v>Primary compositional-transfer prompt paraphrase</x:v>
      </x:c>
      <x:c r="K52" s="9" t="n">
        <x:v>48</x:v>
      </x:c>
      <x:c r="L52" s="9" t="str">
        <x:v>153</x:v>
      </x:c>
      <x:c r="M52" s="9" t="str">
        <x:v>The canonical transfer scene and masked trajectory reference are unchanged; only the evaluation wording is paraphrased. This remains a language diagnostic and is not pooled into the primary 50.</x:v>
      </x:c>
      <x:c r="N52" s="9" t="n">
        <x:v>2</x:v>
      </x:c>
      <x:c r="O52" s="9" t="str">
        <x:v>Reset the moved object exactly; preserve every object and state; change only the prompt wording.</x:v>
      </x:c>
      <x:c r="P52" s="9" t="str">
        <x:v>Exact-scene paraphrase of one of the 50 canonical compositional-transfer trials. The same-category candidates share the orthogonal C/O state (O). The scene is an exact copy of the referenced canonical row.</x:v>
      </x:c>
      <x:c r="Q52" s="9"/>
      <x:c r="R52" s="10" t="n">
        <x:v>3</x:v>
      </x:c>
      <x:c r="S52" s="10" t="n">
        <x:v>1</x:v>
      </x:c>
      <x:c r="T52" s="9" t="str">
        <x:v>Empty</x:v>
      </x:c>
      <x:c r="U52" s="9" t="str">
        <x:v>RU</x:v>
      </x:c>
      <x:c r="V52" s="9" t="str">
        <x:v>glass spice container</x:v>
      </x:c>
      <x:c r="W52" s="9"/>
      <x:c r="X52" s="10"/>
      <x:c r="Y52" s="10"/>
      <x:c r="Z52" s="9"/>
      <x:c r="AA52" s="9"/>
      <x:c r="AB52" s="9"/>
      <x:c r="AC52" s="9"/>
      <x:c r="AD52" s="9"/>
      <x:c r="AE52" s="9"/>
      <x:c r="AF52" s="9"/>
      <x:c r="AG52" s="9"/>
      <x:c r="AH52" s="9"/>
      <x:c r="AI52" s="11"/>
      <x:c r="AJ52" s="9"/>
      <x:c r="AK52" s="9" t="str">
        <x:v>Eval_State_Recognition.xlsm</x:v>
      </x:c>
      <x:c r="AL52" s="9" t="str">
        <x:v>pi0.5 Results</x:v>
      </x:c>
      <x:c r="AM52" s="9" t="n">
        <x:v>52</x:v>
      </x:c>
      <x:c r="AN52" s="9" t="n">
        <x:v>52</x:v>
      </x:c>
    </x:row>
    <x:row r="53">
      <x:c r="A53" s="9" t="str">
        <x:v>Success</x:v>
      </x:c>
      <x:c r="B53" s="9" t="str">
        <x:v>State Recognition</x:v>
      </x:c>
      <x:c r="C53" s="10" t="n">
        <x:v>51</x:v>
      </x:c>
      <x:c r="D53" s="9" t="str">
        <x:v>Take the glass spice container off the table and place it in the bowl.</x:v>
      </x:c>
      <x:c r="E53" s="9" t="str">
        <x:v>glass spice container B (O, RU); brown cup B (O, UD); yellow-white striped cup B (O, UD)</x:v>
      </x:c>
      <x:c r="F53" s="9" t="str">
        <x:v>glass spice container B</x:v>
      </x:c>
      <x:c r="G53" s="9"/>
      <x:c r="H53" s="9" t="str">
        <x:v>Language robustness</x:v>
      </x:c>
      <x:c r="I53" s="9" t="str">
        <x:v>SR-CT08</x:v>
      </x:c>
      <x:c r="J53" s="9" t="str">
        <x:v>Direct-category matched-control paraphrase</x:v>
      </x:c>
      <x:c r="K53" s="9" t="n">
        <x:v>49</x:v>
      </x:c>
      <x:c r="L53" s="9" t="n">
        <x:v>153</x:v>
      </x:c>
      <x:c r="M53" s="9" t="str">
        <x:v>Paraphrase of the direct-category matched control grounded by training episode 153. The modified control scene and physical target are unchanged.</x:v>
      </x:c>
      <x:c r="N53" s="9" t="n">
        <x:v>2</x:v>
      </x:c>
      <x:c r="O53" s="9" t="str">
        <x:v>Reset the target to its marked pose; preserve the exact modified control scene and change only the direct instruction wording.</x:v>
      </x:c>
      <x:c r="P53" s="9" t="str">
        <x:v>Language diagnostic for the pure manipulation control; no state word or state-based selection is required. The scene is an exact copy of the referenced canonical row.</x:v>
      </x:c>
      <x:c r="Q53" s="9"/>
      <x:c r="R53" s="10" t="n">
        <x:v>3</x:v>
      </x:c>
      <x:c r="S53" s="10" t="n">
        <x:v>1</x:v>
      </x:c>
      <x:c r="T53" s="9" t="str">
        <x:v>Empty</x:v>
      </x:c>
      <x:c r="U53" s="9" t="str">
        <x:v>N/A</x:v>
      </x:c>
      <x:c r="V53" s="9" t="str">
        <x:v>glass spice container</x:v>
      </x:c>
      <x:c r="W53" s="9"/>
      <x:c r="X53" s="10"/>
      <x:c r="Y53" s="10"/>
      <x:c r="Z53" s="9"/>
      <x:c r="AA53" s="9"/>
      <x:c r="AB53" s="9"/>
      <x:c r="AC53" s="9"/>
      <x:c r="AD53" s="9"/>
      <x:c r="AE53" s="9"/>
      <x:c r="AF53" s="9"/>
      <x:c r="AG53" s="9"/>
      <x:c r="AH53" s="9"/>
      <x:c r="AI53" s="11"/>
      <x:c r="AJ53" s="9"/>
      <x:c r="AK53" s="9" t="str">
        <x:v>Eval_State_Recognition.xlsm</x:v>
      </x:c>
      <x:c r="AL53" s="9" t="str">
        <x:v>pi0.5 Results</x:v>
      </x:c>
      <x:c r="AM53" s="9" t="n">
        <x:v>53</x:v>
      </x:c>
      <x:c r="AN53" s="9" t="n">
        <x:v>53</x:v>
      </x:c>
    </x:row>
    <x:row r="54">
      <x:c r="A54" s="9" t="str">
        <x:v>Success</x:v>
      </x:c>
      <x:c r="B54" s="9" t="str">
        <x:v>State Recognition</x:v>
      </x:c>
      <x:c r="C54" s="10" t="n">
        <x:v>52</x:v>
      </x:c>
      <x:c r="D54" s="9" t="str">
        <x:v>Place the upside-down white cup in the bowl.</x:v>
      </x:c>
      <x:c r="E54" s="9" t="str">
        <x:v>white cup A (C, UD); white cup B (C, RU); glass spice container A (C, RU); yellow-white striped cup B (O, RU)</x:v>
      </x:c>
      <x:c r="F54" s="9" t="str">
        <x:v>white cup A</x:v>
      </x:c>
      <x:c r="G54" s="9"/>
      <x:c r="H54" s="9" t="str">
        <x:v>Concept/compositional transfer</x:v>
      </x:c>
      <x:c r="I54" s="9" t="str">
        <x:v>SR-CT09</x:v>
      </x:c>
      <x:c r="J54" s="9" t="str">
        <x:v>Primary held-out state-object composition</x:v>
      </x:c>
      <x:c r="K54" s="9"/>
      <x:c r="L54" s="9" t="str">
        <x:v>39</x:v>
      </x:c>
      <x:c r="M54" s="9" t="str">
        <x:v>Physical-state and manipulation-trajectory reference under a direct category prompt; the evaluated state word × object-category cell is intentionally absent from training.</x:v>
      </x:c>
      <x:c r="N54" s="9" t="n">
        <x:v>2</x:v>
      </x:c>
      <x:c r="O54" s="9" t="str">
        <x:v>Build the listed same-category discrimination scene with the bowl empty.</x:v>
      </x:c>
      <x:c r="P54" s="9" t="str">
        <x:v>Two same-category candidates share the non-queried state axis; only the held-out state word identifies the target. The same-category candidates share the orthogonal C/O state (C).</x:v>
      </x:c>
      <x:c r="Q54" s="9"/>
      <x:c r="R54" s="10" t="n">
        <x:v>4</x:v>
      </x:c>
      <x:c r="S54" s="10" t="n">
        <x:v>1</x:v>
      </x:c>
      <x:c r="T54" s="9" t="str">
        <x:v>Empty</x:v>
      </x:c>
      <x:c r="U54" s="9" t="str">
        <x:v>UD</x:v>
      </x:c>
      <x:c r="V54" s="9" t="str">
        <x:v>white cup</x:v>
      </x:c>
      <x:c r="W54" s="9"/>
      <x:c r="X54" s="10"/>
      <x:c r="Y54" s="10"/>
      <x:c r="Z54" s="9"/>
      <x:c r="AA54" s="9"/>
      <x:c r="AB54" s="9"/>
      <x:c r="AC54" s="9"/>
      <x:c r="AD54" s="9"/>
      <x:c r="AE54" s="9"/>
      <x:c r="AF54" s="9"/>
      <x:c r="AG54" s="9"/>
      <x:c r="AH54" s="9"/>
      <x:c r="AI54" s="11"/>
      <x:c r="AJ54" s="9"/>
      <x:c r="AK54" s="9" t="str">
        <x:v>Eval_State_Recognition.xlsm</x:v>
      </x:c>
      <x:c r="AL54" s="9" t="str">
        <x:v>pi0.5 Results</x:v>
      </x:c>
      <x:c r="AM54" s="9" t="n">
        <x:v>54</x:v>
      </x:c>
      <x:c r="AN54" s="9" t="n">
        <x:v>54</x:v>
      </x:c>
    </x:row>
    <x:row r="55">
      <x:c r="A55" s="9" t="str">
        <x:v>Success</x:v>
      </x:c>
      <x:c r="B55" s="9" t="str">
        <x:v>State Recognition</x:v>
      </x:c>
      <x:c r="C55" s="10" t="n">
        <x:v>53</x:v>
      </x:c>
      <x:c r="D55" s="9" t="str">
        <x:v>Move a white cup into the bowl.</x:v>
      </x:c>
      <x:c r="E55" s="9" t="str">
        <x:v>white cup A (C, UD); brown cup A (C, RU); glass spice container A (C, RU); yellow-white striped cup B (O, RU)</x:v>
      </x:c>
      <x:c r="F55" s="9" t="str">
        <x:v>white cup A</x:v>
      </x:c>
      <x:c r="G55" s="9"/>
      <x:c r="H55" s="9" t="str">
        <x:v>Matched manipulation control</x:v>
      </x:c>
      <x:c r="I55" s="9" t="str">
        <x:v>SR-CT09</x:v>
      </x:c>
      <x:c r="J55" s="9" t="str">
        <x:v>One-object-substitution direct-category control</x:v>
      </x:c>
      <x:c r="K55" s="9" t="n">
        <x:v>52</x:v>
      </x:c>
      <x:c r="L55" s="9" t="n">
        <x:v>39</x:v>
      </x:c>
      <x:c r="M55" s="9" t="str">
        <x:v>Exact direct-category manipulation prompt from training episode 39. The transfer target, state, and pose are preserved; only the competing white cup is replaced by brown cup A.</x:v>
      </x:c>
      <x:c r="N55" s="9" t="n">
        <x:v>2</x:v>
      </x:c>
      <x:c r="O55" s="9" t="str">
        <x:v>Reset white cup A to its transfer pose. Replace white cup B with brown cup A in the same location and use the states listed in this row; preserve all other objects.</x:v>
      </x:c>
      <x:c r="P55" s="9" t="str">
        <x:v>Pure recognition/manipulation control: the prompt uniquely names the only object from the target category, while the physical target remains identical to the transfer row.</x:v>
      </x:c>
      <x:c r="Q55" s="9"/>
      <x:c r="R55" s="10" t="n">
        <x:v>4</x:v>
      </x:c>
      <x:c r="S55" s="10" t="n">
        <x:v>1</x:v>
      </x:c>
      <x:c r="T55" s="9" t="str">
        <x:v>Empty</x:v>
      </x:c>
      <x:c r="U55" s="9" t="str">
        <x:v>N/A</x:v>
      </x:c>
      <x:c r="V55" s="9" t="str">
        <x:v>white cup</x:v>
      </x:c>
      <x:c r="W55" s="9"/>
      <x:c r="X55" s="10"/>
      <x:c r="Y55" s="10"/>
      <x:c r="Z55" s="9"/>
      <x:c r="AA55" s="9"/>
      <x:c r="AB55" s="9"/>
      <x:c r="AC55" s="9"/>
      <x:c r="AD55" s="9"/>
      <x:c r="AE55" s="9"/>
      <x:c r="AF55" s="9"/>
      <x:c r="AG55" s="9"/>
      <x:c r="AH55" s="9"/>
      <x:c r="AI55" s="11"/>
      <x:c r="AJ55" s="9"/>
      <x:c r="AK55" s="9" t="str">
        <x:v>Eval_State_Recognition.xlsm</x:v>
      </x:c>
      <x:c r="AL55" s="9" t="str">
        <x:v>pi0.5 Results</x:v>
      </x:c>
      <x:c r="AM55" s="9" t="n">
        <x:v>55</x:v>
      </x:c>
      <x:c r="AN55" s="9" t="n">
        <x:v>55</x:v>
      </x:c>
    </x:row>
    <x:row r="56">
      <x:c r="A56" s="9" t="str">
        <x:v>Failure</x:v>
      </x:c>
      <x:c r="B56" s="9" t="str">
        <x:v>State Recognition</x:v>
      </x:c>
      <x:c r="C56" s="10" t="n">
        <x:v>54</x:v>
      </x:c>
      <x:c r="D56" s="9" t="str">
        <x:v>Move the inverted white cup into the bowl.</x:v>
      </x:c>
      <x:c r="E56" s="9" t="str">
        <x:v>white cup A (C, UD); white cup B (C, RU); glass spice container A (C, RU); yellow-white striped cup B (O, RU)</x:v>
      </x:c>
      <x:c r="F56" s="9" t="str">
        <x:v>white cup A</x:v>
      </x:c>
      <x:c r="G56" s="9" t="str">
        <x:v>picked the upright white cup</x:v>
      </x:c>
      <x:c r="H56" s="9" t="str">
        <x:v>Language robustness</x:v>
      </x:c>
      <x:c r="I56" s="9" t="str">
        <x:v>SR-CT09</x:v>
      </x:c>
      <x:c r="J56" s="9" t="str">
        <x:v>Primary compositional-transfer prompt paraphrase</x:v>
      </x:c>
      <x:c r="K56" s="9" t="n">
        <x:v>52</x:v>
      </x:c>
      <x:c r="L56" s="9" t="str">
        <x:v>39</x:v>
      </x:c>
      <x:c r="M56" s="9" t="str">
        <x:v>The canonical transfer scene and masked trajectory reference are unchanged; only the evaluation wording is paraphrased. This remains a language diagnostic and is not pooled into the primary 50.</x:v>
      </x:c>
      <x:c r="N56" s="9" t="n">
        <x:v>2</x:v>
      </x:c>
      <x:c r="O56" s="9" t="str">
        <x:v>Reset the moved object exactly; preserve every object and state; change only the prompt wording.</x:v>
      </x:c>
      <x:c r="P56" s="9" t="str">
        <x:v>Exact-scene paraphrase of one of the 50 canonical compositional-transfer trials. The same-category candidates share the orthogonal C/O state (C). The scene is an exact copy of the referenced canonical row.</x:v>
      </x:c>
      <x:c r="Q56" s="9"/>
      <x:c r="R56" s="10" t="n">
        <x:v>4</x:v>
      </x:c>
      <x:c r="S56" s="10" t="n">
        <x:v>1</x:v>
      </x:c>
      <x:c r="T56" s="9" t="str">
        <x:v>Empty</x:v>
      </x:c>
      <x:c r="U56" s="9" t="str">
        <x:v>UD</x:v>
      </x:c>
      <x:c r="V56" s="9" t="str">
        <x:v>white cup</x:v>
      </x:c>
      <x:c r="W56" s="9"/>
      <x:c r="X56" s="10"/>
      <x:c r="Y56" s="10"/>
      <x:c r="Z56" s="9"/>
      <x:c r="AA56" s="9"/>
      <x:c r="AB56" s="9"/>
      <x:c r="AC56" s="9"/>
      <x:c r="AD56" s="9"/>
      <x:c r="AE56" s="9"/>
      <x:c r="AF56" s="9"/>
      <x:c r="AG56" s="9"/>
      <x:c r="AH56" s="9"/>
      <x:c r="AI56" s="11"/>
      <x:c r="AJ56" s="9"/>
      <x:c r="AK56" s="9" t="str">
        <x:v>Eval_State_Recognition.xlsm</x:v>
      </x:c>
      <x:c r="AL56" s="9" t="str">
        <x:v>pi0.5 Results</x:v>
      </x:c>
      <x:c r="AM56" s="9" t="n">
        <x:v>56</x:v>
      </x:c>
      <x:c r="AN56" s="9" t="n">
        <x:v>56</x:v>
      </x:c>
    </x:row>
    <x:row r="57">
      <x:c r="A57" s="9" t="str">
        <x:v>Success</x:v>
      </x:c>
      <x:c r="B57" s="9" t="str">
        <x:v>State Recognition</x:v>
      </x:c>
      <x:c r="C57" s="10" t="n">
        <x:v>55</x:v>
      </x:c>
      <x:c r="D57" s="9" t="str">
        <x:v>Move the white cup from the workspace into the bowl.</x:v>
      </x:c>
      <x:c r="E57" s="9" t="str">
        <x:v>white cup A (C, UD); brown cup A (C, RU); glass spice container A (C, RU); yellow-white striped cup B (O, RU)</x:v>
      </x:c>
      <x:c r="F57" s="9" t="str">
        <x:v>white cup A</x:v>
      </x:c>
      <x:c r="G57" s="9"/>
      <x:c r="H57" s="9" t="str">
        <x:v>Language robustness</x:v>
      </x:c>
      <x:c r="I57" s="9" t="str">
        <x:v>SR-CT09</x:v>
      </x:c>
      <x:c r="J57" s="9" t="str">
        <x:v>Direct-category matched-control paraphrase</x:v>
      </x:c>
      <x:c r="K57" s="9" t="n">
        <x:v>53</x:v>
      </x:c>
      <x:c r="L57" s="9" t="n">
        <x:v>39</x:v>
      </x:c>
      <x:c r="M57" s="9" t="str">
        <x:v>Paraphrase of the direct-category matched control grounded by training episode 39. The modified control scene and physical target are unchanged.</x:v>
      </x:c>
      <x:c r="N57" s="9" t="n">
        <x:v>2</x:v>
      </x:c>
      <x:c r="O57" s="9" t="str">
        <x:v>Reset the target to its marked pose; preserve the exact modified control scene and change only the direct instruction wording.</x:v>
      </x:c>
      <x:c r="P57" s="9" t="str">
        <x:v>Language diagnostic for the pure manipulation control; no state word or state-based selection is required. The scene is an exact copy of the referenced canonical row.</x:v>
      </x:c>
      <x:c r="Q57" s="9"/>
      <x:c r="R57" s="10" t="n">
        <x:v>4</x:v>
      </x:c>
      <x:c r="S57" s="10" t="n">
        <x:v>1</x:v>
      </x:c>
      <x:c r="T57" s="9" t="str">
        <x:v>Empty</x:v>
      </x:c>
      <x:c r="U57" s="9" t="str">
        <x:v>N/A</x:v>
      </x:c>
      <x:c r="V57" s="9" t="str">
        <x:v>white cup</x:v>
      </x:c>
      <x:c r="W57" s="9"/>
      <x:c r="X57" s="10"/>
      <x:c r="Y57" s="10"/>
      <x:c r="Z57" s="9"/>
      <x:c r="AA57" s="9"/>
      <x:c r="AB57" s="9"/>
      <x:c r="AC57" s="9"/>
      <x:c r="AD57" s="9"/>
      <x:c r="AE57" s="9"/>
      <x:c r="AF57" s="9"/>
      <x:c r="AG57" s="9"/>
      <x:c r="AH57" s="9"/>
      <x:c r="AI57" s="11"/>
      <x:c r="AJ57" s="9"/>
      <x:c r="AK57" s="9" t="str">
        <x:v>Eval_State_Recognition.xlsm</x:v>
      </x:c>
      <x:c r="AL57" s="9" t="str">
        <x:v>pi0.5 Results</x:v>
      </x:c>
      <x:c r="AM57" s="9" t="n">
        <x:v>57</x:v>
      </x:c>
      <x:c r="AN57" s="9" t="n">
        <x:v>57</x:v>
      </x:c>
    </x:row>
    <x:row r="58">
      <x:c r="A58" s="9" t="str">
        <x:v>Failure</x:v>
      </x:c>
      <x:c r="B58" s="9" t="str">
        <x:v>State Recognition</x:v>
      </x:c>
      <x:c r="C58" s="10" t="n">
        <x:v>56</x:v>
      </x:c>
      <x:c r="D58" s="9" t="str">
        <x:v>Place the open yellow-white striped cup in the bowl.</x:v>
      </x:c>
      <x:c r="E58" s="9" t="str">
        <x:v>yellow-white striped cup B (O, RU); yellow-white striped cup A (C, RU)</x:v>
      </x:c>
      <x:c r="F58" s="9" t="str">
        <x:v>yellow-white striped cup B</x:v>
      </x:c>
      <x:c r="G58" s="9" t="str">
        <x:v>picked the closed cup</x:v>
      </x:c>
      <x:c r="H58" s="9" t="str">
        <x:v>Concept/compositional transfer</x:v>
      </x:c>
      <x:c r="I58" s="9" t="str">
        <x:v>SR-CT10</x:v>
      </x:c>
      <x:c r="J58" s="9" t="str">
        <x:v>Primary held-out state-object composition</x:v>
      </x:c>
      <x:c r="K58" s="9"/>
      <x:c r="L58" s="9" t="str">
        <x:v>71</x:v>
      </x:c>
      <x:c r="M58"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58" s="9" t="n">
        <x:v>2</x:v>
      </x:c>
      <x:c r="O58" s="9" t="str">
        <x:v>Build the listed same-category discrimination scene with the bowl empty.</x:v>
      </x:c>
      <x:c r="P58" s="9" t="str">
        <x:v>Two same-category candidates share the non-queried state axis; only the held-out state word identifies the target. The orthogonal orientation axis is fixed: every object is RU.</x:v>
      </x:c>
      <x:c r="Q58" s="9"/>
      <x:c r="R58" s="10" t="n">
        <x:v>2</x:v>
      </x:c>
      <x:c r="S58" s="10" t="n">
        <x:v>1</x:v>
      </x:c>
      <x:c r="T58" s="9" t="str">
        <x:v>Empty</x:v>
      </x:c>
      <x:c r="U58" s="9" t="str">
        <x:v>O</x:v>
      </x:c>
      <x:c r="V58" s="9" t="str">
        <x:v>yellow-white striped cup</x:v>
      </x:c>
      <x:c r="W58" s="9"/>
      <x:c r="X58" s="10"/>
      <x:c r="Y58" s="10"/>
      <x:c r="Z58" s="9"/>
      <x:c r="AA58" s="9"/>
      <x:c r="AB58" s="9"/>
      <x:c r="AC58" s="9"/>
      <x:c r="AD58" s="9"/>
      <x:c r="AE58" s="9"/>
      <x:c r="AF58" s="9"/>
      <x:c r="AG58" s="9"/>
      <x:c r="AH58" s="9"/>
      <x:c r="AI58" s="11"/>
      <x:c r="AJ58" s="9"/>
      <x:c r="AK58" s="9" t="str">
        <x:v>Eval_State_Recognition.xlsm</x:v>
      </x:c>
      <x:c r="AL58" s="9" t="str">
        <x:v>pi0.5 Results</x:v>
      </x:c>
      <x:c r="AM58" s="9" t="n">
        <x:v>58</x:v>
      </x:c>
      <x:c r="AN58" s="9" t="n">
        <x:v>58</x:v>
      </x:c>
    </x:row>
    <x:row r="59">
      <x:c r="A59" s="9" t="str">
        <x:v>Success</x:v>
      </x:c>
      <x:c r="B59" s="9" t="str">
        <x:v>State Recognition</x:v>
      </x:c>
      <x:c r="C59" s="10" t="n">
        <x:v>57</x:v>
      </x:c>
      <x:c r="D59" s="9" t="str">
        <x:v>Put a yellow-white striped cup in the bowl.</x:v>
      </x:c>
      <x:c r="E59" s="9" t="str">
        <x:v>yellow-white striped cup B (O, RU); white cup B (C, RU)</x:v>
      </x:c>
      <x:c r="F59" s="9" t="str">
        <x:v>yellow-white striped cup B</x:v>
      </x:c>
      <x:c r="G59" s="9"/>
      <x:c r="H59" s="9" t="str">
        <x:v>Matched manipulation control</x:v>
      </x:c>
      <x:c r="I59" s="9" t="str">
        <x:v>SR-CT10</x:v>
      </x:c>
      <x:c r="J59" s="9" t="str">
        <x:v>One-object-substitution direct-category control</x:v>
      </x:c>
      <x:c r="K59" s="9" t="n">
        <x:v>56</x:v>
      </x:c>
      <x:c r="L59" s="9" t="n">
        <x:v>71</x:v>
      </x:c>
      <x:c r="M59" s="9" t="str">
        <x:v>Exact direct-category manipulation prompt from training episode 71. The transfer target, state, and pose are preserved; only the competing yellow-white striped cup is replaced by white cup B. The full control scene is upright because its paired transfer instruction queries open/closed.</x:v>
      </x:c>
      <x:c r="N59" s="9" t="n">
        <x:v>2</x:v>
      </x:c>
      <x:c r="O59" s="9" t="str">
        <x:v>Reset yellow-white striped cup B to its transfer pose. Replace yellow-white striped cup A with white cup B in the same location and use the states listed in this row; preserve all other objects.</x:v>
      </x:c>
      <x:c r="P59" s="9" t="str">
        <x:v>Pure recognition/manipulation control: the prompt uniquely names the only object from the target category, while the physical target remains identical to the transfer row. Every object is RU.</x:v>
      </x:c>
      <x:c r="Q59" s="9"/>
      <x:c r="R59" s="10" t="n">
        <x:v>2</x:v>
      </x:c>
      <x:c r="S59" s="10" t="n">
        <x:v>1</x:v>
      </x:c>
      <x:c r="T59" s="9" t="str">
        <x:v>Empty</x:v>
      </x:c>
      <x:c r="U59" s="9" t="str">
        <x:v>N/A</x:v>
      </x:c>
      <x:c r="V59" s="9" t="str">
        <x:v>yellow-white striped cup</x:v>
      </x:c>
      <x:c r="W59" s="9"/>
      <x:c r="X59" s="10"/>
      <x:c r="Y59" s="10"/>
      <x:c r="Z59" s="9"/>
      <x:c r="AA59" s="9"/>
      <x:c r="AB59" s="9"/>
      <x:c r="AC59" s="9"/>
      <x:c r="AD59" s="9"/>
      <x:c r="AE59" s="9"/>
      <x:c r="AF59" s="9"/>
      <x:c r="AG59" s="9"/>
      <x:c r="AH59" s="9"/>
      <x:c r="AI59" s="11"/>
      <x:c r="AJ59" s="9"/>
      <x:c r="AK59" s="9" t="str">
        <x:v>Eval_State_Recognition.xlsm</x:v>
      </x:c>
      <x:c r="AL59" s="9" t="str">
        <x:v>pi0.5 Results</x:v>
      </x:c>
      <x:c r="AM59" s="9" t="n">
        <x:v>59</x:v>
      </x:c>
      <x:c r="AN59" s="9" t="n">
        <x:v>59</x:v>
      </x:c>
    </x:row>
    <x:row r="60">
      <x:c r="A60" s="9" t="str">
        <x:v>Success</x:v>
      </x:c>
      <x:c r="B60" s="9" t="str">
        <x:v>State Recognition</x:v>
      </x:c>
      <x:c r="C60" s="10" t="n">
        <x:v>58</x:v>
      </x:c>
      <x:c r="D60" s="9" t="str">
        <x:v>Move the yellow-white striped cup whose opening is uncovered into the bowl.</x:v>
      </x:c>
      <x:c r="E60" s="9" t="str">
        <x:v>yellow-white striped cup B (O, RU); yellow-white striped cup A (C, RU)</x:v>
      </x:c>
      <x:c r="F60" s="9" t="str">
        <x:v>yellow-white striped cup B</x:v>
      </x:c>
      <x:c r="G60" s="9"/>
      <x:c r="H60" s="9" t="str">
        <x:v>Language robustness</x:v>
      </x:c>
      <x:c r="I60" s="9" t="str">
        <x:v>SR-CT10</x:v>
      </x:c>
      <x:c r="J60" s="9" t="str">
        <x:v>Primary compositional-transfer prompt paraphrase</x:v>
      </x:c>
      <x:c r="K60" s="9" t="n">
        <x:v>56</x:v>
      </x:c>
      <x:c r="L60" s="9" t="str">
        <x:v>71</x:v>
      </x:c>
      <x:c r="M60" s="9" t="str">
        <x:v>The canonical transfer scene and masked trajectory reference are unchanged; only the evaluation wording is paraphrased. This remains a language diagnostic and is not pooled into the primary 50. All objects are upright, matching the context of every explicit open/closed training demonstration.</x:v>
      </x:c>
      <x:c r="N60" s="9" t="n">
        <x:v>2</x:v>
      </x:c>
      <x:c r="O60" s="9" t="str">
        <x:v>Reset the moved object exactly; preserve every object and state; change only the prompt wording.</x:v>
      </x:c>
      <x:c r="P60" s="9" t="str">
        <x:v>Exact-scene paraphrase of one of the 50 canonical compositional-transfer trials. The orthogonal orientation axis is fixed: every object is RU. The scene is an exact copy of the referenced canonical row.</x:v>
      </x:c>
      <x:c r="Q60" s="9"/>
      <x:c r="R60" s="10" t="n">
        <x:v>2</x:v>
      </x:c>
      <x:c r="S60" s="10" t="n">
        <x:v>1</x:v>
      </x:c>
      <x:c r="T60" s="9" t="str">
        <x:v>Empty</x:v>
      </x:c>
      <x:c r="U60" s="9" t="str">
        <x:v>O</x:v>
      </x:c>
      <x:c r="V60" s="9" t="str">
        <x:v>yellow-white striped cup</x:v>
      </x:c>
      <x:c r="W60" s="9"/>
      <x:c r="X60" s="10"/>
      <x:c r="Y60" s="10"/>
      <x:c r="Z60" s="9"/>
      <x:c r="AA60" s="9"/>
      <x:c r="AB60" s="9"/>
      <x:c r="AC60" s="9"/>
      <x:c r="AD60" s="9"/>
      <x:c r="AE60" s="9"/>
      <x:c r="AF60" s="9"/>
      <x:c r="AG60" s="9"/>
      <x:c r="AH60" s="9"/>
      <x:c r="AI60" s="11"/>
      <x:c r="AJ60" s="9"/>
      <x:c r="AK60" s="9" t="str">
        <x:v>Eval_State_Recognition.xlsm</x:v>
      </x:c>
      <x:c r="AL60" s="9" t="str">
        <x:v>pi0.5 Results</x:v>
      </x:c>
      <x:c r="AM60" s="9" t="n">
        <x:v>60</x:v>
      </x:c>
      <x:c r="AN60" s="9" t="n">
        <x:v>60</x:v>
      </x:c>
    </x:row>
    <x:row r="61">
      <x:c r="A61" s="9" t="str">
        <x:v>Success</x:v>
      </x:c>
      <x:c r="B61" s="9" t="str">
        <x:v>State Recognition</x:v>
      </x:c>
      <x:c r="C61" s="10" t="n">
        <x:v>59</x:v>
      </x:c>
      <x:c r="D61" s="9" t="str">
        <x:v>Set the yellow-white striped cup inside the bowl.</x:v>
      </x:c>
      <x:c r="E61" s="9" t="str">
        <x:v>yellow-white striped cup B (O, RU); white cup B (C, RU)</x:v>
      </x:c>
      <x:c r="F61" s="9" t="str">
        <x:v>yellow-white striped cup B</x:v>
      </x:c>
      <x:c r="G61" s="9"/>
      <x:c r="H61" s="9" t="str">
        <x:v>Language robustness</x:v>
      </x:c>
      <x:c r="I61" s="9" t="str">
        <x:v>SR-CT10</x:v>
      </x:c>
      <x:c r="J61" s="9" t="str">
        <x:v>Direct-category matched-control paraphrase</x:v>
      </x:c>
      <x:c r="K61" s="9" t="n">
        <x:v>57</x:v>
      </x:c>
      <x:c r="L61" s="9" t="n">
        <x:v>71</x:v>
      </x:c>
      <x:c r="M61" s="9" t="str">
        <x:v>Paraphrase of the direct-category matched control grounded by training episode 71. The modified control scene and physical target are unchanged.</x:v>
      </x:c>
      <x:c r="N61" s="9" t="n">
        <x:v>2</x:v>
      </x:c>
      <x:c r="O61" s="9" t="str">
        <x:v>Reset the target to its marked pose; preserve the exact modified control scene and change only the direct instruction wording.</x:v>
      </x:c>
      <x:c r="P61" s="9" t="str">
        <x:v>Language diagnostic for the pure manipulation control; no state word or state-based selection is required. The scene is an exact copy of the referenced canonical row.</x:v>
      </x:c>
      <x:c r="Q61" s="9"/>
      <x:c r="R61" s="10" t="n">
        <x:v>2</x:v>
      </x:c>
      <x:c r="S61" s="10" t="n">
        <x:v>1</x:v>
      </x:c>
      <x:c r="T61" s="9" t="str">
        <x:v>Empty</x:v>
      </x:c>
      <x:c r="U61" s="9" t="str">
        <x:v>N/A</x:v>
      </x:c>
      <x:c r="V61" s="9" t="str">
        <x:v>yellow-white striped cup</x:v>
      </x:c>
      <x:c r="W61" s="9"/>
      <x:c r="X61" s="10"/>
      <x:c r="Y61" s="10"/>
      <x:c r="Z61" s="9"/>
      <x:c r="AA61" s="9"/>
      <x:c r="AB61" s="9"/>
      <x:c r="AC61" s="9"/>
      <x:c r="AD61" s="9"/>
      <x:c r="AE61" s="9"/>
      <x:c r="AF61" s="9"/>
      <x:c r="AG61" s="9"/>
      <x:c r="AH61" s="9"/>
      <x:c r="AI61" s="11"/>
      <x:c r="AJ61" s="9"/>
      <x:c r="AK61" s="9" t="str">
        <x:v>Eval_State_Recognition.xlsm</x:v>
      </x:c>
      <x:c r="AL61" s="9" t="str">
        <x:v>pi0.5 Results</x:v>
      </x:c>
      <x:c r="AM61" s="9" t="n">
        <x:v>61</x:v>
      </x:c>
      <x:c r="AN61" s="9" t="n">
        <x:v>61</x:v>
      </x:c>
    </x:row>
    <x:row r="62">
      <x:c r="A62" s="9" t="str">
        <x:v>Failure</x:v>
      </x:c>
      <x:c r="B62" s="9" t="str">
        <x:v>State Recognition</x:v>
      </x:c>
      <x:c r="C62" s="10" t="n">
        <x:v>60</x:v>
      </x:c>
      <x:c r="D62" s="9" t="str">
        <x:v>Place the closed brown cup in the bowl.</x:v>
      </x:c>
      <x:c r="E62" s="9" t="str">
        <x:v>brown cup A (C, RU); brown cup B (O, RU); yellow-white striped cup A (C, RU)</x:v>
      </x:c>
      <x:c r="F62" s="9" t="str">
        <x:v>brown cup A</x:v>
      </x:c>
      <x:c r="G62" s="9" t="str">
        <x:v>picked open brown cup</x:v>
      </x:c>
      <x:c r="H62" s="9" t="str">
        <x:v>Concept/compositional transfer</x:v>
      </x:c>
      <x:c r="I62" s="9" t="str">
        <x:v>SR-CT11</x:v>
      </x:c>
      <x:c r="J62" s="9" t="str">
        <x:v>Primary held-out state-object composition</x:v>
      </x:c>
      <x:c r="K62" s="9"/>
      <x:c r="L62" s="9" t="str">
        <x:v>102</x:v>
      </x:c>
      <x:c r="M62"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62" s="9" t="n">
        <x:v>3</x:v>
      </x:c>
      <x:c r="O62" s="9" t="str">
        <x:v>Build the listed same-category discrimination scene with the bowl empty.</x:v>
      </x:c>
      <x:c r="P62" s="9" t="str">
        <x:v>Two same-category candidates share the non-queried state axis; only the held-out state word identifies the target. The orthogonal orientation axis is fixed: every object is RU.</x:v>
      </x:c>
      <x:c r="Q62" s="9"/>
      <x:c r="R62" s="10" t="n">
        <x:v>3</x:v>
      </x:c>
      <x:c r="S62" s="10" t="n">
        <x:v>1</x:v>
      </x:c>
      <x:c r="T62" s="9" t="str">
        <x:v>Empty</x:v>
      </x:c>
      <x:c r="U62" s="9" t="str">
        <x:v>C</x:v>
      </x:c>
      <x:c r="V62" s="9" t="str">
        <x:v>brown cup</x:v>
      </x:c>
      <x:c r="W62" s="9"/>
      <x:c r="X62" s="10"/>
      <x:c r="Y62" s="10"/>
      <x:c r="Z62" s="9"/>
      <x:c r="AA62" s="9"/>
      <x:c r="AB62" s="9"/>
      <x:c r="AC62" s="9"/>
      <x:c r="AD62" s="9"/>
      <x:c r="AE62" s="9"/>
      <x:c r="AF62" s="9"/>
      <x:c r="AG62" s="9"/>
      <x:c r="AH62" s="9"/>
      <x:c r="AI62" s="11"/>
      <x:c r="AJ62" s="9"/>
      <x:c r="AK62" s="9" t="str">
        <x:v>Eval_State_Recognition.xlsm</x:v>
      </x:c>
      <x:c r="AL62" s="9" t="str">
        <x:v>pi0.5 Results</x:v>
      </x:c>
      <x:c r="AM62" s="9" t="n">
        <x:v>62</x:v>
      </x:c>
      <x:c r="AN62" s="9" t="n">
        <x:v>62</x:v>
      </x:c>
    </x:row>
    <x:row r="63">
      <x:c r="A63" s="9" t="str">
        <x:v>Success</x:v>
      </x:c>
      <x:c r="B63" s="9" t="str">
        <x:v>State Recognition</x:v>
      </x:c>
      <x:c r="C63" s="10" t="n">
        <x:v>61</x:v>
      </x:c>
      <x:c r="D63" s="9" t="str">
        <x:v>Move a brown cup into the bowl.</x:v>
      </x:c>
      <x:c r="E63" s="9" t="str">
        <x:v>brown cup A (C, RU); white cup A (O, RU); yellow-white striped cup A (C, RU)</x:v>
      </x:c>
      <x:c r="F63" s="9" t="str">
        <x:v>brown cup A</x:v>
      </x:c>
      <x:c r="G63" s="9"/>
      <x:c r="H63" s="9" t="str">
        <x:v>Matched manipulation control</x:v>
      </x:c>
      <x:c r="I63" s="9" t="str">
        <x:v>SR-CT11</x:v>
      </x:c>
      <x:c r="J63" s="9" t="str">
        <x:v>One-object-substitution direct-category control</x:v>
      </x:c>
      <x:c r="K63" s="9" t="n">
        <x:v>60</x:v>
      </x:c>
      <x:c r="L63" s="9" t="n">
        <x:v>102</x:v>
      </x:c>
      <x:c r="M63" s="9" t="str">
        <x:v>Exact direct-category manipulation prompt from training episode 102. The transfer target, state, and pose are preserved; only the competing brown cup is replaced by white cup A. The full control scene is upright because its paired transfer instruction queries open/closed.</x:v>
      </x:c>
      <x:c r="N63" s="9" t="n">
        <x:v>3</x:v>
      </x:c>
      <x:c r="O63" s="9" t="str">
        <x:v>Reset brown cup A to its transfer pose. Replace brown cup B with white cup A in the same location and use the states listed in this row; preserve all other objects.</x:v>
      </x:c>
      <x:c r="P63" s="9" t="str">
        <x:v>Pure recognition/manipulation control: the prompt uniquely names the only object from the target category, while the physical target remains identical to the transfer row. Every object is RU.</x:v>
      </x:c>
      <x:c r="Q63" s="9"/>
      <x:c r="R63" s="10" t="n">
        <x:v>3</x:v>
      </x:c>
      <x:c r="S63" s="10" t="n">
        <x:v>1</x:v>
      </x:c>
      <x:c r="T63" s="9" t="str">
        <x:v>Empty</x:v>
      </x:c>
      <x:c r="U63" s="9" t="str">
        <x:v>N/A</x:v>
      </x:c>
      <x:c r="V63" s="9" t="str">
        <x:v>brown cup</x:v>
      </x:c>
      <x:c r="W63" s="9"/>
      <x:c r="X63" s="10"/>
      <x:c r="Y63" s="10"/>
      <x:c r="Z63" s="9"/>
      <x:c r="AA63" s="9"/>
      <x:c r="AB63" s="9"/>
      <x:c r="AC63" s="9"/>
      <x:c r="AD63" s="9"/>
      <x:c r="AE63" s="9"/>
      <x:c r="AF63" s="9"/>
      <x:c r="AG63" s="9"/>
      <x:c r="AH63" s="9"/>
      <x:c r="AI63" s="11"/>
      <x:c r="AJ63" s="9"/>
      <x:c r="AK63" s="9" t="str">
        <x:v>Eval_State_Recognition.xlsm</x:v>
      </x:c>
      <x:c r="AL63" s="9" t="str">
        <x:v>pi0.5 Results</x:v>
      </x:c>
      <x:c r="AM63" s="9" t="n">
        <x:v>63</x:v>
      </x:c>
      <x:c r="AN63" s="9" t="n">
        <x:v>63</x:v>
      </x:c>
    </x:row>
    <x:row r="64">
      <x:c r="A64" s="9" t="str">
        <x:v>Failure</x:v>
      </x:c>
      <x:c r="B64" s="9" t="str">
        <x:v>State Recognition</x:v>
      </x:c>
      <x:c r="C64" s="10" t="n">
        <x:v>62</x:v>
      </x:c>
      <x:c r="D64" s="9" t="str">
        <x:v>Place the upright glass spice container in the bowl.</x:v>
      </x:c>
      <x:c r="E64" s="9" t="str">
        <x:v>glass spice container B (C, RU); glass spice container A (C, UD); brown cup B (O, UD); white cup A (C, RU)</x:v>
      </x:c>
      <x:c r="F64" s="9" t="str">
        <x:v>glass spice container B</x:v>
      </x:c>
      <x:c r="G64" s="9" t="str">
        <x:v>picked upside down spice container</x:v>
      </x:c>
      <x:c r="H64" s="9" t="str">
        <x:v>Concept/compositional transfer</x:v>
      </x:c>
      <x:c r="I64" s="9" t="str">
        <x:v>SR-CT12</x:v>
      </x:c>
      <x:c r="J64" s="9" t="str">
        <x:v>Primary held-out state-object composition</x:v>
      </x:c>
      <x:c r="K64" s="9"/>
      <x:c r="L64" s="9" t="str">
        <x:v>172</x:v>
      </x:c>
      <x:c r="M64" s="9" t="str">
        <x:v>Physical-state and manipulation-trajectory reference under a direct category prompt; the evaluated state word × object-category cell is intentionally absent from training.</x:v>
      </x:c>
      <x:c r="N64" s="9" t="n">
        <x:v>3</x:v>
      </x:c>
      <x:c r="O64" s="9" t="str">
        <x:v>Build the listed same-category discrimination scene with the bowl empty.</x:v>
      </x:c>
      <x:c r="P64" s="9" t="str">
        <x:v>Two same-category candidates share the non-queried state axis; only the held-out state word identifies the target. The same-category candidates share the orthogonal C/O state (C).</x:v>
      </x:c>
      <x:c r="Q64" s="9"/>
      <x:c r="R64" s="10" t="n">
        <x:v>4</x:v>
      </x:c>
      <x:c r="S64" s="10" t="n">
        <x:v>1</x:v>
      </x:c>
      <x:c r="T64" s="9" t="str">
        <x:v>Empty</x:v>
      </x:c>
      <x:c r="U64" s="9" t="str">
        <x:v>RU</x:v>
      </x:c>
      <x:c r="V64" s="9" t="str">
        <x:v>glass spice container</x:v>
      </x:c>
      <x:c r="W64" s="9"/>
      <x:c r="X64" s="10"/>
      <x:c r="Y64" s="10"/>
      <x:c r="Z64" s="9"/>
      <x:c r="AA64" s="9"/>
      <x:c r="AB64" s="9"/>
      <x:c r="AC64" s="9"/>
      <x:c r="AD64" s="9"/>
      <x:c r="AE64" s="9"/>
      <x:c r="AF64" s="9"/>
      <x:c r="AG64" s="9"/>
      <x:c r="AH64" s="9"/>
      <x:c r="AI64" s="11"/>
      <x:c r="AJ64" s="9"/>
      <x:c r="AK64" s="9" t="str">
        <x:v>Eval_State_Recognition.xlsm</x:v>
      </x:c>
      <x:c r="AL64" s="9" t="str">
        <x:v>pi0.5 Results</x:v>
      </x:c>
      <x:c r="AM64" s="9" t="n">
        <x:v>64</x:v>
      </x:c>
      <x:c r="AN64" s="9" t="n">
        <x:v>64</x:v>
      </x:c>
    </x:row>
    <x:row r="65">
      <x:c r="A65" s="9" t="str">
        <x:v>Failure</x:v>
      </x:c>
      <x:c r="B65" s="9" t="str">
        <x:v>State Recognition</x:v>
      </x:c>
      <x:c r="C65" s="10" t="n">
        <x:v>63</x:v>
      </x:c>
      <x:c r="D65" s="9" t="str">
        <x:v>Place a glass spice container in the bowl.</x:v>
      </x:c>
      <x:c r="E65" s="9" t="str">
        <x:v>glass spice container B (C, RU); yellow-white striped cup B (C, UD); brown cup B (O, UD); white cup A (C, RU)</x:v>
      </x:c>
      <x:c r="F65" s="9" t="str">
        <x:v>glass spice container B</x:v>
      </x:c>
      <x:c r="G65" s="9" t="str">
        <x:v>picked the yellow white striped cup</x:v>
      </x:c>
      <x:c r="H65" s="9" t="str">
        <x:v>Matched manipulation control</x:v>
      </x:c>
      <x:c r="I65" s="9" t="str">
        <x:v>SR-CT12</x:v>
      </x:c>
      <x:c r="J65" s="9" t="str">
        <x:v>One-object-substitution direct-category control</x:v>
      </x:c>
      <x:c r="K65" s="9" t="n">
        <x:v>62</x:v>
      </x:c>
      <x:c r="L65" s="9" t="n">
        <x:v>172</x:v>
      </x:c>
      <x:c r="M65" s="9" t="str">
        <x:v>Exact direct-category manipulation prompt from training episode 172. The transfer target, state, and pose are preserved; only the competing glass spice container is replaced by yellow-white striped cup B.</x:v>
      </x:c>
      <x:c r="N65" s="9" t="n">
        <x:v>3</x:v>
      </x:c>
      <x:c r="O65" s="9" t="str">
        <x:v>Reset glass spice container B to its transfer pose. Replace glass spice container A with yellow-white striped cup B in the same location and use the states listed in this row; preserve all other objects.</x:v>
      </x:c>
      <x:c r="P65" s="9" t="str">
        <x:v>Pure recognition/manipulation control: the prompt uniquely names the only object from the target category, while the physical target remains identical to the transfer row.</x:v>
      </x:c>
      <x:c r="Q65" s="9"/>
      <x:c r="R65" s="10" t="n">
        <x:v>4</x:v>
      </x:c>
      <x:c r="S65" s="10" t="n">
        <x:v>1</x:v>
      </x:c>
      <x:c r="T65" s="9" t="str">
        <x:v>Empty</x:v>
      </x:c>
      <x:c r="U65" s="9" t="str">
        <x:v>N/A</x:v>
      </x:c>
      <x:c r="V65" s="9" t="str">
        <x:v>glass spice container</x:v>
      </x:c>
      <x:c r="W65" s="9"/>
      <x:c r="X65" s="10"/>
      <x:c r="Y65" s="10"/>
      <x:c r="Z65" s="9"/>
      <x:c r="AA65" s="9"/>
      <x:c r="AB65" s="9"/>
      <x:c r="AC65" s="9"/>
      <x:c r="AD65" s="9"/>
      <x:c r="AE65" s="9"/>
      <x:c r="AF65" s="9"/>
      <x:c r="AG65" s="9"/>
      <x:c r="AH65" s="9"/>
      <x:c r="AI65" s="11"/>
      <x:c r="AJ65" s="9"/>
      <x:c r="AK65" s="9" t="str">
        <x:v>Eval_State_Recognition.xlsm</x:v>
      </x:c>
      <x:c r="AL65" s="9" t="str">
        <x:v>pi0.5 Results</x:v>
      </x:c>
      <x:c r="AM65" s="9" t="n">
        <x:v>65</x:v>
      </x:c>
      <x:c r="AN65" s="9" t="n">
        <x:v>65</x:v>
      </x:c>
    </x:row>
    <x:row r="66">
      <x:c r="A66" s="9" t="str">
        <x:v>Failure</x:v>
      </x:c>
      <x:c r="B66" s="9" t="str">
        <x:v>State Recognition</x:v>
      </x:c>
      <x:c r="C66" s="10" t="n">
        <x:v>64</x:v>
      </x:c>
      <x:c r="D66" s="9" t="str">
        <x:v>Place the upside-down white cup in the bowl.</x:v>
      </x:c>
      <x:c r="E66" s="9" t="str">
        <x:v>white cup A (O, UD); white cup B (O, RU)</x:v>
      </x:c>
      <x:c r="F66" s="9" t="str">
        <x:v>white cup A</x:v>
      </x:c>
      <x:c r="G66" s="9" t="str">
        <x:v>picked the open white cup</x:v>
      </x:c>
      <x:c r="H66" s="9" t="str">
        <x:v>Concept/compositional transfer</x:v>
      </x:c>
      <x:c r="I66" s="9" t="str">
        <x:v>SR-CT13</x:v>
      </x:c>
      <x:c r="J66" s="9" t="str">
        <x:v>Primary held-out state-object composition</x:v>
      </x:c>
      <x:c r="K66" s="9"/>
      <x:c r="L66" s="9" t="str">
        <x:v>32</x:v>
      </x:c>
      <x:c r="M66" s="9" t="str">
        <x:v>Physical-state and manipulation-trajectory reference under a direct category prompt; the evaluated state word × object-category cell is intentionally absent from training.</x:v>
      </x:c>
      <x:c r="N66" s="9" t="n">
        <x:v>3</x:v>
      </x:c>
      <x:c r="O66" s="9" t="str">
        <x:v>Build the listed same-category discrimination scene with the bowl empty.</x:v>
      </x:c>
      <x:c r="P66" s="9" t="str">
        <x:v>Two same-category candidates share the non-queried state axis; only the held-out state word identifies the target. The same-category candidates share the orthogonal C/O state (O).</x:v>
      </x:c>
      <x:c r="Q66" s="9"/>
      <x:c r="R66" s="10" t="n">
        <x:v>2</x:v>
      </x:c>
      <x:c r="S66" s="10" t="n">
        <x:v>1</x:v>
      </x:c>
      <x:c r="T66" s="9" t="str">
        <x:v>Empty</x:v>
      </x:c>
      <x:c r="U66" s="9" t="str">
        <x:v>UD</x:v>
      </x:c>
      <x:c r="V66" s="9" t="str">
        <x:v>white cup</x:v>
      </x:c>
      <x:c r="W66" s="9"/>
      <x:c r="X66" s="10"/>
      <x:c r="Y66" s="10"/>
      <x:c r="Z66" s="9"/>
      <x:c r="AA66" s="9"/>
      <x:c r="AB66" s="9"/>
      <x:c r="AC66" s="9"/>
      <x:c r="AD66" s="9"/>
      <x:c r="AE66" s="9"/>
      <x:c r="AF66" s="9"/>
      <x:c r="AG66" s="9"/>
      <x:c r="AH66" s="9"/>
      <x:c r="AI66" s="11"/>
      <x:c r="AJ66" s="9"/>
      <x:c r="AK66" s="9" t="str">
        <x:v>Eval_State_Recognition.xlsm</x:v>
      </x:c>
      <x:c r="AL66" s="9" t="str">
        <x:v>pi0.5 Results</x:v>
      </x:c>
      <x:c r="AM66" s="9" t="n">
        <x:v>66</x:v>
      </x:c>
      <x:c r="AN66" s="9" t="n">
        <x:v>66</x:v>
      </x:c>
    </x:row>
    <x:row r="67">
      <x:c r="A67" s="9" t="str">
        <x:v>Success</x:v>
      </x:c>
      <x:c r="B67" s="9" t="str">
        <x:v>State Recognition</x:v>
      </x:c>
      <x:c r="C67" s="10" t="n">
        <x:v>65</x:v>
      </x:c>
      <x:c r="D67" s="9" t="str">
        <x:v>Put a white cup in the bowl.</x:v>
      </x:c>
      <x:c r="E67" s="9" t="str">
        <x:v>white cup A (O, UD); yellow-white striped cup A (O, RU)</x:v>
      </x:c>
      <x:c r="F67" s="9" t="str">
        <x:v>white cup A</x:v>
      </x:c>
      <x:c r="G67" s="9"/>
      <x:c r="H67" s="9" t="str">
        <x:v>Matched manipulation control</x:v>
      </x:c>
      <x:c r="I67" s="9" t="str">
        <x:v>SR-CT13</x:v>
      </x:c>
      <x:c r="J67" s="9" t="str">
        <x:v>One-object-substitution direct-category control</x:v>
      </x:c>
      <x:c r="K67" s="9" t="n">
        <x:v>64</x:v>
      </x:c>
      <x:c r="L67" s="9" t="n">
        <x:v>32</x:v>
      </x:c>
      <x:c r="M67" s="9" t="str">
        <x:v>Exact direct-category manipulation prompt from training episode 32. The transfer target, state, and pose are preserved; only the competing white cup is replaced by yellow-white striped cup A.</x:v>
      </x:c>
      <x:c r="N67" s="9" t="n">
        <x:v>3</x:v>
      </x:c>
      <x:c r="O67" s="9" t="str">
        <x:v>Reset white cup A to its transfer pose. Replace white cup B with yellow-white striped cup A in the same location and use the states listed in this row; preserve all other objects.</x:v>
      </x:c>
      <x:c r="P67" s="9" t="str">
        <x:v>Pure recognition/manipulation control: the prompt uniquely names the only object from the target category, while the physical target remains identical to the transfer row.</x:v>
      </x:c>
      <x:c r="Q67" s="9"/>
      <x:c r="R67" s="10" t="n">
        <x:v>2</x:v>
      </x:c>
      <x:c r="S67" s="10" t="n">
        <x:v>1</x:v>
      </x:c>
      <x:c r="T67" s="9" t="str">
        <x:v>Empty</x:v>
      </x:c>
      <x:c r="U67" s="9" t="str">
        <x:v>N/A</x:v>
      </x:c>
      <x:c r="V67" s="9" t="str">
        <x:v>white cup</x:v>
      </x:c>
      <x:c r="W67" s="9"/>
      <x:c r="X67" s="10"/>
      <x:c r="Y67" s="10"/>
      <x:c r="Z67" s="9"/>
      <x:c r="AA67" s="9"/>
      <x:c r="AB67" s="9"/>
      <x:c r="AC67" s="9"/>
      <x:c r="AD67" s="9"/>
      <x:c r="AE67" s="9"/>
      <x:c r="AF67" s="9"/>
      <x:c r="AG67" s="9"/>
      <x:c r="AH67" s="9"/>
      <x:c r="AI67" s="11"/>
      <x:c r="AJ67" s="9"/>
      <x:c r="AK67" s="9" t="str">
        <x:v>Eval_State_Recognition.xlsm</x:v>
      </x:c>
      <x:c r="AL67" s="9" t="str">
        <x:v>pi0.5 Results</x:v>
      </x:c>
      <x:c r="AM67" s="9" t="n">
        <x:v>67</x:v>
      </x:c>
      <x:c r="AN67" s="9" t="n">
        <x:v>67</x:v>
      </x:c>
    </x:row>
    <x:row r="68">
      <x:c r="A68" s="9" t="str">
        <x:v>Failure</x:v>
      </x:c>
      <x:c r="B68" s="9" t="str">
        <x:v>State Recognition</x:v>
      </x:c>
      <x:c r="C68" s="10" t="n">
        <x:v>66</x:v>
      </x:c>
      <x:c r="D68" s="9" t="str">
        <x:v>Place the open yellow-white striped cup in the bowl.</x:v>
      </x:c>
      <x:c r="E68" s="9" t="str">
        <x:v>yellow-white striped cup B (O, RU); yellow-white striped cup A (C, RU); brown cup B (O, RU)</x:v>
      </x:c>
      <x:c r="F68" s="9" t="str">
        <x:v>yellow-white striped cup B</x:v>
      </x:c>
      <x:c r="G68" s="9" t="str">
        <x:v>picked the closed striped cup</x:v>
      </x:c>
      <x:c r="H68" s="9" t="str">
        <x:v>Concept/compositional transfer</x:v>
      </x:c>
      <x:c r="I68" s="9" t="str">
        <x:v>SR-CT14</x:v>
      </x:c>
      <x:c r="J68" s="9" t="str">
        <x:v>Primary held-out state-object composition</x:v>
      </x:c>
      <x:c r="K68" s="9"/>
      <x:c r="L68" s="9" t="str">
        <x:v>53</x:v>
      </x:c>
      <x:c r="M68"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68" s="9" t="n">
        <x:v>3</x:v>
      </x:c>
      <x:c r="O68" s="9" t="str">
        <x:v>Build the listed same-category discrimination scene with the bowl empty.</x:v>
      </x:c>
      <x:c r="P68" s="9" t="str">
        <x:v>Two same-category candidates share the non-queried state axis; only the held-out state word identifies the target. The orthogonal orientation axis is fixed: every object is RU.</x:v>
      </x:c>
      <x:c r="Q68" s="9"/>
      <x:c r="R68" s="10" t="n">
        <x:v>3</x:v>
      </x:c>
      <x:c r="S68" s="10" t="n">
        <x:v>1</x:v>
      </x:c>
      <x:c r="T68" s="9" t="str">
        <x:v>Empty</x:v>
      </x:c>
      <x:c r="U68" s="9" t="str">
        <x:v>O</x:v>
      </x:c>
      <x:c r="V68" s="9" t="str">
        <x:v>yellow-white striped cup</x:v>
      </x:c>
      <x:c r="W68" s="9"/>
      <x:c r="X68" s="10"/>
      <x:c r="Y68" s="10"/>
      <x:c r="Z68" s="9"/>
      <x:c r="AA68" s="9"/>
      <x:c r="AB68" s="9"/>
      <x:c r="AC68" s="9"/>
      <x:c r="AD68" s="9"/>
      <x:c r="AE68" s="9"/>
      <x:c r="AF68" s="9"/>
      <x:c r="AG68" s="9"/>
      <x:c r="AH68" s="9"/>
      <x:c r="AI68" s="11"/>
      <x:c r="AJ68" s="9"/>
      <x:c r="AK68" s="9" t="str">
        <x:v>Eval_State_Recognition.xlsm</x:v>
      </x:c>
      <x:c r="AL68" s="9" t="str">
        <x:v>pi0.5 Results</x:v>
      </x:c>
      <x:c r="AM68" s="9" t="n">
        <x:v>68</x:v>
      </x:c>
      <x:c r="AN68" s="9" t="n">
        <x:v>68</x:v>
      </x:c>
    </x:row>
    <x:row r="69">
      <x:c r="A69" s="9" t="str">
        <x:v>Success</x:v>
      </x:c>
      <x:c r="B69" s="9" t="str">
        <x:v>State Recognition</x:v>
      </x:c>
      <x:c r="C69" s="10" t="n">
        <x:v>67</x:v>
      </x:c>
      <x:c r="D69" s="9" t="str">
        <x:v>Put a yellow-white striped cup in the bowl.</x:v>
      </x:c>
      <x:c r="E69" s="9" t="str">
        <x:v>yellow-white striped cup B (O, RU); glass spice container B (C, RU); brown cup B (O, RU)</x:v>
      </x:c>
      <x:c r="F69" s="9" t="str">
        <x:v>yellow-white striped cup B</x:v>
      </x:c>
      <x:c r="G69" s="9"/>
      <x:c r="H69" s="9" t="str">
        <x:v>Matched manipulation control</x:v>
      </x:c>
      <x:c r="I69" s="9" t="str">
        <x:v>SR-CT14</x:v>
      </x:c>
      <x:c r="J69" s="9" t="str">
        <x:v>One-object-substitution direct-category control</x:v>
      </x:c>
      <x:c r="K69" s="9" t="n">
        <x:v>66</x:v>
      </x:c>
      <x:c r="L69" s="9" t="n">
        <x:v>53</x:v>
      </x:c>
      <x:c r="M69" s="9" t="str">
        <x:v>Exact direct-category manipulation prompt from training episode 53. The transfer target, state, and pose are preserved; only the competing yellow-white striped cup is replaced by glass spice container B. The full control scene is upright because its paired transfer instruction queries open/closed.</x:v>
      </x:c>
      <x:c r="N69" s="9" t="n">
        <x:v>3</x:v>
      </x:c>
      <x:c r="O69" s="9" t="str">
        <x:v>Reset yellow-white striped cup B to its transfer pose. Replace yellow-white striped cup A with glass spice container B in the same location and use the states listed in this row; preserve all other objects.</x:v>
      </x:c>
      <x:c r="P69" s="9" t="str">
        <x:v>Pure recognition/manipulation control: the prompt uniquely names the only object from the target category, while the physical target remains identical to the transfer row. Every object is RU.</x:v>
      </x:c>
      <x:c r="Q69" s="9"/>
      <x:c r="R69" s="10" t="n">
        <x:v>3</x:v>
      </x:c>
      <x:c r="S69" s="10" t="n">
        <x:v>1</x:v>
      </x:c>
      <x:c r="T69" s="9" t="str">
        <x:v>Empty</x:v>
      </x:c>
      <x:c r="U69" s="9" t="str">
        <x:v>N/A</x:v>
      </x:c>
      <x:c r="V69" s="9" t="str">
        <x:v>yellow-white striped cup</x:v>
      </x:c>
      <x:c r="W69" s="9"/>
      <x:c r="X69" s="10"/>
      <x:c r="Y69" s="10"/>
      <x:c r="Z69" s="9"/>
      <x:c r="AA69" s="9"/>
      <x:c r="AB69" s="9"/>
      <x:c r="AC69" s="9"/>
      <x:c r="AD69" s="9"/>
      <x:c r="AE69" s="9"/>
      <x:c r="AF69" s="9"/>
      <x:c r="AG69" s="9"/>
      <x:c r="AH69" s="9"/>
      <x:c r="AI69" s="11"/>
      <x:c r="AJ69" s="9"/>
      <x:c r="AK69" s="9" t="str">
        <x:v>Eval_State_Recognition.xlsm</x:v>
      </x:c>
      <x:c r="AL69" s="9" t="str">
        <x:v>pi0.5 Results</x:v>
      </x:c>
      <x:c r="AM69" s="9" t="n">
        <x:v>69</x:v>
      </x:c>
      <x:c r="AN69" s="9" t="n">
        <x:v>69</x:v>
      </x:c>
    </x:row>
    <x:row r="70">
      <x:c r="A70" s="9" t="str">
        <x:v>Success</x:v>
      </x:c>
      <x:c r="B70" s="9" t="str">
        <x:v>State Recognition</x:v>
      </x:c>
      <x:c r="C70" s="10" t="n">
        <x:v>68</x:v>
      </x:c>
      <x:c r="D70" s="9" t="str">
        <x:v>Place the closed brown cup in the bowl.</x:v>
      </x:c>
      <x:c r="E70" s="9" t="str">
        <x:v>brown cup A (C, RU); brown cup B (O, RU); glass spice container A (C, RU); white cup B (O, RU)</x:v>
      </x:c>
      <x:c r="F70" s="9" t="str">
        <x:v>brown cup A</x:v>
      </x:c>
      <x:c r="G70" s="9"/>
      <x:c r="H70" s="9" t="str">
        <x:v>Concept/compositional transfer</x:v>
      </x:c>
      <x:c r="I70" s="9" t="str">
        <x:v>SR-CT15</x:v>
      </x:c>
      <x:c r="J70" s="9" t="str">
        <x:v>Primary held-out state-object composition</x:v>
      </x:c>
      <x:c r="K70" s="9"/>
      <x:c r="L70" s="9" t="str">
        <x:v>129</x:v>
      </x:c>
      <x:c r="M70"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70" s="9" t="n">
        <x:v>3</x:v>
      </x:c>
      <x:c r="O70" s="9" t="str">
        <x:v>Build the listed same-category discrimination scene with the bowl empty.</x:v>
      </x:c>
      <x:c r="P70" s="9" t="str">
        <x:v>Two same-category candidates share the non-queried state axis; only the held-out state word identifies the target. The orthogonal orientation axis is fixed: every object is RU.</x:v>
      </x:c>
      <x:c r="Q70" s="9"/>
      <x:c r="R70" s="10" t="n">
        <x:v>4</x:v>
      </x:c>
      <x:c r="S70" s="10" t="n">
        <x:v>1</x:v>
      </x:c>
      <x:c r="T70" s="9" t="str">
        <x:v>Empty</x:v>
      </x:c>
      <x:c r="U70" s="9" t="str">
        <x:v>C</x:v>
      </x:c>
      <x:c r="V70" s="9" t="str">
        <x:v>brown cup</x:v>
      </x:c>
      <x:c r="W70" s="9"/>
      <x:c r="X70" s="10"/>
      <x:c r="Y70" s="10"/>
      <x:c r="Z70" s="9"/>
      <x:c r="AA70" s="9"/>
      <x:c r="AB70" s="9"/>
      <x:c r="AC70" s="9"/>
      <x:c r="AD70" s="9"/>
      <x:c r="AE70" s="9"/>
      <x:c r="AF70" s="9"/>
      <x:c r="AG70" s="9"/>
      <x:c r="AH70" s="9"/>
      <x:c r="AI70" s="11"/>
      <x:c r="AJ70" s="9"/>
      <x:c r="AK70" s="9" t="str">
        <x:v>Eval_State_Recognition.xlsm</x:v>
      </x:c>
      <x:c r="AL70" s="9" t="str">
        <x:v>pi0.5 Results</x:v>
      </x:c>
      <x:c r="AM70" s="9" t="n">
        <x:v>70</x:v>
      </x:c>
      <x:c r="AN70" s="9" t="n">
        <x:v>70</x:v>
      </x:c>
    </x:row>
    <x:row r="71">
      <x:c r="A71" s="9" t="str">
        <x:v>Success</x:v>
      </x:c>
      <x:c r="B71" s="9" t="str">
        <x:v>State Recognition</x:v>
      </x:c>
      <x:c r="C71" s="10" t="n">
        <x:v>69</x:v>
      </x:c>
      <x:c r="D71" s="9" t="str">
        <x:v>Move a brown cup into the bowl.</x:v>
      </x:c>
      <x:c r="E71" s="9" t="str">
        <x:v>brown cup A (C, RU); yellow-white striped cup A (O, RU); glass spice container A (C, RU); white cup B (O, RU)</x:v>
      </x:c>
      <x:c r="F71" s="9" t="str">
        <x:v>brown cup A</x:v>
      </x:c>
      <x:c r="G71" s="9"/>
      <x:c r="H71" s="9" t="str">
        <x:v>Matched manipulation control</x:v>
      </x:c>
      <x:c r="I71" s="9" t="str">
        <x:v>SR-CT15</x:v>
      </x:c>
      <x:c r="J71" s="9" t="str">
        <x:v>One-object-substitution direct-category control</x:v>
      </x:c>
      <x:c r="K71" s="9" t="n">
        <x:v>68</x:v>
      </x:c>
      <x:c r="L71" s="9" t="n">
        <x:v>129</x:v>
      </x:c>
      <x:c r="M71" s="9" t="str">
        <x:v>Exact direct-category manipulation prompt from training episode 129. The transfer target, state, and pose are preserved; only the competing brown cup is replaced by yellow-white striped cup A. The full control scene is upright because its paired transfer instruction queries open/closed.</x:v>
      </x:c>
      <x:c r="N71" s="9" t="n">
        <x:v>3</x:v>
      </x:c>
      <x:c r="O71" s="9" t="str">
        <x:v>Reset brown cup A to its transfer pose. Replace brown cup B with yellow-white striped cup A in the same location and use the states listed in this row; preserve all other objects.</x:v>
      </x:c>
      <x:c r="P71" s="9" t="str">
        <x:v>Pure recognition/manipulation control: the prompt uniquely names the only object from the target category, while the physical target remains identical to the transfer row. Every object is RU.</x:v>
      </x:c>
      <x:c r="Q71" s="9"/>
      <x:c r="R71" s="10" t="n">
        <x:v>4</x:v>
      </x:c>
      <x:c r="S71" s="10" t="n">
        <x:v>1</x:v>
      </x:c>
      <x:c r="T71" s="9" t="str">
        <x:v>Empty</x:v>
      </x:c>
      <x:c r="U71" s="9" t="str">
        <x:v>N/A</x:v>
      </x:c>
      <x:c r="V71" s="9" t="str">
        <x:v>brown cup</x:v>
      </x:c>
      <x:c r="W71" s="9"/>
      <x:c r="X71" s="10"/>
      <x:c r="Y71" s="10"/>
      <x:c r="Z71" s="9"/>
      <x:c r="AA71" s="9"/>
      <x:c r="AB71" s="9"/>
      <x:c r="AC71" s="9"/>
      <x:c r="AD71" s="9"/>
      <x:c r="AE71" s="9"/>
      <x:c r="AF71" s="9"/>
      <x:c r="AG71" s="9"/>
      <x:c r="AH71" s="9"/>
      <x:c r="AI71" s="11"/>
      <x:c r="AJ71" s="9"/>
      <x:c r="AK71" s="9" t="str">
        <x:v>Eval_State_Recognition.xlsm</x:v>
      </x:c>
      <x:c r="AL71" s="9" t="str">
        <x:v>pi0.5 Results</x:v>
      </x:c>
      <x:c r="AM71" s="9" t="n">
        <x:v>71</x:v>
      </x:c>
      <x:c r="AN71" s="9" t="n">
        <x:v>71</x:v>
      </x:c>
    </x:row>
    <x:row r="72">
      <x:c r="A72" s="9" t="str">
        <x:v>Success</x:v>
      </x:c>
      <x:c r="B72" s="9" t="str">
        <x:v>State Recognition</x:v>
      </x:c>
      <x:c r="C72" s="10" t="n">
        <x:v>70</x:v>
      </x:c>
      <x:c r="D72" s="9" t="str">
        <x:v>Place the upright glass spice container in the bowl.</x:v>
      </x:c>
      <x:c r="E72" s="9" t="str">
        <x:v>glass spice container B (O, RU); glass spice container A (O, UD)</x:v>
      </x:c>
      <x:c r="F72" s="9" t="str">
        <x:v>glass spice container B</x:v>
      </x:c>
      <x:c r="G72" s="9"/>
      <x:c r="H72" s="9" t="str">
        <x:v>Concept/compositional transfer</x:v>
      </x:c>
      <x:c r="I72" s="9" t="str">
        <x:v>SR-CT16</x:v>
      </x:c>
      <x:c r="J72" s="9" t="str">
        <x:v>Primary held-out state-object composition</x:v>
      </x:c>
      <x:c r="K72" s="9"/>
      <x:c r="L72" s="9" t="str">
        <x:v>157</x:v>
      </x:c>
      <x:c r="M72" s="9" t="str">
        <x:v>Physical-state and manipulation-trajectory reference under a direct category prompt; the evaluated state word × object-category cell is intentionally absent from training.</x:v>
      </x:c>
      <x:c r="N72" s="9" t="n">
        <x:v>3</x:v>
      </x:c>
      <x:c r="O72" s="9" t="str">
        <x:v>Build the listed same-category discrimination scene with the bowl empty.</x:v>
      </x:c>
      <x:c r="P72" s="9" t="str">
        <x:v>Two same-category candidates share the non-queried state axis; only the held-out state word identifies the target. The same-category candidates share the orthogonal C/O state (O).</x:v>
      </x:c>
      <x:c r="Q72" s="9"/>
      <x:c r="R72" s="10" t="n">
        <x:v>2</x:v>
      </x:c>
      <x:c r="S72" s="10" t="n">
        <x:v>1</x:v>
      </x:c>
      <x:c r="T72" s="9" t="str">
        <x:v>Empty</x:v>
      </x:c>
      <x:c r="U72" s="9" t="str">
        <x:v>RU</x:v>
      </x:c>
      <x:c r="V72" s="9" t="str">
        <x:v>glass spice container</x:v>
      </x:c>
      <x:c r="W72" s="9"/>
      <x:c r="X72" s="10"/>
      <x:c r="Y72" s="10"/>
      <x:c r="Z72" s="9"/>
      <x:c r="AA72" s="9"/>
      <x:c r="AB72" s="9"/>
      <x:c r="AC72" s="9"/>
      <x:c r="AD72" s="9"/>
      <x:c r="AE72" s="9"/>
      <x:c r="AF72" s="9"/>
      <x:c r="AG72" s="9"/>
      <x:c r="AH72" s="9"/>
      <x:c r="AI72" s="11"/>
      <x:c r="AJ72" s="9"/>
      <x:c r="AK72" s="9" t="str">
        <x:v>Eval_State_Recognition.xlsm</x:v>
      </x:c>
      <x:c r="AL72" s="9" t="str">
        <x:v>pi0.5 Results</x:v>
      </x:c>
      <x:c r="AM72" s="9" t="n">
        <x:v>72</x:v>
      </x:c>
      <x:c r="AN72" s="9" t="n">
        <x:v>72</x:v>
      </x:c>
    </x:row>
    <x:row r="73">
      <x:c r="A73" s="9" t="str">
        <x:v>Success</x:v>
      </x:c>
      <x:c r="B73" s="9" t="str">
        <x:v>State Recognition</x:v>
      </x:c>
      <x:c r="C73" s="10" t="n">
        <x:v>71</x:v>
      </x:c>
      <x:c r="D73" s="9" t="str">
        <x:v>Place a glass spice container in the bowl.</x:v>
      </x:c>
      <x:c r="E73" s="9" t="str">
        <x:v>glass spice container B (O, RU); white cup B (O, UD)</x:v>
      </x:c>
      <x:c r="F73" s="9" t="str">
        <x:v>glass spice container B</x:v>
      </x:c>
      <x:c r="G73" s="9"/>
      <x:c r="H73" s="9" t="str">
        <x:v>Matched manipulation control</x:v>
      </x:c>
      <x:c r="I73" s="9" t="str">
        <x:v>SR-CT16</x:v>
      </x:c>
      <x:c r="J73" s="9" t="str">
        <x:v>One-object-substitution direct-category control</x:v>
      </x:c>
      <x:c r="K73" s="9" t="n">
        <x:v>70</x:v>
      </x:c>
      <x:c r="L73" s="9" t="n">
        <x:v>157</x:v>
      </x:c>
      <x:c r="M73" s="9" t="str">
        <x:v>Exact direct-category manipulation prompt from training episode 157. The transfer target, state, and pose are preserved; only the competing glass spice container is replaced by white cup B.</x:v>
      </x:c>
      <x:c r="N73" s="9" t="n">
        <x:v>3</x:v>
      </x:c>
      <x:c r="O73" s="9" t="str">
        <x:v>Reset glass spice container B to its transfer pose. Replace glass spice container A with white cup B in the same location and use the states listed in this row; preserve all other objects.</x:v>
      </x:c>
      <x:c r="P73" s="9" t="str">
        <x:v>Pure recognition/manipulation control: the prompt uniquely names the only object from the target category, while the physical target remains identical to the transfer row.</x:v>
      </x:c>
      <x:c r="Q73" s="9"/>
      <x:c r="R73" s="10" t="n">
        <x:v>2</x:v>
      </x:c>
      <x:c r="S73" s="10" t="n">
        <x:v>1</x:v>
      </x:c>
      <x:c r="T73" s="9" t="str">
        <x:v>Empty</x:v>
      </x:c>
      <x:c r="U73" s="9" t="str">
        <x:v>N/A</x:v>
      </x:c>
      <x:c r="V73" s="9" t="str">
        <x:v>glass spice container</x:v>
      </x:c>
      <x:c r="W73" s="9"/>
      <x:c r="X73" s="10"/>
      <x:c r="Y73" s="10"/>
      <x:c r="Z73" s="9"/>
      <x:c r="AA73" s="9"/>
      <x:c r="AB73" s="9"/>
      <x:c r="AC73" s="9"/>
      <x:c r="AD73" s="9"/>
      <x:c r="AE73" s="9"/>
      <x:c r="AF73" s="9"/>
      <x:c r="AG73" s="9"/>
      <x:c r="AH73" s="9"/>
      <x:c r="AI73" s="11"/>
      <x:c r="AJ73" s="9"/>
      <x:c r="AK73" s="9" t="str">
        <x:v>Eval_State_Recognition.xlsm</x:v>
      </x:c>
      <x:c r="AL73" s="9" t="str">
        <x:v>pi0.5 Results</x:v>
      </x:c>
      <x:c r="AM73" s="9" t="n">
        <x:v>73</x:v>
      </x:c>
      <x:c r="AN73" s="9" t="n">
        <x:v>73</x:v>
      </x:c>
    </x:row>
    <x:row r="74">
      <x:c r="A74" s="9" t="str">
        <x:v>Failure</x:v>
      </x:c>
      <x:c r="B74" s="9" t="str">
        <x:v>State Recognition</x:v>
      </x:c>
      <x:c r="C74" s="10" t="n">
        <x:v>72</x:v>
      </x:c>
      <x:c r="D74" s="9" t="str">
        <x:v>Place the upside-down white cup in the bowl.</x:v>
      </x:c>
      <x:c r="E74" s="9" t="str">
        <x:v>white cup A (C, UD); white cup B (C, RU); brown cup A (C, RU)</x:v>
      </x:c>
      <x:c r="F74" s="9" t="str">
        <x:v>white cup A</x:v>
      </x:c>
      <x:c r="G74" s="9" t="str">
        <x:v>picked the upright white cup</x:v>
      </x:c>
      <x:c r="H74" s="9" t="str">
        <x:v>Concept/compositional transfer</x:v>
      </x:c>
      <x:c r="I74" s="9" t="str">
        <x:v>SR-CT17</x:v>
      </x:c>
      <x:c r="J74" s="9" t="str">
        <x:v>Primary held-out state-object composition</x:v>
      </x:c>
      <x:c r="K74" s="9"/>
      <x:c r="L74" s="9" t="str">
        <x:v>35</x:v>
      </x:c>
      <x:c r="M74" s="9" t="str">
        <x:v>Physical-state and manipulation-trajectory reference under a direct category prompt; the evaluated state word × object-category cell is intentionally absent from training.</x:v>
      </x:c>
      <x:c r="N74" s="9" t="n">
        <x:v>3</x:v>
      </x:c>
      <x:c r="O74" s="9" t="str">
        <x:v>Build the listed same-category discrimination scene with the bowl empty.</x:v>
      </x:c>
      <x:c r="P74" s="9" t="str">
        <x:v>Two same-category candidates share the non-queried state axis; only the held-out state word identifies the target. The same-category candidates share the orthogonal C/O state (C).</x:v>
      </x:c>
      <x:c r="Q74" s="9"/>
      <x:c r="R74" s="10" t="n">
        <x:v>3</x:v>
      </x:c>
      <x:c r="S74" s="10" t="n">
        <x:v>1</x:v>
      </x:c>
      <x:c r="T74" s="9" t="str">
        <x:v>Empty</x:v>
      </x:c>
      <x:c r="U74" s="9" t="str">
        <x:v>UD</x:v>
      </x:c>
      <x:c r="V74" s="9" t="str">
        <x:v>white cup</x:v>
      </x:c>
      <x:c r="W74" s="9"/>
      <x:c r="X74" s="10"/>
      <x:c r="Y74" s="10"/>
      <x:c r="Z74" s="9"/>
      <x:c r="AA74" s="9"/>
      <x:c r="AB74" s="9"/>
      <x:c r="AC74" s="9"/>
      <x:c r="AD74" s="9"/>
      <x:c r="AE74" s="9"/>
      <x:c r="AF74" s="9"/>
      <x:c r="AG74" s="9"/>
      <x:c r="AH74" s="9"/>
      <x:c r="AI74" s="11"/>
      <x:c r="AJ74" s="9"/>
      <x:c r="AK74" s="9" t="str">
        <x:v>Eval_State_Recognition.xlsm</x:v>
      </x:c>
      <x:c r="AL74" s="9" t="str">
        <x:v>pi0.5 Results</x:v>
      </x:c>
      <x:c r="AM74" s="9" t="n">
        <x:v>74</x:v>
      </x:c>
      <x:c r="AN74" s="9" t="n">
        <x:v>74</x:v>
      </x:c>
    </x:row>
    <x:row r="75">
      <x:c r="A75" s="9" t="str">
        <x:v>Success</x:v>
      </x:c>
      <x:c r="B75" s="9" t="str">
        <x:v>State Recognition</x:v>
      </x:c>
      <x:c r="C75" s="10" t="n">
        <x:v>73</x:v>
      </x:c>
      <x:c r="D75" s="9" t="str">
        <x:v>Put a white cup in the bowl.</x:v>
      </x:c>
      <x:c r="E75" s="9" t="str">
        <x:v>white cup A (C, UD); yellow-white striped cup A (C, RU); brown cup A (C, RU)</x:v>
      </x:c>
      <x:c r="F75" s="9" t="str">
        <x:v>white cup A</x:v>
      </x:c>
      <x:c r="G75" s="9"/>
      <x:c r="H75" s="9" t="str">
        <x:v>Matched manipulation control</x:v>
      </x:c>
      <x:c r="I75" s="9" t="str">
        <x:v>SR-CT17</x:v>
      </x:c>
      <x:c r="J75" s="9" t="str">
        <x:v>One-object-substitution direct-category control</x:v>
      </x:c>
      <x:c r="K75" s="9" t="n">
        <x:v>72</x:v>
      </x:c>
      <x:c r="L75" s="9" t="n">
        <x:v>35</x:v>
      </x:c>
      <x:c r="M75" s="9" t="str">
        <x:v>Exact direct-category manipulation prompt from training episode 35. The transfer target, state, and pose are preserved; only the competing white cup is replaced by yellow-white striped cup A.</x:v>
      </x:c>
      <x:c r="N75" s="9" t="n">
        <x:v>3</x:v>
      </x:c>
      <x:c r="O75" s="9" t="str">
        <x:v>Reset white cup A to its transfer pose. Replace white cup B with yellow-white striped cup A in the same location and use the states listed in this row; preserve all other objects.</x:v>
      </x:c>
      <x:c r="P75" s="9" t="str">
        <x:v>Pure recognition/manipulation control: the prompt uniquely names the only object from the target category, while the physical target remains identical to the transfer row.</x:v>
      </x:c>
      <x:c r="Q75" s="9"/>
      <x:c r="R75" s="10" t="n">
        <x:v>3</x:v>
      </x:c>
      <x:c r="S75" s="10" t="n">
        <x:v>1</x:v>
      </x:c>
      <x:c r="T75" s="9" t="str">
        <x:v>Empty</x:v>
      </x:c>
      <x:c r="U75" s="9" t="str">
        <x:v>N/A</x:v>
      </x:c>
      <x:c r="V75" s="9" t="str">
        <x:v>white cup</x:v>
      </x:c>
      <x:c r="W75" s="9"/>
      <x:c r="X75" s="10"/>
      <x:c r="Y75" s="10"/>
      <x:c r="Z75" s="9"/>
      <x:c r="AA75" s="9"/>
      <x:c r="AB75" s="9"/>
      <x:c r="AC75" s="9"/>
      <x:c r="AD75" s="9"/>
      <x:c r="AE75" s="9"/>
      <x:c r="AF75" s="9"/>
      <x:c r="AG75" s="9"/>
      <x:c r="AH75" s="9"/>
      <x:c r="AI75" s="11"/>
      <x:c r="AJ75" s="9"/>
      <x:c r="AK75" s="9" t="str">
        <x:v>Eval_State_Recognition.xlsm</x:v>
      </x:c>
      <x:c r="AL75" s="9" t="str">
        <x:v>pi0.5 Results</x:v>
      </x:c>
      <x:c r="AM75" s="9" t="n">
        <x:v>75</x:v>
      </x:c>
      <x:c r="AN75" s="9" t="n">
        <x:v>75</x:v>
      </x:c>
    </x:row>
    <x:row r="76">
      <x:c r="A76" s="9" t="str">
        <x:v>Failure</x:v>
      </x:c>
      <x:c r="B76" s="9" t="str">
        <x:v>State Recognition</x:v>
      </x:c>
      <x:c r="C76" s="10" t="n">
        <x:v>74</x:v>
      </x:c>
      <x:c r="D76" s="9" t="str">
        <x:v>Place the open yellow-white striped cup in the bowl.</x:v>
      </x:c>
      <x:c r="E76" s="9" t="str">
        <x:v>yellow-white striped cup B (O, RU); yellow-white striped cup A (C, RU); glass spice container B (O, RU); white cup A (C, RU)</x:v>
      </x:c>
      <x:c r="F76" s="9" t="str">
        <x:v>yellow-white striped cup B</x:v>
      </x:c>
      <x:c r="G76" s="9" t="str">
        <x:v>picked the closed striped cup</x:v>
      </x:c>
      <x:c r="H76" s="9" t="str">
        <x:v>Concept/compositional transfer</x:v>
      </x:c>
      <x:c r="I76" s="9" t="str">
        <x:v>SR-CT18</x:v>
      </x:c>
      <x:c r="J76" s="9" t="str">
        <x:v>Primary held-out state-object composition</x:v>
      </x:c>
      <x:c r="K76" s="9"/>
      <x:c r="L76" s="9" t="str">
        <x:v>72</x:v>
      </x:c>
      <x:c r="M76"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76" s="9" t="n">
        <x:v>3</x:v>
      </x:c>
      <x:c r="O76" s="9" t="str">
        <x:v>Build the listed same-category discrimination scene with the bowl empty.</x:v>
      </x:c>
      <x:c r="P76" s="9" t="str">
        <x:v>Two same-category candidates share the non-queried state axis; only the held-out state word identifies the target. The orthogonal orientation axis is fixed: every object is RU.</x:v>
      </x:c>
      <x:c r="Q76" s="9"/>
      <x:c r="R76" s="10" t="n">
        <x:v>4</x:v>
      </x:c>
      <x:c r="S76" s="10" t="n">
        <x:v>1</x:v>
      </x:c>
      <x:c r="T76" s="9" t="str">
        <x:v>Empty</x:v>
      </x:c>
      <x:c r="U76" s="9" t="str">
        <x:v>O</x:v>
      </x:c>
      <x:c r="V76" s="9" t="str">
        <x:v>yellow-white striped cup</x:v>
      </x:c>
      <x:c r="W76" s="9"/>
      <x:c r="X76" s="10"/>
      <x:c r="Y76" s="10"/>
      <x:c r="Z76" s="9"/>
      <x:c r="AA76" s="9"/>
      <x:c r="AB76" s="9"/>
      <x:c r="AC76" s="9"/>
      <x:c r="AD76" s="9"/>
      <x:c r="AE76" s="9"/>
      <x:c r="AF76" s="9"/>
      <x:c r="AG76" s="9"/>
      <x:c r="AH76" s="9"/>
      <x:c r="AI76" s="11"/>
      <x:c r="AJ76" s="9"/>
      <x:c r="AK76" s="9" t="str">
        <x:v>Eval_State_Recognition.xlsm</x:v>
      </x:c>
      <x:c r="AL76" s="9" t="str">
        <x:v>pi0.5 Results</x:v>
      </x:c>
      <x:c r="AM76" s="9" t="n">
        <x:v>76</x:v>
      </x:c>
      <x:c r="AN76" s="9" t="n">
        <x:v>76</x:v>
      </x:c>
    </x:row>
    <x:row r="77">
      <x:c r="A77" s="9" t="str">
        <x:v>Success</x:v>
      </x:c>
      <x:c r="B77" s="9" t="str">
        <x:v>State Recognition</x:v>
      </x:c>
      <x:c r="C77" s="10" t="n">
        <x:v>75</x:v>
      </x:c>
      <x:c r="D77" s="9" t="str">
        <x:v>Move a yellow-white striped cup into the bowl.</x:v>
      </x:c>
      <x:c r="E77" s="9" t="str">
        <x:v>yellow-white striped cup B (O, RU); brown cup B (C, RU); glass spice container B (O, RU); white cup A (C, RU)</x:v>
      </x:c>
      <x:c r="F77" s="9" t="str">
        <x:v>yellow-white striped cup B</x:v>
      </x:c>
      <x:c r="G77" s="9"/>
      <x:c r="H77" s="9" t="str">
        <x:v>Matched manipulation control</x:v>
      </x:c>
      <x:c r="I77" s="9" t="str">
        <x:v>SR-CT18</x:v>
      </x:c>
      <x:c r="J77" s="9" t="str">
        <x:v>One-object-substitution direct-category control</x:v>
      </x:c>
      <x:c r="K77" s="9" t="n">
        <x:v>74</x:v>
      </x:c>
      <x:c r="L77" s="9" t="n">
        <x:v>72</x:v>
      </x:c>
      <x:c r="M77" s="9" t="str">
        <x:v>Exact direct-category manipulation prompt from training episode 72. The transfer target, state, and pose are preserved; only the competing yellow-white striped cup is replaced by brown cup B. The full control scene is upright because its paired transfer instruction queries open/closed.</x:v>
      </x:c>
      <x:c r="N77" s="9" t="n">
        <x:v>3</x:v>
      </x:c>
      <x:c r="O77" s="9" t="str">
        <x:v>Reset yellow-white striped cup B to its transfer pose. Replace yellow-white striped cup A with brown cup B in the same location and use the states listed in this row; preserve all other objects.</x:v>
      </x:c>
      <x:c r="P77" s="9" t="str">
        <x:v>Pure recognition/manipulation control: the prompt uniquely names the only object from the target category, while the physical target remains identical to the transfer row. Every object is RU.</x:v>
      </x:c>
      <x:c r="Q77" s="9"/>
      <x:c r="R77" s="10" t="n">
        <x:v>4</x:v>
      </x:c>
      <x:c r="S77" s="10" t="n">
        <x:v>1</x:v>
      </x:c>
      <x:c r="T77" s="9" t="str">
        <x:v>Empty</x:v>
      </x:c>
      <x:c r="U77" s="9" t="str">
        <x:v>N/A</x:v>
      </x:c>
      <x:c r="V77" s="9" t="str">
        <x:v>yellow-white striped cup</x:v>
      </x:c>
      <x:c r="W77" s="9"/>
      <x:c r="X77" s="10"/>
      <x:c r="Y77" s="10"/>
      <x:c r="Z77" s="9"/>
      <x:c r="AA77" s="9"/>
      <x:c r="AB77" s="9"/>
      <x:c r="AC77" s="9"/>
      <x:c r="AD77" s="9"/>
      <x:c r="AE77" s="9"/>
      <x:c r="AF77" s="9"/>
      <x:c r="AG77" s="9"/>
      <x:c r="AH77" s="9"/>
      <x:c r="AI77" s="11"/>
      <x:c r="AJ77" s="9"/>
      <x:c r="AK77" s="9" t="str">
        <x:v>Eval_State_Recognition.xlsm</x:v>
      </x:c>
      <x:c r="AL77" s="9" t="str">
        <x:v>pi0.5 Results</x:v>
      </x:c>
      <x:c r="AM77" s="9" t="n">
        <x:v>77</x:v>
      </x:c>
      <x:c r="AN77" s="9" t="n">
        <x:v>77</x:v>
      </x:c>
    </x:row>
    <x:row r="78">
      <x:c r="A78" s="9" t="str">
        <x:v>Success</x:v>
      </x:c>
      <x:c r="B78" s="9" t="str">
        <x:v>State Recognition</x:v>
      </x:c>
      <x:c r="C78" s="10" t="n">
        <x:v>76</x:v>
      </x:c>
      <x:c r="D78" s="9" t="str">
        <x:v>Place the closed brown cup in the bowl.</x:v>
      </x:c>
      <x:c r="E78" s="9" t="str">
        <x:v>brown cup A (C, RU); brown cup B (O, RU)</x:v>
      </x:c>
      <x:c r="F78" s="9" t="str">
        <x:v>brown cup A</x:v>
      </x:c>
      <x:c r="G78" s="9"/>
      <x:c r="H78" s="9" t="str">
        <x:v>Concept/compositional transfer</x:v>
      </x:c>
      <x:c r="I78" s="9" t="str">
        <x:v>SR-CT19</x:v>
      </x:c>
      <x:c r="J78" s="9" t="str">
        <x:v>Primary held-out state-object composition</x:v>
      </x:c>
      <x:c r="K78" s="9"/>
      <x:c r="L78" s="9" t="str">
        <x:v>105</x:v>
      </x:c>
      <x:c r="M78"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78" s="9" t="n">
        <x:v>3</x:v>
      </x:c>
      <x:c r="O78" s="9" t="str">
        <x:v>Build the listed same-category discrimination scene with the bowl empty.</x:v>
      </x:c>
      <x:c r="P78" s="9" t="str">
        <x:v>Two same-category candidates share the non-queried state axis; only the held-out state word identifies the target. The orthogonal orientation axis is fixed: every object is RU.</x:v>
      </x:c>
      <x:c r="Q78" s="9"/>
      <x:c r="R78" s="10" t="n">
        <x:v>2</x:v>
      </x:c>
      <x:c r="S78" s="10" t="n">
        <x:v>1</x:v>
      </x:c>
      <x:c r="T78" s="9" t="str">
        <x:v>Empty</x:v>
      </x:c>
      <x:c r="U78" s="9" t="str">
        <x:v>C</x:v>
      </x:c>
      <x:c r="V78" s="9" t="str">
        <x:v>brown cup</x:v>
      </x:c>
      <x:c r="W78" s="9"/>
      <x:c r="X78" s="10"/>
      <x:c r="Y78" s="10"/>
      <x:c r="Z78" s="9"/>
      <x:c r="AA78" s="9"/>
      <x:c r="AB78" s="9"/>
      <x:c r="AC78" s="9"/>
      <x:c r="AD78" s="9"/>
      <x:c r="AE78" s="9"/>
      <x:c r="AF78" s="9"/>
      <x:c r="AG78" s="9"/>
      <x:c r="AH78" s="9"/>
      <x:c r="AI78" s="11"/>
      <x:c r="AJ78" s="9"/>
      <x:c r="AK78" s="9" t="str">
        <x:v>Eval_State_Recognition.xlsm</x:v>
      </x:c>
      <x:c r="AL78" s="9" t="str">
        <x:v>pi0.5 Results</x:v>
      </x:c>
      <x:c r="AM78" s="9" t="n">
        <x:v>78</x:v>
      </x:c>
      <x:c r="AN78" s="9" t="n">
        <x:v>78</x:v>
      </x:c>
    </x:row>
    <x:row r="79">
      <x:c r="A79" s="9" t="str">
        <x:v>Success</x:v>
      </x:c>
      <x:c r="B79" s="9" t="str">
        <x:v>State Recognition</x:v>
      </x:c>
      <x:c r="C79" s="10" t="n">
        <x:v>77</x:v>
      </x:c>
      <x:c r="D79" s="9" t="str">
        <x:v>Move a brown cup into the bowl.</x:v>
      </x:c>
      <x:c r="E79" s="9" t="str">
        <x:v>brown cup A (C, RU); white cup A (O, RU)</x:v>
      </x:c>
      <x:c r="F79" s="9" t="str">
        <x:v>brown cup A</x:v>
      </x:c>
      <x:c r="G79" s="9"/>
      <x:c r="H79" s="9" t="str">
        <x:v>Matched manipulation control</x:v>
      </x:c>
      <x:c r="I79" s="9" t="str">
        <x:v>SR-CT19</x:v>
      </x:c>
      <x:c r="J79" s="9" t="str">
        <x:v>One-object-substitution direct-category control</x:v>
      </x:c>
      <x:c r="K79" s="9" t="n">
        <x:v>76</x:v>
      </x:c>
      <x:c r="L79" s="9" t="n">
        <x:v>105</x:v>
      </x:c>
      <x:c r="M79" s="9" t="str">
        <x:v>Exact direct-category manipulation prompt from training episode 105. The transfer target, state, and pose are preserved; only the competing brown cup is replaced by white cup A. The full control scene is upright because its paired transfer instruction queries open/closed.</x:v>
      </x:c>
      <x:c r="N79" s="9" t="n">
        <x:v>3</x:v>
      </x:c>
      <x:c r="O79" s="9" t="str">
        <x:v>Reset brown cup A to its transfer pose. Replace brown cup B with white cup A in the same location and use the states listed in this row; preserve all other objects.</x:v>
      </x:c>
      <x:c r="P79" s="9" t="str">
        <x:v>Pure recognition/manipulation control: the prompt uniquely names the only object from the target category, while the physical target remains identical to the transfer row. Every object is RU.</x:v>
      </x:c>
      <x:c r="Q79" s="9"/>
      <x:c r="R79" s="10" t="n">
        <x:v>2</x:v>
      </x:c>
      <x:c r="S79" s="10" t="n">
        <x:v>1</x:v>
      </x:c>
      <x:c r="T79" s="9" t="str">
        <x:v>Empty</x:v>
      </x:c>
      <x:c r="U79" s="9" t="str">
        <x:v>N/A</x:v>
      </x:c>
      <x:c r="V79" s="9" t="str">
        <x:v>brown cup</x:v>
      </x:c>
      <x:c r="W79" s="9"/>
      <x:c r="X79" s="10"/>
      <x:c r="Y79" s="10"/>
      <x:c r="Z79" s="9"/>
      <x:c r="AA79" s="9"/>
      <x:c r="AB79" s="9"/>
      <x:c r="AC79" s="9"/>
      <x:c r="AD79" s="9"/>
      <x:c r="AE79" s="9"/>
      <x:c r="AF79" s="9"/>
      <x:c r="AG79" s="9"/>
      <x:c r="AH79" s="9"/>
      <x:c r="AI79" s="11"/>
      <x:c r="AJ79" s="9"/>
      <x:c r="AK79" s="9" t="str">
        <x:v>Eval_State_Recognition.xlsm</x:v>
      </x:c>
      <x:c r="AL79" s="9" t="str">
        <x:v>pi0.5 Results</x:v>
      </x:c>
      <x:c r="AM79" s="9" t="n">
        <x:v>79</x:v>
      </x:c>
      <x:c r="AN79" s="9" t="n">
        <x:v>79</x:v>
      </x:c>
    </x:row>
    <x:row r="80">
      <x:c r="A80" s="9" t="str">
        <x:v>Failure</x:v>
      </x:c>
      <x:c r="B80" s="9" t="str">
        <x:v>State Recognition</x:v>
      </x:c>
      <x:c r="C80" s="10" t="n">
        <x:v>78</x:v>
      </x:c>
      <x:c r="D80" s="9" t="str">
        <x:v>Place the upright glass spice container in the bowl.</x:v>
      </x:c>
      <x:c r="E80" s="9" t="str">
        <x:v>glass spice container B (C, RU); glass spice container A (C, UD); yellow-white striped cup B (O, UD)</x:v>
      </x:c>
      <x:c r="F80" s="9" t="str">
        <x:v>glass spice container B</x:v>
      </x:c>
      <x:c r="G80" s="9" t="str">
        <x:v>picked the upside-down glass spice container</x:v>
      </x:c>
      <x:c r="H80" s="9" t="str">
        <x:v>Concept/compositional transfer</x:v>
      </x:c>
      <x:c r="I80" s="9" t="str">
        <x:v>SR-CT20</x:v>
      </x:c>
      <x:c r="J80" s="9" t="str">
        <x:v>Primary held-out state-object composition</x:v>
      </x:c>
      <x:c r="K80" s="9"/>
      <x:c r="L80" s="9" t="str">
        <x:v>179</x:v>
      </x:c>
      <x:c r="M80" s="9" t="str">
        <x:v>Physical-state and manipulation-trajectory reference under a direct category prompt; the evaluated state word × object-category cell is intentionally absent from training.</x:v>
      </x:c>
      <x:c r="N80" s="9" t="n">
        <x:v>3</x:v>
      </x:c>
      <x:c r="O80" s="9" t="str">
        <x:v>Build the listed same-category discrimination scene with the bowl empty.</x:v>
      </x:c>
      <x:c r="P80" s="9" t="str">
        <x:v>Two same-category candidates share the non-queried state axis; only the held-out state word identifies the target. The same-category candidates share the orthogonal C/O state (C).</x:v>
      </x:c>
      <x:c r="Q80" s="9"/>
      <x:c r="R80" s="10" t="n">
        <x:v>3</x:v>
      </x:c>
      <x:c r="S80" s="10" t="n">
        <x:v>1</x:v>
      </x:c>
      <x:c r="T80" s="9" t="str">
        <x:v>Empty</x:v>
      </x:c>
      <x:c r="U80" s="9" t="str">
        <x:v>RU</x:v>
      </x:c>
      <x:c r="V80" s="9" t="str">
        <x:v>glass spice container</x:v>
      </x:c>
      <x:c r="W80" s="9"/>
      <x:c r="X80" s="10"/>
      <x:c r="Y80" s="10"/>
      <x:c r="Z80" s="9"/>
      <x:c r="AA80" s="9"/>
      <x:c r="AB80" s="9"/>
      <x:c r="AC80" s="9"/>
      <x:c r="AD80" s="9"/>
      <x:c r="AE80" s="9"/>
      <x:c r="AF80" s="9"/>
      <x:c r="AG80" s="9"/>
      <x:c r="AH80" s="9"/>
      <x:c r="AI80" s="11"/>
      <x:c r="AJ80" s="9"/>
      <x:c r="AK80" s="9" t="str">
        <x:v>Eval_State_Recognition.xlsm</x:v>
      </x:c>
      <x:c r="AL80" s="9" t="str">
        <x:v>pi0.5 Results</x:v>
      </x:c>
      <x:c r="AM80" s="9" t="n">
        <x:v>80</x:v>
      </x:c>
      <x:c r="AN80" s="9" t="n">
        <x:v>80</x:v>
      </x:c>
    </x:row>
    <x:row r="81">
      <x:c r="A81" s="9" t="str">
        <x:v>Success</x:v>
      </x:c>
      <x:c r="B81" s="9" t="str">
        <x:v>State Recognition</x:v>
      </x:c>
      <x:c r="C81" s="10" t="n">
        <x:v>79</x:v>
      </x:c>
      <x:c r="D81" s="9" t="str">
        <x:v>Put a glass spice container in the bowl.</x:v>
      </x:c>
      <x:c r="E81" s="9" t="str">
        <x:v>glass spice container B (C, RU); brown cup B (C, UD); yellow-white striped cup B (O, UD)</x:v>
      </x:c>
      <x:c r="F81" s="9" t="str">
        <x:v>glass spice container B</x:v>
      </x:c>
      <x:c r="G81" s="9"/>
      <x:c r="H81" s="9" t="str">
        <x:v>Matched manipulation control</x:v>
      </x:c>
      <x:c r="I81" s="9" t="str">
        <x:v>SR-CT20</x:v>
      </x:c>
      <x:c r="J81" s="9" t="str">
        <x:v>One-object-substitution direct-category control</x:v>
      </x:c>
      <x:c r="K81" s="9" t="n">
        <x:v>78</x:v>
      </x:c>
      <x:c r="L81" s="9" t="n">
        <x:v>179</x:v>
      </x:c>
      <x:c r="M81" s="9" t="str">
        <x:v>Exact direct-category manipulation prompt from training episode 179. The transfer target, state, and pose are preserved; only the competing glass spice container is replaced by brown cup B.</x:v>
      </x:c>
      <x:c r="N81" s="9" t="n">
        <x:v>3</x:v>
      </x:c>
      <x:c r="O81" s="9" t="str">
        <x:v>Reset glass spice container B to its transfer pose. Replace glass spice container A with brown cup B in the same location and use the states listed in this row; preserve all other objects.</x:v>
      </x:c>
      <x:c r="P81" s="9" t="str">
        <x:v>Pure recognition/manipulation control: the prompt uniquely names the only object from the target category, while the physical target remains identical to the transfer row.</x:v>
      </x:c>
      <x:c r="Q81" s="9"/>
      <x:c r="R81" s="10" t="n">
        <x:v>3</x:v>
      </x:c>
      <x:c r="S81" s="10" t="n">
        <x:v>1</x:v>
      </x:c>
      <x:c r="T81" s="9" t="str">
        <x:v>Empty</x:v>
      </x:c>
      <x:c r="U81" s="9" t="str">
        <x:v>N/A</x:v>
      </x:c>
      <x:c r="V81" s="9" t="str">
        <x:v>glass spice container</x:v>
      </x:c>
      <x:c r="W81" s="9"/>
      <x:c r="X81" s="10"/>
      <x:c r="Y81" s="10"/>
      <x:c r="Z81" s="9"/>
      <x:c r="AA81" s="9"/>
      <x:c r="AB81" s="9"/>
      <x:c r="AC81" s="9"/>
      <x:c r="AD81" s="9"/>
      <x:c r="AE81" s="9"/>
      <x:c r="AF81" s="9"/>
      <x:c r="AG81" s="9"/>
      <x:c r="AH81" s="9"/>
      <x:c r="AI81" s="11"/>
      <x:c r="AJ81" s="9"/>
      <x:c r="AK81" s="9" t="str">
        <x:v>Eval_State_Recognition.xlsm</x:v>
      </x:c>
      <x:c r="AL81" s="9" t="str">
        <x:v>pi0.5 Results</x:v>
      </x:c>
      <x:c r="AM81" s="9" t="n">
        <x:v>81</x:v>
      </x:c>
      <x:c r="AN81" s="9" t="n">
        <x:v>81</x:v>
      </x:c>
    </x:row>
    <x:row r="82">
      <x:c r="A82" s="9" t="str">
        <x:v>Failure</x:v>
      </x:c>
      <x:c r="B82" s="9" t="str">
        <x:v>State Recognition</x:v>
      </x:c>
      <x:c r="C82" s="10" t="n">
        <x:v>80</x:v>
      </x:c>
      <x:c r="D82" s="9" t="str">
        <x:v>Place the upside-down white cup in the bowl.</x:v>
      </x:c>
      <x:c r="E82" s="9" t="str">
        <x:v>white cup A (O, UD); white cup B (O, RU); glass spice container A (C, RU); yellow-white striped cup B (O, RU)</x:v>
      </x:c>
      <x:c r="F82" s="9" t="str">
        <x:v>white cup A</x:v>
      </x:c>
      <x:c r="G82" s="9" t="str">
        <x:v>picked upright white cup</x:v>
      </x:c>
      <x:c r="H82" s="9" t="str">
        <x:v>Concept/compositional transfer</x:v>
      </x:c>
      <x:c r="I82" s="9" t="str">
        <x:v>SR-CT21</x:v>
      </x:c>
      <x:c r="J82" s="9" t="str">
        <x:v>Primary held-out state-object composition</x:v>
      </x:c>
      <x:c r="K82" s="9"/>
      <x:c r="L82" s="9" t="str">
        <x:v>34</x:v>
      </x:c>
      <x:c r="M82" s="9" t="str">
        <x:v>Physical-state and manipulation-trajectory reference under a direct category prompt; the evaluated state word × object-category cell is intentionally absent from training.</x:v>
      </x:c>
      <x:c r="N82" s="9" t="n">
        <x:v>4</x:v>
      </x:c>
      <x:c r="O82" s="9" t="str">
        <x:v>Build the listed same-category discrimination scene with the bowl empty.</x:v>
      </x:c>
      <x:c r="P82" s="9" t="str">
        <x:v>Two same-category candidates share the non-queried state axis; only the held-out state word identifies the target. The same-category candidates share the orthogonal C/O state (O).</x:v>
      </x:c>
      <x:c r="Q82" s="9"/>
      <x:c r="R82" s="10" t="n">
        <x:v>4</x:v>
      </x:c>
      <x:c r="S82" s="10" t="n">
        <x:v>1</x:v>
      </x:c>
      <x:c r="T82" s="9" t="str">
        <x:v>Empty</x:v>
      </x:c>
      <x:c r="U82" s="9" t="str">
        <x:v>UD</x:v>
      </x:c>
      <x:c r="V82" s="9" t="str">
        <x:v>white cup</x:v>
      </x:c>
      <x:c r="W82" s="9"/>
      <x:c r="X82" s="10"/>
      <x:c r="Y82" s="10"/>
      <x:c r="Z82" s="9"/>
      <x:c r="AA82" s="9"/>
      <x:c r="AB82" s="9"/>
      <x:c r="AC82" s="9"/>
      <x:c r="AD82" s="9"/>
      <x:c r="AE82" s="9"/>
      <x:c r="AF82" s="9"/>
      <x:c r="AG82" s="9"/>
      <x:c r="AH82" s="9"/>
      <x:c r="AI82" s="11"/>
      <x:c r="AJ82" s="9"/>
      <x:c r="AK82" s="9" t="str">
        <x:v>Eval_State_Recognition.xlsm</x:v>
      </x:c>
      <x:c r="AL82" s="9" t="str">
        <x:v>pi0.5 Results</x:v>
      </x:c>
      <x:c r="AM82" s="9" t="n">
        <x:v>82</x:v>
      </x:c>
      <x:c r="AN82" s="9" t="n">
        <x:v>82</x:v>
      </x:c>
    </x:row>
    <x:row r="83">
      <x:c r="A83" s="9" t="str">
        <x:v>Success</x:v>
      </x:c>
      <x:c r="B83" s="9" t="str">
        <x:v>State Recognition</x:v>
      </x:c>
      <x:c r="C83" s="10" t="n">
        <x:v>81</x:v>
      </x:c>
      <x:c r="D83" s="9" t="str">
        <x:v>Place the open yellow-white striped cup in the bowl.</x:v>
      </x:c>
      <x:c r="E83" s="9" t="str">
        <x:v>yellow-white striped cup B (O, RU); yellow-white striped cup A (C, RU)</x:v>
      </x:c>
      <x:c r="F83" s="9" t="str">
        <x:v>yellow-white striped cup B</x:v>
      </x:c>
      <x:c r="G83" s="9"/>
      <x:c r="H83" s="9" t="str">
        <x:v>Concept/compositional transfer</x:v>
      </x:c>
      <x:c r="I83" s="9" t="str">
        <x:v>SR-CT22</x:v>
      </x:c>
      <x:c r="J83" s="9" t="str">
        <x:v>Primary held-out state-object composition</x:v>
      </x:c>
      <x:c r="K83" s="9"/>
      <x:c r="L83" s="9" t="str">
        <x:v>53</x:v>
      </x:c>
      <x:c r="M83"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83" s="9" t="n">
        <x:v>4</x:v>
      </x:c>
      <x:c r="O83" s="9" t="str">
        <x:v>Build the listed same-category discrimination scene with the bowl empty.</x:v>
      </x:c>
      <x:c r="P83" s="9" t="str">
        <x:v>Two same-category candidates share the non-queried state axis; only the held-out state word identifies the target. The orthogonal orientation axis is fixed: every object is RU.</x:v>
      </x:c>
      <x:c r="Q83" s="9"/>
      <x:c r="R83" s="10" t="n">
        <x:v>2</x:v>
      </x:c>
      <x:c r="S83" s="10" t="n">
        <x:v>1</x:v>
      </x:c>
      <x:c r="T83" s="9" t="str">
        <x:v>Empty</x:v>
      </x:c>
      <x:c r="U83" s="9" t="str">
        <x:v>O</x:v>
      </x:c>
      <x:c r="V83" s="9" t="str">
        <x:v>yellow-white striped cup</x:v>
      </x:c>
      <x:c r="W83" s="9"/>
      <x:c r="X83" s="10"/>
      <x:c r="Y83" s="10"/>
      <x:c r="Z83" s="9"/>
      <x:c r="AA83" s="9"/>
      <x:c r="AB83" s="9"/>
      <x:c r="AC83" s="9"/>
      <x:c r="AD83" s="9"/>
      <x:c r="AE83" s="9"/>
      <x:c r="AF83" s="9"/>
      <x:c r="AG83" s="9"/>
      <x:c r="AH83" s="9"/>
      <x:c r="AI83" s="11"/>
      <x:c r="AJ83" s="9"/>
      <x:c r="AK83" s="9" t="str">
        <x:v>Eval_State_Recognition.xlsm</x:v>
      </x:c>
      <x:c r="AL83" s="9" t="str">
        <x:v>pi0.5 Results</x:v>
      </x:c>
      <x:c r="AM83" s="9" t="n">
        <x:v>83</x:v>
      </x:c>
      <x:c r="AN83" s="9" t="n">
        <x:v>83</x:v>
      </x:c>
    </x:row>
    <x:row r="84">
      <x:c r="A84" s="9" t="str">
        <x:v>Failure</x:v>
      </x:c>
      <x:c r="B84" s="9" t="str">
        <x:v>State Recognition</x:v>
      </x:c>
      <x:c r="C84" s="10" t="n">
        <x:v>82</x:v>
      </x:c>
      <x:c r="D84" s="9" t="str">
        <x:v>Place the closed brown cup in the bowl.</x:v>
      </x:c>
      <x:c r="E84" s="9" t="str">
        <x:v>brown cup A (C, RU); brown cup B (O, RU); yellow-white striped cup A (C, RU)</x:v>
      </x:c>
      <x:c r="F84" s="9" t="str">
        <x:v>brown cup A</x:v>
      </x:c>
      <x:c r="G84" s="9" t="str">
        <x:v>placed the open cup</x:v>
      </x:c>
      <x:c r="H84" s="9" t="str">
        <x:v>Concept/compositional transfer</x:v>
      </x:c>
      <x:c r="I84" s="9" t="str">
        <x:v>SR-CT23</x:v>
      </x:c>
      <x:c r="J84" s="9" t="str">
        <x:v>Primary held-out state-object composition</x:v>
      </x:c>
      <x:c r="K84" s="9"/>
      <x:c r="L84" s="9" t="str">
        <x:v>107</x:v>
      </x:c>
      <x:c r="M84"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84" s="9" t="n">
        <x:v>4</x:v>
      </x:c>
      <x:c r="O84" s="9" t="str">
        <x:v>Build the listed same-category discrimination scene with the bowl empty.</x:v>
      </x:c>
      <x:c r="P84" s="9" t="str">
        <x:v>Two same-category candidates share the non-queried state axis; only the held-out state word identifies the target. The orthogonal orientation axis is fixed: every object is RU.</x:v>
      </x:c>
      <x:c r="Q84" s="9"/>
      <x:c r="R84" s="10" t="n">
        <x:v>3</x:v>
      </x:c>
      <x:c r="S84" s="10" t="n">
        <x:v>1</x:v>
      </x:c>
      <x:c r="T84" s="9" t="str">
        <x:v>Empty</x:v>
      </x:c>
      <x:c r="U84" s="9" t="str">
        <x:v>C</x:v>
      </x:c>
      <x:c r="V84" s="9" t="str">
        <x:v>brown cup</x:v>
      </x:c>
      <x:c r="W84" s="9"/>
      <x:c r="X84" s="10"/>
      <x:c r="Y84" s="10"/>
      <x:c r="Z84" s="9"/>
      <x:c r="AA84" s="9"/>
      <x:c r="AB84" s="9"/>
      <x:c r="AC84" s="9"/>
      <x:c r="AD84" s="9"/>
      <x:c r="AE84" s="9"/>
      <x:c r="AF84" s="9"/>
      <x:c r="AG84" s="9"/>
      <x:c r="AH84" s="9"/>
      <x:c r="AI84" s="11"/>
      <x:c r="AJ84" s="9"/>
      <x:c r="AK84" s="9" t="str">
        <x:v>Eval_State_Recognition.xlsm</x:v>
      </x:c>
      <x:c r="AL84" s="9" t="str">
        <x:v>pi0.5 Results</x:v>
      </x:c>
      <x:c r="AM84" s="9" t="n">
        <x:v>84</x:v>
      </x:c>
      <x:c r="AN84" s="9" t="n">
        <x:v>84</x:v>
      </x:c>
    </x:row>
    <x:row r="85">
      <x:c r="A85" s="9" t="str">
        <x:v>Success</x:v>
      </x:c>
      <x:c r="B85" s="9" t="str">
        <x:v>State Recognition</x:v>
      </x:c>
      <x:c r="C85" s="10" t="n">
        <x:v>83</x:v>
      </x:c>
      <x:c r="D85" s="9" t="str">
        <x:v>Place the upright glass spice container in the bowl.</x:v>
      </x:c>
      <x:c r="E85" s="9" t="str">
        <x:v>glass spice container B (O, RU); glass spice container A (O, UD); brown cup B (O, UD); white cup A (C, RU)</x:v>
      </x:c>
      <x:c r="F85" s="9" t="str">
        <x:v>glass spice container B</x:v>
      </x:c>
      <x:c r="G85" s="9"/>
      <x:c r="H85" s="9" t="str">
        <x:v>Concept/compositional transfer</x:v>
      </x:c>
      <x:c r="I85" s="9" t="str">
        <x:v>SR-CT24</x:v>
      </x:c>
      <x:c r="J85" s="9" t="str">
        <x:v>Primary held-out state-object composition</x:v>
      </x:c>
      <x:c r="K85" s="9"/>
      <x:c r="L85" s="9" t="str">
        <x:v>183</x:v>
      </x:c>
      <x:c r="M85" s="9" t="str">
        <x:v>Physical-state and manipulation-trajectory reference under a direct category prompt; the evaluated state word × object-category cell is intentionally absent from training.</x:v>
      </x:c>
      <x:c r="N85" s="9" t="n">
        <x:v>4</x:v>
      </x:c>
      <x:c r="O85" s="9" t="str">
        <x:v>Build the listed same-category discrimination scene with the bowl empty.</x:v>
      </x:c>
      <x:c r="P85" s="9" t="str">
        <x:v>Two same-category candidates share the non-queried state axis; only the held-out state word identifies the target. The same-category candidates share the orthogonal C/O state (O).</x:v>
      </x:c>
      <x:c r="Q85" s="9"/>
      <x:c r="R85" s="10" t="n">
        <x:v>4</x:v>
      </x:c>
      <x:c r="S85" s="10" t="n">
        <x:v>1</x:v>
      </x:c>
      <x:c r="T85" s="9" t="str">
        <x:v>Empty</x:v>
      </x:c>
      <x:c r="U85" s="9" t="str">
        <x:v>RU</x:v>
      </x:c>
      <x:c r="V85" s="9" t="str">
        <x:v>glass spice container</x:v>
      </x:c>
      <x:c r="W85" s="9"/>
      <x:c r="X85" s="10"/>
      <x:c r="Y85" s="10"/>
      <x:c r="Z85" s="9"/>
      <x:c r="AA85" s="9"/>
      <x:c r="AB85" s="9"/>
      <x:c r="AC85" s="9"/>
      <x:c r="AD85" s="9"/>
      <x:c r="AE85" s="9"/>
      <x:c r="AF85" s="9"/>
      <x:c r="AG85" s="9"/>
      <x:c r="AH85" s="9"/>
      <x:c r="AI85" s="11"/>
      <x:c r="AJ85" s="9"/>
      <x:c r="AK85" s="9" t="str">
        <x:v>Eval_State_Recognition.xlsm</x:v>
      </x:c>
      <x:c r="AL85" s="9" t="str">
        <x:v>pi0.5 Results</x:v>
      </x:c>
      <x:c r="AM85" s="9" t="n">
        <x:v>85</x:v>
      </x:c>
      <x:c r="AN85" s="9" t="n">
        <x:v>85</x:v>
      </x:c>
    </x:row>
    <x:row r="86">
      <x:c r="A86" s="9" t="str">
        <x:v>Failure</x:v>
      </x:c>
      <x:c r="B86" s="9" t="str">
        <x:v>State Recognition</x:v>
      </x:c>
      <x:c r="C86" s="10" t="n">
        <x:v>84</x:v>
      </x:c>
      <x:c r="D86" s="9" t="str">
        <x:v>Place the upside-down white cup in the bowl.</x:v>
      </x:c>
      <x:c r="E86" s="9" t="str">
        <x:v>white cup A (C, UD); white cup B (C, RU)</x:v>
      </x:c>
      <x:c r="F86" s="9" t="str">
        <x:v>white cup A</x:v>
      </x:c>
      <x:c r="G86" s="9" t="str">
        <x:v>placed the upright cup in the bowl</x:v>
      </x:c>
      <x:c r="H86" s="9" t="str">
        <x:v>Concept/compositional transfer</x:v>
      </x:c>
      <x:c r="I86" s="9" t="str">
        <x:v>SR-CT25</x:v>
      </x:c>
      <x:c r="J86" s="9" t="str">
        <x:v>Primary held-out state-object composition</x:v>
      </x:c>
      <x:c r="K86" s="9"/>
      <x:c r="L86" s="9" t="str">
        <x:v>39</x:v>
      </x:c>
      <x:c r="M86" s="9" t="str">
        <x:v>Physical-state and manipulation-trajectory reference under a direct category prompt; the evaluated state word × object-category cell is intentionally absent from training.</x:v>
      </x:c>
      <x:c r="N86" s="9" t="n">
        <x:v>4</x:v>
      </x:c>
      <x:c r="O86" s="9" t="str">
        <x:v>Build the listed same-category discrimination scene with the bowl empty.</x:v>
      </x:c>
      <x:c r="P86" s="9" t="str">
        <x:v>Two same-category candidates share the non-queried state axis; only the held-out state word identifies the target. The same-category candidates share the orthogonal C/O state (C).</x:v>
      </x:c>
      <x:c r="Q86" s="9"/>
      <x:c r="R86" s="10" t="n">
        <x:v>2</x:v>
      </x:c>
      <x:c r="S86" s="10" t="n">
        <x:v>1</x:v>
      </x:c>
      <x:c r="T86" s="9" t="str">
        <x:v>Empty</x:v>
      </x:c>
      <x:c r="U86" s="9" t="str">
        <x:v>UD</x:v>
      </x:c>
      <x:c r="V86" s="9" t="str">
        <x:v>white cup</x:v>
      </x:c>
      <x:c r="W86" s="9"/>
      <x:c r="X86" s="10"/>
      <x:c r="Y86" s="10"/>
      <x:c r="Z86" s="9"/>
      <x:c r="AA86" s="9"/>
      <x:c r="AB86" s="9"/>
      <x:c r="AC86" s="9"/>
      <x:c r="AD86" s="9"/>
      <x:c r="AE86" s="9"/>
      <x:c r="AF86" s="9"/>
      <x:c r="AG86" s="9"/>
      <x:c r="AH86" s="9"/>
      <x:c r="AI86" s="11"/>
      <x:c r="AJ86" s="9"/>
      <x:c r="AK86" s="9" t="str">
        <x:v>Eval_State_Recognition.xlsm</x:v>
      </x:c>
      <x:c r="AL86" s="9" t="str">
        <x:v>pi0.5 Results</x:v>
      </x:c>
      <x:c r="AM86" s="9" t="n">
        <x:v>86</x:v>
      </x:c>
      <x:c r="AN86" s="9" t="n">
        <x:v>86</x:v>
      </x:c>
    </x:row>
    <x:row r="87">
      <x:c r="A87" s="9" t="str">
        <x:v>Success</x:v>
      </x:c>
      <x:c r="B87" s="9" t="str">
        <x:v>State Recognition</x:v>
      </x:c>
      <x:c r="C87" s="10" t="n">
        <x:v>85</x:v>
      </x:c>
      <x:c r="D87" s="9" t="str">
        <x:v>Place the open yellow-white striped cup in the bowl.</x:v>
      </x:c>
      <x:c r="E87" s="9" t="str">
        <x:v>yellow-white striped cup B (O, RU); yellow-white striped cup A (C, RU); brown cup B (O, RU)</x:v>
      </x:c>
      <x:c r="F87" s="9" t="str">
        <x:v>yellow-white striped cup B</x:v>
      </x:c>
      <x:c r="G87" s="9"/>
      <x:c r="H87" s="9" t="str">
        <x:v>Concept/compositional transfer</x:v>
      </x:c>
      <x:c r="I87" s="9" t="str">
        <x:v>SR-CT26</x:v>
      </x:c>
      <x:c r="J87" s="9" t="str">
        <x:v>Primary held-out state-object composition</x:v>
      </x:c>
      <x:c r="K87" s="9"/>
      <x:c r="L87" s="9" t="str">
        <x:v>64</x:v>
      </x:c>
      <x:c r="M87"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87" s="9" t="n">
        <x:v>4</x:v>
      </x:c>
      <x:c r="O87" s="9" t="str">
        <x:v>Build the listed same-category discrimination scene with the bowl empty.</x:v>
      </x:c>
      <x:c r="P87" s="9" t="str">
        <x:v>Two same-category candidates share the non-queried state axis; only the held-out state word identifies the target. The orthogonal orientation axis is fixed: every object is RU.</x:v>
      </x:c>
      <x:c r="Q87" s="9"/>
      <x:c r="R87" s="10" t="n">
        <x:v>3</x:v>
      </x:c>
      <x:c r="S87" s="10" t="n">
        <x:v>1</x:v>
      </x:c>
      <x:c r="T87" s="9" t="str">
        <x:v>Empty</x:v>
      </x:c>
      <x:c r="U87" s="9" t="str">
        <x:v>O</x:v>
      </x:c>
      <x:c r="V87" s="9" t="str">
        <x:v>yellow-white striped cup</x:v>
      </x:c>
      <x:c r="W87" s="9"/>
      <x:c r="X87" s="10"/>
      <x:c r="Y87" s="10"/>
      <x:c r="Z87" s="9"/>
      <x:c r="AA87" s="9"/>
      <x:c r="AB87" s="9"/>
      <x:c r="AC87" s="9"/>
      <x:c r="AD87" s="9"/>
      <x:c r="AE87" s="9"/>
      <x:c r="AF87" s="9"/>
      <x:c r="AG87" s="9"/>
      <x:c r="AH87" s="9"/>
      <x:c r="AI87" s="11"/>
      <x:c r="AJ87" s="9"/>
      <x:c r="AK87" s="9" t="str">
        <x:v>Eval_State_Recognition.xlsm</x:v>
      </x:c>
      <x:c r="AL87" s="9" t="str">
        <x:v>pi0.5 Results</x:v>
      </x:c>
      <x:c r="AM87" s="9" t="n">
        <x:v>87</x:v>
      </x:c>
      <x:c r="AN87" s="9" t="n">
        <x:v>87</x:v>
      </x:c>
    </x:row>
    <x:row r="88">
      <x:c r="A88" s="9" t="str">
        <x:v>Success</x:v>
      </x:c>
      <x:c r="B88" s="9" t="str">
        <x:v>State Recognition</x:v>
      </x:c>
      <x:c r="C88" s="10" t="n">
        <x:v>86</x:v>
      </x:c>
      <x:c r="D88" s="9" t="str">
        <x:v>Place the closed brown cup in the bowl.</x:v>
      </x:c>
      <x:c r="E88" s="9" t="str">
        <x:v>brown cup A (C, RU); brown cup B (O, RU); glass spice container A (C, RU); white cup B (O, RU)</x:v>
      </x:c>
      <x:c r="F88" s="9" t="str">
        <x:v>brown cup A</x:v>
      </x:c>
      <x:c r="G88" s="9" t="str">
        <x:v>squeeze so hard that the lid popped off</x:v>
      </x:c>
      <x:c r="H88" s="9" t="str">
        <x:v>Concept/compositional transfer</x:v>
      </x:c>
      <x:c r="I88" s="9" t="str">
        <x:v>SR-CT27</x:v>
      </x:c>
      <x:c r="J88" s="9" t="str">
        <x:v>Primary held-out state-object composition</x:v>
      </x:c>
      <x:c r="K88" s="9"/>
      <x:c r="L88" s="9" t="str">
        <x:v>143</x:v>
      </x:c>
      <x:c r="M88"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88" s="9" t="n">
        <x:v>4</x:v>
      </x:c>
      <x:c r="O88" s="9" t="str">
        <x:v>Build the listed same-category discrimination scene with the bowl empty.</x:v>
      </x:c>
      <x:c r="P88" s="9" t="str">
        <x:v>Two same-category candidates share the non-queried state axis; only the held-out state word identifies the target. The orthogonal orientation axis is fixed: every object is RU.</x:v>
      </x:c>
      <x:c r="Q88" s="9"/>
      <x:c r="R88" s="10" t="n">
        <x:v>4</x:v>
      </x:c>
      <x:c r="S88" s="10" t="n">
        <x:v>1</x:v>
      </x:c>
      <x:c r="T88" s="9" t="str">
        <x:v>Empty</x:v>
      </x:c>
      <x:c r="U88" s="9" t="str">
        <x:v>C</x:v>
      </x:c>
      <x:c r="V88" s="9" t="str">
        <x:v>brown cup</x:v>
      </x:c>
      <x:c r="W88" s="9"/>
      <x:c r="X88" s="10"/>
      <x:c r="Y88" s="10"/>
      <x:c r="Z88" s="9"/>
      <x:c r="AA88" s="9"/>
      <x:c r="AB88" s="9"/>
      <x:c r="AC88" s="9"/>
      <x:c r="AD88" s="9"/>
      <x:c r="AE88" s="9"/>
      <x:c r="AF88" s="9"/>
      <x:c r="AG88" s="9"/>
      <x:c r="AH88" s="9"/>
      <x:c r="AI88" s="11"/>
      <x:c r="AJ88" s="9"/>
      <x:c r="AK88" s="9" t="str">
        <x:v>Eval_State_Recognition.xlsm</x:v>
      </x:c>
      <x:c r="AL88" s="9" t="str">
        <x:v>pi0.5 Results</x:v>
      </x:c>
      <x:c r="AM88" s="9" t="n">
        <x:v>88</x:v>
      </x:c>
      <x:c r="AN88" s="9" t="n">
        <x:v>88</x:v>
      </x:c>
    </x:row>
    <x:row r="89">
      <x:c r="A89" s="9" t="str">
        <x:v>Failure</x:v>
      </x:c>
      <x:c r="B89" s="9" t="str">
        <x:v>State Recognition</x:v>
      </x:c>
      <x:c r="C89" s="10" t="n">
        <x:v>87</x:v>
      </x:c>
      <x:c r="D89" s="9" t="str">
        <x:v>Place the upright glass spice container in the bowl.</x:v>
      </x:c>
      <x:c r="E89" s="9" t="str">
        <x:v>glass spice container B (C, RU); glass spice container A (C, UD)</x:v>
      </x:c>
      <x:c r="F89" s="9" t="str">
        <x:v>glass spice container B</x:v>
      </x:c>
      <x:c r="G89" s="9" t="str">
        <x:v>picked the upside down container</x:v>
      </x:c>
      <x:c r="H89" s="9" t="str">
        <x:v>Concept/compositional transfer</x:v>
      </x:c>
      <x:c r="I89" s="9" t="str">
        <x:v>SR-CT28</x:v>
      </x:c>
      <x:c r="J89" s="9" t="str">
        <x:v>Primary held-out state-object composition</x:v>
      </x:c>
      <x:c r="K89" s="9"/>
      <x:c r="L89" s="9" t="str">
        <x:v>182</x:v>
      </x:c>
      <x:c r="M89" s="9" t="str">
        <x:v>Physical-state and manipulation-trajectory reference under a direct category prompt; the evaluated state word × object-category cell is intentionally absent from training.</x:v>
      </x:c>
      <x:c r="N89" s="9" t="n">
        <x:v>4</x:v>
      </x:c>
      <x:c r="O89" s="9" t="str">
        <x:v>Build the listed same-category discrimination scene with the bowl empty.</x:v>
      </x:c>
      <x:c r="P89" s="9" t="str">
        <x:v>Two same-category candidates share the non-queried state axis; only the held-out state word identifies the target. The same-category candidates share the orthogonal C/O state (C).</x:v>
      </x:c>
      <x:c r="Q89" s="9"/>
      <x:c r="R89" s="10" t="n">
        <x:v>2</x:v>
      </x:c>
      <x:c r="S89" s="10" t="n">
        <x:v>1</x:v>
      </x:c>
      <x:c r="T89" s="9" t="str">
        <x:v>Empty</x:v>
      </x:c>
      <x:c r="U89" s="9" t="str">
        <x:v>RU</x:v>
      </x:c>
      <x:c r="V89" s="9" t="str">
        <x:v>glass spice container</x:v>
      </x:c>
      <x:c r="W89" s="9"/>
      <x:c r="X89" s="10"/>
      <x:c r="Y89" s="10"/>
      <x:c r="Z89" s="9"/>
      <x:c r="AA89" s="9"/>
      <x:c r="AB89" s="9"/>
      <x:c r="AC89" s="9"/>
      <x:c r="AD89" s="9"/>
      <x:c r="AE89" s="9"/>
      <x:c r="AF89" s="9"/>
      <x:c r="AG89" s="9"/>
      <x:c r="AH89" s="9"/>
      <x:c r="AI89" s="11"/>
      <x:c r="AJ89" s="9"/>
      <x:c r="AK89" s="9" t="str">
        <x:v>Eval_State_Recognition.xlsm</x:v>
      </x:c>
      <x:c r="AL89" s="9" t="str">
        <x:v>pi0.5 Results</x:v>
      </x:c>
      <x:c r="AM89" s="9" t="n">
        <x:v>89</x:v>
      </x:c>
      <x:c r="AN89" s="9" t="n">
        <x:v>89</x:v>
      </x:c>
    </x:row>
    <x:row r="90">
      <x:c r="A90" s="9" t="str">
        <x:v>Failure</x:v>
      </x:c>
      <x:c r="B90" s="9" t="str">
        <x:v>State Recognition</x:v>
      </x:c>
      <x:c r="C90" s="10" t="n">
        <x:v>88</x:v>
      </x:c>
      <x:c r="D90" s="9" t="str">
        <x:v>Place the upside-down white cup in the bowl.</x:v>
      </x:c>
      <x:c r="E90" s="9" t="str">
        <x:v>white cup A (O, UD); white cup B (O, RU); brown cup A (C, RU)</x:v>
      </x:c>
      <x:c r="F90" s="9" t="str">
        <x:v>white cup A</x:v>
      </x:c>
      <x:c r="G90" s="9" t="str">
        <x:v>picked the upright white cup</x:v>
      </x:c>
      <x:c r="H90" s="9" t="str">
        <x:v>Concept/compositional transfer</x:v>
      </x:c>
      <x:c r="I90" s="9" t="str">
        <x:v>SR-CT29</x:v>
      </x:c>
      <x:c r="J90" s="9" t="str">
        <x:v>Primary held-out state-object composition</x:v>
      </x:c>
      <x:c r="K90" s="9"/>
      <x:c r="L90" s="9" t="str">
        <x:v>49</x:v>
      </x:c>
      <x:c r="M90" s="9" t="str">
        <x:v>Physical-state and manipulation-trajectory reference under a direct category prompt; the evaluated state word × object-category cell is intentionally absent from training.</x:v>
      </x:c>
      <x:c r="N90" s="9" t="n">
        <x:v>4</x:v>
      </x:c>
      <x:c r="O90" s="9" t="str">
        <x:v>Build the listed same-category discrimination scene with the bowl empty.</x:v>
      </x:c>
      <x:c r="P90" s="9" t="str">
        <x:v>Two same-category candidates share the non-queried state axis; only the held-out state word identifies the target. The same-category candidates share the orthogonal C/O state (O).</x:v>
      </x:c>
      <x:c r="Q90" s="9"/>
      <x:c r="R90" s="10" t="n">
        <x:v>3</x:v>
      </x:c>
      <x:c r="S90" s="10" t="n">
        <x:v>1</x:v>
      </x:c>
      <x:c r="T90" s="9" t="str">
        <x:v>Empty</x:v>
      </x:c>
      <x:c r="U90" s="9" t="str">
        <x:v>UD</x:v>
      </x:c>
      <x:c r="V90" s="9" t="str">
        <x:v>white cup</x:v>
      </x:c>
      <x:c r="W90" s="9"/>
      <x:c r="X90" s="10"/>
      <x:c r="Y90" s="10"/>
      <x:c r="Z90" s="9"/>
      <x:c r="AA90" s="9"/>
      <x:c r="AB90" s="9"/>
      <x:c r="AC90" s="9"/>
      <x:c r="AD90" s="9"/>
      <x:c r="AE90" s="9"/>
      <x:c r="AF90" s="9"/>
      <x:c r="AG90" s="9"/>
      <x:c r="AH90" s="9"/>
      <x:c r="AI90" s="11"/>
      <x:c r="AJ90" s="9"/>
      <x:c r="AK90" s="9" t="str">
        <x:v>Eval_State_Recognition.xlsm</x:v>
      </x:c>
      <x:c r="AL90" s="9" t="str">
        <x:v>pi0.5 Results</x:v>
      </x:c>
      <x:c r="AM90" s="9" t="n">
        <x:v>90</x:v>
      </x:c>
      <x:c r="AN90" s="9" t="n">
        <x:v>90</x:v>
      </x:c>
    </x:row>
    <x:row r="91">
      <x:c r="A91" s="9" t="str">
        <x:v>Success</x:v>
      </x:c>
      <x:c r="B91" s="9" t="str">
        <x:v>State Recognition</x:v>
      </x:c>
      <x:c r="C91" s="10" t="n">
        <x:v>89</x:v>
      </x:c>
      <x:c r="D91" s="9" t="str">
        <x:v>Place the open yellow-white striped cup in the bowl.</x:v>
      </x:c>
      <x:c r="E91" s="9" t="str">
        <x:v>yellow-white striped cup B (O, RU); yellow-white striped cup A (C, RU); glass spice container B (O, RU); white cup A (C, RU)</x:v>
      </x:c>
      <x:c r="F91" s="9" t="str">
        <x:v>yellow-white striped cup B</x:v>
      </x:c>
      <x:c r="G91" s="9"/>
      <x:c r="H91" s="9" t="str">
        <x:v>Concept/compositional transfer</x:v>
      </x:c>
      <x:c r="I91" s="9" t="str">
        <x:v>SR-CT30</x:v>
      </x:c>
      <x:c r="J91" s="9" t="str">
        <x:v>Primary held-out state-object composition</x:v>
      </x:c>
      <x:c r="K91" s="9"/>
      <x:c r="L91" s="9" t="str">
        <x:v>53</x:v>
      </x:c>
      <x:c r="M91"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91" s="9" t="n">
        <x:v>4</x:v>
      </x:c>
      <x:c r="O91" s="9" t="str">
        <x:v>Build the listed same-category discrimination scene with the bowl empty.</x:v>
      </x:c>
      <x:c r="P91" s="9" t="str">
        <x:v>Two same-category candidates share the non-queried state axis; only the held-out state word identifies the target. The orthogonal orientation axis is fixed: every object is RU.</x:v>
      </x:c>
      <x:c r="Q91" s="9"/>
      <x:c r="R91" s="10" t="n">
        <x:v>4</x:v>
      </x:c>
      <x:c r="S91" s="10" t="n">
        <x:v>1</x:v>
      </x:c>
      <x:c r="T91" s="9" t="str">
        <x:v>Empty</x:v>
      </x:c>
      <x:c r="U91" s="9" t="str">
        <x:v>O</x:v>
      </x:c>
      <x:c r="V91" s="9" t="str">
        <x:v>yellow-white striped cup</x:v>
      </x:c>
      <x:c r="W91" s="9"/>
      <x:c r="X91" s="10"/>
      <x:c r="Y91" s="10"/>
      <x:c r="Z91" s="9"/>
      <x:c r="AA91" s="9"/>
      <x:c r="AB91" s="9"/>
      <x:c r="AC91" s="9"/>
      <x:c r="AD91" s="9"/>
      <x:c r="AE91" s="9"/>
      <x:c r="AF91" s="9"/>
      <x:c r="AG91" s="9"/>
      <x:c r="AH91" s="9"/>
      <x:c r="AI91" s="11"/>
      <x:c r="AJ91" s="9"/>
      <x:c r="AK91" s="9" t="str">
        <x:v>Eval_State_Recognition.xlsm</x:v>
      </x:c>
      <x:c r="AL91" s="9" t="str">
        <x:v>pi0.5 Results</x:v>
      </x:c>
      <x:c r="AM91" s="9" t="n">
        <x:v>91</x:v>
      </x:c>
      <x:c r="AN91" s="9" t="n">
        <x:v>91</x:v>
      </x:c>
    </x:row>
    <x:row r="92">
      <x:c r="A92" s="9" t="str">
        <x:v>Success</x:v>
      </x:c>
      <x:c r="B92" s="9" t="str">
        <x:v>State Recognition</x:v>
      </x:c>
      <x:c r="C92" s="10" t="n">
        <x:v>90</x:v>
      </x:c>
      <x:c r="D92" s="9" t="str">
        <x:v>Place the closed brown cup in the bowl.</x:v>
      </x:c>
      <x:c r="E92" s="9" t="str">
        <x:v>brown cup A (C, RU); brown cup B (O, RU)</x:v>
      </x:c>
      <x:c r="F92" s="9" t="str">
        <x:v>brown cup A</x:v>
      </x:c>
      <x:c r="G92" s="9"/>
      <x:c r="H92" s="9" t="str">
        <x:v>Concept/compositional transfer</x:v>
      </x:c>
      <x:c r="I92" s="9" t="str">
        <x:v>SR-CT31</x:v>
      </x:c>
      <x:c r="J92" s="9" t="str">
        <x:v>Primary held-out state-object composition</x:v>
      </x:c>
      <x:c r="K92" s="9"/>
      <x:c r="L92" s="9" t="str">
        <x:v>129</x:v>
      </x:c>
      <x:c r="M92"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92" s="9" t="n">
        <x:v>4</x:v>
      </x:c>
      <x:c r="O92" s="9" t="str">
        <x:v>Build the listed same-category discrimination scene with the bowl empty.</x:v>
      </x:c>
      <x:c r="P92" s="9" t="str">
        <x:v>Two same-category candidates share the non-queried state axis; only the held-out state word identifies the target. The orthogonal orientation axis is fixed: every object is RU.</x:v>
      </x:c>
      <x:c r="Q92" s="9"/>
      <x:c r="R92" s="10" t="n">
        <x:v>2</x:v>
      </x:c>
      <x:c r="S92" s="10" t="n">
        <x:v>1</x:v>
      </x:c>
      <x:c r="T92" s="9" t="str">
        <x:v>Empty</x:v>
      </x:c>
      <x:c r="U92" s="9" t="str">
        <x:v>C</x:v>
      </x:c>
      <x:c r="V92" s="9" t="str">
        <x:v>brown cup</x:v>
      </x:c>
      <x:c r="W92" s="9"/>
      <x:c r="X92" s="10"/>
      <x:c r="Y92" s="10"/>
      <x:c r="Z92" s="9"/>
      <x:c r="AA92" s="9"/>
      <x:c r="AB92" s="9"/>
      <x:c r="AC92" s="9"/>
      <x:c r="AD92" s="9"/>
      <x:c r="AE92" s="9"/>
      <x:c r="AF92" s="9"/>
      <x:c r="AG92" s="9"/>
      <x:c r="AH92" s="9"/>
      <x:c r="AI92" s="11"/>
      <x:c r="AJ92" s="9"/>
      <x:c r="AK92" s="9" t="str">
        <x:v>Eval_State_Recognition.xlsm</x:v>
      </x:c>
      <x:c r="AL92" s="9" t="str">
        <x:v>pi0.5 Results</x:v>
      </x:c>
      <x:c r="AM92" s="9" t="n">
        <x:v>92</x:v>
      </x:c>
      <x:c r="AN92" s="9" t="n">
        <x:v>92</x:v>
      </x:c>
    </x:row>
    <x:row r="93">
      <x:c r="A93" s="9" t="str">
        <x:v>Failure</x:v>
      </x:c>
      <x:c r="B93" s="9" t="str">
        <x:v>State Recognition</x:v>
      </x:c>
      <x:c r="C93" s="10" t="n">
        <x:v>91</x:v>
      </x:c>
      <x:c r="D93" s="9" t="str">
        <x:v>Place the upright glass spice container in the bowl.</x:v>
      </x:c>
      <x:c r="E93" s="9" t="str">
        <x:v>glass spice container B (O, RU); glass spice container A (O, UD); yellow-white striped cup B (O, UD)</x:v>
      </x:c>
      <x:c r="F93" s="9" t="str">
        <x:v>glass spice container B</x:v>
      </x:c>
      <x:c r="G93" s="9" t="str">
        <x:v>went for upside down jar </x:v>
      </x:c>
      <x:c r="H93" s="9" t="str">
        <x:v>Concept/compositional transfer</x:v>
      </x:c>
      <x:c r="I93" s="9" t="str">
        <x:v>SR-CT32</x:v>
      </x:c>
      <x:c r="J93" s="9" t="str">
        <x:v>Primary held-out state-object composition</x:v>
      </x:c>
      <x:c r="K93" s="9"/>
      <x:c r="L93" s="9" t="str">
        <x:v>197</x:v>
      </x:c>
      <x:c r="M93" s="9" t="str">
        <x:v>Physical-state and manipulation-trajectory reference under a direct category prompt; the evaluated state word × object-category cell is intentionally absent from training.</x:v>
      </x:c>
      <x:c r="N93" s="9" t="n">
        <x:v>4</x:v>
      </x:c>
      <x:c r="O93" s="9" t="str">
        <x:v>Build the listed same-category discrimination scene with the bowl empty.</x:v>
      </x:c>
      <x:c r="P93" s="9" t="str">
        <x:v>Two same-category candidates share the non-queried state axis; only the held-out state word identifies the target. The same-category candidates share the orthogonal C/O state (O).</x:v>
      </x:c>
      <x:c r="Q93" s="9"/>
      <x:c r="R93" s="10" t="n">
        <x:v>3</x:v>
      </x:c>
      <x:c r="S93" s="10" t="n">
        <x:v>1</x:v>
      </x:c>
      <x:c r="T93" s="9" t="str">
        <x:v>Empty</x:v>
      </x:c>
      <x:c r="U93" s="9" t="str">
        <x:v>RU</x:v>
      </x:c>
      <x:c r="V93" s="9" t="str">
        <x:v>glass spice container</x:v>
      </x:c>
      <x:c r="W93" s="9"/>
      <x:c r="X93" s="10"/>
      <x:c r="Y93" s="10"/>
      <x:c r="Z93" s="9"/>
      <x:c r="AA93" s="9"/>
      <x:c r="AB93" s="9"/>
      <x:c r="AC93" s="9"/>
      <x:c r="AD93" s="9"/>
      <x:c r="AE93" s="9"/>
      <x:c r="AF93" s="9"/>
      <x:c r="AG93" s="9"/>
      <x:c r="AH93" s="9"/>
      <x:c r="AI93" s="11"/>
      <x:c r="AJ93" s="9"/>
      <x:c r="AK93" s="9" t="str">
        <x:v>Eval_State_Recognition.xlsm</x:v>
      </x:c>
      <x:c r="AL93" s="9" t="str">
        <x:v>pi0.5 Results</x:v>
      </x:c>
      <x:c r="AM93" s="9" t="n">
        <x:v>93</x:v>
      </x:c>
      <x:c r="AN93" s="9" t="n">
        <x:v>93</x:v>
      </x:c>
    </x:row>
    <x:row r="94">
      <x:c r="A94" s="9" t="str">
        <x:v>Failure</x:v>
      </x:c>
      <x:c r="B94" s="9" t="str">
        <x:v>State Recognition</x:v>
      </x:c>
      <x:c r="C94" s="10" t="n">
        <x:v>92</x:v>
      </x:c>
      <x:c r="D94" s="9" t="str">
        <x:v>Place the upside-down white cup in the bowl.</x:v>
      </x:c>
      <x:c r="E94" s="9" t="str">
        <x:v>white cup A (C, UD); white cup B (C, RU); glass spice container A (C, RU); yellow-white striped cup B (O, RU)</x:v>
      </x:c>
      <x:c r="F94" s="9" t="str">
        <x:v>white cup A</x:v>
      </x:c>
      <x:c r="G94" s="9" t="str">
        <x:v>went for upright white cup</x:v>
      </x:c>
      <x:c r="H94" s="9" t="str">
        <x:v>Concept/compositional transfer</x:v>
      </x:c>
      <x:c r="I94" s="9" t="str">
        <x:v>SR-CT33</x:v>
      </x:c>
      <x:c r="J94" s="9" t="str">
        <x:v>Primary held-out state-object composition</x:v>
      </x:c>
      <x:c r="K94" s="9"/>
      <x:c r="L94" s="9" t="str">
        <x:v>35</x:v>
      </x:c>
      <x:c r="M94" s="9" t="str">
        <x:v>Physical-state and manipulation-trajectory reference under a direct category prompt; the evaluated state word × object-category cell is intentionally absent from training.</x:v>
      </x:c>
      <x:c r="N94" s="9" t="n">
        <x:v>4</x:v>
      </x:c>
      <x:c r="O94" s="9" t="str">
        <x:v>Build the listed same-category discrimination scene with the bowl empty.</x:v>
      </x:c>
      <x:c r="P94" s="9" t="str">
        <x:v>Two same-category candidates share the non-queried state axis; only the held-out state word identifies the target. The same-category candidates share the orthogonal C/O state (C).</x:v>
      </x:c>
      <x:c r="Q94" s="9"/>
      <x:c r="R94" s="10" t="n">
        <x:v>4</x:v>
      </x:c>
      <x:c r="S94" s="10" t="n">
        <x:v>1</x:v>
      </x:c>
      <x:c r="T94" s="9" t="str">
        <x:v>Empty</x:v>
      </x:c>
      <x:c r="U94" s="9" t="str">
        <x:v>UD</x:v>
      </x:c>
      <x:c r="V94" s="9" t="str">
        <x:v>white cup</x:v>
      </x:c>
      <x:c r="W94" s="9"/>
      <x:c r="X94" s="10"/>
      <x:c r="Y94" s="10"/>
      <x:c r="Z94" s="9"/>
      <x:c r="AA94" s="9"/>
      <x:c r="AB94" s="9"/>
      <x:c r="AC94" s="9"/>
      <x:c r="AD94" s="9"/>
      <x:c r="AE94" s="9"/>
      <x:c r="AF94" s="9"/>
      <x:c r="AG94" s="9"/>
      <x:c r="AH94" s="9"/>
      <x:c r="AI94" s="11"/>
      <x:c r="AJ94" s="9"/>
      <x:c r="AK94" s="9" t="str">
        <x:v>Eval_State_Recognition.xlsm</x:v>
      </x:c>
      <x:c r="AL94" s="9" t="str">
        <x:v>pi0.5 Results</x:v>
      </x:c>
      <x:c r="AM94" s="9" t="n">
        <x:v>94</x:v>
      </x:c>
      <x:c r="AN94" s="9" t="n">
        <x:v>94</x:v>
      </x:c>
    </x:row>
    <x:row r="95">
      <x:c r="A95" s="9" t="str">
        <x:v>Success</x:v>
      </x:c>
      <x:c r="B95" s="9" t="str">
        <x:v>State Recognition</x:v>
      </x:c>
      <x:c r="C95" s="10" t="n">
        <x:v>93</x:v>
      </x:c>
      <x:c r="D95" s="9" t="str">
        <x:v>Place the open yellow-white striped cup in the bowl.</x:v>
      </x:c>
      <x:c r="E95" s="9" t="str">
        <x:v>yellow-white striped cup B (O, RU); yellow-white striped cup A (C, RU)</x:v>
      </x:c>
      <x:c r="F95" s="9" t="str">
        <x:v>yellow-white striped cup B</x:v>
      </x:c>
      <x:c r="G95" s="9"/>
      <x:c r="H95" s="9" t="str">
        <x:v>Concept/compositional transfer</x:v>
      </x:c>
      <x:c r="I95" s="9" t="str">
        <x:v>SR-CT34</x:v>
      </x:c>
      <x:c r="J95" s="9" t="str">
        <x:v>Primary held-out state-object composition</x:v>
      </x:c>
      <x:c r="K95" s="9"/>
      <x:c r="L95" s="9" t="str">
        <x:v>71</x:v>
      </x:c>
      <x:c r="M95"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95" s="9" t="n">
        <x:v>4</x:v>
      </x:c>
      <x:c r="O95" s="9" t="str">
        <x:v>Build the listed same-category discrimination scene with the bowl empty.</x:v>
      </x:c>
      <x:c r="P95" s="9" t="str">
        <x:v>Two same-category candidates share the non-queried state axis; only the held-out state word identifies the target. The orthogonal orientation axis is fixed: every object is RU.</x:v>
      </x:c>
      <x:c r="Q95" s="9"/>
      <x:c r="R95" s="10" t="n">
        <x:v>2</x:v>
      </x:c>
      <x:c r="S95" s="10" t="n">
        <x:v>1</x:v>
      </x:c>
      <x:c r="T95" s="9" t="str">
        <x:v>Empty</x:v>
      </x:c>
      <x:c r="U95" s="9" t="str">
        <x:v>O</x:v>
      </x:c>
      <x:c r="V95" s="9" t="str">
        <x:v>yellow-white striped cup</x:v>
      </x:c>
      <x:c r="W95" s="9"/>
      <x:c r="X95" s="10"/>
      <x:c r="Y95" s="10"/>
      <x:c r="Z95" s="9"/>
      <x:c r="AA95" s="9"/>
      <x:c r="AB95" s="9"/>
      <x:c r="AC95" s="9"/>
      <x:c r="AD95" s="9"/>
      <x:c r="AE95" s="9"/>
      <x:c r="AF95" s="9"/>
      <x:c r="AG95" s="9"/>
      <x:c r="AH95" s="9"/>
      <x:c r="AI95" s="11"/>
      <x:c r="AJ95" s="9"/>
      <x:c r="AK95" s="9" t="str">
        <x:v>Eval_State_Recognition.xlsm</x:v>
      </x:c>
      <x:c r="AL95" s="9" t="str">
        <x:v>pi0.5 Results</x:v>
      </x:c>
      <x:c r="AM95" s="9" t="n">
        <x:v>95</x:v>
      </x:c>
      <x:c r="AN95" s="9" t="n">
        <x:v>95</x:v>
      </x:c>
    </x:row>
    <x:row r="96">
      <x:c r="A96" s="9" t="str">
        <x:v>Failure</x:v>
      </x:c>
      <x:c r="B96" s="9" t="str">
        <x:v>State Recognition</x:v>
      </x:c>
      <x:c r="C96" s="10" t="n">
        <x:v>94</x:v>
      </x:c>
      <x:c r="D96" s="9" t="str">
        <x:v>Place the closed brown cup in the bowl.</x:v>
      </x:c>
      <x:c r="E96" s="9" t="str">
        <x:v>brown cup A (C, RU); brown cup B (O, RU); yellow-white striped cup A (C, RU)</x:v>
      </x:c>
      <x:c r="F96" s="9" t="str">
        <x:v>brown cup A</x:v>
      </x:c>
      <x:c r="G96" s="9" t="str">
        <x:v>picked upen brown cup</x:v>
      </x:c>
      <x:c r="H96" s="9" t="str">
        <x:v>Concept/compositional transfer</x:v>
      </x:c>
      <x:c r="I96" s="9" t="str">
        <x:v>SR-CT35</x:v>
      </x:c>
      <x:c r="J96" s="9" t="str">
        <x:v>Primary held-out state-object composition</x:v>
      </x:c>
      <x:c r="K96" s="9"/>
      <x:c r="L96" s="9" t="str">
        <x:v>100</x:v>
      </x:c>
      <x:c r="M96"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96" s="9" t="n">
        <x:v>4</x:v>
      </x:c>
      <x:c r="O96" s="9" t="str">
        <x:v>Build the listed same-category discrimination scene with the bowl empty.</x:v>
      </x:c>
      <x:c r="P96" s="9" t="str">
        <x:v>Two same-category candidates share the non-queried state axis; only the held-out state word identifies the target. The orthogonal orientation axis is fixed: every object is RU.</x:v>
      </x:c>
      <x:c r="Q96" s="9"/>
      <x:c r="R96" s="10" t="n">
        <x:v>3</x:v>
      </x:c>
      <x:c r="S96" s="10" t="n">
        <x:v>1</x:v>
      </x:c>
      <x:c r="T96" s="9" t="str">
        <x:v>Empty</x:v>
      </x:c>
      <x:c r="U96" s="9" t="str">
        <x:v>C</x:v>
      </x:c>
      <x:c r="V96" s="9" t="str">
        <x:v>brown cup</x:v>
      </x:c>
      <x:c r="W96" s="9"/>
      <x:c r="X96" s="10"/>
      <x:c r="Y96" s="10"/>
      <x:c r="Z96" s="9"/>
      <x:c r="AA96" s="9"/>
      <x:c r="AB96" s="9"/>
      <x:c r="AC96" s="9"/>
      <x:c r="AD96" s="9"/>
      <x:c r="AE96" s="9"/>
      <x:c r="AF96" s="9"/>
      <x:c r="AG96" s="9"/>
      <x:c r="AH96" s="9"/>
      <x:c r="AI96" s="11"/>
      <x:c r="AJ96" s="9"/>
      <x:c r="AK96" s="9" t="str">
        <x:v>Eval_State_Recognition.xlsm</x:v>
      </x:c>
      <x:c r="AL96" s="9" t="str">
        <x:v>pi0.5 Results</x:v>
      </x:c>
      <x:c r="AM96" s="9" t="n">
        <x:v>96</x:v>
      </x:c>
      <x:c r="AN96" s="9" t="n">
        <x:v>96</x:v>
      </x:c>
    </x:row>
    <x:row r="97">
      <x:c r="A97" s="9" t="str">
        <x:v>Failure</x:v>
      </x:c>
      <x:c r="B97" s="9" t="str">
        <x:v>State Recognition</x:v>
      </x:c>
      <x:c r="C97" s="10" t="n">
        <x:v>95</x:v>
      </x:c>
      <x:c r="D97" s="9" t="str">
        <x:v>Place the upright glass spice container in the bowl.</x:v>
      </x:c>
      <x:c r="E97" s="9" t="str">
        <x:v>glass spice container B (C, RU); glass spice container A (C, UD); brown cup B (O, UD); white cup A (C, RU)</x:v>
      </x:c>
      <x:c r="F97" s="9" t="str">
        <x:v>glass spice container B</x:v>
      </x:c>
      <x:c r="G97" s="9" t="str">
        <x:v>picked upside down jar</x:v>
      </x:c>
      <x:c r="H97" s="9" t="str">
        <x:v>Concept/compositional transfer</x:v>
      </x:c>
      <x:c r="I97" s="9" t="str">
        <x:v>SR-CT36</x:v>
      </x:c>
      <x:c r="J97" s="9" t="str">
        <x:v>Primary held-out state-object composition</x:v>
      </x:c>
      <x:c r="K97" s="9"/>
      <x:c r="L97" s="9" t="str">
        <x:v>169</x:v>
      </x:c>
      <x:c r="M97" s="9" t="str">
        <x:v>Physical-state and manipulation-trajectory reference under a direct category prompt; the evaluated state word × object-category cell is intentionally absent from training.</x:v>
      </x:c>
      <x:c r="N97" s="9" t="n">
        <x:v>4</x:v>
      </x:c>
      <x:c r="O97" s="9" t="str">
        <x:v>Build the listed same-category discrimination scene with the bowl empty.</x:v>
      </x:c>
      <x:c r="P97" s="9" t="str">
        <x:v>Two same-category candidates share the non-queried state axis; only the held-out state word identifies the target. The same-category candidates share the orthogonal C/O state (C).</x:v>
      </x:c>
      <x:c r="Q97" s="9"/>
      <x:c r="R97" s="10" t="n">
        <x:v>4</x:v>
      </x:c>
      <x:c r="S97" s="10" t="n">
        <x:v>1</x:v>
      </x:c>
      <x:c r="T97" s="9" t="str">
        <x:v>Empty</x:v>
      </x:c>
      <x:c r="U97" s="9" t="str">
        <x:v>RU</x:v>
      </x:c>
      <x:c r="V97" s="9" t="str">
        <x:v>glass spice container</x:v>
      </x:c>
      <x:c r="W97" s="9"/>
      <x:c r="X97" s="10"/>
      <x:c r="Y97" s="10"/>
      <x:c r="Z97" s="9"/>
      <x:c r="AA97" s="9"/>
      <x:c r="AB97" s="9"/>
      <x:c r="AC97" s="9"/>
      <x:c r="AD97" s="9"/>
      <x:c r="AE97" s="9"/>
      <x:c r="AF97" s="9"/>
      <x:c r="AG97" s="9"/>
      <x:c r="AH97" s="9"/>
      <x:c r="AI97" s="11"/>
      <x:c r="AJ97" s="9"/>
      <x:c r="AK97" s="9" t="str">
        <x:v>Eval_State_Recognition.xlsm</x:v>
      </x:c>
      <x:c r="AL97" s="9" t="str">
        <x:v>pi0.5 Results</x:v>
      </x:c>
      <x:c r="AM97" s="9" t="n">
        <x:v>97</x:v>
      </x:c>
      <x:c r="AN97" s="9" t="n">
        <x:v>97</x:v>
      </x:c>
    </x:row>
    <x:row r="98">
      <x:c r="A98" s="9" t="str">
        <x:v>Failure</x:v>
      </x:c>
      <x:c r="B98" s="9" t="str">
        <x:v>State Recognition</x:v>
      </x:c>
      <x:c r="C98" s="10" t="n">
        <x:v>96</x:v>
      </x:c>
      <x:c r="D98" s="9" t="str">
        <x:v>Place the upside-down white cup in the bowl.</x:v>
      </x:c>
      <x:c r="E98" s="9" t="str">
        <x:v>white cup A (O, UD); white cup B (O, RU)</x:v>
      </x:c>
      <x:c r="F98" s="9" t="str">
        <x:v>white cup A</x:v>
      </x:c>
      <x:c r="G98" s="9" t="str">
        <x:v>picked upright white cup</x:v>
      </x:c>
      <x:c r="H98" s="9" t="str">
        <x:v>Concept/compositional transfer</x:v>
      </x:c>
      <x:c r="I98" s="9" t="str">
        <x:v>SR-CT37</x:v>
      </x:c>
      <x:c r="J98" s="9" t="str">
        <x:v>Primary held-out state-object composition</x:v>
      </x:c>
      <x:c r="K98" s="9"/>
      <x:c r="L98" s="9" t="str">
        <x:v>30</x:v>
      </x:c>
      <x:c r="M98" s="9" t="str">
        <x:v>Physical-state and manipulation-trajectory reference under a direct category prompt; the evaluated state word × object-category cell is intentionally absent from training.</x:v>
      </x:c>
      <x:c r="N98" s="9" t="n">
        <x:v>4</x:v>
      </x:c>
      <x:c r="O98" s="9" t="str">
        <x:v>Build the listed same-category discrimination scene with the bowl empty.</x:v>
      </x:c>
      <x:c r="P98" s="9" t="str">
        <x:v>Two same-category candidates share the non-queried state axis; only the held-out state word identifies the target. The same-category candidates share the orthogonal C/O state (O).</x:v>
      </x:c>
      <x:c r="Q98" s="9"/>
      <x:c r="R98" s="10" t="n">
        <x:v>2</x:v>
      </x:c>
      <x:c r="S98" s="10" t="n">
        <x:v>1</x:v>
      </x:c>
      <x:c r="T98" s="9" t="str">
        <x:v>Empty</x:v>
      </x:c>
      <x:c r="U98" s="9" t="str">
        <x:v>UD</x:v>
      </x:c>
      <x:c r="V98" s="9" t="str">
        <x:v>white cup</x:v>
      </x:c>
      <x:c r="W98" s="9"/>
      <x:c r="X98" s="10"/>
      <x:c r="Y98" s="10"/>
      <x:c r="Z98" s="9"/>
      <x:c r="AA98" s="9"/>
      <x:c r="AB98" s="9"/>
      <x:c r="AC98" s="9"/>
      <x:c r="AD98" s="9"/>
      <x:c r="AE98" s="9"/>
      <x:c r="AF98" s="9"/>
      <x:c r="AG98" s="9"/>
      <x:c r="AH98" s="9"/>
      <x:c r="AI98" s="11"/>
      <x:c r="AJ98" s="9"/>
      <x:c r="AK98" s="9" t="str">
        <x:v>Eval_State_Recognition.xlsm</x:v>
      </x:c>
      <x:c r="AL98" s="9" t="str">
        <x:v>pi0.5 Results</x:v>
      </x:c>
      <x:c r="AM98" s="9" t="n">
        <x:v>98</x:v>
      </x:c>
      <x:c r="AN98" s="9" t="n">
        <x:v>98</x:v>
      </x:c>
    </x:row>
    <x:row r="99">
      <x:c r="A99" s="9" t="str">
        <x:v>Failure</x:v>
      </x:c>
      <x:c r="B99" s="9" t="str">
        <x:v>State Recognition</x:v>
      </x:c>
      <x:c r="C99" s="10" t="n">
        <x:v>97</x:v>
      </x:c>
      <x:c r="D99" s="9" t="str">
        <x:v>Place the open yellow-white striped cup in the bowl.</x:v>
      </x:c>
      <x:c r="E99" s="9" t="str">
        <x:v>yellow-white striped cup B (O, RU); yellow-white striped cup A (C, RU); brown cup B (O, RU)</x:v>
      </x:c>
      <x:c r="F99" s="9" t="str">
        <x:v>yellow-white striped cup B</x:v>
      </x:c>
      <x:c r="G99" s="9" t="str">
        <x:v>picked the closed yellow-white striped cup</x:v>
      </x:c>
      <x:c r="H99" s="9" t="str">
        <x:v>Concept/compositional transfer</x:v>
      </x:c>
      <x:c r="I99" s="9" t="str">
        <x:v>SR-CT38</x:v>
      </x:c>
      <x:c r="J99" s="9" t="str">
        <x:v>Primary held-out state-object composition</x:v>
      </x:c>
      <x:c r="K99" s="9"/>
      <x:c r="L99" s="9" t="str">
        <x:v>53</x:v>
      </x:c>
      <x:c r="M99"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99" s="9" t="n">
        <x:v>4</x:v>
      </x:c>
      <x:c r="O99" s="9" t="str">
        <x:v>Build the listed same-category discrimination scene with the bowl empty.</x:v>
      </x:c>
      <x:c r="P99" s="9" t="str">
        <x:v>Two same-category candidates share the non-queried state axis; only the held-out state word identifies the target. The orthogonal orientation axis is fixed: every object is RU.</x:v>
      </x:c>
      <x:c r="Q99" s="9"/>
      <x:c r="R99" s="10" t="n">
        <x:v>3</x:v>
      </x:c>
      <x:c r="S99" s="10" t="n">
        <x:v>1</x:v>
      </x:c>
      <x:c r="T99" s="9" t="str">
        <x:v>Empty</x:v>
      </x:c>
      <x:c r="U99" s="9" t="str">
        <x:v>O</x:v>
      </x:c>
      <x:c r="V99" s="9" t="str">
        <x:v>yellow-white striped cup</x:v>
      </x:c>
      <x:c r="W99" s="9"/>
      <x:c r="X99" s="10"/>
      <x:c r="Y99" s="10"/>
      <x:c r="Z99" s="9"/>
      <x:c r="AA99" s="9"/>
      <x:c r="AB99" s="9"/>
      <x:c r="AC99" s="9"/>
      <x:c r="AD99" s="9"/>
      <x:c r="AE99" s="9"/>
      <x:c r="AF99" s="9"/>
      <x:c r="AG99" s="9"/>
      <x:c r="AH99" s="9"/>
      <x:c r="AI99" s="11"/>
      <x:c r="AJ99" s="9"/>
      <x:c r="AK99" s="9" t="str">
        <x:v>Eval_State_Recognition.xlsm</x:v>
      </x:c>
      <x:c r="AL99" s="9" t="str">
        <x:v>pi0.5 Results</x:v>
      </x:c>
      <x:c r="AM99" s="9" t="n">
        <x:v>99</x:v>
      </x:c>
      <x:c r="AN99" s="9" t="n">
        <x:v>99</x:v>
      </x:c>
    </x:row>
    <x:row r="100">
      <x:c r="A100" s="9" t="str">
        <x:v>Failure</x:v>
      </x:c>
      <x:c r="B100" s="9" t="str">
        <x:v>State Recognition</x:v>
      </x:c>
      <x:c r="C100" s="10" t="n">
        <x:v>98</x:v>
      </x:c>
      <x:c r="D100" s="9" t="str">
        <x:v>Place the closed brown cup in the bowl.</x:v>
      </x:c>
      <x:c r="E100" s="9" t="str">
        <x:v>brown cup A (C, RU); brown cup B (O, RU); glass spice container A (C, RU); white cup B (O, RU)</x:v>
      </x:c>
      <x:c r="F100" s="9" t="str">
        <x:v>brown cup A</x:v>
      </x:c>
      <x:c r="G100" s="9" t="str">
        <x:v>picked open brown cup</x:v>
      </x:c>
      <x:c r="H100" s="9" t="str">
        <x:v>Concept/compositional transfer</x:v>
      </x:c>
      <x:c r="I100" s="9" t="str">
        <x:v>SR-CT39</x:v>
      </x:c>
      <x:c r="J100" s="9" t="str">
        <x:v>Primary held-out state-object composition</x:v>
      </x:c>
      <x:c r="K100" s="9"/>
      <x:c r="L100" s="9" t="str">
        <x:v>107</x:v>
      </x:c>
      <x:c r="M100"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100" s="9" t="n">
        <x:v>4</x:v>
      </x:c>
      <x:c r="O100" s="9" t="str">
        <x:v>Build the listed same-category discrimination scene with the bowl empty.</x:v>
      </x:c>
      <x:c r="P100" s="9" t="str">
        <x:v>Two same-category candidates share the non-queried state axis; only the held-out state word identifies the target. The orthogonal orientation axis is fixed: every object is RU.</x:v>
      </x:c>
      <x:c r="Q100" s="9"/>
      <x:c r="R100" s="10" t="n">
        <x:v>4</x:v>
      </x:c>
      <x:c r="S100" s="10" t="n">
        <x:v>1</x:v>
      </x:c>
      <x:c r="T100" s="9" t="str">
        <x:v>Empty</x:v>
      </x:c>
      <x:c r="U100" s="9" t="str">
        <x:v>C</x:v>
      </x:c>
      <x:c r="V100" s="9" t="str">
        <x:v>brown cup</x:v>
      </x:c>
      <x:c r="W100" s="9"/>
      <x:c r="X100" s="10"/>
      <x:c r="Y100" s="10"/>
      <x:c r="Z100" s="9"/>
      <x:c r="AA100" s="9"/>
      <x:c r="AB100" s="9"/>
      <x:c r="AC100" s="9"/>
      <x:c r="AD100" s="9"/>
      <x:c r="AE100" s="9"/>
      <x:c r="AF100" s="9"/>
      <x:c r="AG100" s="9"/>
      <x:c r="AH100" s="9"/>
      <x:c r="AI100" s="11"/>
      <x:c r="AJ100" s="9"/>
      <x:c r="AK100" s="9" t="str">
        <x:v>Eval_State_Recognition.xlsm</x:v>
      </x:c>
      <x:c r="AL100" s="9" t="str">
        <x:v>pi0.5 Results</x:v>
      </x:c>
      <x:c r="AM100" s="9" t="n">
        <x:v>100</x:v>
      </x:c>
      <x:c r="AN100" s="9" t="n">
        <x:v>100</x:v>
      </x:c>
    </x:row>
    <x:row r="101">
      <x:c r="A101" s="9" t="str">
        <x:v>Failure</x:v>
      </x:c>
      <x:c r="B101" s="9" t="str">
        <x:v>State Recognition</x:v>
      </x:c>
      <x:c r="C101" s="10" t="n">
        <x:v>99</x:v>
      </x:c>
      <x:c r="D101" s="9" t="str">
        <x:v>Place the upright glass spice container in the bowl.</x:v>
      </x:c>
      <x:c r="E101" s="9" t="str">
        <x:v>glass spice container B (O, RU); glass spice container A (O, UD)</x:v>
      </x:c>
      <x:c r="F101" s="9" t="str">
        <x:v>glass spice container B</x:v>
      </x:c>
      <x:c r="G101" s="9" t="str">
        <x:v>picked upside down jar</x:v>
      </x:c>
      <x:c r="H101" s="9" t="str">
        <x:v>Concept/compositional transfer</x:v>
      </x:c>
      <x:c r="I101" s="9" t="str">
        <x:v>SR-CT40</x:v>
      </x:c>
      <x:c r="J101" s="9" t="str">
        <x:v>Primary held-out state-object composition</x:v>
      </x:c>
      <x:c r="K101" s="9"/>
      <x:c r="L101" s="9" t="str">
        <x:v>153</x:v>
      </x:c>
      <x:c r="M101" s="9" t="str">
        <x:v>Physical-state and manipulation-trajectory reference under a direct category prompt; the evaluated state word × object-category cell is intentionally absent from training.</x:v>
      </x:c>
      <x:c r="N101" s="9" t="n">
        <x:v>4</x:v>
      </x:c>
      <x:c r="O101" s="9" t="str">
        <x:v>Build the listed same-category discrimination scene with the bowl empty.</x:v>
      </x:c>
      <x:c r="P101" s="9" t="str">
        <x:v>Two same-category candidates share the non-queried state axis; only the held-out state word identifies the target. The same-category candidates share the orthogonal C/O state (O).</x:v>
      </x:c>
      <x:c r="Q101" s="9"/>
      <x:c r="R101" s="10" t="n">
        <x:v>2</x:v>
      </x:c>
      <x:c r="S101" s="10" t="n">
        <x:v>1</x:v>
      </x:c>
      <x:c r="T101" s="9" t="str">
        <x:v>Empty</x:v>
      </x:c>
      <x:c r="U101" s="9" t="str">
        <x:v>RU</x:v>
      </x:c>
      <x:c r="V101" s="9" t="str">
        <x:v>glass spice container</x:v>
      </x:c>
      <x:c r="W101" s="9"/>
      <x:c r="X101" s="10"/>
      <x:c r="Y101" s="10"/>
      <x:c r="Z101" s="9"/>
      <x:c r="AA101" s="9"/>
      <x:c r="AB101" s="9"/>
      <x:c r="AC101" s="9"/>
      <x:c r="AD101" s="9"/>
      <x:c r="AE101" s="9"/>
      <x:c r="AF101" s="9"/>
      <x:c r="AG101" s="9"/>
      <x:c r="AH101" s="9"/>
      <x:c r="AI101" s="11"/>
      <x:c r="AJ101" s="9"/>
      <x:c r="AK101" s="9" t="str">
        <x:v>Eval_State_Recognition.xlsm</x:v>
      </x:c>
      <x:c r="AL101" s="9" t="str">
        <x:v>pi0.5 Results</x:v>
      </x:c>
      <x:c r="AM101" s="9" t="n">
        <x:v>101</x:v>
      </x:c>
      <x:c r="AN101" s="9" t="n">
        <x:v>101</x:v>
      </x:c>
    </x:row>
    <x:row r="102">
      <x:c r="A102" s="9" t="str">
        <x:v>Success</x:v>
      </x:c>
      <x:c r="B102" s="9" t="str">
        <x:v>State Recognition</x:v>
      </x:c>
      <x:c r="C102" s="10" t="n">
        <x:v>100</x:v>
      </x:c>
      <x:c r="D102" s="9" t="str">
        <x:v>Place the upside-down white cup in the bowl.</x:v>
      </x:c>
      <x:c r="E102" s="9" t="str">
        <x:v>white cup A (C, UD); white cup B (C, RU); brown cup A (C, RU)</x:v>
      </x:c>
      <x:c r="F102" s="9" t="str">
        <x:v>white cup A</x:v>
      </x:c>
      <x:c r="G102" s="9" t="str">
        <x:v>placed the upside down cup right in front of the robot</x:v>
      </x:c>
      <x:c r="H102" s="9" t="str">
        <x:v>Concept/compositional transfer</x:v>
      </x:c>
      <x:c r="I102" s="9" t="str">
        <x:v>SR-CT41</x:v>
      </x:c>
      <x:c r="J102" s="9" t="str">
        <x:v>Primary held-out state-object composition</x:v>
      </x:c>
      <x:c r="K102" s="9"/>
      <x:c r="L102" s="9" t="str">
        <x:v>39</x:v>
      </x:c>
      <x:c r="M102" s="9" t="str">
        <x:v>Physical-state and manipulation-trajectory reference under a direct category prompt; the evaluated state word × object-category cell is intentionally absent from training.</x:v>
      </x:c>
      <x:c r="N102" s="9" t="n">
        <x:v>4</x:v>
      </x:c>
      <x:c r="O102" s="9" t="str">
        <x:v>Build the listed same-category discrimination scene with the bowl empty.</x:v>
      </x:c>
      <x:c r="P102" s="9" t="str">
        <x:v>Two same-category candidates share the non-queried state axis; only the held-out state word identifies the target. The same-category candidates share the orthogonal C/O state (C).</x:v>
      </x:c>
      <x:c r="Q102" s="9"/>
      <x:c r="R102" s="10" t="n">
        <x:v>3</x:v>
      </x:c>
      <x:c r="S102" s="10" t="n">
        <x:v>1</x:v>
      </x:c>
      <x:c r="T102" s="9" t="str">
        <x:v>Empty</x:v>
      </x:c>
      <x:c r="U102" s="9" t="str">
        <x:v>UD</x:v>
      </x:c>
      <x:c r="V102" s="9" t="str">
        <x:v>white cup</x:v>
      </x:c>
      <x:c r="W102" s="9"/>
      <x:c r="X102" s="10"/>
      <x:c r="Y102" s="10"/>
      <x:c r="Z102" s="9"/>
      <x:c r="AA102" s="9"/>
      <x:c r="AB102" s="9"/>
      <x:c r="AC102" s="9"/>
      <x:c r="AD102" s="9"/>
      <x:c r="AE102" s="9"/>
      <x:c r="AF102" s="9"/>
      <x:c r="AG102" s="9"/>
      <x:c r="AH102" s="9"/>
      <x:c r="AI102" s="11"/>
      <x:c r="AJ102" s="9"/>
      <x:c r="AK102" s="9" t="str">
        <x:v>Eval_State_Recognition.xlsm</x:v>
      </x:c>
      <x:c r="AL102" s="9" t="str">
        <x:v>pi0.5 Results</x:v>
      </x:c>
      <x:c r="AM102" s="9" t="n">
        <x:v>102</x:v>
      </x:c>
      <x:c r="AN102" s="9" t="n">
        <x:v>102</x:v>
      </x:c>
    </x:row>
    <x:row r="103">
      <x:c r="A103" s="9" t="str">
        <x:v>Success</x:v>
      </x:c>
      <x:c r="B103" s="9" t="str">
        <x:v>State Recognition</x:v>
      </x:c>
      <x:c r="C103" s="10" t="n">
        <x:v>101</x:v>
      </x:c>
      <x:c r="D103" s="9" t="str">
        <x:v>Place the open yellow-white striped cup in the bowl.</x:v>
      </x:c>
      <x:c r="E103" s="9" t="str">
        <x:v>yellow-white striped cup B (O, RU); yellow-white striped cup A (C, RU); glass spice container B (O, RU); white cup A (C, RU)</x:v>
      </x:c>
      <x:c r="F103" s="9" t="str">
        <x:v>yellow-white striped cup B</x:v>
      </x:c>
      <x:c r="G103" s="9" t="str">
        <x:v>also placed target in front of the robot</x:v>
      </x:c>
      <x:c r="H103" s="9" t="str">
        <x:v>Concept/compositional transfer</x:v>
      </x:c>
      <x:c r="I103" s="9" t="str">
        <x:v>SR-CT42</x:v>
      </x:c>
      <x:c r="J103" s="9" t="str">
        <x:v>Primary held-out state-object composition</x:v>
      </x:c>
      <x:c r="K103" s="9"/>
      <x:c r="L103" s="9" t="str">
        <x:v>72</x:v>
      </x:c>
      <x:c r="M103"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103" s="9" t="n">
        <x:v>4</x:v>
      </x:c>
      <x:c r="O103" s="9" t="str">
        <x:v>Build the listed same-category discrimination scene with the bowl empty.</x:v>
      </x:c>
      <x:c r="P103" s="9" t="str">
        <x:v>Two same-category candidates share the non-queried state axis; only the held-out state word identifies the target. The orthogonal orientation axis is fixed: every object is RU.</x:v>
      </x:c>
      <x:c r="Q103" s="9"/>
      <x:c r="R103" s="10" t="n">
        <x:v>4</x:v>
      </x:c>
      <x:c r="S103" s="10" t="n">
        <x:v>1</x:v>
      </x:c>
      <x:c r="T103" s="9" t="str">
        <x:v>Empty</x:v>
      </x:c>
      <x:c r="U103" s="9" t="str">
        <x:v>O</x:v>
      </x:c>
      <x:c r="V103" s="9" t="str">
        <x:v>yellow-white striped cup</x:v>
      </x:c>
      <x:c r="W103" s="9"/>
      <x:c r="X103" s="10"/>
      <x:c r="Y103" s="10"/>
      <x:c r="Z103" s="9"/>
      <x:c r="AA103" s="9"/>
      <x:c r="AB103" s="9"/>
      <x:c r="AC103" s="9"/>
      <x:c r="AD103" s="9"/>
      <x:c r="AE103" s="9"/>
      <x:c r="AF103" s="9"/>
      <x:c r="AG103" s="9"/>
      <x:c r="AH103" s="9"/>
      <x:c r="AI103" s="11"/>
      <x:c r="AJ103" s="9"/>
      <x:c r="AK103" s="9" t="str">
        <x:v>Eval_State_Recognition.xlsm</x:v>
      </x:c>
      <x:c r="AL103" s="9" t="str">
        <x:v>pi0.5 Results</x:v>
      </x:c>
      <x:c r="AM103" s="9" t="n">
        <x:v>103</x:v>
      </x:c>
      <x:c r="AN103" s="9" t="n">
        <x:v>103</x:v>
      </x:c>
    </x:row>
    <x:row r="104">
      <x:c r="A104" s="9" t="str">
        <x:v>Failure</x:v>
      </x:c>
      <x:c r="B104" s="9" t="str">
        <x:v>State Recognition</x:v>
      </x:c>
      <x:c r="C104" s="10" t="n">
        <x:v>102</x:v>
      </x:c>
      <x:c r="D104" s="9" t="str">
        <x:v>Place the closed brown cup in the bowl.</x:v>
      </x:c>
      <x:c r="E104" s="9" t="str">
        <x:v>brown cup A (C, RU); brown cup B (O, RU)</x:v>
      </x:c>
      <x:c r="F104" s="9" t="str">
        <x:v>brown cup A</x:v>
      </x:c>
      <x:c r="G104" s="9" t="str">
        <x:v>picked open brown cup</x:v>
      </x:c>
      <x:c r="H104" s="9" t="str">
        <x:v>Concept/compositional transfer</x:v>
      </x:c>
      <x:c r="I104" s="9" t="str">
        <x:v>SR-CT43</x:v>
      </x:c>
      <x:c r="J104" s="9" t="str">
        <x:v>Primary held-out state-object composition</x:v>
      </x:c>
      <x:c r="K104" s="9"/>
      <x:c r="L104" s="9" t="str">
        <x:v>102</x:v>
      </x:c>
      <x:c r="M104"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104" s="9" t="n">
        <x:v>4</x:v>
      </x:c>
      <x:c r="O104" s="9" t="str">
        <x:v>Build the listed same-category discrimination scene with the bowl empty.</x:v>
      </x:c>
      <x:c r="P104" s="9" t="str">
        <x:v>Two same-category candidates share the non-queried state axis; only the held-out state word identifies the target. The orthogonal orientation axis is fixed: every object is RU.</x:v>
      </x:c>
      <x:c r="Q104" s="9"/>
      <x:c r="R104" s="10" t="n">
        <x:v>2</x:v>
      </x:c>
      <x:c r="S104" s="10" t="n">
        <x:v>1</x:v>
      </x:c>
      <x:c r="T104" s="9" t="str">
        <x:v>Empty</x:v>
      </x:c>
      <x:c r="U104" s="9" t="str">
        <x:v>C</x:v>
      </x:c>
      <x:c r="V104" s="9" t="str">
        <x:v>brown cup</x:v>
      </x:c>
      <x:c r="W104" s="9"/>
      <x:c r="X104" s="10"/>
      <x:c r="Y104" s="10"/>
      <x:c r="Z104" s="9"/>
      <x:c r="AA104" s="9"/>
      <x:c r="AB104" s="9"/>
      <x:c r="AC104" s="9"/>
      <x:c r="AD104" s="9"/>
      <x:c r="AE104" s="9"/>
      <x:c r="AF104" s="9"/>
      <x:c r="AG104" s="9"/>
      <x:c r="AH104" s="9"/>
      <x:c r="AI104" s="11"/>
      <x:c r="AJ104" s="9"/>
      <x:c r="AK104" s="9" t="str">
        <x:v>Eval_State_Recognition.xlsm</x:v>
      </x:c>
      <x:c r="AL104" s="9" t="str">
        <x:v>pi0.5 Results</x:v>
      </x:c>
      <x:c r="AM104" s="9" t="n">
        <x:v>104</x:v>
      </x:c>
      <x:c r="AN104" s="9" t="n">
        <x:v>104</x:v>
      </x:c>
    </x:row>
    <x:row r="105">
      <x:c r="A105" s="9" t="str">
        <x:v>Failure</x:v>
      </x:c>
      <x:c r="B105" s="9" t="str">
        <x:v>State Recognition</x:v>
      </x:c>
      <x:c r="C105" s="10" t="n">
        <x:v>103</x:v>
      </x:c>
      <x:c r="D105" s="9" t="str">
        <x:v>Place the upright glass spice container in the bowl.</x:v>
      </x:c>
      <x:c r="E105" s="9" t="str">
        <x:v>glass spice container B (C, RU); glass spice container A (C, UD); yellow-white striped cup B (O, UD)</x:v>
      </x:c>
      <x:c r="F105" s="9" t="str">
        <x:v>glass spice container B</x:v>
      </x:c>
      <x:c r="G105" s="9" t="str">
        <x:v>picked upside down jar</x:v>
      </x:c>
      <x:c r="H105" s="9" t="str">
        <x:v>Concept/compositional transfer</x:v>
      </x:c>
      <x:c r="I105" s="9" t="str">
        <x:v>SR-CT44</x:v>
      </x:c>
      <x:c r="J105" s="9" t="str">
        <x:v>Primary held-out state-object composition</x:v>
      </x:c>
      <x:c r="K105" s="9"/>
      <x:c r="L105" s="9" t="str">
        <x:v>172</x:v>
      </x:c>
      <x:c r="M105" s="9" t="str">
        <x:v>Physical-state and manipulation-trajectory reference under a direct category prompt; the evaluated state word × object-category cell is intentionally absent from training.</x:v>
      </x:c>
      <x:c r="N105" s="9" t="n">
        <x:v>4</x:v>
      </x:c>
      <x:c r="O105" s="9" t="str">
        <x:v>Build the listed same-category discrimination scene with the bowl empty.</x:v>
      </x:c>
      <x:c r="P105" s="9" t="str">
        <x:v>Two same-category candidates share the non-queried state axis; only the held-out state word identifies the target. The same-category candidates share the orthogonal C/O state (C).</x:v>
      </x:c>
      <x:c r="Q105" s="9"/>
      <x:c r="R105" s="10" t="n">
        <x:v>3</x:v>
      </x:c>
      <x:c r="S105" s="10" t="n">
        <x:v>1</x:v>
      </x:c>
      <x:c r="T105" s="9" t="str">
        <x:v>Empty</x:v>
      </x:c>
      <x:c r="U105" s="9" t="str">
        <x:v>RU</x:v>
      </x:c>
      <x:c r="V105" s="9" t="str">
        <x:v>glass spice container</x:v>
      </x:c>
      <x:c r="W105" s="9"/>
      <x:c r="X105" s="10"/>
      <x:c r="Y105" s="10"/>
      <x:c r="Z105" s="9"/>
      <x:c r="AA105" s="9"/>
      <x:c r="AB105" s="9"/>
      <x:c r="AC105" s="9"/>
      <x:c r="AD105" s="9"/>
      <x:c r="AE105" s="9"/>
      <x:c r="AF105" s="9"/>
      <x:c r="AG105" s="9"/>
      <x:c r="AH105" s="9"/>
      <x:c r="AI105" s="11"/>
      <x:c r="AJ105" s="9"/>
      <x:c r="AK105" s="9" t="str">
        <x:v>Eval_State_Recognition.xlsm</x:v>
      </x:c>
      <x:c r="AL105" s="9" t="str">
        <x:v>pi0.5 Results</x:v>
      </x:c>
      <x:c r="AM105" s="9" t="n">
        <x:v>105</x:v>
      </x:c>
      <x:c r="AN105" s="9" t="n">
        <x:v>105</x:v>
      </x:c>
    </x:row>
    <x:row r="106">
      <x:c r="A106" s="9" t="str">
        <x:v>Failure</x:v>
      </x:c>
      <x:c r="B106" s="9" t="str">
        <x:v>State Recognition</x:v>
      </x:c>
      <x:c r="C106" s="10" t="n">
        <x:v>104</x:v>
      </x:c>
      <x:c r="D106" s="9" t="str">
        <x:v>Place the upside-down white cup in the bowl.</x:v>
      </x:c>
      <x:c r="E106" s="9" t="str">
        <x:v>white cup A (O, UD); white cup B (O, RU); glass spice container A (C, RU); yellow-white striped cup B (O, RU)</x:v>
      </x:c>
      <x:c r="F106" s="9" t="str">
        <x:v>white cup A</x:v>
      </x:c>
      <x:c r="G106" s="9" t="str">
        <x:v>picked upright whtie cup</x:v>
      </x:c>
      <x:c r="H106" s="9" t="str">
        <x:v>Concept/compositional transfer</x:v>
      </x:c>
      <x:c r="I106" s="9" t="str">
        <x:v>SR-CT45</x:v>
      </x:c>
      <x:c r="J106" s="9" t="str">
        <x:v>Primary held-out state-object composition</x:v>
      </x:c>
      <x:c r="K106" s="9"/>
      <x:c r="L106" s="9" t="str">
        <x:v>32</x:v>
      </x:c>
      <x:c r="M106" s="9" t="str">
        <x:v>Physical-state and manipulation-trajectory reference under a direct category prompt; the evaluated state word × object-category cell is intentionally absent from training.</x:v>
      </x:c>
      <x:c r="N106" s="9" t="n">
        <x:v>4</x:v>
      </x:c>
      <x:c r="O106" s="9" t="str">
        <x:v>Build the listed same-category discrimination scene with the bowl empty.</x:v>
      </x:c>
      <x:c r="P106" s="9" t="str">
        <x:v>Two same-category candidates share the non-queried state axis; only the held-out state word identifies the target. The same-category candidates share the orthogonal C/O state (O).</x:v>
      </x:c>
      <x:c r="Q106" s="9"/>
      <x:c r="R106" s="10" t="n">
        <x:v>4</x:v>
      </x:c>
      <x:c r="S106" s="10" t="n">
        <x:v>1</x:v>
      </x:c>
      <x:c r="T106" s="9" t="str">
        <x:v>Empty</x:v>
      </x:c>
      <x:c r="U106" s="9" t="str">
        <x:v>UD</x:v>
      </x:c>
      <x:c r="V106" s="9" t="str">
        <x:v>white cup</x:v>
      </x:c>
      <x:c r="W106" s="9"/>
      <x:c r="X106" s="10"/>
      <x:c r="Y106" s="10"/>
      <x:c r="Z106" s="9"/>
      <x:c r="AA106" s="9"/>
      <x:c r="AB106" s="9"/>
      <x:c r="AC106" s="9"/>
      <x:c r="AD106" s="9"/>
      <x:c r="AE106" s="9"/>
      <x:c r="AF106" s="9"/>
      <x:c r="AG106" s="9"/>
      <x:c r="AH106" s="9"/>
      <x:c r="AI106" s="11"/>
      <x:c r="AJ106" s="9"/>
      <x:c r="AK106" s="9" t="str">
        <x:v>Eval_State_Recognition.xlsm</x:v>
      </x:c>
      <x:c r="AL106" s="9" t="str">
        <x:v>pi0.5 Results</x:v>
      </x:c>
      <x:c r="AM106" s="9" t="n">
        <x:v>106</x:v>
      </x:c>
      <x:c r="AN106" s="9" t="n">
        <x:v>106</x:v>
      </x:c>
    </x:row>
    <x:row r="107">
      <x:c r="A107" s="9" t="str">
        <x:v>Success</x:v>
      </x:c>
      <x:c r="B107" s="9" t="str">
        <x:v>State Recognition</x:v>
      </x:c>
      <x:c r="C107" s="10" t="n">
        <x:v>105</x:v>
      </x:c>
      <x:c r="D107" s="9" t="str">
        <x:v>Place the open yellow-white striped cup in the bowl.</x:v>
      </x:c>
      <x:c r="E107" s="9" t="str">
        <x:v>yellow-white striped cup B (O, RU); yellow-white striped cup A (C, RU)</x:v>
      </x:c>
      <x:c r="F107" s="9" t="str">
        <x:v>yellow-white striped cup B</x:v>
      </x:c>
      <x:c r="G107" s="9"/>
      <x:c r="H107" s="9" t="str">
        <x:v>Concept/compositional transfer</x:v>
      </x:c>
      <x:c r="I107" s="9" t="str">
        <x:v>SR-CT46</x:v>
      </x:c>
      <x:c r="J107" s="9" t="str">
        <x:v>Primary held-out state-object composition</x:v>
      </x:c>
      <x:c r="K107" s="9"/>
      <x:c r="L107" s="9" t="str">
        <x:v>53</x:v>
      </x:c>
      <x:c r="M107"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107" s="9" t="n">
        <x:v>4</x:v>
      </x:c>
      <x:c r="O107" s="9" t="str">
        <x:v>Build the listed same-category discrimination scene with the bowl empty.</x:v>
      </x:c>
      <x:c r="P107" s="9" t="str">
        <x:v>Two same-category candidates share the non-queried state axis; only the held-out state word identifies the target. The orthogonal orientation axis is fixed: every object is RU.</x:v>
      </x:c>
      <x:c r="Q107" s="9"/>
      <x:c r="R107" s="10" t="n">
        <x:v>2</x:v>
      </x:c>
      <x:c r="S107" s="10" t="n">
        <x:v>1</x:v>
      </x:c>
      <x:c r="T107" s="9" t="str">
        <x:v>Empty</x:v>
      </x:c>
      <x:c r="U107" s="9" t="str">
        <x:v>O</x:v>
      </x:c>
      <x:c r="V107" s="9" t="str">
        <x:v>yellow-white striped cup</x:v>
      </x:c>
      <x:c r="W107" s="9"/>
      <x:c r="X107" s="10"/>
      <x:c r="Y107" s="10"/>
      <x:c r="Z107" s="9"/>
      <x:c r="AA107" s="9"/>
      <x:c r="AB107" s="9"/>
      <x:c r="AC107" s="9"/>
      <x:c r="AD107" s="9"/>
      <x:c r="AE107" s="9"/>
      <x:c r="AF107" s="9"/>
      <x:c r="AG107" s="9"/>
      <x:c r="AH107" s="9"/>
      <x:c r="AI107" s="11"/>
      <x:c r="AJ107" s="9"/>
      <x:c r="AK107" s="9" t="str">
        <x:v>Eval_State_Recognition.xlsm</x:v>
      </x:c>
      <x:c r="AL107" s="9" t="str">
        <x:v>pi0.5 Results</x:v>
      </x:c>
      <x:c r="AM107" s="9" t="n">
        <x:v>107</x:v>
      </x:c>
      <x:c r="AN107" s="9" t="n">
        <x:v>107</x:v>
      </x:c>
    </x:row>
    <x:row r="108">
      <x:c r="A108" s="9" t="str">
        <x:v>Failure</x:v>
      </x:c>
      <x:c r="B108" s="9" t="str">
        <x:v>State Recognition</x:v>
      </x:c>
      <x:c r="C108" s="10" t="n">
        <x:v>106</x:v>
      </x:c>
      <x:c r="D108" s="9" t="str">
        <x:v>Place the closed brown cup in the bowl.</x:v>
      </x:c>
      <x:c r="E108" s="9" t="str">
        <x:v>brown cup A (C, RU); brown cup B (O, RU); yellow-white striped cup A (C, RU)</x:v>
      </x:c>
      <x:c r="F108" s="9" t="str">
        <x:v>brown cup A</x:v>
      </x:c>
      <x:c r="G108" s="9" t="str">
        <x:v>placed the open brown cup</x:v>
      </x:c>
      <x:c r="H108" s="9" t="str">
        <x:v>Concept/compositional transfer</x:v>
      </x:c>
      <x:c r="I108" s="9" t="str">
        <x:v>SR-CT47</x:v>
      </x:c>
      <x:c r="J108" s="9" t="str">
        <x:v>Primary held-out state-object composition</x:v>
      </x:c>
      <x:c r="K108" s="9"/>
      <x:c r="L108" s="9" t="str">
        <x:v>129</x:v>
      </x:c>
      <x:c r="M108"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108" s="9" t="n">
        <x:v>4</x:v>
      </x:c>
      <x:c r="O108" s="9" t="str">
        <x:v>Build the listed same-category discrimination scene with the bowl empty.</x:v>
      </x:c>
      <x:c r="P108" s="9" t="str">
        <x:v>Two same-category candidates share the non-queried state axis; only the held-out state word identifies the target. The orthogonal orientation axis is fixed: every object is RU.</x:v>
      </x:c>
      <x:c r="Q108" s="9"/>
      <x:c r="R108" s="10" t="n">
        <x:v>3</x:v>
      </x:c>
      <x:c r="S108" s="10" t="n">
        <x:v>1</x:v>
      </x:c>
      <x:c r="T108" s="9" t="str">
        <x:v>Empty</x:v>
      </x:c>
      <x:c r="U108" s="9" t="str">
        <x:v>C</x:v>
      </x:c>
      <x:c r="V108" s="9" t="str">
        <x:v>brown cup</x:v>
      </x:c>
      <x:c r="W108" s="9"/>
      <x:c r="X108" s="10"/>
      <x:c r="Y108" s="10"/>
      <x:c r="Z108" s="9"/>
      <x:c r="AA108" s="9"/>
      <x:c r="AB108" s="9"/>
      <x:c r="AC108" s="9"/>
      <x:c r="AD108" s="9"/>
      <x:c r="AE108" s="9"/>
      <x:c r="AF108" s="9"/>
      <x:c r="AG108" s="9"/>
      <x:c r="AH108" s="9"/>
      <x:c r="AI108" s="11"/>
      <x:c r="AJ108" s="9"/>
      <x:c r="AK108" s="9" t="str">
        <x:v>Eval_State_Recognition.xlsm</x:v>
      </x:c>
      <x:c r="AL108" s="9" t="str">
        <x:v>pi0.5 Results</x:v>
      </x:c>
      <x:c r="AM108" s="9" t="n">
        <x:v>108</x:v>
      </x:c>
      <x:c r="AN108" s="9" t="n">
        <x:v>108</x:v>
      </x:c>
    </x:row>
    <x:row r="109">
      <x:c r="A109" s="9" t="str">
        <x:v>Failure</x:v>
      </x:c>
      <x:c r="B109" s="9" t="str">
        <x:v>State Recognition</x:v>
      </x:c>
      <x:c r="C109" s="10" t="n">
        <x:v>107</x:v>
      </x:c>
      <x:c r="D109" s="9" t="str">
        <x:v>Place the upright glass spice container in the bowl.</x:v>
      </x:c>
      <x:c r="E109" s="9" t="str">
        <x:v>glass spice container B (O, RU); glass spice container A (O, UD); brown cup B (O, UD); white cup A (C, RU)</x:v>
      </x:c>
      <x:c r="F109" s="9" t="str">
        <x:v>glass spice container B</x:v>
      </x:c>
      <x:c r="G109" s="9" t="str">
        <x:v>picked the upside down glass jar</x:v>
      </x:c>
      <x:c r="H109" s="9" t="str">
        <x:v>Concept/compositional transfer</x:v>
      </x:c>
      <x:c r="I109" s="9" t="str">
        <x:v>SR-CT48</x:v>
      </x:c>
      <x:c r="J109" s="9" t="str">
        <x:v>Primary held-out state-object composition</x:v>
      </x:c>
      <x:c r="K109" s="9"/>
      <x:c r="L109" s="9" t="str">
        <x:v>157</x:v>
      </x:c>
      <x:c r="M109" s="9" t="str">
        <x:v>Physical-state and manipulation-trajectory reference under a direct category prompt; the evaluated state word × object-category cell is intentionally absent from training.</x:v>
      </x:c>
      <x:c r="N109" s="9" t="n">
        <x:v>4</x:v>
      </x:c>
      <x:c r="O109" s="9" t="str">
        <x:v>Build the listed same-category discrimination scene with the bowl empty.</x:v>
      </x:c>
      <x:c r="P109" s="9" t="str">
        <x:v>Two same-category candidates share the non-queried state axis; only the held-out state word identifies the target. The same-category candidates share the orthogonal C/O state (O).</x:v>
      </x:c>
      <x:c r="Q109" s="9"/>
      <x:c r="R109" s="10" t="n">
        <x:v>4</x:v>
      </x:c>
      <x:c r="S109" s="10" t="n">
        <x:v>1</x:v>
      </x:c>
      <x:c r="T109" s="9" t="str">
        <x:v>Empty</x:v>
      </x:c>
      <x:c r="U109" s="9" t="str">
        <x:v>RU</x:v>
      </x:c>
      <x:c r="V109" s="9" t="str">
        <x:v>glass spice container</x:v>
      </x:c>
      <x:c r="W109" s="9"/>
      <x:c r="X109" s="10"/>
      <x:c r="Y109" s="10"/>
      <x:c r="Z109" s="9"/>
      <x:c r="AA109" s="9"/>
      <x:c r="AB109" s="9"/>
      <x:c r="AC109" s="9"/>
      <x:c r="AD109" s="9"/>
      <x:c r="AE109" s="9"/>
      <x:c r="AF109" s="9"/>
      <x:c r="AG109" s="9"/>
      <x:c r="AH109" s="9"/>
      <x:c r="AI109" s="11"/>
      <x:c r="AJ109" s="9"/>
      <x:c r="AK109" s="9" t="str">
        <x:v>Eval_State_Recognition.xlsm</x:v>
      </x:c>
      <x:c r="AL109" s="9" t="str">
        <x:v>pi0.5 Results</x:v>
      </x:c>
      <x:c r="AM109" s="9" t="n">
        <x:v>109</x:v>
      </x:c>
      <x:c r="AN109" s="9" t="n">
        <x:v>109</x:v>
      </x:c>
    </x:row>
    <x:row r="110">
      <x:c r="A110" s="9" t="str">
        <x:v>Failure</x:v>
      </x:c>
      <x:c r="B110" s="9" t="str">
        <x:v>State Recognition</x:v>
      </x:c>
      <x:c r="C110" s="10" t="n">
        <x:v>108</x:v>
      </x:c>
      <x:c r="D110" s="9" t="str">
        <x:v>Place the upside-down white cup in the bowl.</x:v>
      </x:c>
      <x:c r="E110" s="9" t="str">
        <x:v>white cup A (C, UD); white cup B (C, RU)</x:v>
      </x:c>
      <x:c r="F110" s="9" t="str">
        <x:v>white cup A</x:v>
      </x:c>
      <x:c r="G110" s="9" t="str">
        <x:v>picked upright cup</x:v>
      </x:c>
      <x:c r="H110" s="9" t="str">
        <x:v>Concept/compositional transfer</x:v>
      </x:c>
      <x:c r="I110" s="9" t="str">
        <x:v>SR-CT49</x:v>
      </x:c>
      <x:c r="J110" s="9" t="str">
        <x:v>Primary held-out state-object composition</x:v>
      </x:c>
      <x:c r="K110" s="9"/>
      <x:c r="L110" s="9" t="str">
        <x:v>35</x:v>
      </x:c>
      <x:c r="M110" s="9" t="str">
        <x:v>Physical-state and manipulation-trajectory reference under a direct category prompt; the evaluated state word × object-category cell is intentionally absent from training.</x:v>
      </x:c>
      <x:c r="N110" s="9" t="n">
        <x:v>4</x:v>
      </x:c>
      <x:c r="O110" s="9" t="str">
        <x:v>Build the listed same-category discrimination scene with the bowl empty.</x:v>
      </x:c>
      <x:c r="P110" s="9" t="str">
        <x:v>Two same-category candidates share the non-queried state axis; only the held-out state word identifies the target. The same-category candidates share the orthogonal C/O state (C).</x:v>
      </x:c>
      <x:c r="Q110" s="9"/>
      <x:c r="R110" s="10" t="n">
        <x:v>2</x:v>
      </x:c>
      <x:c r="S110" s="10" t="n">
        <x:v>1</x:v>
      </x:c>
      <x:c r="T110" s="9" t="str">
        <x:v>Empty</x:v>
      </x:c>
      <x:c r="U110" s="9" t="str">
        <x:v>UD</x:v>
      </x:c>
      <x:c r="V110" s="9" t="str">
        <x:v>white cup</x:v>
      </x:c>
      <x:c r="W110" s="9"/>
      <x:c r="X110" s="10"/>
      <x:c r="Y110" s="10"/>
      <x:c r="Z110" s="9"/>
      <x:c r="AA110" s="9"/>
      <x:c r="AB110" s="9"/>
      <x:c r="AC110" s="9"/>
      <x:c r="AD110" s="9"/>
      <x:c r="AE110" s="9"/>
      <x:c r="AF110" s="9"/>
      <x:c r="AG110" s="9"/>
      <x:c r="AH110" s="9"/>
      <x:c r="AI110" s="11"/>
      <x:c r="AJ110" s="9"/>
      <x:c r="AK110" s="9" t="str">
        <x:v>Eval_State_Recognition.xlsm</x:v>
      </x:c>
      <x:c r="AL110" s="9" t="str">
        <x:v>pi0.5 Results</x:v>
      </x:c>
      <x:c r="AM110" s="9" t="n">
        <x:v>110</x:v>
      </x:c>
      <x:c r="AN110" s="9" t="n">
        <x:v>110</x:v>
      </x:c>
    </x:row>
    <x:row r="111">
      <x:c r="A111" s="9" t="str">
        <x:v>Failure</x:v>
      </x:c>
      <x:c r="B111" s="9" t="str">
        <x:v>State Recognition</x:v>
      </x:c>
      <x:c r="C111" s="10" t="n">
        <x:v>109</x:v>
      </x:c>
      <x:c r="D111" s="9" t="str">
        <x:v>Place the open yellow-white striped cup in the bowl.</x:v>
      </x:c>
      <x:c r="E111" s="9" t="str">
        <x:v>yellow-white striped cup B (O, RU); yellow-white striped cup A (C, RU); brown cup B (O, RU)</x:v>
      </x:c>
      <x:c r="F111" s="9" t="str">
        <x:v>yellow-white striped cup B</x:v>
      </x:c>
      <x:c r="G111" s="9" t="str">
        <x:v>picked closed striped cup</x:v>
      </x:c>
      <x:c r="H111" s="9" t="str">
        <x:v>Concept/compositional transfer</x:v>
      </x:c>
      <x:c r="I111" s="9" t="str">
        <x:v>SR-CT50</x:v>
      </x:c>
      <x:c r="J111" s="9" t="str">
        <x:v>Primary held-out state-object composition</x:v>
      </x:c>
      <x:c r="K111" s="9"/>
      <x:c r="L111" s="9" t="str">
        <x:v>64</x:v>
      </x:c>
      <x:c r="M111" s="9" t="str">
        <x:v>Physical-state and manipulation-trajectory reference under a direct category prompt; the evaluated state word × object-category cell is intentionally absent from training. All objects are upright, matching the context of every explicit open/closed training demonstration.</x:v>
      </x:c>
      <x:c r="N111" s="9" t="n">
        <x:v>4</x:v>
      </x:c>
      <x:c r="O111" s="9" t="str">
        <x:v>Build the listed same-category discrimination scene with the bowl empty.</x:v>
      </x:c>
      <x:c r="P111" s="9" t="str">
        <x:v>Two same-category candidates share the non-queried state axis; only the held-out state word identifies the target. The orthogonal orientation axis is fixed: every object is RU.</x:v>
      </x:c>
      <x:c r="Q111" s="9"/>
      <x:c r="R111" s="10" t="n">
        <x:v>3</x:v>
      </x:c>
      <x:c r="S111" s="10" t="n">
        <x:v>1</x:v>
      </x:c>
      <x:c r="T111" s="9" t="str">
        <x:v>Empty</x:v>
      </x:c>
      <x:c r="U111" s="9" t="str">
        <x:v>O</x:v>
      </x:c>
      <x:c r="V111" s="9" t="str">
        <x:v>yellow-white striped cup</x:v>
      </x:c>
      <x:c r="W111" s="9"/>
      <x:c r="X111" s="10"/>
      <x:c r="Y111" s="10"/>
      <x:c r="Z111" s="9"/>
      <x:c r="AA111" s="9"/>
      <x:c r="AB111" s="9"/>
      <x:c r="AC111" s="9"/>
      <x:c r="AD111" s="9"/>
      <x:c r="AE111" s="9"/>
      <x:c r="AF111" s="9"/>
      <x:c r="AG111" s="9"/>
      <x:c r="AH111" s="9"/>
      <x:c r="AI111" s="11"/>
      <x:c r="AJ111" s="9"/>
      <x:c r="AK111" s="9" t="str">
        <x:v>Eval_State_Recognition.xlsm</x:v>
      </x:c>
      <x:c r="AL111" s="9" t="str">
        <x:v>pi0.5 Results</x:v>
      </x:c>
      <x:c r="AM111" s="9" t="n">
        <x:v>111</x:v>
      </x:c>
      <x:c r="AN111" s="9" t="n">
        <x:v>111</x:v>
      </x:c>
    </x:row>
    <x:row r="112">
      <x:c r="A112" s="9" t="str">
        <x:v>Success</x:v>
      </x:c>
      <x:c r="B112" s="9" t="str">
        <x:v>State Recognition</x:v>
      </x:c>
      <x:c r="C112" s="10" t="n">
        <x:v>110</x:v>
      </x:c>
      <x:c r="D112" s="9" t="str">
        <x:v>Place the closed black cup in the bowl.</x:v>
      </x:c>
      <x:c r="E112" s="9" t="str">
        <x:v>black cup A (C, RU); black cup B (O, RU)</x:v>
      </x:c>
      <x:c r="F112" s="9" t="str">
        <x:v>black cup A</x:v>
      </x:c>
      <x:c r="G112" s="9"/>
      <x:c r="H112" s="9" t="str">
        <x:v>Novel-object state reasoning</x:v>
      </x:c>
      <x:c r="I112" s="9" t="str">
        <x:v>SR-BLACK-CF01</x:v>
      </x:c>
      <x:c r="J112" s="9" t="str">
        <x:v>Exact-scene counterfactual globally unseen black-cup state reasoning</x:v>
      </x:c>
      <x:c r="K112" s="9"/>
      <x:c r="L112" s="9" t="n">
        <x:v>0</x:v>
      </x:c>
      <x:c r="M112" s="9" t="str">
        <x:v>State-word concept reference from training episode 0; black cups are globally unseen. This is an exact-scene state counterfactual pair, not a direct-name manipulation control.</x:v>
      </x:c>
      <x:c r="N112" s="9" t="n">
        <x:v>5</x:v>
      </x:c>
      <x:c r="O112" s="9" t="str">
        <x:v>Build the listed scene with both black cups and an empty bowl.</x:v>
      </x:c>
      <x:c r="P112" s="9" t="str">
        <x:v>Counterfactual C/O pair: both black cups and every distractor are RU; only the queried state word changes the correct black cup.</x:v>
      </x:c>
      <x:c r="Q112" s="9"/>
      <x:c r="R112" s="10" t="n">
        <x:v>2</x:v>
      </x:c>
      <x:c r="S112" s="10" t="n">
        <x:v>1</x:v>
      </x:c>
      <x:c r="T112" s="9" t="str">
        <x:v>Empty</x:v>
      </x:c>
      <x:c r="U112" s="9" t="str">
        <x:v>C</x:v>
      </x:c>
      <x:c r="V112" s="9" t="str">
        <x:v>black cup</x:v>
      </x:c>
      <x:c r="W112" s="9"/>
      <x:c r="X112" s="10"/>
      <x:c r="Y112" s="10"/>
      <x:c r="Z112" s="9"/>
      <x:c r="AA112" s="9"/>
      <x:c r="AB112" s="9"/>
      <x:c r="AC112" s="9"/>
      <x:c r="AD112" s="9"/>
      <x:c r="AE112" s="9"/>
      <x:c r="AF112" s="9"/>
      <x:c r="AG112" s="9"/>
      <x:c r="AH112" s="9"/>
      <x:c r="AI112" s="11"/>
      <x:c r="AJ112" s="9"/>
      <x:c r="AK112" s="9" t="str">
        <x:v>Eval_State_Recognition.xlsm</x:v>
      </x:c>
      <x:c r="AL112" s="9" t="str">
        <x:v>pi0.5 Results</x:v>
      </x:c>
      <x:c r="AM112" s="9" t="n">
        <x:v>112</x:v>
      </x:c>
      <x:c r="AN112" s="9" t="n">
        <x:v>112</x:v>
      </x:c>
    </x:row>
    <x:row r="113">
      <x:c r="A113" s="9" t="str">
        <x:v>Success</x:v>
      </x:c>
      <x:c r="B113" s="9" t="str">
        <x:v>State Recognition</x:v>
      </x:c>
      <x:c r="C113" s="10" t="n">
        <x:v>111</x:v>
      </x:c>
      <x:c r="D113" s="9" t="str">
        <x:v>Place the open black cup in the bowl.</x:v>
      </x:c>
      <x:c r="E113" s="9" t="str">
        <x:v>black cup A (C, RU); black cup B (O, RU)</x:v>
      </x:c>
      <x:c r="F113" s="9" t="str">
        <x:v>black cup B</x:v>
      </x:c>
      <x:c r="G113" s="9"/>
      <x:c r="H113" s="9" t="str">
        <x:v>Novel-object state reasoning</x:v>
      </x:c>
      <x:c r="I113" s="9" t="str">
        <x:v>SR-BLACK-CF01</x:v>
      </x:c>
      <x:c r="J113" s="9" t="str">
        <x:v>Exact-scene counterfactual globally unseen black-cup state reasoning</x:v>
      </x:c>
      <x:c r="K113" s="9" t="n">
        <x:v>110</x:v>
      </x:c>
      <x:c r="L113" s="9" t="n">
        <x:v>101</x:v>
      </x:c>
      <x:c r="M113" s="9" t="str">
        <x:v>State-word concept reference from training episode 101; black cups are globally unseen. This is an exact-scene state counterfactual pair, not a direct-name manipulation control.</x:v>
      </x:c>
      <x:c r="N113" s="9" t="n">
        <x:v>5</x:v>
      </x:c>
      <x:c r="O113" s="9" t="str">
        <x:v>Reset the moved black cup to its marked pose; preserve the exact scene and change only the state word in the prompt.</x:v>
      </x:c>
      <x:c r="P113" s="9" t="str">
        <x:v>Counterfactual C/O pair: both black cups and every distractor are RU; only the queried state word changes the correct black cup.</x:v>
      </x:c>
      <x:c r="Q113" s="9"/>
      <x:c r="R113" s="10" t="n">
        <x:v>2</x:v>
      </x:c>
      <x:c r="S113" s="10" t="n">
        <x:v>1</x:v>
      </x:c>
      <x:c r="T113" s="9" t="str">
        <x:v>Empty</x:v>
      </x:c>
      <x:c r="U113" s="9" t="str">
        <x:v>O</x:v>
      </x:c>
      <x:c r="V113" s="9" t="str">
        <x:v>black cup</x:v>
      </x:c>
      <x:c r="W113" s="9"/>
      <x:c r="X113" s="10"/>
      <x:c r="Y113" s="10"/>
      <x:c r="Z113" s="9"/>
      <x:c r="AA113" s="9"/>
      <x:c r="AB113" s="9"/>
      <x:c r="AC113" s="9"/>
      <x:c r="AD113" s="9"/>
      <x:c r="AE113" s="9"/>
      <x:c r="AF113" s="9"/>
      <x:c r="AG113" s="9"/>
      <x:c r="AH113" s="9"/>
      <x:c r="AI113" s="11"/>
      <x:c r="AJ113" s="9"/>
      <x:c r="AK113" s="9" t="str">
        <x:v>Eval_State_Recognition.xlsm</x:v>
      </x:c>
      <x:c r="AL113" s="9" t="str">
        <x:v>pi0.5 Results</x:v>
      </x:c>
      <x:c r="AM113" s="9" t="n">
        <x:v>113</x:v>
      </x:c>
      <x:c r="AN113" s="9" t="n">
        <x:v>113</x:v>
      </x:c>
    </x:row>
    <x:row r="114">
      <x:c r="A114" s="9" t="str">
        <x:v>Failure</x:v>
      </x:c>
      <x:c r="B114" s="9" t="str">
        <x:v>State Recognition</x:v>
      </x:c>
      <x:c r="C114" s="10" t="n">
        <x:v>112</x:v>
      </x:c>
      <x:c r="D114" s="9" t="str">
        <x:v>Place the upside-down black cup in the bowl.</x:v>
      </x:c>
      <x:c r="E114" s="9" t="str">
        <x:v>black cup A (C, UD); black cup B (C, RU); yellow-white striped cup B (O, UD)</x:v>
      </x:c>
      <x:c r="F114" s="9" t="str">
        <x:v>black cup A</x:v>
      </x:c>
      <x:c r="G114" s="9" t="str">
        <x:v>picked the upright cup</x:v>
      </x:c>
      <x:c r="H114" s="9" t="str">
        <x:v>Novel-object state reasoning</x:v>
      </x:c>
      <x:c r="I114" s="9" t="str">
        <x:v>SR-BLACK-CF02</x:v>
      </x:c>
      <x:c r="J114" s="9" t="str">
        <x:v>Exact-scene counterfactual globally unseen black-cup state reasoning</x:v>
      </x:c>
      <x:c r="K114" s="9"/>
      <x:c r="L114" s="9" t="n">
        <x:v>78</x:v>
      </x:c>
      <x:c r="M114" s="9" t="str">
        <x:v>State-word concept reference from training episode 78; black cups are globally unseen. This is an exact-scene state counterfactual pair, not a direct-name manipulation control.</x:v>
      </x:c>
      <x:c r="N114" s="9" t="n">
        <x:v>5</x:v>
      </x:c>
      <x:c r="O114" s="9" t="str">
        <x:v>Build the listed scene with both black cups and an empty bowl.</x:v>
      </x:c>
      <x:c r="P114" s="9" t="str">
        <x:v>Counterfactual UD/RU pair: both black cups share the orthogonal C/O state (C); only the queried state word changes the correct black cup.</x:v>
      </x:c>
      <x:c r="Q114" s="9"/>
      <x:c r="R114" s="10" t="n">
        <x:v>3</x:v>
      </x:c>
      <x:c r="S114" s="10" t="n">
        <x:v>1</x:v>
      </x:c>
      <x:c r="T114" s="9" t="str">
        <x:v>Empty</x:v>
      </x:c>
      <x:c r="U114" s="9" t="str">
        <x:v>UD</x:v>
      </x:c>
      <x:c r="V114" s="9" t="str">
        <x:v>black cup</x:v>
      </x:c>
      <x:c r="W114" s="9"/>
      <x:c r="X114" s="10"/>
      <x:c r="Y114" s="10"/>
      <x:c r="Z114" s="9"/>
      <x:c r="AA114" s="9"/>
      <x:c r="AB114" s="9"/>
      <x:c r="AC114" s="9"/>
      <x:c r="AD114" s="9"/>
      <x:c r="AE114" s="9"/>
      <x:c r="AF114" s="9"/>
      <x:c r="AG114" s="9"/>
      <x:c r="AH114" s="9"/>
      <x:c r="AI114" s="11"/>
      <x:c r="AJ114" s="9"/>
      <x:c r="AK114" s="9" t="str">
        <x:v>Eval_State_Recognition.xlsm</x:v>
      </x:c>
      <x:c r="AL114" s="9" t="str">
        <x:v>pi0.5 Results</x:v>
      </x:c>
      <x:c r="AM114" s="9" t="n">
        <x:v>114</x:v>
      </x:c>
      <x:c r="AN114" s="9" t="n">
        <x:v>114</x:v>
      </x:c>
    </x:row>
    <x:row r="115">
      <x:c r="A115" s="9" t="str">
        <x:v>Success</x:v>
      </x:c>
      <x:c r="B115" s="9" t="str">
        <x:v>State Recognition</x:v>
      </x:c>
      <x:c r="C115" s="10" t="n">
        <x:v>113</x:v>
      </x:c>
      <x:c r="D115" s="9" t="str">
        <x:v>Place the upright black cup in the bowl.</x:v>
      </x:c>
      <x:c r="E115" s="9" t="str">
        <x:v>black cup A (C, UD); black cup B (C, RU); yellow-white striped cup B (O, UD)</x:v>
      </x:c>
      <x:c r="F115" s="9" t="str">
        <x:v>black cup B</x:v>
      </x:c>
      <x:c r="G115" s="9"/>
      <x:c r="H115" s="9" t="str">
        <x:v>Novel-object state reasoning</x:v>
      </x:c>
      <x:c r="I115" s="9" t="str">
        <x:v>SR-BLACK-CF02</x:v>
      </x:c>
      <x:c r="J115" s="9" t="str">
        <x:v>Exact-scene counterfactual globally unseen black-cup state reasoning</x:v>
      </x:c>
      <x:c r="K115" s="9" t="n">
        <x:v>112</x:v>
      </x:c>
      <x:c r="L115" s="9" t="n">
        <x:v>26</x:v>
      </x:c>
      <x:c r="M115" s="9" t="str">
        <x:v>State-word concept reference from training episode 26; black cups are globally unseen. This is an exact-scene state counterfactual pair, not a direct-name manipulation control.</x:v>
      </x:c>
      <x:c r="N115" s="9" t="n">
        <x:v>5</x:v>
      </x:c>
      <x:c r="O115" s="9" t="str">
        <x:v>Reset the moved black cup to its marked pose; preserve the exact scene and change only the state word in the prompt.</x:v>
      </x:c>
      <x:c r="P115" s="9" t="str">
        <x:v>Counterfactual UD/RU pair: both black cups share the orthogonal C/O state (C); only the queried state word changes the correct black cup.</x:v>
      </x:c>
      <x:c r="Q115" s="9"/>
      <x:c r="R115" s="10" t="n">
        <x:v>3</x:v>
      </x:c>
      <x:c r="S115" s="10" t="n">
        <x:v>1</x:v>
      </x:c>
      <x:c r="T115" s="9" t="str">
        <x:v>Empty</x:v>
      </x:c>
      <x:c r="U115" s="9" t="str">
        <x:v>RU</x:v>
      </x:c>
      <x:c r="V115" s="9" t="str">
        <x:v>black cup</x:v>
      </x:c>
      <x:c r="W115" s="9"/>
      <x:c r="X115" s="10"/>
      <x:c r="Y115" s="10"/>
      <x:c r="Z115" s="9"/>
      <x:c r="AA115" s="9"/>
      <x:c r="AB115" s="9"/>
      <x:c r="AC115" s="9"/>
      <x:c r="AD115" s="9"/>
      <x:c r="AE115" s="9"/>
      <x:c r="AF115" s="9"/>
      <x:c r="AG115" s="9"/>
      <x:c r="AH115" s="9"/>
      <x:c r="AI115" s="11"/>
      <x:c r="AJ115" s="9"/>
      <x:c r="AK115" s="9" t="str">
        <x:v>Eval_State_Recognition.xlsm</x:v>
      </x:c>
      <x:c r="AL115" s="9" t="str">
        <x:v>pi0.5 Results</x:v>
      </x:c>
      <x:c r="AM115" s="9" t="n">
        <x:v>115</x:v>
      </x:c>
      <x:c r="AN115" s="9" t="n">
        <x:v>115</x:v>
      </x:c>
    </x:row>
    <x:row r="116">
      <x:c r="A116" s="9" t="str">
        <x:v>Failure</x:v>
      </x:c>
      <x:c r="B116" s="9" t="str">
        <x:v>State Recognition</x:v>
      </x:c>
      <x:c r="C116" s="10" t="n">
        <x:v>114</x:v>
      </x:c>
      <x:c r="D116" s="9" t="str">
        <x:v>Place the closed black cup in the bowl.</x:v>
      </x:c>
      <x:c r="E116" s="9" t="str">
        <x:v>black cup A (O, RU); black cup B (C, RU); brown cup A (C, RU); glass spice container B (O, RU)</x:v>
      </x:c>
      <x:c r="F116" s="9" t="str">
        <x:v>black cup B</x:v>
      </x:c>
      <x:c r="G116" s="9" t="str">
        <x:v>picked open black cup</x:v>
      </x:c>
      <x:c r="H116" s="9" t="str">
        <x:v>Novel-object state reasoning</x:v>
      </x:c>
      <x:c r="I116" s="9" t="str">
        <x:v>SR-BLACK-CF03</x:v>
      </x:c>
      <x:c r="J116" s="9" t="str">
        <x:v>Exact-scene counterfactual globally unseen black-cup state reasoning</x:v>
      </x:c>
      <x:c r="K116" s="9"/>
      <x:c r="L116" s="9" t="n">
        <x:v>0</x:v>
      </x:c>
      <x:c r="M116" s="9" t="str">
        <x:v>State-word concept reference from training episode 0; black cups are globally unseen. This is an exact-scene state counterfactual pair, not a direct-name manipulation control.</x:v>
      </x:c>
      <x:c r="N116" s="9" t="n">
        <x:v>5</x:v>
      </x:c>
      <x:c r="O116" s="9" t="str">
        <x:v>Build the listed scene with both black cups and an empty bowl.</x:v>
      </x:c>
      <x:c r="P116" s="9" t="str">
        <x:v>Counterfactual C/O pair: both black cups and every distractor are RU; only the queried state word changes the correct black cup.</x:v>
      </x:c>
      <x:c r="Q116" s="9"/>
      <x:c r="R116" s="10" t="n">
        <x:v>4</x:v>
      </x:c>
      <x:c r="S116" s="10" t="n">
        <x:v>1</x:v>
      </x:c>
      <x:c r="T116" s="9" t="str">
        <x:v>Empty</x:v>
      </x:c>
      <x:c r="U116" s="9" t="str">
        <x:v>C</x:v>
      </x:c>
      <x:c r="V116" s="9" t="str">
        <x:v>black cup</x:v>
      </x:c>
      <x:c r="W116" s="9"/>
      <x:c r="X116" s="10"/>
      <x:c r="Y116" s="10"/>
      <x:c r="Z116" s="9"/>
      <x:c r="AA116" s="9"/>
      <x:c r="AB116" s="9"/>
      <x:c r="AC116" s="9"/>
      <x:c r="AD116" s="9"/>
      <x:c r="AE116" s="9"/>
      <x:c r="AF116" s="9"/>
      <x:c r="AG116" s="9"/>
      <x:c r="AH116" s="9"/>
      <x:c r="AI116" s="11"/>
      <x:c r="AJ116" s="9"/>
      <x:c r="AK116" s="9" t="str">
        <x:v>Eval_State_Recognition.xlsm</x:v>
      </x:c>
      <x:c r="AL116" s="9" t="str">
        <x:v>pi0.5 Results</x:v>
      </x:c>
      <x:c r="AM116" s="9" t="n">
        <x:v>116</x:v>
      </x:c>
      <x:c r="AN116" s="9" t="n">
        <x:v>116</x:v>
      </x:c>
    </x:row>
    <x:row r="117">
      <x:c r="A117" s="9" t="str">
        <x:v>Success</x:v>
      </x:c>
      <x:c r="B117" s="9" t="str">
        <x:v>State Recognition</x:v>
      </x:c>
      <x:c r="C117" s="10" t="n">
        <x:v>115</x:v>
      </x:c>
      <x:c r="D117" s="9" t="str">
        <x:v>Place the open black cup in the bowl.</x:v>
      </x:c>
      <x:c r="E117" s="9" t="str">
        <x:v>black cup A (O, RU); black cup B (C, RU); brown cup A (C, RU); glass spice container B (O, RU)</x:v>
      </x:c>
      <x:c r="F117" s="9" t="str">
        <x:v>black cup A</x:v>
      </x:c>
      <x:c r="G117" s="9"/>
      <x:c r="H117" s="9" t="str">
        <x:v>Novel-object state reasoning</x:v>
      </x:c>
      <x:c r="I117" s="9" t="str">
        <x:v>SR-BLACK-CF03</x:v>
      </x:c>
      <x:c r="J117" s="9" t="str">
        <x:v>Exact-scene counterfactual globally unseen black-cup state reasoning</x:v>
      </x:c>
      <x:c r="K117" s="9" t="n">
        <x:v>114</x:v>
      </x:c>
      <x:c r="L117" s="9" t="n">
        <x:v>101</x:v>
      </x:c>
      <x:c r="M117" s="9" t="str">
        <x:v>State-word concept reference from training episode 101; black cups are globally unseen. This is an exact-scene state counterfactual pair, not a direct-name manipulation control.</x:v>
      </x:c>
      <x:c r="N117" s="9" t="n">
        <x:v>5</x:v>
      </x:c>
      <x:c r="O117" s="9" t="str">
        <x:v>Reset the moved black cup to its marked pose; preserve the exact scene and change only the state word in the prompt.</x:v>
      </x:c>
      <x:c r="P117" s="9" t="str">
        <x:v>Counterfactual C/O pair: both black cups and every distractor are RU; only the queried state word changes the correct black cup.</x:v>
      </x:c>
      <x:c r="Q117" s="9"/>
      <x:c r="R117" s="10" t="n">
        <x:v>4</x:v>
      </x:c>
      <x:c r="S117" s="10" t="n">
        <x:v>1</x:v>
      </x:c>
      <x:c r="T117" s="9" t="str">
        <x:v>Empty</x:v>
      </x:c>
      <x:c r="U117" s="9" t="str">
        <x:v>O</x:v>
      </x:c>
      <x:c r="V117" s="9" t="str">
        <x:v>black cup</x:v>
      </x:c>
      <x:c r="W117" s="9"/>
      <x:c r="X117" s="10"/>
      <x:c r="Y117" s="10"/>
      <x:c r="Z117" s="9"/>
      <x:c r="AA117" s="9"/>
      <x:c r="AB117" s="9"/>
      <x:c r="AC117" s="9"/>
      <x:c r="AD117" s="9"/>
      <x:c r="AE117" s="9"/>
      <x:c r="AF117" s="9"/>
      <x:c r="AG117" s="9"/>
      <x:c r="AH117" s="9"/>
      <x:c r="AI117" s="11"/>
      <x:c r="AJ117" s="9"/>
      <x:c r="AK117" s="9" t="str">
        <x:v>Eval_State_Recognition.xlsm</x:v>
      </x:c>
      <x:c r="AL117" s="9" t="str">
        <x:v>pi0.5 Results</x:v>
      </x:c>
      <x:c r="AM117" s="9" t="n">
        <x:v>117</x:v>
      </x:c>
      <x:c r="AN117" s="9" t="n">
        <x:v>117</x:v>
      </x:c>
    </x:row>
    <x:row r="118">
      <x:c r="A118" s="9" t="str">
        <x:v>Success</x:v>
      </x:c>
      <x:c r="B118" s="9" t="str">
        <x:v>State Recognition</x:v>
      </x:c>
      <x:c r="C118" s="10" t="n">
        <x:v>116</x:v>
      </x:c>
      <x:c r="D118" s="9" t="str">
        <x:v>Place the upside-down black cup in the bowl.</x:v>
      </x:c>
      <x:c r="E118" s="9" t="str">
        <x:v>black cup A (O, RU); black cup B (O, UD)</x:v>
      </x:c>
      <x:c r="F118" s="9" t="str">
        <x:v>black cup B</x:v>
      </x:c>
      <x:c r="G118" s="9"/>
      <x:c r="H118" s="9" t="str">
        <x:v>Novel-object state reasoning</x:v>
      </x:c>
      <x:c r="I118" s="9" t="str">
        <x:v>SR-BLACK-CF04</x:v>
      </x:c>
      <x:c r="J118" s="9" t="str">
        <x:v>Exact-scene counterfactual globally unseen black-cup state reasoning</x:v>
      </x:c>
      <x:c r="K118" s="9"/>
      <x:c r="L118" s="9" t="n">
        <x:v>78</x:v>
      </x:c>
      <x:c r="M118" s="9" t="str">
        <x:v>State-word concept reference from training episode 78; black cups are globally unseen. This is an exact-scene state counterfactual pair, not a direct-name manipulation control.</x:v>
      </x:c>
      <x:c r="N118" s="9" t="n">
        <x:v>5</x:v>
      </x:c>
      <x:c r="O118" s="9" t="str">
        <x:v>Build the listed scene with both black cups and an empty bowl.</x:v>
      </x:c>
      <x:c r="P118" s="9" t="str">
        <x:v>Counterfactual UD/RU pair: both black cups share the orthogonal C/O state (O); only the queried state word changes the correct black cup.</x:v>
      </x:c>
      <x:c r="Q118" s="9"/>
      <x:c r="R118" s="10" t="n">
        <x:v>2</x:v>
      </x:c>
      <x:c r="S118" s="10" t="n">
        <x:v>1</x:v>
      </x:c>
      <x:c r="T118" s="9" t="str">
        <x:v>Empty</x:v>
      </x:c>
      <x:c r="U118" s="9" t="str">
        <x:v>UD</x:v>
      </x:c>
      <x:c r="V118" s="9" t="str">
        <x:v>black cup</x:v>
      </x:c>
      <x:c r="W118" s="9"/>
      <x:c r="X118" s="10"/>
      <x:c r="Y118" s="10"/>
      <x:c r="Z118" s="9"/>
      <x:c r="AA118" s="9"/>
      <x:c r="AB118" s="9"/>
      <x:c r="AC118" s="9"/>
      <x:c r="AD118" s="9"/>
      <x:c r="AE118" s="9"/>
      <x:c r="AF118" s="9"/>
      <x:c r="AG118" s="9"/>
      <x:c r="AH118" s="9"/>
      <x:c r="AI118" s="11"/>
      <x:c r="AJ118" s="9"/>
      <x:c r="AK118" s="9" t="str">
        <x:v>Eval_State_Recognition.xlsm</x:v>
      </x:c>
      <x:c r="AL118" s="9" t="str">
        <x:v>pi0.5 Results</x:v>
      </x:c>
      <x:c r="AM118" s="9" t="n">
        <x:v>118</x:v>
      </x:c>
      <x:c r="AN118" s="9" t="n">
        <x:v>118</x:v>
      </x:c>
    </x:row>
    <x:row r="119">
      <x:c r="A119" s="9" t="str">
        <x:v>Success</x:v>
      </x:c>
      <x:c r="B119" s="9" t="str">
        <x:v>State Recognition</x:v>
      </x:c>
      <x:c r="C119" s="10" t="n">
        <x:v>117</x:v>
      </x:c>
      <x:c r="D119" s="9" t="str">
        <x:v>Place the upright black cup in the bowl.</x:v>
      </x:c>
      <x:c r="E119" s="9" t="str">
        <x:v>black cup A (O, RU); black cup B (O, UD)</x:v>
      </x:c>
      <x:c r="F119" s="9" t="str">
        <x:v>black cup A</x:v>
      </x:c>
      <x:c r="G119" s="9"/>
      <x:c r="H119" s="9" t="str">
        <x:v>Novel-object state reasoning</x:v>
      </x:c>
      <x:c r="I119" s="9" t="str">
        <x:v>SR-BLACK-CF04</x:v>
      </x:c>
      <x:c r="J119" s="9" t="str">
        <x:v>Exact-scene counterfactual globally unseen black-cup state reasoning</x:v>
      </x:c>
      <x:c r="K119" s="9" t="n">
        <x:v>116</x:v>
      </x:c>
      <x:c r="L119" s="9" t="n">
        <x:v>26</x:v>
      </x:c>
      <x:c r="M119" s="9" t="str">
        <x:v>State-word concept reference from training episode 26; black cups are globally unseen. This is an exact-scene state counterfactual pair, not a direct-name manipulation control.</x:v>
      </x:c>
      <x:c r="N119" s="9" t="n">
        <x:v>5</x:v>
      </x:c>
      <x:c r="O119" s="9" t="str">
        <x:v>Reset the moved black cup to its marked pose; preserve the exact scene and change only the state word in the prompt.</x:v>
      </x:c>
      <x:c r="P119" s="9" t="str">
        <x:v>Counterfactual UD/RU pair: both black cups share the orthogonal C/O state (O); only the queried state word changes the correct black cup.</x:v>
      </x:c>
      <x:c r="Q119" s="9"/>
      <x:c r="R119" s="10" t="n">
        <x:v>2</x:v>
      </x:c>
      <x:c r="S119" s="10" t="n">
        <x:v>1</x:v>
      </x:c>
      <x:c r="T119" s="9" t="str">
        <x:v>Empty</x:v>
      </x:c>
      <x:c r="U119" s="9" t="str">
        <x:v>RU</x:v>
      </x:c>
      <x:c r="V119" s="9" t="str">
        <x:v>black cup</x:v>
      </x:c>
      <x:c r="W119" s="9"/>
      <x:c r="X119" s="10"/>
      <x:c r="Y119" s="10"/>
      <x:c r="Z119" s="9"/>
      <x:c r="AA119" s="9"/>
      <x:c r="AB119" s="9"/>
      <x:c r="AC119" s="9"/>
      <x:c r="AD119" s="9"/>
      <x:c r="AE119" s="9"/>
      <x:c r="AF119" s="9"/>
      <x:c r="AG119" s="9"/>
      <x:c r="AH119" s="9"/>
      <x:c r="AI119" s="11"/>
      <x:c r="AJ119" s="9"/>
      <x:c r="AK119" s="9" t="str">
        <x:v>Eval_State_Recognition.xlsm</x:v>
      </x:c>
      <x:c r="AL119" s="9" t="str">
        <x:v>pi0.5 Results</x:v>
      </x:c>
      <x:c r="AM119" s="9" t="n">
        <x:v>119</x:v>
      </x:c>
      <x:c r="AN119" s="9" t="n">
        <x:v>119</x:v>
      </x:c>
    </x:row>
    <x:row r="120">
      <x:c r="A120" s="9" t="str">
        <x:v>Success</x:v>
      </x:c>
      <x:c r="B120" s="9" t="str">
        <x:v>State Recognition</x:v>
      </x:c>
      <x:c r="C120" s="10" t="n">
        <x:v>118</x:v>
      </x:c>
      <x:c r="D120" s="9" t="str">
        <x:v>Place the closed black cup in the bowl.</x:v>
      </x:c>
      <x:c r="E120" s="9" t="str">
        <x:v>black cup A (C, RU); black cup B (O, RU); white cup A (C, RU)</x:v>
      </x:c>
      <x:c r="F120" s="9" t="str">
        <x:v>black cup A</x:v>
      </x:c>
      <x:c r="G120" s="9"/>
      <x:c r="H120" s="9" t="str">
        <x:v>Novel-object state reasoning</x:v>
      </x:c>
      <x:c r="I120" s="9" t="str">
        <x:v>SR-BLACK-CF05</x:v>
      </x:c>
      <x:c r="J120" s="9" t="str">
        <x:v>Exact-scene counterfactual globally unseen black-cup state reasoning</x:v>
      </x:c>
      <x:c r="K120" s="9"/>
      <x:c r="L120" s="9" t="n">
        <x:v>0</x:v>
      </x:c>
      <x:c r="M120" s="9" t="str">
        <x:v>State-word concept reference from training episode 0; black cups are globally unseen. This is an exact-scene state counterfactual pair, not a direct-name manipulation control.</x:v>
      </x:c>
      <x:c r="N120" s="9" t="n">
        <x:v>5</x:v>
      </x:c>
      <x:c r="O120" s="9" t="str">
        <x:v>Build the listed scene with both black cups and an empty bowl.</x:v>
      </x:c>
      <x:c r="P120" s="9" t="str">
        <x:v>Counterfactual C/O pair: both black cups and every distractor are RU; only the queried state word changes the correct black cup.</x:v>
      </x:c>
      <x:c r="Q120" s="9"/>
      <x:c r="R120" s="10" t="n">
        <x:v>3</x:v>
      </x:c>
      <x:c r="S120" s="10" t="n">
        <x:v>1</x:v>
      </x:c>
      <x:c r="T120" s="9" t="str">
        <x:v>Empty</x:v>
      </x:c>
      <x:c r="U120" s="9" t="str">
        <x:v>C</x:v>
      </x:c>
      <x:c r="V120" s="9" t="str">
        <x:v>black cup</x:v>
      </x:c>
      <x:c r="W120" s="9"/>
      <x:c r="X120" s="10"/>
      <x:c r="Y120" s="10"/>
      <x:c r="Z120" s="9"/>
      <x:c r="AA120" s="9"/>
      <x:c r="AB120" s="9"/>
      <x:c r="AC120" s="9"/>
      <x:c r="AD120" s="9"/>
      <x:c r="AE120" s="9"/>
      <x:c r="AF120" s="9"/>
      <x:c r="AG120" s="9"/>
      <x:c r="AH120" s="9"/>
      <x:c r="AI120" s="11"/>
      <x:c r="AJ120" s="9"/>
      <x:c r="AK120" s="9" t="str">
        <x:v>Eval_State_Recognition.xlsm</x:v>
      </x:c>
      <x:c r="AL120" s="9" t="str">
        <x:v>pi0.5 Results</x:v>
      </x:c>
      <x:c r="AM120" s="9" t="n">
        <x:v>120</x:v>
      </x:c>
      <x:c r="AN120" s="9" t="n">
        <x:v>120</x:v>
      </x:c>
    </x:row>
    <x:row r="121">
      <x:c r="A121" s="9" t="str">
        <x:v>Failure</x:v>
      </x:c>
      <x:c r="B121" s="9" t="str">
        <x:v>State Recognition</x:v>
      </x:c>
      <x:c r="C121" s="10" t="n">
        <x:v>119</x:v>
      </x:c>
      <x:c r="D121" s="9" t="str">
        <x:v>Place the open black cup in the bowl.</x:v>
      </x:c>
      <x:c r="E121" s="9" t="str">
        <x:v>black cup A (C, RU); black cup B (O, RU); white cup A (C, RU)</x:v>
      </x:c>
      <x:c r="F121" s="9" t="str">
        <x:v>black cup B</x:v>
      </x:c>
      <x:c r="G121" s="9" t="str">
        <x:v>the two black cups were placed next to each other, the robot went in the middle initially, then went for the closed black cup. Knocked it out of range and did not recover</x:v>
      </x:c>
      <x:c r="H121" s="9" t="str">
        <x:v>Novel-object state reasoning</x:v>
      </x:c>
      <x:c r="I121" s="9" t="str">
        <x:v>SR-BLACK-CF05</x:v>
      </x:c>
      <x:c r="J121" s="9" t="str">
        <x:v>Exact-scene counterfactual globally unseen black-cup state reasoning</x:v>
      </x:c>
      <x:c r="K121" s="9" t="n">
        <x:v>118</x:v>
      </x:c>
      <x:c r="L121" s="9" t="n">
        <x:v>101</x:v>
      </x:c>
      <x:c r="M121" s="9" t="str">
        <x:v>State-word concept reference from training episode 101; black cups are globally unseen. This is an exact-scene state counterfactual pair, not a direct-name manipulation control.</x:v>
      </x:c>
      <x:c r="N121" s="9" t="n">
        <x:v>5</x:v>
      </x:c>
      <x:c r="O121" s="9" t="str">
        <x:v>Reset the moved black cup to its marked pose; preserve the exact scene and change only the state word in the prompt.</x:v>
      </x:c>
      <x:c r="P121" s="9" t="str">
        <x:v>Counterfactual C/O pair: both black cups and every distractor are RU; only the queried state word changes the correct black cup.</x:v>
      </x:c>
      <x:c r="Q121" s="9"/>
      <x:c r="R121" s="10" t="n">
        <x:v>3</x:v>
      </x:c>
      <x:c r="S121" s="10" t="n">
        <x:v>1</x:v>
      </x:c>
      <x:c r="T121" s="9" t="str">
        <x:v>Empty</x:v>
      </x:c>
      <x:c r="U121" s="9" t="str">
        <x:v>O</x:v>
      </x:c>
      <x:c r="V121" s="9" t="str">
        <x:v>black cup</x:v>
      </x:c>
      <x:c r="W121" s="9"/>
      <x:c r="X121" s="10"/>
      <x:c r="Y121" s="10"/>
      <x:c r="Z121" s="9"/>
      <x:c r="AA121" s="9"/>
      <x:c r="AB121" s="9"/>
      <x:c r="AC121" s="9"/>
      <x:c r="AD121" s="9"/>
      <x:c r="AE121" s="9"/>
      <x:c r="AF121" s="9"/>
      <x:c r="AG121" s="9"/>
      <x:c r="AH121" s="9"/>
      <x:c r="AI121" s="11"/>
      <x:c r="AJ121" s="9"/>
      <x:c r="AK121" s="9" t="str">
        <x:v>Eval_State_Recognition.xlsm</x:v>
      </x:c>
      <x:c r="AL121" s="9" t="str">
        <x:v>pi0.5 Results</x:v>
      </x:c>
      <x:c r="AM121" s="9" t="n">
        <x:v>121</x:v>
      </x:c>
      <x:c r="AN121" s="9" t="n">
        <x:v>121</x:v>
      </x:c>
    </x:row>
    <x:row r="122">
      <x:c r="A122" s="9" t="str">
        <x:v>Success</x:v>
      </x:c>
      <x:c r="B122" s="9" t="str">
        <x:v>State Recognition</x:v>
      </x:c>
      <x:c r="C122" s="10" t="n">
        <x:v>120</x:v>
      </x:c>
      <x:c r="D122" s="9" t="str">
        <x:v>Place the upside-down black cup in the bowl.</x:v>
      </x:c>
      <x:c r="E122" s="9" t="str">
        <x:v>black cup A (C, UD); black cup B (C, RU); yellow-white striped cup B (O, UD); brown cup A (C, RU)</x:v>
      </x:c>
      <x:c r="F122" s="9" t="str">
        <x:v>black cup A</x:v>
      </x:c>
      <x:c r="G122" s="9"/>
      <x:c r="H122" s="9" t="str">
        <x:v>Novel-object state reasoning</x:v>
      </x:c>
      <x:c r="I122" s="9" t="str">
        <x:v>SR-BLACK-CF06</x:v>
      </x:c>
      <x:c r="J122" s="9" t="str">
        <x:v>Exact-scene counterfactual globally unseen black-cup state reasoning</x:v>
      </x:c>
      <x:c r="K122" s="9"/>
      <x:c r="L122" s="9" t="n">
        <x:v>78</x:v>
      </x:c>
      <x:c r="M122" s="9" t="str">
        <x:v>State-word concept reference from training episode 78; black cups are globally unseen. This is an exact-scene state counterfactual pair, not a direct-name manipulation control.</x:v>
      </x:c>
      <x:c r="N122" s="9" t="n">
        <x:v>5</x:v>
      </x:c>
      <x:c r="O122" s="9" t="str">
        <x:v>Build the listed scene with both black cups and an empty bowl.</x:v>
      </x:c>
      <x:c r="P122" s="9" t="str">
        <x:v>Counterfactual UD/RU pair: both black cups share the orthogonal C/O state (C); only the queried state word changes the correct black cup.</x:v>
      </x:c>
      <x:c r="Q122" s="9"/>
      <x:c r="R122" s="10" t="n">
        <x:v>4</x:v>
      </x:c>
      <x:c r="S122" s="10" t="n">
        <x:v>1</x:v>
      </x:c>
      <x:c r="T122" s="9" t="str">
        <x:v>Empty</x:v>
      </x:c>
      <x:c r="U122" s="9" t="str">
        <x:v>UD</x:v>
      </x:c>
      <x:c r="V122" s="9" t="str">
        <x:v>black cup</x:v>
      </x:c>
      <x:c r="W122" s="9"/>
      <x:c r="X122" s="10"/>
      <x:c r="Y122" s="10"/>
      <x:c r="Z122" s="9"/>
      <x:c r="AA122" s="9"/>
      <x:c r="AB122" s="9"/>
      <x:c r="AC122" s="9"/>
      <x:c r="AD122" s="9"/>
      <x:c r="AE122" s="9"/>
      <x:c r="AF122" s="9"/>
      <x:c r="AG122" s="9"/>
      <x:c r="AH122" s="9"/>
      <x:c r="AI122" s="11"/>
      <x:c r="AJ122" s="9"/>
      <x:c r="AK122" s="9" t="str">
        <x:v>Eval_State_Recognition.xlsm</x:v>
      </x:c>
      <x:c r="AL122" s="9" t="str">
        <x:v>pi0.5 Results</x:v>
      </x:c>
      <x:c r="AM122" s="9" t="n">
        <x:v>122</x:v>
      </x:c>
      <x:c r="AN122" s="9" t="n">
        <x:v>122</x:v>
      </x:c>
    </x:row>
    <x:row r="123">
      <x:c r="A123" s="9" t="str">
        <x:v>Failure</x:v>
      </x:c>
      <x:c r="B123" s="9" t="str">
        <x:v>State Recognition</x:v>
      </x:c>
      <x:c r="C123" s="10" t="n">
        <x:v>121</x:v>
      </x:c>
      <x:c r="D123" s="9" t="str">
        <x:v>Place the upright black cup in the bowl.</x:v>
      </x:c>
      <x:c r="E123" s="9" t="str">
        <x:v>black cup A (C, UD); black cup B (C, RU); yellow-white striped cup B (O, UD); brown cup A (C, RU)</x:v>
      </x:c>
      <x:c r="F123" s="9" t="str">
        <x:v>black cup B</x:v>
      </x:c>
      <x:c r="G123" s="9" t="str">
        <x:v>went for the upside down cup</x:v>
      </x:c>
      <x:c r="H123" s="9" t="str">
        <x:v>Novel-object state reasoning</x:v>
      </x:c>
      <x:c r="I123" s="9" t="str">
        <x:v>SR-BLACK-CF06</x:v>
      </x:c>
      <x:c r="J123" s="9" t="str">
        <x:v>Exact-scene counterfactual globally unseen black-cup state reasoning</x:v>
      </x:c>
      <x:c r="K123" s="9" t="n">
        <x:v>120</x:v>
      </x:c>
      <x:c r="L123" s="9" t="n">
        <x:v>26</x:v>
      </x:c>
      <x:c r="M123" s="9" t="str">
        <x:v>State-word concept reference from training episode 26; black cups are globally unseen. This is an exact-scene state counterfactual pair, not a direct-name manipulation control.</x:v>
      </x:c>
      <x:c r="N123" s="9" t="n">
        <x:v>5</x:v>
      </x:c>
      <x:c r="O123" s="9" t="str">
        <x:v>Reset the moved black cup to its marked pose; preserve the exact scene and change only the state word in the prompt.</x:v>
      </x:c>
      <x:c r="P123" s="9" t="str">
        <x:v>Counterfactual UD/RU pair: both black cups share the orthogonal C/O state (C); only the queried state word changes the correct black cup.</x:v>
      </x:c>
      <x:c r="Q123" s="9"/>
      <x:c r="R123" s="10" t="n">
        <x:v>4</x:v>
      </x:c>
      <x:c r="S123" s="10" t="n">
        <x:v>1</x:v>
      </x:c>
      <x:c r="T123" s="9" t="str">
        <x:v>Empty</x:v>
      </x:c>
      <x:c r="U123" s="9" t="str">
        <x:v>RU</x:v>
      </x:c>
      <x:c r="V123" s="9" t="str">
        <x:v>black cup</x:v>
      </x:c>
      <x:c r="W123" s="9"/>
      <x:c r="X123" s="10"/>
      <x:c r="Y123" s="10"/>
      <x:c r="Z123" s="9"/>
      <x:c r="AA123" s="9"/>
      <x:c r="AB123" s="9"/>
      <x:c r="AC123" s="9"/>
      <x:c r="AD123" s="9"/>
      <x:c r="AE123" s="9"/>
      <x:c r="AF123" s="9"/>
      <x:c r="AG123" s="9"/>
      <x:c r="AH123" s="9"/>
      <x:c r="AI123" s="11"/>
      <x:c r="AJ123" s="9"/>
      <x:c r="AK123" s="9" t="str">
        <x:v>Eval_State_Recognition.xlsm</x:v>
      </x:c>
      <x:c r="AL123" s="9" t="str">
        <x:v>pi0.5 Results</x:v>
      </x:c>
      <x:c r="AM123" s="9" t="n">
        <x:v>123</x:v>
      </x:c>
      <x:c r="AN123" s="9" t="n">
        <x:v>123</x:v>
      </x:c>
    </x:row>
    <x:row r="124">
      <x:c r="A124" s="9" t="str">
        <x:v>Success</x:v>
      </x:c>
      <x:c r="B124" s="9" t="str">
        <x:v>State Recognition</x:v>
      </x:c>
      <x:c r="C124" s="10" t="n">
        <x:v>122</x:v>
      </x:c>
      <x:c r="D124" s="9" t="str">
        <x:v>Place the closed black cup in the bowl.</x:v>
      </x:c>
      <x:c r="E124" s="9" t="str">
        <x:v>black cup A (O, RU); black cup B (C, RU)</x:v>
      </x:c>
      <x:c r="F124" s="9" t="str">
        <x:v>black cup B</x:v>
      </x:c>
      <x:c r="G124" s="9"/>
      <x:c r="H124" s="9" t="str">
        <x:v>Novel-object state reasoning</x:v>
      </x:c>
      <x:c r="I124" s="9" t="str">
        <x:v>SR-BLACK-CF07</x:v>
      </x:c>
      <x:c r="J124" s="9" t="str">
        <x:v>Exact-scene counterfactual globally unseen black-cup state reasoning</x:v>
      </x:c>
      <x:c r="K124" s="9"/>
      <x:c r="L124" s="9" t="n">
        <x:v>0</x:v>
      </x:c>
      <x:c r="M124" s="9" t="str">
        <x:v>State-word concept reference from training episode 0; black cups are globally unseen. This is an exact-scene state counterfactual pair, not a direct-name manipulation control.</x:v>
      </x:c>
      <x:c r="N124" s="9" t="n">
        <x:v>5</x:v>
      </x:c>
      <x:c r="O124" s="9" t="str">
        <x:v>Build the listed scene with both black cups and an empty bowl.</x:v>
      </x:c>
      <x:c r="P124" s="9" t="str">
        <x:v>Counterfactual C/O pair: both black cups and every distractor are RU; only the queried state word changes the correct black cup.</x:v>
      </x:c>
      <x:c r="Q124" s="9"/>
      <x:c r="R124" s="10" t="n">
        <x:v>2</x:v>
      </x:c>
      <x:c r="S124" s="10" t="n">
        <x:v>1</x:v>
      </x:c>
      <x:c r="T124" s="9" t="str">
        <x:v>Empty</x:v>
      </x:c>
      <x:c r="U124" s="9" t="str">
        <x:v>C</x:v>
      </x:c>
      <x:c r="V124" s="9" t="str">
        <x:v>black cup</x:v>
      </x:c>
      <x:c r="W124" s="9"/>
      <x:c r="X124" s="10"/>
      <x:c r="Y124" s="10"/>
      <x:c r="Z124" s="9"/>
      <x:c r="AA124" s="9"/>
      <x:c r="AB124" s="9"/>
      <x:c r="AC124" s="9"/>
      <x:c r="AD124" s="9"/>
      <x:c r="AE124" s="9"/>
      <x:c r="AF124" s="9"/>
      <x:c r="AG124" s="9"/>
      <x:c r="AH124" s="9"/>
      <x:c r="AI124" s="11"/>
      <x:c r="AJ124" s="9"/>
      <x:c r="AK124" s="9" t="str">
        <x:v>Eval_State_Recognition.xlsm</x:v>
      </x:c>
      <x:c r="AL124" s="9" t="str">
        <x:v>pi0.5 Results</x:v>
      </x:c>
      <x:c r="AM124" s="9" t="n">
        <x:v>124</x:v>
      </x:c>
      <x:c r="AN124" s="9" t="n">
        <x:v>124</x:v>
      </x:c>
    </x:row>
    <x:row r="125">
      <x:c r="A125" s="9" t="str">
        <x:v>Failure</x:v>
      </x:c>
      <x:c r="B125" s="9" t="str">
        <x:v>State Recognition</x:v>
      </x:c>
      <x:c r="C125" s="10" t="n">
        <x:v>123</x:v>
      </x:c>
      <x:c r="D125" s="9" t="str">
        <x:v>Place the open black cup in the bowl.</x:v>
      </x:c>
      <x:c r="E125" s="9" t="str">
        <x:v>black cup A (O, RU); black cup B (C, RU)</x:v>
      </x:c>
      <x:c r="F125" s="9" t="str">
        <x:v>black cup A</x:v>
      </x:c>
      <x:c r="G125" s="9" t="str">
        <x:v>went for closed black cup</x:v>
      </x:c>
      <x:c r="H125" s="9" t="str">
        <x:v>Novel-object state reasoning</x:v>
      </x:c>
      <x:c r="I125" s="9" t="str">
        <x:v>SR-BLACK-CF07</x:v>
      </x:c>
      <x:c r="J125" s="9" t="str">
        <x:v>Exact-scene counterfactual globally unseen black-cup state reasoning</x:v>
      </x:c>
      <x:c r="K125" s="9" t="n">
        <x:v>122</x:v>
      </x:c>
      <x:c r="L125" s="9" t="n">
        <x:v>101</x:v>
      </x:c>
      <x:c r="M125" s="9" t="str">
        <x:v>State-word concept reference from training episode 101; black cups are globally unseen. This is an exact-scene state counterfactual pair, not a direct-name manipulation control.</x:v>
      </x:c>
      <x:c r="N125" s="9" t="n">
        <x:v>5</x:v>
      </x:c>
      <x:c r="O125" s="9" t="str">
        <x:v>Reset the moved black cup to its marked pose; preserve the exact scene and change only the state word in the prompt.</x:v>
      </x:c>
      <x:c r="P125" s="9" t="str">
        <x:v>Counterfactual C/O pair: both black cups and every distractor are RU; only the queried state word changes the correct black cup.</x:v>
      </x:c>
      <x:c r="Q125" s="9"/>
      <x:c r="R125" s="10" t="n">
        <x:v>2</x:v>
      </x:c>
      <x:c r="S125" s="10" t="n">
        <x:v>1</x:v>
      </x:c>
      <x:c r="T125" s="9" t="str">
        <x:v>Empty</x:v>
      </x:c>
      <x:c r="U125" s="9" t="str">
        <x:v>O</x:v>
      </x:c>
      <x:c r="V125" s="9" t="str">
        <x:v>black cup</x:v>
      </x:c>
      <x:c r="W125" s="9"/>
      <x:c r="X125" s="10"/>
      <x:c r="Y125" s="10"/>
      <x:c r="Z125" s="9"/>
      <x:c r="AA125" s="9"/>
      <x:c r="AB125" s="9"/>
      <x:c r="AC125" s="9"/>
      <x:c r="AD125" s="9"/>
      <x:c r="AE125" s="9"/>
      <x:c r="AF125" s="9"/>
      <x:c r="AG125" s="9"/>
      <x:c r="AH125" s="9"/>
      <x:c r="AI125" s="11"/>
      <x:c r="AJ125" s="9"/>
      <x:c r="AK125" s="9" t="str">
        <x:v>Eval_State_Recognition.xlsm</x:v>
      </x:c>
      <x:c r="AL125" s="9" t="str">
        <x:v>pi0.5 Results</x:v>
      </x:c>
      <x:c r="AM125" s="9" t="n">
        <x:v>125</x:v>
      </x:c>
      <x:c r="AN125" s="9" t="n">
        <x:v>125</x:v>
      </x:c>
    </x:row>
    <x:row r="126">
      <x:c r="A126" s="9" t="str">
        <x:v>Success</x:v>
      </x:c>
      <x:c r="B126" s="9" t="str">
        <x:v>State Recognition</x:v>
      </x:c>
      <x:c r="C126" s="10" t="n">
        <x:v>124</x:v>
      </x:c>
      <x:c r="D126" s="9" t="str">
        <x:v>Place the upside-down black cup in the bowl.</x:v>
      </x:c>
      <x:c r="E126" s="9" t="str">
        <x:v>black cup A (O, RU); black cup B (O, UD); glass spice container B (O, UD)</x:v>
      </x:c>
      <x:c r="F126" s="9" t="str">
        <x:v>black cup B</x:v>
      </x:c>
      <x:c r="G126" s="9" t="str">
        <x:v>both black cups placed equidistant from robot</x:v>
      </x:c>
      <x:c r="H126" s="9" t="str">
        <x:v>Novel-object state reasoning</x:v>
      </x:c>
      <x:c r="I126" s="9" t="str">
        <x:v>SR-BLACK-CF08</x:v>
      </x:c>
      <x:c r="J126" s="9" t="str">
        <x:v>Exact-scene counterfactual globally unseen black-cup state reasoning</x:v>
      </x:c>
      <x:c r="K126" s="9"/>
      <x:c r="L126" s="9" t="n">
        <x:v>78</x:v>
      </x:c>
      <x:c r="M126" s="9" t="str">
        <x:v>State-word concept reference from training episode 78; black cups are globally unseen. This is an exact-scene state counterfactual pair, not a direct-name manipulation control.</x:v>
      </x:c>
      <x:c r="N126" s="9" t="n">
        <x:v>5</x:v>
      </x:c>
      <x:c r="O126" s="9" t="str">
        <x:v>Build the listed scene with both black cups and an empty bowl.</x:v>
      </x:c>
      <x:c r="P126" s="9" t="str">
        <x:v>Counterfactual UD/RU pair: both black cups share the orthogonal C/O state (O); only the queried state word changes the correct black cup.</x:v>
      </x:c>
      <x:c r="Q126" s="9"/>
      <x:c r="R126" s="10" t="n">
        <x:v>3</x:v>
      </x:c>
      <x:c r="S126" s="10" t="n">
        <x:v>1</x:v>
      </x:c>
      <x:c r="T126" s="9" t="str">
        <x:v>Empty</x:v>
      </x:c>
      <x:c r="U126" s="9" t="str">
        <x:v>UD</x:v>
      </x:c>
      <x:c r="V126" s="9" t="str">
        <x:v>black cup</x:v>
      </x:c>
      <x:c r="W126" s="9"/>
      <x:c r="X126" s="10"/>
      <x:c r="Y126" s="10"/>
      <x:c r="Z126" s="9"/>
      <x:c r="AA126" s="9"/>
      <x:c r="AB126" s="9"/>
      <x:c r="AC126" s="9"/>
      <x:c r="AD126" s="9"/>
      <x:c r="AE126" s="9"/>
      <x:c r="AF126" s="9"/>
      <x:c r="AG126" s="9"/>
      <x:c r="AH126" s="9"/>
      <x:c r="AI126" s="11"/>
      <x:c r="AJ126" s="9"/>
      <x:c r="AK126" s="9" t="str">
        <x:v>Eval_State_Recognition.xlsm</x:v>
      </x:c>
      <x:c r="AL126" s="9" t="str">
        <x:v>pi0.5 Results</x:v>
      </x:c>
      <x:c r="AM126" s="9" t="n">
        <x:v>126</x:v>
      </x:c>
      <x:c r="AN126" s="9" t="n">
        <x:v>126</x:v>
      </x:c>
    </x:row>
    <x:row r="127">
      <x:c r="A127" s="9" t="str">
        <x:v>Success</x:v>
      </x:c>
      <x:c r="B127" s="9" t="str">
        <x:v>State Recognition</x:v>
      </x:c>
      <x:c r="C127" s="10" t="n">
        <x:v>125</x:v>
      </x:c>
      <x:c r="D127" s="9" t="str">
        <x:v>Place the upright black cup in the bowl.</x:v>
      </x:c>
      <x:c r="E127" s="9" t="str">
        <x:v>black cup A (O, RU); black cup B (O, UD); glass spice container B (O, UD)</x:v>
      </x:c>
      <x:c r="F127" s="9" t="str">
        <x:v>black cup A</x:v>
      </x:c>
      <x:c r="G127" s="9" t="str">
        <x:v>both black cups placed equidistant from robot</x:v>
      </x:c>
      <x:c r="H127" s="9" t="str">
        <x:v>Novel-object state reasoning</x:v>
      </x:c>
      <x:c r="I127" s="9" t="str">
        <x:v>SR-BLACK-CF08</x:v>
      </x:c>
      <x:c r="J127" s="9" t="str">
        <x:v>Exact-scene counterfactual globally unseen black-cup state reasoning</x:v>
      </x:c>
      <x:c r="K127" s="9" t="n">
        <x:v>124</x:v>
      </x:c>
      <x:c r="L127" s="9" t="n">
        <x:v>26</x:v>
      </x:c>
      <x:c r="M127" s="9" t="str">
        <x:v>State-word concept reference from training episode 26; black cups are globally unseen. This is an exact-scene state counterfactual pair, not a direct-name manipulation control.</x:v>
      </x:c>
      <x:c r="N127" s="9" t="n">
        <x:v>5</x:v>
      </x:c>
      <x:c r="O127" s="9" t="str">
        <x:v>Reset the moved black cup to its marked pose; preserve the exact scene and change only the state word in the prompt.</x:v>
      </x:c>
      <x:c r="P127" s="9" t="str">
        <x:v>Counterfactual UD/RU pair: both black cups share the orthogonal C/O state (O); only the queried state word changes the correct black cup.</x:v>
      </x:c>
      <x:c r="Q127" s="9"/>
      <x:c r="R127" s="10" t="n">
        <x:v>3</x:v>
      </x:c>
      <x:c r="S127" s="10" t="n">
        <x:v>1</x:v>
      </x:c>
      <x:c r="T127" s="9" t="str">
        <x:v>Empty</x:v>
      </x:c>
      <x:c r="U127" s="9" t="str">
        <x:v>RU</x:v>
      </x:c>
      <x:c r="V127" s="9" t="str">
        <x:v>black cup</x:v>
      </x:c>
      <x:c r="W127" s="9"/>
      <x:c r="X127" s="10"/>
      <x:c r="Y127" s="10"/>
      <x:c r="Z127" s="9"/>
      <x:c r="AA127" s="9"/>
      <x:c r="AB127" s="9"/>
      <x:c r="AC127" s="9"/>
      <x:c r="AD127" s="9"/>
      <x:c r="AE127" s="9"/>
      <x:c r="AF127" s="9"/>
      <x:c r="AG127" s="9"/>
      <x:c r="AH127" s="9"/>
      <x:c r="AI127" s="11"/>
      <x:c r="AJ127" s="9"/>
      <x:c r="AK127" s="9" t="str">
        <x:v>Eval_State_Recognition.xlsm</x:v>
      </x:c>
      <x:c r="AL127" s="9" t="str">
        <x:v>pi0.5 Results</x:v>
      </x:c>
      <x:c r="AM127" s="9" t="n">
        <x:v>127</x:v>
      </x:c>
      <x:c r="AN127" s="9" t="n">
        <x:v>127</x:v>
      </x:c>
    </x:row>
    <x:row r="128">
      <x:c r="A128" s="9" t="str">
        <x:v>Success</x:v>
      </x:c>
      <x:c r="B128" s="9" t="str">
        <x:v>State Recognition</x:v>
      </x:c>
      <x:c r="C128" s="10" t="n">
        <x:v>126</x:v>
      </x:c>
      <x:c r="D128" s="9" t="str">
        <x:v>Place the closed black cup in the bowl.</x:v>
      </x:c>
      <x:c r="E128" s="9" t="str">
        <x:v>black cup A (C, RU); black cup B (O, RU); white cup A (C, RU); yellow-white striped cup B (O, RU)</x:v>
      </x:c>
      <x:c r="F128" s="9" t="str">
        <x:v>black cup A</x:v>
      </x:c>
      <x:c r="G128" s="9"/>
      <x:c r="H128" s="9" t="str">
        <x:v>Novel-object state reasoning</x:v>
      </x:c>
      <x:c r="I128" s="9" t="str">
        <x:v>SR-BLACK-CF09</x:v>
      </x:c>
      <x:c r="J128" s="9" t="str">
        <x:v>Exact-scene counterfactual globally unseen black-cup state reasoning</x:v>
      </x:c>
      <x:c r="K128" s="9"/>
      <x:c r="L128" s="9" t="n">
        <x:v>0</x:v>
      </x:c>
      <x:c r="M128" s="9" t="str">
        <x:v>State-word concept reference from training episode 0; black cups are globally unseen. This is an exact-scene state counterfactual pair, not a direct-name manipulation control.</x:v>
      </x:c>
      <x:c r="N128" s="9" t="n">
        <x:v>5</x:v>
      </x:c>
      <x:c r="O128" s="9" t="str">
        <x:v>Build the listed scene with both black cups and an empty bowl.</x:v>
      </x:c>
      <x:c r="P128" s="9" t="str">
        <x:v>Counterfactual C/O pair: both black cups and every distractor are RU; only the queried state word changes the correct black cup.</x:v>
      </x:c>
      <x:c r="Q128" s="9"/>
      <x:c r="R128" s="10" t="n">
        <x:v>4</x:v>
      </x:c>
      <x:c r="S128" s="10" t="n">
        <x:v>1</x:v>
      </x:c>
      <x:c r="T128" s="9" t="str">
        <x:v>Empty</x:v>
      </x:c>
      <x:c r="U128" s="9" t="str">
        <x:v>C</x:v>
      </x:c>
      <x:c r="V128" s="9" t="str">
        <x:v>black cup</x:v>
      </x:c>
      <x:c r="W128" s="9"/>
      <x:c r="X128" s="10"/>
      <x:c r="Y128" s="10"/>
      <x:c r="Z128" s="9"/>
      <x:c r="AA128" s="9"/>
      <x:c r="AB128" s="9"/>
      <x:c r="AC128" s="9"/>
      <x:c r="AD128" s="9"/>
      <x:c r="AE128" s="9"/>
      <x:c r="AF128" s="9"/>
      <x:c r="AG128" s="9"/>
      <x:c r="AH128" s="9"/>
      <x:c r="AI128" s="11"/>
      <x:c r="AJ128" s="9"/>
      <x:c r="AK128" s="9" t="str">
        <x:v>Eval_State_Recognition.xlsm</x:v>
      </x:c>
      <x:c r="AL128" s="9" t="str">
        <x:v>pi0.5 Results</x:v>
      </x:c>
      <x:c r="AM128" s="9" t="n">
        <x:v>128</x:v>
      </x:c>
      <x:c r="AN128" s="9" t="n">
        <x:v>128</x:v>
      </x:c>
    </x:row>
    <x:row r="129">
      <x:c r="A129" s="9" t="str">
        <x:v>Success</x:v>
      </x:c>
      <x:c r="B129" s="9" t="str">
        <x:v>State Recognition</x:v>
      </x:c>
      <x:c r="C129" s="10" t="n">
        <x:v>127</x:v>
      </x:c>
      <x:c r="D129" s="9" t="str">
        <x:v>Place the open black cup in the bowl.</x:v>
      </x:c>
      <x:c r="E129" s="9" t="str">
        <x:v>black cup A (C, RU); black cup B (O, RU); white cup A (C, RU); yellow-white striped cup B (O, RU)</x:v>
      </x:c>
      <x:c r="F129" s="9" t="str">
        <x:v>black cup B</x:v>
      </x:c>
      <x:c r="G129" s="9"/>
      <x:c r="H129" s="9" t="str">
        <x:v>Novel-object state reasoning</x:v>
      </x:c>
      <x:c r="I129" s="9" t="str">
        <x:v>SR-BLACK-CF09</x:v>
      </x:c>
      <x:c r="J129" s="9" t="str">
        <x:v>Exact-scene counterfactual globally unseen black-cup state reasoning</x:v>
      </x:c>
      <x:c r="K129" s="9" t="n">
        <x:v>126</x:v>
      </x:c>
      <x:c r="L129" s="9" t="n">
        <x:v>101</x:v>
      </x:c>
      <x:c r="M129" s="9" t="str">
        <x:v>State-word concept reference from training episode 101; black cups are globally unseen. This is an exact-scene state counterfactual pair, not a direct-name manipulation control.</x:v>
      </x:c>
      <x:c r="N129" s="9" t="n">
        <x:v>5</x:v>
      </x:c>
      <x:c r="O129" s="9" t="str">
        <x:v>Reset the moved black cup to its marked pose; preserve the exact scene and change only the state word in the prompt.</x:v>
      </x:c>
      <x:c r="P129" s="9" t="str">
        <x:v>Counterfactual C/O pair: both black cups and every distractor are RU; only the queried state word changes the correct black cup.</x:v>
      </x:c>
      <x:c r="Q129" s="9"/>
      <x:c r="R129" s="10" t="n">
        <x:v>4</x:v>
      </x:c>
      <x:c r="S129" s="10" t="n">
        <x:v>1</x:v>
      </x:c>
      <x:c r="T129" s="9" t="str">
        <x:v>Empty</x:v>
      </x:c>
      <x:c r="U129" s="9" t="str">
        <x:v>O</x:v>
      </x:c>
      <x:c r="V129" s="9" t="str">
        <x:v>black cup</x:v>
      </x:c>
      <x:c r="W129" s="9"/>
      <x:c r="X129" s="10"/>
      <x:c r="Y129" s="10"/>
      <x:c r="Z129" s="9"/>
      <x:c r="AA129" s="9"/>
      <x:c r="AB129" s="9"/>
      <x:c r="AC129" s="9"/>
      <x:c r="AD129" s="9"/>
      <x:c r="AE129" s="9"/>
      <x:c r="AF129" s="9"/>
      <x:c r="AG129" s="9"/>
      <x:c r="AH129" s="9"/>
      <x:c r="AI129" s="11"/>
      <x:c r="AJ129" s="9"/>
      <x:c r="AK129" s="9" t="str">
        <x:v>Eval_State_Recognition.xlsm</x:v>
      </x:c>
      <x:c r="AL129" s="9" t="str">
        <x:v>pi0.5 Results</x:v>
      </x:c>
      <x:c r="AM129" s="9" t="n">
        <x:v>129</x:v>
      </x:c>
      <x:c r="AN129" s="9" t="n">
        <x:v>129</x:v>
      </x:c>
    </x:row>
    <x:row r="130">
      <x:c r="A130" s="9" t="str">
        <x:v>Success</x:v>
      </x:c>
      <x:c r="B130" s="9" t="str">
        <x:v>State Recognition</x:v>
      </x:c>
      <x:c r="C130" s="10" t="n">
        <x:v>128</x:v>
      </x:c>
      <x:c r="D130" s="9" t="str">
        <x:v>Place the upside-down black cup in the bowl.</x:v>
      </x:c>
      <x:c r="E130" s="9" t="str">
        <x:v>black cup A (C, UD); black cup B (C, RU); yellow-white striped cup B (O, UD)</x:v>
      </x:c>
      <x:c r="F130" s="9" t="str">
        <x:v>black cup A</x:v>
      </x:c>
      <x:c r="G130" s="9"/>
      <x:c r="H130" s="9" t="str">
        <x:v>Novel-object state reasoning</x:v>
      </x:c>
      <x:c r="I130" s="9" t="str">
        <x:v>SR-BLACK-CF10</x:v>
      </x:c>
      <x:c r="J130" s="9" t="str">
        <x:v>Exact-scene counterfactual globally unseen black-cup state reasoning</x:v>
      </x:c>
      <x:c r="K130" s="9"/>
      <x:c r="L130" s="9" t="n">
        <x:v>78</x:v>
      </x:c>
      <x:c r="M130" s="9" t="str">
        <x:v>State-word concept reference from training episode 78; black cups are globally unseen. This is an exact-scene state counterfactual pair, not a direct-name manipulation control.</x:v>
      </x:c>
      <x:c r="N130" s="9" t="n">
        <x:v>5</x:v>
      </x:c>
      <x:c r="O130" s="9" t="str">
        <x:v>Build the listed scene with both black cups and an empty bowl.</x:v>
      </x:c>
      <x:c r="P130" s="9" t="str">
        <x:v>Counterfactual UD/RU pair: both black cups share the orthogonal C/O state (C); only the queried state word changes the correct black cup.</x:v>
      </x:c>
      <x:c r="Q130" s="9"/>
      <x:c r="R130" s="10" t="n">
        <x:v>3</x:v>
      </x:c>
      <x:c r="S130" s="10" t="n">
        <x:v>1</x:v>
      </x:c>
      <x:c r="T130" s="9" t="str">
        <x:v>Empty</x:v>
      </x:c>
      <x:c r="U130" s="9" t="str">
        <x:v>UD</x:v>
      </x:c>
      <x:c r="V130" s="9" t="str">
        <x:v>black cup</x:v>
      </x:c>
      <x:c r="W130" s="9"/>
      <x:c r="X130" s="10"/>
      <x:c r="Y130" s="10"/>
      <x:c r="Z130" s="9"/>
      <x:c r="AA130" s="9"/>
      <x:c r="AB130" s="9"/>
      <x:c r="AC130" s="9"/>
      <x:c r="AD130" s="9"/>
      <x:c r="AE130" s="9"/>
      <x:c r="AF130" s="9"/>
      <x:c r="AG130" s="9"/>
      <x:c r="AH130" s="9"/>
      <x:c r="AI130" s="11"/>
      <x:c r="AJ130" s="9"/>
      <x:c r="AK130" s="9" t="str">
        <x:v>Eval_State_Recognition.xlsm</x:v>
      </x:c>
      <x:c r="AL130" s="9" t="str">
        <x:v>pi0.5 Results</x:v>
      </x:c>
      <x:c r="AM130" s="9" t="n">
        <x:v>130</x:v>
      </x:c>
      <x:c r="AN130" s="9" t="n">
        <x:v>130</x:v>
      </x:c>
    </x:row>
    <x:row r="131">
      <x:c r="A131" s="9" t="str">
        <x:v>Failure</x:v>
      </x:c>
      <x:c r="B131" s="9" t="str">
        <x:v>State Recognition</x:v>
      </x:c>
      <x:c r="C131" s="10" t="n">
        <x:v>129</x:v>
      </x:c>
      <x:c r="D131" s="9" t="str">
        <x:v>Place the upright black cup in the bowl.</x:v>
      </x:c>
      <x:c r="E131" s="9" t="str">
        <x:v>black cup A (C, UD); black cup B (C, RU); yellow-white striped cup B (O, UD)</x:v>
      </x:c>
      <x:c r="F131" s="9" t="str">
        <x:v>black cup B</x:v>
      </x:c>
      <x:c r="G131" s="9" t="str">
        <x:v>picked upside down black cup</x:v>
      </x:c>
      <x:c r="H131" s="9" t="str">
        <x:v>Novel-object state reasoning</x:v>
      </x:c>
      <x:c r="I131" s="9" t="str">
        <x:v>SR-BLACK-CF10</x:v>
      </x:c>
      <x:c r="J131" s="9" t="str">
        <x:v>Exact-scene counterfactual globally unseen black-cup state reasoning</x:v>
      </x:c>
      <x:c r="K131" s="9" t="n">
        <x:v>128</x:v>
      </x:c>
      <x:c r="L131" s="9" t="n">
        <x:v>26</x:v>
      </x:c>
      <x:c r="M131" s="9" t="str">
        <x:v>State-word concept reference from training episode 26; black cups are globally unseen. This is an exact-scene state counterfactual pair, not a direct-name manipulation control.</x:v>
      </x:c>
      <x:c r="N131" s="9" t="n">
        <x:v>5</x:v>
      </x:c>
      <x:c r="O131" s="9" t="str">
        <x:v>Reset the moved black cup to its marked pose; preserve the exact scene and change only the state word in the prompt.</x:v>
      </x:c>
      <x:c r="P131" s="9" t="str">
        <x:v>Counterfactual UD/RU pair: both black cups share the orthogonal C/O state (C); only the queried state word changes the correct black cup.</x:v>
      </x:c>
      <x:c r="Q131" s="9"/>
      <x:c r="R131" s="10" t="n">
        <x:v>3</x:v>
      </x:c>
      <x:c r="S131" s="10" t="n">
        <x:v>1</x:v>
      </x:c>
      <x:c r="T131" s="9" t="str">
        <x:v>Empty</x:v>
      </x:c>
      <x:c r="U131" s="9" t="str">
        <x:v>RU</x:v>
      </x:c>
      <x:c r="V131" s="9" t="str">
        <x:v>black cup</x:v>
      </x:c>
      <x:c r="W131" s="9"/>
      <x:c r="X131" s="10"/>
      <x:c r="Y131" s="10"/>
      <x:c r="Z131" s="9"/>
      <x:c r="AA131" s="9"/>
      <x:c r="AB131" s="9"/>
      <x:c r="AC131" s="9"/>
      <x:c r="AD131" s="9"/>
      <x:c r="AE131" s="9"/>
      <x:c r="AF131" s="9"/>
      <x:c r="AG131" s="9"/>
      <x:c r="AH131" s="9"/>
      <x:c r="AI131" s="11"/>
      <x:c r="AJ131" s="9"/>
      <x:c r="AK131" s="9" t="str">
        <x:v>Eval_State_Recognition.xlsm</x:v>
      </x:c>
      <x:c r="AL131" s="9" t="str">
        <x:v>pi0.5 Results</x:v>
      </x:c>
      <x:c r="AM131" s="9" t="n">
        <x:v>131</x:v>
      </x:c>
      <x:c r="AN131" s="9" t="n">
        <x:v>131</x:v>
      </x:c>
    </x:row>
    <x:row r="132">
      <x:c r="A132" s="9" t="str">
        <x:v>Failure</x:v>
      </x:c>
      <x:c r="B132" s="9" t="str">
        <x:v>State Recognition</x:v>
      </x:c>
      <x:c r="C132" s="10" t="n">
        <x:v>130</x:v>
      </x:c>
      <x:c r="D132" s="9" t="str">
        <x:v>Place the closed white cup in the bowl.</x:v>
      </x:c>
      <x:c r="E132" s="9" t="str">
        <x:v>white cup A (O, RU); white cup B (O, RU)</x:v>
      </x:c>
      <x:c r="F132" s="9" t="str">
        <x:v>NO-OP; no object has state C, so nothing should be picked up</x:v>
      </x:c>
      <x:c r="G132" s="9" t="str">
        <x:v>picked the white cup closest to the bowl</x:v>
      </x:c>
      <x:c r="H132" s="9" t="str">
        <x:v>No valid target / no movement</x:v>
      </x:c>
      <x:c r="I132" s="9" t="str">
        <x:v>SR-NOOP01</x:v>
      </x:c>
      <x:c r="J132" s="9" t="str">
        <x:v>No satisfying state present; bowl remains empty</x:v>
      </x:c>
      <x:c r="K132" s="9"/>
      <x:c r="L132" s="9" t="str">
        <x:v>0</x:v>
      </x:c>
      <x:c r="M132" s="9" t="str">
        <x:v>The state-object concept is explicitly trained, but training does not contain a no-satisfying-target abstention trajectory. All objects are upright, matching the context of every explicit open/closed training demonstration.</x:v>
      </x:c>
      <x:c r="N132" s="9" t="n">
        <x:v>6</x:v>
      </x:c>
      <x:c r="O132" s="9" t="str">
        <x:v>Build the listed no-match scene and confirm the bowl is empty.</x:v>
      </x:c>
      <x:c r="P132" s="9" t="str">
        <x:v>No object in the entire scene has the queried state. The prompt uses the same canonical frame as active trials, and the queried state-object cell is training-supported. The orthogonal orientation axis is fixed: every object is RU.</x:v>
      </x:c>
      <x:c r="Q132" s="9"/>
      <x:c r="R132" s="10" t="n">
        <x:v>2</x:v>
      </x:c>
      <x:c r="S132" s="10" t="n">
        <x:v>0</x:v>
      </x:c>
      <x:c r="T132" s="9" t="str">
        <x:v>Empty</x:v>
      </x:c>
      <x:c r="U132" s="9" t="str">
        <x:v>C</x:v>
      </x:c>
      <x:c r="V132" s="9" t="str">
        <x:v>white cup</x:v>
      </x:c>
      <x:c r="W132" s="9"/>
      <x:c r="X132" s="10"/>
      <x:c r="Y132" s="10"/>
      <x:c r="Z132" s="9"/>
      <x:c r="AA132" s="9"/>
      <x:c r="AB132" s="9"/>
      <x:c r="AC132" s="9"/>
      <x:c r="AD132" s="9"/>
      <x:c r="AE132" s="9"/>
      <x:c r="AF132" s="9"/>
      <x:c r="AG132" s="9"/>
      <x:c r="AH132" s="9"/>
      <x:c r="AI132" s="11"/>
      <x:c r="AJ132" s="9"/>
      <x:c r="AK132" s="9" t="str">
        <x:v>Eval_State_Recognition.xlsm</x:v>
      </x:c>
      <x:c r="AL132" s="9" t="str">
        <x:v>pi0.5 Results</x:v>
      </x:c>
      <x:c r="AM132" s="9" t="n">
        <x:v>132</x:v>
      </x:c>
      <x:c r="AN132" s="9" t="n">
        <x:v>132</x:v>
      </x:c>
    </x:row>
    <x:row r="133">
      <x:c r="A133" s="9" t="str">
        <x:v>Failure</x:v>
      </x:c>
      <x:c r="B133" s="9" t="str">
        <x:v>State Recognition</x:v>
      </x:c>
      <x:c r="C133" s="10" t="n">
        <x:v>131</x:v>
      </x:c>
      <x:c r="D133" s="9" t="str">
        <x:v>Place the upside-down yellow-white striped cup in the bowl.</x:v>
      </x:c>
      <x:c r="E133" s="9" t="str">
        <x:v>yellow-white striped cup A (C, RU); yellow-white striped cup B (C, RU); brown cup B (O, RU)</x:v>
      </x:c>
      <x:c r="F133" s="9" t="str">
        <x:v>NO-OP; no object has state UD, so nothing should be picked up</x:v>
      </x:c>
      <x:c r="G133" s="9" t="str">
        <x:v>placed the yellow white striped cup futhest from the bowl in the bowl</x:v>
      </x:c>
      <x:c r="H133" s="9" t="str">
        <x:v>No valid target / no movement</x:v>
      </x:c>
      <x:c r="I133" s="9" t="str">
        <x:v>SR-NOOP02</x:v>
      </x:c>
      <x:c r="J133" s="9" t="str">
        <x:v>No satisfying state present; bowl remains empty</x:v>
      </x:c>
      <x:c r="K133" s="9"/>
      <x:c r="L133" s="9" t="str">
        <x:v>78</x:v>
      </x:c>
      <x:c r="M133" s="9" t="str">
        <x:v>The state-object concept is explicitly trained, but training does not contain a no-satisfying-target abstention trajectory.</x:v>
      </x:c>
      <x:c r="N133" s="9" t="n">
        <x:v>6</x:v>
      </x:c>
      <x:c r="O133" s="9" t="str">
        <x:v>Build the listed no-match scene and confirm the bowl is empty.</x:v>
      </x:c>
      <x:c r="P133" s="9" t="str">
        <x:v>No object in the entire scene has the queried state. The prompt uses the same canonical frame as active trials, and the queried state-object cell is training-supported. The same-category candidates share the orthogonal C/O state (C).</x:v>
      </x:c>
      <x:c r="Q133" s="9"/>
      <x:c r="R133" s="10" t="n">
        <x:v>3</x:v>
      </x:c>
      <x:c r="S133" s="10" t="n">
        <x:v>0</x:v>
      </x:c>
      <x:c r="T133" s="9" t="str">
        <x:v>Empty</x:v>
      </x:c>
      <x:c r="U133" s="9" t="str">
        <x:v>UD</x:v>
      </x:c>
      <x:c r="V133" s="9" t="str">
        <x:v>yellow-white striped cup</x:v>
      </x:c>
      <x:c r="W133" s="9"/>
      <x:c r="X133" s="10"/>
      <x:c r="Y133" s="10"/>
      <x:c r="Z133" s="9"/>
      <x:c r="AA133" s="9"/>
      <x:c r="AB133" s="9"/>
      <x:c r="AC133" s="9"/>
      <x:c r="AD133" s="9"/>
      <x:c r="AE133" s="9"/>
      <x:c r="AF133" s="9"/>
      <x:c r="AG133" s="9"/>
      <x:c r="AH133" s="9"/>
      <x:c r="AI133" s="11"/>
      <x:c r="AJ133" s="9"/>
      <x:c r="AK133" s="9" t="str">
        <x:v>Eval_State_Recognition.xlsm</x:v>
      </x:c>
      <x:c r="AL133" s="9" t="str">
        <x:v>pi0.5 Results</x:v>
      </x:c>
      <x:c r="AM133" s="9" t="n">
        <x:v>133</x:v>
      </x:c>
      <x:c r="AN133" s="9" t="n">
        <x:v>133</x:v>
      </x:c>
    </x:row>
    <x:row r="134">
      <x:c r="A134" s="9" t="str">
        <x:v>Failure</x:v>
      </x:c>
      <x:c r="B134" s="9" t="str">
        <x:v>State Recognition</x:v>
      </x:c>
      <x:c r="C134" s="10" t="n">
        <x:v>132</x:v>
      </x:c>
      <x:c r="D134" s="9" t="str">
        <x:v>Place the open brown cup in the bowl.</x:v>
      </x:c>
      <x:c r="E134" s="9" t="str">
        <x:v>brown cup A (C, RU); brown cup B (C, RU); glass spice container A (C, RU); white cup B (C, RU)</x:v>
      </x:c>
      <x:c r="F134" s="9" t="str">
        <x:v>NO-OP; no object has state O, so nothing should be picked up</x:v>
      </x:c>
      <x:c r="G134" s="9" t="str">
        <x:v>picked brown cup closest to the bowl</x:v>
      </x:c>
      <x:c r="H134" s="9" t="str">
        <x:v>No valid target / no movement</x:v>
      </x:c>
      <x:c r="I134" s="9" t="str">
        <x:v>SR-NOOP03</x:v>
      </x:c>
      <x:c r="J134" s="9" t="str">
        <x:v>No satisfying state present; bowl remains empty</x:v>
      </x:c>
      <x:c r="K134" s="9"/>
      <x:c r="L134" s="9" t="str">
        <x:v>101</x:v>
      </x:c>
      <x:c r="M134" s="9" t="str">
        <x:v>The state-object concept is explicitly trained, but training does not contain a no-satisfying-target abstention trajectory. All objects are upright, matching the context of every explicit open/closed training demonstration.</x:v>
      </x:c>
      <x:c r="N134" s="9" t="n">
        <x:v>6</x:v>
      </x:c>
      <x:c r="O134" s="9" t="str">
        <x:v>Build the listed no-match scene and confirm the bowl is empty.</x:v>
      </x:c>
      <x:c r="P134" s="9" t="str">
        <x:v>No object in the entire scene has the queried state. The prompt uses the same canonical frame as active trials, and the queried state-object cell is training-supported. The orthogonal orientation axis is fixed: every object is RU.</x:v>
      </x:c>
      <x:c r="Q134" s="9"/>
      <x:c r="R134" s="10" t="n">
        <x:v>4</x:v>
      </x:c>
      <x:c r="S134" s="10" t="n">
        <x:v>0</x:v>
      </x:c>
      <x:c r="T134" s="9" t="str">
        <x:v>Empty</x:v>
      </x:c>
      <x:c r="U134" s="9" t="str">
        <x:v>O</x:v>
      </x:c>
      <x:c r="V134" s="9" t="str">
        <x:v>brown cup</x:v>
      </x:c>
      <x:c r="W134" s="9"/>
      <x:c r="X134" s="10"/>
      <x:c r="Y134" s="10"/>
      <x:c r="Z134" s="9"/>
      <x:c r="AA134" s="9"/>
      <x:c r="AB134" s="9"/>
      <x:c r="AC134" s="9"/>
      <x:c r="AD134" s="9"/>
      <x:c r="AE134" s="9"/>
      <x:c r="AF134" s="9"/>
      <x:c r="AG134" s="9"/>
      <x:c r="AH134" s="9"/>
      <x:c r="AI134" s="11"/>
      <x:c r="AJ134" s="9"/>
      <x:c r="AK134" s="9" t="str">
        <x:v>Eval_State_Recognition.xlsm</x:v>
      </x:c>
      <x:c r="AL134" s="9" t="str">
        <x:v>pi0.5 Results</x:v>
      </x:c>
      <x:c r="AM134" s="9" t="n">
        <x:v>134</x:v>
      </x:c>
      <x:c r="AN134" s="9" t="n">
        <x:v>134</x:v>
      </x:c>
    </x:row>
    <x:row r="135">
      <x:c r="A135" s="9" t="str">
        <x:v>Failure</x:v>
      </x:c>
      <x:c r="B135" s="9" t="str">
        <x:v>State Recognition</x:v>
      </x:c>
      <x:c r="C135" s="10" t="n">
        <x:v>133</x:v>
      </x:c>
      <x:c r="D135" s="9" t="str">
        <x:v>Place the closed glass spice container in the bowl.</x:v>
      </x:c>
      <x:c r="E135" s="9" t="str">
        <x:v>glass spice container A (O, RU); glass spice container B (O, RU)</x:v>
      </x:c>
      <x:c r="F135" s="9" t="str">
        <x:v>NO-OP; no object has state C, so nothing should be picked up</x:v>
      </x:c>
      <x:c r="G135" s="9" t="str">
        <x:v>glass spice containers place equidistant from robot. picked the one closer to the bowl.</x:v>
      </x:c>
      <x:c r="H135" s="9" t="str">
        <x:v>No valid target / no movement</x:v>
      </x:c>
      <x:c r="I135" s="9" t="str">
        <x:v>SR-NOOP04</x:v>
      </x:c>
      <x:c r="J135" s="9" t="str">
        <x:v>No satisfying state present; bowl remains empty</x:v>
      </x:c>
      <x:c r="K135" s="9"/>
      <x:c r="L135" s="9" t="str">
        <x:v>151</x:v>
      </x:c>
      <x:c r="M135" s="9" t="str">
        <x:v>The state-object concept is explicitly trained, but training does not contain a no-satisfying-target abstention trajectory. All objects are upright, matching the context of every explicit open/closed training demonstration.</x:v>
      </x:c>
      <x:c r="N135" s="9" t="n">
        <x:v>6</x:v>
      </x:c>
      <x:c r="O135" s="9" t="str">
        <x:v>Build the listed no-match scene and confirm the bowl is empty.</x:v>
      </x:c>
      <x:c r="P135" s="9" t="str">
        <x:v>No object in the entire scene has the queried state. The prompt uses the same canonical frame as active trials, and the queried state-object cell is training-supported. The orthogonal orientation axis is fixed: every object is RU.</x:v>
      </x:c>
      <x:c r="Q135" s="9"/>
      <x:c r="R135" s="10" t="n">
        <x:v>2</x:v>
      </x:c>
      <x:c r="S135" s="10" t="n">
        <x:v>0</x:v>
      </x:c>
      <x:c r="T135" s="9" t="str">
        <x:v>Empty</x:v>
      </x:c>
      <x:c r="U135" s="9" t="str">
        <x:v>C</x:v>
      </x:c>
      <x:c r="V135" s="9" t="str">
        <x:v>glass spice container</x:v>
      </x:c>
      <x:c r="W135" s="9"/>
      <x:c r="X135" s="10"/>
      <x:c r="Y135" s="10"/>
      <x:c r="Z135" s="9"/>
      <x:c r="AA135" s="9"/>
      <x:c r="AB135" s="9"/>
      <x:c r="AC135" s="9"/>
      <x:c r="AD135" s="9"/>
      <x:c r="AE135" s="9"/>
      <x:c r="AF135" s="9"/>
      <x:c r="AG135" s="9"/>
      <x:c r="AH135" s="9"/>
      <x:c r="AI135" s="11"/>
      <x:c r="AJ135" s="9"/>
      <x:c r="AK135" s="9" t="str">
        <x:v>Eval_State_Recognition.xlsm</x:v>
      </x:c>
      <x:c r="AL135" s="9" t="str">
        <x:v>pi0.5 Results</x:v>
      </x:c>
      <x:c r="AM135" s="9" t="n">
        <x:v>135</x:v>
      </x:c>
      <x:c r="AN135" s="9" t="n">
        <x:v>135</x:v>
      </x:c>
    </x:row>
    <x:row r="136">
      <x:c r="A136" s="9" t="str">
        <x:v>Failure</x:v>
      </x:c>
      <x:c r="B136" s="9" t="str">
        <x:v>State Recognition</x:v>
      </x:c>
      <x:c r="C136" s="10" t="n">
        <x:v>134</x:v>
      </x:c>
      <x:c r="D136" s="9" t="str">
        <x:v>Place the open white cup in the bowl.</x:v>
      </x:c>
      <x:c r="E136" s="9" t="str">
        <x:v>white cup A (C, RU); white cup B (C, RU); glass spice container B (C, RU)</x:v>
      </x:c>
      <x:c r="F136" s="9" t="str">
        <x:v>NO-OP; no object has state O, so nothing should be picked up</x:v>
      </x:c>
      <x:c r="G136" s="9" t="str">
        <x:v>picked the white cup further from the robot</x:v>
      </x:c>
      <x:c r="H136" s="9" t="str">
        <x:v>No valid target / no movement</x:v>
      </x:c>
      <x:c r="I136" s="9" t="str">
        <x:v>SR-NOOP05</x:v>
      </x:c>
      <x:c r="J136" s="9" t="str">
        <x:v>No satisfying state present; bowl remains empty</x:v>
      </x:c>
      <x:c r="K136" s="9"/>
      <x:c r="L136" s="9" t="str">
        <x:v>1</x:v>
      </x:c>
      <x:c r="M136" s="9" t="str">
        <x:v>The state-object concept is explicitly trained, but training does not contain a no-satisfying-target abstention trajectory. All objects are upright, matching the context of every explicit open/closed training demonstration.</x:v>
      </x:c>
      <x:c r="N136" s="9" t="n">
        <x:v>6</x:v>
      </x:c>
      <x:c r="O136" s="9" t="str">
        <x:v>Build the listed no-match scene and confirm the bowl is empty.</x:v>
      </x:c>
      <x:c r="P136" s="9" t="str">
        <x:v>No object in the entire scene has the queried state. The prompt uses the same canonical frame as active trials, and the queried state-object cell is training-supported. The orthogonal orientation axis is fixed: every object is RU.</x:v>
      </x:c>
      <x:c r="Q136" s="9"/>
      <x:c r="R136" s="10" t="n">
        <x:v>3</x:v>
      </x:c>
      <x:c r="S136" s="10" t="n">
        <x:v>0</x:v>
      </x:c>
      <x:c r="T136" s="9" t="str">
        <x:v>Empty</x:v>
      </x:c>
      <x:c r="U136" s="9" t="str">
        <x:v>O</x:v>
      </x:c>
      <x:c r="V136" s="9" t="str">
        <x:v>white cup</x:v>
      </x:c>
      <x:c r="W136" s="9"/>
      <x:c r="X136" s="10"/>
      <x:c r="Y136" s="10"/>
      <x:c r="Z136" s="9"/>
      <x:c r="AA136" s="9"/>
      <x:c r="AB136" s="9"/>
      <x:c r="AC136" s="9"/>
      <x:c r="AD136" s="9"/>
      <x:c r="AE136" s="9"/>
      <x:c r="AF136" s="9"/>
      <x:c r="AG136" s="9"/>
      <x:c r="AH136" s="9"/>
      <x:c r="AI136" s="11"/>
      <x:c r="AJ136" s="9"/>
      <x:c r="AK136" s="9" t="str">
        <x:v>Eval_State_Recognition.xlsm</x:v>
      </x:c>
      <x:c r="AL136" s="9" t="str">
        <x:v>pi0.5 Results</x:v>
      </x:c>
      <x:c r="AM136" s="9" t="n">
        <x:v>136</x:v>
      </x:c>
      <x:c r="AN136" s="9" t="n">
        <x:v>136</x:v>
      </x:c>
    </x:row>
    <x:row r="137">
      <x:c r="A137" s="9" t="str">
        <x:v>Failure</x:v>
      </x:c>
      <x:c r="B137" s="9" t="str">
        <x:v>State Recognition</x:v>
      </x:c>
      <x:c r="C137" s="10" t="n">
        <x:v>135</x:v>
      </x:c>
      <x:c r="D137" s="9" t="str">
        <x:v>Place the upright yellow-white striped cup in the bowl.</x:v>
      </x:c>
      <x:c r="E137" s="9" t="str">
        <x:v>yellow-white striped cup A (O, UD); yellow-white striped cup B (O, UD); white cup A (C, UD); brown cup B (O, UD)</x:v>
      </x:c>
      <x:c r="F137" s="9" t="str">
        <x:v>NO-OP; no object has state RU, so nothing should be picked up</x:v>
      </x:c>
      <x:c r="G137" s="9" t="str">
        <x:v>picked striped cup closest to the bowl</x:v>
      </x:c>
      <x:c r="H137" s="9" t="str">
        <x:v>No valid target / no movement</x:v>
      </x:c>
      <x:c r="I137" s="9" t="str">
        <x:v>SR-NOOP06</x:v>
      </x:c>
      <x:c r="J137" s="9" t="str">
        <x:v>No satisfying state present; bowl remains empty</x:v>
      </x:c>
      <x:c r="K137" s="9"/>
      <x:c r="L137" s="9" t="str">
        <x:v>75</x:v>
      </x:c>
      <x:c r="M137" s="9" t="str">
        <x:v>The state-object concept is explicitly trained, but training does not contain a no-satisfying-target abstention trajectory.</x:v>
      </x:c>
      <x:c r="N137" s="9" t="n">
        <x:v>6</x:v>
      </x:c>
      <x:c r="O137" s="9" t="str">
        <x:v>Build the listed no-match scene and confirm the bowl is empty.</x:v>
      </x:c>
      <x:c r="P137" s="9" t="str">
        <x:v>No object in the entire scene has the queried state. The prompt uses the same canonical frame as active trials, and the queried state-object cell is training-supported. The same-category candidates share the orthogonal C/O state (O).</x:v>
      </x:c>
      <x:c r="Q137" s="9"/>
      <x:c r="R137" s="10" t="n">
        <x:v>4</x:v>
      </x:c>
      <x:c r="S137" s="10" t="n">
        <x:v>0</x:v>
      </x:c>
      <x:c r="T137" s="9" t="str">
        <x:v>Empty</x:v>
      </x:c>
      <x:c r="U137" s="9" t="str">
        <x:v>RU</x:v>
      </x:c>
      <x:c r="V137" s="9" t="str">
        <x:v>yellow-white striped cup</x:v>
      </x:c>
      <x:c r="W137" s="9"/>
      <x:c r="X137" s="10"/>
      <x:c r="Y137" s="10"/>
      <x:c r="Z137" s="9"/>
      <x:c r="AA137" s="9"/>
      <x:c r="AB137" s="9"/>
      <x:c r="AC137" s="9"/>
      <x:c r="AD137" s="9"/>
      <x:c r="AE137" s="9"/>
      <x:c r="AF137" s="9"/>
      <x:c r="AG137" s="9"/>
      <x:c r="AH137" s="9"/>
      <x:c r="AI137" s="11"/>
      <x:c r="AJ137" s="9"/>
      <x:c r="AK137" s="9" t="str">
        <x:v>Eval_State_Recognition.xlsm</x:v>
      </x:c>
      <x:c r="AL137" s="9" t="str">
        <x:v>pi0.5 Results</x:v>
      </x:c>
      <x:c r="AM137" s="9" t="n">
        <x:v>137</x:v>
      </x:c>
      <x:c r="AN137" s="9" t="n">
        <x:v>137</x:v>
      </x:c>
    </x:row>
    <x:row r="138">
      <x:c r="A138" s="9" t="str">
        <x:v>Failure</x:v>
      </x:c>
      <x:c r="B138" s="9" t="str">
        <x:v>State Recognition</x:v>
      </x:c>
      <x:c r="C138" s="10" t="n">
        <x:v>136</x:v>
      </x:c>
      <x:c r="D138" s="9" t="str">
        <x:v>Place the upside-down brown cup in the bowl.</x:v>
      </x:c>
      <x:c r="E138" s="9" t="str">
        <x:v>brown cup A (O, RU); brown cup B (O, RU)</x:v>
      </x:c>
      <x:c r="F138" s="9" t="str">
        <x:v>NO-OP; no object has state UD, so nothing should be picked up</x:v>
      </x:c>
      <x:c r="G138" s="9" t="str">
        <x:v>picked brown cup closest to the robot</x:v>
      </x:c>
      <x:c r="H138" s="9" t="str">
        <x:v>No valid target / no movement</x:v>
      </x:c>
      <x:c r="I138" s="9" t="str">
        <x:v>SR-NOOP07</x:v>
      </x:c>
      <x:c r="J138" s="9" t="str">
        <x:v>No satisfying state present; bowl remains empty</x:v>
      </x:c>
      <x:c r="K138" s="9"/>
      <x:c r="L138" s="9" t="str">
        <x:v>125</x:v>
      </x:c>
      <x:c r="M138" s="9" t="str">
        <x:v>The state-object concept is explicitly trained, but training does not contain a no-satisfying-target abstention trajectory.</x:v>
      </x:c>
      <x:c r="N138" s="9" t="n">
        <x:v>6</x:v>
      </x:c>
      <x:c r="O138" s="9" t="str">
        <x:v>Build the listed no-match scene and confirm the bowl is empty.</x:v>
      </x:c>
      <x:c r="P138" s="9" t="str">
        <x:v>No object in the entire scene has the queried state. The prompt uses the same canonical frame as active trials, and the queried state-object cell is training-supported. The same-category candidates share the orthogonal C/O state (O).</x:v>
      </x:c>
      <x:c r="Q138" s="9"/>
      <x:c r="R138" s="10" t="n">
        <x:v>2</x:v>
      </x:c>
      <x:c r="S138" s="10" t="n">
        <x:v>0</x:v>
      </x:c>
      <x:c r="T138" s="9" t="str">
        <x:v>Empty</x:v>
      </x:c>
      <x:c r="U138" s="9" t="str">
        <x:v>UD</x:v>
      </x:c>
      <x:c r="V138" s="9" t="str">
        <x:v>brown cup</x:v>
      </x:c>
      <x:c r="W138" s="9"/>
      <x:c r="X138" s="10"/>
      <x:c r="Y138" s="10"/>
      <x:c r="Z138" s="9"/>
      <x:c r="AA138" s="9"/>
      <x:c r="AB138" s="9"/>
      <x:c r="AC138" s="9"/>
      <x:c r="AD138" s="9"/>
      <x:c r="AE138" s="9"/>
      <x:c r="AF138" s="9"/>
      <x:c r="AG138" s="9"/>
      <x:c r="AH138" s="9"/>
      <x:c r="AI138" s="11"/>
      <x:c r="AJ138" s="9"/>
      <x:c r="AK138" s="9" t="str">
        <x:v>Eval_State_Recognition.xlsm</x:v>
      </x:c>
      <x:c r="AL138" s="9" t="str">
        <x:v>pi0.5 Results</x:v>
      </x:c>
      <x:c r="AM138" s="9" t="n">
        <x:v>138</x:v>
      </x:c>
      <x:c r="AN138" s="9" t="n">
        <x:v>138</x:v>
      </x:c>
    </x:row>
    <x:row r="139">
      <x:c r="A139" s="9" t="str">
        <x:v>Failure</x:v>
      </x:c>
      <x:c r="B139" s="9" t="str">
        <x:v>State Recognition</x:v>
      </x:c>
      <x:c r="C139" s="10" t="n">
        <x:v>137</x:v>
      </x:c>
      <x:c r="D139" s="9" t="str">
        <x:v>Place the open glass spice container in the bowl.</x:v>
      </x:c>
      <x:c r="E139" s="9" t="str">
        <x:v>glass spice container A (C, RU); glass spice container B (C, RU); brown cup A (C, RU)</x:v>
      </x:c>
      <x:c r="F139" s="9" t="str">
        <x:v>NO-OP; no object has state O, so nothing should be picked up</x:v>
      </x:c>
      <x:c r="G139" s="9" t="str">
        <x:v>picked the container further from bowl</x:v>
      </x:c>
      <x:c r="H139" s="9" t="str">
        <x:v>No valid target / no movement</x:v>
      </x:c>
      <x:c r="I139" s="9" t="str">
        <x:v>SR-NOOP08</x:v>
      </x:c>
      <x:c r="J139" s="9" t="str">
        <x:v>No satisfying state present; bowl remains empty</x:v>
      </x:c>
      <x:c r="K139" s="9"/>
      <x:c r="L139" s="9" t="str">
        <x:v>150</x:v>
      </x:c>
      <x:c r="M139" s="9" t="str">
        <x:v>The state-object concept is explicitly trained, but training does not contain a no-satisfying-target abstention trajectory. All objects are upright, matching the context of every explicit open/closed training demonstration.</x:v>
      </x:c>
      <x:c r="N139" s="9" t="n">
        <x:v>6</x:v>
      </x:c>
      <x:c r="O139" s="9" t="str">
        <x:v>Build the listed no-match scene and confirm the bowl is empty.</x:v>
      </x:c>
      <x:c r="P139" s="9" t="str">
        <x:v>No object in the entire scene has the queried state. The prompt uses the same canonical frame as active trials, and the queried state-object cell is training-supported. The orthogonal orientation axis is fixed: every object is RU.</x:v>
      </x:c>
      <x:c r="Q139" s="9"/>
      <x:c r="R139" s="10" t="n">
        <x:v>3</x:v>
      </x:c>
      <x:c r="S139" s="10" t="n">
        <x:v>0</x:v>
      </x:c>
      <x:c r="T139" s="9" t="str">
        <x:v>Empty</x:v>
      </x:c>
      <x:c r="U139" s="9" t="str">
        <x:v>O</x:v>
      </x:c>
      <x:c r="V139" s="9" t="str">
        <x:v>glass spice container</x:v>
      </x:c>
      <x:c r="W139" s="9"/>
      <x:c r="X139" s="10"/>
      <x:c r="Y139" s="10"/>
      <x:c r="Z139" s="9"/>
      <x:c r="AA139" s="9"/>
      <x:c r="AB139" s="9"/>
      <x:c r="AC139" s="9"/>
      <x:c r="AD139" s="9"/>
      <x:c r="AE139" s="9"/>
      <x:c r="AF139" s="9"/>
      <x:c r="AG139" s="9"/>
      <x:c r="AH139" s="9"/>
      <x:c r="AI139" s="11"/>
      <x:c r="AJ139" s="9"/>
      <x:c r="AK139" s="9" t="str">
        <x:v>Eval_State_Recognition.xlsm</x:v>
      </x:c>
      <x:c r="AL139" s="9" t="str">
        <x:v>pi0.5 Results</x:v>
      </x:c>
      <x:c r="AM139" s="9" t="n">
        <x:v>139</x:v>
      </x:c>
      <x:c r="AN139" s="9" t="n">
        <x:v>139</x:v>
      </x:c>
    </x:row>
    <x:row r="140">
      <x:c r="A140" s="9" t="str">
        <x:v>Failure</x:v>
      </x:c>
      <x:c r="B140" s="9" t="str">
        <x:v>State Recognition</x:v>
      </x:c>
      <x:c r="C140" s="10" t="n">
        <x:v>138</x:v>
      </x:c>
      <x:c r="D140" s="9" t="str">
        <x:v>Place the upright white cup in the bowl.</x:v>
      </x:c>
      <x:c r="E140" s="9" t="str">
        <x:v>white cup A (C, UD); white cup B (C, UD); brown cup A (C, UD); glass spice container B (O, UD)</x:v>
      </x:c>
      <x:c r="F140" s="9" t="str">
        <x:v>NO-OP; no object has state RU, so nothing should be picked up</x:v>
      </x:c>
      <x:c r="G140" s="9" t="str">
        <x:v>went for white cup closest to bowl</x:v>
      </x:c>
      <x:c r="H140" s="9" t="str">
        <x:v>No valid target / no movement</x:v>
      </x:c>
      <x:c r="I140" s="9" t="str">
        <x:v>SR-NOOP09</x:v>
      </x:c>
      <x:c r="J140" s="9" t="str">
        <x:v>No satisfying state present; bowl remains empty</x:v>
      </x:c>
      <x:c r="K140" s="9"/>
      <x:c r="L140" s="9" t="str">
        <x:v>26</x:v>
      </x:c>
      <x:c r="M140" s="9" t="str">
        <x:v>The state-object concept is explicitly trained, but training does not contain a no-satisfying-target abstention trajectory.</x:v>
      </x:c>
      <x:c r="N140" s="9" t="n">
        <x:v>6</x:v>
      </x:c>
      <x:c r="O140" s="9" t="str">
        <x:v>Build the listed no-match scene and confirm the bowl is empty.</x:v>
      </x:c>
      <x:c r="P140" s="9" t="str">
        <x:v>No object in the entire scene has the queried state. The prompt uses the same canonical frame as active trials, and the queried state-object cell is training-supported. The same-category candidates share the orthogonal C/O state (C).</x:v>
      </x:c>
      <x:c r="Q140" s="9"/>
      <x:c r="R140" s="10" t="n">
        <x:v>4</x:v>
      </x:c>
      <x:c r="S140" s="10" t="n">
        <x:v>0</x:v>
      </x:c>
      <x:c r="T140" s="9" t="str">
        <x:v>Empty</x:v>
      </x:c>
      <x:c r="U140" s="9" t="str">
        <x:v>RU</x:v>
      </x:c>
      <x:c r="V140" s="9" t="str">
        <x:v>white cup</x:v>
      </x:c>
      <x:c r="W140" s="9"/>
      <x:c r="X140" s="10"/>
      <x:c r="Y140" s="10"/>
      <x:c r="Z140" s="9"/>
      <x:c r="AA140" s="9"/>
      <x:c r="AB140" s="9"/>
      <x:c r="AC140" s="9"/>
      <x:c r="AD140" s="9"/>
      <x:c r="AE140" s="9"/>
      <x:c r="AF140" s="9"/>
      <x:c r="AG140" s="9"/>
      <x:c r="AH140" s="9"/>
      <x:c r="AI140" s="11"/>
      <x:c r="AJ140" s="9"/>
      <x:c r="AK140" s="9" t="str">
        <x:v>Eval_State_Recognition.xlsm</x:v>
      </x:c>
      <x:c r="AL140" s="9" t="str">
        <x:v>pi0.5 Results</x:v>
      </x:c>
      <x:c r="AM140" s="9" t="n">
        <x:v>140</x:v>
      </x:c>
      <x:c r="AN140" s="9" t="n">
        <x:v>140</x:v>
      </x:c>
    </x:row>
    <x:row r="141">
      <x:c r="A141" s="9" t="str">
        <x:v>Failure</x:v>
      </x:c>
      <x:c r="B141" s="9" t="str">
        <x:v>State Recognition</x:v>
      </x:c>
      <x:c r="C141" s="10" t="n">
        <x:v>139</x:v>
      </x:c>
      <x:c r="D141" s="9" t="str">
        <x:v>Place the closed yellow-white striped cup in the bowl.</x:v>
      </x:c>
      <x:c r="E141" s="9" t="str">
        <x:v>yellow-white striped cup A (O, RU); yellow-white striped cup B (O, RU)</x:v>
      </x:c>
      <x:c r="F141" s="9" t="str">
        <x:v>NO-OP; no object has state C, so nothing should be picked up</x:v>
      </x:c>
      <x:c r="G141" s="9" t="str">
        <x:v>went for striped cup further from bowl</x:v>
      </x:c>
      <x:c r="H141" s="9" t="str">
        <x:v>No valid target / no movement</x:v>
      </x:c>
      <x:c r="I141" s="9" t="str">
        <x:v>SR-NOOP10</x:v>
      </x:c>
      <x:c r="J141" s="9" t="str">
        <x:v>No satisfying state present; bowl remains empty</x:v>
      </x:c>
      <x:c r="K141" s="9"/>
      <x:c r="L141" s="9" t="str">
        <x:v>51</x:v>
      </x:c>
      <x:c r="M141" s="9" t="str">
        <x:v>The state-object concept is explicitly trained, but training does not contain a no-satisfying-target abstention trajectory. All objects are upright, matching the context of every explicit open/closed training demonstration.</x:v>
      </x:c>
      <x:c r="N141" s="9" t="n">
        <x:v>6</x:v>
      </x:c>
      <x:c r="O141" s="9" t="str">
        <x:v>Build the listed no-match scene and confirm the bowl is empty.</x:v>
      </x:c>
      <x:c r="P141" s="9" t="str">
        <x:v>No object in the entire scene has the queried state. The prompt uses the same canonical frame as active trials, and the queried state-object cell is training-supported. The orthogonal orientation axis is fixed: every object is RU.</x:v>
      </x:c>
      <x:c r="Q141" s="9"/>
      <x:c r="R141" s="10" t="n">
        <x:v>2</x:v>
      </x:c>
      <x:c r="S141" s="10" t="n">
        <x:v>0</x:v>
      </x:c>
      <x:c r="T141" s="9" t="str">
        <x:v>Empty</x:v>
      </x:c>
      <x:c r="U141" s="9" t="str">
        <x:v>C</x:v>
      </x:c>
      <x:c r="V141" s="9" t="str">
        <x:v>yellow-white striped cup</x:v>
      </x:c>
      <x:c r="W141" s="9"/>
      <x:c r="X141" s="10"/>
      <x:c r="Y141" s="10"/>
      <x:c r="Z141" s="9"/>
      <x:c r="AA141" s="9"/>
      <x:c r="AB141" s="9"/>
      <x:c r="AC141" s="9"/>
      <x:c r="AD141" s="9"/>
      <x:c r="AE141" s="9"/>
      <x:c r="AF141" s="9"/>
      <x:c r="AG141" s="9"/>
      <x:c r="AH141" s="9"/>
      <x:c r="AI141" s="11"/>
      <x:c r="AJ141" s="9"/>
      <x:c r="AK141" s="9" t="str">
        <x:v>Eval_State_Recognition.xlsm</x:v>
      </x:c>
      <x:c r="AL141" s="9" t="str">
        <x:v>pi0.5 Results</x:v>
      </x:c>
      <x:c r="AM141" s="9" t="n">
        <x:v>141</x:v>
      </x:c>
      <x:c r="AN141" s="9" t="n">
        <x:v>141</x:v>
      </x:c>
    </x:row>
    <x:row r="142">
      <x:c r="A142" s="9" t="str">
        <x:v>Failure</x:v>
      </x:c>
      <x:c r="B142" s="9" t="str">
        <x:v>State Recognition</x:v>
      </x:c>
      <x:c r="C142" s="10" t="n">
        <x:v>140</x:v>
      </x:c>
      <x:c r="D142" s="9" t="str">
        <x:v>Place the upright brown cup in the bowl.</x:v>
      </x:c>
      <x:c r="E142" s="9" t="str">
        <x:v>brown cup A (C, UD); brown cup B (C, UD); white cup A (C, UD)</x:v>
      </x:c>
      <x:c r="F142" s="9" t="str">
        <x:v>NO-OP; no object has state RU, so nothing should be picked up</x:v>
      </x:c>
      <x:c r="G142" s="9" t="str">
        <x:v>went for brown cup closer to bowl</x:v>
      </x:c>
      <x:c r="H142" s="9" t="str">
        <x:v>No valid target / no movement</x:v>
      </x:c>
      <x:c r="I142" s="9" t="str">
        <x:v>SR-NOOP11</x:v>
      </x:c>
      <x:c r="J142" s="9" t="str">
        <x:v>No satisfying state present; bowl remains empty</x:v>
      </x:c>
      <x:c r="K142" s="9"/>
      <x:c r="L142" s="9" t="str">
        <x:v>128</x:v>
      </x:c>
      <x:c r="M142" s="9" t="str">
        <x:v>The state-object concept is explicitly trained, but training does not contain a no-satisfying-target abstention trajectory.</x:v>
      </x:c>
      <x:c r="N142" s="9" t="n">
        <x:v>6</x:v>
      </x:c>
      <x:c r="O142" s="9" t="str">
        <x:v>Build the listed no-match scene and confirm the bowl is empty.</x:v>
      </x:c>
      <x:c r="P142" s="9" t="str">
        <x:v>No object in the entire scene has the queried state. The prompt uses the same canonical frame as active trials, and the queried state-object cell is training-supported. The same-category candidates share the orthogonal C/O state (C).</x:v>
      </x:c>
      <x:c r="Q142" s="9"/>
      <x:c r="R142" s="10" t="n">
        <x:v>3</x:v>
      </x:c>
      <x:c r="S142" s="10" t="n">
        <x:v>0</x:v>
      </x:c>
      <x:c r="T142" s="9" t="str">
        <x:v>Empty</x:v>
      </x:c>
      <x:c r="U142" s="9" t="str">
        <x:v>RU</x:v>
      </x:c>
      <x:c r="V142" s="9" t="str">
        <x:v>brown cup</x:v>
      </x:c>
      <x:c r="W142" s="9"/>
      <x:c r="X142" s="10"/>
      <x:c r="Y142" s="10"/>
      <x:c r="Z142" s="9"/>
      <x:c r="AA142" s="9"/>
      <x:c r="AB142" s="9"/>
      <x:c r="AC142" s="9"/>
      <x:c r="AD142" s="9"/>
      <x:c r="AE142" s="9"/>
      <x:c r="AF142" s="9"/>
      <x:c r="AG142" s="9"/>
      <x:c r="AH142" s="9"/>
      <x:c r="AI142" s="11"/>
      <x:c r="AJ142" s="9"/>
      <x:c r="AK142" s="9" t="str">
        <x:v>Eval_State_Recognition.xlsm</x:v>
      </x:c>
      <x:c r="AL142" s="9" t="str">
        <x:v>pi0.5 Results</x:v>
      </x:c>
      <x:c r="AM142" s="9" t="n">
        <x:v>142</x:v>
      </x:c>
      <x:c r="AN142" s="9" t="n">
        <x:v>142</x:v>
      </x:c>
    </x:row>
    <x:row r="143">
      <x:c r="A143" s="9" t="str">
        <x:v>Failure</x:v>
      </x:c>
      <x:c r="B143" s="9" t="str">
        <x:v>State Recognition</x:v>
      </x:c>
      <x:c r="C143" s="10" t="n">
        <x:v>141</x:v>
      </x:c>
      <x:c r="D143" s="9" t="str">
        <x:v>Place the upside-down glass spice container in the bowl.</x:v>
      </x:c>
      <x:c r="E143" s="9" t="str">
        <x:v>glass spice container A (C, RU); glass spice container B (C, RU); yellow-white striped cup B (O, RU); brown cup A (C, RU)</x:v>
      </x:c>
      <x:c r="F143" s="9" t="str">
        <x:v>NO-OP; no object has state UD, so nothing should be picked up</x:v>
      </x:c>
      <x:c r="G143" s="9" t="str">
        <x:v>put arm in the middle of the two spice containers since they were placed adjacently. knocked the target out of distributition. Also knocked the brown cup on the floor.</x:v>
      </x:c>
      <x:c r="H143" s="9" t="str">
        <x:v>No valid target / no movement</x:v>
      </x:c>
      <x:c r="I143" s="9" t="str">
        <x:v>SR-NOOP12</x:v>
      </x:c>
      <x:c r="J143" s="9" t="str">
        <x:v>No satisfying state present; bowl remains empty</x:v>
      </x:c>
      <x:c r="K143" s="9"/>
      <x:c r="L143" s="9" t="str">
        <x:v>176</x:v>
      </x:c>
      <x:c r="M143" s="9" t="str">
        <x:v>The state-object concept is explicitly trained, but training does not contain a no-satisfying-target abstention trajectory.</x:v>
      </x:c>
      <x:c r="N143" s="9" t="n">
        <x:v>6</x:v>
      </x:c>
      <x:c r="O143" s="9" t="str">
        <x:v>Build the listed no-match scene and confirm the bowl is empty.</x:v>
      </x:c>
      <x:c r="P143" s="9" t="str">
        <x:v>No object in the entire scene has the queried state. The prompt uses the same canonical frame as active trials, and the queried state-object cell is training-supported. The same-category candidates share the orthogonal C/O state (C).</x:v>
      </x:c>
      <x:c r="Q143" s="9"/>
      <x:c r="R143" s="10" t="n">
        <x:v>4</x:v>
      </x:c>
      <x:c r="S143" s="10" t="n">
        <x:v>0</x:v>
      </x:c>
      <x:c r="T143" s="9" t="str">
        <x:v>Empty</x:v>
      </x:c>
      <x:c r="U143" s="9" t="str">
        <x:v>UD</x:v>
      </x:c>
      <x:c r="V143" s="9" t="str">
        <x:v>glass spice container</x:v>
      </x:c>
      <x:c r="W143" s="9"/>
      <x:c r="X143" s="10"/>
      <x:c r="Y143" s="10"/>
      <x:c r="Z143" s="9"/>
      <x:c r="AA143" s="9"/>
      <x:c r="AB143" s="9"/>
      <x:c r="AC143" s="9"/>
      <x:c r="AD143" s="9"/>
      <x:c r="AE143" s="9"/>
      <x:c r="AF143" s="9"/>
      <x:c r="AG143" s="9"/>
      <x:c r="AH143" s="9"/>
      <x:c r="AI143" s="11"/>
      <x:c r="AJ143" s="9"/>
      <x:c r="AK143" s="9" t="str">
        <x:v>Eval_State_Recognition.xlsm</x:v>
      </x:c>
      <x:c r="AL143" s="9" t="str">
        <x:v>pi0.5 Results</x:v>
      </x:c>
      <x:c r="AM143" s="9" t="n">
        <x:v>143</x:v>
      </x:c>
      <x:c r="AN143" s="9" t="n">
        <x:v>143</x:v>
      </x:c>
    </x:row>
    <x:row r="144">
      <x:c r="A144" s="9" t="str">
        <x:v>Failure</x:v>
      </x:c>
      <x:c r="B144" s="9" t="str">
        <x:v>State Recognition</x:v>
      </x:c>
      <x:c r="C144" s="10" t="n">
        <x:v>142</x:v>
      </x:c>
      <x:c r="D144" s="9" t="str">
        <x:v>Place the closed white cup in the bowl.</x:v>
      </x:c>
      <x:c r="E144" s="9" t="str">
        <x:v>white cup A (O, RU); white cup B (O, RU)</x:v>
      </x:c>
      <x:c r="F144" s="9" t="str">
        <x:v>NO-OP; no object has state C, so nothing should be picked up</x:v>
      </x:c>
      <x:c r="G144" s="9" t="str">
        <x:v>picked white cup closest to bowl</x:v>
      </x:c>
      <x:c r="H144" s="9" t="str">
        <x:v>No valid target / no movement</x:v>
      </x:c>
      <x:c r="I144" s="9" t="str">
        <x:v>SR-NOOP13</x:v>
      </x:c>
      <x:c r="J144" s="9" t="str">
        <x:v>No satisfying state present; bowl remains empty</x:v>
      </x:c>
      <x:c r="K144" s="9"/>
      <x:c r="L144" s="9" t="str">
        <x:v>3</x:v>
      </x:c>
      <x:c r="M144" s="9" t="str">
        <x:v>The state-object concept is explicitly trained, but training does not contain a no-satisfying-target abstention trajectory. All objects are upright, matching the context of every explicit open/closed training demonstration.</x:v>
      </x:c>
      <x:c r="N144" s="9" t="n">
        <x:v>6</x:v>
      </x:c>
      <x:c r="O144" s="9" t="str">
        <x:v>Build the listed no-match scene and confirm the bowl is empty.</x:v>
      </x:c>
      <x:c r="P144" s="9" t="str">
        <x:v>No object in the entire scene has the queried state. The prompt uses the same canonical frame as active trials, and the queried state-object cell is training-supported. The orthogonal orientation axis is fixed: every object is RU.</x:v>
      </x:c>
      <x:c r="Q144" s="9"/>
      <x:c r="R144" s="10" t="n">
        <x:v>2</x:v>
      </x:c>
      <x:c r="S144" s="10" t="n">
        <x:v>0</x:v>
      </x:c>
      <x:c r="T144" s="9" t="str">
        <x:v>Empty</x:v>
      </x:c>
      <x:c r="U144" s="9" t="str">
        <x:v>C</x:v>
      </x:c>
      <x:c r="V144" s="9" t="str">
        <x:v>white cup</x:v>
      </x:c>
      <x:c r="W144" s="9"/>
      <x:c r="X144" s="10"/>
      <x:c r="Y144" s="10"/>
      <x:c r="Z144" s="9"/>
      <x:c r="AA144" s="9"/>
      <x:c r="AB144" s="9"/>
      <x:c r="AC144" s="9"/>
      <x:c r="AD144" s="9"/>
      <x:c r="AE144" s="9"/>
      <x:c r="AF144" s="9"/>
      <x:c r="AG144" s="9"/>
      <x:c r="AH144" s="9"/>
      <x:c r="AI144" s="11"/>
      <x:c r="AJ144" s="9"/>
      <x:c r="AK144" s="9" t="str">
        <x:v>Eval_State_Recognition.xlsm</x:v>
      </x:c>
      <x:c r="AL144" s="9" t="str">
        <x:v>pi0.5 Results</x:v>
      </x:c>
      <x:c r="AM144" s="9" t="n">
        <x:v>144</x:v>
      </x:c>
      <x:c r="AN144" s="9" t="n">
        <x:v>144</x:v>
      </x:c>
    </x:row>
    <x:row r="145">
      <x:c r="A145" s="9" t="str">
        <x:v>Failure</x:v>
      </x:c>
      <x:c r="B145" s="9" t="str">
        <x:v>State Recognition</x:v>
      </x:c>
      <x:c r="C145" s="10" t="n">
        <x:v>143</x:v>
      </x:c>
      <x:c r="D145" s="9" t="str">
        <x:v>Place the upside-down yellow-white striped cup in the bowl.</x:v>
      </x:c>
      <x:c r="E145" s="9" t="str">
        <x:v>yellow-white striped cup A (O, RU); yellow-white striped cup B (O, RU); brown cup A (C, RU)</x:v>
      </x:c>
      <x:c r="F145" s="9" t="str">
        <x:v>NO-OP; no object has state UD, so nothing should be picked up</x:v>
      </x:c>
      <x:c r="G145" s="9" t="str">
        <x:v>picked striped cup closest to the bowl</x:v>
      </x:c>
      <x:c r="H145" s="9" t="str">
        <x:v>No valid target / no movement</x:v>
      </x:c>
      <x:c r="I145" s="9" t="str">
        <x:v>SR-NOOP14</x:v>
      </x:c>
      <x:c r="J145" s="9" t="str">
        <x:v>No satisfying state present; bowl remains empty</x:v>
      </x:c>
      <x:c r="K145" s="9"/>
      <x:c r="L145" s="9" t="str">
        <x:v>83</x:v>
      </x:c>
      <x:c r="M145" s="9" t="str">
        <x:v>The state-object concept is explicitly trained, but training does not contain a no-satisfying-target abstention trajectory.</x:v>
      </x:c>
      <x:c r="N145" s="9" t="n">
        <x:v>6</x:v>
      </x:c>
      <x:c r="O145" s="9" t="str">
        <x:v>Build the listed no-match scene and confirm the bowl is empty.</x:v>
      </x:c>
      <x:c r="P145" s="9" t="str">
        <x:v>No object in the entire scene has the queried state. The prompt uses the same canonical frame as active trials, and the queried state-object cell is training-supported. The same-category candidates share the orthogonal C/O state (O).</x:v>
      </x:c>
      <x:c r="Q145" s="9"/>
      <x:c r="R145" s="10" t="n">
        <x:v>3</x:v>
      </x:c>
      <x:c r="S145" s="10" t="n">
        <x:v>0</x:v>
      </x:c>
      <x:c r="T145" s="9" t="str">
        <x:v>Empty</x:v>
      </x:c>
      <x:c r="U145" s="9" t="str">
        <x:v>UD</x:v>
      </x:c>
      <x:c r="V145" s="9" t="str">
        <x:v>yellow-white striped cup</x:v>
      </x:c>
      <x:c r="W145" s="9"/>
      <x:c r="X145" s="10"/>
      <x:c r="Y145" s="10"/>
      <x:c r="Z145" s="9"/>
      <x:c r="AA145" s="9"/>
      <x:c r="AB145" s="9"/>
      <x:c r="AC145" s="9"/>
      <x:c r="AD145" s="9"/>
      <x:c r="AE145" s="9"/>
      <x:c r="AF145" s="9"/>
      <x:c r="AG145" s="9"/>
      <x:c r="AH145" s="9"/>
      <x:c r="AI145" s="11"/>
      <x:c r="AJ145" s="9"/>
      <x:c r="AK145" s="9" t="str">
        <x:v>Eval_State_Recognition.xlsm</x:v>
      </x:c>
      <x:c r="AL145" s="9" t="str">
        <x:v>pi0.5 Results</x:v>
      </x:c>
      <x:c r="AM145" s="9" t="n">
        <x:v>145</x:v>
      </x:c>
      <x:c r="AN145" s="9" t="n">
        <x:v>145</x:v>
      </x:c>
    </x:row>
    <x:row r="146">
      <x:c r="A146" s="9" t="str">
        <x:v>Failure</x:v>
      </x:c>
      <x:c r="B146" s="9" t="str">
        <x:v>State Recognition</x:v>
      </x:c>
      <x:c r="C146" s="10" t="n">
        <x:v>144</x:v>
      </x:c>
      <x:c r="D146" s="9" t="str">
        <x:v>Place the upside-down brown cup in the bowl.</x:v>
      </x:c>
      <x:c r="E146" s="9" t="str">
        <x:v>brown cup A (O, RU); brown cup B (O, RU); glass spice container B (O, RU); white cup A (C, RU)</x:v>
      </x:c>
      <x:c r="F146" s="9" t="str">
        <x:v>NO-OP; no object has state UD, so nothing should be picked up</x:v>
      </x:c>
      <x:c r="G146" s="9"/>
      <x:c r="H146" s="9" t="str">
        <x:v>No valid target / no movement</x:v>
      </x:c>
      <x:c r="I146" s="9" t="str">
        <x:v>SR-NOOP15</x:v>
      </x:c>
      <x:c r="J146" s="9" t="str">
        <x:v>No satisfying state present; bowl remains empty</x:v>
      </x:c>
      <x:c r="K146" s="9"/>
      <x:c r="L146" s="9" t="str">
        <x:v>127</x:v>
      </x:c>
      <x:c r="M146" s="9" t="str">
        <x:v>The state-object concept is explicitly trained, but training does not contain a no-satisfying-target abstention trajectory.</x:v>
      </x:c>
      <x:c r="N146" s="9" t="n">
        <x:v>6</x:v>
      </x:c>
      <x:c r="O146" s="9" t="str">
        <x:v>Build the listed no-match scene and confirm the bowl is empty.</x:v>
      </x:c>
      <x:c r="P146" s="9" t="str">
        <x:v>No object in the entire scene has the queried state. The prompt uses the same canonical frame as active trials, and the queried state-object cell is training-supported. The same-category candidates share the orthogonal C/O state (O).</x:v>
      </x:c>
      <x:c r="Q146" s="9"/>
      <x:c r="R146" s="10" t="n">
        <x:v>4</x:v>
      </x:c>
      <x:c r="S146" s="10" t="n">
        <x:v>0</x:v>
      </x:c>
      <x:c r="T146" s="9" t="str">
        <x:v>Empty</x:v>
      </x:c>
      <x:c r="U146" s="9" t="str">
        <x:v>UD</x:v>
      </x:c>
      <x:c r="V146" s="9" t="str">
        <x:v>brown cup</x:v>
      </x:c>
      <x:c r="W146" s="9"/>
      <x:c r="X146" s="10"/>
      <x:c r="Y146" s="10"/>
      <x:c r="Z146" s="9"/>
      <x:c r="AA146" s="9"/>
      <x:c r="AB146" s="9"/>
      <x:c r="AC146" s="9"/>
      <x:c r="AD146" s="9"/>
      <x:c r="AE146" s="9"/>
      <x:c r="AF146" s="9"/>
      <x:c r="AG146" s="9"/>
      <x:c r="AH146" s="9"/>
      <x:c r="AI146" s="11"/>
      <x:c r="AJ146" s="9"/>
      <x:c r="AK146" s="9" t="str">
        <x:v>Eval_State_Recognition.xlsm</x:v>
      </x:c>
      <x:c r="AL146" s="9" t="str">
        <x:v>pi0.5 Results</x:v>
      </x:c>
      <x:c r="AM146" s="9" t="n">
        <x:v>146</x:v>
      </x:c>
      <x:c r="AN146" s="9" t="n">
        <x:v>146</x:v>
      </x:c>
    </x:row>
    <x:row r="147">
      <x:c r="A147" s="9" t="str">
        <x:v>Failure</x:v>
      </x:c>
      <x:c r="B147" s="9" t="str">
        <x:v>State Recognition</x:v>
      </x:c>
      <x:c r="C147" s="10" t="n">
        <x:v>145</x:v>
      </x:c>
      <x:c r="D147" s="9" t="str">
        <x:v>Place the closed glass spice container in the bowl.</x:v>
      </x:c>
      <x:c r="E147" s="9" t="str">
        <x:v>glass spice container A (O, RU); glass spice container B (O, RU)</x:v>
      </x:c>
      <x:c r="F147" s="9" t="str">
        <x:v>NO-OP; no object has state C, so nothing should be picked up</x:v>
      </x:c>
      <x:c r="G147" s="9" t="str">
        <x:v>picked one furthest from the bowl</x:v>
      </x:c>
      <x:c r="H147" s="9" t="str">
        <x:v>No valid target / no movement</x:v>
      </x:c>
      <x:c r="I147" s="9" t="str">
        <x:v>SR-NOOP16</x:v>
      </x:c>
      <x:c r="J147" s="9" t="str">
        <x:v>No satisfying state present; bowl remains empty</x:v>
      </x:c>
      <x:c r="K147" s="9"/>
      <x:c r="L147" s="9" t="str">
        <x:v>152</x:v>
      </x:c>
      <x:c r="M147" s="9" t="str">
        <x:v>The state-object concept is explicitly trained, but training does not contain a no-satisfying-target abstention trajectory. All objects are upright, matching the context of every explicit open/closed training demonstration.</x:v>
      </x:c>
      <x:c r="N147" s="9" t="n">
        <x:v>6</x:v>
      </x:c>
      <x:c r="O147" s="9" t="str">
        <x:v>Build the listed no-match scene and confirm the bowl is empty.</x:v>
      </x:c>
      <x:c r="P147" s="9" t="str">
        <x:v>No object in the entire scene has the queried state. The prompt uses the same canonical frame as active trials, and the queried state-object cell is training-supported. The orthogonal orientation axis is fixed: every object is RU.</x:v>
      </x:c>
      <x:c r="Q147" s="9"/>
      <x:c r="R147" s="10" t="n">
        <x:v>2</x:v>
      </x:c>
      <x:c r="S147" s="10" t="n">
        <x:v>0</x:v>
      </x:c>
      <x:c r="T147" s="9" t="str">
        <x:v>Empty</x:v>
      </x:c>
      <x:c r="U147" s="9" t="str">
        <x:v>C</x:v>
      </x:c>
      <x:c r="V147" s="9" t="str">
        <x:v>glass spice container</x:v>
      </x:c>
      <x:c r="W147" s="9"/>
      <x:c r="X147" s="10"/>
      <x:c r="Y147" s="10"/>
      <x:c r="Z147" s="9"/>
      <x:c r="AA147" s="9"/>
      <x:c r="AB147" s="9"/>
      <x:c r="AC147" s="9"/>
      <x:c r="AD147" s="9"/>
      <x:c r="AE147" s="9"/>
      <x:c r="AF147" s="9"/>
      <x:c r="AG147" s="9"/>
      <x:c r="AH147" s="9"/>
      <x:c r="AI147" s="11"/>
      <x:c r="AJ147" s="9"/>
      <x:c r="AK147" s="9" t="str">
        <x:v>Eval_State_Recognition.xlsm</x:v>
      </x:c>
      <x:c r="AL147" s="9" t="str">
        <x:v>pi0.5 Results</x:v>
      </x:c>
      <x:c r="AM147" s="9" t="n">
        <x:v>147</x:v>
      </x:c>
      <x:c r="AN147" s="9" t="n">
        <x:v>147</x:v>
      </x:c>
    </x:row>
    <x:row r="148">
      <x:c r="A148" s="9" t="str">
        <x:v>Failure</x:v>
      </x:c>
      <x:c r="B148" s="9" t="str">
        <x:v>State Recognition</x:v>
      </x:c>
      <x:c r="C148" s="10" t="n">
        <x:v>146</x:v>
      </x:c>
      <x:c r="D148" s="9" t="str">
        <x:v>Place the open white cup in the bowl.</x:v>
      </x:c>
      <x:c r="E148" s="9" t="str">
        <x:v>white cup A (C, RU); white cup B (C, RU); glass spice container A (C, RU)</x:v>
      </x:c>
      <x:c r="F148" s="9" t="str">
        <x:v>NO-OP; no object has state O, so nothing should be picked up</x:v>
      </x:c>
      <x:c r="G148" s="9" t="str">
        <x:v>picked white cup furthest from bowl</x:v>
      </x:c>
      <x:c r="H148" s="9" t="str">
        <x:v>No valid target / no movement</x:v>
      </x:c>
      <x:c r="I148" s="9" t="str">
        <x:v>SR-NOOP17</x:v>
      </x:c>
      <x:c r="J148" s="9" t="str">
        <x:v>No satisfying state present; bowl remains empty</x:v>
      </x:c>
      <x:c r="K148" s="9"/>
      <x:c r="L148" s="9" t="str">
        <x:v>2</x:v>
      </x:c>
      <x:c r="M148" s="9" t="str">
        <x:v>The state-object concept is explicitly trained, but training does not contain a no-satisfying-target abstention trajectory. All objects are upright, matching the context of every explicit open/closed training demonstration.</x:v>
      </x:c>
      <x:c r="N148" s="9" t="n">
        <x:v>6</x:v>
      </x:c>
      <x:c r="O148" s="9" t="str">
        <x:v>Build the listed no-match scene and confirm the bowl is empty.</x:v>
      </x:c>
      <x:c r="P148" s="9" t="str">
        <x:v>No object in the entire scene has the queried state. The prompt uses the same canonical frame as active trials, and the queried state-object cell is training-supported. The orthogonal orientation axis is fixed: every object is RU.</x:v>
      </x:c>
      <x:c r="Q148" s="9"/>
      <x:c r="R148" s="10" t="n">
        <x:v>3</x:v>
      </x:c>
      <x:c r="S148" s="10" t="n">
        <x:v>0</x:v>
      </x:c>
      <x:c r="T148" s="9" t="str">
        <x:v>Empty</x:v>
      </x:c>
      <x:c r="U148" s="9" t="str">
        <x:v>O</x:v>
      </x:c>
      <x:c r="V148" s="9" t="str">
        <x:v>white cup</x:v>
      </x:c>
      <x:c r="W148" s="9"/>
      <x:c r="X148" s="10"/>
      <x:c r="Y148" s="10"/>
      <x:c r="Z148" s="9"/>
      <x:c r="AA148" s="9"/>
      <x:c r="AB148" s="9"/>
      <x:c r="AC148" s="9"/>
      <x:c r="AD148" s="9"/>
      <x:c r="AE148" s="9"/>
      <x:c r="AF148" s="9"/>
      <x:c r="AG148" s="9"/>
      <x:c r="AH148" s="9"/>
      <x:c r="AI148" s="11"/>
      <x:c r="AJ148" s="9"/>
      <x:c r="AK148" s="9" t="str">
        <x:v>Eval_State_Recognition.xlsm</x:v>
      </x:c>
      <x:c r="AL148" s="9" t="str">
        <x:v>pi0.5 Results</x:v>
      </x:c>
      <x:c r="AM148" s="9" t="n">
        <x:v>148</x:v>
      </x:c>
      <x:c r="AN148" s="9" t="n">
        <x:v>148</x:v>
      </x:c>
    </x:row>
    <x:row r="149">
      <x:c r="A149" s="9" t="str">
        <x:v>Failure</x:v>
      </x:c>
      <x:c r="B149" s="9" t="str">
        <x:v>State Recognition</x:v>
      </x:c>
      <x:c r="C149" s="10" t="n">
        <x:v>147</x:v>
      </x:c>
      <x:c r="D149" s="9" t="str">
        <x:v>Place the upright yellow-white striped cup in the bowl.</x:v>
      </x:c>
      <x:c r="E149" s="9" t="str">
        <x:v>yellow-white striped cup A (C, UD); yellow-white striped cup B (C, UD); white cup B (O, UD); brown cup A (C, UD)</x:v>
      </x:c>
      <x:c r="F149" s="9" t="str">
        <x:v>NO-OP; no object has state RU, so nothing should be picked up</x:v>
      </x:c>
      <x:c r="G149" s="9" t="str">
        <x:v>picked striped cup closest to bowl</x:v>
      </x:c>
      <x:c r="H149" s="9" t="str">
        <x:v>No valid target / no movement</x:v>
      </x:c>
      <x:c r="I149" s="9" t="str">
        <x:v>SR-NOOP18</x:v>
      </x:c>
      <x:c r="J149" s="9" t="str">
        <x:v>No satisfying state present; bowl remains empty</x:v>
      </x:c>
      <x:c r="K149" s="9"/>
      <x:c r="L149" s="9" t="str">
        <x:v>76</x:v>
      </x:c>
      <x:c r="M149" s="9" t="str">
        <x:v>The state-object concept is explicitly trained, but training does not contain a no-satisfying-target abstention trajectory.</x:v>
      </x:c>
      <x:c r="N149" s="9" t="n">
        <x:v>6</x:v>
      </x:c>
      <x:c r="O149" s="9" t="str">
        <x:v>Build the listed no-match scene and confirm the bowl is empty.</x:v>
      </x:c>
      <x:c r="P149" s="9" t="str">
        <x:v>No object in the entire scene has the queried state. The prompt uses the same canonical frame as active trials, and the queried state-object cell is training-supported. The same-category candidates share the orthogonal C/O state (C).</x:v>
      </x:c>
      <x:c r="Q149" s="9"/>
      <x:c r="R149" s="10" t="n">
        <x:v>4</x:v>
      </x:c>
      <x:c r="S149" s="10" t="n">
        <x:v>0</x:v>
      </x:c>
      <x:c r="T149" s="9" t="str">
        <x:v>Empty</x:v>
      </x:c>
      <x:c r="U149" s="9" t="str">
        <x:v>RU</x:v>
      </x:c>
      <x:c r="V149" s="9" t="str">
        <x:v>yellow-white striped cup</x:v>
      </x:c>
      <x:c r="W149" s="9"/>
      <x:c r="X149" s="10"/>
      <x:c r="Y149" s="10"/>
      <x:c r="Z149" s="9"/>
      <x:c r="AA149" s="9"/>
      <x:c r="AB149" s="9"/>
      <x:c r="AC149" s="9"/>
      <x:c r="AD149" s="9"/>
      <x:c r="AE149" s="9"/>
      <x:c r="AF149" s="9"/>
      <x:c r="AG149" s="9"/>
      <x:c r="AH149" s="9"/>
      <x:c r="AI149" s="11"/>
      <x:c r="AJ149" s="9"/>
      <x:c r="AK149" s="9" t="str">
        <x:v>Eval_State_Recognition.xlsm</x:v>
      </x:c>
      <x:c r="AL149" s="9" t="str">
        <x:v>pi0.5 Results</x:v>
      </x:c>
      <x:c r="AM149" s="9" t="n">
        <x:v>149</x:v>
      </x:c>
      <x:c r="AN149" s="9" t="n">
        <x:v>149</x:v>
      </x:c>
    </x:row>
    <x:row r="150">
      <x:c r="A150" s="9" t="str">
        <x:v>Failure</x:v>
      </x:c>
      <x:c r="B150" s="9" t="str">
        <x:v>State Recognition</x:v>
      </x:c>
      <x:c r="C150" s="10" t="n">
        <x:v>148</x:v>
      </x:c>
      <x:c r="D150" s="9" t="str">
        <x:v>Place the upright brown cup in the bowl.</x:v>
      </x:c>
      <x:c r="E150" s="9" t="str">
        <x:v>brown cup A (C, UD); brown cup B (C, UD)</x:v>
      </x:c>
      <x:c r="F150" s="9" t="str">
        <x:v>NO-OP; no object has state RU, so nothing should be picked up</x:v>
      </x:c>
      <x:c r="G150" s="9" t="str">
        <x:v>placed the two brown cups adjacent to each other. robot went into the middle like it couldn't decide. pushed the one on the right pretty far back, but still got it. Dropped it and couldn't recover</x:v>
      </x:c>
      <x:c r="H150" s="9" t="str">
        <x:v>No valid target / no movement</x:v>
      </x:c>
      <x:c r="I150" s="9" t="str">
        <x:v>SR-NOOP19</x:v>
      </x:c>
      <x:c r="J150" s="9" t="str">
        <x:v>No satisfying state present; bowl remains empty</x:v>
      </x:c>
      <x:c r="K150" s="9"/>
      <x:c r="L150" s="9" t="str">
        <x:v>130</x:v>
      </x:c>
      <x:c r="M150" s="9" t="str">
        <x:v>The state-object concept is explicitly trained, but training does not contain a no-satisfying-target abstention trajectory.</x:v>
      </x:c>
      <x:c r="N150" s="9" t="n">
        <x:v>6</x:v>
      </x:c>
      <x:c r="O150" s="9" t="str">
        <x:v>Build the listed no-match scene and confirm the bowl is empty.</x:v>
      </x:c>
      <x:c r="P150" s="9" t="str">
        <x:v>No object in the entire scene has the queried state. The prompt uses the same canonical frame as active trials, and the queried state-object cell is training-supported. The same-category candidates share the orthogonal C/O state (C).</x:v>
      </x:c>
      <x:c r="Q150" s="9"/>
      <x:c r="R150" s="10" t="n">
        <x:v>2</x:v>
      </x:c>
      <x:c r="S150" s="10" t="n">
        <x:v>0</x:v>
      </x:c>
      <x:c r="T150" s="9" t="str">
        <x:v>Empty</x:v>
      </x:c>
      <x:c r="U150" s="9" t="str">
        <x:v>RU</x:v>
      </x:c>
      <x:c r="V150" s="9" t="str">
        <x:v>brown cup</x:v>
      </x:c>
      <x:c r="W150" s="9"/>
      <x:c r="X150" s="10"/>
      <x:c r="Y150" s="10"/>
      <x:c r="Z150" s="9"/>
      <x:c r="AA150" s="9"/>
      <x:c r="AB150" s="9"/>
      <x:c r="AC150" s="9"/>
      <x:c r="AD150" s="9"/>
      <x:c r="AE150" s="9"/>
      <x:c r="AF150" s="9"/>
      <x:c r="AG150" s="9"/>
      <x:c r="AH150" s="9"/>
      <x:c r="AI150" s="11"/>
      <x:c r="AJ150" s="9"/>
      <x:c r="AK150" s="9" t="str">
        <x:v>Eval_State_Recognition.xlsm</x:v>
      </x:c>
      <x:c r="AL150" s="9" t="str">
        <x:v>pi0.5 Results</x:v>
      </x:c>
      <x:c r="AM150" s="9" t="n">
        <x:v>150</x:v>
      </x:c>
      <x:c r="AN150" s="9" t="n">
        <x:v>150</x:v>
      </x:c>
    </x:row>
    <x:row r="151">
      <x:c r="A151" s="9" t="str">
        <x:v>Failure</x:v>
      </x:c>
      <x:c r="B151" s="9" t="str">
        <x:v>State Recognition</x:v>
      </x:c>
      <x:c r="C151" s="10" t="n">
        <x:v>149</x:v>
      </x:c>
      <x:c r="D151" s="9" t="str">
        <x:v>Place the open glass spice container in the bowl.</x:v>
      </x:c>
      <x:c r="E151" s="9" t="str">
        <x:v>glass spice container A (C, RU); glass spice container B (C, RU); brown cup B (C, RU)</x:v>
      </x:c>
      <x:c r="F151" s="9" t="str">
        <x:v>NO-OP; no object has state O, so nothing should be picked up</x:v>
      </x:c>
      <x:c r="G151" s="9" t="str">
        <x:v>picked jar closest to bowl</x:v>
      </x:c>
      <x:c r="H151" s="9" t="str">
        <x:v>No valid target / no movement</x:v>
      </x:c>
      <x:c r="I151" s="9" t="str">
        <x:v>SR-NOOP20</x:v>
      </x:c>
      <x:c r="J151" s="9" t="str">
        <x:v>No satisfying state present; bowl remains empty</x:v>
      </x:c>
      <x:c r="K151" s="9"/>
      <x:c r="L151" s="9" t="str">
        <x:v>154</x:v>
      </x:c>
      <x:c r="M151" s="9" t="str">
        <x:v>The state-object concept is explicitly trained, but training does not contain a no-satisfying-target abstention trajectory. All objects are upright, matching the context of every explicit open/closed training demonstration.</x:v>
      </x:c>
      <x:c r="N151" s="9" t="n">
        <x:v>6</x:v>
      </x:c>
      <x:c r="O151" s="9" t="str">
        <x:v>Build the listed no-match scene and confirm the bowl is empty.</x:v>
      </x:c>
      <x:c r="P151" s="9" t="str">
        <x:v>No object in the entire scene has the queried state. The prompt uses the same canonical frame as active trials, and the queried state-object cell is training-supported. The orthogonal orientation axis is fixed: every object is RU.</x:v>
      </x:c>
      <x:c r="Q151" s="9"/>
      <x:c r="R151" s="10" t="n">
        <x:v>3</x:v>
      </x:c>
      <x:c r="S151" s="10" t="n">
        <x:v>0</x:v>
      </x:c>
      <x:c r="T151" s="9" t="str">
        <x:v>Empty</x:v>
      </x:c>
      <x:c r="U151" s="9" t="str">
        <x:v>O</x:v>
      </x:c>
      <x:c r="V151" s="9" t="str">
        <x:v>glass spice container</x:v>
      </x:c>
      <x:c r="W151" s="9"/>
      <x:c r="X151" s="10"/>
      <x:c r="Y151" s="10"/>
      <x:c r="Z151" s="9"/>
      <x:c r="AA151" s="9"/>
      <x:c r="AB151" s="9"/>
      <x:c r="AC151" s="9"/>
      <x:c r="AD151" s="9"/>
      <x:c r="AE151" s="9"/>
      <x:c r="AF151" s="9"/>
      <x:c r="AG151" s="9"/>
      <x:c r="AH151" s="9"/>
      <x:c r="AI151" s="11"/>
      <x:c r="AJ151" s="9"/>
      <x:c r="AK151" s="9" t="str">
        <x:v>Eval_State_Recognition.xlsm</x:v>
      </x:c>
      <x:c r="AL151" s="9" t="str">
        <x:v>pi0.5 Results</x:v>
      </x:c>
      <x:c r="AM151" s="9" t="n">
        <x:v>151</x:v>
      </x:c>
      <x:c r="AN151" s="9" t="n">
        <x:v>151</x:v>
      </x:c>
    </x:row>
    <x:row r="152">
      <x:c r="A152" s="9" t="str">
        <x:v>Success</x:v>
      </x:c>
      <x:c r="B152" s="9" t="str">
        <x:v>Counting</x:v>
      </x:c>
      <x:c r="C152" s="10" t="n">
        <x:v>0</x:v>
      </x:c>
      <x:c r="D152" s="9" t="str">
        <x:v>Leave exactly one object in the bowl.</x:v>
      </x:c>
      <x:c r="E152" s="9" t="str">
        <x:v>Bowl objects: [none] | Table objects: [blue pen, yellow block, green pencil sharpener]</x:v>
      </x:c>
      <x:c r="F152" s="9" t="str">
        <x:v>ADD any one table object; finish with 1 object in the bowl</x:v>
      </x:c>
      <x:c r="G152" s="9" t="str">
        <x:v>picked the blue pen</x:v>
      </x:c>
      <x:c r="H152" s="9" t="str">
        <x:v>In-distribution concept baseline</x:v>
      </x:c>
      <x:c r="I152" s="9" t="str">
        <x:v>ID-F01</x:v>
      </x:c>
      <x:c r="J152" s="9" t="str">
        <x:v>In-distribution: one via trained 0→1 addition</x:v>
      </x:c>
      <x:c r="K152" s="9"/>
      <x:c r="L152" s="9" t="str">
        <x:v>801</x:v>
      </x:c>
      <x:c r="M152" s="9" t="str">
        <x:v>Exact trained cell: prompt, count transition, and scene-object membership match; physical layout is not copied exactly.</x:v>
      </x:c>
      <x:c r="N152" s="9" t="n">
        <x:v>1</x:v>
      </x:c>
      <x:c r="O152" s="9" t="str">
        <x:v>Recreate the listed bowl/table membership from training episode 801.</x:v>
      </x:c>
      <x:c r="P152" s="9" t="str">
        <x:v>Exact trained count transition and scene-object membership. Any object that reaches the requested final count is acceptable.</x:v>
      </x:c>
      <x:c r="Q152" s="9"/>
      <x:c r="R152" s="10"/>
      <x:c r="S152" s="10"/>
      <x:c r="T152" s="9"/>
      <x:c r="U152" s="9"/>
      <x:c r="V152" s="9"/>
      <x:c r="W152" s="9" t="str">
        <x:v>ID-F01</x:v>
      </x:c>
      <x:c r="X152" s="10" t="n">
        <x:v>0</x:v>
      </x:c>
      <x:c r="Y152" s="10" t="n">
        <x:v>1</x:v>
      </x:c>
      <x:c r="Z152" s="9" t="str">
        <x:v>ADD</x:v>
      </x:c>
      <x:c r="AA152" s="9"/>
      <x:c r="AB152" s="9"/>
      <x:c r="AC152" s="9"/>
      <x:c r="AD152" s="9"/>
      <x:c r="AE152" s="9"/>
      <x:c r="AF152" s="9"/>
      <x:c r="AG152" s="9"/>
      <x:c r="AH152" s="9"/>
      <x:c r="AI152" s="11"/>
      <x:c r="AJ152" s="9"/>
      <x:c r="AK152" s="9" t="str">
        <x:v>Eval_Counting.xlsm</x:v>
      </x:c>
      <x:c r="AL152" s="9" t="str">
        <x:v>pi0.5 Results</x:v>
      </x:c>
      <x:c r="AM152" s="9" t="n">
        <x:v>2</x:v>
      </x:c>
      <x:c r="AN152" s="9" t="n">
        <x:v>2</x:v>
      </x:c>
    </x:row>
    <x:row r="153">
      <x:c r="A153" s="9" t="str">
        <x:v>Failure</x:v>
      </x:c>
      <x:c r="B153" s="9" t="str">
        <x:v>Counting</x:v>
      </x:c>
      <x:c r="C153" s="10" t="n">
        <x:v>1</x:v>
      </x:c>
      <x:c r="D153" s="9" t="str">
        <x:v>Adjust the bowl so that it contains two objects.</x:v>
      </x:c>
      <x:c r="E153" s="9" t="str">
        <x:v>Bowl objects: [yellow block] | Table objects: [blue pen, green pencil sharpener]</x:v>
      </x:c>
      <x:c r="F153" s="9" t="str">
        <x:v>ADD any one table object; finish with 2 objects in the bowl</x:v>
      </x:c>
      <x:c r="G153" s="9" t="str">
        <x:v>didn't move</x:v>
      </x:c>
      <x:c r="H153" s="9" t="str">
        <x:v>In-distribution concept baseline</x:v>
      </x:c>
      <x:c r="I153" s="9" t="str">
        <x:v>ID-F01</x:v>
      </x:c>
      <x:c r="J153" s="9" t="str">
        <x:v>In-distribution: two via trained 1→2 addition</x:v>
      </x:c>
      <x:c r="K153" s="9"/>
      <x:c r="L153" s="9" t="str">
        <x:v>809</x:v>
      </x:c>
      <x:c r="M153" s="9" t="str">
        <x:v>Exact trained cell: prompt, count transition, and scene-object membership match; physical layout is not copied exactly.</x:v>
      </x:c>
      <x:c r="N153" s="9" t="n">
        <x:v>1</x:v>
      </x:c>
      <x:c r="O153" s="9" t="str">
        <x:v>Recreate the listed bowl/table membership from training episode 809.</x:v>
      </x:c>
      <x:c r="P153" s="9" t="str">
        <x:v>Exact trained count transition and scene-object membership. Any object that reaches the requested final count is acceptable.</x:v>
      </x:c>
      <x:c r="Q153" s="9"/>
      <x:c r="R153" s="10"/>
      <x:c r="S153" s="10"/>
      <x:c r="T153" s="9"/>
      <x:c r="U153" s="9"/>
      <x:c r="V153" s="9"/>
      <x:c r="W153" s="9" t="str">
        <x:v>ID-F01</x:v>
      </x:c>
      <x:c r="X153" s="10" t="n">
        <x:v>1</x:v>
      </x:c>
      <x:c r="Y153" s="10" t="n">
        <x:v>2</x:v>
      </x:c>
      <x:c r="Z153" s="9" t="str">
        <x:v>ADD</x:v>
      </x:c>
      <x:c r="AA153" s="9"/>
      <x:c r="AB153" s="9"/>
      <x:c r="AC153" s="9"/>
      <x:c r="AD153" s="9"/>
      <x:c r="AE153" s="9"/>
      <x:c r="AF153" s="9"/>
      <x:c r="AG153" s="9"/>
      <x:c r="AH153" s="9"/>
      <x:c r="AI153" s="11"/>
      <x:c r="AJ153" s="9"/>
      <x:c r="AK153" s="9" t="str">
        <x:v>Eval_Counting.xlsm</x:v>
      </x:c>
      <x:c r="AL153" s="9" t="str">
        <x:v>pi0.5 Results</x:v>
      </x:c>
      <x:c r="AM153" s="9" t="n">
        <x:v>3</x:v>
      </x:c>
      <x:c r="AN153" s="9" t="n">
        <x:v>3</x:v>
      </x:c>
    </x:row>
    <x:row r="154">
      <x:c r="A154" s="9" t="str">
        <x:v>Success</x:v>
      </x:c>
      <x:c r="B154" s="9" t="str">
        <x:v>Counting</x:v>
      </x:c>
      <x:c r="C154" s="10" t="n">
        <x:v>2</x:v>
      </x:c>
      <x:c r="D154" s="9" t="str">
        <x:v>Leave exactly three objects in the bowl.</x:v>
      </x:c>
      <x:c r="E154" s="9" t="str">
        <x:v>Bowl objects: [blue pen, yellow block, green pencil sharpener, airplane toy without propellers] | Table objects: [none]</x:v>
      </x:c>
      <x:c r="F154" s="9" t="str">
        <x:v>REMOVE any one bowl object; finish with 3 objects in the bowl</x:v>
      </x:c>
      <x:c r="G154" s="9" t="str">
        <x:v>tried to pick out yellow block, missed, then went back and got the green pencil sharpener</x:v>
      </x:c>
      <x:c r="H154" s="9" t="str">
        <x:v>In-distribution concept baseline</x:v>
      </x:c>
      <x:c r="I154" s="9" t="str">
        <x:v>ID-F01</x:v>
      </x:c>
      <x:c r="J154" s="9" t="str">
        <x:v>In-distribution: three via trained 4→3 removal</x:v>
      </x:c>
      <x:c r="K154" s="9"/>
      <x:c r="L154" s="9" t="str">
        <x:v>843</x:v>
      </x:c>
      <x:c r="M154" s="9" t="str">
        <x:v>Exact trained cell: prompt, count transition, and scene-object membership match; physical layout is not copied exactly.</x:v>
      </x:c>
      <x:c r="N154" s="9" t="n">
        <x:v>1</x:v>
      </x:c>
      <x:c r="O154" s="9" t="str">
        <x:v>Recreate the listed bowl/table membership from training episode 843.</x:v>
      </x:c>
      <x:c r="P154" s="9" t="str">
        <x:v>Exact trained count transition and scene-object membership. Any object that reaches the requested final count is acceptable.</x:v>
      </x:c>
      <x:c r="Q154" s="9"/>
      <x:c r="R154" s="10"/>
      <x:c r="S154" s="10"/>
      <x:c r="T154" s="9"/>
      <x:c r="U154" s="9"/>
      <x:c r="V154" s="9"/>
      <x:c r="W154" s="9" t="str">
        <x:v>ID-F01</x:v>
      </x:c>
      <x:c r="X154" s="10" t="n">
        <x:v>4</x:v>
      </x:c>
      <x:c r="Y154" s="10" t="n">
        <x:v>3</x:v>
      </x:c>
      <x:c r="Z154" s="9" t="str">
        <x:v>REMOVE</x:v>
      </x:c>
      <x:c r="AA154" s="9"/>
      <x:c r="AB154" s="9"/>
      <x:c r="AC154" s="9"/>
      <x:c r="AD154" s="9"/>
      <x:c r="AE154" s="9"/>
      <x:c r="AF154" s="9"/>
      <x:c r="AG154" s="9"/>
      <x:c r="AH154" s="9"/>
      <x:c r="AI154" s="11"/>
      <x:c r="AJ154" s="9"/>
      <x:c r="AK154" s="9" t="str">
        <x:v>Eval_Counting.xlsm</x:v>
      </x:c>
      <x:c r="AL154" s="9" t="str">
        <x:v>pi0.5 Results</x:v>
      </x:c>
      <x:c r="AM154" s="9" t="n">
        <x:v>4</x:v>
      </x:c>
      <x:c r="AN154" s="9" t="n">
        <x:v>4</x:v>
      </x:c>
    </x:row>
    <x:row r="155">
      <x:c r="A155" s="9" t="str">
        <x:v>Success</x:v>
      </x:c>
      <x:c r="B155" s="9" t="str">
        <x:v>Counting</x:v>
      </x:c>
      <x:c r="C155" s="10" t="n">
        <x:v>3</x:v>
      </x:c>
      <x:c r="D155" s="9" t="str">
        <x:v>Adjust the bowl so that it contains zero objects.</x:v>
      </x:c>
      <x:c r="E155" s="9" t="str">
        <x:v>Bowl objects: [blue pen] | Table objects: [green pencil sharpener, airplane toy without propellers]</x:v>
      </x:c>
      <x:c r="F155" s="9" t="str">
        <x:v>REMOVE the only bowl object; finish with 0 objects in the bowl</x:v>
      </x:c>
      <x:c r="G155" s="9"/>
      <x:c r="H155" s="9" t="str">
        <x:v>In-distribution concept baseline</x:v>
      </x:c>
      <x:c r="I155" s="9" t="str">
        <x:v>ID-F01</x:v>
      </x:c>
      <x:c r="J155" s="9" t="str">
        <x:v>In-distribution: zero via trained 1→0 removal</x:v>
      </x:c>
      <x:c r="K155" s="9"/>
      <x:c r="L155" s="9" t="str">
        <x:v>826</x:v>
      </x:c>
      <x:c r="M155" s="9" t="str">
        <x:v>Exact trained cell: prompt, count transition, and scene-object membership match; physical layout is not copied exactly.</x:v>
      </x:c>
      <x:c r="N155" s="9" t="n">
        <x:v>1</x:v>
      </x:c>
      <x:c r="O155" s="9" t="str">
        <x:v>Recreate the listed bowl/table membership from training episode 826.</x:v>
      </x:c>
      <x:c r="P155" s="9" t="str">
        <x:v>Exact trained count transition and scene-object membership. Any object that reaches the requested final count is acceptable.</x:v>
      </x:c>
      <x:c r="Q155" s="9"/>
      <x:c r="R155" s="10"/>
      <x:c r="S155" s="10"/>
      <x:c r="T155" s="9"/>
      <x:c r="U155" s="9"/>
      <x:c r="V155" s="9"/>
      <x:c r="W155" s="9" t="str">
        <x:v>ID-F01</x:v>
      </x:c>
      <x:c r="X155" s="10" t="n">
        <x:v>1</x:v>
      </x:c>
      <x:c r="Y155" s="10" t="n">
        <x:v>0</x:v>
      </x:c>
      <x:c r="Z155" s="9" t="str">
        <x:v>REMOVE</x:v>
      </x:c>
      <x:c r="AA155" s="9"/>
      <x:c r="AB155" s="9"/>
      <x:c r="AC155" s="9"/>
      <x:c r="AD155" s="9"/>
      <x:c r="AE155" s="9"/>
      <x:c r="AF155" s="9"/>
      <x:c r="AG155" s="9"/>
      <x:c r="AH155" s="9"/>
      <x:c r="AI155" s="11"/>
      <x:c r="AJ155" s="9"/>
      <x:c r="AK155" s="9" t="str">
        <x:v>Eval_Counting.xlsm</x:v>
      </x:c>
      <x:c r="AL155" s="9" t="str">
        <x:v>pi0.5 Results</x:v>
      </x:c>
      <x:c r="AM155" s="9" t="n">
        <x:v>5</x:v>
      </x:c>
      <x:c r="AN155" s="9" t="n">
        <x:v>5</x:v>
      </x:c>
    </x:row>
    <x:row r="156">
      <x:c r="A156" s="9" t="str">
        <x:v>Success</x:v>
      </x:c>
      <x:c r="B156" s="9" t="str">
        <x:v>Counting</x:v>
      </x:c>
      <x:c r="C156" s="10" t="n">
        <x:v>4</x:v>
      </x:c>
      <x:c r="D156" s="9" t="str">
        <x:v>Leave exactly one object in the bowl.</x:v>
      </x:c>
      <x:c r="E156" s="9" t="str">
        <x:v>Bowl objects: [none] | Table objects: [yellow block, blue pen]</x:v>
      </x:c>
      <x:c r="F156" s="9" t="str">
        <x:v>ADD any one table object; finish with 1 object in the bowl</x:v>
      </x:c>
      <x:c r="G156" s="9" t="str">
        <x:v>picked the yellow block</x:v>
      </x:c>
      <x:c r="H156" s="9" t="str">
        <x:v>In-distribution concept baseline</x:v>
      </x:c>
      <x:c r="I156" s="9" t="str">
        <x:v>ID-F02</x:v>
      </x:c>
      <x:c r="J156" s="9" t="str">
        <x:v>In-distribution: one via trained 0→1 addition</x:v>
      </x:c>
      <x:c r="K156" s="9"/>
      <x:c r="L156" s="9" t="str">
        <x:v>852</x:v>
      </x:c>
      <x:c r="M156" s="9" t="str">
        <x:v>Exact trained cell: prompt, count transition, and scene-object membership match; physical layout is not copied exactly.</x:v>
      </x:c>
      <x:c r="N156" s="9" t="n">
        <x:v>1</x:v>
      </x:c>
      <x:c r="O156" s="9" t="str">
        <x:v>Recreate the listed bowl/table membership from training episode 852.</x:v>
      </x:c>
      <x:c r="P156" s="9" t="str">
        <x:v>Exact trained count transition and scene-object membership. Any object that reaches the requested final count is acceptable.</x:v>
      </x:c>
      <x:c r="Q156" s="9"/>
      <x:c r="R156" s="10"/>
      <x:c r="S156" s="10"/>
      <x:c r="T156" s="9"/>
      <x:c r="U156" s="9"/>
      <x:c r="V156" s="9"/>
      <x:c r="W156" s="9" t="str">
        <x:v>ID-F02</x:v>
      </x:c>
      <x:c r="X156" s="10" t="n">
        <x:v>0</x:v>
      </x:c>
      <x:c r="Y156" s="10" t="n">
        <x:v>1</x:v>
      </x:c>
      <x:c r="Z156" s="9" t="str">
        <x:v>ADD</x:v>
      </x:c>
      <x:c r="AA156" s="9"/>
      <x:c r="AB156" s="9"/>
      <x:c r="AC156" s="9"/>
      <x:c r="AD156" s="9"/>
      <x:c r="AE156" s="9"/>
      <x:c r="AF156" s="9"/>
      <x:c r="AG156" s="9"/>
      <x:c r="AH156" s="9"/>
      <x:c r="AI156" s="11"/>
      <x:c r="AJ156" s="9"/>
      <x:c r="AK156" s="9" t="str">
        <x:v>Eval_Counting.xlsm</x:v>
      </x:c>
      <x:c r="AL156" s="9" t="str">
        <x:v>pi0.5 Results</x:v>
      </x:c>
      <x:c r="AM156" s="9" t="n">
        <x:v>6</x:v>
      </x:c>
      <x:c r="AN156" s="9" t="n">
        <x:v>6</x:v>
      </x:c>
    </x:row>
    <x:row r="157">
      <x:c r="A157" s="9" t="str">
        <x:v>Failure</x:v>
      </x:c>
      <x:c r="B157" s="9" t="str">
        <x:v>Counting</x:v>
      </x:c>
      <x:c r="C157" s="10" t="n">
        <x:v>5</x:v>
      </x:c>
      <x:c r="D157" s="9" t="str">
        <x:v>Adjust the bowl so that it contains two objects.</x:v>
      </x:c>
      <x:c r="E157" s="9" t="str">
        <x:v>Bowl objects: [green pencil sharpener] | Table objects: [yellow block, airplane toy without propellers]</x:v>
      </x:c>
      <x:c r="F157" s="9" t="str">
        <x:v>ADD any one table object; finish with 2 objects in the bowl</x:v>
      </x:c>
      <x:c r="G157" s="9" t="str">
        <x:v>didn't move</x:v>
      </x:c>
      <x:c r="H157" s="9" t="str">
        <x:v>In-distribution concept baseline</x:v>
      </x:c>
      <x:c r="I157" s="9" t="str">
        <x:v>ID-F02</x:v>
      </x:c>
      <x:c r="J157" s="9" t="str">
        <x:v>In-distribution: two via trained 1→2 addition</x:v>
      </x:c>
      <x:c r="K157" s="9"/>
      <x:c r="L157" s="9" t="str">
        <x:v>859</x:v>
      </x:c>
      <x:c r="M157" s="9" t="str">
        <x:v>Exact trained cell: prompt, count transition, and scene-object membership match; physical layout is not copied exactly.</x:v>
      </x:c>
      <x:c r="N157" s="9" t="n">
        <x:v>1</x:v>
      </x:c>
      <x:c r="O157" s="9" t="str">
        <x:v>Recreate the listed bowl/table membership from training episode 859.</x:v>
      </x:c>
      <x:c r="P157" s="9" t="str">
        <x:v>Exact trained count transition and scene-object membership. Any object that reaches the requested final count is acceptable.</x:v>
      </x:c>
      <x:c r="Q157" s="9"/>
      <x:c r="R157" s="10"/>
      <x:c r="S157" s="10"/>
      <x:c r="T157" s="9"/>
      <x:c r="U157" s="9"/>
      <x:c r="V157" s="9"/>
      <x:c r="W157" s="9" t="str">
        <x:v>ID-F02</x:v>
      </x:c>
      <x:c r="X157" s="10" t="n">
        <x:v>1</x:v>
      </x:c>
      <x:c r="Y157" s="10" t="n">
        <x:v>2</x:v>
      </x:c>
      <x:c r="Z157" s="9" t="str">
        <x:v>ADD</x:v>
      </x:c>
      <x:c r="AA157" s="9"/>
      <x:c r="AB157" s="9"/>
      <x:c r="AC157" s="9"/>
      <x:c r="AD157" s="9"/>
      <x:c r="AE157" s="9"/>
      <x:c r="AF157" s="9"/>
      <x:c r="AG157" s="9"/>
      <x:c r="AH157" s="9"/>
      <x:c r="AI157" s="11"/>
      <x:c r="AJ157" s="9"/>
      <x:c r="AK157" s="9" t="str">
        <x:v>Eval_Counting.xlsm</x:v>
      </x:c>
      <x:c r="AL157" s="9" t="str">
        <x:v>pi0.5 Results</x:v>
      </x:c>
      <x:c r="AM157" s="9" t="n">
        <x:v>7</x:v>
      </x:c>
      <x:c r="AN157" s="9" t="n">
        <x:v>7</x:v>
      </x:c>
    </x:row>
    <x:row r="158">
      <x:c r="A158" s="9" t="str">
        <x:v>Failure</x:v>
      </x:c>
      <x:c r="B158" s="9" t="str">
        <x:v>Counting</x:v>
      </x:c>
      <x:c r="C158" s="10" t="n">
        <x:v>6</x:v>
      </x:c>
      <x:c r="D158" s="9" t="str">
        <x:v>Leave exactly three objects in the bowl.</x:v>
      </x:c>
      <x:c r="E158" s="9" t="str">
        <x:v>Bowl objects: [yellow block, green pencil sharpener, airplane toy without propellers, blue pen] | Table objects: [none]</x:v>
      </x:c>
      <x:c r="F158" s="9" t="str">
        <x:v>REMOVE any one bowl object; finish with 3 objects in the bowl</x:v>
      </x:c>
      <x:c r="G158" s="9" t="str">
        <x:v>went to bowl and was trying to remove yellow block, but couldn't</x:v>
      </x:c>
      <x:c r="H158" s="9" t="str">
        <x:v>In-distribution concept baseline</x:v>
      </x:c>
      <x:c r="I158" s="9" t="str">
        <x:v>ID-F02</x:v>
      </x:c>
      <x:c r="J158" s="9" t="str">
        <x:v>In-distribution: three via trained 4→3 removal</x:v>
      </x:c>
      <x:c r="K158" s="9"/>
      <x:c r="L158" s="9" t="str">
        <x:v>893</x:v>
      </x:c>
      <x:c r="M158" s="9" t="str">
        <x:v>Exact trained cell: prompt, count transition, and scene-object membership match; physical layout is not copied exactly.</x:v>
      </x:c>
      <x:c r="N158" s="9" t="n">
        <x:v>1</x:v>
      </x:c>
      <x:c r="O158" s="9" t="str">
        <x:v>Recreate the listed bowl/table membership from training episode 893.</x:v>
      </x:c>
      <x:c r="P158" s="9" t="str">
        <x:v>Exact trained count transition and scene-object membership. Any object that reaches the requested final count is acceptable.</x:v>
      </x:c>
      <x:c r="Q158" s="9"/>
      <x:c r="R158" s="10"/>
      <x:c r="S158" s="10"/>
      <x:c r="T158" s="9"/>
      <x:c r="U158" s="9"/>
      <x:c r="V158" s="9"/>
      <x:c r="W158" s="9" t="str">
        <x:v>ID-F02</x:v>
      </x:c>
      <x:c r="X158" s="10" t="n">
        <x:v>4</x:v>
      </x:c>
      <x:c r="Y158" s="10" t="n">
        <x:v>3</x:v>
      </x:c>
      <x:c r="Z158" s="9" t="str">
        <x:v>REMOVE</x:v>
      </x:c>
      <x:c r="AA158" s="9"/>
      <x:c r="AB158" s="9"/>
      <x:c r="AC158" s="9"/>
      <x:c r="AD158" s="9"/>
      <x:c r="AE158" s="9"/>
      <x:c r="AF158" s="9"/>
      <x:c r="AG158" s="9"/>
      <x:c r="AH158" s="9"/>
      <x:c r="AI158" s="11"/>
      <x:c r="AJ158" s="9"/>
      <x:c r="AK158" s="9" t="str">
        <x:v>Eval_Counting.xlsm</x:v>
      </x:c>
      <x:c r="AL158" s="9" t="str">
        <x:v>pi0.5 Results</x:v>
      </x:c>
      <x:c r="AM158" s="9" t="n">
        <x:v>8</x:v>
      </x:c>
      <x:c r="AN158" s="9" t="n">
        <x:v>8</x:v>
      </x:c>
    </x:row>
    <x:row r="159">
      <x:c r="A159" s="9" t="str">
        <x:v>Success</x:v>
      </x:c>
      <x:c r="B159" s="9" t="str">
        <x:v>Counting</x:v>
      </x:c>
      <x:c r="C159" s="10" t="n">
        <x:v>7</x:v>
      </x:c>
      <x:c r="D159" s="9" t="str">
        <x:v>Adjust the bowl so that it contains zero objects.</x:v>
      </x:c>
      <x:c r="E159" s="9" t="str">
        <x:v>Bowl objects: [yellow block] | Table objects: [blue pen]</x:v>
      </x:c>
      <x:c r="F159" s="9" t="str">
        <x:v>REMOVE the only bowl object; finish with 0 objects in the bowl</x:v>
      </x:c>
      <x:c r="G159" s="9"/>
      <x:c r="H159" s="9" t="str">
        <x:v>In-distribution concept baseline</x:v>
      </x:c>
      <x:c r="I159" s="9" t="str">
        <x:v>ID-F02</x:v>
      </x:c>
      <x:c r="J159" s="9" t="str">
        <x:v>In-distribution: zero via trained 1→0 removal</x:v>
      </x:c>
      <x:c r="K159" s="9"/>
      <x:c r="L159" s="9" t="str">
        <x:v>878</x:v>
      </x:c>
      <x:c r="M159" s="9" t="str">
        <x:v>Exact trained cell: prompt, count transition, and scene-object membership match; physical layout is not copied exactly.</x:v>
      </x:c>
      <x:c r="N159" s="9" t="n">
        <x:v>1</x:v>
      </x:c>
      <x:c r="O159" s="9" t="str">
        <x:v>Recreate the listed bowl/table membership from training episode 878.</x:v>
      </x:c>
      <x:c r="P159" s="9" t="str">
        <x:v>Exact trained count transition and scene-object membership. Any object that reaches the requested final count is acceptable.</x:v>
      </x:c>
      <x:c r="Q159" s="9"/>
      <x:c r="R159" s="10"/>
      <x:c r="S159" s="10"/>
      <x:c r="T159" s="9"/>
      <x:c r="U159" s="9"/>
      <x:c r="V159" s="9"/>
      <x:c r="W159" s="9" t="str">
        <x:v>ID-F02</x:v>
      </x:c>
      <x:c r="X159" s="10" t="n">
        <x:v>1</x:v>
      </x:c>
      <x:c r="Y159" s="10" t="n">
        <x:v>0</x:v>
      </x:c>
      <x:c r="Z159" s="9" t="str">
        <x:v>REMOVE</x:v>
      </x:c>
      <x:c r="AA159" s="9"/>
      <x:c r="AB159" s="9"/>
      <x:c r="AC159" s="9"/>
      <x:c r="AD159" s="9"/>
      <x:c r="AE159" s="9"/>
      <x:c r="AF159" s="9"/>
      <x:c r="AG159" s="9"/>
      <x:c r="AH159" s="9"/>
      <x:c r="AI159" s="11"/>
      <x:c r="AJ159" s="9"/>
      <x:c r="AK159" s="9" t="str">
        <x:v>Eval_Counting.xlsm</x:v>
      </x:c>
      <x:c r="AL159" s="9" t="str">
        <x:v>pi0.5 Results</x:v>
      </x:c>
      <x:c r="AM159" s="9" t="n">
        <x:v>9</x:v>
      </x:c>
      <x:c r="AN159" s="9" t="n">
        <x:v>9</x:v>
      </x:c>
    </x:row>
    <x:row r="160">
      <x:c r="A160" s="9" t="str">
        <x:v>Success</x:v>
      </x:c>
      <x:c r="B160" s="9" t="str">
        <x:v>Counting</x:v>
      </x:c>
      <x:c r="C160" s="10" t="n">
        <x:v>8</x:v>
      </x:c>
      <x:c r="D160" s="9" t="str">
        <x:v>Leave exactly one object in the bowl.</x:v>
      </x:c>
      <x:c r="E160" s="9" t="str">
        <x:v>Bowl objects: [none] | Table objects: [green pencil sharpener, yellow block]</x:v>
      </x:c>
      <x:c r="F160" s="9" t="str">
        <x:v>ADD any one table object; finish with 1 object in the bowl</x:v>
      </x:c>
      <x:c r="G160" s="9" t="str">
        <x:v>picked green pencil sharpener</x:v>
      </x:c>
      <x:c r="H160" s="9" t="str">
        <x:v>In-distribution concept baseline</x:v>
      </x:c>
      <x:c r="I160" s="9" t="str">
        <x:v>ID-F03</x:v>
      </x:c>
      <x:c r="J160" s="9" t="str">
        <x:v>In-distribution: one via trained 0→1 addition</x:v>
      </x:c>
      <x:c r="K160" s="9"/>
      <x:c r="L160" s="9" t="str">
        <x:v>902</x:v>
      </x:c>
      <x:c r="M160" s="9" t="str">
        <x:v>Exact trained cell: prompt, count transition, and scene-object membership match; physical layout is not copied exactly.</x:v>
      </x:c>
      <x:c r="N160" s="9" t="n">
        <x:v>1</x:v>
      </x:c>
      <x:c r="O160" s="9" t="str">
        <x:v>Recreate the listed bowl/table membership from training episode 902.</x:v>
      </x:c>
      <x:c r="P160" s="9" t="str">
        <x:v>Exact trained count transition and scene-object membership. Any object that reaches the requested final count is acceptable.</x:v>
      </x:c>
      <x:c r="Q160" s="9"/>
      <x:c r="R160" s="10"/>
      <x:c r="S160" s="10"/>
      <x:c r="T160" s="9"/>
      <x:c r="U160" s="9"/>
      <x:c r="V160" s="9"/>
      <x:c r="W160" s="9" t="str">
        <x:v>ID-F03</x:v>
      </x:c>
      <x:c r="X160" s="10" t="n">
        <x:v>0</x:v>
      </x:c>
      <x:c r="Y160" s="10" t="n">
        <x:v>1</x:v>
      </x:c>
      <x:c r="Z160" s="9" t="str">
        <x:v>ADD</x:v>
      </x:c>
      <x:c r="AA160" s="9"/>
      <x:c r="AB160" s="9"/>
      <x:c r="AC160" s="9"/>
      <x:c r="AD160" s="9"/>
      <x:c r="AE160" s="9"/>
      <x:c r="AF160" s="9"/>
      <x:c r="AG160" s="9"/>
      <x:c r="AH160" s="9"/>
      <x:c r="AI160" s="11"/>
      <x:c r="AJ160" s="9"/>
      <x:c r="AK160" s="9" t="str">
        <x:v>Eval_Counting.xlsm</x:v>
      </x:c>
      <x:c r="AL160" s="9" t="str">
        <x:v>pi0.5 Results</x:v>
      </x:c>
      <x:c r="AM160" s="9" t="n">
        <x:v>10</x:v>
      </x:c>
      <x:c r="AN160" s="9" t="n">
        <x:v>10</x:v>
      </x:c>
    </x:row>
    <x:row r="161">
      <x:c r="A161" s="9" t="str">
        <x:v>Failure</x:v>
      </x:c>
      <x:c r="B161" s="9" t="str">
        <x:v>Counting</x:v>
      </x:c>
      <x:c r="C161" s="10" t="n">
        <x:v>9</x:v>
      </x:c>
      <x:c r="D161" s="9" t="str">
        <x:v>Adjust the bowl so that it contains two objects.</x:v>
      </x:c>
      <x:c r="E161" s="9" t="str">
        <x:v>Bowl objects: [blue pen] | Table objects: [green pencil sharpener, airplane toy without propellers]</x:v>
      </x:c>
      <x:c r="F161" s="9" t="str">
        <x:v>ADD any one table object; finish with 2 objects in the bowl</x:v>
      </x:c>
      <x:c r="G161" s="9" t="str">
        <x:v>didn't move</x:v>
      </x:c>
      <x:c r="H161" s="9" t="str">
        <x:v>In-distribution concept baseline</x:v>
      </x:c>
      <x:c r="I161" s="9" t="str">
        <x:v>ID-F03</x:v>
      </x:c>
      <x:c r="J161" s="9" t="str">
        <x:v>In-distribution: two via trained 1→2 addition</x:v>
      </x:c>
      <x:c r="K161" s="9"/>
      <x:c r="L161" s="9" t="str">
        <x:v>909</x:v>
      </x:c>
      <x:c r="M161" s="9" t="str">
        <x:v>Exact trained cell: prompt, count transition, and scene-object membership match; physical layout is not copied exactly.</x:v>
      </x:c>
      <x:c r="N161" s="9" t="n">
        <x:v>1</x:v>
      </x:c>
      <x:c r="O161" s="9" t="str">
        <x:v>Recreate the listed bowl/table membership from training episode 909.</x:v>
      </x:c>
      <x:c r="P161" s="9" t="str">
        <x:v>Exact trained count transition and scene-object membership. Any object that reaches the requested final count is acceptable.</x:v>
      </x:c>
      <x:c r="Q161" s="9"/>
      <x:c r="R161" s="10"/>
      <x:c r="S161" s="10"/>
      <x:c r="T161" s="9"/>
      <x:c r="U161" s="9"/>
      <x:c r="V161" s="9"/>
      <x:c r="W161" s="9" t="str">
        <x:v>ID-F03</x:v>
      </x:c>
      <x:c r="X161" s="10" t="n">
        <x:v>1</x:v>
      </x:c>
      <x:c r="Y161" s="10" t="n">
        <x:v>2</x:v>
      </x:c>
      <x:c r="Z161" s="9" t="str">
        <x:v>ADD</x:v>
      </x:c>
      <x:c r="AA161" s="9"/>
      <x:c r="AB161" s="9"/>
      <x:c r="AC161" s="9"/>
      <x:c r="AD161" s="9"/>
      <x:c r="AE161" s="9"/>
      <x:c r="AF161" s="9"/>
      <x:c r="AG161" s="9"/>
      <x:c r="AH161" s="9"/>
      <x:c r="AI161" s="11"/>
      <x:c r="AJ161" s="9"/>
      <x:c r="AK161" s="9" t="str">
        <x:v>Eval_Counting.xlsm</x:v>
      </x:c>
      <x:c r="AL161" s="9" t="str">
        <x:v>pi0.5 Results</x:v>
      </x:c>
      <x:c r="AM161" s="9" t="n">
        <x:v>11</x:v>
      </x:c>
      <x:c r="AN161" s="9" t="n">
        <x:v>11</x:v>
      </x:c>
    </x:row>
    <x:row r="162">
      <x:c r="A162" s="9" t="str">
        <x:v>Success</x:v>
      </x:c>
      <x:c r="B162" s="9" t="str">
        <x:v>Counting</x:v>
      </x:c>
      <x:c r="C162" s="10" t="n">
        <x:v>10</x:v>
      </x:c>
      <x:c r="D162" s="9" t="str">
        <x:v>Leave exactly three objects in the bowl.</x:v>
      </x:c>
      <x:c r="E162" s="9" t="str">
        <x:v>Bowl objects: [green pencil sharpener, airplane toy without propellers, blue pen, yellow block] | Table objects: [none]</x:v>
      </x:c>
      <x:c r="F162" s="9" t="str">
        <x:v>REMOVE any one bowl object; finish with 3 objects in the bowl</x:v>
      </x:c>
      <x:c r="G162" s="9" t="str">
        <x:v>picked blue pen</x:v>
      </x:c>
      <x:c r="H162" s="9" t="str">
        <x:v>In-distribution concept baseline</x:v>
      </x:c>
      <x:c r="I162" s="9" t="str">
        <x:v>ID-F03</x:v>
      </x:c>
      <x:c r="J162" s="9" t="str">
        <x:v>In-distribution: three via trained 4→3 removal</x:v>
      </x:c>
      <x:c r="K162" s="9"/>
      <x:c r="L162" s="9" t="str">
        <x:v>943</x:v>
      </x:c>
      <x:c r="M162" s="9" t="str">
        <x:v>Exact trained cell: prompt, count transition, and scene-object membership match; physical layout is not copied exactly.</x:v>
      </x:c>
      <x:c r="N162" s="9" t="n">
        <x:v>1</x:v>
      </x:c>
      <x:c r="O162" s="9" t="str">
        <x:v>Recreate the listed bowl/table membership from training episode 943.</x:v>
      </x:c>
      <x:c r="P162" s="9" t="str">
        <x:v>Exact trained count transition and scene-object membership. Any object that reaches the requested final count is acceptable.</x:v>
      </x:c>
      <x:c r="Q162" s="9"/>
      <x:c r="R162" s="10"/>
      <x:c r="S162" s="10"/>
      <x:c r="T162" s="9"/>
      <x:c r="U162" s="9"/>
      <x:c r="V162" s="9"/>
      <x:c r="W162" s="9" t="str">
        <x:v>ID-F03</x:v>
      </x:c>
      <x:c r="X162" s="10" t="n">
        <x:v>4</x:v>
      </x:c>
      <x:c r="Y162" s="10" t="n">
        <x:v>3</x:v>
      </x:c>
      <x:c r="Z162" s="9" t="str">
        <x:v>REMOVE</x:v>
      </x:c>
      <x:c r="AA162" s="9"/>
      <x:c r="AB162" s="9"/>
      <x:c r="AC162" s="9"/>
      <x:c r="AD162" s="9"/>
      <x:c r="AE162" s="9"/>
      <x:c r="AF162" s="9"/>
      <x:c r="AG162" s="9"/>
      <x:c r="AH162" s="9"/>
      <x:c r="AI162" s="11"/>
      <x:c r="AJ162" s="9"/>
      <x:c r="AK162" s="9" t="str">
        <x:v>Eval_Counting.xlsm</x:v>
      </x:c>
      <x:c r="AL162" s="9" t="str">
        <x:v>pi0.5 Results</x:v>
      </x:c>
      <x:c r="AM162" s="9" t="n">
        <x:v>12</x:v>
      </x:c>
      <x:c r="AN162" s="9" t="n">
        <x:v>12</x:v>
      </x:c>
    </x:row>
    <x:row r="163">
      <x:c r="A163" s="9" t="str">
        <x:v>Success</x:v>
      </x:c>
      <x:c r="B163" s="9" t="str">
        <x:v>Counting</x:v>
      </x:c>
      <x:c r="C163" s="10" t="n">
        <x:v>11</x:v>
      </x:c>
      <x:c r="D163" s="9" t="str">
        <x:v>Make the bowl contain exactly zero objects.</x:v>
      </x:c>
      <x:c r="E163" s="9" t="str">
        <x:v>Bowl objects: [green pencil sharpener] | Table objects: [yellow block]</x:v>
      </x:c>
      <x:c r="F163" s="9" t="str">
        <x:v>REMOVE the only bowl object; finish with 0 objects in the bowl</x:v>
      </x:c>
      <x:c r="G163" s="9"/>
      <x:c r="H163" s="9" t="str">
        <x:v>In-distribution concept baseline</x:v>
      </x:c>
      <x:c r="I163" s="9" t="str">
        <x:v>ID-F03</x:v>
      </x:c>
      <x:c r="J163" s="9" t="str">
        <x:v>In-distribution: zero via trained 1→0 removal</x:v>
      </x:c>
      <x:c r="K163" s="9"/>
      <x:c r="L163" s="9" t="str">
        <x:v>928</x:v>
      </x:c>
      <x:c r="M163" s="9" t="str">
        <x:v>Exact trained cell: prompt, count transition, and scene-object membership match; physical layout is not copied exactly.</x:v>
      </x:c>
      <x:c r="N163" s="9" t="n">
        <x:v>1</x:v>
      </x:c>
      <x:c r="O163" s="9" t="str">
        <x:v>Recreate the listed bowl/table membership from training episode 928.</x:v>
      </x:c>
      <x:c r="P163" s="9" t="str">
        <x:v>Exact trained count transition and scene-object membership. Any object that reaches the requested final count is acceptable.</x:v>
      </x:c>
      <x:c r="Q163" s="9"/>
      <x:c r="R163" s="10"/>
      <x:c r="S163" s="10"/>
      <x:c r="T163" s="9"/>
      <x:c r="U163" s="9"/>
      <x:c r="V163" s="9"/>
      <x:c r="W163" s="9" t="str">
        <x:v>ID-F03</x:v>
      </x:c>
      <x:c r="X163" s="10" t="n">
        <x:v>1</x:v>
      </x:c>
      <x:c r="Y163" s="10" t="n">
        <x:v>0</x:v>
      </x:c>
      <x:c r="Z163" s="9" t="str">
        <x:v>REMOVE</x:v>
      </x:c>
      <x:c r="AA163" s="9"/>
      <x:c r="AB163" s="9"/>
      <x:c r="AC163" s="9"/>
      <x:c r="AD163" s="9"/>
      <x:c r="AE163" s="9"/>
      <x:c r="AF163" s="9"/>
      <x:c r="AG163" s="9"/>
      <x:c r="AH163" s="9"/>
      <x:c r="AI163" s="11"/>
      <x:c r="AJ163" s="9"/>
      <x:c r="AK163" s="9" t="str">
        <x:v>Eval_Counting.xlsm</x:v>
      </x:c>
      <x:c r="AL163" s="9" t="str">
        <x:v>pi0.5 Results</x:v>
      </x:c>
      <x:c r="AM163" s="9" t="n">
        <x:v>13</x:v>
      </x:c>
      <x:c r="AN163" s="9" t="n">
        <x:v>13</x:v>
      </x:c>
    </x:row>
    <x:row r="164">
      <x:c r="A164" s="9" t="str">
        <x:v>Failure</x:v>
      </x:c>
      <x:c r="B164" s="9" t="str">
        <x:v>Counting</x:v>
      </x:c>
      <x:c r="C164" s="10" t="n">
        <x:v>12</x:v>
      </x:c>
      <x:c r="D164" s="9" t="str">
        <x:v>Leave exactly one object in the bowl.</x:v>
      </x:c>
      <x:c r="E164" s="9" t="str">
        <x:v>Bowl objects: [none] | Table objects: [airplane toy without propellers, blue pen, yellow block]</x:v>
      </x:c>
      <x:c r="F164" s="9" t="str">
        <x:v>ADD any one table object; finish with 1 object in the bowl</x:v>
      </x:c>
      <x:c r="G164" s="9" t="str">
        <x:v>tried grabbing the airplane toy but couldn't</x:v>
      </x:c>
      <x:c r="H164" s="9" t="str">
        <x:v>In-distribution concept baseline</x:v>
      </x:c>
      <x:c r="I164" s="9" t="str">
        <x:v>ID-F04</x:v>
      </x:c>
      <x:c r="J164" s="9" t="str">
        <x:v>In-distribution: one via trained 0→1 addition</x:v>
      </x:c>
      <x:c r="K164" s="9"/>
      <x:c r="L164" s="9" t="str">
        <x:v>951</x:v>
      </x:c>
      <x:c r="M164" s="9" t="str">
        <x:v>Exact trained cell: prompt, count transition, and scene-object membership match; physical layout is not copied exactly.</x:v>
      </x:c>
      <x:c r="N164" s="9" t="n">
        <x:v>1</x:v>
      </x:c>
      <x:c r="O164" s="9" t="str">
        <x:v>Recreate the listed bowl/table membership from training episode 951.</x:v>
      </x:c>
      <x:c r="P164" s="9" t="str">
        <x:v>Exact trained count transition and scene-object membership. Any object that reaches the requested final count is acceptable.</x:v>
      </x:c>
      <x:c r="Q164" s="9"/>
      <x:c r="R164" s="10"/>
      <x:c r="S164" s="10"/>
      <x:c r="T164" s="9"/>
      <x:c r="U164" s="9"/>
      <x:c r="V164" s="9"/>
      <x:c r="W164" s="9" t="str">
        <x:v>ID-F04</x:v>
      </x:c>
      <x:c r="X164" s="10" t="n">
        <x:v>0</x:v>
      </x:c>
      <x:c r="Y164" s="10" t="n">
        <x:v>1</x:v>
      </x:c>
      <x:c r="Z164" s="9" t="str">
        <x:v>ADD</x:v>
      </x:c>
      <x:c r="AA164" s="9"/>
      <x:c r="AB164" s="9"/>
      <x:c r="AC164" s="9"/>
      <x:c r="AD164" s="9"/>
      <x:c r="AE164" s="9"/>
      <x:c r="AF164" s="9"/>
      <x:c r="AG164" s="9"/>
      <x:c r="AH164" s="9"/>
      <x:c r="AI164" s="11"/>
      <x:c r="AJ164" s="9"/>
      <x:c r="AK164" s="9" t="str">
        <x:v>Eval_Counting.xlsm</x:v>
      </x:c>
      <x:c r="AL164" s="9" t="str">
        <x:v>pi0.5 Results</x:v>
      </x:c>
      <x:c r="AM164" s="9" t="n">
        <x:v>14</x:v>
      </x:c>
      <x:c r="AN164" s="9" t="n">
        <x:v>14</x:v>
      </x:c>
    </x:row>
    <x:row r="165">
      <x:c r="A165" s="9" t="str">
        <x:v>Failure</x:v>
      </x:c>
      <x:c r="B165" s="9" t="str">
        <x:v>Counting</x:v>
      </x:c>
      <x:c r="C165" s="10" t="n">
        <x:v>13</x:v>
      </x:c>
      <x:c r="D165" s="9" t="str">
        <x:v>Make the bowl contain exactly two objects.</x:v>
      </x:c>
      <x:c r="E165" s="9" t="str">
        <x:v>Bowl objects: [green pencil sharpener] | Table objects: [airplane toy without propellers, yellow block]</x:v>
      </x:c>
      <x:c r="F165" s="9" t="str">
        <x:v>ADD any one table object; finish with 2 objects in the bowl</x:v>
      </x:c>
      <x:c r="G165" s="9" t="str">
        <x:v>didn't move</x:v>
      </x:c>
      <x:c r="H165" s="9" t="str">
        <x:v>In-distribution concept baseline</x:v>
      </x:c>
      <x:c r="I165" s="9" t="str">
        <x:v>ID-F04</x:v>
      </x:c>
      <x:c r="J165" s="9" t="str">
        <x:v>In-distribution: two via trained 1→2 addition</x:v>
      </x:c>
      <x:c r="K165" s="9"/>
      <x:c r="L165" s="9" t="str">
        <x:v>960</x:v>
      </x:c>
      <x:c r="M165" s="9" t="str">
        <x:v>Exact trained cell: prompt, count transition, and scene-object membership match; physical layout is not copied exactly.</x:v>
      </x:c>
      <x:c r="N165" s="9" t="n">
        <x:v>1</x:v>
      </x:c>
      <x:c r="O165" s="9" t="str">
        <x:v>Recreate the listed bowl/table membership from training episode 960.</x:v>
      </x:c>
      <x:c r="P165" s="9" t="str">
        <x:v>Exact trained count transition and scene-object membership. Any object that reaches the requested final count is acceptable.</x:v>
      </x:c>
      <x:c r="Q165" s="9"/>
      <x:c r="R165" s="10"/>
      <x:c r="S165" s="10"/>
      <x:c r="T165" s="9"/>
      <x:c r="U165" s="9"/>
      <x:c r="V165" s="9"/>
      <x:c r="W165" s="9" t="str">
        <x:v>ID-F04</x:v>
      </x:c>
      <x:c r="X165" s="10" t="n">
        <x:v>1</x:v>
      </x:c>
      <x:c r="Y165" s="10" t="n">
        <x:v>2</x:v>
      </x:c>
      <x:c r="Z165" s="9" t="str">
        <x:v>ADD</x:v>
      </x:c>
      <x:c r="AA165" s="9"/>
      <x:c r="AB165" s="9"/>
      <x:c r="AC165" s="9"/>
      <x:c r="AD165" s="9"/>
      <x:c r="AE165" s="9"/>
      <x:c r="AF165" s="9"/>
      <x:c r="AG165" s="9"/>
      <x:c r="AH165" s="9"/>
      <x:c r="AI165" s="11"/>
      <x:c r="AJ165" s="9"/>
      <x:c r="AK165" s="9" t="str">
        <x:v>Eval_Counting.xlsm</x:v>
      </x:c>
      <x:c r="AL165" s="9" t="str">
        <x:v>pi0.5 Results</x:v>
      </x:c>
      <x:c r="AM165" s="9" t="n">
        <x:v>15</x:v>
      </x:c>
      <x:c r="AN165" s="9" t="n">
        <x:v>15</x:v>
      </x:c>
    </x:row>
    <x:row r="166">
      <x:c r="A166" s="9" t="str">
        <x:v>Success</x:v>
      </x:c>
      <x:c r="B166" s="9" t="str">
        <x:v>Counting</x:v>
      </x:c>
      <x:c r="C166" s="10" t="n">
        <x:v>14</x:v>
      </x:c>
      <x:c r="D166" s="9" t="str">
        <x:v>Leave exactly three objects in the bowl.</x:v>
      </x:c>
      <x:c r="E166" s="9" t="str">
        <x:v>Bowl objects: [airplane toy without propellers, blue pen, yellow block, green pencil sharpener] | Table objects: [none]</x:v>
      </x:c>
      <x:c r="F166" s="9" t="str">
        <x:v>REMOVE any one bowl object; finish with 3 objects in the bowl</x:v>
      </x:c>
      <x:c r="G166" s="9" t="str">
        <x:v>picked out blue pen</x:v>
      </x:c>
      <x:c r="H166" s="9" t="str">
        <x:v>In-distribution concept baseline</x:v>
      </x:c>
      <x:c r="I166" s="9" t="str">
        <x:v>ID-F04</x:v>
      </x:c>
      <x:c r="J166" s="9" t="str">
        <x:v>In-distribution: three via trained 4→3 removal</x:v>
      </x:c>
      <x:c r="K166" s="9"/>
      <x:c r="L166" s="9" t="str">
        <x:v>993</x:v>
      </x:c>
      <x:c r="M166" s="9" t="str">
        <x:v>Exact trained cell: prompt, count transition, and scene-object membership match; physical layout is not copied exactly.</x:v>
      </x:c>
      <x:c r="N166" s="9" t="n">
        <x:v>1</x:v>
      </x:c>
      <x:c r="O166" s="9" t="str">
        <x:v>Recreate the listed bowl/table membership from training episode 993.</x:v>
      </x:c>
      <x:c r="P166" s="9" t="str">
        <x:v>Exact trained count transition and scene-object membership. Any object that reaches the requested final count is acceptable.</x:v>
      </x:c>
      <x:c r="Q166" s="9"/>
      <x:c r="R166" s="10"/>
      <x:c r="S166" s="10"/>
      <x:c r="T166" s="9"/>
      <x:c r="U166" s="9"/>
      <x:c r="V166" s="9"/>
      <x:c r="W166" s="9" t="str">
        <x:v>ID-F04</x:v>
      </x:c>
      <x:c r="X166" s="10" t="n">
        <x:v>4</x:v>
      </x:c>
      <x:c r="Y166" s="10" t="n">
        <x:v>3</x:v>
      </x:c>
      <x:c r="Z166" s="9" t="str">
        <x:v>REMOVE</x:v>
      </x:c>
      <x:c r="AA166" s="9"/>
      <x:c r="AB166" s="9"/>
      <x:c r="AC166" s="9"/>
      <x:c r="AD166" s="9"/>
      <x:c r="AE166" s="9"/>
      <x:c r="AF166" s="9"/>
      <x:c r="AG166" s="9"/>
      <x:c r="AH166" s="9"/>
      <x:c r="AI166" s="11"/>
      <x:c r="AJ166" s="9"/>
      <x:c r="AK166" s="9" t="str">
        <x:v>Eval_Counting.xlsm</x:v>
      </x:c>
      <x:c r="AL166" s="9" t="str">
        <x:v>pi0.5 Results</x:v>
      </x:c>
      <x:c r="AM166" s="9" t="n">
        <x:v>16</x:v>
      </x:c>
      <x:c r="AN166" s="9" t="n">
        <x:v>16</x:v>
      </x:c>
    </x:row>
    <x:row r="167">
      <x:c r="A167" s="9" t="str">
        <x:v>Failure</x:v>
      </x:c>
      <x:c r="B167" s="9" t="str">
        <x:v>Counting</x:v>
      </x:c>
      <x:c r="C167" s="10" t="n">
        <x:v>15</x:v>
      </x:c>
      <x:c r="D167" s="9" t="str">
        <x:v>Leave no objects in the bowl.</x:v>
      </x:c>
      <x:c r="E167" s="9" t="str">
        <x:v>Bowl objects: [airplane toy without propellers] | Table objects: [green pencil sharpener]</x:v>
      </x:c>
      <x:c r="F167" s="9" t="str">
        <x:v>REMOVE the only bowl object; finish with 0 objects in the bowl</x:v>
      </x:c>
      <x:c r="G167" s="9" t="str">
        <x:v>didn't move</x:v>
      </x:c>
      <x:c r="H167" s="9" t="str">
        <x:v>In-distribution concept baseline</x:v>
      </x:c>
      <x:c r="I167" s="9" t="str">
        <x:v>ID-F04</x:v>
      </x:c>
      <x:c r="J167" s="9" t="str">
        <x:v>In-distribution: zero via trained 1→0 removal</x:v>
      </x:c>
      <x:c r="K167" s="9"/>
      <x:c r="L167" s="9" t="str">
        <x:v>978</x:v>
      </x:c>
      <x:c r="M167" s="9" t="str">
        <x:v>Exact trained cell: prompt, count transition, and scene-object membership match; physical layout is not copied exactly.</x:v>
      </x:c>
      <x:c r="N167" s="9" t="n">
        <x:v>1</x:v>
      </x:c>
      <x:c r="O167" s="9" t="str">
        <x:v>Recreate the listed bowl/table membership from training episode 978.</x:v>
      </x:c>
      <x:c r="P167" s="9" t="str">
        <x:v>Exact trained count transition and scene-object membership. Any object that reaches the requested final count is acceptable.</x:v>
      </x:c>
      <x:c r="Q167" s="9"/>
      <x:c r="R167" s="10"/>
      <x:c r="S167" s="10"/>
      <x:c r="T167" s="9"/>
      <x:c r="U167" s="9"/>
      <x:c r="V167" s="9"/>
      <x:c r="W167" s="9" t="str">
        <x:v>ID-F04</x:v>
      </x:c>
      <x:c r="X167" s="10" t="n">
        <x:v>1</x:v>
      </x:c>
      <x:c r="Y167" s="10" t="n">
        <x:v>0</x:v>
      </x:c>
      <x:c r="Z167" s="9" t="str">
        <x:v>REMOVE</x:v>
      </x:c>
      <x:c r="AA167" s="9"/>
      <x:c r="AB167" s="9"/>
      <x:c r="AC167" s="9"/>
      <x:c r="AD167" s="9"/>
      <x:c r="AE167" s="9"/>
      <x:c r="AF167" s="9"/>
      <x:c r="AG167" s="9"/>
      <x:c r="AH167" s="9"/>
      <x:c r="AI167" s="11"/>
      <x:c r="AJ167" s="9"/>
      <x:c r="AK167" s="9" t="str">
        <x:v>Eval_Counting.xlsm</x:v>
      </x:c>
      <x:c r="AL167" s="9" t="str">
        <x:v>pi0.5 Results</x:v>
      </x:c>
      <x:c r="AM167" s="9" t="n">
        <x:v>17</x:v>
      </x:c>
      <x:c r="AN167" s="9" t="n">
        <x:v>17</x:v>
      </x:c>
    </x:row>
    <x:row r="168">
      <x:c r="A168" s="9" t="str">
        <x:v>Failure</x:v>
      </x:c>
      <x:c r="B168" s="9" t="str">
        <x:v>Counting</x:v>
      </x:c>
      <x:c r="C168" s="10" t="n">
        <x:v>16</x:v>
      </x:c>
      <x:c r="D168" s="9" t="str">
        <x:v>Leave exactly one object in the bowl.</x:v>
      </x:c>
      <x:c r="E168" s="9" t="str">
        <x:v>Bowl objects: [none] | Table objects: [yellow block]</x:v>
      </x:c>
      <x:c r="F168" s="9" t="str">
        <x:v>ADD the only table object; finish with 1 object in the bowl</x:v>
      </x:c>
      <x:c r="G168" s="9" t="str">
        <x:v>didn't move</x:v>
      </x:c>
      <x:c r="H168" s="9" t="str">
        <x:v>In-distribution concept baseline</x:v>
      </x:c>
      <x:c r="I168" s="9" t="str">
        <x:v>ID-F05</x:v>
      </x:c>
      <x:c r="J168" s="9" t="str">
        <x:v>In-distribution: one via trained 0→1 addition</x:v>
      </x:c>
      <x:c r="K168" s="9"/>
      <x:c r="L168" s="9" t="str">
        <x:v>857</x:v>
      </x:c>
      <x:c r="M168" s="9" t="str">
        <x:v>Exact trained cell: prompt, count transition, and scene-object membership match; physical layout is not copied exactly.</x:v>
      </x:c>
      <x:c r="N168" s="9" t="n">
        <x:v>1</x:v>
      </x:c>
      <x:c r="O168" s="9" t="str">
        <x:v>Recreate the listed bowl/table membership from training episode 857.</x:v>
      </x:c>
      <x:c r="P168" s="9" t="str">
        <x:v>Exact trained count transition and scene-object membership. Any object that reaches the requested final count is acceptable.</x:v>
      </x:c>
      <x:c r="Q168" s="9"/>
      <x:c r="R168" s="10"/>
      <x:c r="S168" s="10"/>
      <x:c r="T168" s="9"/>
      <x:c r="U168" s="9"/>
      <x:c r="V168" s="9"/>
      <x:c r="W168" s="9" t="str">
        <x:v>ID-F05</x:v>
      </x:c>
      <x:c r="X168" s="10" t="n">
        <x:v>0</x:v>
      </x:c>
      <x:c r="Y168" s="10" t="n">
        <x:v>1</x:v>
      </x:c>
      <x:c r="Z168" s="9" t="str">
        <x:v>ADD</x:v>
      </x:c>
      <x:c r="AA168" s="9"/>
      <x:c r="AB168" s="9"/>
      <x:c r="AC168" s="9"/>
      <x:c r="AD168" s="9"/>
      <x:c r="AE168" s="9"/>
      <x:c r="AF168" s="9"/>
      <x:c r="AG168" s="9"/>
      <x:c r="AH168" s="9"/>
      <x:c r="AI168" s="11"/>
      <x:c r="AJ168" s="9"/>
      <x:c r="AK168" s="9" t="str">
        <x:v>Eval_Counting.xlsm</x:v>
      </x:c>
      <x:c r="AL168" s="9" t="str">
        <x:v>pi0.5 Results</x:v>
      </x:c>
      <x:c r="AM168" s="9" t="n">
        <x:v>18</x:v>
      </x:c>
      <x:c r="AN168" s="9" t="n">
        <x:v>18</x:v>
      </x:c>
    </x:row>
    <x:row r="169">
      <x:c r="A169" s="9" t="str">
        <x:v>Failure</x:v>
      </x:c>
      <x:c r="B169" s="9" t="str">
        <x:v>Counting</x:v>
      </x:c>
      <x:c r="C169" s="10" t="n">
        <x:v>17</x:v>
      </x:c>
      <x:c r="D169" s="9" t="str">
        <x:v>Make the bowl contain exactly two objects.</x:v>
      </x:c>
      <x:c r="E169" s="9" t="str">
        <x:v>Bowl objects: [green pencil sharpener] | Table objects: [yellow block]</x:v>
      </x:c>
      <x:c r="F169" s="9" t="str">
        <x:v>ADD the only table object; finish with 2 objects in the bowl</x:v>
      </x:c>
      <x:c r="G169" s="9" t="str">
        <x:v>didn't move</x:v>
      </x:c>
      <x:c r="H169" s="9" t="str">
        <x:v>In-distribution concept baseline</x:v>
      </x:c>
      <x:c r="I169" s="9" t="str">
        <x:v>ID-F05</x:v>
      </x:c>
      <x:c r="J169" s="9" t="str">
        <x:v>In-distribution: two via trained 1→2 addition</x:v>
      </x:c>
      <x:c r="K169" s="9"/>
      <x:c r="L169" s="9" t="str">
        <x:v>865</x:v>
      </x:c>
      <x:c r="M169" s="9" t="str">
        <x:v>Exact trained cell: prompt, count transition, and scene-object membership match; physical layout is not copied exactly.</x:v>
      </x:c>
      <x:c r="N169" s="9" t="n">
        <x:v>1</x:v>
      </x:c>
      <x:c r="O169" s="9" t="str">
        <x:v>Recreate the listed bowl/table membership from training episode 865.</x:v>
      </x:c>
      <x:c r="P169" s="9" t="str">
        <x:v>Exact trained count transition and scene-object membership. Any object that reaches the requested final count is acceptable.</x:v>
      </x:c>
      <x:c r="Q169" s="9"/>
      <x:c r="R169" s="10"/>
      <x:c r="S169" s="10"/>
      <x:c r="T169" s="9"/>
      <x:c r="U169" s="9"/>
      <x:c r="V169" s="9"/>
      <x:c r="W169" s="9" t="str">
        <x:v>ID-F05</x:v>
      </x:c>
      <x:c r="X169" s="10" t="n">
        <x:v>1</x:v>
      </x:c>
      <x:c r="Y169" s="10" t="n">
        <x:v>2</x:v>
      </x:c>
      <x:c r="Z169" s="9" t="str">
        <x:v>ADD</x:v>
      </x:c>
      <x:c r="AA169" s="9"/>
      <x:c r="AB169" s="9"/>
      <x:c r="AC169" s="9"/>
      <x:c r="AD169" s="9"/>
      <x:c r="AE169" s="9"/>
      <x:c r="AF169" s="9"/>
      <x:c r="AG169" s="9"/>
      <x:c r="AH169" s="9"/>
      <x:c r="AI169" s="11"/>
      <x:c r="AJ169" s="9"/>
      <x:c r="AK169" s="9" t="str">
        <x:v>Eval_Counting.xlsm</x:v>
      </x:c>
      <x:c r="AL169" s="9" t="str">
        <x:v>pi0.5 Results</x:v>
      </x:c>
      <x:c r="AM169" s="9" t="n">
        <x:v>19</x:v>
      </x:c>
      <x:c r="AN169" s="9" t="n">
        <x:v>19</x:v>
      </x:c>
    </x:row>
    <x:row r="170">
      <x:c r="A170" s="9" t="str">
        <x:v>Success</x:v>
      </x:c>
      <x:c r="B170" s="9" t="str">
        <x:v>Counting</x:v>
      </x:c>
      <x:c r="C170" s="10" t="n">
        <x:v>18</x:v>
      </x:c>
      <x:c r="D170" s="9" t="str">
        <x:v>Leave exactly three objects in the bowl.</x:v>
      </x:c>
      <x:c r="E170" s="9" t="str">
        <x:v>Bowl objects: [airplane toy without propellers, blue pen, yellow block, green pencil sharpener] | Table objects: [none]</x:v>
      </x:c>
      <x:c r="F170" s="9" t="str">
        <x:v>REMOVE any one bowl object; finish with 3 objects in the bowl</x:v>
      </x:c>
      <x:c r="G170" s="9" t="str">
        <x:v>picked blue pen</x:v>
      </x:c>
      <x:c r="H170" s="9" t="str">
        <x:v>In-distribution concept baseline</x:v>
      </x:c>
      <x:c r="I170" s="9" t="str">
        <x:v>ID-F05</x:v>
      </x:c>
      <x:c r="J170" s="9" t="str">
        <x:v>In-distribution: three via trained 4→3 removal</x:v>
      </x:c>
      <x:c r="K170" s="9"/>
      <x:c r="L170" s="9" t="str">
        <x:v>994</x:v>
      </x:c>
      <x:c r="M170" s="9" t="str">
        <x:v>Exact trained cell: prompt, count transition, and scene-object membership match; physical layout is not copied exactly.</x:v>
      </x:c>
      <x:c r="N170" s="9" t="n">
        <x:v>1</x:v>
      </x:c>
      <x:c r="O170" s="9" t="str">
        <x:v>Recreate the listed bowl/table membership from training episode 994.</x:v>
      </x:c>
      <x:c r="P170" s="9" t="str">
        <x:v>Exact trained count transition and scene-object membership. Any object that reaches the requested final count is acceptable.</x:v>
      </x:c>
      <x:c r="Q170" s="9"/>
      <x:c r="R170" s="10"/>
      <x:c r="S170" s="10"/>
      <x:c r="T170" s="9"/>
      <x:c r="U170" s="9"/>
      <x:c r="V170" s="9"/>
      <x:c r="W170" s="9" t="str">
        <x:v>ID-F05</x:v>
      </x:c>
      <x:c r="X170" s="10" t="n">
        <x:v>4</x:v>
      </x:c>
      <x:c r="Y170" s="10" t="n">
        <x:v>3</x:v>
      </x:c>
      <x:c r="Z170" s="9" t="str">
        <x:v>REMOVE</x:v>
      </x:c>
      <x:c r="AA170" s="9"/>
      <x:c r="AB170" s="9"/>
      <x:c r="AC170" s="9"/>
      <x:c r="AD170" s="9"/>
      <x:c r="AE170" s="9"/>
      <x:c r="AF170" s="9"/>
      <x:c r="AG170" s="9"/>
      <x:c r="AH170" s="9"/>
      <x:c r="AI170" s="11"/>
      <x:c r="AJ170" s="9"/>
      <x:c r="AK170" s="9" t="str">
        <x:v>Eval_Counting.xlsm</x:v>
      </x:c>
      <x:c r="AL170" s="9" t="str">
        <x:v>pi0.5 Results</x:v>
      </x:c>
      <x:c r="AM170" s="9" t="n">
        <x:v>20</x:v>
      </x:c>
      <x:c r="AN170" s="9" t="n">
        <x:v>20</x:v>
      </x:c>
    </x:row>
    <x:row r="171">
      <x:c r="A171" s="9" t="str">
        <x:v>Success</x:v>
      </x:c>
      <x:c r="B171" s="9" t="str">
        <x:v>Counting</x:v>
      </x:c>
      <x:c r="C171" s="10" t="n">
        <x:v>19</x:v>
      </x:c>
      <x:c r="D171" s="9" t="str">
        <x:v>Make the bowl contain exactly zero objects.</x:v>
      </x:c>
      <x:c r="E171" s="9" t="str">
        <x:v>Bowl objects: [yellow block] | Table objects: [none]</x:v>
      </x:c>
      <x:c r="F171" s="9" t="str">
        <x:v>REMOVE the only bowl object; finish with 0 objects in the bowl</x:v>
      </x:c>
      <x:c r="G171" s="9"/>
      <x:c r="H171" s="9" t="str">
        <x:v>In-distribution concept baseline</x:v>
      </x:c>
      <x:c r="I171" s="9" t="str">
        <x:v>ID-F05</x:v>
      </x:c>
      <x:c r="J171" s="9" t="str">
        <x:v>In-distribution: zero via trained 1→0 removal</x:v>
      </x:c>
      <x:c r="K171" s="9"/>
      <x:c r="L171" s="9" t="str">
        <x:v>880</x:v>
      </x:c>
      <x:c r="M171" s="9" t="str">
        <x:v>Exact trained cell: prompt, count transition, and scene-object membership match; physical layout is not copied exactly.</x:v>
      </x:c>
      <x:c r="N171" s="9" t="n">
        <x:v>1</x:v>
      </x:c>
      <x:c r="O171" s="9" t="str">
        <x:v>Recreate the listed bowl/table membership from training episode 880.</x:v>
      </x:c>
      <x:c r="P171" s="9" t="str">
        <x:v>Exact trained count transition and scene-object membership. Any object that reaches the requested final count is acceptable.</x:v>
      </x:c>
      <x:c r="Q171" s="9"/>
      <x:c r="R171" s="10"/>
      <x:c r="S171" s="10"/>
      <x:c r="T171" s="9"/>
      <x:c r="U171" s="9"/>
      <x:c r="V171" s="9"/>
      <x:c r="W171" s="9" t="str">
        <x:v>ID-F05</x:v>
      </x:c>
      <x:c r="X171" s="10" t="n">
        <x:v>1</x:v>
      </x:c>
      <x:c r="Y171" s="10" t="n">
        <x:v>0</x:v>
      </x:c>
      <x:c r="Z171" s="9" t="str">
        <x:v>REMOVE</x:v>
      </x:c>
      <x:c r="AA171" s="9"/>
      <x:c r="AB171" s="9"/>
      <x:c r="AC171" s="9"/>
      <x:c r="AD171" s="9"/>
      <x:c r="AE171" s="9"/>
      <x:c r="AF171" s="9"/>
      <x:c r="AG171" s="9"/>
      <x:c r="AH171" s="9"/>
      <x:c r="AI171" s="11"/>
      <x:c r="AJ171" s="9"/>
      <x:c r="AK171" s="9" t="str">
        <x:v>Eval_Counting.xlsm</x:v>
      </x:c>
      <x:c r="AL171" s="9" t="str">
        <x:v>pi0.5 Results</x:v>
      </x:c>
      <x:c r="AM171" s="9" t="n">
        <x:v>21</x:v>
      </x:c>
      <x:c r="AN171" s="9" t="n">
        <x:v>21</x:v>
      </x:c>
    </x:row>
    <x:row r="172">
      <x:c r="A172" s="9" t="str">
        <x:v>Failure</x:v>
      </x:c>
      <x:c r="B172" s="9" t="str">
        <x:v>Counting</x:v>
      </x:c>
      <x:c r="C172" s="10" t="n">
        <x:v>20</x:v>
      </x:c>
      <x:c r="D172" s="9" t="str">
        <x:v>Leave exactly one object in the bowl.</x:v>
      </x:c>
      <x:c r="E172" s="9" t="str">
        <x:v>Bowl objects: [blue pen, airplane toy without propellers] | Table objects: [yellow block, green pencil sharpener]</x:v>
      </x:c>
      <x:c r="F172" s="9" t="str">
        <x:v>REMOVE any one bowl object; finish with 1 object in the bowl</x:v>
      </x:c>
      <x:c r="G172" s="9" t="str">
        <x:v>didn't move</x:v>
      </x:c>
      <x:c r="H172" s="9" t="str">
        <x:v>Concept/compositional transfer</x:v>
      </x:c>
      <x:c r="I172" s="9" t="str">
        <x:v>CT-CF09</x:v>
      </x:c>
      <x:c r="J172" s="9" t="str">
        <x:v>Primary: one via held-out 2→1 removal</x:v>
      </x:c>
      <x:c r="K172" s="9"/>
      <x:c r="L172" s="9" t="str">
        <x:v>831</x:v>
      </x:c>
      <x:c r="M172" s="9" t="str">
        <x:v>Representative direct-instruction trajectory for blue pen; the evaluated count × transition composition is intentionally absent.</x:v>
      </x:c>
      <x:c r="N172" s="9" t="n">
        <x:v>3</x:v>
      </x:c>
      <x:c r="O172" s="9" t="str">
        <x:v>Build the listed count-2 scene.</x:v>
      </x:c>
      <x:c r="P172" s="9" t="str">
        <x:v>The goal word one is trained, and this 2→1 trajectory is trained under a direct instruction, but the combination is withheld.</x:v>
      </x:c>
      <x:c r="Q172" s="9"/>
      <x:c r="R172" s="10"/>
      <x:c r="S172" s="10"/>
      <x:c r="T172" s="9"/>
      <x:c r="U172" s="9"/>
      <x:c r="V172" s="9"/>
      <x:c r="W172" s="9" t="str">
        <x:v>CT-CF09-REMOVE</x:v>
      </x:c>
      <x:c r="X172" s="10" t="n">
        <x:v>2</x:v>
      </x:c>
      <x:c r="Y172" s="10" t="n">
        <x:v>1</x:v>
      </x:c>
      <x:c r="Z172" s="9" t="str">
        <x:v>REMOVE</x:v>
      </x:c>
      <x:c r="AA172" s="9"/>
      <x:c r="AB172" s="9"/>
      <x:c r="AC172" s="9"/>
      <x:c r="AD172" s="9"/>
      <x:c r="AE172" s="9"/>
      <x:c r="AF172" s="9"/>
      <x:c r="AG172" s="9"/>
      <x:c r="AH172" s="9"/>
      <x:c r="AI172" s="11"/>
      <x:c r="AJ172" s="9"/>
      <x:c r="AK172" s="9" t="str">
        <x:v>Eval_Counting.xlsm</x:v>
      </x:c>
      <x:c r="AL172" s="9" t="str">
        <x:v>pi0.5 Results</x:v>
      </x:c>
      <x:c r="AM172" s="9" t="n">
        <x:v>22</x:v>
      </x:c>
      <x:c r="AN172" s="9" t="n">
        <x:v>22</x:v>
      </x:c>
    </x:row>
    <x:row r="173">
      <x:c r="A173" s="9" t="str">
        <x:v>Success</x:v>
      </x:c>
      <x:c r="B173" s="9" t="str">
        <x:v>Counting</x:v>
      </x:c>
      <x:c r="C173" s="10" t="n">
        <x:v>21</x:v>
      </x:c>
      <x:c r="D173" s="9" t="str">
        <x:v>Move the airplane toy without propellers from the bowl to the table.</x:v>
      </x:c>
      <x:c r="E173" s="9" t="str">
        <x:v>Bowl objects: [blue pen, airplane toy without propellers] | Table objects: [yellow block, green pencil sharpener]</x:v>
      </x:c>
      <x:c r="F173" s="9" t="str">
        <x:v>REMOVE airplane toy without propellers</x:v>
      </x:c>
      <x:c r="G173" s="9"/>
      <x:c r="H173" s="9" t="str">
        <x:v>Matched manipulation control</x:v>
      </x:c>
      <x:c r="I173" s="9" t="str">
        <x:v>CT-CF09</x:v>
      </x:c>
      <x:c r="J173" s="9" t="str">
        <x:v>Matched direct REMOVE control</x:v>
      </x:c>
      <x:c r="K173" s="9" t="n">
        <x:v>20</x:v>
      </x:c>
      <x:c r="L173" s="9" t="str">
        <x:v>985</x:v>
      </x:c>
      <x:c r="M173" s="9" t="str">
        <x:v>Exact direct-prompt trajectory for the named object and action direction; evaluation layout is reset manually.</x:v>
      </x:c>
      <x:c r="N173" s="9" t="n">
        <x:v>3</x:v>
      </x:c>
      <x:c r="O173" s="9" t="str">
        <x:v>Reset the exact count-2 scene; change only the prompt.</x:v>
      </x:c>
      <x:c r="P173" s="9" t="str">
        <x:v>The direct prompt is present in Counting training for this same-task object and action direction.</x:v>
      </x:c>
      <x:c r="Q173" s="9"/>
      <x:c r="R173" s="10"/>
      <x:c r="S173" s="10"/>
      <x:c r="T173" s="9"/>
      <x:c r="U173" s="9"/>
      <x:c r="V173" s="9"/>
      <x:c r="W173" s="9" t="str">
        <x:v>CT-CF09-REMOVE</x:v>
      </x:c>
      <x:c r="X173" s="10" t="n">
        <x:v>2</x:v>
      </x:c>
      <x:c r="Y173" s="10" t="n">
        <x:v>1</x:v>
      </x:c>
      <x:c r="Z173" s="9" t="str">
        <x:v>REMOVE</x:v>
      </x:c>
      <x:c r="AA173" s="9"/>
      <x:c r="AB173" s="9"/>
      <x:c r="AC173" s="9"/>
      <x:c r="AD173" s="9"/>
      <x:c r="AE173" s="9"/>
      <x:c r="AF173" s="9"/>
      <x:c r="AG173" s="9"/>
      <x:c r="AH173" s="9"/>
      <x:c r="AI173" s="11"/>
      <x:c r="AJ173" s="9"/>
      <x:c r="AK173" s="9" t="str">
        <x:v>Eval_Counting.xlsm</x:v>
      </x:c>
      <x:c r="AL173" s="9" t="str">
        <x:v>pi0.5 Results</x:v>
      </x:c>
      <x:c r="AM173" s="9" t="n">
        <x:v>23</x:v>
      </x:c>
      <x:c r="AN173" s="9" t="n">
        <x:v>23</x:v>
      </x:c>
    </x:row>
    <x:row r="174">
      <x:c r="A174" s="9" t="str">
        <x:v>Success</x:v>
      </x:c>
      <x:c r="B174" s="9" t="str">
        <x:v>Counting</x:v>
      </x:c>
      <x:c r="C174" s="10" t="n">
        <x:v>22</x:v>
      </x:c>
      <x:c r="D174" s="9" t="str">
        <x:v>Move the green pencil sharpener into the bowl.</x:v>
      </x:c>
      <x:c r="E174" s="9" t="str">
        <x:v>Bowl objects: [blue pen, airplane toy without propellers] | Table objects: [yellow block, green pencil sharpener]</x:v>
      </x:c>
      <x:c r="F174" s="9" t="str">
        <x:v>ADD green pencil sharpener</x:v>
      </x:c>
      <x:c r="G174" s="9"/>
      <x:c r="H174" s="9" t="str">
        <x:v>Matched manipulation control</x:v>
      </x:c>
      <x:c r="I174" s="9" t="str">
        <x:v>CT-CF09</x:v>
      </x:c>
      <x:c r="J174" s="9" t="str">
        <x:v>Matched direct ADD control</x:v>
      </x:c>
      <x:c r="K174" s="9"/>
      <x:c r="L174" s="9" t="str">
        <x:v>917</x:v>
      </x:c>
      <x:c r="M174" s="9" t="str">
        <x:v>Exact direct-prompt trajectory for the named object and action direction; evaluation layout is reset manually.</x:v>
      </x:c>
      <x:c r="N174" s="9" t="n">
        <x:v>3</x:v>
      </x:c>
      <x:c r="O174" s="9" t="str">
        <x:v>Reset the exact count-2 scene; change only the prompt.</x:v>
      </x:c>
      <x:c r="P174" s="9" t="str">
        <x:v>The direct prompt is present in Counting training for this same-task object and action direction.</x:v>
      </x:c>
      <x:c r="Q174" s="9"/>
      <x:c r="R174" s="10"/>
      <x:c r="S174" s="10"/>
      <x:c r="T174" s="9"/>
      <x:c r="U174" s="9"/>
      <x:c r="V174" s="9"/>
      <x:c r="W174" s="9" t="str">
        <x:v>CT-CF09-ADD</x:v>
      </x:c>
      <x:c r="X174" s="10" t="n">
        <x:v>2</x:v>
      </x:c>
      <x:c r="Y174" s="10" t="n">
        <x:v>3</x:v>
      </x:c>
      <x:c r="Z174" s="9" t="str">
        <x:v>ADD</x:v>
      </x:c>
      <x:c r="AA174" s="9"/>
      <x:c r="AB174" s="9"/>
      <x:c r="AC174" s="9"/>
      <x:c r="AD174" s="9"/>
      <x:c r="AE174" s="9"/>
      <x:c r="AF174" s="9"/>
      <x:c r="AG174" s="9"/>
      <x:c r="AH174" s="9"/>
      <x:c r="AI174" s="11"/>
      <x:c r="AJ174" s="9"/>
      <x:c r="AK174" s="9" t="str">
        <x:v>Eval_Counting.xlsm</x:v>
      </x:c>
      <x:c r="AL174" s="9" t="str">
        <x:v>pi0.5 Results</x:v>
      </x:c>
      <x:c r="AM174" s="9" t="n">
        <x:v>24</x:v>
      </x:c>
      <x:c r="AN174" s="9" t="n">
        <x:v>24</x:v>
      </x:c>
    </x:row>
    <x:row r="175">
      <x:c r="A175" s="9" t="str">
        <x:v>Failure</x:v>
      </x:c>
      <x:c r="B175" s="9" t="str">
        <x:v>Counting</x:v>
      </x:c>
      <x:c r="C175" s="10" t="n">
        <x:v>23</x:v>
      </x:c>
      <x:c r="D175" s="9" t="str">
        <x:v>Leave exactly three objects in the bowl.</x:v>
      </x:c>
      <x:c r="E175" s="9" t="str">
        <x:v>Bowl objects: [blue pen, airplane toy without propellers] | Table objects: [yellow block, green pencil sharpener]</x:v>
      </x:c>
      <x:c r="F175" s="9" t="str">
        <x:v>ADD any one table object; finish with 3 objects in the bowl</x:v>
      </x:c>
      <x:c r="G175" s="9" t="str">
        <x:v>didn't move</x:v>
      </x:c>
      <x:c r="H175" s="9" t="str">
        <x:v>Concept/compositional transfer</x:v>
      </x:c>
      <x:c r="I175" s="9" t="str">
        <x:v>CT-CF09</x:v>
      </x:c>
      <x:c r="J175" s="9" t="str">
        <x:v>Primary: three via held-out 2→3 addition</x:v>
      </x:c>
      <x:c r="K175" s="9" t="n">
        <x:v>22</x:v>
      </x:c>
      <x:c r="L175" s="9" t="str">
        <x:v>916</x:v>
      </x:c>
      <x:c r="M175" s="9" t="str">
        <x:v>Representative direct-instruction trajectory for green pencil sharpener; the evaluated count × transition composition is intentionally absent.</x:v>
      </x:c>
      <x:c r="N175" s="9" t="n">
        <x:v>3</x:v>
      </x:c>
      <x:c r="O175" s="9" t="str">
        <x:v>Reset the exact count-2 scene; change only the prompt.</x:v>
      </x:c>
      <x:c r="P175" s="9" t="str">
        <x:v>The goal word three is trained, and this 2→3 trajectory is trained under a direct instruction, but the combination is withheld.</x:v>
      </x:c>
      <x:c r="Q175" s="9"/>
      <x:c r="R175" s="10"/>
      <x:c r="S175" s="10"/>
      <x:c r="T175" s="9"/>
      <x:c r="U175" s="9"/>
      <x:c r="V175" s="9"/>
      <x:c r="W175" s="9" t="str">
        <x:v>CT-CF09-ADD</x:v>
      </x:c>
      <x:c r="X175" s="10" t="n">
        <x:v>2</x:v>
      </x:c>
      <x:c r="Y175" s="10" t="n">
        <x:v>3</x:v>
      </x:c>
      <x:c r="Z175" s="9" t="str">
        <x:v>ADD</x:v>
      </x:c>
      <x:c r="AA175" s="9"/>
      <x:c r="AB175" s="9"/>
      <x:c r="AC175" s="9"/>
      <x:c r="AD175" s="9"/>
      <x:c r="AE175" s="9"/>
      <x:c r="AF175" s="9"/>
      <x:c r="AG175" s="9"/>
      <x:c r="AH175" s="9"/>
      <x:c r="AI175" s="11"/>
      <x:c r="AJ175" s="9"/>
      <x:c r="AK175" s="9" t="str">
        <x:v>Eval_Counting.xlsm</x:v>
      </x:c>
      <x:c r="AL175" s="9" t="str">
        <x:v>pi0.5 Results</x:v>
      </x:c>
      <x:c r="AM175" s="9" t="n">
        <x:v>25</x:v>
      </x:c>
      <x:c r="AN175" s="9" t="n">
        <x:v>25</x:v>
      </x:c>
    </x:row>
    <x:row r="176">
      <x:c r="A176" s="9" t="str">
        <x:v>Failure</x:v>
      </x:c>
      <x:c r="B176" s="9" t="str">
        <x:v>Counting</x:v>
      </x:c>
      <x:c r="C176" s="10" t="n">
        <x:v>24</x:v>
      </x:c>
      <x:c r="D176" s="9" t="str">
        <x:v>Leave exactly three objects in the bowl.</x:v>
      </x:c>
      <x:c r="E176" s="9" t="str">
        <x:v>Bowl objects: [green pencil sharpener, airplane toy without propellers] | Table objects: [blue pen, yellow block]</x:v>
      </x:c>
      <x:c r="F176" s="9" t="str">
        <x:v>ADD any one table object; finish with 3 objects in the bowl</x:v>
      </x:c>
      <x:c r="G176" s="9" t="str">
        <x:v>didn't move</x:v>
      </x:c>
      <x:c r="H176" s="9" t="str">
        <x:v>Concept/compositional transfer</x:v>
      </x:c>
      <x:c r="I176" s="9" t="str">
        <x:v>CT-CF24</x:v>
      </x:c>
      <x:c r="J176" s="9" t="str">
        <x:v>Primary: three via held-out 2→3 addition</x:v>
      </x:c>
      <x:c r="K176" s="9"/>
      <x:c r="L176" s="9" t="str">
        <x:v>816</x:v>
      </x:c>
      <x:c r="M176" s="9" t="str">
        <x:v>Representative direct-instruction trajectory for blue pen; the evaluated count × transition composition is intentionally absent.</x:v>
      </x:c>
      <x:c r="N176" s="9" t="n">
        <x:v>4</x:v>
      </x:c>
      <x:c r="O176" s="9" t="str">
        <x:v>Reset the exact count-2 scene; change only the prompt.</x:v>
      </x:c>
      <x:c r="P176" s="9" t="str">
        <x:v>The goal word three is trained, and this 2→3 trajectory is trained under a direct instruction, but the combination is withheld.</x:v>
      </x:c>
      <x:c r="Q176" s="9"/>
      <x:c r="R176" s="10"/>
      <x:c r="S176" s="10"/>
      <x:c r="T176" s="9"/>
      <x:c r="U176" s="9"/>
      <x:c r="V176" s="9"/>
      <x:c r="W176" s="9" t="str">
        <x:v>CT-CF24-ADD</x:v>
      </x:c>
      <x:c r="X176" s="10" t="n">
        <x:v>2</x:v>
      </x:c>
      <x:c r="Y176" s="10" t="n">
        <x:v>3</x:v>
      </x:c>
      <x:c r="Z176" s="9" t="str">
        <x:v>ADD</x:v>
      </x:c>
      <x:c r="AA176" s="9"/>
      <x:c r="AB176" s="9"/>
      <x:c r="AC176" s="9"/>
      <x:c r="AD176" s="9"/>
      <x:c r="AE176" s="9"/>
      <x:c r="AF176" s="9"/>
      <x:c r="AG176" s="9"/>
      <x:c r="AH176" s="9"/>
      <x:c r="AI176" s="11"/>
      <x:c r="AJ176" s="9"/>
      <x:c r="AK176" s="9" t="str">
        <x:v>Eval_Counting.xlsm</x:v>
      </x:c>
      <x:c r="AL176" s="9" t="str">
        <x:v>pi0.5 Results</x:v>
      </x:c>
      <x:c r="AM176" s="9" t="n">
        <x:v>26</x:v>
      </x:c>
      <x:c r="AN176" s="9" t="n">
        <x:v>26</x:v>
      </x:c>
    </x:row>
    <x:row r="177">
      <x:c r="A177" s="9" t="str">
        <x:v>Failure</x:v>
      </x:c>
      <x:c r="B177" s="9" t="str">
        <x:v>Counting</x:v>
      </x:c>
      <x:c r="C177" s="10" t="n">
        <x:v>25</x:v>
      </x:c>
      <x:c r="D177" s="9" t="str">
        <x:v>Leave exactly one object in the bowl.</x:v>
      </x:c>
      <x:c r="E177" s="9" t="str">
        <x:v>Bowl objects: [green pencil sharpener, airplane toy without propellers] | Table objects: [blue pen, yellow block]</x:v>
      </x:c>
      <x:c r="F177" s="9" t="str">
        <x:v>REMOVE any one bowl object; finish with 1 object in the bowl</x:v>
      </x:c>
      <x:c r="G177" s="9" t="str">
        <x:v>didn't move</x:v>
      </x:c>
      <x:c r="H177" s="9" t="str">
        <x:v>Concept/compositional transfer</x:v>
      </x:c>
      <x:c r="I177" s="9" t="str">
        <x:v>CT-CF24</x:v>
      </x:c>
      <x:c r="J177" s="9" t="str">
        <x:v>Primary: one via held-out 2→1 removal</x:v>
      </x:c>
      <x:c r="K177" s="9" t="n">
        <x:v>24</x:v>
      </x:c>
      <x:c r="L177" s="9" t="str">
        <x:v>981</x:v>
      </x:c>
      <x:c r="M177" s="9" t="str">
        <x:v>Representative direct-instruction trajectory for airplane toy without propellers; the evaluated count × transition composition is intentionally absent.</x:v>
      </x:c>
      <x:c r="N177" s="9" t="n">
        <x:v>4</x:v>
      </x:c>
      <x:c r="O177" s="9" t="str">
        <x:v>Build the listed count-2 scene.</x:v>
      </x:c>
      <x:c r="P177" s="9" t="str">
        <x:v>The goal word one is trained, and this 2→1 trajectory is trained under a direct instruction, but the combination is withheld.</x:v>
      </x:c>
      <x:c r="Q177" s="9"/>
      <x:c r="R177" s="10"/>
      <x:c r="S177" s="10"/>
      <x:c r="T177" s="9"/>
      <x:c r="U177" s="9"/>
      <x:c r="V177" s="9"/>
      <x:c r="W177" s="9" t="str">
        <x:v>CT-CF24-REMOVE</x:v>
      </x:c>
      <x:c r="X177" s="10" t="n">
        <x:v>2</x:v>
      </x:c>
      <x:c r="Y177" s="10" t="n">
        <x:v>1</x:v>
      </x:c>
      <x:c r="Z177" s="9" t="str">
        <x:v>REMOVE</x:v>
      </x:c>
      <x:c r="AA177" s="9"/>
      <x:c r="AB177" s="9"/>
      <x:c r="AC177" s="9"/>
      <x:c r="AD177" s="9"/>
      <x:c r="AE177" s="9"/>
      <x:c r="AF177" s="9"/>
      <x:c r="AG177" s="9"/>
      <x:c r="AH177" s="9"/>
      <x:c r="AI177" s="11"/>
      <x:c r="AJ177" s="9"/>
      <x:c r="AK177" s="9" t="str">
        <x:v>Eval_Counting.xlsm</x:v>
      </x:c>
      <x:c r="AL177" s="9" t="str">
        <x:v>pi0.5 Results</x:v>
      </x:c>
      <x:c r="AM177" s="9" t="n">
        <x:v>27</x:v>
      </x:c>
      <x:c r="AN177" s="9" t="n">
        <x:v>27</x:v>
      </x:c>
    </x:row>
    <x:row r="178">
      <x:c r="A178" s="9" t="str">
        <x:v>Failure</x:v>
      </x:c>
      <x:c r="B178" s="9" t="str">
        <x:v>Counting</x:v>
      </x:c>
      <x:c r="C178" s="10" t="n">
        <x:v>26</x:v>
      </x:c>
      <x:c r="D178" s="9" t="str">
        <x:v>Leave exactly one object in the bowl.</x:v>
      </x:c>
      <x:c r="E178" s="9" t="str">
        <x:v>Bowl objects: [blue pen, yellow block] | Table objects: [green pencil sharpener]</x:v>
      </x:c>
      <x:c r="F178" s="9" t="str">
        <x:v>REMOVE any one bowl object; finish with 1 object in the bowl</x:v>
      </x:c>
      <x:c r="G178" s="9" t="str">
        <x:v>didn't move</x:v>
      </x:c>
      <x:c r="H178" s="9" t="str">
        <x:v>Concept/compositional transfer</x:v>
      </x:c>
      <x:c r="I178" s="9" t="str">
        <x:v>CT-CF01</x:v>
      </x:c>
      <x:c r="J178" s="9" t="str">
        <x:v>Primary: one via held-out 2→1 removal</x:v>
      </x:c>
      <x:c r="K178" s="9"/>
      <x:c r="L178" s="9" t="str">
        <x:v>831</x:v>
      </x:c>
      <x:c r="M178" s="9" t="str">
        <x:v>Representative direct-instruction trajectory for blue pen; the evaluated count × transition composition is intentionally absent.</x:v>
      </x:c>
      <x:c r="N178" s="9" t="n">
        <x:v>2</x:v>
      </x:c>
      <x:c r="O178" s="9" t="str">
        <x:v>Build the listed count-2 scene.</x:v>
      </x:c>
      <x:c r="P178" s="9" t="str">
        <x:v>The goal word one is trained, and this 2→1 trajectory is trained under a direct instruction, but the combination is withheld.</x:v>
      </x:c>
      <x:c r="Q178" s="9"/>
      <x:c r="R178" s="10"/>
      <x:c r="S178" s="10"/>
      <x:c r="T178" s="9"/>
      <x:c r="U178" s="9"/>
      <x:c r="V178" s="9"/>
      <x:c r="W178" s="9" t="str">
        <x:v>CT-CF01-REMOVE</x:v>
      </x:c>
      <x:c r="X178" s="10" t="n">
        <x:v>2</x:v>
      </x:c>
      <x:c r="Y178" s="10" t="n">
        <x:v>1</x:v>
      </x:c>
      <x:c r="Z178" s="9" t="str">
        <x:v>REMOVE</x:v>
      </x:c>
      <x:c r="AA178" s="9"/>
      <x:c r="AB178" s="9"/>
      <x:c r="AC178" s="9"/>
      <x:c r="AD178" s="9"/>
      <x:c r="AE178" s="9"/>
      <x:c r="AF178" s="9"/>
      <x:c r="AG178" s="9"/>
      <x:c r="AH178" s="9"/>
      <x:c r="AI178" s="11"/>
      <x:c r="AJ178" s="9"/>
      <x:c r="AK178" s="9" t="str">
        <x:v>Eval_Counting.xlsm</x:v>
      </x:c>
      <x:c r="AL178" s="9" t="str">
        <x:v>pi0.5 Results</x:v>
      </x:c>
      <x:c r="AM178" s="9" t="n">
        <x:v>28</x:v>
      </x:c>
      <x:c r="AN178" s="9" t="n">
        <x:v>28</x:v>
      </x:c>
    </x:row>
    <x:row r="179">
      <x:c r="A179" s="9" t="str">
        <x:v>Failure</x:v>
      </x:c>
      <x:c r="B179" s="9" t="str">
        <x:v>Counting</x:v>
      </x:c>
      <x:c r="C179" s="10" t="n">
        <x:v>27</x:v>
      </x:c>
      <x:c r="D179" s="9" t="str">
        <x:v>Move the blue pen from the bowl to the table.</x:v>
      </x:c>
      <x:c r="E179" s="9" t="str">
        <x:v>Bowl objects: [blue pen, yellow block] | Table objects: [green pencil sharpener]</x:v>
      </x:c>
      <x:c r="F179" s="9" t="str">
        <x:v>REMOVE blue pen</x:v>
      </x:c>
      <x:c r="G179" s="9" t="str">
        <x:v>went to bowl, but couldn't successfully remove the blue pen</x:v>
      </x:c>
      <x:c r="H179" s="9" t="str">
        <x:v>Matched manipulation control</x:v>
      </x:c>
      <x:c r="I179" s="9" t="str">
        <x:v>CT-CF01</x:v>
      </x:c>
      <x:c r="J179" s="9" t="str">
        <x:v>Matched direct REMOVE control</x:v>
      </x:c>
      <x:c r="K179" s="9" t="n">
        <x:v>26</x:v>
      </x:c>
      <x:c r="L179" s="9" t="str">
        <x:v>835</x:v>
      </x:c>
      <x:c r="M179" s="9" t="str">
        <x:v>Exact direct-prompt trajectory for the named object and action direction; evaluation layout is reset manually.</x:v>
      </x:c>
      <x:c r="N179" s="9" t="n">
        <x:v>2</x:v>
      </x:c>
      <x:c r="O179" s="9" t="str">
        <x:v>Reset the exact count-2 scene; change only the prompt.</x:v>
      </x:c>
      <x:c r="P179" s="9" t="str">
        <x:v>The direct prompt is present in Counting training for this same-task object and action direction.</x:v>
      </x:c>
      <x:c r="Q179" s="9"/>
      <x:c r="R179" s="10"/>
      <x:c r="S179" s="10"/>
      <x:c r="T179" s="9"/>
      <x:c r="U179" s="9"/>
      <x:c r="V179" s="9"/>
      <x:c r="W179" s="9" t="str">
        <x:v>CT-CF01-REMOVE</x:v>
      </x:c>
      <x:c r="X179" s="10" t="n">
        <x:v>2</x:v>
      </x:c>
      <x:c r="Y179" s="10" t="n">
        <x:v>1</x:v>
      </x:c>
      <x:c r="Z179" s="9" t="str">
        <x:v>REMOVE</x:v>
      </x:c>
      <x:c r="AA179" s="9"/>
      <x:c r="AB179" s="9"/>
      <x:c r="AC179" s="9"/>
      <x:c r="AD179" s="9"/>
      <x:c r="AE179" s="9"/>
      <x:c r="AF179" s="9"/>
      <x:c r="AG179" s="9"/>
      <x:c r="AH179" s="9"/>
      <x:c r="AI179" s="11"/>
      <x:c r="AJ179" s="9"/>
      <x:c r="AK179" s="9" t="str">
        <x:v>Eval_Counting.xlsm</x:v>
      </x:c>
      <x:c r="AL179" s="9" t="str">
        <x:v>pi0.5 Results</x:v>
      </x:c>
      <x:c r="AM179" s="9" t="n">
        <x:v>29</x:v>
      </x:c>
      <x:c r="AN179" s="9" t="n">
        <x:v>29</x:v>
      </x:c>
    </x:row>
    <x:row r="180">
      <x:c r="A180" s="9" t="str">
        <x:v>Failure</x:v>
      </x:c>
      <x:c r="B180" s="9" t="str">
        <x:v>Counting</x:v>
      </x:c>
      <x:c r="C180" s="10" t="n">
        <x:v>28</x:v>
      </x:c>
      <x:c r="D180" s="9" t="str">
        <x:v>Finish with one object in the bowl.</x:v>
      </x:c>
      <x:c r="E180" s="9" t="str">
        <x:v>Bowl objects: [blue pen, yellow block] | Table objects: [green pencil sharpener]</x:v>
      </x:c>
      <x:c r="F180" s="9" t="str">
        <x:v>REMOVE any one bowl object; finish with 1 object in the bowl</x:v>
      </x:c>
      <x:c r="G180" s="9" t="str">
        <x:v>didn't move</x:v>
      </x:c>
      <x:c r="H180" s="9" t="str">
        <x:v>Language robustness</x:v>
      </x:c>
      <x:c r="I180" s="9" t="str">
        <x:v>CT-CF01</x:v>
      </x:c>
      <x:c r="J180" s="9" t="str">
        <x:v>Primary compositional paraphrase: one via 2→1 removal</x:v>
      </x:c>
      <x:c r="K180" s="9" t="n">
        <x:v>26</x:v>
      </x:c>
      <x:c r="L180" s="9" t="str">
        <x:v>831</x:v>
      </x:c>
      <x:c r="M180" s="9" t="str">
        <x:v>Representative direct-instruction trajectory for blue pen; the evaluated count × transition composition is intentionally absent. The evaluation wording is also paraphrased.</x:v>
      </x:c>
      <x:c r="N180" s="9" t="n">
        <x:v>2</x:v>
      </x:c>
      <x:c r="O180" s="9" t="str">
        <x:v>Build the listed count-2 scene.</x:v>
      </x:c>
      <x:c r="P180" s="9" t="str">
        <x:v>Exact-scene paraphrase of the canonical held-out composition.</x:v>
      </x:c>
      <x:c r="Q180" s="9"/>
      <x:c r="R180" s="10"/>
      <x:c r="S180" s="10"/>
      <x:c r="T180" s="9"/>
      <x:c r="U180" s="9"/>
      <x:c r="V180" s="9"/>
      <x:c r="W180" s="9" t="str">
        <x:v>CT-CF01-REMOVE</x:v>
      </x:c>
      <x:c r="X180" s="10" t="n">
        <x:v>2</x:v>
      </x:c>
      <x:c r="Y180" s="10" t="n">
        <x:v>1</x:v>
      </x:c>
      <x:c r="Z180" s="9" t="str">
        <x:v>REMOVE</x:v>
      </x:c>
      <x:c r="AA180" s="9"/>
      <x:c r="AB180" s="9"/>
      <x:c r="AC180" s="9"/>
      <x:c r="AD180" s="9"/>
      <x:c r="AE180" s="9"/>
      <x:c r="AF180" s="9"/>
      <x:c r="AG180" s="9"/>
      <x:c r="AH180" s="9"/>
      <x:c r="AI180" s="11"/>
      <x:c r="AJ180" s="9"/>
      <x:c r="AK180" s="9" t="str">
        <x:v>Eval_Counting.xlsm</x:v>
      </x:c>
      <x:c r="AL180" s="9" t="str">
        <x:v>pi0.5 Results</x:v>
      </x:c>
      <x:c r="AM180" s="9" t="n">
        <x:v>30</x:v>
      </x:c>
      <x:c r="AN180" s="9" t="n">
        <x:v>30</x:v>
      </x:c>
    </x:row>
    <x:row r="181">
      <x:c r="A181" s="9" t="str">
        <x:v>Failure</x:v>
      </x:c>
      <x:c r="B181" s="9" t="str">
        <x:v>Counting</x:v>
      </x:c>
      <x:c r="C181" s="10" t="n">
        <x:v>29</x:v>
      </x:c>
      <x:c r="D181" s="9" t="str">
        <x:v>Lift the blue pen out of the bowl and set it on the table.</x:v>
      </x:c>
      <x:c r="E181" s="9" t="str">
        <x:v>Bowl objects: [blue pen, yellow block] | Table objects: [green pencil sharpener]</x:v>
      </x:c>
      <x:c r="F181" s="9" t="str">
        <x:v>REMOVE blue pen</x:v>
      </x:c>
      <x:c r="G181" s="9" t="str">
        <x:v>went to bowl at end of episode, ran out of time before could grab anything</x:v>
      </x:c>
      <x:c r="H181" s="9" t="str">
        <x:v>Language robustness</x:v>
      </x:c>
      <x:c r="I181" s="9" t="str">
        <x:v>CT-CF01</x:v>
      </x:c>
      <x:c r="J181" s="9" t="str">
        <x:v>Matched-control paraphrase: REMOVE</x:v>
      </x:c>
      <x:c r="K181" s="9" t="n">
        <x:v>27</x:v>
      </x:c>
      <x:c r="L181" s="9" t="str">
        <x:v>835</x:v>
      </x:c>
      <x:c r="M181" s="9" t="str">
        <x:v>Canonical direct-control trajectory for the named object and action direction; evaluation wording is paraphrased.</x:v>
      </x:c>
      <x:c r="N181" s="9" t="n">
        <x:v>2</x:v>
      </x:c>
      <x:c r="O181" s="9" t="str">
        <x:v>Reset the exact count-2 scene; change only the prompt.</x:v>
      </x:c>
      <x:c r="P181" s="9" t="str">
        <x:v>Exact-scene paraphrase of the direct manipulation control.</x:v>
      </x:c>
      <x:c r="Q181" s="9"/>
      <x:c r="R181" s="10"/>
      <x:c r="S181" s="10"/>
      <x:c r="T181" s="9"/>
      <x:c r="U181" s="9"/>
      <x:c r="V181" s="9"/>
      <x:c r="W181" s="9" t="str">
        <x:v>CT-CF01-REMOVE</x:v>
      </x:c>
      <x:c r="X181" s="10" t="n">
        <x:v>2</x:v>
      </x:c>
      <x:c r="Y181" s="10" t="n">
        <x:v>1</x:v>
      </x:c>
      <x:c r="Z181" s="9" t="str">
        <x:v>REMOVE</x:v>
      </x:c>
      <x:c r="AA181" s="9"/>
      <x:c r="AB181" s="9"/>
      <x:c r="AC181" s="9"/>
      <x:c r="AD181" s="9"/>
      <x:c r="AE181" s="9"/>
      <x:c r="AF181" s="9"/>
      <x:c r="AG181" s="9"/>
      <x:c r="AH181" s="9"/>
      <x:c r="AI181" s="11"/>
      <x:c r="AJ181" s="9"/>
      <x:c r="AK181" s="9" t="str">
        <x:v>Eval_Counting.xlsm</x:v>
      </x:c>
      <x:c r="AL181" s="9" t="str">
        <x:v>pi0.5 Results</x:v>
      </x:c>
      <x:c r="AM181" s="9" t="n">
        <x:v>31</x:v>
      </x:c>
      <x:c r="AN181" s="9" t="n">
        <x:v>31</x:v>
      </x:c>
    </x:row>
    <x:row r="182">
      <x:c r="A182" s="9" t="str">
        <x:v>Success</x:v>
      </x:c>
      <x:c r="B182" s="9" t="str">
        <x:v>Counting</x:v>
      </x:c>
      <x:c r="C182" s="10" t="n">
        <x:v>30</x:v>
      </x:c>
      <x:c r="D182" s="9" t="str">
        <x:v>Move the green pencil sharpener into the bowl.</x:v>
      </x:c>
      <x:c r="E182" s="9" t="str">
        <x:v>Bowl objects: [blue pen, yellow block] | Table objects: [green pencil sharpener]</x:v>
      </x:c>
      <x:c r="F182" s="9" t="str">
        <x:v>ADD green pencil sharpener</x:v>
      </x:c>
      <x:c r="G182" s="9"/>
      <x:c r="H182" s="9" t="str">
        <x:v>Matched manipulation control</x:v>
      </x:c>
      <x:c r="I182" s="9" t="str">
        <x:v>CT-CF01</x:v>
      </x:c>
      <x:c r="J182" s="9" t="str">
        <x:v>Matched direct ADD control</x:v>
      </x:c>
      <x:c r="K182" s="9"/>
      <x:c r="L182" s="9" t="str">
        <x:v>917</x:v>
      </x:c>
      <x:c r="M182" s="9" t="str">
        <x:v>Exact direct-prompt trajectory for the named object and action direction; evaluation layout is reset manually.</x:v>
      </x:c>
      <x:c r="N182" s="9" t="n">
        <x:v>2</x:v>
      </x:c>
      <x:c r="O182" s="9" t="str">
        <x:v>Reset the exact count-2 scene; change only the prompt.</x:v>
      </x:c>
      <x:c r="P182" s="9" t="str">
        <x:v>The direct prompt is present in Counting training for this same-task object and action direction.</x:v>
      </x:c>
      <x:c r="Q182" s="9"/>
      <x:c r="R182" s="10"/>
      <x:c r="S182" s="10"/>
      <x:c r="T182" s="9"/>
      <x:c r="U182" s="9"/>
      <x:c r="V182" s="9"/>
      <x:c r="W182" s="9" t="str">
        <x:v>CT-CF01-ADD</x:v>
      </x:c>
      <x:c r="X182" s="10" t="n">
        <x:v>2</x:v>
      </x:c>
      <x:c r="Y182" s="10" t="n">
        <x:v>3</x:v>
      </x:c>
      <x:c r="Z182" s="9" t="str">
        <x:v>ADD</x:v>
      </x:c>
      <x:c r="AA182" s="9"/>
      <x:c r="AB182" s="9"/>
      <x:c r="AC182" s="9"/>
      <x:c r="AD182" s="9"/>
      <x:c r="AE182" s="9"/>
      <x:c r="AF182" s="9"/>
      <x:c r="AG182" s="9"/>
      <x:c r="AH182" s="9"/>
      <x:c r="AI182" s="11"/>
      <x:c r="AJ182" s="9"/>
      <x:c r="AK182" s="9" t="str">
        <x:v>Eval_Counting.xlsm</x:v>
      </x:c>
      <x:c r="AL182" s="9" t="str">
        <x:v>pi0.5 Results</x:v>
      </x:c>
      <x:c r="AM182" s="9" t="n">
        <x:v>32</x:v>
      </x:c>
      <x:c r="AN182" s="9" t="n">
        <x:v>32</x:v>
      </x:c>
    </x:row>
    <x:row r="183">
      <x:c r="A183" s="9" t="str">
        <x:v>Failure</x:v>
      </x:c>
      <x:c r="B183" s="9" t="str">
        <x:v>Counting</x:v>
      </x:c>
      <x:c r="C183" s="10" t="n">
        <x:v>31</x:v>
      </x:c>
      <x:c r="D183" s="9" t="str">
        <x:v>Leave exactly three objects in the bowl.</x:v>
      </x:c>
      <x:c r="E183" s="9" t="str">
        <x:v>Bowl objects: [blue pen, yellow block] | Table objects: [green pencil sharpener]</x:v>
      </x:c>
      <x:c r="F183" s="9" t="str">
        <x:v>ADD any one table object; finish with 3 objects in the bowl</x:v>
      </x:c>
      <x:c r="G183" s="9" t="str">
        <x:v>didn't move</x:v>
      </x:c>
      <x:c r="H183" s="9" t="str">
        <x:v>Concept/compositional transfer</x:v>
      </x:c>
      <x:c r="I183" s="9" t="str">
        <x:v>CT-CF01</x:v>
      </x:c>
      <x:c r="J183" s="9" t="str">
        <x:v>Primary: three via held-out 2→3 addition</x:v>
      </x:c>
      <x:c r="K183" s="9" t="n">
        <x:v>30</x:v>
      </x:c>
      <x:c r="L183" s="9" t="str">
        <x:v>916</x:v>
      </x:c>
      <x:c r="M183" s="9" t="str">
        <x:v>Representative direct-instruction trajectory for green pencil sharpener; the evaluated count × transition composition is intentionally absent.</x:v>
      </x:c>
      <x:c r="N183" s="9" t="n">
        <x:v>2</x:v>
      </x:c>
      <x:c r="O183" s="9" t="str">
        <x:v>Reset the exact count-2 scene; change only the prompt.</x:v>
      </x:c>
      <x:c r="P183" s="9" t="str">
        <x:v>The goal word three is trained, and this 2→3 trajectory is trained under a direct instruction, but the combination is withheld.</x:v>
      </x:c>
      <x:c r="Q183" s="9"/>
      <x:c r="R183" s="10"/>
      <x:c r="S183" s="10"/>
      <x:c r="T183" s="9"/>
      <x:c r="U183" s="9"/>
      <x:c r="V183" s="9"/>
      <x:c r="W183" s="9" t="str">
        <x:v>CT-CF01-ADD</x:v>
      </x:c>
      <x:c r="X183" s="10" t="n">
        <x:v>2</x:v>
      </x:c>
      <x:c r="Y183" s="10" t="n">
        <x:v>3</x:v>
      </x:c>
      <x:c r="Z183" s="9" t="str">
        <x:v>ADD</x:v>
      </x:c>
      <x:c r="AA183" s="9"/>
      <x:c r="AB183" s="9"/>
      <x:c r="AC183" s="9"/>
      <x:c r="AD183" s="9"/>
      <x:c r="AE183" s="9"/>
      <x:c r="AF183" s="9"/>
      <x:c r="AG183" s="9"/>
      <x:c r="AH183" s="9"/>
      <x:c r="AI183" s="11"/>
      <x:c r="AJ183" s="9"/>
      <x:c r="AK183" s="9" t="str">
        <x:v>Eval_Counting.xlsm</x:v>
      </x:c>
      <x:c r="AL183" s="9" t="str">
        <x:v>pi0.5 Results</x:v>
      </x:c>
      <x:c r="AM183" s="9" t="n">
        <x:v>33</x:v>
      </x:c>
      <x:c r="AN183" s="9" t="n">
        <x:v>33</x:v>
      </x:c>
    </x:row>
    <x:row r="184">
      <x:c r="A184" s="9" t="str">
        <x:v>Failure</x:v>
      </x:c>
      <x:c r="B184" s="9" t="str">
        <x:v>Counting</x:v>
      </x:c>
      <x:c r="C184" s="10" t="n">
        <x:v>32</x:v>
      </x:c>
      <x:c r="D184" s="9" t="str">
        <x:v>Lift the green pencil sharpener from the table and set it inside the bowl.</x:v>
      </x:c>
      <x:c r="E184" s="9" t="str">
        <x:v>Bowl objects: [blue pen, yellow block] | Table objects: [green pencil sharpener]</x:v>
      </x:c>
      <x:c r="F184" s="9" t="str">
        <x:v>ADD green pencil sharpener</x:v>
      </x:c>
      <x:c r="G184" s="9" t="str">
        <x:v>went for the green pencil sharpener at the end of the episode. Didn't have time to put it in the bowl.</x:v>
      </x:c>
      <x:c r="H184" s="9" t="str">
        <x:v>Language robustness</x:v>
      </x:c>
      <x:c r="I184" s="9" t="str">
        <x:v>CT-CF01</x:v>
      </x:c>
      <x:c r="J184" s="9" t="str">
        <x:v>Matched-control paraphrase: ADD</x:v>
      </x:c>
      <x:c r="K184" s="9" t="n">
        <x:v>30</x:v>
      </x:c>
      <x:c r="L184" s="9" t="str">
        <x:v>917</x:v>
      </x:c>
      <x:c r="M184" s="9" t="str">
        <x:v>Canonical direct-control trajectory for the named object and action direction; evaluation wording is paraphrased.</x:v>
      </x:c>
      <x:c r="N184" s="9" t="n">
        <x:v>2</x:v>
      </x:c>
      <x:c r="O184" s="9" t="str">
        <x:v>Reset the exact count-2 scene; change only the prompt.</x:v>
      </x:c>
      <x:c r="P184" s="9" t="str">
        <x:v>Exact-scene paraphrase of the direct manipulation control.</x:v>
      </x:c>
      <x:c r="Q184" s="9"/>
      <x:c r="R184" s="10"/>
      <x:c r="S184" s="10"/>
      <x:c r="T184" s="9"/>
      <x:c r="U184" s="9"/>
      <x:c r="V184" s="9"/>
      <x:c r="W184" s="9" t="str">
        <x:v>CT-CF01-ADD</x:v>
      </x:c>
      <x:c r="X184" s="10" t="n">
        <x:v>2</x:v>
      </x:c>
      <x:c r="Y184" s="10" t="n">
        <x:v>3</x:v>
      </x:c>
      <x:c r="Z184" s="9" t="str">
        <x:v>ADD</x:v>
      </x:c>
      <x:c r="AA184" s="9"/>
      <x:c r="AB184" s="9"/>
      <x:c r="AC184" s="9"/>
      <x:c r="AD184" s="9"/>
      <x:c r="AE184" s="9"/>
      <x:c r="AF184" s="9"/>
      <x:c r="AG184" s="9"/>
      <x:c r="AH184" s="9"/>
      <x:c r="AI184" s="11"/>
      <x:c r="AJ184" s="9"/>
      <x:c r="AK184" s="9" t="str">
        <x:v>Eval_Counting.xlsm</x:v>
      </x:c>
      <x:c r="AL184" s="9" t="str">
        <x:v>pi0.5 Results</x:v>
      </x:c>
      <x:c r="AM184" s="9" t="n">
        <x:v>34</x:v>
      </x:c>
      <x:c r="AN184" s="9" t="n">
        <x:v>34</x:v>
      </x:c>
    </x:row>
    <x:row r="185">
      <x:c r="A185" s="9" t="str">
        <x:v>Failure</x:v>
      </x:c>
      <x:c r="B185" s="9" t="str">
        <x:v>Counting</x:v>
      </x:c>
      <x:c r="C185" s="10" t="n">
        <x:v>33</x:v>
      </x:c>
      <x:c r="D185" s="9" t="str">
        <x:v>Finish with three objects in the bowl.</x:v>
      </x:c>
      <x:c r="E185" s="9" t="str">
        <x:v>Bowl objects: [blue pen, yellow block] | Table objects: [green pencil sharpener]</x:v>
      </x:c>
      <x:c r="F185" s="9" t="str">
        <x:v>ADD any one table object; finish with 3 objects in the bowl</x:v>
      </x:c>
      <x:c r="G185" s="9" t="str">
        <x:v>didn't move</x:v>
      </x:c>
      <x:c r="H185" s="9" t="str">
        <x:v>Language robustness</x:v>
      </x:c>
      <x:c r="I185" s="9" t="str">
        <x:v>CT-CF01</x:v>
      </x:c>
      <x:c r="J185" s="9" t="str">
        <x:v>Primary compositional paraphrase: three via 2→3 addition</x:v>
      </x:c>
      <x:c r="K185" s="9" t="n">
        <x:v>31</x:v>
      </x:c>
      <x:c r="L185" s="9" t="str">
        <x:v>916</x:v>
      </x:c>
      <x:c r="M185" s="9" t="str">
        <x:v>Representative direct-instruction trajectory for green pencil sharpener; the evaluated count × transition composition is intentionally absent. The evaluation wording is also paraphrased.</x:v>
      </x:c>
      <x:c r="N185" s="9" t="n">
        <x:v>2</x:v>
      </x:c>
      <x:c r="O185" s="9" t="str">
        <x:v>Reset the exact count-2 scene; change only the prompt.</x:v>
      </x:c>
      <x:c r="P185" s="9" t="str">
        <x:v>Exact-scene paraphrase of the canonical held-out composition.</x:v>
      </x:c>
      <x:c r="Q185" s="9"/>
      <x:c r="R185" s="10"/>
      <x:c r="S185" s="10"/>
      <x:c r="T185" s="9"/>
      <x:c r="U185" s="9"/>
      <x:c r="V185" s="9"/>
      <x:c r="W185" s="9" t="str">
        <x:v>CT-CF01-ADD</x:v>
      </x:c>
      <x:c r="X185" s="10" t="n">
        <x:v>2</x:v>
      </x:c>
      <x:c r="Y185" s="10" t="n">
        <x:v>3</x:v>
      </x:c>
      <x:c r="Z185" s="9" t="str">
        <x:v>ADD</x:v>
      </x:c>
      <x:c r="AA185" s="9"/>
      <x:c r="AB185" s="9"/>
      <x:c r="AC185" s="9"/>
      <x:c r="AD185" s="9"/>
      <x:c r="AE185" s="9"/>
      <x:c r="AF185" s="9"/>
      <x:c r="AG185" s="9"/>
      <x:c r="AH185" s="9"/>
      <x:c r="AI185" s="11"/>
      <x:c r="AJ185" s="9"/>
      <x:c r="AK185" s="9" t="str">
        <x:v>Eval_Counting.xlsm</x:v>
      </x:c>
      <x:c r="AL185" s="9" t="str">
        <x:v>pi0.5 Results</x:v>
      </x:c>
      <x:c r="AM185" s="9" t="n">
        <x:v>35</x:v>
      </x:c>
      <x:c r="AN185" s="9" t="n">
        <x:v>35</x:v>
      </x:c>
    </x:row>
    <x:row r="186">
      <x:c r="A186" s="9" t="str">
        <x:v>Failure</x:v>
      </x:c>
      <x:c r="B186" s="9" t="str">
        <x:v>Counting</x:v>
      </x:c>
      <x:c r="C186" s="10" t="n">
        <x:v>34</x:v>
      </x:c>
      <x:c r="D186" s="9" t="str">
        <x:v>Leave exactly three objects in the bowl.</x:v>
      </x:c>
      <x:c r="E186" s="9" t="str">
        <x:v>Bowl objects: [yellow block, green pencil sharpener] | Table objects: [blue pen, airplane toy without propellers]</x:v>
      </x:c>
      <x:c r="F186" s="9" t="str">
        <x:v>ADD any one table object; finish with 3 objects in the bowl</x:v>
      </x:c>
      <x:c r="G186" s="9" t="str">
        <x:v>didn't move</x:v>
      </x:c>
      <x:c r="H186" s="9" t="str">
        <x:v>Concept/compositional transfer</x:v>
      </x:c>
      <x:c r="I186" s="9" t="str">
        <x:v>CT-CF10</x:v>
      </x:c>
      <x:c r="J186" s="9" t="str">
        <x:v>Primary: three via held-out 2→3 addition</x:v>
      </x:c>
      <x:c r="K186" s="9"/>
      <x:c r="L186" s="9" t="str">
        <x:v>816</x:v>
      </x:c>
      <x:c r="M186" s="9" t="str">
        <x:v>Representative direct-instruction trajectory for blue pen; the evaluated count × transition composition is intentionally absent.</x:v>
      </x:c>
      <x:c r="N186" s="9" t="n">
        <x:v>3</x:v>
      </x:c>
      <x:c r="O186" s="9" t="str">
        <x:v>Reset the exact count-2 scene; change only the prompt.</x:v>
      </x:c>
      <x:c r="P186" s="9" t="str">
        <x:v>The goal word three is trained, and this 2→3 trajectory is trained under a direct instruction, but the combination is withheld.</x:v>
      </x:c>
      <x:c r="Q186" s="9"/>
      <x:c r="R186" s="10"/>
      <x:c r="S186" s="10"/>
      <x:c r="T186" s="9"/>
      <x:c r="U186" s="9"/>
      <x:c r="V186" s="9"/>
      <x:c r="W186" s="9" t="str">
        <x:v>CT-CF10-ADD</x:v>
      </x:c>
      <x:c r="X186" s="10" t="n">
        <x:v>2</x:v>
      </x:c>
      <x:c r="Y186" s="10" t="n">
        <x:v>3</x:v>
      </x:c>
      <x:c r="Z186" s="9" t="str">
        <x:v>ADD</x:v>
      </x:c>
      <x:c r="AA186" s="9"/>
      <x:c r="AB186" s="9"/>
      <x:c r="AC186" s="9"/>
      <x:c r="AD186" s="9"/>
      <x:c r="AE186" s="9"/>
      <x:c r="AF186" s="9"/>
      <x:c r="AG186" s="9"/>
      <x:c r="AH186" s="9"/>
      <x:c r="AI186" s="11"/>
      <x:c r="AJ186" s="9"/>
      <x:c r="AK186" s="9" t="str">
        <x:v>Eval_Counting.xlsm</x:v>
      </x:c>
      <x:c r="AL186" s="9" t="str">
        <x:v>pi0.5 Results</x:v>
      </x:c>
      <x:c r="AM186" s="9" t="n">
        <x:v>36</x:v>
      </x:c>
      <x:c r="AN186" s="9" t="n">
        <x:v>36</x:v>
      </x:c>
    </x:row>
    <x:row r="187">
      <x:c r="A187" s="9" t="str">
        <x:v>Failure</x:v>
      </x:c>
      <x:c r="B187" s="9" t="str">
        <x:v>Counting</x:v>
      </x:c>
      <x:c r="C187" s="10" t="n">
        <x:v>35</x:v>
      </x:c>
      <x:c r="D187" s="9" t="str">
        <x:v>Move the airplane toy without propellers into the bowl.</x:v>
      </x:c>
      <x:c r="E187" s="9" t="str">
        <x:v>Bowl objects: [yellow block, green pencil sharpener] | Table objects: [blue pen, airplane toy without propellers]</x:v>
      </x:c>
      <x:c r="F187" s="9" t="str">
        <x:v>ADD airplane toy without propellers</x:v>
      </x:c>
      <x:c r="G187" s="9" t="str">
        <x:v>didn't move</x:v>
      </x:c>
      <x:c r="H187" s="9" t="str">
        <x:v>Matched manipulation control</x:v>
      </x:c>
      <x:c r="I187" s="9" t="str">
        <x:v>CT-CF10</x:v>
      </x:c>
      <x:c r="J187" s="9" t="str">
        <x:v>Matched direct ADD control</x:v>
      </x:c>
      <x:c r="K187" s="9" t="n">
        <x:v>34</x:v>
      </x:c>
      <x:c r="L187" s="9" t="str">
        <x:v>968</x:v>
      </x:c>
      <x:c r="M187" s="9" t="str">
        <x:v>Exact direct-prompt trajectory for the named object and action direction; evaluation layout is reset manually.</x:v>
      </x:c>
      <x:c r="N187" s="9" t="n">
        <x:v>3</x:v>
      </x:c>
      <x:c r="O187" s="9" t="str">
        <x:v>Reset the exact count-2 scene; change only the prompt.</x:v>
      </x:c>
      <x:c r="P187" s="9" t="str">
        <x:v>The direct prompt is present in Counting training for this same-task object and action direction.</x:v>
      </x:c>
      <x:c r="Q187" s="9"/>
      <x:c r="R187" s="10"/>
      <x:c r="S187" s="10"/>
      <x:c r="T187" s="9"/>
      <x:c r="U187" s="9"/>
      <x:c r="V187" s="9"/>
      <x:c r="W187" s="9" t="str">
        <x:v>CT-CF10-ADD</x:v>
      </x:c>
      <x:c r="X187" s="10" t="n">
        <x:v>2</x:v>
      </x:c>
      <x:c r="Y187" s="10" t="n">
        <x:v>3</x:v>
      </x:c>
      <x:c r="Z187" s="9" t="str">
        <x:v>ADD</x:v>
      </x:c>
      <x:c r="AA187" s="9"/>
      <x:c r="AB187" s="9"/>
      <x:c r="AC187" s="9"/>
      <x:c r="AD187" s="9"/>
      <x:c r="AE187" s="9"/>
      <x:c r="AF187" s="9"/>
      <x:c r="AG187" s="9"/>
      <x:c r="AH187" s="9"/>
      <x:c r="AI187" s="11"/>
      <x:c r="AJ187" s="9"/>
      <x:c r="AK187" s="9" t="str">
        <x:v>Eval_Counting.xlsm</x:v>
      </x:c>
      <x:c r="AL187" s="9" t="str">
        <x:v>pi0.5 Results</x:v>
      </x:c>
      <x:c r="AM187" s="9" t="n">
        <x:v>37</x:v>
      </x:c>
      <x:c r="AN187" s="9" t="n">
        <x:v>37</x:v>
      </x:c>
    </x:row>
    <x:row r="188">
      <x:c r="A188" s="9" t="str">
        <x:v>Success</x:v>
      </x:c>
      <x:c r="B188" s="9" t="str">
        <x:v>Counting</x:v>
      </x:c>
      <x:c r="C188" s="10" t="n">
        <x:v>36</x:v>
      </x:c>
      <x:c r="D188" s="9" t="str">
        <x:v>Move the green pencil sharpener from the bowl to the table.</x:v>
      </x:c>
      <x:c r="E188" s="9" t="str">
        <x:v>Bowl objects: [yellow block, green pencil sharpener] | Table objects: [blue pen, airplane toy without propellers]</x:v>
      </x:c>
      <x:c r="F188" s="9" t="str">
        <x:v>REMOVE green pencil sharpener</x:v>
      </x:c>
      <x:c r="G188" s="9"/>
      <x:c r="H188" s="9" t="str">
        <x:v>Matched manipulation control</x:v>
      </x:c>
      <x:c r="I188" s="9" t="str">
        <x:v>CT-CF10</x:v>
      </x:c>
      <x:c r="J188" s="9" t="str">
        <x:v>Matched direct REMOVE control</x:v>
      </x:c>
      <x:c r="K188" s="9"/>
      <x:c r="L188" s="9" t="str">
        <x:v>935</x:v>
      </x:c>
      <x:c r="M188" s="9" t="str">
        <x:v>Exact direct-prompt trajectory for the named object and action direction; evaluation layout is reset manually.</x:v>
      </x:c>
      <x:c r="N188" s="9" t="n">
        <x:v>3</x:v>
      </x:c>
      <x:c r="O188" s="9" t="str">
        <x:v>Reset the exact count-2 scene; change only the prompt.</x:v>
      </x:c>
      <x:c r="P188" s="9" t="str">
        <x:v>The direct prompt is present in Counting training for this same-task object and action direction.</x:v>
      </x:c>
      <x:c r="Q188" s="9"/>
      <x:c r="R188" s="10"/>
      <x:c r="S188" s="10"/>
      <x:c r="T188" s="9"/>
      <x:c r="U188" s="9"/>
      <x:c r="V188" s="9"/>
      <x:c r="W188" s="9" t="str">
        <x:v>CT-CF10-REMOVE</x:v>
      </x:c>
      <x:c r="X188" s="10" t="n">
        <x:v>2</x:v>
      </x:c>
      <x:c r="Y188" s="10" t="n">
        <x:v>1</x:v>
      </x:c>
      <x:c r="Z188" s="9" t="str">
        <x:v>REMOVE</x:v>
      </x:c>
      <x:c r="AA188" s="9"/>
      <x:c r="AB188" s="9"/>
      <x:c r="AC188" s="9"/>
      <x:c r="AD188" s="9"/>
      <x:c r="AE188" s="9"/>
      <x:c r="AF188" s="9"/>
      <x:c r="AG188" s="9"/>
      <x:c r="AH188" s="9"/>
      <x:c r="AI188" s="11"/>
      <x:c r="AJ188" s="9"/>
      <x:c r="AK188" s="9" t="str">
        <x:v>Eval_Counting.xlsm</x:v>
      </x:c>
      <x:c r="AL188" s="9" t="str">
        <x:v>pi0.5 Results</x:v>
      </x:c>
      <x:c r="AM188" s="9" t="n">
        <x:v>38</x:v>
      </x:c>
      <x:c r="AN188" s="9" t="n">
        <x:v>38</x:v>
      </x:c>
    </x:row>
    <x:row r="189">
      <x:c r="A189" s="9" t="str">
        <x:v>Failure</x:v>
      </x:c>
      <x:c r="B189" s="9" t="str">
        <x:v>Counting</x:v>
      </x:c>
      <x:c r="C189" s="10" t="n">
        <x:v>37</x:v>
      </x:c>
      <x:c r="D189" s="9" t="str">
        <x:v>Leave exactly one object in the bowl.</x:v>
      </x:c>
      <x:c r="E189" s="9" t="str">
        <x:v>Bowl objects: [yellow block, green pencil sharpener] | Table objects: [blue pen, airplane toy without propellers]</x:v>
      </x:c>
      <x:c r="F189" s="9" t="str">
        <x:v>REMOVE any one bowl object; finish with 1 object in the bowl</x:v>
      </x:c>
      <x:c r="G189" s="9"/>
      <x:c r="H189" s="9" t="str">
        <x:v>Concept/compositional transfer</x:v>
      </x:c>
      <x:c r="I189" s="9" t="str">
        <x:v>CT-CF10</x:v>
      </x:c>
      <x:c r="J189" s="9" t="str">
        <x:v>Primary: one via held-out 2→1 removal</x:v>
      </x:c>
      <x:c r="K189" s="9" t="n">
        <x:v>36</x:v>
      </x:c>
      <x:c r="L189" s="9" t="str">
        <x:v>931</x:v>
      </x:c>
      <x:c r="M189" s="9" t="str">
        <x:v>Representative direct-instruction trajectory for green pencil sharpener; the evaluated count × transition composition is intentionally absent.</x:v>
      </x:c>
      <x:c r="N189" s="9" t="n">
        <x:v>3</x:v>
      </x:c>
      <x:c r="O189" s="9" t="str">
        <x:v>Build the listed count-2 scene.</x:v>
      </x:c>
      <x:c r="P189" s="9" t="str">
        <x:v>The goal word one is trained, and this 2→1 trajectory is trained under a direct instruction, but the combination is withheld.</x:v>
      </x:c>
      <x:c r="Q189" s="9"/>
      <x:c r="R189" s="10"/>
      <x:c r="S189" s="10"/>
      <x:c r="T189" s="9"/>
      <x:c r="U189" s="9"/>
      <x:c r="V189" s="9"/>
      <x:c r="W189" s="9" t="str">
        <x:v>CT-CF10-REMOVE</x:v>
      </x:c>
      <x:c r="X189" s="10" t="n">
        <x:v>2</x:v>
      </x:c>
      <x:c r="Y189" s="10" t="n">
        <x:v>1</x:v>
      </x:c>
      <x:c r="Z189" s="9" t="str">
        <x:v>REMOVE</x:v>
      </x:c>
      <x:c r="AA189" s="9"/>
      <x:c r="AB189" s="9"/>
      <x:c r="AC189" s="9"/>
      <x:c r="AD189" s="9"/>
      <x:c r="AE189" s="9"/>
      <x:c r="AF189" s="9"/>
      <x:c r="AG189" s="9"/>
      <x:c r="AH189" s="9"/>
      <x:c r="AI189" s="11"/>
      <x:c r="AJ189" s="9"/>
      <x:c r="AK189" s="9" t="str">
        <x:v>Eval_Counting.xlsm</x:v>
      </x:c>
      <x:c r="AL189" s="9" t="str">
        <x:v>pi0.5 Results</x:v>
      </x:c>
      <x:c r="AM189" s="9" t="n">
        <x:v>39</x:v>
      </x:c>
      <x:c r="AN189" s="9" t="n">
        <x:v>39</x:v>
      </x:c>
    </x:row>
    <x:row r="190">
      <x:c r="A190" s="9" t="str">
        <x:v>Success</x:v>
      </x:c>
      <x:c r="B190" s="9" t="str">
        <x:v>Counting</x:v>
      </x:c>
      <x:c r="C190" s="10" t="n">
        <x:v>38</x:v>
      </x:c>
      <x:c r="D190" s="9" t="str">
        <x:v>Leave exactly three objects in the bowl.</x:v>
      </x:c>
      <x:c r="E190" s="9" t="str">
        <x:v>Bowl objects: [airplane toy without propellers, green pencil sharpener, yellow block] | Table objects: [blue pen]</x:v>
      </x:c>
      <x:c r="F190" s="9" t="str">
        <x:v>NO-OP; preserve 3 objects in the bowl and do not initiate a grasp</x:v>
      </x:c>
      <x:c r="G190" s="9"/>
      <x:c r="H190" s="9" t="str">
        <x:v>Goal already satisfied / no movement</x:v>
      </x:c>
      <x:c r="I190" s="9" t="str">
        <x:v>NOOP-04</x:v>
      </x:c>
      <x:c r="J190" s="9" t="str">
        <x:v>Goal already satisfied: 3→3</x:v>
      </x:c>
      <x:c r="K190" s="9"/>
      <x:c r="L190" s="9" t="str">
        <x:v>843</x:v>
      </x:c>
      <x:c r="M190" s="9" t="str">
        <x:v>Prompt/concept grounding only. Training does not contain a goal-already-satisfied no-movement trajectory.</x:v>
      </x:c>
      <x:c r="N190" s="9" t="n">
        <x:v>6</x:v>
      </x:c>
      <x:c r="O190" s="9" t="str">
        <x:v>Build the first no-movement scene in this family.</x:v>
      </x:c>
      <x:c r="P190" s="9" t="str">
        <x:v>Visible-object count varies across no-op families. Table objects are distractors where present; success requires leaving the satisfied scene unchanged.</x:v>
      </x:c>
      <x:c r="Q190" s="9"/>
      <x:c r="R190" s="10"/>
      <x:c r="S190" s="10"/>
      <x:c r="T190" s="9"/>
      <x:c r="U190" s="9"/>
      <x:c r="V190" s="9"/>
      <x:c r="W190" s="9" t="str">
        <x:v>NOOP-04</x:v>
      </x:c>
      <x:c r="X190" s="10" t="n">
        <x:v>3</x:v>
      </x:c>
      <x:c r="Y190" s="10" t="n">
        <x:v>3</x:v>
      </x:c>
      <x:c r="Z190" s="9" t="str">
        <x:v>NO-OP</x:v>
      </x:c>
      <x:c r="AA190" s="9"/>
      <x:c r="AB190" s="9"/>
      <x:c r="AC190" s="9"/>
      <x:c r="AD190" s="9"/>
      <x:c r="AE190" s="9"/>
      <x:c r="AF190" s="9"/>
      <x:c r="AG190" s="9"/>
      <x:c r="AH190" s="9"/>
      <x:c r="AI190" s="11"/>
      <x:c r="AJ190" s="9"/>
      <x:c r="AK190" s="9" t="str">
        <x:v>Eval_Counting.xlsm</x:v>
      </x:c>
      <x:c r="AL190" s="9" t="str">
        <x:v>pi0.5 Results</x:v>
      </x:c>
      <x:c r="AM190" s="9" t="n">
        <x:v>40</x:v>
      </x:c>
      <x:c r="AN190" s="9" t="n">
        <x:v>40</x:v>
      </x:c>
    </x:row>
    <x:row r="191">
      <x:c r="A191" s="9" t="str">
        <x:v>Success</x:v>
      </x:c>
      <x:c r="B191" s="9" t="str">
        <x:v>Counting</x:v>
      </x:c>
      <x:c r="C191" s="10" t="n">
        <x:v>39</x:v>
      </x:c>
      <x:c r="D191" s="9" t="str">
        <x:v>Leave exactly two objects in the bowl.</x:v>
      </x:c>
      <x:c r="E191" s="9" t="str">
        <x:v>Bowl objects: [airplane toy without propellers, green pencil sharpener] | Table objects: [yellow block]</x:v>
      </x:c>
      <x:c r="F191" s="9" t="str">
        <x:v>NO-OP; preserve 2 objects in the bowl and do not initiate a grasp</x:v>
      </x:c>
      <x:c r="G191" s="9"/>
      <x:c r="H191" s="9" t="str">
        <x:v>Goal already satisfied / no movement</x:v>
      </x:c>
      <x:c r="I191" s="9" t="str">
        <x:v>NOOP-04</x:v>
      </x:c>
      <x:c r="J191" s="9" t="str">
        <x:v>Goal already satisfied: 2→2</x:v>
      </x:c>
      <x:c r="K191" s="9"/>
      <x:c r="L191" s="9" t="str">
        <x:v>861</x:v>
      </x:c>
      <x:c r="M191" s="9" t="str">
        <x:v>Prompt/concept grounding only. Training does not contain a goal-already-satisfied no-movement trajectory.</x:v>
      </x:c>
      <x:c r="N191" s="9" t="n">
        <x:v>6</x:v>
      </x:c>
      <x:c r="O191" s="9" t="str">
        <x:v>Move only the minimum listed objects between bowl and table for the next count.</x:v>
      </x:c>
      <x:c r="P191" s="9" t="str">
        <x:v>Visible-object count varies across no-op families. Table objects are distractors where present; success requires leaving the satisfied scene unchanged.</x:v>
      </x:c>
      <x:c r="Q191" s="9"/>
      <x:c r="R191" s="10"/>
      <x:c r="S191" s="10"/>
      <x:c r="T191" s="9"/>
      <x:c r="U191" s="9"/>
      <x:c r="V191" s="9"/>
      <x:c r="W191" s="9" t="str">
        <x:v>NOOP-04</x:v>
      </x:c>
      <x:c r="X191" s="10" t="n">
        <x:v>2</x:v>
      </x:c>
      <x:c r="Y191" s="10" t="n">
        <x:v>2</x:v>
      </x:c>
      <x:c r="Z191" s="9" t="str">
        <x:v>NO-OP</x:v>
      </x:c>
      <x:c r="AA191" s="9"/>
      <x:c r="AB191" s="9"/>
      <x:c r="AC191" s="9"/>
      <x:c r="AD191" s="9"/>
      <x:c r="AE191" s="9"/>
      <x:c r="AF191" s="9"/>
      <x:c r="AG191" s="9"/>
      <x:c r="AH191" s="9"/>
      <x:c r="AI191" s="11"/>
      <x:c r="AJ191" s="9"/>
      <x:c r="AK191" s="9" t="str">
        <x:v>Eval_Counting.xlsm</x:v>
      </x:c>
      <x:c r="AL191" s="9" t="str">
        <x:v>pi0.5 Results</x:v>
      </x:c>
      <x:c r="AM191" s="9" t="n">
        <x:v>41</x:v>
      </x:c>
      <x:c r="AN191" s="9" t="n">
        <x:v>41</x:v>
      </x:c>
    </x:row>
    <x:row r="192">
      <x:c r="A192" s="9" t="str">
        <x:v>Success</x:v>
      </x:c>
      <x:c r="B192" s="9" t="str">
        <x:v>Counting</x:v>
      </x:c>
      <x:c r="C192" s="10" t="n">
        <x:v>40</x:v>
      </x:c>
      <x:c r="D192" s="9" t="str">
        <x:v>Leave exactly one object in the bowl.</x:v>
      </x:c>
      <x:c r="E192" s="9" t="str">
        <x:v>Bowl objects: [airplane toy without propellers] | Table objects: [green pencil sharpener]</x:v>
      </x:c>
      <x:c r="F192" s="9" t="str">
        <x:v>NO-OP; preserve 1 object in the bowl and do not initiate a grasp</x:v>
      </x:c>
      <x:c r="G192" s="9"/>
      <x:c r="H192" s="9" t="str">
        <x:v>Goal already satisfied / no movement</x:v>
      </x:c>
      <x:c r="I192" s="9" t="str">
        <x:v>NOOP-04</x:v>
      </x:c>
      <x:c r="J192" s="9" t="str">
        <x:v>Goal already satisfied: 1→1</x:v>
      </x:c>
      <x:c r="K192" s="9"/>
      <x:c r="L192" s="9" t="str">
        <x:v>800</x:v>
      </x:c>
      <x:c r="M192" s="9" t="str">
        <x:v>Prompt/concept grounding only. Training does not contain a goal-already-satisfied no-movement trajectory.</x:v>
      </x:c>
      <x:c r="N192" s="9" t="n">
        <x:v>6</x:v>
      </x:c>
      <x:c r="O192" s="9" t="str">
        <x:v>Move only the minimum listed objects between bowl and table for the next count.</x:v>
      </x:c>
      <x:c r="P192" s="9" t="str">
        <x:v>Visible-object count varies across no-op families. Table objects are distractors where present; success requires leaving the satisfied scene unchanged.</x:v>
      </x:c>
      <x:c r="Q192" s="9"/>
      <x:c r="R192" s="10"/>
      <x:c r="S192" s="10"/>
      <x:c r="T192" s="9"/>
      <x:c r="U192" s="9"/>
      <x:c r="V192" s="9"/>
      <x:c r="W192" s="9" t="str">
        <x:v>NOOP-04</x:v>
      </x:c>
      <x:c r="X192" s="10" t="n">
        <x:v>1</x:v>
      </x:c>
      <x:c r="Y192" s="10" t="n">
        <x:v>1</x:v>
      </x:c>
      <x:c r="Z192" s="9" t="str">
        <x:v>NO-OP</x:v>
      </x:c>
      <x:c r="AA192" s="9"/>
      <x:c r="AB192" s="9"/>
      <x:c r="AC192" s="9"/>
      <x:c r="AD192" s="9"/>
      <x:c r="AE192" s="9"/>
      <x:c r="AF192" s="9"/>
      <x:c r="AG192" s="9"/>
      <x:c r="AH192" s="9"/>
      <x:c r="AI192" s="11"/>
      <x:c r="AJ192" s="9"/>
      <x:c r="AK192" s="9" t="str">
        <x:v>Eval_Counting.xlsm</x:v>
      </x:c>
      <x:c r="AL192" s="9" t="str">
        <x:v>pi0.5 Results</x:v>
      </x:c>
      <x:c r="AM192" s="9" t="n">
        <x:v>42</x:v>
      </x:c>
      <x:c r="AN192" s="9" t="n">
        <x:v>42</x:v>
      </x:c>
    </x:row>
    <x:row r="193">
      <x:c r="A193" s="9" t="str">
        <x:v>Success</x:v>
      </x:c>
      <x:c r="B193" s="9" t="str">
        <x:v>Counting</x:v>
      </x:c>
      <x:c r="C193" s="10" t="n">
        <x:v>41</x:v>
      </x:c>
      <x:c r="D193" s="9" t="str">
        <x:v>Leave no objects in the bowl.</x:v>
      </x:c>
      <x:c r="E193" s="9" t="str">
        <x:v>Bowl objects: [none] | Table objects: [airplane toy without propellers]</x:v>
      </x:c>
      <x:c r="F193" s="9" t="str">
        <x:v>NO-OP; preserve 0 objects in the bowl and do not initiate a grasp</x:v>
      </x:c>
      <x:c r="G193" s="9"/>
      <x:c r="H193" s="9" t="str">
        <x:v>Goal already satisfied / no movement</x:v>
      </x:c>
      <x:c r="I193" s="9" t="str">
        <x:v>NOOP-04</x:v>
      </x:c>
      <x:c r="J193" s="9" t="str">
        <x:v>Goal already satisfied: 0→0</x:v>
      </x:c>
      <x:c r="K193" s="9"/>
      <x:c r="L193" s="9" t="str">
        <x:v>975</x:v>
      </x:c>
      <x:c r="M193" s="9" t="str">
        <x:v>Prompt/concept grounding only. Training does not contain a goal-already-satisfied no-movement trajectory.</x:v>
      </x:c>
      <x:c r="N193" s="9" t="n">
        <x:v>6</x:v>
      </x:c>
      <x:c r="O193" s="9" t="str">
        <x:v>Move only the minimum listed objects between bowl and table for the next count.</x:v>
      </x:c>
      <x:c r="P193" s="9" t="str">
        <x:v>Visible-object count varies across no-op families. Table objects are distractors where present; success requires leaving the satisfied scene unchanged.</x:v>
      </x:c>
      <x:c r="Q193" s="9"/>
      <x:c r="R193" s="10"/>
      <x:c r="S193" s="10"/>
      <x:c r="T193" s="9"/>
      <x:c r="U193" s="9"/>
      <x:c r="V193" s="9"/>
      <x:c r="W193" s="9" t="str">
        <x:v>NOOP-04</x:v>
      </x:c>
      <x:c r="X193" s="10" t="n">
        <x:v>0</x:v>
      </x:c>
      <x:c r="Y193" s="10" t="n">
        <x:v>0</x:v>
      </x:c>
      <x:c r="Z193" s="9" t="str">
        <x:v>NO-OP</x:v>
      </x:c>
      <x:c r="AA193" s="9"/>
      <x:c r="AB193" s="9"/>
      <x:c r="AC193" s="9"/>
      <x:c r="AD193" s="9"/>
      <x:c r="AE193" s="9"/>
      <x:c r="AF193" s="9"/>
      <x:c r="AG193" s="9"/>
      <x:c r="AH193" s="9"/>
      <x:c r="AI193" s="11"/>
      <x:c r="AJ193" s="9"/>
      <x:c r="AK193" s="9" t="str">
        <x:v>Eval_Counting.xlsm</x:v>
      </x:c>
      <x:c r="AL193" s="9" t="str">
        <x:v>pi0.5 Results</x:v>
      </x:c>
      <x:c r="AM193" s="9" t="n">
        <x:v>43</x:v>
      </x:c>
      <x:c r="AN193" s="9" t="n">
        <x:v>43</x:v>
      </x:c>
    </x:row>
    <x:row r="194">
      <x:c r="A194" s="9" t="str">
        <x:v>Success</x:v>
      </x:c>
      <x:c r="B194" s="9" t="str">
        <x:v>Counting</x:v>
      </x:c>
      <x:c r="C194" s="10" t="n">
        <x:v>42</x:v>
      </x:c>
      <x:c r="D194" s="9" t="str">
        <x:v>Leave no objects in the bowl.</x:v>
      </x:c>
      <x:c r="E194" s="9" t="str">
        <x:v>Bowl objects: [none] | Table objects: [blue pen]</x:v>
      </x:c>
      <x:c r="F194" s="9" t="str">
        <x:v>NO-OP; preserve 0 objects in the bowl and do not initiate a grasp</x:v>
      </x:c>
      <x:c r="G194" s="9"/>
      <x:c r="H194" s="9" t="str">
        <x:v>Goal already satisfied / no movement</x:v>
      </x:c>
      <x:c r="I194" s="9" t="str">
        <x:v>NOOP-01</x:v>
      </x:c>
      <x:c r="J194" s="9" t="str">
        <x:v>Goal already satisfied: 0→0</x:v>
      </x:c>
      <x:c r="K194" s="9"/>
      <x:c r="L194" s="9" t="str">
        <x:v>975</x:v>
      </x:c>
      <x:c r="M194" s="9" t="str">
        <x:v>Prompt/concept grounding only. Training does not contain a goal-already-satisfied no-movement trajectory.</x:v>
      </x:c>
      <x:c r="N194" s="9" t="n">
        <x:v>6</x:v>
      </x:c>
      <x:c r="O194" s="9" t="str">
        <x:v>Build the first no-movement scene in this family.</x:v>
      </x:c>
      <x:c r="P194" s="9" t="str">
        <x:v>Visible-object count varies across no-op families. Table objects are distractors where present; success requires leaving the satisfied scene unchanged.</x:v>
      </x:c>
      <x:c r="Q194" s="9"/>
      <x:c r="R194" s="10"/>
      <x:c r="S194" s="10"/>
      <x:c r="T194" s="9"/>
      <x:c r="U194" s="9"/>
      <x:c r="V194" s="9"/>
      <x:c r="W194" s="9" t="str">
        <x:v>NOOP-01</x:v>
      </x:c>
      <x:c r="X194" s="10" t="n">
        <x:v>0</x:v>
      </x:c>
      <x:c r="Y194" s="10" t="n">
        <x:v>0</x:v>
      </x:c>
      <x:c r="Z194" s="9" t="str">
        <x:v>NO-OP</x:v>
      </x:c>
      <x:c r="AA194" s="9"/>
      <x:c r="AB194" s="9"/>
      <x:c r="AC194" s="9"/>
      <x:c r="AD194" s="9"/>
      <x:c r="AE194" s="9"/>
      <x:c r="AF194" s="9"/>
      <x:c r="AG194" s="9"/>
      <x:c r="AH194" s="9"/>
      <x:c r="AI194" s="11"/>
      <x:c r="AJ194" s="9"/>
      <x:c r="AK194" s="9" t="str">
        <x:v>Eval_Counting.xlsm</x:v>
      </x:c>
      <x:c r="AL194" s="9" t="str">
        <x:v>pi0.5 Results</x:v>
      </x:c>
      <x:c r="AM194" s="9" t="n">
        <x:v>44</x:v>
      </x:c>
      <x:c r="AN194" s="9" t="n">
        <x:v>44</x:v>
      </x:c>
    </x:row>
    <x:row r="195">
      <x:c r="A195" s="9" t="str">
        <x:v>Success</x:v>
      </x:c>
      <x:c r="B195" s="9" t="str">
        <x:v>Counting</x:v>
      </x:c>
      <x:c r="C195" s="10" t="n">
        <x:v>43</x:v>
      </x:c>
      <x:c r="D195" s="9" t="str">
        <x:v>Leave exactly one object in the bowl.</x:v>
      </x:c>
      <x:c r="E195" s="9" t="str">
        <x:v>Bowl objects: [blue pen] | Table objects: [none]</x:v>
      </x:c>
      <x:c r="F195" s="9" t="str">
        <x:v>NO-OP; preserve 1 object in the bowl and do not initiate a grasp</x:v>
      </x:c>
      <x:c r="G195" s="9"/>
      <x:c r="H195" s="9" t="str">
        <x:v>Goal already satisfied / no movement</x:v>
      </x:c>
      <x:c r="I195" s="9" t="str">
        <x:v>NOOP-01</x:v>
      </x:c>
      <x:c r="J195" s="9" t="str">
        <x:v>Goal already satisfied: 1→1</x:v>
      </x:c>
      <x:c r="K195" s="9"/>
      <x:c r="L195" s="9" t="str">
        <x:v>800</x:v>
      </x:c>
      <x:c r="M195" s="9" t="str">
        <x:v>Prompt/concept grounding only. Training does not contain a goal-already-satisfied no-movement trajectory.</x:v>
      </x:c>
      <x:c r="N195" s="9" t="n">
        <x:v>6</x:v>
      </x:c>
      <x:c r="O195" s="9" t="str">
        <x:v>Move only the minimum listed objects between bowl and table for the next count.</x:v>
      </x:c>
      <x:c r="P195" s="9" t="str">
        <x:v>Visible-object count varies across no-op families. Table objects are distractors where present; success requires leaving the satisfied scene unchanged.</x:v>
      </x:c>
      <x:c r="Q195" s="9"/>
      <x:c r="R195" s="10"/>
      <x:c r="S195" s="10"/>
      <x:c r="T195" s="9"/>
      <x:c r="U195" s="9"/>
      <x:c r="V195" s="9"/>
      <x:c r="W195" s="9" t="str">
        <x:v>NOOP-01</x:v>
      </x:c>
      <x:c r="X195" s="10" t="n">
        <x:v>1</x:v>
      </x:c>
      <x:c r="Y195" s="10" t="n">
        <x:v>1</x:v>
      </x:c>
      <x:c r="Z195" s="9" t="str">
        <x:v>NO-OP</x:v>
      </x:c>
      <x:c r="AA195" s="9"/>
      <x:c r="AB195" s="9"/>
      <x:c r="AC195" s="9"/>
      <x:c r="AD195" s="9"/>
      <x:c r="AE195" s="9"/>
      <x:c r="AF195" s="9"/>
      <x:c r="AG195" s="9"/>
      <x:c r="AH195" s="9"/>
      <x:c r="AI195" s="11"/>
      <x:c r="AJ195" s="9"/>
      <x:c r="AK195" s="9" t="str">
        <x:v>Eval_Counting.xlsm</x:v>
      </x:c>
      <x:c r="AL195" s="9" t="str">
        <x:v>pi0.5 Results</x:v>
      </x:c>
      <x:c r="AM195" s="9" t="n">
        <x:v>45</x:v>
      </x:c>
      <x:c r="AN195" s="9" t="n">
        <x:v>45</x:v>
      </x:c>
    </x:row>
    <x:row r="196">
      <x:c r="A196" s="9" t="str">
        <x:v>Failure</x:v>
      </x:c>
      <x:c r="B196" s="9" t="str">
        <x:v>Counting</x:v>
      </x:c>
      <x:c r="C196" s="10" t="n">
        <x:v>44</x:v>
      </x:c>
      <x:c r="D196" s="9" t="str">
        <x:v>Leave exactly two objects in the bowl.</x:v>
      </x:c>
      <x:c r="E196" s="9" t="str">
        <x:v>Bowl objects: [blue pen, yellow block] | Table objects: [none]</x:v>
      </x:c>
      <x:c r="F196" s="9" t="str">
        <x:v>NO-OP; preserve 2 objects in the bowl and do not initiate a grasp</x:v>
      </x:c>
      <x:c r="G196" s="9" t="str">
        <x:v>went to bowl, but didn't take anything; went back home</x:v>
      </x:c>
      <x:c r="H196" s="9" t="str">
        <x:v>Goal already satisfied / no movement</x:v>
      </x:c>
      <x:c r="I196" s="9" t="str">
        <x:v>NOOP-01</x:v>
      </x:c>
      <x:c r="J196" s="9" t="str">
        <x:v>Goal already satisfied: 2→2</x:v>
      </x:c>
      <x:c r="K196" s="9"/>
      <x:c r="L196" s="9" t="str">
        <x:v>861</x:v>
      </x:c>
      <x:c r="M196" s="9" t="str">
        <x:v>Prompt/concept grounding only. Training does not contain a goal-already-satisfied no-movement trajectory.</x:v>
      </x:c>
      <x:c r="N196" s="9" t="n">
        <x:v>6</x:v>
      </x:c>
      <x:c r="O196" s="9" t="str">
        <x:v>Move only the minimum listed objects between bowl and table for the next count.</x:v>
      </x:c>
      <x:c r="P196" s="9" t="str">
        <x:v>Visible-object count varies across no-op families. Table objects are distractors where present; success requires leaving the satisfied scene unchanged.</x:v>
      </x:c>
      <x:c r="Q196" s="9"/>
      <x:c r="R196" s="10"/>
      <x:c r="S196" s="10"/>
      <x:c r="T196" s="9"/>
      <x:c r="U196" s="9"/>
      <x:c r="V196" s="9"/>
      <x:c r="W196" s="9" t="str">
        <x:v>NOOP-01</x:v>
      </x:c>
      <x:c r="X196" s="10" t="n">
        <x:v>2</x:v>
      </x:c>
      <x:c r="Y196" s="10" t="n">
        <x:v>2</x:v>
      </x:c>
      <x:c r="Z196" s="9" t="str">
        <x:v>NO-OP</x:v>
      </x:c>
      <x:c r="AA196" s="9"/>
      <x:c r="AB196" s="9"/>
      <x:c r="AC196" s="9"/>
      <x:c r="AD196" s="9"/>
      <x:c r="AE196" s="9"/>
      <x:c r="AF196" s="9"/>
      <x:c r="AG196" s="9"/>
      <x:c r="AH196" s="9"/>
      <x:c r="AI196" s="11"/>
      <x:c r="AJ196" s="9"/>
      <x:c r="AK196" s="9" t="str">
        <x:v>Eval_Counting.xlsm</x:v>
      </x:c>
      <x:c r="AL196" s="9" t="str">
        <x:v>pi0.5 Results</x:v>
      </x:c>
      <x:c r="AM196" s="9" t="n">
        <x:v>46</x:v>
      </x:c>
      <x:c r="AN196" s="9" t="n">
        <x:v>46</x:v>
      </x:c>
    </x:row>
    <x:row r="197">
      <x:c r="A197" s="9" t="str">
        <x:v>Failure</x:v>
      </x:c>
      <x:c r="B197" s="9" t="str">
        <x:v>Counting</x:v>
      </x:c>
      <x:c r="C197" s="10" t="n">
        <x:v>45</x:v>
      </x:c>
      <x:c r="D197" s="9" t="str">
        <x:v>Leave exactly three objects in the bowl.</x:v>
      </x:c>
      <x:c r="E197" s="9" t="str">
        <x:v>Bowl objects: [blue pen, yellow block, green pencil sharpener] | Table objects: [none]</x:v>
      </x:c>
      <x:c r="F197" s="9" t="str">
        <x:v>NO-OP; preserve 3 objects in the bowl and do not initiate a grasp</x:v>
      </x:c>
      <x:c r="G197" s="9" t="str">
        <x:v>went to bowl and tried to grab something, but couldn't</x:v>
      </x:c>
      <x:c r="H197" s="9" t="str">
        <x:v>Goal already satisfied / no movement</x:v>
      </x:c>
      <x:c r="I197" s="9" t="str">
        <x:v>NOOP-01</x:v>
      </x:c>
      <x:c r="J197" s="9" t="str">
        <x:v>Goal already satisfied: 3→3</x:v>
      </x:c>
      <x:c r="K197" s="9"/>
      <x:c r="L197" s="9" t="str">
        <x:v>843</x:v>
      </x:c>
      <x:c r="M197" s="9" t="str">
        <x:v>Prompt/concept grounding only. Training does not contain a goal-already-satisfied no-movement trajectory.</x:v>
      </x:c>
      <x:c r="N197" s="9" t="n">
        <x:v>6</x:v>
      </x:c>
      <x:c r="O197" s="9" t="str">
        <x:v>Move only the minimum listed objects between bowl and table for the next count.</x:v>
      </x:c>
      <x:c r="P197" s="9" t="str">
        <x:v>Visible-object count varies across no-op families. Table objects are distractors where present; success requires leaving the satisfied scene unchanged.</x:v>
      </x:c>
      <x:c r="Q197" s="9"/>
      <x:c r="R197" s="10"/>
      <x:c r="S197" s="10"/>
      <x:c r="T197" s="9"/>
      <x:c r="U197" s="9"/>
      <x:c r="V197" s="9"/>
      <x:c r="W197" s="9" t="str">
        <x:v>NOOP-01</x:v>
      </x:c>
      <x:c r="X197" s="10" t="n">
        <x:v>3</x:v>
      </x:c>
      <x:c r="Y197" s="10" t="n">
        <x:v>3</x:v>
      </x:c>
      <x:c r="Z197" s="9" t="str">
        <x:v>NO-OP</x:v>
      </x:c>
      <x:c r="AA197" s="9"/>
      <x:c r="AB197" s="9"/>
      <x:c r="AC197" s="9"/>
      <x:c r="AD197" s="9"/>
      <x:c r="AE197" s="9"/>
      <x:c r="AF197" s="9"/>
      <x:c r="AG197" s="9"/>
      <x:c r="AH197" s="9"/>
      <x:c r="AI197" s="11"/>
      <x:c r="AJ197" s="9"/>
      <x:c r="AK197" s="9" t="str">
        <x:v>Eval_Counting.xlsm</x:v>
      </x:c>
      <x:c r="AL197" s="9" t="str">
        <x:v>pi0.5 Results</x:v>
      </x:c>
      <x:c r="AM197" s="9" t="n">
        <x:v>47</x:v>
      </x:c>
      <x:c r="AN197" s="9" t="n">
        <x:v>47</x:v>
      </x:c>
    </x:row>
    <x:row r="198">
      <x:c r="A198" s="9" t="str">
        <x:v>Failure</x:v>
      </x:c>
      <x:c r="B198" s="9" t="str">
        <x:v>Counting</x:v>
      </x:c>
      <x:c r="C198" s="10" t="n">
        <x:v>46</x:v>
      </x:c>
      <x:c r="D198" s="9" t="str">
        <x:v>Leave exactly three objects in the bowl.</x:v>
      </x:c>
      <x:c r="E198" s="9" t="str">
        <x:v>Bowl objects: [green pencil sharpener, airplane toy without propellers] | Table objects: [yellow block]</x:v>
      </x:c>
      <x:c r="F198" s="9" t="str">
        <x:v>ADD any one table object; finish with 3 objects in the bowl</x:v>
      </x:c>
      <x:c r="G198" s="9" t="str">
        <x:v>didn't move</x:v>
      </x:c>
      <x:c r="H198" s="9" t="str">
        <x:v>Concept/compositional transfer</x:v>
      </x:c>
      <x:c r="I198" s="9" t="str">
        <x:v>CT-CF06</x:v>
      </x:c>
      <x:c r="J198" s="9" t="str">
        <x:v>Primary: three via held-out 2→3 addition</x:v>
      </x:c>
      <x:c r="K198" s="9"/>
      <x:c r="L198" s="9" t="str">
        <x:v>866</x:v>
      </x:c>
      <x:c r="M198" s="9" t="str">
        <x:v>Representative direct-instruction trajectory for yellow block; the evaluated count × transition composition is intentionally absent.</x:v>
      </x:c>
      <x:c r="N198" s="9" t="n">
        <x:v>3</x:v>
      </x:c>
      <x:c r="O198" s="9" t="str">
        <x:v>Reset the exact count-2 scene; change only the prompt.</x:v>
      </x:c>
      <x:c r="P198" s="9" t="str">
        <x:v>The goal word three is trained, and this 2→3 trajectory is trained under a direct instruction, but the combination is withheld.</x:v>
      </x:c>
      <x:c r="Q198" s="9"/>
      <x:c r="R198" s="10"/>
      <x:c r="S198" s="10"/>
      <x:c r="T198" s="9"/>
      <x:c r="U198" s="9"/>
      <x:c r="V198" s="9"/>
      <x:c r="W198" s="9" t="str">
        <x:v>CT-CF06-ADD</x:v>
      </x:c>
      <x:c r="X198" s="10" t="n">
        <x:v>2</x:v>
      </x:c>
      <x:c r="Y198" s="10" t="n">
        <x:v>3</x:v>
      </x:c>
      <x:c r="Z198" s="9" t="str">
        <x:v>ADD</x:v>
      </x:c>
      <x:c r="AA198" s="9"/>
      <x:c r="AB198" s="9"/>
      <x:c r="AC198" s="9"/>
      <x:c r="AD198" s="9"/>
      <x:c r="AE198" s="9"/>
      <x:c r="AF198" s="9"/>
      <x:c r="AG198" s="9"/>
      <x:c r="AH198" s="9"/>
      <x:c r="AI198" s="11"/>
      <x:c r="AJ198" s="9"/>
      <x:c r="AK198" s="9" t="str">
        <x:v>Eval_Counting.xlsm</x:v>
      </x:c>
      <x:c r="AL198" s="9" t="str">
        <x:v>pi0.5 Results</x:v>
      </x:c>
      <x:c r="AM198" s="9" t="n">
        <x:v>48</x:v>
      </x:c>
      <x:c r="AN198" s="9" t="n">
        <x:v>48</x:v>
      </x:c>
    </x:row>
    <x:row r="199">
      <x:c r="A199" s="9" t="str">
        <x:v>Failure</x:v>
      </x:c>
      <x:c r="B199" s="9" t="str">
        <x:v>Counting</x:v>
      </x:c>
      <x:c r="C199" s="10" t="n">
        <x:v>47</x:v>
      </x:c>
      <x:c r="D199" s="9" t="str">
        <x:v>Move the yellow block into the bowl.</x:v>
      </x:c>
      <x:c r="E199" s="9" t="str">
        <x:v>Bowl objects: [green pencil sharpener, airplane toy without propellers] | Table objects: [yellow block]</x:v>
      </x:c>
      <x:c r="F199" s="9" t="str">
        <x:v>ADD yellow block</x:v>
      </x:c>
      <x:c r="G199" s="9" t="str">
        <x:v>didn't move</x:v>
      </x:c>
      <x:c r="H199" s="9" t="str">
        <x:v>Matched manipulation control</x:v>
      </x:c>
      <x:c r="I199" s="9" t="str">
        <x:v>CT-CF06</x:v>
      </x:c>
      <x:c r="J199" s="9" t="str">
        <x:v>Matched direct ADD control</x:v>
      </x:c>
      <x:c r="K199" s="9" t="n">
        <x:v>46</x:v>
      </x:c>
      <x:c r="L199" s="9" t="str">
        <x:v>872</x:v>
      </x:c>
      <x:c r="M199" s="9" t="str">
        <x:v>Exact direct-prompt trajectory for the named object and action direction; evaluation layout is reset manually.</x:v>
      </x:c>
      <x:c r="N199" s="9" t="n">
        <x:v>3</x:v>
      </x:c>
      <x:c r="O199" s="9" t="str">
        <x:v>Reset the exact count-2 scene; change only the prompt.</x:v>
      </x:c>
      <x:c r="P199" s="9" t="str">
        <x:v>The direct prompt is present in Counting training for this same-task object and action direction.</x:v>
      </x:c>
      <x:c r="Q199" s="9"/>
      <x:c r="R199" s="10"/>
      <x:c r="S199" s="10"/>
      <x:c r="T199" s="9"/>
      <x:c r="U199" s="9"/>
      <x:c r="V199" s="9"/>
      <x:c r="W199" s="9" t="str">
        <x:v>CT-CF06-ADD</x:v>
      </x:c>
      <x:c r="X199" s="10" t="n">
        <x:v>2</x:v>
      </x:c>
      <x:c r="Y199" s="10" t="n">
        <x:v>3</x:v>
      </x:c>
      <x:c r="Z199" s="9" t="str">
        <x:v>ADD</x:v>
      </x:c>
      <x:c r="AA199" s="9"/>
      <x:c r="AB199" s="9"/>
      <x:c r="AC199" s="9"/>
      <x:c r="AD199" s="9"/>
      <x:c r="AE199" s="9"/>
      <x:c r="AF199" s="9"/>
      <x:c r="AG199" s="9"/>
      <x:c r="AH199" s="9"/>
      <x:c r="AI199" s="11"/>
      <x:c r="AJ199" s="9"/>
      <x:c r="AK199" s="9" t="str">
        <x:v>Eval_Counting.xlsm</x:v>
      </x:c>
      <x:c r="AL199" s="9" t="str">
        <x:v>pi0.5 Results</x:v>
      </x:c>
      <x:c r="AM199" s="9" t="n">
        <x:v>49</x:v>
      </x:c>
      <x:c r="AN199" s="9" t="n">
        <x:v>49</x:v>
      </x:c>
    </x:row>
    <x:row r="200">
      <x:c r="A200" s="9" t="str">
        <x:v>Failure</x:v>
      </x:c>
      <x:c r="B200" s="9" t="str">
        <x:v>Counting</x:v>
      </x:c>
      <x:c r="C200" s="10" t="n">
        <x:v>48</x:v>
      </x:c>
      <x:c r="D200" s="9" t="str">
        <x:v>Move the airplane toy without propellers from the bowl to the table.</x:v>
      </x:c>
      <x:c r="E200" s="9" t="str">
        <x:v>Bowl objects: [green pencil sharpener, airplane toy without propellers] | Table objects: [yellow block]</x:v>
      </x:c>
      <x:c r="F200" s="9" t="str">
        <x:v>REMOVE airplane toy without propellers</x:v>
      </x:c>
      <x:c r="G200" s="9" t="str">
        <x:v>moved to the bowl at the end of the rollout, but didn't have enough time to pick it up. strange that is paused for so lond before movement.</x:v>
      </x:c>
      <x:c r="H200" s="9" t="str">
        <x:v>Matched manipulation control</x:v>
      </x:c>
      <x:c r="I200" s="9" t="str">
        <x:v>CT-CF06</x:v>
      </x:c>
      <x:c r="J200" s="9" t="str">
        <x:v>Matched direct REMOVE control</x:v>
      </x:c>
      <x:c r="K200" s="9"/>
      <x:c r="L200" s="9" t="str">
        <x:v>985</x:v>
      </x:c>
      <x:c r="M200" s="9" t="str">
        <x:v>Exact direct-prompt trajectory for the named object and action direction; evaluation layout is reset manually.</x:v>
      </x:c>
      <x:c r="N200" s="9" t="n">
        <x:v>3</x:v>
      </x:c>
      <x:c r="O200" s="9" t="str">
        <x:v>Reset the exact count-2 scene; change only the prompt.</x:v>
      </x:c>
      <x:c r="P200" s="9" t="str">
        <x:v>The direct prompt is present in Counting training for this same-task object and action direction.</x:v>
      </x:c>
      <x:c r="Q200" s="9"/>
      <x:c r="R200" s="10"/>
      <x:c r="S200" s="10"/>
      <x:c r="T200" s="9"/>
      <x:c r="U200" s="9"/>
      <x:c r="V200" s="9"/>
      <x:c r="W200" s="9" t="str">
        <x:v>CT-CF06-REMOVE</x:v>
      </x:c>
      <x:c r="X200" s="10" t="n">
        <x:v>2</x:v>
      </x:c>
      <x:c r="Y200" s="10" t="n">
        <x:v>1</x:v>
      </x:c>
      <x:c r="Z200" s="9" t="str">
        <x:v>REMOVE</x:v>
      </x:c>
      <x:c r="AA200" s="9"/>
      <x:c r="AB200" s="9"/>
      <x:c r="AC200" s="9"/>
      <x:c r="AD200" s="9"/>
      <x:c r="AE200" s="9"/>
      <x:c r="AF200" s="9"/>
      <x:c r="AG200" s="9"/>
      <x:c r="AH200" s="9"/>
      <x:c r="AI200" s="11"/>
      <x:c r="AJ200" s="9"/>
      <x:c r="AK200" s="9" t="str">
        <x:v>Eval_Counting.xlsm</x:v>
      </x:c>
      <x:c r="AL200" s="9" t="str">
        <x:v>pi0.5 Results</x:v>
      </x:c>
      <x:c r="AM200" s="9" t="n">
        <x:v>50</x:v>
      </x:c>
      <x:c r="AN200" s="9" t="n">
        <x:v>50</x:v>
      </x:c>
    </x:row>
    <x:row r="201">
      <x:c r="A201" s="9" t="str">
        <x:v>Failure</x:v>
      </x:c>
      <x:c r="B201" s="9" t="str">
        <x:v>Counting</x:v>
      </x:c>
      <x:c r="C201" s="10" t="n">
        <x:v>49</x:v>
      </x:c>
      <x:c r="D201" s="9" t="str">
        <x:v>Leave exactly one object in the bowl.</x:v>
      </x:c>
      <x:c r="E201" s="9" t="str">
        <x:v>Bowl objects: [green pencil sharpener, airplane toy without propellers] | Table objects: [yellow block]</x:v>
      </x:c>
      <x:c r="F201" s="9" t="str">
        <x:v>REMOVE any one bowl object; finish with 1 object in the bowl</x:v>
      </x:c>
      <x:c r="G201" s="9" t="str">
        <x:v>didn't move</x:v>
      </x:c>
      <x:c r="H201" s="9" t="str">
        <x:v>Concept/compositional transfer</x:v>
      </x:c>
      <x:c r="I201" s="9" t="str">
        <x:v>CT-CF06</x:v>
      </x:c>
      <x:c r="J201" s="9" t="str">
        <x:v>Primary: one via held-out 2→1 removal</x:v>
      </x:c>
      <x:c r="K201" s="9" t="n">
        <x:v>48</x:v>
      </x:c>
      <x:c r="L201" s="9" t="str">
        <x:v>981</x:v>
      </x:c>
      <x:c r="M201" s="9" t="str">
        <x:v>Representative direct-instruction trajectory for airplane toy without propellers; the evaluated count × transition composition is intentionally absent.</x:v>
      </x:c>
      <x:c r="N201" s="9" t="n">
        <x:v>3</x:v>
      </x:c>
      <x:c r="O201" s="9" t="str">
        <x:v>Build the listed count-2 scene.</x:v>
      </x:c>
      <x:c r="P201" s="9" t="str">
        <x:v>The goal word one is trained, and this 2→1 trajectory is trained under a direct instruction, but the combination is withheld.</x:v>
      </x:c>
      <x:c r="Q201" s="9"/>
      <x:c r="R201" s="10"/>
      <x:c r="S201" s="10"/>
      <x:c r="T201" s="9"/>
      <x:c r="U201" s="9"/>
      <x:c r="V201" s="9"/>
      <x:c r="W201" s="9" t="str">
        <x:v>CT-CF06-REMOVE</x:v>
      </x:c>
      <x:c r="X201" s="10" t="n">
        <x:v>2</x:v>
      </x:c>
      <x:c r="Y201" s="10" t="n">
        <x:v>1</x:v>
      </x:c>
      <x:c r="Z201" s="9" t="str">
        <x:v>REMOVE</x:v>
      </x:c>
      <x:c r="AA201" s="9"/>
      <x:c r="AB201" s="9"/>
      <x:c r="AC201" s="9"/>
      <x:c r="AD201" s="9"/>
      <x:c r="AE201" s="9"/>
      <x:c r="AF201" s="9"/>
      <x:c r="AG201" s="9"/>
      <x:c r="AH201" s="9"/>
      <x:c r="AI201" s="11"/>
      <x:c r="AJ201" s="9"/>
      <x:c r="AK201" s="9" t="str">
        <x:v>Eval_Counting.xlsm</x:v>
      </x:c>
      <x:c r="AL201" s="9" t="str">
        <x:v>pi0.5 Results</x:v>
      </x:c>
      <x:c r="AM201" s="9" t="n">
        <x:v>51</x:v>
      </x:c>
      <x:c r="AN201" s="9" t="n">
        <x:v>51</x:v>
      </x:c>
    </x:row>
    <x:row r="202">
      <x:c r="A202" s="9" t="str">
        <x:v>Failure</x:v>
      </x:c>
      <x:c r="B202" s="9" t="str">
        <x:v>Counting</x:v>
      </x:c>
      <x:c r="C202" s="10" t="n">
        <x:v>50</x:v>
      </x:c>
      <x:c r="D202" s="9" t="str">
        <x:v>Leave exactly one object in the bowl.</x:v>
      </x:c>
      <x:c r="E202" s="9" t="str">
        <x:v>Bowl objects: [blue pen, airplane toy without propellers] | Table objects: [yellow block, green pencil sharpener]</x:v>
      </x:c>
      <x:c r="F202" s="9" t="str">
        <x:v>REMOVE any one bowl object; finish with 1 object in the bowl</x:v>
      </x:c>
      <x:c r="G202" s="9" t="str">
        <x:v>didn't move</x:v>
      </x:c>
      <x:c r="H202" s="9" t="str">
        <x:v>Concept/compositional transfer</x:v>
      </x:c>
      <x:c r="I202" s="9" t="str">
        <x:v>CT-CF15</x:v>
      </x:c>
      <x:c r="J202" s="9" t="str">
        <x:v>Primary: one via held-out 2→1 removal</x:v>
      </x:c>
      <x:c r="K202" s="9"/>
      <x:c r="L202" s="9" t="str">
        <x:v>831</x:v>
      </x:c>
      <x:c r="M202" s="9" t="str">
        <x:v>Representative direct-instruction trajectory for blue pen; the evaluated count × transition composition is intentionally absent.</x:v>
      </x:c>
      <x:c r="N202" s="9" t="n">
        <x:v>4</x:v>
      </x:c>
      <x:c r="O202" s="9" t="str">
        <x:v>Build the listed count-2 scene.</x:v>
      </x:c>
      <x:c r="P202" s="9" t="str">
        <x:v>The goal word one is trained, and this 2→1 trajectory is trained under a direct instruction, but the combination is withheld.</x:v>
      </x:c>
      <x:c r="Q202" s="9"/>
      <x:c r="R202" s="10"/>
      <x:c r="S202" s="10"/>
      <x:c r="T202" s="9"/>
      <x:c r="U202" s="9"/>
      <x:c r="V202" s="9"/>
      <x:c r="W202" s="9" t="str">
        <x:v>CT-CF15-REMOVE</x:v>
      </x:c>
      <x:c r="X202" s="10" t="n">
        <x:v>2</x:v>
      </x:c>
      <x:c r="Y202" s="10" t="n">
        <x:v>1</x:v>
      </x:c>
      <x:c r="Z202" s="9" t="str">
        <x:v>REMOVE</x:v>
      </x:c>
      <x:c r="AA202" s="9"/>
      <x:c r="AB202" s="9"/>
      <x:c r="AC202" s="9"/>
      <x:c r="AD202" s="9"/>
      <x:c r="AE202" s="9"/>
      <x:c r="AF202" s="9"/>
      <x:c r="AG202" s="9"/>
      <x:c r="AH202" s="9"/>
      <x:c r="AI202" s="11"/>
      <x:c r="AJ202" s="9"/>
      <x:c r="AK202" s="9" t="str">
        <x:v>Eval_Counting.xlsm</x:v>
      </x:c>
      <x:c r="AL202" s="9" t="str">
        <x:v>pi0.5 Results</x:v>
      </x:c>
      <x:c r="AM202" s="9" t="n">
        <x:v>52</x:v>
      </x:c>
      <x:c r="AN202" s="9" t="n">
        <x:v>52</x:v>
      </x:c>
    </x:row>
    <x:row r="203">
      <x:c r="A203" s="9" t="str">
        <x:v>Failure</x:v>
      </x:c>
      <x:c r="B203" s="9" t="str">
        <x:v>Counting</x:v>
      </x:c>
      <x:c r="C203" s="10" t="n">
        <x:v>51</x:v>
      </x:c>
      <x:c r="D203" s="9" t="str">
        <x:v>Leave exactly three objects in the bowl.</x:v>
      </x:c>
      <x:c r="E203" s="9" t="str">
        <x:v>Bowl objects: [blue pen, airplane toy without propellers] | Table objects: [yellow block, green pencil sharpener]</x:v>
      </x:c>
      <x:c r="F203" s="9" t="str">
        <x:v>ADD any one table object; finish with 3 objects in the bowl</x:v>
      </x:c>
      <x:c r="G203" s="9" t="str">
        <x:v>didn't move</x:v>
      </x:c>
      <x:c r="H203" s="9" t="str">
        <x:v>Concept/compositional transfer</x:v>
      </x:c>
      <x:c r="I203" s="9" t="str">
        <x:v>CT-CF15</x:v>
      </x:c>
      <x:c r="J203" s="9" t="str">
        <x:v>Primary: three via held-out 2→3 addition</x:v>
      </x:c>
      <x:c r="K203" s="9" t="n">
        <x:v>50</x:v>
      </x:c>
      <x:c r="L203" s="9" t="str">
        <x:v>916</x:v>
      </x:c>
      <x:c r="M203" s="9" t="str">
        <x:v>Representative direct-instruction trajectory for green pencil sharpener; the evaluated count × transition composition is intentionally absent.</x:v>
      </x:c>
      <x:c r="N203" s="9" t="n">
        <x:v>4</x:v>
      </x:c>
      <x:c r="O203" s="9" t="str">
        <x:v>Reset the exact count-2 scene; change only the prompt.</x:v>
      </x:c>
      <x:c r="P203" s="9" t="str">
        <x:v>The goal word three is trained, and this 2→3 trajectory is trained under a direct instruction, but the combination is withheld.</x:v>
      </x:c>
      <x:c r="Q203" s="9"/>
      <x:c r="R203" s="10"/>
      <x:c r="S203" s="10"/>
      <x:c r="T203" s="9"/>
      <x:c r="U203" s="9"/>
      <x:c r="V203" s="9"/>
      <x:c r="W203" s="9" t="str">
        <x:v>CT-CF15-ADD</x:v>
      </x:c>
      <x:c r="X203" s="10" t="n">
        <x:v>2</x:v>
      </x:c>
      <x:c r="Y203" s="10" t="n">
        <x:v>3</x:v>
      </x:c>
      <x:c r="Z203" s="9" t="str">
        <x:v>ADD</x:v>
      </x:c>
      <x:c r="AA203" s="9"/>
      <x:c r="AB203" s="9"/>
      <x:c r="AC203" s="9"/>
      <x:c r="AD203" s="9"/>
      <x:c r="AE203" s="9"/>
      <x:c r="AF203" s="9"/>
      <x:c r="AG203" s="9"/>
      <x:c r="AH203" s="9"/>
      <x:c r="AI203" s="11"/>
      <x:c r="AJ203" s="9"/>
      <x:c r="AK203" s="9" t="str">
        <x:v>Eval_Counting.xlsm</x:v>
      </x:c>
      <x:c r="AL203" s="9" t="str">
        <x:v>pi0.5 Results</x:v>
      </x:c>
      <x:c r="AM203" s="9" t="n">
        <x:v>53</x:v>
      </x:c>
      <x:c r="AN203" s="9" t="n">
        <x:v>53</x:v>
      </x:c>
    </x:row>
    <x:row r="204">
      <x:c r="A204" s="9" t="str">
        <x:v>Failure</x:v>
      </x:c>
      <x:c r="B204" s="9" t="str">
        <x:v>Counting</x:v>
      </x:c>
      <x:c r="C204" s="10" t="n">
        <x:v>52</x:v>
      </x:c>
      <x:c r="D204" s="9" t="str">
        <x:v>Leave exactly one object in the bowl.</x:v>
      </x:c>
      <x:c r="E204" s="9" t="str">
        <x:v>Bowl objects: [blue pen, yellow block] | Table objects: [green pencil sharpener, airplane toy without propellers]</x:v>
      </x:c>
      <x:c r="F204" s="9" t="str">
        <x:v>REMOVE any one bowl object; finish with 1 object in the bowl</x:v>
      </x:c>
      <x:c r="G204" s="9" t="str">
        <x:v>didn't move</x:v>
      </x:c>
      <x:c r="H204" s="9" t="str">
        <x:v>Concept/compositional transfer</x:v>
      </x:c>
      <x:c r="I204" s="9" t="str">
        <x:v>CT-CF13</x:v>
      </x:c>
      <x:c r="J204" s="9" t="str">
        <x:v>Primary: one via held-out 2→1 removal</x:v>
      </x:c>
      <x:c r="K204" s="9"/>
      <x:c r="L204" s="9" t="str">
        <x:v>831</x:v>
      </x:c>
      <x:c r="M204" s="9" t="str">
        <x:v>Representative direct-instruction trajectory for blue pen; the evaluated count × transition composition is intentionally absent.</x:v>
      </x:c>
      <x:c r="N204" s="9" t="n">
        <x:v>4</x:v>
      </x:c>
      <x:c r="O204" s="9" t="str">
        <x:v>Build the listed count-2 scene.</x:v>
      </x:c>
      <x:c r="P204" s="9" t="str">
        <x:v>The goal word one is trained, and this 2→1 trajectory is trained under a direct instruction, but the combination is withheld.</x:v>
      </x:c>
      <x:c r="Q204" s="9"/>
      <x:c r="R204" s="10"/>
      <x:c r="S204" s="10"/>
      <x:c r="T204" s="9"/>
      <x:c r="U204" s="9"/>
      <x:c r="V204" s="9"/>
      <x:c r="W204" s="9" t="str">
        <x:v>CT-CF13-REMOVE</x:v>
      </x:c>
      <x:c r="X204" s="10" t="n">
        <x:v>2</x:v>
      </x:c>
      <x:c r="Y204" s="10" t="n">
        <x:v>1</x:v>
      </x:c>
      <x:c r="Z204" s="9" t="str">
        <x:v>REMOVE</x:v>
      </x:c>
      <x:c r="AA204" s="9"/>
      <x:c r="AB204" s="9"/>
      <x:c r="AC204" s="9"/>
      <x:c r="AD204" s="9"/>
      <x:c r="AE204" s="9"/>
      <x:c r="AF204" s="9"/>
      <x:c r="AG204" s="9"/>
      <x:c r="AH204" s="9"/>
      <x:c r="AI204" s="11"/>
      <x:c r="AJ204" s="9"/>
      <x:c r="AK204" s="9" t="str">
        <x:v>Eval_Counting.xlsm</x:v>
      </x:c>
      <x:c r="AL204" s="9" t="str">
        <x:v>pi0.5 Results</x:v>
      </x:c>
      <x:c r="AM204" s="9" t="n">
        <x:v>54</x:v>
      </x:c>
      <x:c r="AN204" s="9" t="n">
        <x:v>54</x:v>
      </x:c>
    </x:row>
    <x:row r="205">
      <x:c r="A205" s="9" t="str">
        <x:v>Failure</x:v>
      </x:c>
      <x:c r="B205" s="9" t="str">
        <x:v>Counting</x:v>
      </x:c>
      <x:c r="C205" s="10" t="n">
        <x:v>53</x:v>
      </x:c>
      <x:c r="D205" s="9" t="str">
        <x:v>Leave exactly three objects in the bowl.</x:v>
      </x:c>
      <x:c r="E205" s="9" t="str">
        <x:v>Bowl objects: [blue pen, yellow block] | Table objects: [green pencil sharpener, airplane toy without propellers]</x:v>
      </x:c>
      <x:c r="F205" s="9" t="str">
        <x:v>ADD any one table object; finish with 3 objects in the bowl</x:v>
      </x:c>
      <x:c r="G205" s="9" t="str">
        <x:v>didn't move</x:v>
      </x:c>
      <x:c r="H205" s="9" t="str">
        <x:v>Concept/compositional transfer</x:v>
      </x:c>
      <x:c r="I205" s="9" t="str">
        <x:v>CT-CF13</x:v>
      </x:c>
      <x:c r="J205" s="9" t="str">
        <x:v>Primary: three via held-out 2→3 addition</x:v>
      </x:c>
      <x:c r="K205" s="9" t="n">
        <x:v>52</x:v>
      </x:c>
      <x:c r="L205" s="9" t="str">
        <x:v>966</x:v>
      </x:c>
      <x:c r="M205" s="9" t="str">
        <x:v>Representative direct-instruction trajectory for airplane toy without propellers; the evaluated count × transition composition is intentionally absent.</x:v>
      </x:c>
      <x:c r="N205" s="9" t="n">
        <x:v>4</x:v>
      </x:c>
      <x:c r="O205" s="9" t="str">
        <x:v>Reset the exact count-2 scene; change only the prompt.</x:v>
      </x:c>
      <x:c r="P205" s="9" t="str">
        <x:v>The goal word three is trained, and this 2→3 trajectory is trained under a direct instruction, but the combination is withheld.</x:v>
      </x:c>
      <x:c r="Q205" s="9"/>
      <x:c r="R205" s="10"/>
      <x:c r="S205" s="10"/>
      <x:c r="T205" s="9"/>
      <x:c r="U205" s="9"/>
      <x:c r="V205" s="9"/>
      <x:c r="W205" s="9" t="str">
        <x:v>CT-CF13-ADD</x:v>
      </x:c>
      <x:c r="X205" s="10" t="n">
        <x:v>2</x:v>
      </x:c>
      <x:c r="Y205" s="10" t="n">
        <x:v>3</x:v>
      </x:c>
      <x:c r="Z205" s="9" t="str">
        <x:v>ADD</x:v>
      </x:c>
      <x:c r="AA205" s="9"/>
      <x:c r="AB205" s="9"/>
      <x:c r="AC205" s="9"/>
      <x:c r="AD205" s="9"/>
      <x:c r="AE205" s="9"/>
      <x:c r="AF205" s="9"/>
      <x:c r="AG205" s="9"/>
      <x:c r="AH205" s="9"/>
      <x:c r="AI205" s="11"/>
      <x:c r="AJ205" s="9"/>
      <x:c r="AK205" s="9" t="str">
        <x:v>Eval_Counting.xlsm</x:v>
      </x:c>
      <x:c r="AL205" s="9" t="str">
        <x:v>pi0.5 Results</x:v>
      </x:c>
      <x:c r="AM205" s="9" t="n">
        <x:v>55</x:v>
      </x:c>
      <x:c r="AN205" s="9" t="n">
        <x:v>55</x:v>
      </x:c>
    </x:row>
    <x:row r="206">
      <x:c r="A206" s="9" t="str">
        <x:v>Success</x:v>
      </x:c>
      <x:c r="B206" s="9" t="str">
        <x:v>Counting</x:v>
      </x:c>
      <x:c r="C206" s="10" t="n">
        <x:v>54</x:v>
      </x:c>
      <x:c r="D206" s="9" t="str">
        <x:v>Make the bowl contain exactly zero objects.</x:v>
      </x:c>
      <x:c r="E206" s="9" t="str">
        <x:v>Bowl objects: [green highlighter] | Table objects: [blue pen]</x:v>
      </x:c>
      <x:c r="F206" s="9" t="str">
        <x:v>REMOVE green highlighter; finish with 0 objects in the bowl</x:v>
      </x:c>
      <x:c r="G206" s="9"/>
      <x:c r="H206" s="9" t="str">
        <x:v>Cross-task object reasoning</x:v>
      </x:c>
      <x:c r="I206" s="9" t="str">
        <x:v>XT-GH01</x:v>
      </x:c>
      <x:c r="J206" s="9" t="str">
        <x:v>Reasoning-only cross-task target: 1→0 removal</x:v>
      </x:c>
      <x:c r="K206" s="9"/>
      <x:c r="L206" s="9" t="str">
        <x:v>825; 708</x:v>
      </x:c>
      <x:c r="M206" s="9" t="str">
        <x:v>First episode grounds the Counting prompt/transition; episode 708 grounds direct green-highlighter manipulation. No exact green-highlighter Counting cell exists.</x:v>
      </x:c>
      <x:c r="N206" s="9" t="n">
        <x:v>5</x:v>
      </x:c>
      <x:c r="O206" s="9" t="str">
        <x:v>Build counterfactual cross-task scene A.</x:v>
      </x:c>
      <x:c r="P206" s="9" t="str">
        <x:v>The prompt never names the highlighter. The highlighter is the required object; the familiar Counting transition determines the action.</x:v>
      </x:c>
      <x:c r="Q206" s="9"/>
      <x:c r="R206" s="10"/>
      <x:c r="S206" s="10"/>
      <x:c r="T206" s="9"/>
      <x:c r="U206" s="9"/>
      <x:c r="V206" s="9"/>
      <x:c r="W206" s="9" t="str">
        <x:v>XT-GH01-A</x:v>
      </x:c>
      <x:c r="X206" s="10" t="n">
        <x:v>1</x:v>
      </x:c>
      <x:c r="Y206" s="10" t="n">
        <x:v>0</x:v>
      </x:c>
      <x:c r="Z206" s="9" t="str">
        <x:v>REMOVE</x:v>
      </x:c>
      <x:c r="AA206" s="9"/>
      <x:c r="AB206" s="9"/>
      <x:c r="AC206" s="9"/>
      <x:c r="AD206" s="9"/>
      <x:c r="AE206" s="9"/>
      <x:c r="AF206" s="9"/>
      <x:c r="AG206" s="9"/>
      <x:c r="AH206" s="9"/>
      <x:c r="AI206" s="11"/>
      <x:c r="AJ206" s="9"/>
      <x:c r="AK206" s="9" t="str">
        <x:v>Eval_Counting.xlsm</x:v>
      </x:c>
      <x:c r="AL206" s="9" t="str">
        <x:v>pi0.5 Results</x:v>
      </x:c>
      <x:c r="AM206" s="9" t="n">
        <x:v>56</x:v>
      </x:c>
      <x:c r="AN206" s="9" t="n">
        <x:v>56</x:v>
      </x:c>
    </x:row>
    <x:row r="207">
      <x:c r="A207" s="9" t="str">
        <x:v>Failure</x:v>
      </x:c>
      <x:c r="B207" s="9" t="str">
        <x:v>Counting</x:v>
      </x:c>
      <x:c r="C207" s="10" t="n">
        <x:v>55</x:v>
      </x:c>
      <x:c r="D207" s="9" t="str">
        <x:v>Make the bowl contain exactly two objects.</x:v>
      </x:c>
      <x:c r="E207" s="9" t="str">
        <x:v>Bowl objects: [green highlighter] | Table objects: [blue pen]</x:v>
      </x:c>
      <x:c r="F207" s="9" t="str">
        <x:v>ADD blue pen; finish with 2 objects in the bowl</x:v>
      </x:c>
      <x:c r="G207" s="9" t="str">
        <x:v>didn't move</x:v>
      </x:c>
      <x:c r="H207" s="9" t="str">
        <x:v>Cross-task object reasoning</x:v>
      </x:c>
      <x:c r="I207" s="9" t="str">
        <x:v>XT-GH01</x:v>
      </x:c>
      <x:c r="J207" s="9" t="str">
        <x:v>Reasoning-only cross-task distractor: 1→2 addition</x:v>
      </x:c>
      <x:c r="K207" s="9" t="n">
        <x:v>54</x:v>
      </x:c>
      <x:c r="L207" s="9" t="str">
        <x:v>808; 708</x:v>
      </x:c>
      <x:c r="M207" s="9" t="str">
        <x:v>First episode grounds the Counting prompt/transition; episode 708 grounds direct green-highlighter manipulation. No exact green-highlighter Counting cell exists.</x:v>
      </x:c>
      <x:c r="N207" s="9" t="n">
        <x:v>5</x:v>
      </x:c>
      <x:c r="O207" s="9" t="str">
        <x:v>Reset the exact scene; change only the requested final count.</x:v>
      </x:c>
      <x:c r="P207" s="9" t="str">
        <x:v>The prompt never names the highlighter. The highlighter is a distractor; the familiar Counting transition determines the action.</x:v>
      </x:c>
      <x:c r="Q207" s="9"/>
      <x:c r="R207" s="10"/>
      <x:c r="S207" s="10"/>
      <x:c r="T207" s="9"/>
      <x:c r="U207" s="9"/>
      <x:c r="V207" s="9"/>
      <x:c r="W207" s="9" t="str">
        <x:v>XT-GH01-A</x:v>
      </x:c>
      <x:c r="X207" s="10" t="n">
        <x:v>1</x:v>
      </x:c>
      <x:c r="Y207" s="10" t="n">
        <x:v>2</x:v>
      </x:c>
      <x:c r="Z207" s="9" t="str">
        <x:v>ADD</x:v>
      </x:c>
      <x:c r="AA207" s="9"/>
      <x:c r="AB207" s="9"/>
      <x:c r="AC207" s="9"/>
      <x:c r="AD207" s="9"/>
      <x:c r="AE207" s="9"/>
      <x:c r="AF207" s="9"/>
      <x:c r="AG207" s="9"/>
      <x:c r="AH207" s="9"/>
      <x:c r="AI207" s="11"/>
      <x:c r="AJ207" s="9"/>
      <x:c r="AK207" s="9" t="str">
        <x:v>Eval_Counting.xlsm</x:v>
      </x:c>
      <x:c r="AL207" s="9" t="str">
        <x:v>pi0.5 Results</x:v>
      </x:c>
      <x:c r="AM207" s="9" t="n">
        <x:v>57</x:v>
      </x:c>
      <x:c r="AN207" s="9" t="n">
        <x:v>57</x:v>
      </x:c>
    </x:row>
    <x:row r="208">
      <x:c r="A208" s="9" t="str">
        <x:v>Failure</x:v>
      </x:c>
      <x:c r="B208" s="9" t="str">
        <x:v>Counting</x:v>
      </x:c>
      <x:c r="C208" s="10" t="n">
        <x:v>56</x:v>
      </x:c>
      <x:c r="D208" s="9" t="str">
        <x:v>Make the bowl contain exactly two objects.</x:v>
      </x:c>
      <x:c r="E208" s="9" t="str">
        <x:v>Bowl objects: [blue pen] | Table objects: [green highlighter]</x:v>
      </x:c>
      <x:c r="F208" s="9" t="str">
        <x:v>ADD green highlighter; finish with 2 objects in the bowl</x:v>
      </x:c>
      <x:c r="G208" s="9" t="str">
        <x:v>didn't move</x:v>
      </x:c>
      <x:c r="H208" s="9" t="str">
        <x:v>Cross-task object reasoning</x:v>
      </x:c>
      <x:c r="I208" s="9" t="str">
        <x:v>XT-GH01</x:v>
      </x:c>
      <x:c r="J208" s="9" t="str">
        <x:v>Reasoning-only cross-task target: 1→2 addition</x:v>
      </x:c>
      <x:c r="K208" s="9"/>
      <x:c r="L208" s="9" t="str">
        <x:v>808; 708</x:v>
      </x:c>
      <x:c r="M208" s="9" t="str">
        <x:v>First episode grounds the Counting prompt/transition; episode 708 grounds direct green-highlighter manipulation. No exact green-highlighter Counting cell exists.</x:v>
      </x:c>
      <x:c r="N208" s="9" t="n">
        <x:v>5</x:v>
      </x:c>
      <x:c r="O208" s="9" t="str">
        <x:v>Build counterfactual cross-task scene B.</x:v>
      </x:c>
      <x:c r="P208" s="9" t="str">
        <x:v>The prompt never names the highlighter. The highlighter is the required object; the familiar Counting transition determines the action.</x:v>
      </x:c>
      <x:c r="Q208" s="9"/>
      <x:c r="R208" s="10"/>
      <x:c r="S208" s="10"/>
      <x:c r="T208" s="9"/>
      <x:c r="U208" s="9"/>
      <x:c r="V208" s="9"/>
      <x:c r="W208" s="9" t="str">
        <x:v>XT-GH01-B</x:v>
      </x:c>
      <x:c r="X208" s="10" t="n">
        <x:v>1</x:v>
      </x:c>
      <x:c r="Y208" s="10" t="n">
        <x:v>2</x:v>
      </x:c>
      <x:c r="Z208" s="9" t="str">
        <x:v>ADD</x:v>
      </x:c>
      <x:c r="AA208" s="9"/>
      <x:c r="AB208" s="9"/>
      <x:c r="AC208" s="9"/>
      <x:c r="AD208" s="9"/>
      <x:c r="AE208" s="9"/>
      <x:c r="AF208" s="9"/>
      <x:c r="AG208" s="9"/>
      <x:c r="AH208" s="9"/>
      <x:c r="AI208" s="11"/>
      <x:c r="AJ208" s="9"/>
      <x:c r="AK208" s="9" t="str">
        <x:v>Eval_Counting.xlsm</x:v>
      </x:c>
      <x:c r="AL208" s="9" t="str">
        <x:v>pi0.5 Results</x:v>
      </x:c>
      <x:c r="AM208" s="9" t="n">
        <x:v>58</x:v>
      </x:c>
      <x:c r="AN208" s="9" t="n">
        <x:v>58</x:v>
      </x:c>
    </x:row>
    <x:row r="209">
      <x:c r="A209" s="9" t="str">
        <x:v>Success</x:v>
      </x:c>
      <x:c r="B209" s="9" t="str">
        <x:v>Counting</x:v>
      </x:c>
      <x:c r="C209" s="10" t="n">
        <x:v>57</x:v>
      </x:c>
      <x:c r="D209" s="9" t="str">
        <x:v>Make the bowl contain exactly zero objects.</x:v>
      </x:c>
      <x:c r="E209" s="9" t="str">
        <x:v>Bowl objects: [blue pen] | Table objects: [green highlighter]</x:v>
      </x:c>
      <x:c r="F209" s="9" t="str">
        <x:v>REMOVE blue pen; finish with 0 objects in the bowl</x:v>
      </x:c>
      <x:c r="G209" s="9"/>
      <x:c r="H209" s="9" t="str">
        <x:v>Cross-task object reasoning</x:v>
      </x:c>
      <x:c r="I209" s="9" t="str">
        <x:v>XT-GH01</x:v>
      </x:c>
      <x:c r="J209" s="9" t="str">
        <x:v>Reasoning-only cross-task distractor: 1→0 removal</x:v>
      </x:c>
      <x:c r="K209" s="9" t="n">
        <x:v>56</x:v>
      </x:c>
      <x:c r="L209" s="9" t="str">
        <x:v>825; 708</x:v>
      </x:c>
      <x:c r="M209" s="9" t="str">
        <x:v>First episode grounds the Counting prompt/transition; episode 708 grounds direct green-highlighter manipulation. No exact green-highlighter Counting cell exists.</x:v>
      </x:c>
      <x:c r="N209" s="9" t="n">
        <x:v>5</x:v>
      </x:c>
      <x:c r="O209" s="9" t="str">
        <x:v>Reset the exact scene; change only the requested final count.</x:v>
      </x:c>
      <x:c r="P209" s="9" t="str">
        <x:v>The prompt never names the highlighter. The highlighter is a distractor; the familiar Counting transition determines the action.</x:v>
      </x:c>
      <x:c r="Q209" s="9"/>
      <x:c r="R209" s="10"/>
      <x:c r="S209" s="10"/>
      <x:c r="T209" s="9"/>
      <x:c r="U209" s="9"/>
      <x:c r="V209" s="9"/>
      <x:c r="W209" s="9" t="str">
        <x:v>XT-GH01-B</x:v>
      </x:c>
      <x:c r="X209" s="10" t="n">
        <x:v>1</x:v>
      </x:c>
      <x:c r="Y209" s="10" t="n">
        <x:v>0</x:v>
      </x:c>
      <x:c r="Z209" s="9" t="str">
        <x:v>REMOVE</x:v>
      </x:c>
      <x:c r="AA209" s="9"/>
      <x:c r="AB209" s="9"/>
      <x:c r="AC209" s="9"/>
      <x:c r="AD209" s="9"/>
      <x:c r="AE209" s="9"/>
      <x:c r="AF209" s="9"/>
      <x:c r="AG209" s="9"/>
      <x:c r="AH209" s="9"/>
      <x:c r="AI209" s="11"/>
      <x:c r="AJ209" s="9"/>
      <x:c r="AK209" s="9" t="str">
        <x:v>Eval_Counting.xlsm</x:v>
      </x:c>
      <x:c r="AL209" s="9" t="str">
        <x:v>pi0.5 Results</x:v>
      </x:c>
      <x:c r="AM209" s="9" t="n">
        <x:v>59</x:v>
      </x:c>
      <x:c r="AN209" s="9" t="n">
        <x:v>59</x:v>
      </x:c>
    </x:row>
    <x:row r="210">
      <x:c r="A210" s="9" t="str">
        <x:v>Success</x:v>
      </x:c>
      <x:c r="B210" s="9" t="str">
        <x:v>Counting</x:v>
      </x:c>
      <x:c r="C210" s="10" t="n">
        <x:v>58</x:v>
      </x:c>
      <x:c r="D210" s="9" t="str">
        <x:v>Make the bowl contain exactly zero objects.</x:v>
      </x:c>
      <x:c r="E210" s="9" t="str">
        <x:v>Bowl objects: [green highlighter] | Table objects: [blue pen]</x:v>
      </x:c>
      <x:c r="F210" s="9" t="str">
        <x:v>REMOVE green highlighter; finish with 0 objects in the bowl</x:v>
      </x:c>
      <x:c r="G210" s="9"/>
      <x:c r="H210" s="9" t="str">
        <x:v>Cross-task object reasoning</x:v>
      </x:c>
      <x:c r="I210" s="9" t="str">
        <x:v>XT-GH05</x:v>
      </x:c>
      <x:c r="J210" s="9" t="str">
        <x:v>Reasoning-only cross-task target: 1→0 removal</x:v>
      </x:c>
      <x:c r="K210" s="9"/>
      <x:c r="L210" s="9" t="str">
        <x:v>825; 708</x:v>
      </x:c>
      <x:c r="M210" s="9" t="str">
        <x:v>First episode grounds the Counting prompt/transition; episode 708 grounds direct green-highlighter manipulation. No exact green-highlighter Counting cell exists.</x:v>
      </x:c>
      <x:c r="N210" s="9" t="n">
        <x:v>5</x:v>
      </x:c>
      <x:c r="O210" s="9" t="str">
        <x:v>Build counterfactual cross-task scene A.</x:v>
      </x:c>
      <x:c r="P210" s="9" t="str">
        <x:v>The prompt never names the highlighter. The highlighter is the required object; the familiar Counting transition determines the action.</x:v>
      </x:c>
      <x:c r="Q210" s="9"/>
      <x:c r="R210" s="10"/>
      <x:c r="S210" s="10"/>
      <x:c r="T210" s="9"/>
      <x:c r="U210" s="9"/>
      <x:c r="V210" s="9"/>
      <x:c r="W210" s="9" t="str">
        <x:v>XT-GH05-A</x:v>
      </x:c>
      <x:c r="X210" s="10" t="n">
        <x:v>1</x:v>
      </x:c>
      <x:c r="Y210" s="10" t="n">
        <x:v>0</x:v>
      </x:c>
      <x:c r="Z210" s="9" t="str">
        <x:v>REMOVE</x:v>
      </x:c>
      <x:c r="AA210" s="9"/>
      <x:c r="AB210" s="9"/>
      <x:c r="AC210" s="9"/>
      <x:c r="AD210" s="9"/>
      <x:c r="AE210" s="9"/>
      <x:c r="AF210" s="9"/>
      <x:c r="AG210" s="9"/>
      <x:c r="AH210" s="9"/>
      <x:c r="AI210" s="11"/>
      <x:c r="AJ210" s="9"/>
      <x:c r="AK210" s="9" t="str">
        <x:v>Eval_Counting.xlsm</x:v>
      </x:c>
      <x:c r="AL210" s="9" t="str">
        <x:v>pi0.5 Results</x:v>
      </x:c>
      <x:c r="AM210" s="9" t="n">
        <x:v>60</x:v>
      </x:c>
      <x:c r="AN210" s="9" t="n">
        <x:v>60</x:v>
      </x:c>
    </x:row>
    <x:row r="211">
      <x:c r="A211" s="9" t="str">
        <x:v>Failure</x:v>
      </x:c>
      <x:c r="B211" s="9" t="str">
        <x:v>Counting</x:v>
      </x:c>
      <x:c r="C211" s="10" t="n">
        <x:v>59</x:v>
      </x:c>
      <x:c r="D211" s="9" t="str">
        <x:v>Make the bowl contain exactly two objects.</x:v>
      </x:c>
      <x:c r="E211" s="9" t="str">
        <x:v>Bowl objects: [green highlighter] | Table objects: [blue pen]</x:v>
      </x:c>
      <x:c r="F211" s="9" t="str">
        <x:v>ADD blue pen; finish with 2 objects in the bowl</x:v>
      </x:c>
      <x:c r="G211" s="9" t="str">
        <x:v>didn't move</x:v>
      </x:c>
      <x:c r="H211" s="9" t="str">
        <x:v>Cross-task object reasoning</x:v>
      </x:c>
      <x:c r="I211" s="9" t="str">
        <x:v>XT-GH05</x:v>
      </x:c>
      <x:c r="J211" s="9" t="str">
        <x:v>Reasoning-only cross-task distractor: 1→2 addition</x:v>
      </x:c>
      <x:c r="K211" s="9" t="n">
        <x:v>58</x:v>
      </x:c>
      <x:c r="L211" s="9" t="str">
        <x:v>808; 708</x:v>
      </x:c>
      <x:c r="M211" s="9" t="str">
        <x:v>First episode grounds the Counting prompt/transition; episode 708 grounds direct green-highlighter manipulation. No exact green-highlighter Counting cell exists.</x:v>
      </x:c>
      <x:c r="N211" s="9" t="n">
        <x:v>5</x:v>
      </x:c>
      <x:c r="O211" s="9" t="str">
        <x:v>Reset the exact scene; change only the requested final count.</x:v>
      </x:c>
      <x:c r="P211" s="9" t="str">
        <x:v>The prompt never names the highlighter. The highlighter is a distractor; the familiar Counting transition determines the action.</x:v>
      </x:c>
      <x:c r="Q211" s="9"/>
      <x:c r="R211" s="10"/>
      <x:c r="S211" s="10"/>
      <x:c r="T211" s="9"/>
      <x:c r="U211" s="9"/>
      <x:c r="V211" s="9"/>
      <x:c r="W211" s="9" t="str">
        <x:v>XT-GH05-A</x:v>
      </x:c>
      <x:c r="X211" s="10" t="n">
        <x:v>1</x:v>
      </x:c>
      <x:c r="Y211" s="10" t="n">
        <x:v>2</x:v>
      </x:c>
      <x:c r="Z211" s="9" t="str">
        <x:v>ADD</x:v>
      </x:c>
      <x:c r="AA211" s="9"/>
      <x:c r="AB211" s="9"/>
      <x:c r="AC211" s="9"/>
      <x:c r="AD211" s="9"/>
      <x:c r="AE211" s="9"/>
      <x:c r="AF211" s="9"/>
      <x:c r="AG211" s="9"/>
      <x:c r="AH211" s="9"/>
      <x:c r="AI211" s="11"/>
      <x:c r="AJ211" s="9"/>
      <x:c r="AK211" s="9" t="str">
        <x:v>Eval_Counting.xlsm</x:v>
      </x:c>
      <x:c r="AL211" s="9" t="str">
        <x:v>pi0.5 Results</x:v>
      </x:c>
      <x:c r="AM211" s="9" t="n">
        <x:v>61</x:v>
      </x:c>
      <x:c r="AN211" s="9" t="n">
        <x:v>61</x:v>
      </x:c>
    </x:row>
    <x:row r="212">
      <x:c r="A212" s="9" t="str">
        <x:v>Failure</x:v>
      </x:c>
      <x:c r="B212" s="9" t="str">
        <x:v>Counting</x:v>
      </x:c>
      <x:c r="C212" s="10" t="n">
        <x:v>60</x:v>
      </x:c>
      <x:c r="D212" s="9" t="str">
        <x:v>Make the bowl contain exactly two objects.</x:v>
      </x:c>
      <x:c r="E212" s="9" t="str">
        <x:v>Bowl objects: [blue pen] | Table objects: [green highlighter]</x:v>
      </x:c>
      <x:c r="F212" s="9" t="str">
        <x:v>ADD green highlighter; finish with 2 objects in the bowl</x:v>
      </x:c>
      <x:c r="G212" s="9" t="str">
        <x:v>didn't move</x:v>
      </x:c>
      <x:c r="H212" s="9" t="str">
        <x:v>Cross-task object reasoning</x:v>
      </x:c>
      <x:c r="I212" s="9" t="str">
        <x:v>XT-GH05</x:v>
      </x:c>
      <x:c r="J212" s="9" t="str">
        <x:v>Reasoning-only cross-task target: 1→2 addition</x:v>
      </x:c>
      <x:c r="K212" s="9"/>
      <x:c r="L212" s="9" t="str">
        <x:v>808; 708</x:v>
      </x:c>
      <x:c r="M212" s="9" t="str">
        <x:v>First episode grounds the Counting prompt/transition; episode 708 grounds direct green-highlighter manipulation. No exact green-highlighter Counting cell exists.</x:v>
      </x:c>
      <x:c r="N212" s="9" t="n">
        <x:v>5</x:v>
      </x:c>
      <x:c r="O212" s="9" t="str">
        <x:v>Build counterfactual cross-task scene B.</x:v>
      </x:c>
      <x:c r="P212" s="9" t="str">
        <x:v>The prompt never names the highlighter. The highlighter is the required object; the familiar Counting transition determines the action.</x:v>
      </x:c>
      <x:c r="Q212" s="9"/>
      <x:c r="R212" s="10"/>
      <x:c r="S212" s="10"/>
      <x:c r="T212" s="9"/>
      <x:c r="U212" s="9"/>
      <x:c r="V212" s="9"/>
      <x:c r="W212" s="9" t="str">
        <x:v>XT-GH05-B</x:v>
      </x:c>
      <x:c r="X212" s="10" t="n">
        <x:v>1</x:v>
      </x:c>
      <x:c r="Y212" s="10" t="n">
        <x:v>2</x:v>
      </x:c>
      <x:c r="Z212" s="9" t="str">
        <x:v>ADD</x:v>
      </x:c>
      <x:c r="AA212" s="9"/>
      <x:c r="AB212" s="9"/>
      <x:c r="AC212" s="9"/>
      <x:c r="AD212" s="9"/>
      <x:c r="AE212" s="9"/>
      <x:c r="AF212" s="9"/>
      <x:c r="AG212" s="9"/>
      <x:c r="AH212" s="9"/>
      <x:c r="AI212" s="11"/>
      <x:c r="AJ212" s="9"/>
      <x:c r="AK212" s="9" t="str">
        <x:v>Eval_Counting.xlsm</x:v>
      </x:c>
      <x:c r="AL212" s="9" t="str">
        <x:v>pi0.5 Results</x:v>
      </x:c>
      <x:c r="AM212" s="9" t="n">
        <x:v>62</x:v>
      </x:c>
      <x:c r="AN212" s="9" t="n">
        <x:v>62</x:v>
      </x:c>
    </x:row>
    <x:row r="213">
      <x:c r="A213" s="9" t="str">
        <x:v>Success</x:v>
      </x:c>
      <x:c r="B213" s="9" t="str">
        <x:v>Counting</x:v>
      </x:c>
      <x:c r="C213" s="10" t="n">
        <x:v>61</x:v>
      </x:c>
      <x:c r="D213" s="9" t="str">
        <x:v>Make the bowl contain exactly zero objects.</x:v>
      </x:c>
      <x:c r="E213" s="9" t="str">
        <x:v>Bowl objects: [blue pen] | Table objects: [green highlighter]</x:v>
      </x:c>
      <x:c r="F213" s="9" t="str">
        <x:v>REMOVE blue pen; finish with 0 objects in the bowl</x:v>
      </x:c>
      <x:c r="G213" s="9"/>
      <x:c r="H213" s="9" t="str">
        <x:v>Cross-task object reasoning</x:v>
      </x:c>
      <x:c r="I213" s="9" t="str">
        <x:v>XT-GH05</x:v>
      </x:c>
      <x:c r="J213" s="9" t="str">
        <x:v>Reasoning-only cross-task distractor: 1→0 removal</x:v>
      </x:c>
      <x:c r="K213" s="9" t="n">
        <x:v>60</x:v>
      </x:c>
      <x:c r="L213" s="9" t="str">
        <x:v>825; 708</x:v>
      </x:c>
      <x:c r="M213" s="9" t="str">
        <x:v>First episode grounds the Counting prompt/transition; episode 708 grounds direct green-highlighter manipulation. No exact green-highlighter Counting cell exists.</x:v>
      </x:c>
      <x:c r="N213" s="9" t="n">
        <x:v>5</x:v>
      </x:c>
      <x:c r="O213" s="9" t="str">
        <x:v>Reset the exact scene; change only the requested final count.</x:v>
      </x:c>
      <x:c r="P213" s="9" t="str">
        <x:v>The prompt never names the highlighter. The highlighter is a distractor; the familiar Counting transition determines the action.</x:v>
      </x:c>
      <x:c r="Q213" s="9"/>
      <x:c r="R213" s="10"/>
      <x:c r="S213" s="10"/>
      <x:c r="T213" s="9"/>
      <x:c r="U213" s="9"/>
      <x:c r="V213" s="9"/>
      <x:c r="W213" s="9" t="str">
        <x:v>XT-GH05-B</x:v>
      </x:c>
      <x:c r="X213" s="10" t="n">
        <x:v>1</x:v>
      </x:c>
      <x:c r="Y213" s="10" t="n">
        <x:v>0</x:v>
      </x:c>
      <x:c r="Z213" s="9" t="str">
        <x:v>REMOVE</x:v>
      </x:c>
      <x:c r="AA213" s="9"/>
      <x:c r="AB213" s="9"/>
      <x:c r="AC213" s="9"/>
      <x:c r="AD213" s="9"/>
      <x:c r="AE213" s="9"/>
      <x:c r="AF213" s="9"/>
      <x:c r="AG213" s="9"/>
      <x:c r="AH213" s="9"/>
      <x:c r="AI213" s="11"/>
      <x:c r="AJ213" s="9"/>
      <x:c r="AK213" s="9" t="str">
        <x:v>Eval_Counting.xlsm</x:v>
      </x:c>
      <x:c r="AL213" s="9" t="str">
        <x:v>pi0.5 Results</x:v>
      </x:c>
      <x:c r="AM213" s="9" t="n">
        <x:v>63</x:v>
      </x:c>
      <x:c r="AN213" s="9" t="n">
        <x:v>63</x:v>
      </x:c>
    </x:row>
    <x:row r="214">
      <x:c r="A214" s="9" t="str">
        <x:v>Failure</x:v>
      </x:c>
      <x:c r="B214" s="9" t="str">
        <x:v>Counting</x:v>
      </x:c>
      <x:c r="C214" s="10" t="n">
        <x:v>62</x:v>
      </x:c>
      <x:c r="D214" s="9" t="str">
        <x:v>Leave exactly one object in the bowl.</x:v>
      </x:c>
      <x:c r="E214" s="9" t="str">
        <x:v>Bowl objects: [blue pen, yellow block] | Table objects: [green pencil sharpener, airplane toy without propellers]</x:v>
      </x:c>
      <x:c r="F214" s="9" t="str">
        <x:v>REMOVE any one bowl object; finish with 1 object in the bowl</x:v>
      </x:c>
      <x:c r="G214" s="9" t="str">
        <x:v>didn't move</x:v>
      </x:c>
      <x:c r="H214" s="9" t="str">
        <x:v>Concept/compositional transfer</x:v>
      </x:c>
      <x:c r="I214" s="9" t="str">
        <x:v>CT-CF25</x:v>
      </x:c>
      <x:c r="J214" s="9" t="str">
        <x:v>Primary: one via held-out 2→1 removal</x:v>
      </x:c>
      <x:c r="K214" s="9"/>
      <x:c r="L214" s="9" t="str">
        <x:v>831</x:v>
      </x:c>
      <x:c r="M214" s="9" t="str">
        <x:v>Representative direct-instruction trajectory for blue pen; the evaluated count × transition composition is intentionally absent.</x:v>
      </x:c>
      <x:c r="N214" s="9" t="n">
        <x:v>4</x:v>
      </x:c>
      <x:c r="O214" s="9" t="str">
        <x:v>Build the listed count-2 scene.</x:v>
      </x:c>
      <x:c r="P214" s="9" t="str">
        <x:v>The goal word one is trained, and this 2→1 trajectory is trained under a direct instruction, but the combination is withheld.</x:v>
      </x:c>
      <x:c r="Q214" s="9"/>
      <x:c r="R214" s="10"/>
      <x:c r="S214" s="10"/>
      <x:c r="T214" s="9"/>
      <x:c r="U214" s="9"/>
      <x:c r="V214" s="9"/>
      <x:c r="W214" s="9" t="str">
        <x:v>CT-CF25-REMOVE</x:v>
      </x:c>
      <x:c r="X214" s="10" t="n">
        <x:v>2</x:v>
      </x:c>
      <x:c r="Y214" s="10" t="n">
        <x:v>1</x:v>
      </x:c>
      <x:c r="Z214" s="9" t="str">
        <x:v>REMOVE</x:v>
      </x:c>
      <x:c r="AA214" s="9"/>
      <x:c r="AB214" s="9"/>
      <x:c r="AC214" s="9"/>
      <x:c r="AD214" s="9"/>
      <x:c r="AE214" s="9"/>
      <x:c r="AF214" s="9"/>
      <x:c r="AG214" s="9"/>
      <x:c r="AH214" s="9"/>
      <x:c r="AI214" s="11"/>
      <x:c r="AJ214" s="9"/>
      <x:c r="AK214" s="9" t="str">
        <x:v>Eval_Counting.xlsm</x:v>
      </x:c>
      <x:c r="AL214" s="9" t="str">
        <x:v>pi0.5 Results</x:v>
      </x:c>
      <x:c r="AM214" s="9" t="n">
        <x:v>64</x:v>
      </x:c>
      <x:c r="AN214" s="9" t="n">
        <x:v>64</x:v>
      </x:c>
    </x:row>
    <x:row r="215">
      <x:c r="A215" s="9" t="str">
        <x:v>Failure</x:v>
      </x:c>
      <x:c r="B215" s="9" t="str">
        <x:v>Counting</x:v>
      </x:c>
      <x:c r="C215" s="10" t="n">
        <x:v>63</x:v>
      </x:c>
      <x:c r="D215" s="9" t="str">
        <x:v>Leave exactly three objects in the bowl.</x:v>
      </x:c>
      <x:c r="E215" s="9" t="str">
        <x:v>Bowl objects: [blue pen, yellow block] | Table objects: [green pencil sharpener, airplane toy without propellers]</x:v>
      </x:c>
      <x:c r="F215" s="9" t="str">
        <x:v>ADD any one table object; finish with 3 objects in the bowl</x:v>
      </x:c>
      <x:c r="G215" s="9" t="str">
        <x:v>didn't move</x:v>
      </x:c>
      <x:c r="H215" s="9" t="str">
        <x:v>Concept/compositional transfer</x:v>
      </x:c>
      <x:c r="I215" s="9" t="str">
        <x:v>CT-CF25</x:v>
      </x:c>
      <x:c r="J215" s="9" t="str">
        <x:v>Primary: three via held-out 2→3 addition</x:v>
      </x:c>
      <x:c r="K215" s="9" t="n">
        <x:v>62</x:v>
      </x:c>
      <x:c r="L215" s="9" t="str">
        <x:v>966</x:v>
      </x:c>
      <x:c r="M215" s="9" t="str">
        <x:v>Representative direct-instruction trajectory for airplane toy without propellers; the evaluated count × transition composition is intentionally absent.</x:v>
      </x:c>
      <x:c r="N215" s="9" t="n">
        <x:v>4</x:v>
      </x:c>
      <x:c r="O215" s="9" t="str">
        <x:v>Reset the exact count-2 scene; change only the prompt.</x:v>
      </x:c>
      <x:c r="P215" s="9" t="str">
        <x:v>The goal word three is trained, and this 2→3 trajectory is trained under a direct instruction, but the combination is withheld.</x:v>
      </x:c>
      <x:c r="Q215" s="9"/>
      <x:c r="R215" s="10"/>
      <x:c r="S215" s="10"/>
      <x:c r="T215" s="9"/>
      <x:c r="U215" s="9"/>
      <x:c r="V215" s="9"/>
      <x:c r="W215" s="9" t="str">
        <x:v>CT-CF25-ADD</x:v>
      </x:c>
      <x:c r="X215" s="10" t="n">
        <x:v>2</x:v>
      </x:c>
      <x:c r="Y215" s="10" t="n">
        <x:v>3</x:v>
      </x:c>
      <x:c r="Z215" s="9" t="str">
        <x:v>ADD</x:v>
      </x:c>
      <x:c r="AA215" s="9"/>
      <x:c r="AB215" s="9"/>
      <x:c r="AC215" s="9"/>
      <x:c r="AD215" s="9"/>
      <x:c r="AE215" s="9"/>
      <x:c r="AF215" s="9"/>
      <x:c r="AG215" s="9"/>
      <x:c r="AH215" s="9"/>
      <x:c r="AI215" s="11"/>
      <x:c r="AJ215" s="9"/>
      <x:c r="AK215" s="9" t="str">
        <x:v>Eval_Counting.xlsm</x:v>
      </x:c>
      <x:c r="AL215" s="9" t="str">
        <x:v>pi0.5 Results</x:v>
      </x:c>
      <x:c r="AM215" s="9" t="n">
        <x:v>65</x:v>
      </x:c>
      <x:c r="AN215" s="9" t="n">
        <x:v>65</x:v>
      </x:c>
    </x:row>
    <x:row r="216">
      <x:c r="A216" s="9" t="str">
        <x:v>Failure</x:v>
      </x:c>
      <x:c r="B216" s="9" t="str">
        <x:v>Counting</x:v>
      </x:c>
      <x:c r="C216" s="10" t="n">
        <x:v>64</x:v>
      </x:c>
      <x:c r="D216" s="9" t="str">
        <x:v>Leave exactly three objects in the bowl.</x:v>
      </x:c>
      <x:c r="E216" s="9" t="str">
        <x:v>Bowl objects: [blue pen, green pencil sharpener] | Table objects: [yellow block, airplane toy without propellers]</x:v>
      </x:c>
      <x:c r="F216" s="9" t="str">
        <x:v>ADD any one table object; finish with 3 objects in the bowl</x:v>
      </x:c>
      <x:c r="G216" s="9" t="str">
        <x:v>didn't move</x:v>
      </x:c>
      <x:c r="H216" s="9" t="str">
        <x:v>Concept/compositional transfer</x:v>
      </x:c>
      <x:c r="I216" s="9" t="str">
        <x:v>CT-CF14</x:v>
      </x:c>
      <x:c r="J216" s="9" t="str">
        <x:v>Primary: three via held-out 2→3 addition</x:v>
      </x:c>
      <x:c r="K216" s="9"/>
      <x:c r="L216" s="9" t="str">
        <x:v>866</x:v>
      </x:c>
      <x:c r="M216" s="9" t="str">
        <x:v>Representative direct-instruction trajectory for yellow block; the evaluated count × transition composition is intentionally absent.</x:v>
      </x:c>
      <x:c r="N216" s="9" t="n">
        <x:v>4</x:v>
      </x:c>
      <x:c r="O216" s="9" t="str">
        <x:v>Reset the exact count-2 scene; change only the prompt.</x:v>
      </x:c>
      <x:c r="P216" s="9" t="str">
        <x:v>The goal word three is trained, and this 2→3 trajectory is trained under a direct instruction, but the combination is withheld.</x:v>
      </x:c>
      <x:c r="Q216" s="9"/>
      <x:c r="R216" s="10"/>
      <x:c r="S216" s="10"/>
      <x:c r="T216" s="9"/>
      <x:c r="U216" s="9"/>
      <x:c r="V216" s="9"/>
      <x:c r="W216" s="9" t="str">
        <x:v>CT-CF14-ADD</x:v>
      </x:c>
      <x:c r="X216" s="10" t="n">
        <x:v>2</x:v>
      </x:c>
      <x:c r="Y216" s="10" t="n">
        <x:v>3</x:v>
      </x:c>
      <x:c r="Z216" s="9" t="str">
        <x:v>ADD</x:v>
      </x:c>
      <x:c r="AA216" s="9"/>
      <x:c r="AB216" s="9"/>
      <x:c r="AC216" s="9"/>
      <x:c r="AD216" s="9"/>
      <x:c r="AE216" s="9"/>
      <x:c r="AF216" s="9"/>
      <x:c r="AG216" s="9"/>
      <x:c r="AH216" s="9"/>
      <x:c r="AI216" s="11"/>
      <x:c r="AJ216" s="9"/>
      <x:c r="AK216" s="9" t="str">
        <x:v>Eval_Counting.xlsm</x:v>
      </x:c>
      <x:c r="AL216" s="9" t="str">
        <x:v>pi0.5 Results</x:v>
      </x:c>
      <x:c r="AM216" s="9" t="n">
        <x:v>66</x:v>
      </x:c>
      <x:c r="AN216" s="9" t="n">
        <x:v>66</x:v>
      </x:c>
    </x:row>
    <x:row r="217">
      <x:c r="A217" s="9" t="str">
        <x:v>Failure</x:v>
      </x:c>
      <x:c r="B217" s="9" t="str">
        <x:v>Counting</x:v>
      </x:c>
      <x:c r="C217" s="10" t="n">
        <x:v>65</x:v>
      </x:c>
      <x:c r="D217" s="9" t="str">
        <x:v>Leave exactly one object in the bowl.</x:v>
      </x:c>
      <x:c r="E217" s="9" t="str">
        <x:v>Bowl objects: [blue pen, green pencil sharpener] | Table objects: [yellow block, airplane toy without propellers]</x:v>
      </x:c>
      <x:c r="F217" s="9" t="str">
        <x:v>REMOVE any one bowl object; finish with 1 object in the bowl</x:v>
      </x:c>
      <x:c r="G217" s="9" t="str">
        <x:v>didn't move</x:v>
      </x:c>
      <x:c r="H217" s="9" t="str">
        <x:v>Concept/compositional transfer</x:v>
      </x:c>
      <x:c r="I217" s="9" t="str">
        <x:v>CT-CF14</x:v>
      </x:c>
      <x:c r="J217" s="9" t="str">
        <x:v>Primary: one via held-out 2→1 removal</x:v>
      </x:c>
      <x:c r="K217" s="9" t="n">
        <x:v>64</x:v>
      </x:c>
      <x:c r="L217" s="9" t="str">
        <x:v>931</x:v>
      </x:c>
      <x:c r="M217" s="9" t="str">
        <x:v>Representative direct-instruction trajectory for green pencil sharpener; the evaluated count × transition composition is intentionally absent.</x:v>
      </x:c>
      <x:c r="N217" s="9" t="n">
        <x:v>4</x:v>
      </x:c>
      <x:c r="O217" s="9" t="str">
        <x:v>Build the listed count-2 scene.</x:v>
      </x:c>
      <x:c r="P217" s="9" t="str">
        <x:v>The goal word one is trained, and this 2→1 trajectory is trained under a direct instruction, but the combination is withheld.</x:v>
      </x:c>
      <x:c r="Q217" s="9"/>
      <x:c r="R217" s="10"/>
      <x:c r="S217" s="10"/>
      <x:c r="T217" s="9"/>
      <x:c r="U217" s="9"/>
      <x:c r="V217" s="9"/>
      <x:c r="W217" s="9" t="str">
        <x:v>CT-CF14-REMOVE</x:v>
      </x:c>
      <x:c r="X217" s="10" t="n">
        <x:v>2</x:v>
      </x:c>
      <x:c r="Y217" s="10" t="n">
        <x:v>1</x:v>
      </x:c>
      <x:c r="Z217" s="9" t="str">
        <x:v>REMOVE</x:v>
      </x:c>
      <x:c r="AA217" s="9"/>
      <x:c r="AB217" s="9"/>
      <x:c r="AC217" s="9"/>
      <x:c r="AD217" s="9"/>
      <x:c r="AE217" s="9"/>
      <x:c r="AF217" s="9"/>
      <x:c r="AG217" s="9"/>
      <x:c r="AH217" s="9"/>
      <x:c r="AI217" s="11"/>
      <x:c r="AJ217" s="9"/>
      <x:c r="AK217" s="9" t="str">
        <x:v>Eval_Counting.xlsm</x:v>
      </x:c>
      <x:c r="AL217" s="9" t="str">
        <x:v>pi0.5 Results</x:v>
      </x:c>
      <x:c r="AM217" s="9" t="n">
        <x:v>67</x:v>
      </x:c>
      <x:c r="AN217" s="9" t="n">
        <x:v>67</x:v>
      </x:c>
    </x:row>
    <x:row r="218">
      <x:c r="A218" s="9" t="str">
        <x:v>Failure</x:v>
      </x:c>
      <x:c r="B218" s="9" t="str">
        <x:v>Counting</x:v>
      </x:c>
      <x:c r="C218" s="10" t="n">
        <x:v>66</x:v>
      </x:c>
      <x:c r="D218" s="9" t="str">
        <x:v>Leave exactly three objects in the bowl.</x:v>
      </x:c>
      <x:c r="E218" s="9" t="str">
        <x:v>Bowl objects: [blue pen, green pencil sharpener] | Table objects: [yellow block, airplane toy without propellers]</x:v>
      </x:c>
      <x:c r="F218" s="9" t="str">
        <x:v>ADD any one table object; finish with 3 objects in the bowl</x:v>
      </x:c>
      <x:c r="G218" s="9" t="str">
        <x:v>didn't move</x:v>
      </x:c>
      <x:c r="H218" s="9" t="str">
        <x:v>Concept/compositional transfer</x:v>
      </x:c>
      <x:c r="I218" s="9" t="str">
        <x:v>CT-CF20</x:v>
      </x:c>
      <x:c r="J218" s="9" t="str">
        <x:v>Primary: three via held-out 2→3 addition</x:v>
      </x:c>
      <x:c r="K218" s="9"/>
      <x:c r="L218" s="9" t="str">
        <x:v>866</x:v>
      </x:c>
      <x:c r="M218" s="9" t="str">
        <x:v>Representative direct-instruction trajectory for yellow block; the evaluated count × transition composition is intentionally absent.</x:v>
      </x:c>
      <x:c r="N218" s="9" t="n">
        <x:v>4</x:v>
      </x:c>
      <x:c r="O218" s="9" t="str">
        <x:v>Reset the exact count-2 scene; change only the prompt.</x:v>
      </x:c>
      <x:c r="P218" s="9" t="str">
        <x:v>The goal word three is trained, and this 2→3 trajectory is trained under a direct instruction, but the combination is withheld.</x:v>
      </x:c>
      <x:c r="Q218" s="9"/>
      <x:c r="R218" s="10"/>
      <x:c r="S218" s="10"/>
      <x:c r="T218" s="9"/>
      <x:c r="U218" s="9"/>
      <x:c r="V218" s="9"/>
      <x:c r="W218" s="9" t="str">
        <x:v>CT-CF20-ADD</x:v>
      </x:c>
      <x:c r="X218" s="10" t="n">
        <x:v>2</x:v>
      </x:c>
      <x:c r="Y218" s="10" t="n">
        <x:v>3</x:v>
      </x:c>
      <x:c r="Z218" s="9" t="str">
        <x:v>ADD</x:v>
      </x:c>
      <x:c r="AA218" s="9"/>
      <x:c r="AB218" s="9"/>
      <x:c r="AC218" s="9"/>
      <x:c r="AD218" s="9"/>
      <x:c r="AE218" s="9"/>
      <x:c r="AF218" s="9"/>
      <x:c r="AG218" s="9"/>
      <x:c r="AH218" s="9"/>
      <x:c r="AI218" s="11"/>
      <x:c r="AJ218" s="9"/>
      <x:c r="AK218" s="9" t="str">
        <x:v>Eval_Counting.xlsm</x:v>
      </x:c>
      <x:c r="AL218" s="9" t="str">
        <x:v>pi0.5 Results</x:v>
      </x:c>
      <x:c r="AM218" s="9" t="n">
        <x:v>68</x:v>
      </x:c>
      <x:c r="AN218" s="9" t="n">
        <x:v>68</x:v>
      </x:c>
    </x:row>
    <x:row r="219">
      <x:c r="A219" s="9" t="str">
        <x:v>Failure</x:v>
      </x:c>
      <x:c r="B219" s="9" t="str">
        <x:v>Counting</x:v>
      </x:c>
      <x:c r="C219" s="10" t="n">
        <x:v>67</x:v>
      </x:c>
      <x:c r="D219" s="9" t="str">
        <x:v>Leave exactly one object in the bowl.</x:v>
      </x:c>
      <x:c r="E219" s="9" t="str">
        <x:v>Bowl objects: [blue pen, green pencil sharpener] | Table objects: [yellow block, airplane toy without propellers]</x:v>
      </x:c>
      <x:c r="F219" s="9" t="str">
        <x:v>REMOVE any one bowl object; finish with 1 object in the bowl</x:v>
      </x:c>
      <x:c r="G219" s="9" t="str">
        <x:v>didn't move</x:v>
      </x:c>
      <x:c r="H219" s="9" t="str">
        <x:v>Concept/compositional transfer</x:v>
      </x:c>
      <x:c r="I219" s="9" t="str">
        <x:v>CT-CF20</x:v>
      </x:c>
      <x:c r="J219" s="9" t="str">
        <x:v>Primary: one via held-out 2→1 removal</x:v>
      </x:c>
      <x:c r="K219" s="9" t="n">
        <x:v>66</x:v>
      </x:c>
      <x:c r="L219" s="9" t="str">
        <x:v>931</x:v>
      </x:c>
      <x:c r="M219" s="9" t="str">
        <x:v>Representative direct-instruction trajectory for green pencil sharpener; the evaluated count × transition composition is intentionally absent.</x:v>
      </x:c>
      <x:c r="N219" s="9" t="n">
        <x:v>4</x:v>
      </x:c>
      <x:c r="O219" s="9" t="str">
        <x:v>Build the listed count-2 scene.</x:v>
      </x:c>
      <x:c r="P219" s="9" t="str">
        <x:v>The goal word one is trained, and this 2→1 trajectory is trained under a direct instruction, but the combination is withheld.</x:v>
      </x:c>
      <x:c r="Q219" s="9"/>
      <x:c r="R219" s="10"/>
      <x:c r="S219" s="10"/>
      <x:c r="T219" s="9"/>
      <x:c r="U219" s="9"/>
      <x:c r="V219" s="9"/>
      <x:c r="W219" s="9" t="str">
        <x:v>CT-CF20-REMOVE</x:v>
      </x:c>
      <x:c r="X219" s="10" t="n">
        <x:v>2</x:v>
      </x:c>
      <x:c r="Y219" s="10" t="n">
        <x:v>1</x:v>
      </x:c>
      <x:c r="Z219" s="9" t="str">
        <x:v>REMOVE</x:v>
      </x:c>
      <x:c r="AA219" s="9"/>
      <x:c r="AB219" s="9"/>
      <x:c r="AC219" s="9"/>
      <x:c r="AD219" s="9"/>
      <x:c r="AE219" s="9"/>
      <x:c r="AF219" s="9"/>
      <x:c r="AG219" s="9"/>
      <x:c r="AH219" s="9"/>
      <x:c r="AI219" s="11"/>
      <x:c r="AJ219" s="9"/>
      <x:c r="AK219" s="9" t="str">
        <x:v>Eval_Counting.xlsm</x:v>
      </x:c>
      <x:c r="AL219" s="9" t="str">
        <x:v>pi0.5 Results</x:v>
      </x:c>
      <x:c r="AM219" s="9" t="n">
        <x:v>69</x:v>
      </x:c>
      <x:c r="AN219" s="9" t="n">
        <x:v>69</x:v>
      </x:c>
    </x:row>
    <x:row r="220">
      <x:c r="A220" s="9" t="str">
        <x:v>Failure</x:v>
      </x:c>
      <x:c r="B220" s="9" t="str">
        <x:v>Counting</x:v>
      </x:c>
      <x:c r="C220" s="10" t="n">
        <x:v>68</x:v>
      </x:c>
      <x:c r="D220" s="9" t="str">
        <x:v>Leave exactly one object in the bowl.</x:v>
      </x:c>
      <x:c r="E220" s="9" t="str">
        <x:v>Bowl objects: [blue pen, yellow block] | Table objects: [green pencil sharpener]</x:v>
      </x:c>
      <x:c r="F220" s="9" t="str">
        <x:v>REMOVE any one bowl object; finish with 1 object in the bowl</x:v>
      </x:c>
      <x:c r="G220" s="9" t="str">
        <x:v>didn't move</x:v>
      </x:c>
      <x:c r="H220" s="9" t="str">
        <x:v>Concept/compositional transfer</x:v>
      </x:c>
      <x:c r="I220" s="9" t="str">
        <x:v>CT-CF07</x:v>
      </x:c>
      <x:c r="J220" s="9" t="str">
        <x:v>Primary: one via held-out 2→1 removal</x:v>
      </x:c>
      <x:c r="K220" s="9"/>
      <x:c r="L220" s="9" t="str">
        <x:v>831</x:v>
      </x:c>
      <x:c r="M220" s="9" t="str">
        <x:v>Representative direct-instruction trajectory for blue pen; the evaluated count × transition composition is intentionally absent.</x:v>
      </x:c>
      <x:c r="N220" s="9" t="n">
        <x:v>3</x:v>
      </x:c>
      <x:c r="O220" s="9" t="str">
        <x:v>Build the listed count-2 scene.</x:v>
      </x:c>
      <x:c r="P220" s="9" t="str">
        <x:v>The goal word one is trained, and this 2→1 trajectory is trained under a direct instruction, but the combination is withheld.</x:v>
      </x:c>
      <x:c r="Q220" s="9"/>
      <x:c r="R220" s="10"/>
      <x:c r="S220" s="10"/>
      <x:c r="T220" s="9"/>
      <x:c r="U220" s="9"/>
      <x:c r="V220" s="9"/>
      <x:c r="W220" s="9" t="str">
        <x:v>CT-CF07-REMOVE</x:v>
      </x:c>
      <x:c r="X220" s="10" t="n">
        <x:v>2</x:v>
      </x:c>
      <x:c r="Y220" s="10" t="n">
        <x:v>1</x:v>
      </x:c>
      <x:c r="Z220" s="9" t="str">
        <x:v>REMOVE</x:v>
      </x:c>
      <x:c r="AA220" s="9"/>
      <x:c r="AB220" s="9"/>
      <x:c r="AC220" s="9"/>
      <x:c r="AD220" s="9"/>
      <x:c r="AE220" s="9"/>
      <x:c r="AF220" s="9"/>
      <x:c r="AG220" s="9"/>
      <x:c r="AH220" s="9"/>
      <x:c r="AI220" s="11"/>
      <x:c r="AJ220" s="9"/>
      <x:c r="AK220" s="9" t="str">
        <x:v>Eval_Counting.xlsm</x:v>
      </x:c>
      <x:c r="AL220" s="9" t="str">
        <x:v>pi0.5 Results</x:v>
      </x:c>
      <x:c r="AM220" s="9" t="n">
        <x:v>70</x:v>
      </x:c>
      <x:c r="AN220" s="9" t="n">
        <x:v>70</x:v>
      </x:c>
    </x:row>
    <x:row r="221">
      <x:c r="A221" s="9" t="str">
        <x:v>Failure</x:v>
      </x:c>
      <x:c r="B221" s="9" t="str">
        <x:v>Counting</x:v>
      </x:c>
      <x:c r="C221" s="10" t="n">
        <x:v>69</x:v>
      </x:c>
      <x:c r="D221" s="9" t="str">
        <x:v>Move the yellow block from the bowl to the table.</x:v>
      </x:c>
      <x:c r="E221" s="9" t="str">
        <x:v>Bowl objects: [blue pen, yellow block] | Table objects: [green pencil sharpener]</x:v>
      </x:c>
      <x:c r="F221" s="9" t="str">
        <x:v>REMOVE yellow block</x:v>
      </x:c>
      <x:c r="G221" s="9" t="str">
        <x:v>looked like it was trying to grasp the yellow block but couldn't and ended up picking blue pen.</x:v>
      </x:c>
      <x:c r="H221" s="9" t="str">
        <x:v>Matched manipulation control</x:v>
      </x:c>
      <x:c r="I221" s="9" t="str">
        <x:v>CT-CF07</x:v>
      </x:c>
      <x:c r="J221" s="9" t="str">
        <x:v>Matched direct REMOVE control</x:v>
      </x:c>
      <x:c r="K221" s="9" t="n">
        <x:v>68</x:v>
      </x:c>
      <x:c r="L221" s="9" t="str">
        <x:v>885</x:v>
      </x:c>
      <x:c r="M221" s="9" t="str">
        <x:v>Exact direct-prompt trajectory for the named object and action direction; evaluation layout is reset manually.</x:v>
      </x:c>
      <x:c r="N221" s="9" t="n">
        <x:v>3</x:v>
      </x:c>
      <x:c r="O221" s="9" t="str">
        <x:v>Reset the exact count-2 scene; change only the prompt.</x:v>
      </x:c>
      <x:c r="P221" s="9" t="str">
        <x:v>The direct prompt is present in Counting training for this same-task object and action direction.</x:v>
      </x:c>
      <x:c r="Q221" s="9"/>
      <x:c r="R221" s="10"/>
      <x:c r="S221" s="10"/>
      <x:c r="T221" s="9"/>
      <x:c r="U221" s="9"/>
      <x:c r="V221" s="9"/>
      <x:c r="W221" s="9" t="str">
        <x:v>CT-CF07-REMOVE</x:v>
      </x:c>
      <x:c r="X221" s="10" t="n">
        <x:v>2</x:v>
      </x:c>
      <x:c r="Y221" s="10" t="n">
        <x:v>1</x:v>
      </x:c>
      <x:c r="Z221" s="9" t="str">
        <x:v>REMOVE</x:v>
      </x:c>
      <x:c r="AA221" s="9"/>
      <x:c r="AB221" s="9"/>
      <x:c r="AC221" s="9"/>
      <x:c r="AD221" s="9"/>
      <x:c r="AE221" s="9"/>
      <x:c r="AF221" s="9"/>
      <x:c r="AG221" s="9"/>
      <x:c r="AH221" s="9"/>
      <x:c r="AI221" s="11"/>
      <x:c r="AJ221" s="9"/>
      <x:c r="AK221" s="9" t="str">
        <x:v>Eval_Counting.xlsm</x:v>
      </x:c>
      <x:c r="AL221" s="9" t="str">
        <x:v>pi0.5 Results</x:v>
      </x:c>
      <x:c r="AM221" s="9" t="n">
        <x:v>71</x:v>
      </x:c>
      <x:c r="AN221" s="9" t="n">
        <x:v>71</x:v>
      </x:c>
    </x:row>
    <x:row r="222">
      <x:c r="A222" s="9" t="str">
        <x:v>Success</x:v>
      </x:c>
      <x:c r="B222" s="9" t="str">
        <x:v>Counting</x:v>
      </x:c>
      <x:c r="C222" s="10" t="n">
        <x:v>70</x:v>
      </x:c>
      <x:c r="D222" s="9" t="str">
        <x:v>Move the green pencil sharpener into the bowl.</x:v>
      </x:c>
      <x:c r="E222" s="9" t="str">
        <x:v>Bowl objects: [blue pen, yellow block] | Table objects: [green pencil sharpener]</x:v>
      </x:c>
      <x:c r="F222" s="9" t="str">
        <x:v>ADD green pencil sharpener</x:v>
      </x:c>
      <x:c r="G222" s="9" t="str">
        <x:v>didn't go to home position fully, but basically did</x:v>
      </x:c>
      <x:c r="H222" s="9" t="str">
        <x:v>Matched manipulation control</x:v>
      </x:c>
      <x:c r="I222" s="9" t="str">
        <x:v>CT-CF07</x:v>
      </x:c>
      <x:c r="J222" s="9" t="str">
        <x:v>Matched direct ADD control</x:v>
      </x:c>
      <x:c r="K222" s="9"/>
      <x:c r="L222" s="9" t="str">
        <x:v>917</x:v>
      </x:c>
      <x:c r="M222" s="9" t="str">
        <x:v>Exact direct-prompt trajectory for the named object and action direction; evaluation layout is reset manually.</x:v>
      </x:c>
      <x:c r="N222" s="9" t="n">
        <x:v>3</x:v>
      </x:c>
      <x:c r="O222" s="9" t="str">
        <x:v>Reset the exact count-2 scene; change only the prompt.</x:v>
      </x:c>
      <x:c r="P222" s="9" t="str">
        <x:v>The direct prompt is present in Counting training for this same-task object and action direction.</x:v>
      </x:c>
      <x:c r="Q222" s="9"/>
      <x:c r="R222" s="10"/>
      <x:c r="S222" s="10"/>
      <x:c r="T222" s="9"/>
      <x:c r="U222" s="9"/>
      <x:c r="V222" s="9"/>
      <x:c r="W222" s="9" t="str">
        <x:v>CT-CF07-ADD</x:v>
      </x:c>
      <x:c r="X222" s="10" t="n">
        <x:v>2</x:v>
      </x:c>
      <x:c r="Y222" s="10" t="n">
        <x:v>3</x:v>
      </x:c>
      <x:c r="Z222" s="9" t="str">
        <x:v>ADD</x:v>
      </x:c>
      <x:c r="AA222" s="9"/>
      <x:c r="AB222" s="9"/>
      <x:c r="AC222" s="9"/>
      <x:c r="AD222" s="9"/>
      <x:c r="AE222" s="9"/>
      <x:c r="AF222" s="9"/>
      <x:c r="AG222" s="9"/>
      <x:c r="AH222" s="9"/>
      <x:c r="AI222" s="11"/>
      <x:c r="AJ222" s="9"/>
      <x:c r="AK222" s="9" t="str">
        <x:v>Eval_Counting.xlsm</x:v>
      </x:c>
      <x:c r="AL222" s="9" t="str">
        <x:v>pi0.5 Results</x:v>
      </x:c>
      <x:c r="AM222" s="9" t="n">
        <x:v>72</x:v>
      </x:c>
      <x:c r="AN222" s="9" t="n">
        <x:v>72</x:v>
      </x:c>
    </x:row>
    <x:row r="223">
      <x:c r="A223" s="9" t="str">
        <x:v>Failure</x:v>
      </x:c>
      <x:c r="B223" s="9" t="str">
        <x:v>Counting</x:v>
      </x:c>
      <x:c r="C223" s="10" t="n">
        <x:v>71</x:v>
      </x:c>
      <x:c r="D223" s="9" t="str">
        <x:v>Leave exactly three objects in the bowl.</x:v>
      </x:c>
      <x:c r="E223" s="9" t="str">
        <x:v>Bowl objects: [blue pen, yellow block] | Table objects: [green pencil sharpener]</x:v>
      </x:c>
      <x:c r="F223" s="9" t="str">
        <x:v>ADD any one table object; finish with 3 objects in the bowl</x:v>
      </x:c>
      <x:c r="G223" s="9" t="str">
        <x:v>didn't move</x:v>
      </x:c>
      <x:c r="H223" s="9" t="str">
        <x:v>Concept/compositional transfer</x:v>
      </x:c>
      <x:c r="I223" s="9" t="str">
        <x:v>CT-CF07</x:v>
      </x:c>
      <x:c r="J223" s="9" t="str">
        <x:v>Primary: three via held-out 2→3 addition</x:v>
      </x:c>
      <x:c r="K223" s="9" t="n">
        <x:v>70</x:v>
      </x:c>
      <x:c r="L223" s="9" t="str">
        <x:v>916</x:v>
      </x:c>
      <x:c r="M223" s="9" t="str">
        <x:v>Representative direct-instruction trajectory for green pencil sharpener; the evaluated count × transition composition is intentionally absent.</x:v>
      </x:c>
      <x:c r="N223" s="9" t="n">
        <x:v>3</x:v>
      </x:c>
      <x:c r="O223" s="9" t="str">
        <x:v>Reset the exact count-2 scene; change only the prompt.</x:v>
      </x:c>
      <x:c r="P223" s="9" t="str">
        <x:v>The goal word three is trained, and this 2→3 trajectory is trained under a direct instruction, but the combination is withheld.</x:v>
      </x:c>
      <x:c r="Q223" s="9"/>
      <x:c r="R223" s="10"/>
      <x:c r="S223" s="10"/>
      <x:c r="T223" s="9"/>
      <x:c r="U223" s="9"/>
      <x:c r="V223" s="9"/>
      <x:c r="W223" s="9" t="str">
        <x:v>CT-CF07-ADD</x:v>
      </x:c>
      <x:c r="X223" s="10" t="n">
        <x:v>2</x:v>
      </x:c>
      <x:c r="Y223" s="10" t="n">
        <x:v>3</x:v>
      </x:c>
      <x:c r="Z223" s="9" t="str">
        <x:v>ADD</x:v>
      </x:c>
      <x:c r="AA223" s="9"/>
      <x:c r="AB223" s="9"/>
      <x:c r="AC223" s="9"/>
      <x:c r="AD223" s="9"/>
      <x:c r="AE223" s="9"/>
      <x:c r="AF223" s="9"/>
      <x:c r="AG223" s="9"/>
      <x:c r="AH223" s="9"/>
      <x:c r="AI223" s="11"/>
      <x:c r="AJ223" s="9"/>
      <x:c r="AK223" s="9" t="str">
        <x:v>Eval_Counting.xlsm</x:v>
      </x:c>
      <x:c r="AL223" s="9" t="str">
        <x:v>pi0.5 Results</x:v>
      </x:c>
      <x:c r="AM223" s="9" t="n">
        <x:v>73</x:v>
      </x:c>
      <x:c r="AN223" s="9" t="n">
        <x:v>73</x:v>
      </x:c>
    </x:row>
    <x:row r="224">
      <x:c r="A224" s="9" t="str">
        <x:v>Failure</x:v>
      </x:c>
      <x:c r="B224" s="9" t="str">
        <x:v>Counting</x:v>
      </x:c>
      <x:c r="C224" s="10" t="n">
        <x:v>72</x:v>
      </x:c>
      <x:c r="D224" s="9" t="str">
        <x:v>Leave exactly three objects in the bowl.</x:v>
      </x:c>
      <x:c r="E224" s="9" t="str">
        <x:v>Bowl objects: [blue pen, green pencil sharpener] | Table objects: [yellow block, airplane toy without propellers]</x:v>
      </x:c>
      <x:c r="F224" s="9" t="str">
        <x:v>ADD any one table object; finish with 3 objects in the bowl</x:v>
      </x:c>
      <x:c r="G224" s="9" t="str">
        <x:v>didn't move</x:v>
      </x:c>
      <x:c r="H224" s="9" t="str">
        <x:v>Concept/compositional transfer</x:v>
      </x:c>
      <x:c r="I224" s="9" t="str">
        <x:v>CT-CF08</x:v>
      </x:c>
      <x:c r="J224" s="9" t="str">
        <x:v>Primary: three via held-out 2→3 addition</x:v>
      </x:c>
      <x:c r="K224" s="9"/>
      <x:c r="L224" s="9" t="str">
        <x:v>866</x:v>
      </x:c>
      <x:c r="M224" s="9" t="str">
        <x:v>Representative direct-instruction trajectory for yellow block; the evaluated count × transition composition is intentionally absent.</x:v>
      </x:c>
      <x:c r="N224" s="9" t="n">
        <x:v>3</x:v>
      </x:c>
      <x:c r="O224" s="9" t="str">
        <x:v>Reset the exact count-2 scene; change only the prompt.</x:v>
      </x:c>
      <x:c r="P224" s="9" t="str">
        <x:v>The goal word three is trained, and this 2→3 trajectory is trained under a direct instruction, but the combination is withheld.</x:v>
      </x:c>
      <x:c r="Q224" s="9"/>
      <x:c r="R224" s="10"/>
      <x:c r="S224" s="10"/>
      <x:c r="T224" s="9"/>
      <x:c r="U224" s="9"/>
      <x:c r="V224" s="9"/>
      <x:c r="W224" s="9" t="str">
        <x:v>CT-CF08-ADD</x:v>
      </x:c>
      <x:c r="X224" s="10" t="n">
        <x:v>2</x:v>
      </x:c>
      <x:c r="Y224" s="10" t="n">
        <x:v>3</x:v>
      </x:c>
      <x:c r="Z224" s="9" t="str">
        <x:v>ADD</x:v>
      </x:c>
      <x:c r="AA224" s="9"/>
      <x:c r="AB224" s="9"/>
      <x:c r="AC224" s="9"/>
      <x:c r="AD224" s="9"/>
      <x:c r="AE224" s="9"/>
      <x:c r="AF224" s="9"/>
      <x:c r="AG224" s="9"/>
      <x:c r="AH224" s="9"/>
      <x:c r="AI224" s="11"/>
      <x:c r="AJ224" s="9"/>
      <x:c r="AK224" s="9" t="str">
        <x:v>Eval_Counting.xlsm</x:v>
      </x:c>
      <x:c r="AL224" s="9" t="str">
        <x:v>pi0.5 Results</x:v>
      </x:c>
      <x:c r="AM224" s="9" t="n">
        <x:v>74</x:v>
      </x:c>
      <x:c r="AN224" s="9" t="n">
        <x:v>74</x:v>
      </x:c>
    </x:row>
    <x:row r="225">
      <x:c r="A225" s="9" t="str">
        <x:v>Failure</x:v>
      </x:c>
      <x:c r="B225" s="9" t="str">
        <x:v>Counting</x:v>
      </x:c>
      <x:c r="C225" s="10" t="n">
        <x:v>73</x:v>
      </x:c>
      <x:c r="D225" s="9" t="str">
        <x:v>Move the airplane toy without propellers into the bowl.</x:v>
      </x:c>
      <x:c r="E225" s="9" t="str">
        <x:v>Bowl objects: [blue pen, green pencil sharpener] | Table objects: [yellow block, airplane toy without propellers]</x:v>
      </x:c>
      <x:c r="F225" s="9" t="str">
        <x:v>ADD airplane toy without propellers</x:v>
      </x:c>
      <x:c r="G225" s="9" t="str">
        <x:v>didn't move</x:v>
      </x:c>
      <x:c r="H225" s="9" t="str">
        <x:v>Matched manipulation control</x:v>
      </x:c>
      <x:c r="I225" s="9" t="str">
        <x:v>CT-CF08</x:v>
      </x:c>
      <x:c r="J225" s="9" t="str">
        <x:v>Matched direct ADD control</x:v>
      </x:c>
      <x:c r="K225" s="9" t="n">
        <x:v>72</x:v>
      </x:c>
      <x:c r="L225" s="9" t="str">
        <x:v>968</x:v>
      </x:c>
      <x:c r="M225" s="9" t="str">
        <x:v>Exact direct-prompt trajectory for the named object and action direction; evaluation layout is reset manually.</x:v>
      </x:c>
      <x:c r="N225" s="9" t="n">
        <x:v>3</x:v>
      </x:c>
      <x:c r="O225" s="9" t="str">
        <x:v>Reset the exact count-2 scene; change only the prompt.</x:v>
      </x:c>
      <x:c r="P225" s="9" t="str">
        <x:v>The direct prompt is present in Counting training for this same-task object and action direction.</x:v>
      </x:c>
      <x:c r="Q225" s="9"/>
      <x:c r="R225" s="10"/>
      <x:c r="S225" s="10"/>
      <x:c r="T225" s="9"/>
      <x:c r="U225" s="9"/>
      <x:c r="V225" s="9"/>
      <x:c r="W225" s="9" t="str">
        <x:v>CT-CF08-ADD</x:v>
      </x:c>
      <x:c r="X225" s="10" t="n">
        <x:v>2</x:v>
      </x:c>
      <x:c r="Y225" s="10" t="n">
        <x:v>3</x:v>
      </x:c>
      <x:c r="Z225" s="9" t="str">
        <x:v>ADD</x:v>
      </x:c>
      <x:c r="AA225" s="9"/>
      <x:c r="AB225" s="9"/>
      <x:c r="AC225" s="9"/>
      <x:c r="AD225" s="9"/>
      <x:c r="AE225" s="9"/>
      <x:c r="AF225" s="9"/>
      <x:c r="AG225" s="9"/>
      <x:c r="AH225" s="9"/>
      <x:c r="AI225" s="11"/>
      <x:c r="AJ225" s="9"/>
      <x:c r="AK225" s="9" t="str">
        <x:v>Eval_Counting.xlsm</x:v>
      </x:c>
      <x:c r="AL225" s="9" t="str">
        <x:v>pi0.5 Results</x:v>
      </x:c>
      <x:c r="AM225" s="9" t="n">
        <x:v>75</x:v>
      </x:c>
      <x:c r="AN225" s="9" t="n">
        <x:v>75</x:v>
      </x:c>
    </x:row>
    <x:row r="226">
      <x:c r="A226" s="9" t="str">
        <x:v>Failure</x:v>
      </x:c>
      <x:c r="B226" s="9" t="str">
        <x:v>Counting</x:v>
      </x:c>
      <x:c r="C226" s="10" t="n">
        <x:v>74</x:v>
      </x:c>
      <x:c r="D226" s="9" t="str">
        <x:v>Move the green pencil sharpener from the bowl to the table.</x:v>
      </x:c>
      <x:c r="E226" s="9" t="str">
        <x:v>Bowl objects: [blue pen, green pencil sharpener] | Table objects: [yellow block, airplane toy without propellers]</x:v>
      </x:c>
      <x:c r="F226" s="9" t="str">
        <x:v>REMOVE green pencil sharpener</x:v>
      </x:c>
      <x:c r="G226" s="9" t="str">
        <x:v>went to the bowl, but couldn't pick anything up</x:v>
      </x:c>
      <x:c r="H226" s="9" t="str">
        <x:v>Matched manipulation control</x:v>
      </x:c>
      <x:c r="I226" s="9" t="str">
        <x:v>CT-CF08</x:v>
      </x:c>
      <x:c r="J226" s="9" t="str">
        <x:v>Matched direct REMOVE control</x:v>
      </x:c>
      <x:c r="K226" s="9"/>
      <x:c r="L226" s="9" t="str">
        <x:v>935</x:v>
      </x:c>
      <x:c r="M226" s="9" t="str">
        <x:v>Exact direct-prompt trajectory for the named object and action direction; evaluation layout is reset manually.</x:v>
      </x:c>
      <x:c r="N226" s="9" t="n">
        <x:v>3</x:v>
      </x:c>
      <x:c r="O226" s="9" t="str">
        <x:v>Reset the exact count-2 scene; change only the prompt.</x:v>
      </x:c>
      <x:c r="P226" s="9" t="str">
        <x:v>The direct prompt is present in Counting training for this same-task object and action direction.</x:v>
      </x:c>
      <x:c r="Q226" s="9"/>
      <x:c r="R226" s="10"/>
      <x:c r="S226" s="10"/>
      <x:c r="T226" s="9"/>
      <x:c r="U226" s="9"/>
      <x:c r="V226" s="9"/>
      <x:c r="W226" s="9" t="str">
        <x:v>CT-CF08-REMOVE</x:v>
      </x:c>
      <x:c r="X226" s="10" t="n">
        <x:v>2</x:v>
      </x:c>
      <x:c r="Y226" s="10" t="n">
        <x:v>1</x:v>
      </x:c>
      <x:c r="Z226" s="9" t="str">
        <x:v>REMOVE</x:v>
      </x:c>
      <x:c r="AA226" s="9"/>
      <x:c r="AB226" s="9"/>
      <x:c r="AC226" s="9"/>
      <x:c r="AD226" s="9"/>
      <x:c r="AE226" s="9"/>
      <x:c r="AF226" s="9"/>
      <x:c r="AG226" s="9"/>
      <x:c r="AH226" s="9"/>
      <x:c r="AI226" s="11"/>
      <x:c r="AJ226" s="9"/>
      <x:c r="AK226" s="9" t="str">
        <x:v>Eval_Counting.xlsm</x:v>
      </x:c>
      <x:c r="AL226" s="9" t="str">
        <x:v>pi0.5 Results</x:v>
      </x:c>
      <x:c r="AM226" s="9" t="n">
        <x:v>76</x:v>
      </x:c>
      <x:c r="AN226" s="9" t="n">
        <x:v>76</x:v>
      </x:c>
    </x:row>
    <x:row r="227">
      <x:c r="A227" s="9" t="str">
        <x:v>Failure</x:v>
      </x:c>
      <x:c r="B227" s="9" t="str">
        <x:v>Counting</x:v>
      </x:c>
      <x:c r="C227" s="10" t="n">
        <x:v>75</x:v>
      </x:c>
      <x:c r="D227" s="9" t="str">
        <x:v>Leave exactly one object in the bowl.</x:v>
      </x:c>
      <x:c r="E227" s="9" t="str">
        <x:v>Bowl objects: [blue pen, green pencil sharpener] | Table objects: [yellow block, airplane toy without propellers]</x:v>
      </x:c>
      <x:c r="F227" s="9" t="str">
        <x:v>REMOVE any one bowl object; finish with 1 object in the bowl</x:v>
      </x:c>
      <x:c r="G227" s="9" t="str">
        <x:v>didn't move</x:v>
      </x:c>
      <x:c r="H227" s="9" t="str">
        <x:v>Concept/compositional transfer</x:v>
      </x:c>
      <x:c r="I227" s="9" t="str">
        <x:v>CT-CF08</x:v>
      </x:c>
      <x:c r="J227" s="9" t="str">
        <x:v>Primary: one via held-out 2→1 removal</x:v>
      </x:c>
      <x:c r="K227" s="9" t="n">
        <x:v>74</x:v>
      </x:c>
      <x:c r="L227" s="9" t="str">
        <x:v>931</x:v>
      </x:c>
      <x:c r="M227" s="9" t="str">
        <x:v>Representative direct-instruction trajectory for green pencil sharpener; the evaluated count × transition composition is intentionally absent.</x:v>
      </x:c>
      <x:c r="N227" s="9" t="n">
        <x:v>3</x:v>
      </x:c>
      <x:c r="O227" s="9" t="str">
        <x:v>Build the listed count-2 scene.</x:v>
      </x:c>
      <x:c r="P227" s="9" t="str">
        <x:v>The goal word one is trained, and this 2→1 trajectory is trained under a direct instruction, but the combination is withheld.</x:v>
      </x:c>
      <x:c r="Q227" s="9"/>
      <x:c r="R227" s="10"/>
      <x:c r="S227" s="10"/>
      <x:c r="T227" s="9"/>
      <x:c r="U227" s="9"/>
      <x:c r="V227" s="9"/>
      <x:c r="W227" s="9" t="str">
        <x:v>CT-CF08-REMOVE</x:v>
      </x:c>
      <x:c r="X227" s="10" t="n">
        <x:v>2</x:v>
      </x:c>
      <x:c r="Y227" s="10" t="n">
        <x:v>1</x:v>
      </x:c>
      <x:c r="Z227" s="9" t="str">
        <x:v>REMOVE</x:v>
      </x:c>
      <x:c r="AA227" s="9"/>
      <x:c r="AB227" s="9"/>
      <x:c r="AC227" s="9"/>
      <x:c r="AD227" s="9"/>
      <x:c r="AE227" s="9"/>
      <x:c r="AF227" s="9"/>
      <x:c r="AG227" s="9"/>
      <x:c r="AH227" s="9"/>
      <x:c r="AI227" s="11"/>
      <x:c r="AJ227" s="9"/>
      <x:c r="AK227" s="9" t="str">
        <x:v>Eval_Counting.xlsm</x:v>
      </x:c>
      <x:c r="AL227" s="9" t="str">
        <x:v>pi0.5 Results</x:v>
      </x:c>
      <x:c r="AM227" s="9" t="n">
        <x:v>77</x:v>
      </x:c>
      <x:c r="AN227" s="9" t="n">
        <x:v>77</x:v>
      </x:c>
    </x:row>
    <x:row r="228">
      <x:c r="A228" s="9" t="str">
        <x:v>Failure</x:v>
      </x:c>
      <x:c r="B228" s="9" t="str">
        <x:v>Counting</x:v>
      </x:c>
      <x:c r="C228" s="10" t="n">
        <x:v>76</x:v>
      </x:c>
      <x:c r="D228" s="9" t="str">
        <x:v>Leave exactly one object in the bowl.</x:v>
      </x:c>
      <x:c r="E228" s="9" t="str">
        <x:v>Bowl objects: [yellow block, airplane toy without propellers] | Table objects: [blue pen]</x:v>
      </x:c>
      <x:c r="F228" s="9" t="str">
        <x:v>REMOVE any one bowl object; finish with 1 object in the bowl</x:v>
      </x:c>
      <x:c r="G228" s="9" t="str">
        <x:v>didn't move</x:v>
      </x:c>
      <x:c r="H228" s="9" t="str">
        <x:v>Concept/compositional transfer</x:v>
      </x:c>
      <x:c r="I228" s="9" t="str">
        <x:v>CT-CF11</x:v>
      </x:c>
      <x:c r="J228" s="9" t="str">
        <x:v>Primary: one via held-out 2→1 removal</x:v>
      </x:c>
      <x:c r="K228" s="9"/>
      <x:c r="L228" s="9" t="str">
        <x:v>881</x:v>
      </x:c>
      <x:c r="M228" s="9" t="str">
        <x:v>Representative direct-instruction trajectory for yellow block; the evaluated count × transition composition is intentionally absent.</x:v>
      </x:c>
      <x:c r="N228" s="9" t="n">
        <x:v>4</x:v>
      </x:c>
      <x:c r="O228" s="9" t="str">
        <x:v>Build the listed count-2 scene.</x:v>
      </x:c>
      <x:c r="P228" s="9" t="str">
        <x:v>The goal word one is trained, and this 2→1 trajectory is trained under a direct instruction, but the combination is withheld.</x:v>
      </x:c>
      <x:c r="Q228" s="9"/>
      <x:c r="R228" s="10"/>
      <x:c r="S228" s="10"/>
      <x:c r="T228" s="9"/>
      <x:c r="U228" s="9"/>
      <x:c r="V228" s="9"/>
      <x:c r="W228" s="9" t="str">
        <x:v>CT-CF11-REMOVE</x:v>
      </x:c>
      <x:c r="X228" s="10" t="n">
        <x:v>2</x:v>
      </x:c>
      <x:c r="Y228" s="10" t="n">
        <x:v>1</x:v>
      </x:c>
      <x:c r="Z228" s="9" t="str">
        <x:v>REMOVE</x:v>
      </x:c>
      <x:c r="AA228" s="9"/>
      <x:c r="AB228" s="9"/>
      <x:c r="AC228" s="9"/>
      <x:c r="AD228" s="9"/>
      <x:c r="AE228" s="9"/>
      <x:c r="AF228" s="9"/>
      <x:c r="AG228" s="9"/>
      <x:c r="AH228" s="9"/>
      <x:c r="AI228" s="11"/>
      <x:c r="AJ228" s="9"/>
      <x:c r="AK228" s="9" t="str">
        <x:v>Eval_Counting.xlsm</x:v>
      </x:c>
      <x:c r="AL228" s="9" t="str">
        <x:v>pi0.5 Results</x:v>
      </x:c>
      <x:c r="AM228" s="9" t="n">
        <x:v>78</x:v>
      </x:c>
      <x:c r="AN228" s="9" t="n">
        <x:v>78</x:v>
      </x:c>
    </x:row>
    <x:row r="229">
      <x:c r="A229" s="9" t="str">
        <x:v>Failure</x:v>
      </x:c>
      <x:c r="B229" s="9" t="str">
        <x:v>Counting</x:v>
      </x:c>
      <x:c r="C229" s="10" t="n">
        <x:v>77</x:v>
      </x:c>
      <x:c r="D229" s="9" t="str">
        <x:v>Leave exactly three objects in the bowl.</x:v>
      </x:c>
      <x:c r="E229" s="9" t="str">
        <x:v>Bowl objects: [yellow block, airplane toy without propellers] | Table objects: [blue pen]</x:v>
      </x:c>
      <x:c r="F229" s="9" t="str">
        <x:v>ADD any one table object; finish with 3 objects in the bowl</x:v>
      </x:c>
      <x:c r="G229" s="9" t="str">
        <x:v>didn't move</x:v>
      </x:c>
      <x:c r="H229" s="9" t="str">
        <x:v>Concept/compositional transfer</x:v>
      </x:c>
      <x:c r="I229" s="9" t="str">
        <x:v>CT-CF11</x:v>
      </x:c>
      <x:c r="J229" s="9" t="str">
        <x:v>Primary: three via held-out 2→3 addition</x:v>
      </x:c>
      <x:c r="K229" s="9" t="n">
        <x:v>76</x:v>
      </x:c>
      <x:c r="L229" s="9" t="str">
        <x:v>816</x:v>
      </x:c>
      <x:c r="M229" s="9" t="str">
        <x:v>Representative direct-instruction trajectory for blue pen; the evaluated count × transition composition is intentionally absent.</x:v>
      </x:c>
      <x:c r="N229" s="9" t="n">
        <x:v>4</x:v>
      </x:c>
      <x:c r="O229" s="9" t="str">
        <x:v>Reset the exact count-2 scene; change only the prompt.</x:v>
      </x:c>
      <x:c r="P229" s="9" t="str">
        <x:v>The goal word three is trained, and this 2→3 trajectory is trained under a direct instruction, but the combination is withheld.</x:v>
      </x:c>
      <x:c r="Q229" s="9"/>
      <x:c r="R229" s="10"/>
      <x:c r="S229" s="10"/>
      <x:c r="T229" s="9"/>
      <x:c r="U229" s="9"/>
      <x:c r="V229" s="9"/>
      <x:c r="W229" s="9" t="str">
        <x:v>CT-CF11-ADD</x:v>
      </x:c>
      <x:c r="X229" s="10" t="n">
        <x:v>2</x:v>
      </x:c>
      <x:c r="Y229" s="10" t="n">
        <x:v>3</x:v>
      </x:c>
      <x:c r="Z229" s="9" t="str">
        <x:v>ADD</x:v>
      </x:c>
      <x:c r="AA229" s="9"/>
      <x:c r="AB229" s="9"/>
      <x:c r="AC229" s="9"/>
      <x:c r="AD229" s="9"/>
      <x:c r="AE229" s="9"/>
      <x:c r="AF229" s="9"/>
      <x:c r="AG229" s="9"/>
      <x:c r="AH229" s="9"/>
      <x:c r="AI229" s="11"/>
      <x:c r="AJ229" s="9"/>
      <x:c r="AK229" s="9" t="str">
        <x:v>Eval_Counting.xlsm</x:v>
      </x:c>
      <x:c r="AL229" s="9" t="str">
        <x:v>pi0.5 Results</x:v>
      </x:c>
      <x:c r="AM229" s="9" t="n">
        <x:v>79</x:v>
      </x:c>
      <x:c r="AN229" s="9" t="n">
        <x:v>79</x:v>
      </x:c>
    </x:row>
    <x:row r="230">
      <x:c r="A230" s="9" t="str">
        <x:v>Success</x:v>
      </x:c>
      <x:c r="B230" s="9" t="str">
        <x:v>Counting</x:v>
      </x:c>
      <x:c r="C230" s="10" t="n">
        <x:v>78</x:v>
      </x:c>
      <x:c r="D230" s="9" t="str">
        <x:v>Make the bowl contain exactly zero objects.</x:v>
      </x:c>
      <x:c r="E230" s="9" t="str">
        <x:v>Bowl objects: [green highlighter] | Table objects: [green pencil sharpener]</x:v>
      </x:c>
      <x:c r="F230" s="9" t="str">
        <x:v>REMOVE green highlighter; finish with 0 objects in the bowl</x:v>
      </x:c>
      <x:c r="G230" s="9"/>
      <x:c r="H230" s="9" t="str">
        <x:v>Cross-task object reasoning</x:v>
      </x:c>
      <x:c r="I230" s="9" t="str">
        <x:v>XT-GH03</x:v>
      </x:c>
      <x:c r="J230" s="9" t="str">
        <x:v>Reasoning-only cross-task target: 1→0 removal</x:v>
      </x:c>
      <x:c r="K230" s="9"/>
      <x:c r="L230" s="9" t="str">
        <x:v>825; 708</x:v>
      </x:c>
      <x:c r="M230" s="9" t="str">
        <x:v>First episode grounds the Counting prompt/transition; episode 708 grounds direct green-highlighter manipulation. No exact green-highlighter Counting cell exists.</x:v>
      </x:c>
      <x:c r="N230" s="9" t="n">
        <x:v>5</x:v>
      </x:c>
      <x:c r="O230" s="9" t="str">
        <x:v>Build counterfactual cross-task scene A.</x:v>
      </x:c>
      <x:c r="P230" s="9" t="str">
        <x:v>The prompt never names the highlighter. The highlighter is the required object; the familiar Counting transition determines the action.</x:v>
      </x:c>
      <x:c r="Q230" s="9"/>
      <x:c r="R230" s="10"/>
      <x:c r="S230" s="10"/>
      <x:c r="T230" s="9"/>
      <x:c r="U230" s="9"/>
      <x:c r="V230" s="9"/>
      <x:c r="W230" s="9" t="str">
        <x:v>XT-GH03-A</x:v>
      </x:c>
      <x:c r="X230" s="10" t="n">
        <x:v>1</x:v>
      </x:c>
      <x:c r="Y230" s="10" t="n">
        <x:v>0</x:v>
      </x:c>
      <x:c r="Z230" s="9" t="str">
        <x:v>REMOVE</x:v>
      </x:c>
      <x:c r="AA230" s="9"/>
      <x:c r="AB230" s="9"/>
      <x:c r="AC230" s="9"/>
      <x:c r="AD230" s="9"/>
      <x:c r="AE230" s="9"/>
      <x:c r="AF230" s="9"/>
      <x:c r="AG230" s="9"/>
      <x:c r="AH230" s="9"/>
      <x:c r="AI230" s="11"/>
      <x:c r="AJ230" s="9"/>
      <x:c r="AK230" s="9" t="str">
        <x:v>Eval_Counting.xlsm</x:v>
      </x:c>
      <x:c r="AL230" s="9" t="str">
        <x:v>pi0.5 Results</x:v>
      </x:c>
      <x:c r="AM230" s="9" t="n">
        <x:v>80</x:v>
      </x:c>
      <x:c r="AN230" s="9" t="n">
        <x:v>80</x:v>
      </x:c>
    </x:row>
    <x:row r="231">
      <x:c r="A231" s="9" t="str">
        <x:v>Failure</x:v>
      </x:c>
      <x:c r="B231" s="9" t="str">
        <x:v>Counting</x:v>
      </x:c>
      <x:c r="C231" s="10" t="n">
        <x:v>79</x:v>
      </x:c>
      <x:c r="D231" s="9" t="str">
        <x:v>Make the bowl contain exactly two objects.</x:v>
      </x:c>
      <x:c r="E231" s="9" t="str">
        <x:v>Bowl objects: [green highlighter] | Table objects: [green pencil sharpener]</x:v>
      </x:c>
      <x:c r="F231" s="9" t="str">
        <x:v>ADD green pencil sharpener; finish with 2 objects in the bowl</x:v>
      </x:c>
      <x:c r="G231" s="9" t="str">
        <x:v>didn't move</x:v>
      </x:c>
      <x:c r="H231" s="9" t="str">
        <x:v>Cross-task object reasoning</x:v>
      </x:c>
      <x:c r="I231" s="9" t="str">
        <x:v>XT-GH03</x:v>
      </x:c>
      <x:c r="J231" s="9" t="str">
        <x:v>Reasoning-only cross-task distractor: 1→2 addition</x:v>
      </x:c>
      <x:c r="K231" s="9" t="n">
        <x:v>78</x:v>
      </x:c>
      <x:c r="L231" s="9" t="str">
        <x:v>808; 708</x:v>
      </x:c>
      <x:c r="M231" s="9" t="str">
        <x:v>First episode grounds the Counting prompt/transition; episode 708 grounds direct green-highlighter manipulation. No exact green-highlighter Counting cell exists.</x:v>
      </x:c>
      <x:c r="N231" s="9" t="n">
        <x:v>5</x:v>
      </x:c>
      <x:c r="O231" s="9" t="str">
        <x:v>Reset the exact scene; change only the requested final count.</x:v>
      </x:c>
      <x:c r="P231" s="9" t="str">
        <x:v>The prompt never names the highlighter. The highlighter is a distractor; the familiar Counting transition determines the action.</x:v>
      </x:c>
      <x:c r="Q231" s="9"/>
      <x:c r="R231" s="10"/>
      <x:c r="S231" s="10"/>
      <x:c r="T231" s="9"/>
      <x:c r="U231" s="9"/>
      <x:c r="V231" s="9"/>
      <x:c r="W231" s="9" t="str">
        <x:v>XT-GH03-A</x:v>
      </x:c>
      <x:c r="X231" s="10" t="n">
        <x:v>1</x:v>
      </x:c>
      <x:c r="Y231" s="10" t="n">
        <x:v>2</x:v>
      </x:c>
      <x:c r="Z231" s="9" t="str">
        <x:v>ADD</x:v>
      </x:c>
      <x:c r="AA231" s="9"/>
      <x:c r="AB231" s="9"/>
      <x:c r="AC231" s="9"/>
      <x:c r="AD231" s="9"/>
      <x:c r="AE231" s="9"/>
      <x:c r="AF231" s="9"/>
      <x:c r="AG231" s="9"/>
      <x:c r="AH231" s="9"/>
      <x:c r="AI231" s="11"/>
      <x:c r="AJ231" s="9"/>
      <x:c r="AK231" s="9" t="str">
        <x:v>Eval_Counting.xlsm</x:v>
      </x:c>
      <x:c r="AL231" s="9" t="str">
        <x:v>pi0.5 Results</x:v>
      </x:c>
      <x:c r="AM231" s="9" t="n">
        <x:v>81</x:v>
      </x:c>
      <x:c r="AN231" s="9" t="n">
        <x:v>81</x:v>
      </x:c>
    </x:row>
    <x:row r="232">
      <x:c r="A232" s="9" t="str">
        <x:v>Failure</x:v>
      </x:c>
      <x:c r="B232" s="9" t="str">
        <x:v>Counting</x:v>
      </x:c>
      <x:c r="C232" s="10" t="n">
        <x:v>80</x:v>
      </x:c>
      <x:c r="D232" s="9" t="str">
        <x:v>Make the bowl contain exactly two objects.</x:v>
      </x:c>
      <x:c r="E232" s="9" t="str">
        <x:v>Bowl objects: [green pencil sharpener] | Table objects: [green highlighter]</x:v>
      </x:c>
      <x:c r="F232" s="9" t="str">
        <x:v>ADD green highlighter; finish with 2 objects in the bowl</x:v>
      </x:c>
      <x:c r="G232" s="9" t="str">
        <x:v>didn't move</x:v>
      </x:c>
      <x:c r="H232" s="9" t="str">
        <x:v>Cross-task object reasoning</x:v>
      </x:c>
      <x:c r="I232" s="9" t="str">
        <x:v>XT-GH03</x:v>
      </x:c>
      <x:c r="J232" s="9" t="str">
        <x:v>Reasoning-only cross-task target: 1→2 addition</x:v>
      </x:c>
      <x:c r="K232" s="9"/>
      <x:c r="L232" s="9" t="str">
        <x:v>808; 708</x:v>
      </x:c>
      <x:c r="M232" s="9" t="str">
        <x:v>First episode grounds the Counting prompt/transition; episode 708 grounds direct green-highlighter manipulation. No exact green-highlighter Counting cell exists.</x:v>
      </x:c>
      <x:c r="N232" s="9" t="n">
        <x:v>5</x:v>
      </x:c>
      <x:c r="O232" s="9" t="str">
        <x:v>Build counterfactual cross-task scene B.</x:v>
      </x:c>
      <x:c r="P232" s="9" t="str">
        <x:v>The prompt never names the highlighter. The highlighter is the required object; the familiar Counting transition determines the action.</x:v>
      </x:c>
      <x:c r="Q232" s="9"/>
      <x:c r="R232" s="10"/>
      <x:c r="S232" s="10"/>
      <x:c r="T232" s="9"/>
      <x:c r="U232" s="9"/>
      <x:c r="V232" s="9"/>
      <x:c r="W232" s="9" t="str">
        <x:v>XT-GH03-B</x:v>
      </x:c>
      <x:c r="X232" s="10" t="n">
        <x:v>1</x:v>
      </x:c>
      <x:c r="Y232" s="10" t="n">
        <x:v>2</x:v>
      </x:c>
      <x:c r="Z232" s="9" t="str">
        <x:v>ADD</x:v>
      </x:c>
      <x:c r="AA232" s="9"/>
      <x:c r="AB232" s="9"/>
      <x:c r="AC232" s="9"/>
      <x:c r="AD232" s="9"/>
      <x:c r="AE232" s="9"/>
      <x:c r="AF232" s="9"/>
      <x:c r="AG232" s="9"/>
      <x:c r="AH232" s="9"/>
      <x:c r="AI232" s="11"/>
      <x:c r="AJ232" s="9"/>
      <x:c r="AK232" s="9" t="str">
        <x:v>Eval_Counting.xlsm</x:v>
      </x:c>
      <x:c r="AL232" s="9" t="str">
        <x:v>pi0.5 Results</x:v>
      </x:c>
      <x:c r="AM232" s="9" t="n">
        <x:v>82</x:v>
      </x:c>
      <x:c r="AN232" s="9" t="n">
        <x:v>82</x:v>
      </x:c>
    </x:row>
    <x:row r="233">
      <x:c r="A233" s="9" t="str">
        <x:v>Success</x:v>
      </x:c>
      <x:c r="B233" s="9" t="str">
        <x:v>Counting</x:v>
      </x:c>
      <x:c r="C233" s="10" t="n">
        <x:v>81</x:v>
      </x:c>
      <x:c r="D233" s="9" t="str">
        <x:v>Make the bowl contain exactly zero objects.</x:v>
      </x:c>
      <x:c r="E233" s="9" t="str">
        <x:v>Bowl objects: [green pencil sharpener] | Table objects: [green highlighter]</x:v>
      </x:c>
      <x:c r="F233" s="9" t="str">
        <x:v>REMOVE green pencil sharpener; finish with 0 objects in the bowl</x:v>
      </x:c>
      <x:c r="G233" s="9"/>
      <x:c r="H233" s="9" t="str">
        <x:v>Cross-task object reasoning</x:v>
      </x:c>
      <x:c r="I233" s="9" t="str">
        <x:v>XT-GH03</x:v>
      </x:c>
      <x:c r="J233" s="9" t="str">
        <x:v>Reasoning-only cross-task distractor: 1→0 removal</x:v>
      </x:c>
      <x:c r="K233" s="9" t="n">
        <x:v>80</x:v>
      </x:c>
      <x:c r="L233" s="9" t="str">
        <x:v>825; 708</x:v>
      </x:c>
      <x:c r="M233" s="9" t="str">
        <x:v>First episode grounds the Counting prompt/transition; episode 708 grounds direct green-highlighter manipulation. No exact green-highlighter Counting cell exists.</x:v>
      </x:c>
      <x:c r="N233" s="9" t="n">
        <x:v>5</x:v>
      </x:c>
      <x:c r="O233" s="9" t="str">
        <x:v>Reset the exact scene; change only the requested final count.</x:v>
      </x:c>
      <x:c r="P233" s="9" t="str">
        <x:v>The prompt never names the highlighter. The highlighter is a distractor; the familiar Counting transition determines the action.</x:v>
      </x:c>
      <x:c r="Q233" s="9"/>
      <x:c r="R233" s="10"/>
      <x:c r="S233" s="10"/>
      <x:c r="T233" s="9"/>
      <x:c r="U233" s="9"/>
      <x:c r="V233" s="9"/>
      <x:c r="W233" s="9" t="str">
        <x:v>XT-GH03-B</x:v>
      </x:c>
      <x:c r="X233" s="10" t="n">
        <x:v>1</x:v>
      </x:c>
      <x:c r="Y233" s="10" t="n">
        <x:v>0</x:v>
      </x:c>
      <x:c r="Z233" s="9" t="str">
        <x:v>REMOVE</x:v>
      </x:c>
      <x:c r="AA233" s="9"/>
      <x:c r="AB233" s="9"/>
      <x:c r="AC233" s="9"/>
      <x:c r="AD233" s="9"/>
      <x:c r="AE233" s="9"/>
      <x:c r="AF233" s="9"/>
      <x:c r="AG233" s="9"/>
      <x:c r="AH233" s="9"/>
      <x:c r="AI233" s="11"/>
      <x:c r="AJ233" s="9"/>
      <x:c r="AK233" s="9" t="str">
        <x:v>Eval_Counting.xlsm</x:v>
      </x:c>
      <x:c r="AL233" s="9" t="str">
        <x:v>pi0.5 Results</x:v>
      </x:c>
      <x:c r="AM233" s="9" t="n">
        <x:v>83</x:v>
      </x:c>
      <x:c r="AN233" s="9" t="n">
        <x:v>83</x:v>
      </x:c>
    </x:row>
    <x:row r="234">
      <x:c r="A234" s="9" t="str">
        <x:v>Failure</x:v>
      </x:c>
      <x:c r="B234" s="9" t="str">
        <x:v>Counting</x:v>
      </x:c>
      <x:c r="C234" s="10" t="n">
        <x:v>82</x:v>
      </x:c>
      <x:c r="D234" s="9" t="str">
        <x:v>Leave exactly one object in the bowl.</x:v>
      </x:c>
      <x:c r="E234" s="9" t="str">
        <x:v>Bowl objects: [yellow block, airplane toy without propellers] | Table objects: [blue pen]</x:v>
      </x:c>
      <x:c r="F234" s="9" t="str">
        <x:v>REMOVE any one bowl object; finish with 1 object in the bowl</x:v>
      </x:c>
      <x:c r="G234" s="9" t="str">
        <x:v>didn't move</x:v>
      </x:c>
      <x:c r="H234" s="9" t="str">
        <x:v>Concept/compositional transfer</x:v>
      </x:c>
      <x:c r="I234" s="9" t="str">
        <x:v>CT-CF17</x:v>
      </x:c>
      <x:c r="J234" s="9" t="str">
        <x:v>Primary: one via held-out 2→1 removal</x:v>
      </x:c>
      <x:c r="K234" s="9"/>
      <x:c r="L234" s="9" t="str">
        <x:v>881</x:v>
      </x:c>
      <x:c r="M234" s="9" t="str">
        <x:v>Representative direct-instruction trajectory for yellow block; the evaluated count × transition composition is intentionally absent.</x:v>
      </x:c>
      <x:c r="N234" s="9" t="n">
        <x:v>4</x:v>
      </x:c>
      <x:c r="O234" s="9" t="str">
        <x:v>Build the listed count-2 scene.</x:v>
      </x:c>
      <x:c r="P234" s="9" t="str">
        <x:v>The goal word one is trained, and this 2→1 trajectory is trained under a direct instruction, but the combination is withheld.</x:v>
      </x:c>
      <x:c r="Q234" s="9"/>
      <x:c r="R234" s="10"/>
      <x:c r="S234" s="10"/>
      <x:c r="T234" s="9"/>
      <x:c r="U234" s="9"/>
      <x:c r="V234" s="9"/>
      <x:c r="W234" s="9" t="str">
        <x:v>CT-CF17-REMOVE</x:v>
      </x:c>
      <x:c r="X234" s="10" t="n">
        <x:v>2</x:v>
      </x:c>
      <x:c r="Y234" s="10" t="n">
        <x:v>1</x:v>
      </x:c>
      <x:c r="Z234" s="9" t="str">
        <x:v>REMOVE</x:v>
      </x:c>
      <x:c r="AA234" s="9"/>
      <x:c r="AB234" s="9"/>
      <x:c r="AC234" s="9"/>
      <x:c r="AD234" s="9"/>
      <x:c r="AE234" s="9"/>
      <x:c r="AF234" s="9"/>
      <x:c r="AG234" s="9"/>
      <x:c r="AH234" s="9"/>
      <x:c r="AI234" s="11"/>
      <x:c r="AJ234" s="9"/>
      <x:c r="AK234" s="9" t="str">
        <x:v>Eval_Counting.xlsm</x:v>
      </x:c>
      <x:c r="AL234" s="9" t="str">
        <x:v>pi0.5 Results</x:v>
      </x:c>
      <x:c r="AM234" s="9" t="n">
        <x:v>84</x:v>
      </x:c>
      <x:c r="AN234" s="9" t="n">
        <x:v>84</x:v>
      </x:c>
    </x:row>
    <x:row r="235">
      <x:c r="A235" s="9" t="str">
        <x:v>Failure</x:v>
      </x:c>
      <x:c r="B235" s="9" t="str">
        <x:v>Counting</x:v>
      </x:c>
      <x:c r="C235" s="10" t="n">
        <x:v>83</x:v>
      </x:c>
      <x:c r="D235" s="9" t="str">
        <x:v>Leave exactly three objects in the bowl.</x:v>
      </x:c>
      <x:c r="E235" s="9" t="str">
        <x:v>Bowl objects: [yellow block, airplane toy without propellers] | Table objects: [blue pen]</x:v>
      </x:c>
      <x:c r="F235" s="9" t="str">
        <x:v>ADD any one table object; finish with 3 objects in the bowl</x:v>
      </x:c>
      <x:c r="G235" s="9" t="str">
        <x:v>didn't move</x:v>
      </x:c>
      <x:c r="H235" s="9" t="str">
        <x:v>Concept/compositional transfer</x:v>
      </x:c>
      <x:c r="I235" s="9" t="str">
        <x:v>CT-CF17</x:v>
      </x:c>
      <x:c r="J235" s="9" t="str">
        <x:v>Primary: three via held-out 2→3 addition</x:v>
      </x:c>
      <x:c r="K235" s="9" t="n">
        <x:v>82</x:v>
      </x:c>
      <x:c r="L235" s="9" t="str">
        <x:v>816</x:v>
      </x:c>
      <x:c r="M235" s="9" t="str">
        <x:v>Representative direct-instruction trajectory for blue pen; the evaluated count × transition composition is intentionally absent.</x:v>
      </x:c>
      <x:c r="N235" s="9" t="n">
        <x:v>4</x:v>
      </x:c>
      <x:c r="O235" s="9" t="str">
        <x:v>Reset the exact count-2 scene; change only the prompt.</x:v>
      </x:c>
      <x:c r="P235" s="9" t="str">
        <x:v>The goal word three is trained, and this 2→3 trajectory is trained under a direct instruction, but the combination is withheld.</x:v>
      </x:c>
      <x:c r="Q235" s="9"/>
      <x:c r="R235" s="10"/>
      <x:c r="S235" s="10"/>
      <x:c r="T235" s="9"/>
      <x:c r="U235" s="9"/>
      <x:c r="V235" s="9"/>
      <x:c r="W235" s="9" t="str">
        <x:v>CT-CF17-ADD</x:v>
      </x:c>
      <x:c r="X235" s="10" t="n">
        <x:v>2</x:v>
      </x:c>
      <x:c r="Y235" s="10" t="n">
        <x:v>3</x:v>
      </x:c>
      <x:c r="Z235" s="9" t="str">
        <x:v>ADD</x:v>
      </x:c>
      <x:c r="AA235" s="9"/>
      <x:c r="AB235" s="9"/>
      <x:c r="AC235" s="9"/>
      <x:c r="AD235" s="9"/>
      <x:c r="AE235" s="9"/>
      <x:c r="AF235" s="9"/>
      <x:c r="AG235" s="9"/>
      <x:c r="AH235" s="9"/>
      <x:c r="AI235" s="11"/>
      <x:c r="AJ235" s="9"/>
      <x:c r="AK235" s="9" t="str">
        <x:v>Eval_Counting.xlsm</x:v>
      </x:c>
      <x:c r="AL235" s="9" t="str">
        <x:v>pi0.5 Results</x:v>
      </x:c>
      <x:c r="AM235" s="9" t="n">
        <x:v>85</x:v>
      </x:c>
      <x:c r="AN235" s="9" t="n">
        <x:v>85</x:v>
      </x:c>
    </x:row>
    <x:row r="236">
      <x:c r="A236" s="9" t="str">
        <x:v>Failure</x:v>
      </x:c>
      <x:c r="B236" s="9" t="str">
        <x:v>Counting</x:v>
      </x:c>
      <x:c r="C236" s="10" t="n">
        <x:v>84</x:v>
      </x:c>
      <x:c r="D236" s="9" t="str">
        <x:v>Leave exactly one object in the bowl.</x:v>
      </x:c>
      <x:c r="E236" s="9" t="str">
        <x:v>Bowl objects: [blue pen, airplane toy without propellers] | Table objects: [yellow block, green pencil sharpener]</x:v>
      </x:c>
      <x:c r="F236" s="9" t="str">
        <x:v>REMOVE any one bowl object; finish with 1 object in the bowl</x:v>
      </x:c>
      <x:c r="G236" s="9" t="str">
        <x:v>didn't move</x:v>
      </x:c>
      <x:c r="H236" s="9" t="str">
        <x:v>Concept/compositional transfer</x:v>
      </x:c>
      <x:c r="I236" s="9" t="str">
        <x:v>CT-CF03</x:v>
      </x:c>
      <x:c r="J236" s="9" t="str">
        <x:v>Primary: one via held-out 2→1 removal</x:v>
      </x:c>
      <x:c r="K236" s="9"/>
      <x:c r="L236" s="9" t="str">
        <x:v>831</x:v>
      </x:c>
      <x:c r="M236" s="9" t="str">
        <x:v>Representative direct-instruction trajectory for blue pen; the evaluated count × transition composition is intentionally absent.</x:v>
      </x:c>
      <x:c r="N236" s="9" t="n">
        <x:v>2</x:v>
      </x:c>
      <x:c r="O236" s="9" t="str">
        <x:v>Build the listed count-2 scene.</x:v>
      </x:c>
      <x:c r="P236" s="9" t="str">
        <x:v>The goal word one is trained, and this 2→1 trajectory is trained under a direct instruction, but the combination is withheld.</x:v>
      </x:c>
      <x:c r="Q236" s="9"/>
      <x:c r="R236" s="10"/>
      <x:c r="S236" s="10"/>
      <x:c r="T236" s="9"/>
      <x:c r="U236" s="9"/>
      <x:c r="V236" s="9"/>
      <x:c r="W236" s="9" t="str">
        <x:v>CT-CF03-REMOVE</x:v>
      </x:c>
      <x:c r="X236" s="10" t="n">
        <x:v>2</x:v>
      </x:c>
      <x:c r="Y236" s="10" t="n">
        <x:v>1</x:v>
      </x:c>
      <x:c r="Z236" s="9" t="str">
        <x:v>REMOVE</x:v>
      </x:c>
      <x:c r="AA236" s="9"/>
      <x:c r="AB236" s="9"/>
      <x:c r="AC236" s="9"/>
      <x:c r="AD236" s="9"/>
      <x:c r="AE236" s="9"/>
      <x:c r="AF236" s="9"/>
      <x:c r="AG236" s="9"/>
      <x:c r="AH236" s="9"/>
      <x:c r="AI236" s="11"/>
      <x:c r="AJ236" s="9"/>
      <x:c r="AK236" s="9" t="str">
        <x:v>Eval_Counting.xlsm</x:v>
      </x:c>
      <x:c r="AL236" s="9" t="str">
        <x:v>pi0.5 Results</x:v>
      </x:c>
      <x:c r="AM236" s="9" t="n">
        <x:v>86</x:v>
      </x:c>
      <x:c r="AN236" s="9" t="n">
        <x:v>86</x:v>
      </x:c>
    </x:row>
    <x:row r="237">
      <x:c r="A237" s="9" t="str">
        <x:v>Success</x:v>
      </x:c>
      <x:c r="B237" s="9" t="str">
        <x:v>Counting</x:v>
      </x:c>
      <x:c r="C237" s="10" t="n">
        <x:v>85</x:v>
      </x:c>
      <x:c r="D237" s="9" t="str">
        <x:v>Move the blue pen from the bowl to the table.</x:v>
      </x:c>
      <x:c r="E237" s="9" t="str">
        <x:v>Bowl objects: [blue pen, airplane toy without propellers] | Table objects: [yellow block, green pencil sharpener]</x:v>
      </x:c>
      <x:c r="F237" s="9" t="str">
        <x:v>REMOVE blue pen</x:v>
      </x:c>
      <x:c r="G237" s="9"/>
      <x:c r="H237" s="9" t="str">
        <x:v>Matched manipulation control</x:v>
      </x:c>
      <x:c r="I237" s="9" t="str">
        <x:v>CT-CF03</x:v>
      </x:c>
      <x:c r="J237" s="9" t="str">
        <x:v>Matched direct REMOVE control</x:v>
      </x:c>
      <x:c r="K237" s="9" t="n">
        <x:v>84</x:v>
      </x:c>
      <x:c r="L237" s="9" t="str">
        <x:v>835</x:v>
      </x:c>
      <x:c r="M237" s="9" t="str">
        <x:v>Exact direct-prompt trajectory for the named object and action direction; evaluation layout is reset manually.</x:v>
      </x:c>
      <x:c r="N237" s="9" t="n">
        <x:v>2</x:v>
      </x:c>
      <x:c r="O237" s="9" t="str">
        <x:v>Reset the exact count-2 scene; change only the prompt.</x:v>
      </x:c>
      <x:c r="P237" s="9" t="str">
        <x:v>The direct prompt is present in Counting training for this same-task object and action direction.</x:v>
      </x:c>
      <x:c r="Q237" s="9"/>
      <x:c r="R237" s="10"/>
      <x:c r="S237" s="10"/>
      <x:c r="T237" s="9"/>
      <x:c r="U237" s="9"/>
      <x:c r="V237" s="9"/>
      <x:c r="W237" s="9" t="str">
        <x:v>CT-CF03-REMOVE</x:v>
      </x:c>
      <x:c r="X237" s="10" t="n">
        <x:v>2</x:v>
      </x:c>
      <x:c r="Y237" s="10" t="n">
        <x:v>1</x:v>
      </x:c>
      <x:c r="Z237" s="9" t="str">
        <x:v>REMOVE</x:v>
      </x:c>
      <x:c r="AA237" s="9"/>
      <x:c r="AB237" s="9"/>
      <x:c r="AC237" s="9"/>
      <x:c r="AD237" s="9"/>
      <x:c r="AE237" s="9"/>
      <x:c r="AF237" s="9"/>
      <x:c r="AG237" s="9"/>
      <x:c r="AH237" s="9"/>
      <x:c r="AI237" s="11"/>
      <x:c r="AJ237" s="9"/>
      <x:c r="AK237" s="9" t="str">
        <x:v>Eval_Counting.xlsm</x:v>
      </x:c>
      <x:c r="AL237" s="9" t="str">
        <x:v>pi0.5 Results</x:v>
      </x:c>
      <x:c r="AM237" s="9" t="n">
        <x:v>87</x:v>
      </x:c>
      <x:c r="AN237" s="9" t="n">
        <x:v>87</x:v>
      </x:c>
    </x:row>
    <x:row r="238">
      <x:c r="A238" s="9" t="str">
        <x:v>Failure</x:v>
      </x:c>
      <x:c r="B238" s="9" t="str">
        <x:v>Counting</x:v>
      </x:c>
      <x:c r="C238" s="10" t="n">
        <x:v>86</x:v>
      </x:c>
      <x:c r="D238" s="9" t="str">
        <x:v>Change the contents so the bowl ends up holding one item.</x:v>
      </x:c>
      <x:c r="E238" s="9" t="str">
        <x:v>Bowl objects: [blue pen, airplane toy without propellers] | Table objects: [yellow block, green pencil sharpener]</x:v>
      </x:c>
      <x:c r="F238" s="9" t="str">
        <x:v>REMOVE any one bowl object; finish with 1 object in the bowl</x:v>
      </x:c>
      <x:c r="G238" s="9" t="str">
        <x:v>didn't move</x:v>
      </x:c>
      <x:c r="H238" s="9" t="str">
        <x:v>Language robustness</x:v>
      </x:c>
      <x:c r="I238" s="9" t="str">
        <x:v>CT-CF03</x:v>
      </x:c>
      <x:c r="J238" s="9" t="str">
        <x:v>Primary compositional paraphrase: one via 2→1 removal</x:v>
      </x:c>
      <x:c r="K238" s="9" t="n">
        <x:v>84</x:v>
      </x:c>
      <x:c r="L238" s="9" t="str">
        <x:v>831</x:v>
      </x:c>
      <x:c r="M238" s="9" t="str">
        <x:v>Representative direct-instruction trajectory for blue pen; the evaluated count × transition composition is intentionally absent. The evaluation wording is also paraphrased.</x:v>
      </x:c>
      <x:c r="N238" s="9" t="n">
        <x:v>2</x:v>
      </x:c>
      <x:c r="O238" s="9" t="str">
        <x:v>Build the listed count-2 scene.</x:v>
      </x:c>
      <x:c r="P238" s="9" t="str">
        <x:v>Exact-scene paraphrase of the canonical held-out composition.</x:v>
      </x:c>
      <x:c r="Q238" s="9"/>
      <x:c r="R238" s="10"/>
      <x:c r="S238" s="10"/>
      <x:c r="T238" s="9"/>
      <x:c r="U238" s="9"/>
      <x:c r="V238" s="9"/>
      <x:c r="W238" s="9" t="str">
        <x:v>CT-CF03-REMOVE</x:v>
      </x:c>
      <x:c r="X238" s="10" t="n">
        <x:v>2</x:v>
      </x:c>
      <x:c r="Y238" s="10" t="n">
        <x:v>1</x:v>
      </x:c>
      <x:c r="Z238" s="9" t="str">
        <x:v>REMOVE</x:v>
      </x:c>
      <x:c r="AA238" s="9"/>
      <x:c r="AB238" s="9"/>
      <x:c r="AC238" s="9"/>
      <x:c r="AD238" s="9"/>
      <x:c r="AE238" s="9"/>
      <x:c r="AF238" s="9"/>
      <x:c r="AG238" s="9"/>
      <x:c r="AH238" s="9"/>
      <x:c r="AI238" s="11"/>
      <x:c r="AJ238" s="9"/>
      <x:c r="AK238" s="9" t="str">
        <x:v>Eval_Counting.xlsm</x:v>
      </x:c>
      <x:c r="AL238" s="9" t="str">
        <x:v>pi0.5 Results</x:v>
      </x:c>
      <x:c r="AM238" s="9" t="n">
        <x:v>88</x:v>
      </x:c>
      <x:c r="AN238" s="9" t="n">
        <x:v>88</x:v>
      </x:c>
    </x:row>
    <x:row r="239">
      <x:c r="A239" s="9" t="str">
        <x:v>Success</x:v>
      </x:c>
      <x:c r="B239" s="9" t="str">
        <x:v>Counting</x:v>
      </x:c>
      <x:c r="C239" s="10" t="n">
        <x:v>87</x:v>
      </x:c>
      <x:c r="D239" s="9" t="str">
        <x:v>Lift the blue pen out of the bowl and set it on the table.</x:v>
      </x:c>
      <x:c r="E239" s="9" t="str">
        <x:v>Bowl objects: [blue pen, airplane toy without propellers] | Table objects: [yellow block, green pencil sharpener]</x:v>
      </x:c>
      <x:c r="F239" s="9" t="str">
        <x:v>REMOVE blue pen</x:v>
      </x:c>
      <x:c r="G239" s="9"/>
      <x:c r="H239" s="9" t="str">
        <x:v>Language robustness</x:v>
      </x:c>
      <x:c r="I239" s="9" t="str">
        <x:v>CT-CF03</x:v>
      </x:c>
      <x:c r="J239" s="9" t="str">
        <x:v>Matched-control paraphrase: REMOVE</x:v>
      </x:c>
      <x:c r="K239" s="9" t="n">
        <x:v>85</x:v>
      </x:c>
      <x:c r="L239" s="9" t="str">
        <x:v>835</x:v>
      </x:c>
      <x:c r="M239" s="9" t="str">
        <x:v>Canonical direct-control trajectory for the named object and action direction; evaluation wording is paraphrased.</x:v>
      </x:c>
      <x:c r="N239" s="9" t="n">
        <x:v>2</x:v>
      </x:c>
      <x:c r="O239" s="9" t="str">
        <x:v>Reset the exact count-2 scene; change only the prompt.</x:v>
      </x:c>
      <x:c r="P239" s="9" t="str">
        <x:v>Exact-scene paraphrase of the direct manipulation control.</x:v>
      </x:c>
      <x:c r="Q239" s="9"/>
      <x:c r="R239" s="10"/>
      <x:c r="S239" s="10"/>
      <x:c r="T239" s="9"/>
      <x:c r="U239" s="9"/>
      <x:c r="V239" s="9"/>
      <x:c r="W239" s="9" t="str">
        <x:v>CT-CF03-REMOVE</x:v>
      </x:c>
      <x:c r="X239" s="10" t="n">
        <x:v>2</x:v>
      </x:c>
      <x:c r="Y239" s="10" t="n">
        <x:v>1</x:v>
      </x:c>
      <x:c r="Z239" s="9" t="str">
        <x:v>REMOVE</x:v>
      </x:c>
      <x:c r="AA239" s="9"/>
      <x:c r="AB239" s="9"/>
      <x:c r="AC239" s="9"/>
      <x:c r="AD239" s="9"/>
      <x:c r="AE239" s="9"/>
      <x:c r="AF239" s="9"/>
      <x:c r="AG239" s="9"/>
      <x:c r="AH239" s="9"/>
      <x:c r="AI239" s="11"/>
      <x:c r="AJ239" s="9"/>
      <x:c r="AK239" s="9" t="str">
        <x:v>Eval_Counting.xlsm</x:v>
      </x:c>
      <x:c r="AL239" s="9" t="str">
        <x:v>pi0.5 Results</x:v>
      </x:c>
      <x:c r="AM239" s="9" t="n">
        <x:v>89</x:v>
      </x:c>
      <x:c r="AN239" s="9" t="n">
        <x:v>89</x:v>
      </x:c>
    </x:row>
    <x:row r="240">
      <x:c r="A240" s="9" t="str">
        <x:v>Success</x:v>
      </x:c>
      <x:c r="B240" s="9" t="str">
        <x:v>Counting</x:v>
      </x:c>
      <x:c r="C240" s="10" t="n">
        <x:v>88</x:v>
      </x:c>
      <x:c r="D240" s="9" t="str">
        <x:v>Move the yellow block into the bowl.</x:v>
      </x:c>
      <x:c r="E240" s="9" t="str">
        <x:v>Bowl objects: [blue pen, airplane toy without propellers] | Table objects: [yellow block, green pencil sharpener]</x:v>
      </x:c>
      <x:c r="F240" s="9" t="str">
        <x:v>ADD yellow block</x:v>
      </x:c>
      <x:c r="G240" s="9"/>
      <x:c r="H240" s="9" t="str">
        <x:v>Matched manipulation control</x:v>
      </x:c>
      <x:c r="I240" s="9" t="str">
        <x:v>CT-CF03</x:v>
      </x:c>
      <x:c r="J240" s="9" t="str">
        <x:v>Matched direct ADD control</x:v>
      </x:c>
      <x:c r="K240" s="9"/>
      <x:c r="L240" s="9" t="str">
        <x:v>872</x:v>
      </x:c>
      <x:c r="M240" s="9" t="str">
        <x:v>Exact direct-prompt trajectory for the named object and action direction; evaluation layout is reset manually.</x:v>
      </x:c>
      <x:c r="N240" s="9" t="n">
        <x:v>2</x:v>
      </x:c>
      <x:c r="O240" s="9" t="str">
        <x:v>Reset the exact count-2 scene; change only the prompt.</x:v>
      </x:c>
      <x:c r="P240" s="9" t="str">
        <x:v>The direct prompt is present in Counting training for this same-task object and action direction.</x:v>
      </x:c>
      <x:c r="Q240" s="9"/>
      <x:c r="R240" s="10"/>
      <x:c r="S240" s="10"/>
      <x:c r="T240" s="9"/>
      <x:c r="U240" s="9"/>
      <x:c r="V240" s="9"/>
      <x:c r="W240" s="9" t="str">
        <x:v>CT-CF03-ADD</x:v>
      </x:c>
      <x:c r="X240" s="10" t="n">
        <x:v>2</x:v>
      </x:c>
      <x:c r="Y240" s="10" t="n">
        <x:v>3</x:v>
      </x:c>
      <x:c r="Z240" s="9" t="str">
        <x:v>ADD</x:v>
      </x:c>
      <x:c r="AA240" s="9"/>
      <x:c r="AB240" s="9"/>
      <x:c r="AC240" s="9"/>
      <x:c r="AD240" s="9"/>
      <x:c r="AE240" s="9"/>
      <x:c r="AF240" s="9"/>
      <x:c r="AG240" s="9"/>
      <x:c r="AH240" s="9"/>
      <x:c r="AI240" s="11"/>
      <x:c r="AJ240" s="9"/>
      <x:c r="AK240" s="9" t="str">
        <x:v>Eval_Counting.xlsm</x:v>
      </x:c>
      <x:c r="AL240" s="9" t="str">
        <x:v>pi0.5 Results</x:v>
      </x:c>
      <x:c r="AM240" s="9" t="n">
        <x:v>90</x:v>
      </x:c>
      <x:c r="AN240" s="9" t="n">
        <x:v>90</x:v>
      </x:c>
    </x:row>
    <x:row r="241">
      <x:c r="A241" s="9" t="str">
        <x:v>Failure</x:v>
      </x:c>
      <x:c r="B241" s="9" t="str">
        <x:v>Counting</x:v>
      </x:c>
      <x:c r="C241" s="10" t="n">
        <x:v>89</x:v>
      </x:c>
      <x:c r="D241" s="9" t="str">
        <x:v>Leave exactly three objects in the bowl.</x:v>
      </x:c>
      <x:c r="E241" s="9" t="str">
        <x:v>Bowl objects: [blue pen, airplane toy without propellers] | Table objects: [yellow block, green pencil sharpener]</x:v>
      </x:c>
      <x:c r="F241" s="9" t="str">
        <x:v>ADD any one table object; finish with 3 objects in the bowl</x:v>
      </x:c>
      <x:c r="G241" s="9" t="str">
        <x:v>didn't move</x:v>
      </x:c>
      <x:c r="H241" s="9" t="str">
        <x:v>Concept/compositional transfer</x:v>
      </x:c>
      <x:c r="I241" s="9" t="str">
        <x:v>CT-CF03</x:v>
      </x:c>
      <x:c r="J241" s="9" t="str">
        <x:v>Primary: three via held-out 2→3 addition</x:v>
      </x:c>
      <x:c r="K241" s="9" t="n">
        <x:v>88</x:v>
      </x:c>
      <x:c r="L241" s="9" t="str">
        <x:v>916</x:v>
      </x:c>
      <x:c r="M241" s="9" t="str">
        <x:v>Representative direct-instruction trajectory for green pencil sharpener; the evaluated count × transition composition is intentionally absent.</x:v>
      </x:c>
      <x:c r="N241" s="9" t="n">
        <x:v>2</x:v>
      </x:c>
      <x:c r="O241" s="9" t="str">
        <x:v>Reset the exact count-2 scene; change only the prompt.</x:v>
      </x:c>
      <x:c r="P241" s="9" t="str">
        <x:v>The goal word three is trained, and this 2→3 trajectory is trained under a direct instruction, but the combination is withheld.</x:v>
      </x:c>
      <x:c r="Q241" s="9"/>
      <x:c r="R241" s="10"/>
      <x:c r="S241" s="10"/>
      <x:c r="T241" s="9"/>
      <x:c r="U241" s="9"/>
      <x:c r="V241" s="9"/>
      <x:c r="W241" s="9" t="str">
        <x:v>CT-CF03-ADD</x:v>
      </x:c>
      <x:c r="X241" s="10" t="n">
        <x:v>2</x:v>
      </x:c>
      <x:c r="Y241" s="10" t="n">
        <x:v>3</x:v>
      </x:c>
      <x:c r="Z241" s="9" t="str">
        <x:v>ADD</x:v>
      </x:c>
      <x:c r="AA241" s="9"/>
      <x:c r="AB241" s="9"/>
      <x:c r="AC241" s="9"/>
      <x:c r="AD241" s="9"/>
      <x:c r="AE241" s="9"/>
      <x:c r="AF241" s="9"/>
      <x:c r="AG241" s="9"/>
      <x:c r="AH241" s="9"/>
      <x:c r="AI241" s="11"/>
      <x:c r="AJ241" s="9"/>
      <x:c r="AK241" s="9" t="str">
        <x:v>Eval_Counting.xlsm</x:v>
      </x:c>
      <x:c r="AL241" s="9" t="str">
        <x:v>pi0.5 Results</x:v>
      </x:c>
      <x:c r="AM241" s="9" t="n">
        <x:v>91</x:v>
      </x:c>
      <x:c r="AN241" s="9" t="n">
        <x:v>91</x:v>
      </x:c>
    </x:row>
    <x:row r="242">
      <x:c r="A242" s="9" t="str">
        <x:v>Success</x:v>
      </x:c>
      <x:c r="B242" s="9" t="str">
        <x:v>Counting</x:v>
      </x:c>
      <x:c r="C242" s="10" t="n">
        <x:v>90</x:v>
      </x:c>
      <x:c r="D242" s="9" t="str">
        <x:v>Lift the yellow block from the table and set it inside the bowl.</x:v>
      </x:c>
      <x:c r="E242" s="9" t="str">
        <x:v>Bowl objects: [blue pen, airplane toy without propellers] | Table objects: [yellow block, green pencil sharpener]</x:v>
      </x:c>
      <x:c r="F242" s="9" t="str">
        <x:v>ADD yellow block</x:v>
      </x:c>
      <x:c r="G242" s="9"/>
      <x:c r="H242" s="9" t="str">
        <x:v>Language robustness</x:v>
      </x:c>
      <x:c r="I242" s="9" t="str">
        <x:v>CT-CF03</x:v>
      </x:c>
      <x:c r="J242" s="9" t="str">
        <x:v>Matched-control paraphrase: ADD</x:v>
      </x:c>
      <x:c r="K242" s="9" t="n">
        <x:v>88</x:v>
      </x:c>
      <x:c r="L242" s="9" t="str">
        <x:v>872</x:v>
      </x:c>
      <x:c r="M242" s="9" t="str">
        <x:v>Canonical direct-control trajectory for the named object and action direction; evaluation wording is paraphrased.</x:v>
      </x:c>
      <x:c r="N242" s="9" t="n">
        <x:v>2</x:v>
      </x:c>
      <x:c r="O242" s="9" t="str">
        <x:v>Reset the exact count-2 scene; change only the prompt.</x:v>
      </x:c>
      <x:c r="P242" s="9" t="str">
        <x:v>Exact-scene paraphrase of the direct manipulation control.</x:v>
      </x:c>
      <x:c r="Q242" s="9"/>
      <x:c r="R242" s="10"/>
      <x:c r="S242" s="10"/>
      <x:c r="T242" s="9"/>
      <x:c r="U242" s="9"/>
      <x:c r="V242" s="9"/>
      <x:c r="W242" s="9" t="str">
        <x:v>CT-CF03-ADD</x:v>
      </x:c>
      <x:c r="X242" s="10" t="n">
        <x:v>2</x:v>
      </x:c>
      <x:c r="Y242" s="10" t="n">
        <x:v>3</x:v>
      </x:c>
      <x:c r="Z242" s="9" t="str">
        <x:v>ADD</x:v>
      </x:c>
      <x:c r="AA242" s="9"/>
      <x:c r="AB242" s="9"/>
      <x:c r="AC242" s="9"/>
      <x:c r="AD242" s="9"/>
      <x:c r="AE242" s="9"/>
      <x:c r="AF242" s="9"/>
      <x:c r="AG242" s="9"/>
      <x:c r="AH242" s="9"/>
      <x:c r="AI242" s="11"/>
      <x:c r="AJ242" s="9"/>
      <x:c r="AK242" s="9" t="str">
        <x:v>Eval_Counting.xlsm</x:v>
      </x:c>
      <x:c r="AL242" s="9" t="str">
        <x:v>pi0.5 Results</x:v>
      </x:c>
      <x:c r="AM242" s="9" t="n">
        <x:v>92</x:v>
      </x:c>
      <x:c r="AN242" s="9" t="n">
        <x:v>92</x:v>
      </x:c>
    </x:row>
    <x:row r="243">
      <x:c r="A243" s="9" t="str">
        <x:v>Failure</x:v>
      </x:c>
      <x:c r="B243" s="9" t="str">
        <x:v>Counting</x:v>
      </x:c>
      <x:c r="C243" s="10" t="n">
        <x:v>91</x:v>
      </x:c>
      <x:c r="D243" s="9" t="str">
        <x:v>Change the contents so the bowl ends up holding three items.</x:v>
      </x:c>
      <x:c r="E243" s="9" t="str">
        <x:v>Bowl objects: [blue pen, airplane toy without propellers] | Table objects: [yellow block, green pencil sharpener]</x:v>
      </x:c>
      <x:c r="F243" s="9" t="str">
        <x:v>ADD any one table object; finish with 3 objects in the bowl</x:v>
      </x:c>
      <x:c r="G243" s="9" t="str">
        <x:v>didn't move</x:v>
      </x:c>
      <x:c r="H243" s="9" t="str">
        <x:v>Language robustness</x:v>
      </x:c>
      <x:c r="I243" s="9" t="str">
        <x:v>CT-CF03</x:v>
      </x:c>
      <x:c r="J243" s="9" t="str">
        <x:v>Primary compositional paraphrase: three via 2→3 addition</x:v>
      </x:c>
      <x:c r="K243" s="9" t="n">
        <x:v>89</x:v>
      </x:c>
      <x:c r="L243" s="9" t="str">
        <x:v>916</x:v>
      </x:c>
      <x:c r="M243" s="9" t="str">
        <x:v>Representative direct-instruction trajectory for green pencil sharpener; the evaluated count × transition composition is intentionally absent. The evaluation wording is also paraphrased.</x:v>
      </x:c>
      <x:c r="N243" s="9" t="n">
        <x:v>2</x:v>
      </x:c>
      <x:c r="O243" s="9" t="str">
        <x:v>Reset the exact count-2 scene; change only the prompt.</x:v>
      </x:c>
      <x:c r="P243" s="9" t="str">
        <x:v>Exact-scene paraphrase of the canonical held-out composition.</x:v>
      </x:c>
      <x:c r="Q243" s="9"/>
      <x:c r="R243" s="10"/>
      <x:c r="S243" s="10"/>
      <x:c r="T243" s="9"/>
      <x:c r="U243" s="9"/>
      <x:c r="V243" s="9"/>
      <x:c r="W243" s="9" t="str">
        <x:v>CT-CF03-ADD</x:v>
      </x:c>
      <x:c r="X243" s="10" t="n">
        <x:v>2</x:v>
      </x:c>
      <x:c r="Y243" s="10" t="n">
        <x:v>3</x:v>
      </x:c>
      <x:c r="Z243" s="9" t="str">
        <x:v>ADD</x:v>
      </x:c>
      <x:c r="AA243" s="9"/>
      <x:c r="AB243" s="9"/>
      <x:c r="AC243" s="9"/>
      <x:c r="AD243" s="9"/>
      <x:c r="AE243" s="9"/>
      <x:c r="AF243" s="9"/>
      <x:c r="AG243" s="9"/>
      <x:c r="AH243" s="9"/>
      <x:c r="AI243" s="11"/>
      <x:c r="AJ243" s="9"/>
      <x:c r="AK243" s="9" t="str">
        <x:v>Eval_Counting.xlsm</x:v>
      </x:c>
      <x:c r="AL243" s="9" t="str">
        <x:v>pi0.5 Results</x:v>
      </x:c>
      <x:c r="AM243" s="9" t="n">
        <x:v>93</x:v>
      </x:c>
      <x:c r="AN243" s="9" t="n">
        <x:v>93</x:v>
      </x:c>
    </x:row>
    <x:row r="244">
      <x:c r="A244" s="9" t="str">
        <x:v>Failure</x:v>
      </x:c>
      <x:c r="B244" s="9" t="str">
        <x:v>Counting</x:v>
      </x:c>
      <x:c r="C244" s="10" t="n">
        <x:v>92</x:v>
      </x:c>
      <x:c r="D244" s="9" t="str">
        <x:v>Leave exactly one object in the bowl.</x:v>
      </x:c>
      <x:c r="E244" s="9" t="str">
        <x:v>Bowl objects: [blue pen, yellow block] | Table objects: [green pencil sharpener, airplane toy without propellers]</x:v>
      </x:c>
      <x:c r="F244" s="9" t="str">
        <x:v>REMOVE any one bowl object; finish with 1 object in the bowl</x:v>
      </x:c>
      <x:c r="G244" s="9" t="str">
        <x:v>didn't move</x:v>
      </x:c>
      <x:c r="H244" s="9" t="str">
        <x:v>Concept/compositional transfer</x:v>
      </x:c>
      <x:c r="I244" s="9" t="str">
        <x:v>CT-CF19</x:v>
      </x:c>
      <x:c r="J244" s="9" t="str">
        <x:v>Primary: one via held-out 2→1 removal</x:v>
      </x:c>
      <x:c r="K244" s="9"/>
      <x:c r="L244" s="9" t="str">
        <x:v>831</x:v>
      </x:c>
      <x:c r="M244" s="9" t="str">
        <x:v>Representative direct-instruction trajectory for blue pen; the evaluated count × transition composition is intentionally absent.</x:v>
      </x:c>
      <x:c r="N244" s="9" t="n">
        <x:v>4</x:v>
      </x:c>
      <x:c r="O244" s="9" t="str">
        <x:v>Build the listed count-2 scene.</x:v>
      </x:c>
      <x:c r="P244" s="9" t="str">
        <x:v>The goal word one is trained, and this 2→1 trajectory is trained under a direct instruction, but the combination is withheld.</x:v>
      </x:c>
      <x:c r="Q244" s="9"/>
      <x:c r="R244" s="10"/>
      <x:c r="S244" s="10"/>
      <x:c r="T244" s="9"/>
      <x:c r="U244" s="9"/>
      <x:c r="V244" s="9"/>
      <x:c r="W244" s="9" t="str">
        <x:v>CT-CF19-REMOVE</x:v>
      </x:c>
      <x:c r="X244" s="10" t="n">
        <x:v>2</x:v>
      </x:c>
      <x:c r="Y244" s="10" t="n">
        <x:v>1</x:v>
      </x:c>
      <x:c r="Z244" s="9" t="str">
        <x:v>REMOVE</x:v>
      </x:c>
      <x:c r="AA244" s="9"/>
      <x:c r="AB244" s="9"/>
      <x:c r="AC244" s="9"/>
      <x:c r="AD244" s="9"/>
      <x:c r="AE244" s="9"/>
      <x:c r="AF244" s="9"/>
      <x:c r="AG244" s="9"/>
      <x:c r="AH244" s="9"/>
      <x:c r="AI244" s="11"/>
      <x:c r="AJ244" s="9"/>
      <x:c r="AK244" s="9" t="str">
        <x:v>Eval_Counting.xlsm</x:v>
      </x:c>
      <x:c r="AL244" s="9" t="str">
        <x:v>pi0.5 Results</x:v>
      </x:c>
      <x:c r="AM244" s="9" t="n">
        <x:v>94</x:v>
      </x:c>
      <x:c r="AN244" s="9" t="n">
        <x:v>94</x:v>
      </x:c>
    </x:row>
    <x:row r="245">
      <x:c r="A245" s="9" t="str">
        <x:v>Failure</x:v>
      </x:c>
      <x:c r="B245" s="9" t="str">
        <x:v>Counting</x:v>
      </x:c>
      <x:c r="C245" s="10" t="n">
        <x:v>93</x:v>
      </x:c>
      <x:c r="D245" s="9" t="str">
        <x:v>Leave exactly three objects in the bowl.</x:v>
      </x:c>
      <x:c r="E245" s="9" t="str">
        <x:v>Bowl objects: [blue pen, yellow block] | Table objects: [green pencil sharpener, airplane toy without propellers]</x:v>
      </x:c>
      <x:c r="F245" s="9" t="str">
        <x:v>ADD any one table object; finish with 3 objects in the bowl</x:v>
      </x:c>
      <x:c r="G245" s="9" t="str">
        <x:v>didn't move</x:v>
      </x:c>
      <x:c r="H245" s="9" t="str">
        <x:v>Concept/compositional transfer</x:v>
      </x:c>
      <x:c r="I245" s="9" t="str">
        <x:v>CT-CF19</x:v>
      </x:c>
      <x:c r="J245" s="9" t="str">
        <x:v>Primary: three via held-out 2→3 addition</x:v>
      </x:c>
      <x:c r="K245" s="9" t="n">
        <x:v>92</x:v>
      </x:c>
      <x:c r="L245" s="9" t="str">
        <x:v>966</x:v>
      </x:c>
      <x:c r="M245" s="9" t="str">
        <x:v>Representative direct-instruction trajectory for airplane toy without propellers; the evaluated count × transition composition is intentionally absent.</x:v>
      </x:c>
      <x:c r="N245" s="9" t="n">
        <x:v>4</x:v>
      </x:c>
      <x:c r="O245" s="9" t="str">
        <x:v>Reset the exact count-2 scene; change only the prompt.</x:v>
      </x:c>
      <x:c r="P245" s="9" t="str">
        <x:v>The goal word three is trained, and this 2→3 trajectory is trained under a direct instruction, but the combination is withheld.</x:v>
      </x:c>
      <x:c r="Q245" s="9"/>
      <x:c r="R245" s="10"/>
      <x:c r="S245" s="10"/>
      <x:c r="T245" s="9"/>
      <x:c r="U245" s="9"/>
      <x:c r="V245" s="9"/>
      <x:c r="W245" s="9" t="str">
        <x:v>CT-CF19-ADD</x:v>
      </x:c>
      <x:c r="X245" s="10" t="n">
        <x:v>2</x:v>
      </x:c>
      <x:c r="Y245" s="10" t="n">
        <x:v>3</x:v>
      </x:c>
      <x:c r="Z245" s="9" t="str">
        <x:v>ADD</x:v>
      </x:c>
      <x:c r="AA245" s="9"/>
      <x:c r="AB245" s="9"/>
      <x:c r="AC245" s="9"/>
      <x:c r="AD245" s="9"/>
      <x:c r="AE245" s="9"/>
      <x:c r="AF245" s="9"/>
      <x:c r="AG245" s="9"/>
      <x:c r="AH245" s="9"/>
      <x:c r="AI245" s="11"/>
      <x:c r="AJ245" s="9"/>
      <x:c r="AK245" s="9" t="str">
        <x:v>Eval_Counting.xlsm</x:v>
      </x:c>
      <x:c r="AL245" s="9" t="str">
        <x:v>pi0.5 Results</x:v>
      </x:c>
      <x:c r="AM245" s="9" t="n">
        <x:v>95</x:v>
      </x:c>
      <x:c r="AN245" s="9" t="n">
        <x:v>95</x:v>
      </x:c>
    </x:row>
    <x:row r="246">
      <x:c r="A246" s="9" t="str">
        <x:v>Failure</x:v>
      </x:c>
      <x:c r="B246" s="9" t="str">
        <x:v>Counting</x:v>
      </x:c>
      <x:c r="C246" s="10" t="n">
        <x:v>94</x:v>
      </x:c>
      <x:c r="D246" s="9" t="str">
        <x:v>Leave exactly three objects in the bowl.</x:v>
      </x:c>
      <x:c r="E246" s="9" t="str">
        <x:v>Bowl objects: [yellow block, green pencil sharpener] | Table objects: [blue pen, airplane toy without propellers]</x:v>
      </x:c>
      <x:c r="F246" s="9" t="str">
        <x:v>ADD any one table object; finish with 3 objects in the bowl</x:v>
      </x:c>
      <x:c r="G246" s="9" t="str">
        <x:v>didn't move</x:v>
      </x:c>
      <x:c r="H246" s="9" t="str">
        <x:v>Concept/compositional transfer</x:v>
      </x:c>
      <x:c r="I246" s="9" t="str">
        <x:v>CT-CF04</x:v>
      </x:c>
      <x:c r="J246" s="9" t="str">
        <x:v>Primary: three via held-out 2→3 addition</x:v>
      </x:c>
      <x:c r="K246" s="9"/>
      <x:c r="L246" s="9" t="str">
        <x:v>816</x:v>
      </x:c>
      <x:c r="M246" s="9" t="str">
        <x:v>Representative direct-instruction trajectory for blue pen; the evaluated count × transition composition is intentionally absent.</x:v>
      </x:c>
      <x:c r="N246" s="9" t="n">
        <x:v>2</x:v>
      </x:c>
      <x:c r="O246" s="9" t="str">
        <x:v>Reset the exact count-2 scene; change only the prompt.</x:v>
      </x:c>
      <x:c r="P246" s="9" t="str">
        <x:v>The goal word three is trained, and this 2→3 trajectory is trained under a direct instruction, but the combination is withheld.</x:v>
      </x:c>
      <x:c r="Q246" s="9"/>
      <x:c r="R246" s="10"/>
      <x:c r="S246" s="10"/>
      <x:c r="T246" s="9"/>
      <x:c r="U246" s="9"/>
      <x:c r="V246" s="9"/>
      <x:c r="W246" s="9" t="str">
        <x:v>CT-CF04-ADD</x:v>
      </x:c>
      <x:c r="X246" s="10" t="n">
        <x:v>2</x:v>
      </x:c>
      <x:c r="Y246" s="10" t="n">
        <x:v>3</x:v>
      </x:c>
      <x:c r="Z246" s="9" t="str">
        <x:v>ADD</x:v>
      </x:c>
      <x:c r="AA246" s="9"/>
      <x:c r="AB246" s="9"/>
      <x:c r="AC246" s="9"/>
      <x:c r="AD246" s="9"/>
      <x:c r="AE246" s="9"/>
      <x:c r="AF246" s="9"/>
      <x:c r="AG246" s="9"/>
      <x:c r="AH246" s="9"/>
      <x:c r="AI246" s="11"/>
      <x:c r="AJ246" s="9"/>
      <x:c r="AK246" s="9" t="str">
        <x:v>Eval_Counting.xlsm</x:v>
      </x:c>
      <x:c r="AL246" s="9" t="str">
        <x:v>pi0.5 Results</x:v>
      </x:c>
      <x:c r="AM246" s="9" t="n">
        <x:v>96</x:v>
      </x:c>
      <x:c r="AN246" s="9" t="n">
        <x:v>96</x:v>
      </x:c>
    </x:row>
    <x:row r="247">
      <x:c r="A247" s="9" t="str">
        <x:v>Success</x:v>
      </x:c>
      <x:c r="B247" s="9" t="str">
        <x:v>Counting</x:v>
      </x:c>
      <x:c r="C247" s="10" t="n">
        <x:v>95</x:v>
      </x:c>
      <x:c r="D247" s="9" t="str">
        <x:v>Move the blue pen into the bowl.</x:v>
      </x:c>
      <x:c r="E247" s="9" t="str">
        <x:v>Bowl objects: [yellow block, green pencil sharpener] | Table objects: [blue pen, airplane toy without propellers]</x:v>
      </x:c>
      <x:c r="F247" s="9" t="str">
        <x:v>ADD blue pen</x:v>
      </x:c>
      <x:c r="G247" s="9"/>
      <x:c r="H247" s="9" t="str">
        <x:v>Matched manipulation control</x:v>
      </x:c>
      <x:c r="I247" s="9" t="str">
        <x:v>CT-CF04</x:v>
      </x:c>
      <x:c r="J247" s="9" t="str">
        <x:v>Matched direct ADD control</x:v>
      </x:c>
      <x:c r="K247" s="9" t="n">
        <x:v>94</x:v>
      </x:c>
      <x:c r="L247" s="9" t="str">
        <x:v>817</x:v>
      </x:c>
      <x:c r="M247" s="9" t="str">
        <x:v>Exact direct-prompt trajectory for the named object and action direction; evaluation layout is reset manually.</x:v>
      </x:c>
      <x:c r="N247" s="9" t="n">
        <x:v>2</x:v>
      </x:c>
      <x:c r="O247" s="9" t="str">
        <x:v>Reset the exact count-2 scene; change only the prompt.</x:v>
      </x:c>
      <x:c r="P247" s="9" t="str">
        <x:v>The direct prompt is present in Counting training for this same-task object and action direction.</x:v>
      </x:c>
      <x:c r="Q247" s="9"/>
      <x:c r="R247" s="10"/>
      <x:c r="S247" s="10"/>
      <x:c r="T247" s="9"/>
      <x:c r="U247" s="9"/>
      <x:c r="V247" s="9"/>
      <x:c r="W247" s="9" t="str">
        <x:v>CT-CF04-ADD</x:v>
      </x:c>
      <x:c r="X247" s="10" t="n">
        <x:v>2</x:v>
      </x:c>
      <x:c r="Y247" s="10" t="n">
        <x:v>3</x:v>
      </x:c>
      <x:c r="Z247" s="9" t="str">
        <x:v>ADD</x:v>
      </x:c>
      <x:c r="AA247" s="9"/>
      <x:c r="AB247" s="9"/>
      <x:c r="AC247" s="9"/>
      <x:c r="AD247" s="9"/>
      <x:c r="AE247" s="9"/>
      <x:c r="AF247" s="9"/>
      <x:c r="AG247" s="9"/>
      <x:c r="AH247" s="9"/>
      <x:c r="AI247" s="11"/>
      <x:c r="AJ247" s="9"/>
      <x:c r="AK247" s="9" t="str">
        <x:v>Eval_Counting.xlsm</x:v>
      </x:c>
      <x:c r="AL247" s="9" t="str">
        <x:v>pi0.5 Results</x:v>
      </x:c>
      <x:c r="AM247" s="9" t="n">
        <x:v>97</x:v>
      </x:c>
      <x:c r="AN247" s="9" t="n">
        <x:v>97</x:v>
      </x:c>
    </x:row>
    <x:row r="248">
      <x:c r="A248" s="9" t="str">
        <x:v>Failure</x:v>
      </x:c>
      <x:c r="B248" s="9" t="str">
        <x:v>Counting</x:v>
      </x:c>
      <x:c r="C248" s="10" t="n">
        <x:v>96</x:v>
      </x:c>
      <x:c r="D248" s="9" t="str">
        <x:v>End with three items inside the bowl.</x:v>
      </x:c>
      <x:c r="E248" s="9" t="str">
        <x:v>Bowl objects: [yellow block, green pencil sharpener] | Table objects: [blue pen, airplane toy without propellers]</x:v>
      </x:c>
      <x:c r="F248" s="9" t="str">
        <x:v>ADD any one table object; finish with 3 objects in the bowl</x:v>
      </x:c>
      <x:c r="G248" s="9" t="str">
        <x:v>didn't move</x:v>
      </x:c>
      <x:c r="H248" s="9" t="str">
        <x:v>Language robustness</x:v>
      </x:c>
      <x:c r="I248" s="9" t="str">
        <x:v>CT-CF04</x:v>
      </x:c>
      <x:c r="J248" s="9" t="str">
        <x:v>Primary compositional paraphrase: three via 2→3 addition</x:v>
      </x:c>
      <x:c r="K248" s="9" t="n">
        <x:v>94</x:v>
      </x:c>
      <x:c r="L248" s="9" t="str">
        <x:v>816</x:v>
      </x:c>
      <x:c r="M248" s="9" t="str">
        <x:v>Representative direct-instruction trajectory for blue pen; the evaluated count × transition composition is intentionally absent. The evaluation wording is also paraphrased.</x:v>
      </x:c>
      <x:c r="N248" s="9" t="n">
        <x:v>2</x:v>
      </x:c>
      <x:c r="O248" s="9" t="str">
        <x:v>Reset the exact count-2 scene; change only the prompt.</x:v>
      </x:c>
      <x:c r="P248" s="9" t="str">
        <x:v>Exact-scene paraphrase of the canonical held-out composition.</x:v>
      </x:c>
      <x:c r="Q248" s="9"/>
      <x:c r="R248" s="10"/>
      <x:c r="S248" s="10"/>
      <x:c r="T248" s="9"/>
      <x:c r="U248" s="9"/>
      <x:c r="V248" s="9"/>
      <x:c r="W248" s="9" t="str">
        <x:v>CT-CF04-ADD</x:v>
      </x:c>
      <x:c r="X248" s="10" t="n">
        <x:v>2</x:v>
      </x:c>
      <x:c r="Y248" s="10" t="n">
        <x:v>3</x:v>
      </x:c>
      <x:c r="Z248" s="9" t="str">
        <x:v>ADD</x:v>
      </x:c>
      <x:c r="AA248" s="9"/>
      <x:c r="AB248" s="9"/>
      <x:c r="AC248" s="9"/>
      <x:c r="AD248" s="9"/>
      <x:c r="AE248" s="9"/>
      <x:c r="AF248" s="9"/>
      <x:c r="AG248" s="9"/>
      <x:c r="AH248" s="9"/>
      <x:c r="AI248" s="11"/>
      <x:c r="AJ248" s="9"/>
      <x:c r="AK248" s="9" t="str">
        <x:v>Eval_Counting.xlsm</x:v>
      </x:c>
      <x:c r="AL248" s="9" t="str">
        <x:v>pi0.5 Results</x:v>
      </x:c>
      <x:c r="AM248" s="9" t="n">
        <x:v>98</x:v>
      </x:c>
      <x:c r="AN248" s="9" t="n">
        <x:v>98</x:v>
      </x:c>
    </x:row>
    <x:row r="249">
      <x:c r="A249" s="9" t="str">
        <x:v>Failure</x:v>
      </x:c>
      <x:c r="B249" s="9" t="str">
        <x:v>Counting</x:v>
      </x:c>
      <x:c r="C249" s="10" t="n">
        <x:v>97</x:v>
      </x:c>
      <x:c r="D249" s="9" t="str">
        <x:v>Lift the blue pen from the table and set it inside the bowl.</x:v>
      </x:c>
      <x:c r="E249" s="9" t="str">
        <x:v>Bowl objects: [yellow block, green pencil sharpener] | Table objects: [blue pen, airplane toy without propellers]</x:v>
      </x:c>
      <x:c r="F249" s="9" t="str">
        <x:v>ADD blue pen</x:v>
      </x:c>
      <x:c r="G249" s="9" t="str">
        <x:v>didn't move</x:v>
      </x:c>
      <x:c r="H249" s="9" t="str">
        <x:v>Language robustness</x:v>
      </x:c>
      <x:c r="I249" s="9" t="str">
        <x:v>CT-CF04</x:v>
      </x:c>
      <x:c r="J249" s="9" t="str">
        <x:v>Matched-control paraphrase: ADD</x:v>
      </x:c>
      <x:c r="K249" s="9" t="n">
        <x:v>95</x:v>
      </x:c>
      <x:c r="L249" s="9" t="str">
        <x:v>817</x:v>
      </x:c>
      <x:c r="M249" s="9" t="str">
        <x:v>Canonical direct-control trajectory for the named object and action direction; evaluation wording is paraphrased.</x:v>
      </x:c>
      <x:c r="N249" s="9" t="n">
        <x:v>2</x:v>
      </x:c>
      <x:c r="O249" s="9" t="str">
        <x:v>Reset the exact count-2 scene; change only the prompt.</x:v>
      </x:c>
      <x:c r="P249" s="9" t="str">
        <x:v>Exact-scene paraphrase of the direct manipulation control.</x:v>
      </x:c>
      <x:c r="Q249" s="9"/>
      <x:c r="R249" s="10"/>
      <x:c r="S249" s="10"/>
      <x:c r="T249" s="9"/>
      <x:c r="U249" s="9"/>
      <x:c r="V249" s="9"/>
      <x:c r="W249" s="9" t="str">
        <x:v>CT-CF04-ADD</x:v>
      </x:c>
      <x:c r="X249" s="10" t="n">
        <x:v>2</x:v>
      </x:c>
      <x:c r="Y249" s="10" t="n">
        <x:v>3</x:v>
      </x:c>
      <x:c r="Z249" s="9" t="str">
        <x:v>ADD</x:v>
      </x:c>
      <x:c r="AA249" s="9"/>
      <x:c r="AB249" s="9"/>
      <x:c r="AC249" s="9"/>
      <x:c r="AD249" s="9"/>
      <x:c r="AE249" s="9"/>
      <x:c r="AF249" s="9"/>
      <x:c r="AG249" s="9"/>
      <x:c r="AH249" s="9"/>
      <x:c r="AI249" s="11"/>
      <x:c r="AJ249" s="9"/>
      <x:c r="AK249" s="9" t="str">
        <x:v>Eval_Counting.xlsm</x:v>
      </x:c>
      <x:c r="AL249" s="9" t="str">
        <x:v>pi0.5 Results</x:v>
      </x:c>
      <x:c r="AM249" s="9" t="n">
        <x:v>99</x:v>
      </x:c>
      <x:c r="AN249" s="9" t="n">
        <x:v>99</x:v>
      </x:c>
    </x:row>
    <x:row r="250">
      <x:c r="A250" s="9" t="str">
        <x:v>Success</x:v>
      </x:c>
      <x:c r="B250" s="9" t="str">
        <x:v>Counting</x:v>
      </x:c>
      <x:c r="C250" s="10" t="n">
        <x:v>98</x:v>
      </x:c>
      <x:c r="D250" s="9" t="str">
        <x:v>Move the yellow block from the bowl to the table.</x:v>
      </x:c>
      <x:c r="E250" s="9" t="str">
        <x:v>Bowl objects: [yellow block, green pencil sharpener] | Table objects: [blue pen, airplane toy without propellers]</x:v>
      </x:c>
      <x:c r="F250" s="9" t="str">
        <x:v>REMOVE yellow block</x:v>
      </x:c>
      <x:c r="G250" s="9"/>
      <x:c r="H250" s="9" t="str">
        <x:v>Matched manipulation control</x:v>
      </x:c>
      <x:c r="I250" s="9" t="str">
        <x:v>CT-CF04</x:v>
      </x:c>
      <x:c r="J250" s="9" t="str">
        <x:v>Matched direct REMOVE control</x:v>
      </x:c>
      <x:c r="K250" s="9"/>
      <x:c r="L250" s="9" t="str">
        <x:v>885</x:v>
      </x:c>
      <x:c r="M250" s="9" t="str">
        <x:v>Exact direct-prompt trajectory for the named object and action direction; evaluation layout is reset manually.</x:v>
      </x:c>
      <x:c r="N250" s="9" t="n">
        <x:v>2</x:v>
      </x:c>
      <x:c r="O250" s="9" t="str">
        <x:v>Reset the exact count-2 scene; change only the prompt.</x:v>
      </x:c>
      <x:c r="P250" s="9" t="str">
        <x:v>The direct prompt is present in Counting training for this same-task object and action direction.</x:v>
      </x:c>
      <x:c r="Q250" s="9"/>
      <x:c r="R250" s="10"/>
      <x:c r="S250" s="10"/>
      <x:c r="T250" s="9"/>
      <x:c r="U250" s="9"/>
      <x:c r="V250" s="9"/>
      <x:c r="W250" s="9" t="str">
        <x:v>CT-CF04-REMOVE</x:v>
      </x:c>
      <x:c r="X250" s="10" t="n">
        <x:v>2</x:v>
      </x:c>
      <x:c r="Y250" s="10" t="n">
        <x:v>1</x:v>
      </x:c>
      <x:c r="Z250" s="9" t="str">
        <x:v>REMOVE</x:v>
      </x:c>
      <x:c r="AA250" s="9"/>
      <x:c r="AB250" s="9"/>
      <x:c r="AC250" s="9"/>
      <x:c r="AD250" s="9"/>
      <x:c r="AE250" s="9"/>
      <x:c r="AF250" s="9"/>
      <x:c r="AG250" s="9"/>
      <x:c r="AH250" s="9"/>
      <x:c r="AI250" s="11"/>
      <x:c r="AJ250" s="9"/>
      <x:c r="AK250" s="9" t="str">
        <x:v>Eval_Counting.xlsm</x:v>
      </x:c>
      <x:c r="AL250" s="9" t="str">
        <x:v>pi0.5 Results</x:v>
      </x:c>
      <x:c r="AM250" s="9" t="n">
        <x:v>100</x:v>
      </x:c>
      <x:c r="AN250" s="9" t="n">
        <x:v>100</x:v>
      </x:c>
    </x:row>
    <x:row r="251">
      <x:c r="A251" s="9" t="str">
        <x:v>Failure</x:v>
      </x:c>
      <x:c r="B251" s="9" t="str">
        <x:v>Counting</x:v>
      </x:c>
      <x:c r="C251" s="10" t="n">
        <x:v>99</x:v>
      </x:c>
      <x:c r="D251" s="9" t="str">
        <x:v>Leave exactly one object in the bowl.</x:v>
      </x:c>
      <x:c r="E251" s="9" t="str">
        <x:v>Bowl objects: [yellow block, green pencil sharpener] | Table objects: [blue pen, airplane toy without propellers]</x:v>
      </x:c>
      <x:c r="F251" s="9" t="str">
        <x:v>REMOVE any one bowl object; finish with 1 object in the bowl</x:v>
      </x:c>
      <x:c r="G251" s="9" t="str">
        <x:v>didn't move</x:v>
      </x:c>
      <x:c r="H251" s="9" t="str">
        <x:v>Concept/compositional transfer</x:v>
      </x:c>
      <x:c r="I251" s="9" t="str">
        <x:v>CT-CF04</x:v>
      </x:c>
      <x:c r="J251" s="9" t="str">
        <x:v>Primary: one via held-out 2→1 removal</x:v>
      </x:c>
      <x:c r="K251" s="9" t="n">
        <x:v>98</x:v>
      </x:c>
      <x:c r="L251" s="9" t="str">
        <x:v>931</x:v>
      </x:c>
      <x:c r="M251" s="9" t="str">
        <x:v>Representative direct-instruction trajectory for green pencil sharpener; the evaluated count × transition composition is intentionally absent.</x:v>
      </x:c>
      <x:c r="N251" s="9" t="n">
        <x:v>2</x:v>
      </x:c>
      <x:c r="O251" s="9" t="str">
        <x:v>Build the listed count-2 scene.</x:v>
      </x:c>
      <x:c r="P251" s="9" t="str">
        <x:v>The goal word one is trained, and this 2→1 trajectory is trained under a direct instruction, but the combination is withheld.</x:v>
      </x:c>
      <x:c r="Q251" s="9"/>
      <x:c r="R251" s="10"/>
      <x:c r="S251" s="10"/>
      <x:c r="T251" s="9"/>
      <x:c r="U251" s="9"/>
      <x:c r="V251" s="9"/>
      <x:c r="W251" s="9" t="str">
        <x:v>CT-CF04-REMOVE</x:v>
      </x:c>
      <x:c r="X251" s="10" t="n">
        <x:v>2</x:v>
      </x:c>
      <x:c r="Y251" s="10" t="n">
        <x:v>1</x:v>
      </x:c>
      <x:c r="Z251" s="9" t="str">
        <x:v>REMOVE</x:v>
      </x:c>
      <x:c r="AA251" s="9"/>
      <x:c r="AB251" s="9"/>
      <x:c r="AC251" s="9"/>
      <x:c r="AD251" s="9"/>
      <x:c r="AE251" s="9"/>
      <x:c r="AF251" s="9"/>
      <x:c r="AG251" s="9"/>
      <x:c r="AH251" s="9"/>
      <x:c r="AI251" s="11"/>
      <x:c r="AJ251" s="9"/>
      <x:c r="AK251" s="9" t="str">
        <x:v>Eval_Counting.xlsm</x:v>
      </x:c>
      <x:c r="AL251" s="9" t="str">
        <x:v>pi0.5 Results</x:v>
      </x:c>
      <x:c r="AM251" s="9" t="n">
        <x:v>101</x:v>
      </x:c>
      <x:c r="AN251" s="9" t="n">
        <x:v>101</x:v>
      </x:c>
    </x:row>
    <x:row r="252">
      <x:c r="A252" s="9" t="str">
        <x:v>Success</x:v>
      </x:c>
      <x:c r="B252" s="9" t="str">
        <x:v>Counting</x:v>
      </x:c>
      <x:c r="C252" s="10" t="n">
        <x:v>100</x:v>
      </x:c>
      <x:c r="D252" s="9" t="str">
        <x:v>Lift the yellow block out of the bowl and set it on the table.</x:v>
      </x:c>
      <x:c r="E252" s="9" t="str">
        <x:v>Bowl objects: [yellow block, green pencil sharpener] | Table objects: [blue pen, airplane toy without propellers]</x:v>
      </x:c>
      <x:c r="F252" s="9" t="str">
        <x:v>REMOVE yellow block</x:v>
      </x:c>
      <x:c r="G252" s="9" t="str">
        <x:v>picked both the yellow block and green pencil sharpener simultaneously, but it did technically get the yellow block</x:v>
      </x:c>
      <x:c r="H252" s="9" t="str">
        <x:v>Language robustness</x:v>
      </x:c>
      <x:c r="I252" s="9" t="str">
        <x:v>CT-CF04</x:v>
      </x:c>
      <x:c r="J252" s="9" t="str">
        <x:v>Matched-control paraphrase: REMOVE</x:v>
      </x:c>
      <x:c r="K252" s="9" t="n">
        <x:v>98</x:v>
      </x:c>
      <x:c r="L252" s="9" t="str">
        <x:v>885</x:v>
      </x:c>
      <x:c r="M252" s="9" t="str">
        <x:v>Canonical direct-control trajectory for the named object and action direction; evaluation wording is paraphrased.</x:v>
      </x:c>
      <x:c r="N252" s="9" t="n">
        <x:v>2</x:v>
      </x:c>
      <x:c r="O252" s="9" t="str">
        <x:v>Reset the exact count-2 scene; change only the prompt.</x:v>
      </x:c>
      <x:c r="P252" s="9" t="str">
        <x:v>Exact-scene paraphrase of the direct manipulation control.</x:v>
      </x:c>
      <x:c r="Q252" s="9"/>
      <x:c r="R252" s="10"/>
      <x:c r="S252" s="10"/>
      <x:c r="T252" s="9"/>
      <x:c r="U252" s="9"/>
      <x:c r="V252" s="9"/>
      <x:c r="W252" s="9" t="str">
        <x:v>CT-CF04-REMOVE</x:v>
      </x:c>
      <x:c r="X252" s="10" t="n">
        <x:v>2</x:v>
      </x:c>
      <x:c r="Y252" s="10" t="n">
        <x:v>1</x:v>
      </x:c>
      <x:c r="Z252" s="9" t="str">
        <x:v>REMOVE</x:v>
      </x:c>
      <x:c r="AA252" s="9"/>
      <x:c r="AB252" s="9"/>
      <x:c r="AC252" s="9"/>
      <x:c r="AD252" s="9"/>
      <x:c r="AE252" s="9"/>
      <x:c r="AF252" s="9"/>
      <x:c r="AG252" s="9"/>
      <x:c r="AH252" s="9"/>
      <x:c r="AI252" s="11"/>
      <x:c r="AJ252" s="9"/>
      <x:c r="AK252" s="9" t="str">
        <x:v>Eval_Counting.xlsm</x:v>
      </x:c>
      <x:c r="AL252" s="9" t="str">
        <x:v>pi0.5 Results</x:v>
      </x:c>
      <x:c r="AM252" s="9" t="n">
        <x:v>102</x:v>
      </x:c>
      <x:c r="AN252" s="9" t="n">
        <x:v>102</x:v>
      </x:c>
    </x:row>
    <x:row r="253">
      <x:c r="A253" s="9" t="str">
        <x:v>Failure</x:v>
      </x:c>
      <x:c r="B253" s="9" t="str">
        <x:v>Counting</x:v>
      </x:c>
      <x:c r="C253" s="10" t="n">
        <x:v>101</x:v>
      </x:c>
      <x:c r="D253" s="9" t="str">
        <x:v>End with a single object in the bowl.</x:v>
      </x:c>
      <x:c r="E253" s="9" t="str">
        <x:v>Bowl objects: [yellow block, green pencil sharpener] | Table objects: [blue pen, airplane toy without propellers]</x:v>
      </x:c>
      <x:c r="F253" s="9" t="str">
        <x:v>REMOVE any one bowl object; finish with 1 object in the bowl</x:v>
      </x:c>
      <x:c r="G253" s="9" t="str">
        <x:v>didn't move</x:v>
      </x:c>
      <x:c r="H253" s="9" t="str">
        <x:v>Language robustness</x:v>
      </x:c>
      <x:c r="I253" s="9" t="str">
        <x:v>CT-CF04</x:v>
      </x:c>
      <x:c r="J253" s="9" t="str">
        <x:v>Primary compositional paraphrase: one via 2→1 removal</x:v>
      </x:c>
      <x:c r="K253" s="9" t="n">
        <x:v>99</x:v>
      </x:c>
      <x:c r="L253" s="9" t="str">
        <x:v>931</x:v>
      </x:c>
      <x:c r="M253" s="9" t="str">
        <x:v>Representative direct-instruction trajectory for green pencil sharpener; the evaluated count × transition composition is intentionally absent. The evaluation wording is also paraphrased.</x:v>
      </x:c>
      <x:c r="N253" s="9" t="n">
        <x:v>2</x:v>
      </x:c>
      <x:c r="O253" s="9" t="str">
        <x:v>Build the listed count-2 scene.</x:v>
      </x:c>
      <x:c r="P253" s="9" t="str">
        <x:v>Exact-scene paraphrase of the canonical held-out composition.</x:v>
      </x:c>
      <x:c r="Q253" s="9"/>
      <x:c r="R253" s="10"/>
      <x:c r="S253" s="10"/>
      <x:c r="T253" s="9"/>
      <x:c r="U253" s="9"/>
      <x:c r="V253" s="9"/>
      <x:c r="W253" s="9" t="str">
        <x:v>CT-CF04-REMOVE</x:v>
      </x:c>
      <x:c r="X253" s="10" t="n">
        <x:v>2</x:v>
      </x:c>
      <x:c r="Y253" s="10" t="n">
        <x:v>1</x:v>
      </x:c>
      <x:c r="Z253" s="9" t="str">
        <x:v>REMOVE</x:v>
      </x:c>
      <x:c r="AA253" s="9"/>
      <x:c r="AB253" s="9"/>
      <x:c r="AC253" s="9"/>
      <x:c r="AD253" s="9"/>
      <x:c r="AE253" s="9"/>
      <x:c r="AF253" s="9"/>
      <x:c r="AG253" s="9"/>
      <x:c r="AH253" s="9"/>
      <x:c r="AI253" s="11"/>
      <x:c r="AJ253" s="9"/>
      <x:c r="AK253" s="9" t="str">
        <x:v>Eval_Counting.xlsm</x:v>
      </x:c>
      <x:c r="AL253" s="9" t="str">
        <x:v>pi0.5 Results</x:v>
      </x:c>
      <x:c r="AM253" s="9" t="n">
        <x:v>103</x:v>
      </x:c>
      <x:c r="AN253" s="9" t="n">
        <x:v>103</x:v>
      </x:c>
    </x:row>
    <x:row r="254">
      <x:c r="A254" s="9" t="str">
        <x:v>Success</x:v>
      </x:c>
      <x:c r="B254" s="9" t="str">
        <x:v>Counting</x:v>
      </x:c>
      <x:c r="C254" s="10" t="n">
        <x:v>102</x:v>
      </x:c>
      <x:c r="D254" s="9" t="str">
        <x:v>Leave no objects in the bowl.</x:v>
      </x:c>
      <x:c r="E254" s="9" t="str">
        <x:v>Bowl objects: [none] | Table objects: [green pencil sharpener]</x:v>
      </x:c>
      <x:c r="F254" s="9" t="str">
        <x:v>NO-OP; preserve 0 objects in the bowl and do not initiate a grasp</x:v>
      </x:c>
      <x:c r="G254" s="9"/>
      <x:c r="H254" s="9" t="str">
        <x:v>Goal already satisfied / no movement</x:v>
      </x:c>
      <x:c r="I254" s="9" t="str">
        <x:v>NOOP-03</x:v>
      </x:c>
      <x:c r="J254" s="9" t="str">
        <x:v>Goal already satisfied: 0→0</x:v>
      </x:c>
      <x:c r="K254" s="9"/>
      <x:c r="L254" s="9" t="str">
        <x:v>975</x:v>
      </x:c>
      <x:c r="M254" s="9" t="str">
        <x:v>Prompt/concept grounding only. Training does not contain a goal-already-satisfied no-movement trajectory.</x:v>
      </x:c>
      <x:c r="N254" s="9" t="n">
        <x:v>6</x:v>
      </x:c>
      <x:c r="O254" s="9" t="str">
        <x:v>Build the first no-movement scene in this family.</x:v>
      </x:c>
      <x:c r="P254" s="9" t="str">
        <x:v>Visible-object count varies across no-op families. Table objects are distractors where present; success requires leaving the satisfied scene unchanged.</x:v>
      </x:c>
      <x:c r="Q254" s="9"/>
      <x:c r="R254" s="10"/>
      <x:c r="S254" s="10"/>
      <x:c r="T254" s="9"/>
      <x:c r="U254" s="9"/>
      <x:c r="V254" s="9"/>
      <x:c r="W254" s="9" t="str">
        <x:v>NOOP-03</x:v>
      </x:c>
      <x:c r="X254" s="10" t="n">
        <x:v>0</x:v>
      </x:c>
      <x:c r="Y254" s="10" t="n">
        <x:v>0</x:v>
      </x:c>
      <x:c r="Z254" s="9" t="str">
        <x:v>NO-OP</x:v>
      </x:c>
      <x:c r="AA254" s="9"/>
      <x:c r="AB254" s="9"/>
      <x:c r="AC254" s="9"/>
      <x:c r="AD254" s="9"/>
      <x:c r="AE254" s="9"/>
      <x:c r="AF254" s="9"/>
      <x:c r="AG254" s="9"/>
      <x:c r="AH254" s="9"/>
      <x:c r="AI254" s="11"/>
      <x:c r="AJ254" s="9"/>
      <x:c r="AK254" s="9" t="str">
        <x:v>Eval_Counting.xlsm</x:v>
      </x:c>
      <x:c r="AL254" s="9" t="str">
        <x:v>pi0.5 Results</x:v>
      </x:c>
      <x:c r="AM254" s="9" t="n">
        <x:v>104</x:v>
      </x:c>
      <x:c r="AN254" s="9" t="n">
        <x:v>104</x:v>
      </x:c>
    </x:row>
    <x:row r="255">
      <x:c r="A255" s="9" t="str">
        <x:v>Success</x:v>
      </x:c>
      <x:c r="B255" s="9" t="str">
        <x:v>Counting</x:v>
      </x:c>
      <x:c r="C255" s="10" t="n">
        <x:v>103</x:v>
      </x:c>
      <x:c r="D255" s="9" t="str">
        <x:v>Leave exactly one object in the bowl.</x:v>
      </x:c>
      <x:c r="E255" s="9" t="str">
        <x:v>Bowl objects: [green pencil sharpener] | Table objects: [airplane toy without propellers]</x:v>
      </x:c>
      <x:c r="F255" s="9" t="str">
        <x:v>NO-OP; preserve 1 object in the bowl and do not initiate a grasp</x:v>
      </x:c>
      <x:c r="G255" s="9"/>
      <x:c r="H255" s="9" t="str">
        <x:v>Goal already satisfied / no movement</x:v>
      </x:c>
      <x:c r="I255" s="9" t="str">
        <x:v>NOOP-03</x:v>
      </x:c>
      <x:c r="J255" s="9" t="str">
        <x:v>Goal already satisfied: 1→1</x:v>
      </x:c>
      <x:c r="K255" s="9"/>
      <x:c r="L255" s="9" t="str">
        <x:v>800</x:v>
      </x:c>
      <x:c r="M255" s="9" t="str">
        <x:v>Prompt/concept grounding only. Training does not contain a goal-already-satisfied no-movement trajectory.</x:v>
      </x:c>
      <x:c r="N255" s="9" t="n">
        <x:v>6</x:v>
      </x:c>
      <x:c r="O255" s="9" t="str">
        <x:v>Move only the minimum listed objects between bowl and table for the next count.</x:v>
      </x:c>
      <x:c r="P255" s="9" t="str">
        <x:v>Visible-object count varies across no-op families. Table objects are distractors where present; success requires leaving the satisfied scene unchanged.</x:v>
      </x:c>
      <x:c r="Q255" s="9"/>
      <x:c r="R255" s="10"/>
      <x:c r="S255" s="10"/>
      <x:c r="T255" s="9"/>
      <x:c r="U255" s="9"/>
      <x:c r="V255" s="9"/>
      <x:c r="W255" s="9" t="str">
        <x:v>NOOP-03</x:v>
      </x:c>
      <x:c r="X255" s="10" t="n">
        <x:v>1</x:v>
      </x:c>
      <x:c r="Y255" s="10" t="n">
        <x:v>1</x:v>
      </x:c>
      <x:c r="Z255" s="9" t="str">
        <x:v>NO-OP</x:v>
      </x:c>
      <x:c r="AA255" s="9"/>
      <x:c r="AB255" s="9"/>
      <x:c r="AC255" s="9"/>
      <x:c r="AD255" s="9"/>
      <x:c r="AE255" s="9"/>
      <x:c r="AF255" s="9"/>
      <x:c r="AG255" s="9"/>
      <x:c r="AH255" s="9"/>
      <x:c r="AI255" s="11"/>
      <x:c r="AJ255" s="9"/>
      <x:c r="AK255" s="9" t="str">
        <x:v>Eval_Counting.xlsm</x:v>
      </x:c>
      <x:c r="AL255" s="9" t="str">
        <x:v>pi0.5 Results</x:v>
      </x:c>
      <x:c r="AM255" s="9" t="n">
        <x:v>105</x:v>
      </x:c>
      <x:c r="AN255" s="9" t="n">
        <x:v>105</x:v>
      </x:c>
    </x:row>
    <x:row r="256">
      <x:c r="A256" s="9" t="str">
        <x:v>Success</x:v>
      </x:c>
      <x:c r="B256" s="9" t="str">
        <x:v>Counting</x:v>
      </x:c>
      <x:c r="C256" s="10" t="n">
        <x:v>104</x:v>
      </x:c>
      <x:c r="D256" s="9" t="str">
        <x:v>Leave exactly two objects in the bowl.</x:v>
      </x:c>
      <x:c r="E256" s="9" t="str">
        <x:v>Bowl objects: [green pencil sharpener, airplane toy without propellers] | Table objects: [blue pen]</x:v>
      </x:c>
      <x:c r="F256" s="9" t="str">
        <x:v>NO-OP; preserve 2 objects in the bowl and do not initiate a grasp</x:v>
      </x:c>
      <x:c r="G256" s="9"/>
      <x:c r="H256" s="9" t="str">
        <x:v>Goal already satisfied / no movement</x:v>
      </x:c>
      <x:c r="I256" s="9" t="str">
        <x:v>NOOP-03</x:v>
      </x:c>
      <x:c r="J256" s="9" t="str">
        <x:v>Goal already satisfied: 2→2</x:v>
      </x:c>
      <x:c r="K256" s="9"/>
      <x:c r="L256" s="9" t="str">
        <x:v>861</x:v>
      </x:c>
      <x:c r="M256" s="9" t="str">
        <x:v>Prompt/concept grounding only. Training does not contain a goal-already-satisfied no-movement trajectory.</x:v>
      </x:c>
      <x:c r="N256" s="9" t="n">
        <x:v>6</x:v>
      </x:c>
      <x:c r="O256" s="9" t="str">
        <x:v>Move only the minimum listed objects between bowl and table for the next count.</x:v>
      </x:c>
      <x:c r="P256" s="9" t="str">
        <x:v>Visible-object count varies across no-op families. Table objects are distractors where present; success requires leaving the satisfied scene unchanged.</x:v>
      </x:c>
      <x:c r="Q256" s="9"/>
      <x:c r="R256" s="10"/>
      <x:c r="S256" s="10"/>
      <x:c r="T256" s="9"/>
      <x:c r="U256" s="9"/>
      <x:c r="V256" s="9"/>
      <x:c r="W256" s="9" t="str">
        <x:v>NOOP-03</x:v>
      </x:c>
      <x:c r="X256" s="10" t="n">
        <x:v>2</x:v>
      </x:c>
      <x:c r="Y256" s="10" t="n">
        <x:v>2</x:v>
      </x:c>
      <x:c r="Z256" s="9" t="str">
        <x:v>NO-OP</x:v>
      </x:c>
      <x:c r="AA256" s="9"/>
      <x:c r="AB256" s="9"/>
      <x:c r="AC256" s="9"/>
      <x:c r="AD256" s="9"/>
      <x:c r="AE256" s="9"/>
      <x:c r="AF256" s="9"/>
      <x:c r="AG256" s="9"/>
      <x:c r="AH256" s="9"/>
      <x:c r="AI256" s="11"/>
      <x:c r="AJ256" s="9"/>
      <x:c r="AK256" s="9" t="str">
        <x:v>Eval_Counting.xlsm</x:v>
      </x:c>
      <x:c r="AL256" s="9" t="str">
        <x:v>pi0.5 Results</x:v>
      </x:c>
      <x:c r="AM256" s="9" t="n">
        <x:v>106</x:v>
      </x:c>
      <x:c r="AN256" s="9" t="n">
        <x:v>106</x:v>
      </x:c>
    </x:row>
    <x:row r="257">
      <x:c r="A257" s="9" t="str">
        <x:v>Failure</x:v>
      </x:c>
      <x:c r="B257" s="9" t="str">
        <x:v>Counting</x:v>
      </x:c>
      <x:c r="C257" s="10" t="n">
        <x:v>105</x:v>
      </x:c>
      <x:c r="D257" s="9" t="str">
        <x:v>Leave exactly three objects in the bowl.</x:v>
      </x:c>
      <x:c r="E257" s="9" t="str">
        <x:v>Bowl objects: [green pencil sharpener, airplane toy without propellers, blue pen] | Table objects: [yellow block]</x:v>
      </x:c>
      <x:c r="F257" s="9" t="str">
        <x:v>NO-OP; preserve 3 objects in the bowl and do not initiate a grasp</x:v>
      </x:c>
      <x:c r="G257" s="9" t="str">
        <x:v>removed the blue pen</x:v>
      </x:c>
      <x:c r="H257" s="9" t="str">
        <x:v>Goal already satisfied / no movement</x:v>
      </x:c>
      <x:c r="I257" s="9" t="str">
        <x:v>NOOP-03</x:v>
      </x:c>
      <x:c r="J257" s="9" t="str">
        <x:v>Goal already satisfied: 3→3</x:v>
      </x:c>
      <x:c r="K257" s="9"/>
      <x:c r="L257" s="9" t="str">
        <x:v>843</x:v>
      </x:c>
      <x:c r="M257" s="9" t="str">
        <x:v>Prompt/concept grounding only. Training does not contain a goal-already-satisfied no-movement trajectory.</x:v>
      </x:c>
      <x:c r="N257" s="9" t="n">
        <x:v>6</x:v>
      </x:c>
      <x:c r="O257" s="9" t="str">
        <x:v>Move only the minimum listed objects between bowl and table for the next count.</x:v>
      </x:c>
      <x:c r="P257" s="9" t="str">
        <x:v>Visible-object count varies across no-op families. Table objects are distractors where present; success requires leaving the satisfied scene unchanged.</x:v>
      </x:c>
      <x:c r="Q257" s="9"/>
      <x:c r="R257" s="10"/>
      <x:c r="S257" s="10"/>
      <x:c r="T257" s="9"/>
      <x:c r="U257" s="9"/>
      <x:c r="V257" s="9"/>
      <x:c r="W257" s="9" t="str">
        <x:v>NOOP-03</x:v>
      </x:c>
      <x:c r="X257" s="10" t="n">
        <x:v>3</x:v>
      </x:c>
      <x:c r="Y257" s="10" t="n">
        <x:v>3</x:v>
      </x:c>
      <x:c r="Z257" s="9" t="str">
        <x:v>NO-OP</x:v>
      </x:c>
      <x:c r="AA257" s="9"/>
      <x:c r="AB257" s="9"/>
      <x:c r="AC257" s="9"/>
      <x:c r="AD257" s="9"/>
      <x:c r="AE257" s="9"/>
      <x:c r="AF257" s="9"/>
      <x:c r="AG257" s="9"/>
      <x:c r="AH257" s="9"/>
      <x:c r="AI257" s="11"/>
      <x:c r="AJ257" s="9"/>
      <x:c r="AK257" s="9" t="str">
        <x:v>Eval_Counting.xlsm</x:v>
      </x:c>
      <x:c r="AL257" s="9" t="str">
        <x:v>pi0.5 Results</x:v>
      </x:c>
      <x:c r="AM257" s="9" t="n">
        <x:v>107</x:v>
      </x:c>
      <x:c r="AN257" s="9" t="n">
        <x:v>107</x:v>
      </x:c>
    </x:row>
    <x:row r="258">
      <x:c r="A258" s="9" t="str">
        <x:v>Failure</x:v>
      </x:c>
      <x:c r="B258" s="9" t="str">
        <x:v>Counting</x:v>
      </x:c>
      <x:c r="C258" s="10" t="n">
        <x:v>106</x:v>
      </x:c>
      <x:c r="D258" s="9" t="str">
        <x:v>Leave exactly one object in the bowl.</x:v>
      </x:c>
      <x:c r="E258" s="9" t="str">
        <x:v>Bowl objects: [yellow block, airplane toy without propellers] | Table objects: [blue pen, green pencil sharpener]</x:v>
      </x:c>
      <x:c r="F258" s="9" t="str">
        <x:v>REMOVE any one bowl object; finish with 1 object in the bowl</x:v>
      </x:c>
      <x:c r="G258" s="9" t="str">
        <x:v>didn't move</x:v>
      </x:c>
      <x:c r="H258" s="9" t="str">
        <x:v>Concept/compositional transfer</x:v>
      </x:c>
      <x:c r="I258" s="9" t="str">
        <x:v>CT-CF05</x:v>
      </x:c>
      <x:c r="J258" s="9" t="str">
        <x:v>Primary: one via held-out 2→1 removal</x:v>
      </x:c>
      <x:c r="K258" s="9"/>
      <x:c r="L258" s="9" t="str">
        <x:v>881</x:v>
      </x:c>
      <x:c r="M258" s="9" t="str">
        <x:v>Representative direct-instruction trajectory for yellow block; the evaluated count × transition composition is intentionally absent.</x:v>
      </x:c>
      <x:c r="N258" s="9" t="n">
        <x:v>2</x:v>
      </x:c>
      <x:c r="O258" s="9" t="str">
        <x:v>Build the listed count-2 scene.</x:v>
      </x:c>
      <x:c r="P258" s="9" t="str">
        <x:v>The goal word one is trained, and this 2→1 trajectory is trained under a direct instruction, but the combination is withheld.</x:v>
      </x:c>
      <x:c r="Q258" s="9"/>
      <x:c r="R258" s="10"/>
      <x:c r="S258" s="10"/>
      <x:c r="T258" s="9"/>
      <x:c r="U258" s="9"/>
      <x:c r="V258" s="9"/>
      <x:c r="W258" s="9" t="str">
        <x:v>CT-CF05-REMOVE</x:v>
      </x:c>
      <x:c r="X258" s="10" t="n">
        <x:v>2</x:v>
      </x:c>
      <x:c r="Y258" s="10" t="n">
        <x:v>1</x:v>
      </x:c>
      <x:c r="Z258" s="9" t="str">
        <x:v>REMOVE</x:v>
      </x:c>
      <x:c r="AA258" s="9"/>
      <x:c r="AB258" s="9"/>
      <x:c r="AC258" s="9"/>
      <x:c r="AD258" s="9"/>
      <x:c r="AE258" s="9"/>
      <x:c r="AF258" s="9"/>
      <x:c r="AG258" s="9"/>
      <x:c r="AH258" s="9"/>
      <x:c r="AI258" s="11"/>
      <x:c r="AJ258" s="9"/>
      <x:c r="AK258" s="9" t="str">
        <x:v>Eval_Counting.xlsm</x:v>
      </x:c>
      <x:c r="AL258" s="9" t="str">
        <x:v>pi0.5 Results</x:v>
      </x:c>
      <x:c r="AM258" s="9" t="n">
        <x:v>108</x:v>
      </x:c>
      <x:c r="AN258" s="9" t="n">
        <x:v>108</x:v>
      </x:c>
    </x:row>
    <x:row r="259">
      <x:c r="A259" s="9" t="str">
        <x:v>Success</x:v>
      </x:c>
      <x:c r="B259" s="9" t="str">
        <x:v>Counting</x:v>
      </x:c>
      <x:c r="C259" s="10" t="n">
        <x:v>107</x:v>
      </x:c>
      <x:c r="D259" s="9" t="str">
        <x:v>Move the yellow block from the bowl to the table.</x:v>
      </x:c>
      <x:c r="E259" s="9" t="str">
        <x:v>Bowl objects: [yellow block, airplane toy without propellers] | Table objects: [blue pen, green pencil sharpener]</x:v>
      </x:c>
      <x:c r="F259" s="9" t="str">
        <x:v>REMOVE yellow block</x:v>
      </x:c>
      <x:c r="G259" s="9"/>
      <x:c r="H259" s="9" t="str">
        <x:v>Matched manipulation control</x:v>
      </x:c>
      <x:c r="I259" s="9" t="str">
        <x:v>CT-CF05</x:v>
      </x:c>
      <x:c r="J259" s="9" t="str">
        <x:v>Matched direct REMOVE control</x:v>
      </x:c>
      <x:c r="K259" s="9" t="n">
        <x:v>106</x:v>
      </x:c>
      <x:c r="L259" s="9" t="str">
        <x:v>885</x:v>
      </x:c>
      <x:c r="M259" s="9" t="str">
        <x:v>Exact direct-prompt trajectory for the named object and action direction; evaluation layout is reset manually.</x:v>
      </x:c>
      <x:c r="N259" s="9" t="n">
        <x:v>2</x:v>
      </x:c>
      <x:c r="O259" s="9" t="str">
        <x:v>Reset the exact count-2 scene; change only the prompt.</x:v>
      </x:c>
      <x:c r="P259" s="9" t="str">
        <x:v>The direct prompt is present in Counting training for this same-task object and action direction.</x:v>
      </x:c>
      <x:c r="Q259" s="9"/>
      <x:c r="R259" s="10"/>
      <x:c r="S259" s="10"/>
      <x:c r="T259" s="9"/>
      <x:c r="U259" s="9"/>
      <x:c r="V259" s="9"/>
      <x:c r="W259" s="9" t="str">
        <x:v>CT-CF05-REMOVE</x:v>
      </x:c>
      <x:c r="X259" s="10" t="n">
        <x:v>2</x:v>
      </x:c>
      <x:c r="Y259" s="10" t="n">
        <x:v>1</x:v>
      </x:c>
      <x:c r="Z259" s="9" t="str">
        <x:v>REMOVE</x:v>
      </x:c>
      <x:c r="AA259" s="9"/>
      <x:c r="AB259" s="9"/>
      <x:c r="AC259" s="9"/>
      <x:c r="AD259" s="9"/>
      <x:c r="AE259" s="9"/>
      <x:c r="AF259" s="9"/>
      <x:c r="AG259" s="9"/>
      <x:c r="AH259" s="9"/>
      <x:c r="AI259" s="11"/>
      <x:c r="AJ259" s="9"/>
      <x:c r="AK259" s="9" t="str">
        <x:v>Eval_Counting.xlsm</x:v>
      </x:c>
      <x:c r="AL259" s="9" t="str">
        <x:v>pi0.5 Results</x:v>
      </x:c>
      <x:c r="AM259" s="9" t="n">
        <x:v>109</x:v>
      </x:c>
      <x:c r="AN259" s="9" t="n">
        <x:v>109</x:v>
      </x:c>
    </x:row>
    <x:row r="260">
      <x:c r="A260" s="9" t="str">
        <x:v>Failure</x:v>
      </x:c>
      <x:c r="B260" s="9" t="str">
        <x:v>Counting</x:v>
      </x:c>
      <x:c r="C260" s="10" t="n">
        <x:v>108</x:v>
      </x:c>
      <x:c r="D260" s="9" t="str">
        <x:v>Adjust the contents until only one object remains in the bowl.</x:v>
      </x:c>
      <x:c r="E260" s="9" t="str">
        <x:v>Bowl objects: [yellow block, airplane toy without propellers] | Table objects: [blue pen, green pencil sharpener]</x:v>
      </x:c>
      <x:c r="F260" s="9" t="str">
        <x:v>REMOVE any one bowl object; finish with 1 object in the bowl</x:v>
      </x:c>
      <x:c r="G260" s="9" t="str">
        <x:v>didn't move</x:v>
      </x:c>
      <x:c r="H260" s="9" t="str">
        <x:v>Language robustness</x:v>
      </x:c>
      <x:c r="I260" s="9" t="str">
        <x:v>CT-CF05</x:v>
      </x:c>
      <x:c r="J260" s="9" t="str">
        <x:v>Primary compositional paraphrase: one via 2→1 removal</x:v>
      </x:c>
      <x:c r="K260" s="9" t="n">
        <x:v>106</x:v>
      </x:c>
      <x:c r="L260" s="9" t="str">
        <x:v>881</x:v>
      </x:c>
      <x:c r="M260" s="9" t="str">
        <x:v>Representative direct-instruction trajectory for yellow block; the evaluated count × transition composition is intentionally absent. The evaluation wording is also paraphrased.</x:v>
      </x:c>
      <x:c r="N260" s="9" t="n">
        <x:v>2</x:v>
      </x:c>
      <x:c r="O260" s="9" t="str">
        <x:v>Build the listed count-2 scene.</x:v>
      </x:c>
      <x:c r="P260" s="9" t="str">
        <x:v>Exact-scene paraphrase of the canonical held-out composition.</x:v>
      </x:c>
      <x:c r="Q260" s="9"/>
      <x:c r="R260" s="10"/>
      <x:c r="S260" s="10"/>
      <x:c r="T260" s="9"/>
      <x:c r="U260" s="9"/>
      <x:c r="V260" s="9"/>
      <x:c r="W260" s="9" t="str">
        <x:v>CT-CF05-REMOVE</x:v>
      </x:c>
      <x:c r="X260" s="10" t="n">
        <x:v>2</x:v>
      </x:c>
      <x:c r="Y260" s="10" t="n">
        <x:v>1</x:v>
      </x:c>
      <x:c r="Z260" s="9" t="str">
        <x:v>REMOVE</x:v>
      </x:c>
      <x:c r="AA260" s="9"/>
      <x:c r="AB260" s="9"/>
      <x:c r="AC260" s="9"/>
      <x:c r="AD260" s="9"/>
      <x:c r="AE260" s="9"/>
      <x:c r="AF260" s="9"/>
      <x:c r="AG260" s="9"/>
      <x:c r="AH260" s="9"/>
      <x:c r="AI260" s="11"/>
      <x:c r="AJ260" s="9"/>
      <x:c r="AK260" s="9" t="str">
        <x:v>Eval_Counting.xlsm</x:v>
      </x:c>
      <x:c r="AL260" s="9" t="str">
        <x:v>pi0.5 Results</x:v>
      </x:c>
      <x:c r="AM260" s="9" t="n">
        <x:v>110</x:v>
      </x:c>
      <x:c r="AN260" s="9" t="n">
        <x:v>110</x:v>
      </x:c>
    </x:row>
    <x:row r="261">
      <x:c r="A261" s="9" t="str">
        <x:v>Success</x:v>
      </x:c>
      <x:c r="B261" s="9" t="str">
        <x:v>Counting</x:v>
      </x:c>
      <x:c r="C261" s="10" t="n">
        <x:v>109</x:v>
      </x:c>
      <x:c r="D261" s="9" t="str">
        <x:v>Lift the yellow block out of the bowl and set it on the table.</x:v>
      </x:c>
      <x:c r="E261" s="9" t="str">
        <x:v>Bowl objects: [yellow block, airplane toy without propellers] | Table objects: [blue pen, green pencil sharpener]</x:v>
      </x:c>
      <x:c r="F261" s="9" t="str">
        <x:v>REMOVE yellow block</x:v>
      </x:c>
      <x:c r="G261" s="9"/>
      <x:c r="H261" s="9" t="str">
        <x:v>Language robustness</x:v>
      </x:c>
      <x:c r="I261" s="9" t="str">
        <x:v>CT-CF05</x:v>
      </x:c>
      <x:c r="J261" s="9" t="str">
        <x:v>Matched-control paraphrase: REMOVE</x:v>
      </x:c>
      <x:c r="K261" s="9" t="n">
        <x:v>107</x:v>
      </x:c>
      <x:c r="L261" s="9" t="str">
        <x:v>885</x:v>
      </x:c>
      <x:c r="M261" s="9" t="str">
        <x:v>Canonical direct-control trajectory for the named object and action direction; evaluation wording is paraphrased.</x:v>
      </x:c>
      <x:c r="N261" s="9" t="n">
        <x:v>2</x:v>
      </x:c>
      <x:c r="O261" s="9" t="str">
        <x:v>Reset the exact count-2 scene; change only the prompt.</x:v>
      </x:c>
      <x:c r="P261" s="9" t="str">
        <x:v>Exact-scene paraphrase of the direct manipulation control.</x:v>
      </x:c>
      <x:c r="Q261" s="9"/>
      <x:c r="R261" s="10"/>
      <x:c r="S261" s="10"/>
      <x:c r="T261" s="9"/>
      <x:c r="U261" s="9"/>
      <x:c r="V261" s="9"/>
      <x:c r="W261" s="9" t="str">
        <x:v>CT-CF05-REMOVE</x:v>
      </x:c>
      <x:c r="X261" s="10" t="n">
        <x:v>2</x:v>
      </x:c>
      <x:c r="Y261" s="10" t="n">
        <x:v>1</x:v>
      </x:c>
      <x:c r="Z261" s="9" t="str">
        <x:v>REMOVE</x:v>
      </x:c>
      <x:c r="AA261" s="9"/>
      <x:c r="AB261" s="9"/>
      <x:c r="AC261" s="9"/>
      <x:c r="AD261" s="9"/>
      <x:c r="AE261" s="9"/>
      <x:c r="AF261" s="9"/>
      <x:c r="AG261" s="9"/>
      <x:c r="AH261" s="9"/>
      <x:c r="AI261" s="11"/>
      <x:c r="AJ261" s="9"/>
      <x:c r="AK261" s="9" t="str">
        <x:v>Eval_Counting.xlsm</x:v>
      </x:c>
      <x:c r="AL261" s="9" t="str">
        <x:v>pi0.5 Results</x:v>
      </x:c>
      <x:c r="AM261" s="9" t="n">
        <x:v>111</x:v>
      </x:c>
      <x:c r="AN261" s="9" t="n">
        <x:v>111</x:v>
      </x:c>
    </x:row>
    <x:row r="262">
      <x:c r="A262" s="9" t="str">
        <x:v>Success</x:v>
      </x:c>
      <x:c r="B262" s="9" t="str">
        <x:v>Counting</x:v>
      </x:c>
      <x:c r="C262" s="10" t="n">
        <x:v>110</x:v>
      </x:c>
      <x:c r="D262" s="9" t="str">
        <x:v>Move the blue pen into the bowl.</x:v>
      </x:c>
      <x:c r="E262" s="9" t="str">
        <x:v>Bowl objects: [yellow block, airplane toy without propellers] | Table objects: [blue pen, green pencil sharpener]</x:v>
      </x:c>
      <x:c r="F262" s="9" t="str">
        <x:v>ADD blue pen</x:v>
      </x:c>
      <x:c r="G262" s="9"/>
      <x:c r="H262" s="9" t="str">
        <x:v>Matched manipulation control</x:v>
      </x:c>
      <x:c r="I262" s="9" t="str">
        <x:v>CT-CF05</x:v>
      </x:c>
      <x:c r="J262" s="9" t="str">
        <x:v>Matched direct ADD control</x:v>
      </x:c>
      <x:c r="K262" s="9"/>
      <x:c r="L262" s="9" t="str">
        <x:v>817</x:v>
      </x:c>
      <x:c r="M262" s="9" t="str">
        <x:v>Exact direct-prompt trajectory for the named object and action direction; evaluation layout is reset manually.</x:v>
      </x:c>
      <x:c r="N262" s="9" t="n">
        <x:v>2</x:v>
      </x:c>
      <x:c r="O262" s="9" t="str">
        <x:v>Reset the exact count-2 scene; change only the prompt.</x:v>
      </x:c>
      <x:c r="P262" s="9" t="str">
        <x:v>The direct prompt is present in Counting training for this same-task object and action direction.</x:v>
      </x:c>
      <x:c r="Q262" s="9"/>
      <x:c r="R262" s="10"/>
      <x:c r="S262" s="10"/>
      <x:c r="T262" s="9"/>
      <x:c r="U262" s="9"/>
      <x:c r="V262" s="9"/>
      <x:c r="W262" s="9" t="str">
        <x:v>CT-CF05-ADD</x:v>
      </x:c>
      <x:c r="X262" s="10" t="n">
        <x:v>2</x:v>
      </x:c>
      <x:c r="Y262" s="10" t="n">
        <x:v>3</x:v>
      </x:c>
      <x:c r="Z262" s="9" t="str">
        <x:v>ADD</x:v>
      </x:c>
      <x:c r="AA262" s="9"/>
      <x:c r="AB262" s="9"/>
      <x:c r="AC262" s="9"/>
      <x:c r="AD262" s="9"/>
      <x:c r="AE262" s="9"/>
      <x:c r="AF262" s="9"/>
      <x:c r="AG262" s="9"/>
      <x:c r="AH262" s="9"/>
      <x:c r="AI262" s="11"/>
      <x:c r="AJ262" s="9"/>
      <x:c r="AK262" s="9" t="str">
        <x:v>Eval_Counting.xlsm</x:v>
      </x:c>
      <x:c r="AL262" s="9" t="str">
        <x:v>pi0.5 Results</x:v>
      </x:c>
      <x:c r="AM262" s="9" t="n">
        <x:v>112</x:v>
      </x:c>
      <x:c r="AN262" s="9" t="n">
        <x:v>112</x:v>
      </x:c>
    </x:row>
    <x:row r="263">
      <x:c r="A263" s="9" t="str">
        <x:v>Failure</x:v>
      </x:c>
      <x:c r="B263" s="9" t="str">
        <x:v>Counting</x:v>
      </x:c>
      <x:c r="C263" s="10" t="n">
        <x:v>111</x:v>
      </x:c>
      <x:c r="D263" s="9" t="str">
        <x:v>Leave exactly three objects in the bowl.</x:v>
      </x:c>
      <x:c r="E263" s="9" t="str">
        <x:v>Bowl objects: [yellow block, airplane toy without propellers] | Table objects: [blue pen, green pencil sharpener]</x:v>
      </x:c>
      <x:c r="F263" s="9" t="str">
        <x:v>ADD any one table object; finish with 3 objects in the bowl</x:v>
      </x:c>
      <x:c r="G263" s="9" t="str">
        <x:v>didn't move</x:v>
      </x:c>
      <x:c r="H263" s="9" t="str">
        <x:v>Concept/compositional transfer</x:v>
      </x:c>
      <x:c r="I263" s="9" t="str">
        <x:v>CT-CF05</x:v>
      </x:c>
      <x:c r="J263" s="9" t="str">
        <x:v>Primary: three via held-out 2→3 addition</x:v>
      </x:c>
      <x:c r="K263" s="9" t="n">
        <x:v>110</x:v>
      </x:c>
      <x:c r="L263" s="9" t="str">
        <x:v>916</x:v>
      </x:c>
      <x:c r="M263" s="9" t="str">
        <x:v>Representative direct-instruction trajectory for green pencil sharpener; the evaluated count × transition composition is intentionally absent.</x:v>
      </x:c>
      <x:c r="N263" s="9" t="n">
        <x:v>2</x:v>
      </x:c>
      <x:c r="O263" s="9" t="str">
        <x:v>Reset the exact count-2 scene; change only the prompt.</x:v>
      </x:c>
      <x:c r="P263" s="9" t="str">
        <x:v>The goal word three is trained, and this 2→3 trajectory is trained under a direct instruction, but the combination is withheld.</x:v>
      </x:c>
      <x:c r="Q263" s="9"/>
      <x:c r="R263" s="10"/>
      <x:c r="S263" s="10"/>
      <x:c r="T263" s="9"/>
      <x:c r="U263" s="9"/>
      <x:c r="V263" s="9"/>
      <x:c r="W263" s="9" t="str">
        <x:v>CT-CF05-ADD</x:v>
      </x:c>
      <x:c r="X263" s="10" t="n">
        <x:v>2</x:v>
      </x:c>
      <x:c r="Y263" s="10" t="n">
        <x:v>3</x:v>
      </x:c>
      <x:c r="Z263" s="9" t="str">
        <x:v>ADD</x:v>
      </x:c>
      <x:c r="AA263" s="9"/>
      <x:c r="AB263" s="9"/>
      <x:c r="AC263" s="9"/>
      <x:c r="AD263" s="9"/>
      <x:c r="AE263" s="9"/>
      <x:c r="AF263" s="9"/>
      <x:c r="AG263" s="9"/>
      <x:c r="AH263" s="9"/>
      <x:c r="AI263" s="11"/>
      <x:c r="AJ263" s="9"/>
      <x:c r="AK263" s="9" t="str">
        <x:v>Eval_Counting.xlsm</x:v>
      </x:c>
      <x:c r="AL263" s="9" t="str">
        <x:v>pi0.5 Results</x:v>
      </x:c>
      <x:c r="AM263" s="9" t="n">
        <x:v>113</x:v>
      </x:c>
      <x:c r="AN263" s="9" t="n">
        <x:v>113</x:v>
      </x:c>
    </x:row>
    <x:row r="264">
      <x:c r="A264" s="9" t="str">
        <x:v>Success</x:v>
      </x:c>
      <x:c r="B264" s="9" t="str">
        <x:v>Counting</x:v>
      </x:c>
      <x:c r="C264" s="10" t="n">
        <x:v>112</x:v>
      </x:c>
      <x:c r="D264" s="9" t="str">
        <x:v>Lift the blue pen from the table and set it inside the bowl.</x:v>
      </x:c>
      <x:c r="E264" s="9" t="str">
        <x:v>Bowl objects: [yellow block, airplane toy without propellers] | Table objects: [blue pen, green pencil sharpener]</x:v>
      </x:c>
      <x:c r="F264" s="9" t="str">
        <x:v>ADD blue pen</x:v>
      </x:c>
      <x:c r="G264" s="9"/>
      <x:c r="H264" s="9" t="str">
        <x:v>Language robustness</x:v>
      </x:c>
      <x:c r="I264" s="9" t="str">
        <x:v>CT-CF05</x:v>
      </x:c>
      <x:c r="J264" s="9" t="str">
        <x:v>Matched-control paraphrase: ADD</x:v>
      </x:c>
      <x:c r="K264" s="9" t="n">
        <x:v>110</x:v>
      </x:c>
      <x:c r="L264" s="9" t="str">
        <x:v>817</x:v>
      </x:c>
      <x:c r="M264" s="9" t="str">
        <x:v>Canonical direct-control trajectory for the named object and action direction; evaluation wording is paraphrased.</x:v>
      </x:c>
      <x:c r="N264" s="9" t="n">
        <x:v>2</x:v>
      </x:c>
      <x:c r="O264" s="9" t="str">
        <x:v>Reset the exact count-2 scene; change only the prompt.</x:v>
      </x:c>
      <x:c r="P264" s="9" t="str">
        <x:v>Exact-scene paraphrase of the direct manipulation control.</x:v>
      </x:c>
      <x:c r="Q264" s="9"/>
      <x:c r="R264" s="10"/>
      <x:c r="S264" s="10"/>
      <x:c r="T264" s="9"/>
      <x:c r="U264" s="9"/>
      <x:c r="V264" s="9"/>
      <x:c r="W264" s="9" t="str">
        <x:v>CT-CF05-ADD</x:v>
      </x:c>
      <x:c r="X264" s="10" t="n">
        <x:v>2</x:v>
      </x:c>
      <x:c r="Y264" s="10" t="n">
        <x:v>3</x:v>
      </x:c>
      <x:c r="Z264" s="9" t="str">
        <x:v>ADD</x:v>
      </x:c>
      <x:c r="AA264" s="9"/>
      <x:c r="AB264" s="9"/>
      <x:c r="AC264" s="9"/>
      <x:c r="AD264" s="9"/>
      <x:c r="AE264" s="9"/>
      <x:c r="AF264" s="9"/>
      <x:c r="AG264" s="9"/>
      <x:c r="AH264" s="9"/>
      <x:c r="AI264" s="11"/>
      <x:c r="AJ264" s="9"/>
      <x:c r="AK264" s="9" t="str">
        <x:v>Eval_Counting.xlsm</x:v>
      </x:c>
      <x:c r="AL264" s="9" t="str">
        <x:v>pi0.5 Results</x:v>
      </x:c>
      <x:c r="AM264" s="9" t="n">
        <x:v>114</x:v>
      </x:c>
      <x:c r="AN264" s="9" t="n">
        <x:v>114</x:v>
      </x:c>
    </x:row>
    <x:row r="265">
      <x:c r="A265" s="9" t="str">
        <x:v>Failure</x:v>
      </x:c>
      <x:c r="B265" s="9" t="str">
        <x:v>Counting</x:v>
      </x:c>
      <x:c r="C265" s="10" t="n">
        <x:v>113</x:v>
      </x:c>
      <x:c r="D265" s="9" t="str">
        <x:v>Adjust the contents until three objects remain in the bowl.</x:v>
      </x:c>
      <x:c r="E265" s="9" t="str">
        <x:v>Bowl objects: [yellow block, airplane toy without propellers] | Table objects: [blue pen, green pencil sharpener]</x:v>
      </x:c>
      <x:c r="F265" s="9" t="str">
        <x:v>ADD any one table object; finish with 3 objects in the bowl</x:v>
      </x:c>
      <x:c r="G265" s="9" t="str">
        <x:v>didn't move</x:v>
      </x:c>
      <x:c r="H265" s="9" t="str">
        <x:v>Language robustness</x:v>
      </x:c>
      <x:c r="I265" s="9" t="str">
        <x:v>CT-CF05</x:v>
      </x:c>
      <x:c r="J265" s="9" t="str">
        <x:v>Primary compositional paraphrase: three via 2→3 addition</x:v>
      </x:c>
      <x:c r="K265" s="9" t="n">
        <x:v>111</x:v>
      </x:c>
      <x:c r="L265" s="9" t="str">
        <x:v>916</x:v>
      </x:c>
      <x:c r="M265" s="9" t="str">
        <x:v>Representative direct-instruction trajectory for green pencil sharpener; the evaluated count × transition composition is intentionally absent. The evaluation wording is also paraphrased.</x:v>
      </x:c>
      <x:c r="N265" s="9" t="n">
        <x:v>2</x:v>
      </x:c>
      <x:c r="O265" s="9" t="str">
        <x:v>Reset the exact count-2 scene; change only the prompt.</x:v>
      </x:c>
      <x:c r="P265" s="9" t="str">
        <x:v>Exact-scene paraphrase of the canonical held-out composition.</x:v>
      </x:c>
      <x:c r="Q265" s="9"/>
      <x:c r="R265" s="10"/>
      <x:c r="S265" s="10"/>
      <x:c r="T265" s="9"/>
      <x:c r="U265" s="9"/>
      <x:c r="V265" s="9"/>
      <x:c r="W265" s="9" t="str">
        <x:v>CT-CF05-ADD</x:v>
      </x:c>
      <x:c r="X265" s="10" t="n">
        <x:v>2</x:v>
      </x:c>
      <x:c r="Y265" s="10" t="n">
        <x:v>3</x:v>
      </x:c>
      <x:c r="Z265" s="9" t="str">
        <x:v>ADD</x:v>
      </x:c>
      <x:c r="AA265" s="9"/>
      <x:c r="AB265" s="9"/>
      <x:c r="AC265" s="9"/>
      <x:c r="AD265" s="9"/>
      <x:c r="AE265" s="9"/>
      <x:c r="AF265" s="9"/>
      <x:c r="AG265" s="9"/>
      <x:c r="AH265" s="9"/>
      <x:c r="AI265" s="11"/>
      <x:c r="AJ265" s="9"/>
      <x:c r="AK265" s="9" t="str">
        <x:v>Eval_Counting.xlsm</x:v>
      </x:c>
      <x:c r="AL265" s="9" t="str">
        <x:v>pi0.5 Results</x:v>
      </x:c>
      <x:c r="AM265" s="9" t="n">
        <x:v>115</x:v>
      </x:c>
      <x:c r="AN265" s="9" t="n">
        <x:v>115</x:v>
      </x:c>
    </x:row>
    <x:row r="266">
      <x:c r="A266" s="9" t="str">
        <x:v>Failure</x:v>
      </x:c>
      <x:c r="B266" s="9" t="str">
        <x:v>Counting</x:v>
      </x:c>
      <x:c r="C266" s="10" t="n">
        <x:v>114</x:v>
      </x:c>
      <x:c r="D266" s="9" t="str">
        <x:v>Leave exactly three objects in the bowl.</x:v>
      </x:c>
      <x:c r="E266" s="9" t="str">
        <x:v>Bowl objects: [yellow block, green pencil sharpener] | Table objects: [airplane toy without propellers]</x:v>
      </x:c>
      <x:c r="F266" s="9" t="str">
        <x:v>ADD any one table object; finish with 3 objects in the bowl</x:v>
      </x:c>
      <x:c r="G266" s="9" t="str">
        <x:v>didn't move</x:v>
      </x:c>
      <x:c r="H266" s="9" t="str">
        <x:v>Concept/compositional transfer</x:v>
      </x:c>
      <x:c r="I266" s="9" t="str">
        <x:v>CT-CF22</x:v>
      </x:c>
      <x:c r="J266" s="9" t="str">
        <x:v>Primary: three via held-out 2→3 addition</x:v>
      </x:c>
      <x:c r="K266" s="9"/>
      <x:c r="L266" s="9" t="str">
        <x:v>966</x:v>
      </x:c>
      <x:c r="M266" s="9" t="str">
        <x:v>Representative direct-instruction trajectory for airplane toy without propellers; the evaluated count × transition composition is intentionally absent.</x:v>
      </x:c>
      <x:c r="N266" s="9" t="n">
        <x:v>4</x:v>
      </x:c>
      <x:c r="O266" s="9" t="str">
        <x:v>Reset the exact count-2 scene; change only the prompt.</x:v>
      </x:c>
      <x:c r="P266" s="9" t="str">
        <x:v>The goal word three is trained, and this 2→3 trajectory is trained under a direct instruction, but the combination is withheld.</x:v>
      </x:c>
      <x:c r="Q266" s="9"/>
      <x:c r="R266" s="10"/>
      <x:c r="S266" s="10"/>
      <x:c r="T266" s="9"/>
      <x:c r="U266" s="9"/>
      <x:c r="V266" s="9"/>
      <x:c r="W266" s="9" t="str">
        <x:v>CT-CF22-ADD</x:v>
      </x:c>
      <x:c r="X266" s="10" t="n">
        <x:v>2</x:v>
      </x:c>
      <x:c r="Y266" s="10" t="n">
        <x:v>3</x:v>
      </x:c>
      <x:c r="Z266" s="9" t="str">
        <x:v>ADD</x:v>
      </x:c>
      <x:c r="AA266" s="9"/>
      <x:c r="AB266" s="9"/>
      <x:c r="AC266" s="9"/>
      <x:c r="AD266" s="9"/>
      <x:c r="AE266" s="9"/>
      <x:c r="AF266" s="9"/>
      <x:c r="AG266" s="9"/>
      <x:c r="AH266" s="9"/>
      <x:c r="AI266" s="11"/>
      <x:c r="AJ266" s="9"/>
      <x:c r="AK266" s="9" t="str">
        <x:v>Eval_Counting.xlsm</x:v>
      </x:c>
      <x:c r="AL266" s="9" t="str">
        <x:v>pi0.5 Results</x:v>
      </x:c>
      <x:c r="AM266" s="9" t="n">
        <x:v>116</x:v>
      </x:c>
      <x:c r="AN266" s="9" t="n">
        <x:v>116</x:v>
      </x:c>
    </x:row>
    <x:row r="267">
      <x:c r="A267" s="9" t="str">
        <x:v>Failure</x:v>
      </x:c>
      <x:c r="B267" s="9" t="str">
        <x:v>Counting</x:v>
      </x:c>
      <x:c r="C267" s="10" t="n">
        <x:v>115</x:v>
      </x:c>
      <x:c r="D267" s="9" t="str">
        <x:v>Leave exactly one object in the bowl.</x:v>
      </x:c>
      <x:c r="E267" s="9" t="str">
        <x:v>Bowl objects: [yellow block, green pencil sharpener] | Table objects: [airplane toy without propellers]</x:v>
      </x:c>
      <x:c r="F267" s="9" t="str">
        <x:v>REMOVE any one bowl object; finish with 1 object in the bowl</x:v>
      </x:c>
      <x:c r="G267" s="9" t="str">
        <x:v>didn't move</x:v>
      </x:c>
      <x:c r="H267" s="9" t="str">
        <x:v>Concept/compositional transfer</x:v>
      </x:c>
      <x:c r="I267" s="9" t="str">
        <x:v>CT-CF22</x:v>
      </x:c>
      <x:c r="J267" s="9" t="str">
        <x:v>Primary: one via held-out 2→1 removal</x:v>
      </x:c>
      <x:c r="K267" s="9" t="n">
        <x:v>114</x:v>
      </x:c>
      <x:c r="L267" s="9" t="str">
        <x:v>931</x:v>
      </x:c>
      <x:c r="M267" s="9" t="str">
        <x:v>Representative direct-instruction trajectory for green pencil sharpener; the evaluated count × transition composition is intentionally absent.</x:v>
      </x:c>
      <x:c r="N267" s="9" t="n">
        <x:v>4</x:v>
      </x:c>
      <x:c r="O267" s="9" t="str">
        <x:v>Build the listed count-2 scene.</x:v>
      </x:c>
      <x:c r="P267" s="9" t="str">
        <x:v>The goal word one is trained, and this 2→1 trajectory is trained under a direct instruction, but the combination is withheld.</x:v>
      </x:c>
      <x:c r="Q267" s="9"/>
      <x:c r="R267" s="10"/>
      <x:c r="S267" s="10"/>
      <x:c r="T267" s="9"/>
      <x:c r="U267" s="9"/>
      <x:c r="V267" s="9"/>
      <x:c r="W267" s="9" t="str">
        <x:v>CT-CF22-REMOVE</x:v>
      </x:c>
      <x:c r="X267" s="10" t="n">
        <x:v>2</x:v>
      </x:c>
      <x:c r="Y267" s="10" t="n">
        <x:v>1</x:v>
      </x:c>
      <x:c r="Z267" s="9" t="str">
        <x:v>REMOVE</x:v>
      </x:c>
      <x:c r="AA267" s="9"/>
      <x:c r="AB267" s="9"/>
      <x:c r="AC267" s="9"/>
      <x:c r="AD267" s="9"/>
      <x:c r="AE267" s="9"/>
      <x:c r="AF267" s="9"/>
      <x:c r="AG267" s="9"/>
      <x:c r="AH267" s="9"/>
      <x:c r="AI267" s="11"/>
      <x:c r="AJ267" s="9"/>
      <x:c r="AK267" s="9" t="str">
        <x:v>Eval_Counting.xlsm</x:v>
      </x:c>
      <x:c r="AL267" s="9" t="str">
        <x:v>pi0.5 Results</x:v>
      </x:c>
      <x:c r="AM267" s="9" t="n">
        <x:v>117</x:v>
      </x:c>
      <x:c r="AN267" s="9" t="n">
        <x:v>117</x:v>
      </x:c>
    </x:row>
    <x:row r="268">
      <x:c r="A268" s="9" t="str">
        <x:v>Failure</x:v>
      </x:c>
      <x:c r="B268" s="9" t="str">
        <x:v>Counting</x:v>
      </x:c>
      <x:c r="C268" s="10" t="n">
        <x:v>116</x:v>
      </x:c>
      <x:c r="D268" s="9" t="str">
        <x:v>Leave exactly one object in the bowl.</x:v>
      </x:c>
      <x:c r="E268" s="9" t="str">
        <x:v>Bowl objects: [blue pen, airplane toy without propellers] | Table objects: [yellow block]</x:v>
      </x:c>
      <x:c r="F268" s="9" t="str">
        <x:v>REMOVE any one bowl object; finish with 1 object in the bowl</x:v>
      </x:c>
      <x:c r="G268" s="9" t="str">
        <x:v>didn't move</x:v>
      </x:c>
      <x:c r="H268" s="9" t="str">
        <x:v>Concept/compositional transfer</x:v>
      </x:c>
      <x:c r="I268" s="9" t="str">
        <x:v>CT-CF21</x:v>
      </x:c>
      <x:c r="J268" s="9" t="str">
        <x:v>Primary: one via held-out 2→1 removal</x:v>
      </x:c>
      <x:c r="K268" s="9"/>
      <x:c r="L268" s="9" t="str">
        <x:v>831</x:v>
      </x:c>
      <x:c r="M268" s="9" t="str">
        <x:v>Representative direct-instruction trajectory for blue pen; the evaluated count × transition composition is intentionally absent.</x:v>
      </x:c>
      <x:c r="N268" s="9" t="n">
        <x:v>4</x:v>
      </x:c>
      <x:c r="O268" s="9" t="str">
        <x:v>Build the listed count-2 scene.</x:v>
      </x:c>
      <x:c r="P268" s="9" t="str">
        <x:v>The goal word one is trained, and this 2→1 trajectory is trained under a direct instruction, but the combination is withheld.</x:v>
      </x:c>
      <x:c r="Q268" s="9"/>
      <x:c r="R268" s="10"/>
      <x:c r="S268" s="10"/>
      <x:c r="T268" s="9"/>
      <x:c r="U268" s="9"/>
      <x:c r="V268" s="9"/>
      <x:c r="W268" s="9" t="str">
        <x:v>CT-CF21-REMOVE</x:v>
      </x:c>
      <x:c r="X268" s="10" t="n">
        <x:v>2</x:v>
      </x:c>
      <x:c r="Y268" s="10" t="n">
        <x:v>1</x:v>
      </x:c>
      <x:c r="Z268" s="9" t="str">
        <x:v>REMOVE</x:v>
      </x:c>
      <x:c r="AA268" s="9"/>
      <x:c r="AB268" s="9"/>
      <x:c r="AC268" s="9"/>
      <x:c r="AD268" s="9"/>
      <x:c r="AE268" s="9"/>
      <x:c r="AF268" s="9"/>
      <x:c r="AG268" s="9"/>
      <x:c r="AH268" s="9"/>
      <x:c r="AI268" s="11"/>
      <x:c r="AJ268" s="9"/>
      <x:c r="AK268" s="9" t="str">
        <x:v>Eval_Counting.xlsm</x:v>
      </x:c>
      <x:c r="AL268" s="9" t="str">
        <x:v>pi0.5 Results</x:v>
      </x:c>
      <x:c r="AM268" s="9" t="n">
        <x:v>118</x:v>
      </x:c>
      <x:c r="AN268" s="9" t="n">
        <x:v>118</x:v>
      </x:c>
    </x:row>
    <x:row r="269">
      <x:c r="A269" s="9" t="str">
        <x:v>Failure</x:v>
      </x:c>
      <x:c r="B269" s="9" t="str">
        <x:v>Counting</x:v>
      </x:c>
      <x:c r="C269" s="10" t="n">
        <x:v>117</x:v>
      </x:c>
      <x:c r="D269" s="9" t="str">
        <x:v>Leave exactly three objects in the bowl.</x:v>
      </x:c>
      <x:c r="E269" s="9" t="str">
        <x:v>Bowl objects: [blue pen, airplane toy without propellers] | Table objects: [yellow block]</x:v>
      </x:c>
      <x:c r="F269" s="9" t="str">
        <x:v>ADD any one table object; finish with 3 objects in the bowl</x:v>
      </x:c>
      <x:c r="G269" s="9" t="str">
        <x:v>didn't move</x:v>
      </x:c>
      <x:c r="H269" s="9" t="str">
        <x:v>Concept/compositional transfer</x:v>
      </x:c>
      <x:c r="I269" s="9" t="str">
        <x:v>CT-CF21</x:v>
      </x:c>
      <x:c r="J269" s="9" t="str">
        <x:v>Primary: three via held-out 2→3 addition</x:v>
      </x:c>
      <x:c r="K269" s="9" t="n">
        <x:v>116</x:v>
      </x:c>
      <x:c r="L269" s="9" t="str">
        <x:v>866</x:v>
      </x:c>
      <x:c r="M269" s="9" t="str">
        <x:v>Representative direct-instruction trajectory for yellow block; the evaluated count × transition composition is intentionally absent.</x:v>
      </x:c>
      <x:c r="N269" s="9" t="n">
        <x:v>4</x:v>
      </x:c>
      <x:c r="O269" s="9" t="str">
        <x:v>Reset the exact count-2 scene; change only the prompt.</x:v>
      </x:c>
      <x:c r="P269" s="9" t="str">
        <x:v>The goal word three is trained, and this 2→3 trajectory is trained under a direct instruction, but the combination is withheld.</x:v>
      </x:c>
      <x:c r="Q269" s="9"/>
      <x:c r="R269" s="10"/>
      <x:c r="S269" s="10"/>
      <x:c r="T269" s="9"/>
      <x:c r="U269" s="9"/>
      <x:c r="V269" s="9"/>
      <x:c r="W269" s="9" t="str">
        <x:v>CT-CF21-ADD</x:v>
      </x:c>
      <x:c r="X269" s="10" t="n">
        <x:v>2</x:v>
      </x:c>
      <x:c r="Y269" s="10" t="n">
        <x:v>3</x:v>
      </x:c>
      <x:c r="Z269" s="9" t="str">
        <x:v>ADD</x:v>
      </x:c>
      <x:c r="AA269" s="9"/>
      <x:c r="AB269" s="9"/>
      <x:c r="AC269" s="9"/>
      <x:c r="AD269" s="9"/>
      <x:c r="AE269" s="9"/>
      <x:c r="AF269" s="9"/>
      <x:c r="AG269" s="9"/>
      <x:c r="AH269" s="9"/>
      <x:c r="AI269" s="11"/>
      <x:c r="AJ269" s="9"/>
      <x:c r="AK269" s="9" t="str">
        <x:v>Eval_Counting.xlsm</x:v>
      </x:c>
      <x:c r="AL269" s="9" t="str">
        <x:v>pi0.5 Results</x:v>
      </x:c>
      <x:c r="AM269" s="9" t="n">
        <x:v>119</x:v>
      </x:c>
      <x:c r="AN269" s="9" t="n">
        <x:v>119</x:v>
      </x:c>
    </x:row>
    <x:row r="270">
      <x:c r="A270" s="9" t="str">
        <x:v>Failure</x:v>
      </x:c>
      <x:c r="B270" s="9" t="str">
        <x:v>Counting</x:v>
      </x:c>
      <x:c r="C270" s="10" t="n">
        <x:v>118</x:v>
      </x:c>
      <x:c r="D270" s="9" t="str">
        <x:v>Make the bowl contain exactly zero objects.</x:v>
      </x:c>
      <x:c r="E270" s="9" t="str">
        <x:v>Bowl objects: [yellow block] | Table objects: [green highlighter]</x:v>
      </x:c>
      <x:c r="F270" s="9" t="str">
        <x:v>REMOVE yellow block; finish with 0 objects in the bowl</x:v>
      </x:c>
      <x:c r="G270" s="9" t="str">
        <x:v>went for block at the very end of the episode, but didn;t have time to take it out of the bowl</x:v>
      </x:c>
      <x:c r="H270" s="9" t="str">
        <x:v>Cross-task object reasoning</x:v>
      </x:c>
      <x:c r="I270" s="9" t="str">
        <x:v>XT-GH02</x:v>
      </x:c>
      <x:c r="J270" s="9" t="str">
        <x:v>Reasoning-only cross-task distractor: 1→0 removal</x:v>
      </x:c>
      <x:c r="K270" s="9"/>
      <x:c r="L270" s="9" t="str">
        <x:v>825; 708</x:v>
      </x:c>
      <x:c r="M270" s="9" t="str">
        <x:v>First episode grounds the Counting prompt/transition; episode 708 grounds direct green-highlighter manipulation. No exact green-highlighter Counting cell exists.</x:v>
      </x:c>
      <x:c r="N270" s="9" t="n">
        <x:v>5</x:v>
      </x:c>
      <x:c r="O270" s="9" t="str">
        <x:v>Build counterfactual cross-task scene B.</x:v>
      </x:c>
      <x:c r="P270" s="9" t="str">
        <x:v>The prompt never names the highlighter. The highlighter is a distractor; the familiar Counting transition determines the action.</x:v>
      </x:c>
      <x:c r="Q270" s="9"/>
      <x:c r="R270" s="10"/>
      <x:c r="S270" s="10"/>
      <x:c r="T270" s="9"/>
      <x:c r="U270" s="9"/>
      <x:c r="V270" s="9"/>
      <x:c r="W270" s="9" t="str">
        <x:v>XT-GH02-B</x:v>
      </x:c>
      <x:c r="X270" s="10" t="n">
        <x:v>1</x:v>
      </x:c>
      <x:c r="Y270" s="10" t="n">
        <x:v>0</x:v>
      </x:c>
      <x:c r="Z270" s="9" t="str">
        <x:v>REMOVE</x:v>
      </x:c>
      <x:c r="AA270" s="9"/>
      <x:c r="AB270" s="9"/>
      <x:c r="AC270" s="9"/>
      <x:c r="AD270" s="9"/>
      <x:c r="AE270" s="9"/>
      <x:c r="AF270" s="9"/>
      <x:c r="AG270" s="9"/>
      <x:c r="AH270" s="9"/>
      <x:c r="AI270" s="11"/>
      <x:c r="AJ270" s="9"/>
      <x:c r="AK270" s="9" t="str">
        <x:v>Eval_Counting.xlsm</x:v>
      </x:c>
      <x:c r="AL270" s="9" t="str">
        <x:v>pi0.5 Results</x:v>
      </x:c>
      <x:c r="AM270" s="9" t="n">
        <x:v>120</x:v>
      </x:c>
      <x:c r="AN270" s="9" t="n">
        <x:v>120</x:v>
      </x:c>
    </x:row>
    <x:row r="271">
      <x:c r="A271" s="9" t="str">
        <x:v>Failure</x:v>
      </x:c>
      <x:c r="B271" s="9" t="str">
        <x:v>Counting</x:v>
      </x:c>
      <x:c r="C271" s="10" t="n">
        <x:v>119</x:v>
      </x:c>
      <x:c r="D271" s="9" t="str">
        <x:v>Make the bowl contain exactly two objects.</x:v>
      </x:c>
      <x:c r="E271" s="9" t="str">
        <x:v>Bowl objects: [yellow block] | Table objects: [green highlighter]</x:v>
      </x:c>
      <x:c r="F271" s="9" t="str">
        <x:v>ADD green highlighter; finish with 2 objects in the bowl</x:v>
      </x:c>
      <x:c r="G271" s="9" t="str">
        <x:v>didn't move</x:v>
      </x:c>
      <x:c r="H271" s="9" t="str">
        <x:v>Cross-task object reasoning</x:v>
      </x:c>
      <x:c r="I271" s="9" t="str">
        <x:v>XT-GH02</x:v>
      </x:c>
      <x:c r="J271" s="9" t="str">
        <x:v>Reasoning-only cross-task target: 1→2 addition</x:v>
      </x:c>
      <x:c r="K271" s="9" t="n">
        <x:v>118</x:v>
      </x:c>
      <x:c r="L271" s="9" t="str">
        <x:v>808; 708</x:v>
      </x:c>
      <x:c r="M271" s="9" t="str">
        <x:v>First episode grounds the Counting prompt/transition; episode 708 grounds direct green-highlighter manipulation. No exact green-highlighter Counting cell exists.</x:v>
      </x:c>
      <x:c r="N271" s="9" t="n">
        <x:v>5</x:v>
      </x:c>
      <x:c r="O271" s="9" t="str">
        <x:v>Reset the exact scene; change only the requested final count.</x:v>
      </x:c>
      <x:c r="P271" s="9" t="str">
        <x:v>The prompt never names the highlighter. The highlighter is the required object; the familiar Counting transition determines the action.</x:v>
      </x:c>
      <x:c r="Q271" s="9"/>
      <x:c r="R271" s="10"/>
      <x:c r="S271" s="10"/>
      <x:c r="T271" s="9"/>
      <x:c r="U271" s="9"/>
      <x:c r="V271" s="9"/>
      <x:c r="W271" s="9" t="str">
        <x:v>XT-GH02-B</x:v>
      </x:c>
      <x:c r="X271" s="10" t="n">
        <x:v>1</x:v>
      </x:c>
      <x:c r="Y271" s="10" t="n">
        <x:v>2</x:v>
      </x:c>
      <x:c r="Z271" s="9" t="str">
        <x:v>ADD</x:v>
      </x:c>
      <x:c r="AA271" s="9"/>
      <x:c r="AB271" s="9"/>
      <x:c r="AC271" s="9"/>
      <x:c r="AD271" s="9"/>
      <x:c r="AE271" s="9"/>
      <x:c r="AF271" s="9"/>
      <x:c r="AG271" s="9"/>
      <x:c r="AH271" s="9"/>
      <x:c r="AI271" s="11"/>
      <x:c r="AJ271" s="9"/>
      <x:c r="AK271" s="9" t="str">
        <x:v>Eval_Counting.xlsm</x:v>
      </x:c>
      <x:c r="AL271" s="9" t="str">
        <x:v>pi0.5 Results</x:v>
      </x:c>
      <x:c r="AM271" s="9" t="n">
        <x:v>121</x:v>
      </x:c>
      <x:c r="AN271" s="9" t="n">
        <x:v>121</x:v>
      </x:c>
    </x:row>
    <x:row r="272">
      <x:c r="A272" s="9" t="str">
        <x:v>Failure</x:v>
      </x:c>
      <x:c r="B272" s="9" t="str">
        <x:v>Counting</x:v>
      </x:c>
      <x:c r="C272" s="10" t="n">
        <x:v>120</x:v>
      </x:c>
      <x:c r="D272" s="9" t="str">
        <x:v>Make the bowl contain exactly two objects.</x:v>
      </x:c>
      <x:c r="E272" s="9" t="str">
        <x:v>Bowl objects: [green highlighter] | Table objects: [yellow block]</x:v>
      </x:c>
      <x:c r="F272" s="9" t="str">
        <x:v>ADD yellow block; finish with 2 objects in the bowl</x:v>
      </x:c>
      <x:c r="G272" s="9" t="str">
        <x:v>didn't move</x:v>
      </x:c>
      <x:c r="H272" s="9" t="str">
        <x:v>Cross-task object reasoning</x:v>
      </x:c>
      <x:c r="I272" s="9" t="str">
        <x:v>XT-GH02</x:v>
      </x:c>
      <x:c r="J272" s="9" t="str">
        <x:v>Reasoning-only cross-task distractor: 1→2 addition</x:v>
      </x:c>
      <x:c r="K272" s="9"/>
      <x:c r="L272" s="9" t="str">
        <x:v>808; 708</x:v>
      </x:c>
      <x:c r="M272" s="9" t="str">
        <x:v>First episode grounds the Counting prompt/transition; episode 708 grounds direct green-highlighter manipulation. No exact green-highlighter Counting cell exists.</x:v>
      </x:c>
      <x:c r="N272" s="9" t="n">
        <x:v>5</x:v>
      </x:c>
      <x:c r="O272" s="9" t="str">
        <x:v>Build counterfactual cross-task scene A.</x:v>
      </x:c>
      <x:c r="P272" s="9" t="str">
        <x:v>The prompt never names the highlighter. The highlighter is a distractor; the familiar Counting transition determines the action.</x:v>
      </x:c>
      <x:c r="Q272" s="9"/>
      <x:c r="R272" s="10"/>
      <x:c r="S272" s="10"/>
      <x:c r="T272" s="9"/>
      <x:c r="U272" s="9"/>
      <x:c r="V272" s="9"/>
      <x:c r="W272" s="9" t="str">
        <x:v>XT-GH02-A</x:v>
      </x:c>
      <x:c r="X272" s="10" t="n">
        <x:v>1</x:v>
      </x:c>
      <x:c r="Y272" s="10" t="n">
        <x:v>2</x:v>
      </x:c>
      <x:c r="Z272" s="9" t="str">
        <x:v>ADD</x:v>
      </x:c>
      <x:c r="AA272" s="9"/>
      <x:c r="AB272" s="9"/>
      <x:c r="AC272" s="9"/>
      <x:c r="AD272" s="9"/>
      <x:c r="AE272" s="9"/>
      <x:c r="AF272" s="9"/>
      <x:c r="AG272" s="9"/>
      <x:c r="AH272" s="9"/>
      <x:c r="AI272" s="11"/>
      <x:c r="AJ272" s="9"/>
      <x:c r="AK272" s="9" t="str">
        <x:v>Eval_Counting.xlsm</x:v>
      </x:c>
      <x:c r="AL272" s="9" t="str">
        <x:v>pi0.5 Results</x:v>
      </x:c>
      <x:c r="AM272" s="9" t="n">
        <x:v>122</x:v>
      </x:c>
      <x:c r="AN272" s="9" t="n">
        <x:v>122</x:v>
      </x:c>
    </x:row>
    <x:row r="273">
      <x:c r="A273" s="9" t="str">
        <x:v>Success</x:v>
      </x:c>
      <x:c r="B273" s="9" t="str">
        <x:v>Counting</x:v>
      </x:c>
      <x:c r="C273" s="10" t="n">
        <x:v>121</x:v>
      </x:c>
      <x:c r="D273" s="9" t="str">
        <x:v>Make the bowl contain exactly zero objects.</x:v>
      </x:c>
      <x:c r="E273" s="9" t="str">
        <x:v>Bowl objects: [green highlighter] | Table objects: [yellow block]</x:v>
      </x:c>
      <x:c r="F273" s="9" t="str">
        <x:v>REMOVE green highlighter; finish with 0 objects in the bowl</x:v>
      </x:c>
      <x:c r="G273" s="9"/>
      <x:c r="H273" s="9" t="str">
        <x:v>Cross-task object reasoning</x:v>
      </x:c>
      <x:c r="I273" s="9" t="str">
        <x:v>XT-GH02</x:v>
      </x:c>
      <x:c r="J273" s="9" t="str">
        <x:v>Reasoning-only cross-task target: 1→0 removal</x:v>
      </x:c>
      <x:c r="K273" s="9" t="n">
        <x:v>120</x:v>
      </x:c>
      <x:c r="L273" s="9" t="str">
        <x:v>825; 708</x:v>
      </x:c>
      <x:c r="M273" s="9" t="str">
        <x:v>First episode grounds the Counting prompt/transition; episode 708 grounds direct green-highlighter manipulation. No exact green-highlighter Counting cell exists.</x:v>
      </x:c>
      <x:c r="N273" s="9" t="n">
        <x:v>5</x:v>
      </x:c>
      <x:c r="O273" s="9" t="str">
        <x:v>Reset the exact scene; change only the requested final count.</x:v>
      </x:c>
      <x:c r="P273" s="9" t="str">
        <x:v>The prompt never names the highlighter. The highlighter is the required object; the familiar Counting transition determines the action.</x:v>
      </x:c>
      <x:c r="Q273" s="9"/>
      <x:c r="R273" s="10"/>
      <x:c r="S273" s="10"/>
      <x:c r="T273" s="9"/>
      <x:c r="U273" s="9"/>
      <x:c r="V273" s="9"/>
      <x:c r="W273" s="9" t="str">
        <x:v>XT-GH02-A</x:v>
      </x:c>
      <x:c r="X273" s="10" t="n">
        <x:v>1</x:v>
      </x:c>
      <x:c r="Y273" s="10" t="n">
        <x:v>0</x:v>
      </x:c>
      <x:c r="Z273" s="9" t="str">
        <x:v>REMOVE</x:v>
      </x:c>
      <x:c r="AA273" s="9"/>
      <x:c r="AB273" s="9"/>
      <x:c r="AC273" s="9"/>
      <x:c r="AD273" s="9"/>
      <x:c r="AE273" s="9"/>
      <x:c r="AF273" s="9"/>
      <x:c r="AG273" s="9"/>
      <x:c r="AH273" s="9"/>
      <x:c r="AI273" s="11"/>
      <x:c r="AJ273" s="9"/>
      <x:c r="AK273" s="9" t="str">
        <x:v>Eval_Counting.xlsm</x:v>
      </x:c>
      <x:c r="AL273" s="9" t="str">
        <x:v>pi0.5 Results</x:v>
      </x:c>
      <x:c r="AM273" s="9" t="n">
        <x:v>123</x:v>
      </x:c>
      <x:c r="AN273" s="9" t="n">
        <x:v>123</x:v>
      </x:c>
    </x:row>
    <x:row r="274">
      <x:c r="A274" s="9" t="str">
        <x:v>Failure</x:v>
      </x:c>
      <x:c r="B274" s="9" t="str">
        <x:v>Counting</x:v>
      </x:c>
      <x:c r="C274" s="10" t="n">
        <x:v>122</x:v>
      </x:c>
      <x:c r="D274" s="9" t="str">
        <x:v>Leave exactly three objects in the bowl.</x:v>
      </x:c>
      <x:c r="E274" s="9" t="str">
        <x:v>Bowl objects: [yellow block, green pencil sharpener] | Table objects: [airplane toy without propellers]</x:v>
      </x:c>
      <x:c r="F274" s="9" t="str">
        <x:v>ADD any one table object; finish with 3 objects in the bowl</x:v>
      </x:c>
      <x:c r="G274" s="9" t="str">
        <x:v>didn't move</x:v>
      </x:c>
      <x:c r="H274" s="9" t="str">
        <x:v>Concept/compositional transfer</x:v>
      </x:c>
      <x:c r="I274" s="9" t="str">
        <x:v>CT-CF16</x:v>
      </x:c>
      <x:c r="J274" s="9" t="str">
        <x:v>Primary: three via held-out 2→3 addition</x:v>
      </x:c>
      <x:c r="K274" s="9"/>
      <x:c r="L274" s="9" t="str">
        <x:v>966</x:v>
      </x:c>
      <x:c r="M274" s="9" t="str">
        <x:v>Representative direct-instruction trajectory for airplane toy without propellers; the evaluated count × transition composition is intentionally absent.</x:v>
      </x:c>
      <x:c r="N274" s="9" t="n">
        <x:v>4</x:v>
      </x:c>
      <x:c r="O274" s="9" t="str">
        <x:v>Reset the exact count-2 scene; change only the prompt.</x:v>
      </x:c>
      <x:c r="P274" s="9" t="str">
        <x:v>The goal word three is trained, and this 2→3 trajectory is trained under a direct instruction, but the combination is withheld.</x:v>
      </x:c>
      <x:c r="Q274" s="9"/>
      <x:c r="R274" s="10"/>
      <x:c r="S274" s="10"/>
      <x:c r="T274" s="9"/>
      <x:c r="U274" s="9"/>
      <x:c r="V274" s="9"/>
      <x:c r="W274" s="9" t="str">
        <x:v>CT-CF16-ADD</x:v>
      </x:c>
      <x:c r="X274" s="10" t="n">
        <x:v>2</x:v>
      </x:c>
      <x:c r="Y274" s="10" t="n">
        <x:v>3</x:v>
      </x:c>
      <x:c r="Z274" s="9" t="str">
        <x:v>ADD</x:v>
      </x:c>
      <x:c r="AA274" s="9"/>
      <x:c r="AB274" s="9"/>
      <x:c r="AC274" s="9"/>
      <x:c r="AD274" s="9"/>
      <x:c r="AE274" s="9"/>
      <x:c r="AF274" s="9"/>
      <x:c r="AG274" s="9"/>
      <x:c r="AH274" s="9"/>
      <x:c r="AI274" s="11"/>
      <x:c r="AJ274" s="9"/>
      <x:c r="AK274" s="9" t="str">
        <x:v>Eval_Counting.xlsm</x:v>
      </x:c>
      <x:c r="AL274" s="9" t="str">
        <x:v>pi0.5 Results</x:v>
      </x:c>
      <x:c r="AM274" s="9" t="n">
        <x:v>124</x:v>
      </x:c>
      <x:c r="AN274" s="9" t="n">
        <x:v>124</x:v>
      </x:c>
    </x:row>
    <x:row r="275">
      <x:c r="A275" s="9" t="str">
        <x:v>Failure</x:v>
      </x:c>
      <x:c r="B275" s="9" t="str">
        <x:v>Counting</x:v>
      </x:c>
      <x:c r="C275" s="10" t="n">
        <x:v>123</x:v>
      </x:c>
      <x:c r="D275" s="9" t="str">
        <x:v>Leave exactly one object in the bowl.</x:v>
      </x:c>
      <x:c r="E275" s="9" t="str">
        <x:v>Bowl objects: [yellow block, green pencil sharpener] | Table objects: [airplane toy without propellers]</x:v>
      </x:c>
      <x:c r="F275" s="9" t="str">
        <x:v>REMOVE any one bowl object; finish with 1 object in the bowl</x:v>
      </x:c>
      <x:c r="G275" s="9" t="str">
        <x:v>didn't move</x:v>
      </x:c>
      <x:c r="H275" s="9" t="str">
        <x:v>Concept/compositional transfer</x:v>
      </x:c>
      <x:c r="I275" s="9" t="str">
        <x:v>CT-CF16</x:v>
      </x:c>
      <x:c r="J275" s="9" t="str">
        <x:v>Primary: one via held-out 2→1 removal</x:v>
      </x:c>
      <x:c r="K275" s="9" t="n">
        <x:v>122</x:v>
      </x:c>
      <x:c r="L275" s="9" t="str">
        <x:v>931</x:v>
      </x:c>
      <x:c r="M275" s="9" t="str">
        <x:v>Representative direct-instruction trajectory for green pencil sharpener; the evaluated count × transition composition is intentionally absent.</x:v>
      </x:c>
      <x:c r="N275" s="9" t="n">
        <x:v>4</x:v>
      </x:c>
      <x:c r="O275" s="9" t="str">
        <x:v>Build the listed count-2 scene.</x:v>
      </x:c>
      <x:c r="P275" s="9" t="str">
        <x:v>The goal word one is trained, and this 2→1 trajectory is trained under a direct instruction, but the combination is withheld.</x:v>
      </x:c>
      <x:c r="Q275" s="9"/>
      <x:c r="R275" s="10"/>
      <x:c r="S275" s="10"/>
      <x:c r="T275" s="9"/>
      <x:c r="U275" s="9"/>
      <x:c r="V275" s="9"/>
      <x:c r="W275" s="9" t="str">
        <x:v>CT-CF16-REMOVE</x:v>
      </x:c>
      <x:c r="X275" s="10" t="n">
        <x:v>2</x:v>
      </x:c>
      <x:c r="Y275" s="10" t="n">
        <x:v>1</x:v>
      </x:c>
      <x:c r="Z275" s="9" t="str">
        <x:v>REMOVE</x:v>
      </x:c>
      <x:c r="AA275" s="9"/>
      <x:c r="AB275" s="9"/>
      <x:c r="AC275" s="9"/>
      <x:c r="AD275" s="9"/>
      <x:c r="AE275" s="9"/>
      <x:c r="AF275" s="9"/>
      <x:c r="AG275" s="9"/>
      <x:c r="AH275" s="9"/>
      <x:c r="AI275" s="11"/>
      <x:c r="AJ275" s="9"/>
      <x:c r="AK275" s="9" t="str">
        <x:v>Eval_Counting.xlsm</x:v>
      </x:c>
      <x:c r="AL275" s="9" t="str">
        <x:v>pi0.5 Results</x:v>
      </x:c>
      <x:c r="AM275" s="9" t="n">
        <x:v>125</x:v>
      </x:c>
      <x:c r="AN275" s="9" t="n">
        <x:v>125</x:v>
      </x:c>
    </x:row>
    <x:row r="276">
      <x:c r="A276" s="9" t="str">
        <x:v>Success</x:v>
      </x:c>
      <x:c r="B276" s="9" t="str">
        <x:v>Counting</x:v>
      </x:c>
      <x:c r="C276" s="10" t="n">
        <x:v>124</x:v>
      </x:c>
      <x:c r="D276" s="9" t="str">
        <x:v>Make the bowl contain exactly zero objects.</x:v>
      </x:c>
      <x:c r="E276" s="9" t="str">
        <x:v>Bowl objects: [airplane toy without propellers] | Table objects: [green highlighter]</x:v>
      </x:c>
      <x:c r="F276" s="9" t="str">
        <x:v>REMOVE airplane toy without propellers; finish with 0 objects in the bowl</x:v>
      </x:c>
      <x:c r="G276" s="9"/>
      <x:c r="H276" s="9" t="str">
        <x:v>Cross-task object reasoning</x:v>
      </x:c>
      <x:c r="I276" s="9" t="str">
        <x:v>XT-GH04</x:v>
      </x:c>
      <x:c r="J276" s="9" t="str">
        <x:v>Reasoning-only cross-task distractor: 1→0 removal</x:v>
      </x:c>
      <x:c r="K276" s="9"/>
      <x:c r="L276" s="9" t="str">
        <x:v>825; 708</x:v>
      </x:c>
      <x:c r="M276" s="9" t="str">
        <x:v>First episode grounds the Counting prompt/transition; episode 708 grounds direct green-highlighter manipulation. No exact green-highlighter Counting cell exists.</x:v>
      </x:c>
      <x:c r="N276" s="9" t="n">
        <x:v>5</x:v>
      </x:c>
      <x:c r="O276" s="9" t="str">
        <x:v>Build counterfactual cross-task scene B.</x:v>
      </x:c>
      <x:c r="P276" s="9" t="str">
        <x:v>The prompt never names the highlighter. The highlighter is a distractor; the familiar Counting transition determines the action.</x:v>
      </x:c>
      <x:c r="Q276" s="9"/>
      <x:c r="R276" s="10"/>
      <x:c r="S276" s="10"/>
      <x:c r="T276" s="9"/>
      <x:c r="U276" s="9"/>
      <x:c r="V276" s="9"/>
      <x:c r="W276" s="9" t="str">
        <x:v>XT-GH04-B</x:v>
      </x:c>
      <x:c r="X276" s="10" t="n">
        <x:v>1</x:v>
      </x:c>
      <x:c r="Y276" s="10" t="n">
        <x:v>0</x:v>
      </x:c>
      <x:c r="Z276" s="9" t="str">
        <x:v>REMOVE</x:v>
      </x:c>
      <x:c r="AA276" s="9"/>
      <x:c r="AB276" s="9"/>
      <x:c r="AC276" s="9"/>
      <x:c r="AD276" s="9"/>
      <x:c r="AE276" s="9"/>
      <x:c r="AF276" s="9"/>
      <x:c r="AG276" s="9"/>
      <x:c r="AH276" s="9"/>
      <x:c r="AI276" s="11"/>
      <x:c r="AJ276" s="9"/>
      <x:c r="AK276" s="9" t="str">
        <x:v>Eval_Counting.xlsm</x:v>
      </x:c>
      <x:c r="AL276" s="9" t="str">
        <x:v>pi0.5 Results</x:v>
      </x:c>
      <x:c r="AM276" s="9" t="n">
        <x:v>126</x:v>
      </x:c>
      <x:c r="AN276" s="9" t="n">
        <x:v>126</x:v>
      </x:c>
    </x:row>
    <x:row r="277">
      <x:c r="A277" s="9" t="str">
        <x:v>Failure</x:v>
      </x:c>
      <x:c r="B277" s="9" t="str">
        <x:v>Counting</x:v>
      </x:c>
      <x:c r="C277" s="10" t="n">
        <x:v>125</x:v>
      </x:c>
      <x:c r="D277" s="9" t="str">
        <x:v>Make the bowl contain exactly two objects.</x:v>
      </x:c>
      <x:c r="E277" s="9" t="str">
        <x:v>Bowl objects: [airplane toy without propellers] | Table objects: [green highlighter]</x:v>
      </x:c>
      <x:c r="F277" s="9" t="str">
        <x:v>ADD green highlighter; finish with 2 objects in the bowl</x:v>
      </x:c>
      <x:c r="G277" s="9" t="str">
        <x:v>didn't move</x:v>
      </x:c>
      <x:c r="H277" s="9" t="str">
        <x:v>Cross-task object reasoning</x:v>
      </x:c>
      <x:c r="I277" s="9" t="str">
        <x:v>XT-GH04</x:v>
      </x:c>
      <x:c r="J277" s="9" t="str">
        <x:v>Reasoning-only cross-task target: 1→2 addition</x:v>
      </x:c>
      <x:c r="K277" s="9" t="n">
        <x:v>124</x:v>
      </x:c>
      <x:c r="L277" s="9" t="str">
        <x:v>808; 708</x:v>
      </x:c>
      <x:c r="M277" s="9" t="str">
        <x:v>First episode grounds the Counting prompt/transition; episode 708 grounds direct green-highlighter manipulation. No exact green-highlighter Counting cell exists.</x:v>
      </x:c>
      <x:c r="N277" s="9" t="n">
        <x:v>5</x:v>
      </x:c>
      <x:c r="O277" s="9" t="str">
        <x:v>Reset the exact scene; change only the requested final count.</x:v>
      </x:c>
      <x:c r="P277" s="9" t="str">
        <x:v>The prompt never names the highlighter. The highlighter is the required object; the familiar Counting transition determines the action.</x:v>
      </x:c>
      <x:c r="Q277" s="9"/>
      <x:c r="R277" s="10"/>
      <x:c r="S277" s="10"/>
      <x:c r="T277" s="9"/>
      <x:c r="U277" s="9"/>
      <x:c r="V277" s="9"/>
      <x:c r="W277" s="9" t="str">
        <x:v>XT-GH04-B</x:v>
      </x:c>
      <x:c r="X277" s="10" t="n">
        <x:v>1</x:v>
      </x:c>
      <x:c r="Y277" s="10" t="n">
        <x:v>2</x:v>
      </x:c>
      <x:c r="Z277" s="9" t="str">
        <x:v>ADD</x:v>
      </x:c>
      <x:c r="AA277" s="9"/>
      <x:c r="AB277" s="9"/>
      <x:c r="AC277" s="9"/>
      <x:c r="AD277" s="9"/>
      <x:c r="AE277" s="9"/>
      <x:c r="AF277" s="9"/>
      <x:c r="AG277" s="9"/>
      <x:c r="AH277" s="9"/>
      <x:c r="AI277" s="11"/>
      <x:c r="AJ277" s="9"/>
      <x:c r="AK277" s="9" t="str">
        <x:v>Eval_Counting.xlsm</x:v>
      </x:c>
      <x:c r="AL277" s="9" t="str">
        <x:v>pi0.5 Results</x:v>
      </x:c>
      <x:c r="AM277" s="9" t="n">
        <x:v>127</x:v>
      </x:c>
      <x:c r="AN277" s="9" t="n">
        <x:v>127</x:v>
      </x:c>
    </x:row>
    <x:row r="278">
      <x:c r="A278" s="9" t="str">
        <x:v>Failure</x:v>
      </x:c>
      <x:c r="B278" s="9" t="str">
        <x:v>Counting</x:v>
      </x:c>
      <x:c r="C278" s="10" t="n">
        <x:v>126</x:v>
      </x:c>
      <x:c r="D278" s="9" t="str">
        <x:v>Make the bowl contain exactly two objects.</x:v>
      </x:c>
      <x:c r="E278" s="9" t="str">
        <x:v>Bowl objects: [green highlighter] | Table objects: [airplane toy without propellers]</x:v>
      </x:c>
      <x:c r="F278" s="9" t="str">
        <x:v>ADD airplane toy without propellers; finish with 2 objects in the bowl</x:v>
      </x:c>
      <x:c r="G278" s="9" t="str">
        <x:v>didn't move</x:v>
      </x:c>
      <x:c r="H278" s="9" t="str">
        <x:v>Cross-task object reasoning</x:v>
      </x:c>
      <x:c r="I278" s="9" t="str">
        <x:v>XT-GH04</x:v>
      </x:c>
      <x:c r="J278" s="9" t="str">
        <x:v>Reasoning-only cross-task distractor: 1→2 addition</x:v>
      </x:c>
      <x:c r="K278" s="9"/>
      <x:c r="L278" s="9" t="str">
        <x:v>808; 708</x:v>
      </x:c>
      <x:c r="M278" s="9" t="str">
        <x:v>First episode grounds the Counting prompt/transition; episode 708 grounds direct green-highlighter manipulation. No exact green-highlighter Counting cell exists.</x:v>
      </x:c>
      <x:c r="N278" s="9" t="n">
        <x:v>5</x:v>
      </x:c>
      <x:c r="O278" s="9" t="str">
        <x:v>Build counterfactual cross-task scene A.</x:v>
      </x:c>
      <x:c r="P278" s="9" t="str">
        <x:v>The prompt never names the highlighter. The highlighter is a distractor; the familiar Counting transition determines the action.</x:v>
      </x:c>
      <x:c r="Q278" s="9"/>
      <x:c r="R278" s="10"/>
      <x:c r="S278" s="10"/>
      <x:c r="T278" s="9"/>
      <x:c r="U278" s="9"/>
      <x:c r="V278" s="9"/>
      <x:c r="W278" s="9" t="str">
        <x:v>XT-GH04-A</x:v>
      </x:c>
      <x:c r="X278" s="10" t="n">
        <x:v>1</x:v>
      </x:c>
      <x:c r="Y278" s="10" t="n">
        <x:v>2</x:v>
      </x:c>
      <x:c r="Z278" s="9" t="str">
        <x:v>ADD</x:v>
      </x:c>
      <x:c r="AA278" s="9"/>
      <x:c r="AB278" s="9"/>
      <x:c r="AC278" s="9"/>
      <x:c r="AD278" s="9"/>
      <x:c r="AE278" s="9"/>
      <x:c r="AF278" s="9"/>
      <x:c r="AG278" s="9"/>
      <x:c r="AH278" s="9"/>
      <x:c r="AI278" s="11"/>
      <x:c r="AJ278" s="9"/>
      <x:c r="AK278" s="9" t="str">
        <x:v>Eval_Counting.xlsm</x:v>
      </x:c>
      <x:c r="AL278" s="9" t="str">
        <x:v>pi0.5 Results</x:v>
      </x:c>
      <x:c r="AM278" s="9" t="n">
        <x:v>128</x:v>
      </x:c>
      <x:c r="AN278" s="9" t="n">
        <x:v>128</x:v>
      </x:c>
    </x:row>
    <x:row r="279">
      <x:c r="A279" s="9" t="str">
        <x:v>Failure</x:v>
      </x:c>
      <x:c r="B279" s="9" t="str">
        <x:v>Counting</x:v>
      </x:c>
      <x:c r="C279" s="10" t="n">
        <x:v>127</x:v>
      </x:c>
      <x:c r="D279" s="9" t="str">
        <x:v>Make the bowl contain exactly zero objects.</x:v>
      </x:c>
      <x:c r="E279" s="9" t="str">
        <x:v>Bowl objects: [green highlighter] | Table objects: [airplane toy without propellers]</x:v>
      </x:c>
      <x:c r="F279" s="9" t="str">
        <x:v>REMOVE green highlighter; finish with 0 objects in the bowl</x:v>
      </x:c>
      <x:c r="G279" s="9" t="str">
        <x:v>didn't move</x:v>
      </x:c>
      <x:c r="H279" s="9" t="str">
        <x:v>Cross-task object reasoning</x:v>
      </x:c>
      <x:c r="I279" s="9" t="str">
        <x:v>XT-GH04</x:v>
      </x:c>
      <x:c r="J279" s="9" t="str">
        <x:v>Reasoning-only cross-task target: 1→0 removal</x:v>
      </x:c>
      <x:c r="K279" s="9" t="n">
        <x:v>126</x:v>
      </x:c>
      <x:c r="L279" s="9" t="str">
        <x:v>825; 708</x:v>
      </x:c>
      <x:c r="M279" s="9" t="str">
        <x:v>First episode grounds the Counting prompt/transition; episode 708 grounds direct green-highlighter manipulation. No exact green-highlighter Counting cell exists.</x:v>
      </x:c>
      <x:c r="N279" s="9" t="n">
        <x:v>5</x:v>
      </x:c>
      <x:c r="O279" s="9" t="str">
        <x:v>Reset the exact scene; change only the requested final count.</x:v>
      </x:c>
      <x:c r="P279" s="9" t="str">
        <x:v>The prompt never names the highlighter. The highlighter is the required object; the familiar Counting transition determines the action.</x:v>
      </x:c>
      <x:c r="Q279" s="9"/>
      <x:c r="R279" s="10"/>
      <x:c r="S279" s="10"/>
      <x:c r="T279" s="9"/>
      <x:c r="U279" s="9"/>
      <x:c r="V279" s="9"/>
      <x:c r="W279" s="9" t="str">
        <x:v>XT-GH04-A</x:v>
      </x:c>
      <x:c r="X279" s="10" t="n">
        <x:v>1</x:v>
      </x:c>
      <x:c r="Y279" s="10" t="n">
        <x:v>0</x:v>
      </x:c>
      <x:c r="Z279" s="9" t="str">
        <x:v>REMOVE</x:v>
      </x:c>
      <x:c r="AA279" s="9"/>
      <x:c r="AB279" s="9"/>
      <x:c r="AC279" s="9"/>
      <x:c r="AD279" s="9"/>
      <x:c r="AE279" s="9"/>
      <x:c r="AF279" s="9"/>
      <x:c r="AG279" s="9"/>
      <x:c r="AH279" s="9"/>
      <x:c r="AI279" s="11"/>
      <x:c r="AJ279" s="9"/>
      <x:c r="AK279" s="9" t="str">
        <x:v>Eval_Counting.xlsm</x:v>
      </x:c>
      <x:c r="AL279" s="9" t="str">
        <x:v>pi0.5 Results</x:v>
      </x:c>
      <x:c r="AM279" s="9" t="n">
        <x:v>129</x:v>
      </x:c>
      <x:c r="AN279" s="9" t="n">
        <x:v>129</x:v>
      </x:c>
    </x:row>
    <x:row r="280">
      <x:c r="A280" s="9" t="str">
        <x:v>Success</x:v>
      </x:c>
      <x:c r="B280" s="9" t="str">
        <x:v>Counting</x:v>
      </x:c>
      <x:c r="C280" s="10" t="n">
        <x:v>128</x:v>
      </x:c>
      <x:c r="D280" s="9" t="str">
        <x:v>Leave no objects in the bowl.</x:v>
      </x:c>
      <x:c r="E280" s="9" t="str">
        <x:v>Bowl objects: [none] | Table objects: [yellow block]</x:v>
      </x:c>
      <x:c r="F280" s="9" t="str">
        <x:v>NO-OP; preserve 0 objects in the bowl and do not initiate a grasp</x:v>
      </x:c>
      <x:c r="G280" s="9"/>
      <x:c r="H280" s="9" t="str">
        <x:v>Goal already satisfied / no movement</x:v>
      </x:c>
      <x:c r="I280" s="9" t="str">
        <x:v>NOOP-05</x:v>
      </x:c>
      <x:c r="J280" s="9" t="str">
        <x:v>Goal already satisfied: 0→0</x:v>
      </x:c>
      <x:c r="K280" s="9"/>
      <x:c r="L280" s="9" t="str">
        <x:v>975</x:v>
      </x:c>
      <x:c r="M280" s="9" t="str">
        <x:v>Prompt/concept grounding only. Training does not contain a goal-already-satisfied no-movement trajectory.</x:v>
      </x:c>
      <x:c r="N280" s="9" t="n">
        <x:v>6</x:v>
      </x:c>
      <x:c r="O280" s="9" t="str">
        <x:v>Build the first no-movement scene in this family.</x:v>
      </x:c>
      <x:c r="P280" s="9" t="str">
        <x:v>Visible-object count varies across no-op families. Table objects are distractors where present; success requires leaving the satisfied scene unchanged.</x:v>
      </x:c>
      <x:c r="Q280" s="9"/>
      <x:c r="R280" s="10"/>
      <x:c r="S280" s="10"/>
      <x:c r="T280" s="9"/>
      <x:c r="U280" s="9"/>
      <x:c r="V280" s="9"/>
      <x:c r="W280" s="9" t="str">
        <x:v>NOOP-05</x:v>
      </x:c>
      <x:c r="X280" s="10" t="n">
        <x:v>0</x:v>
      </x:c>
      <x:c r="Y280" s="10" t="n">
        <x:v>0</x:v>
      </x:c>
      <x:c r="Z280" s="9" t="str">
        <x:v>NO-OP</x:v>
      </x:c>
      <x:c r="AA280" s="9"/>
      <x:c r="AB280" s="9"/>
      <x:c r="AC280" s="9"/>
      <x:c r="AD280" s="9"/>
      <x:c r="AE280" s="9"/>
      <x:c r="AF280" s="9"/>
      <x:c r="AG280" s="9"/>
      <x:c r="AH280" s="9"/>
      <x:c r="AI280" s="11"/>
      <x:c r="AJ280" s="9"/>
      <x:c r="AK280" s="9" t="str">
        <x:v>Eval_Counting.xlsm</x:v>
      </x:c>
      <x:c r="AL280" s="9" t="str">
        <x:v>pi0.5 Results</x:v>
      </x:c>
      <x:c r="AM280" s="9" t="n">
        <x:v>130</x:v>
      </x:c>
      <x:c r="AN280" s="9" t="n">
        <x:v>130</x:v>
      </x:c>
    </x:row>
    <x:row r="281">
      <x:c r="A281" s="9" t="str">
        <x:v>Success</x:v>
      </x:c>
      <x:c r="B281" s="9" t="str">
        <x:v>Counting</x:v>
      </x:c>
      <x:c r="C281" s="10" t="n">
        <x:v>129</x:v>
      </x:c>
      <x:c r="D281" s="9" t="str">
        <x:v>Leave exactly one object in the bowl.</x:v>
      </x:c>
      <x:c r="E281" s="9" t="str">
        <x:v>Bowl objects: [yellow block] | Table objects: [blue pen]</x:v>
      </x:c>
      <x:c r="F281" s="9" t="str">
        <x:v>NO-OP; preserve 1 object in the bowl and do not initiate a grasp</x:v>
      </x:c>
      <x:c r="G281" s="9"/>
      <x:c r="H281" s="9" t="str">
        <x:v>Goal already satisfied / no movement</x:v>
      </x:c>
      <x:c r="I281" s="9" t="str">
        <x:v>NOOP-05</x:v>
      </x:c>
      <x:c r="J281" s="9" t="str">
        <x:v>Goal already satisfied: 1→1</x:v>
      </x:c>
      <x:c r="K281" s="9"/>
      <x:c r="L281" s="9" t="str">
        <x:v>800</x:v>
      </x:c>
      <x:c r="M281" s="9" t="str">
        <x:v>Prompt/concept grounding only. Training does not contain a goal-already-satisfied no-movement trajectory.</x:v>
      </x:c>
      <x:c r="N281" s="9" t="n">
        <x:v>6</x:v>
      </x:c>
      <x:c r="O281" s="9" t="str">
        <x:v>Move only the minimum listed objects between bowl and table for the next count.</x:v>
      </x:c>
      <x:c r="P281" s="9" t="str">
        <x:v>Visible-object count varies across no-op families. Table objects are distractors where present; success requires leaving the satisfied scene unchanged.</x:v>
      </x:c>
      <x:c r="Q281" s="9"/>
      <x:c r="R281" s="10"/>
      <x:c r="S281" s="10"/>
      <x:c r="T281" s="9"/>
      <x:c r="U281" s="9"/>
      <x:c r="V281" s="9"/>
      <x:c r="W281" s="9" t="str">
        <x:v>NOOP-05</x:v>
      </x:c>
      <x:c r="X281" s="10" t="n">
        <x:v>1</x:v>
      </x:c>
      <x:c r="Y281" s="10" t="n">
        <x:v>1</x:v>
      </x:c>
      <x:c r="Z281" s="9" t="str">
        <x:v>NO-OP</x:v>
      </x:c>
      <x:c r="AA281" s="9"/>
      <x:c r="AB281" s="9"/>
      <x:c r="AC281" s="9"/>
      <x:c r="AD281" s="9"/>
      <x:c r="AE281" s="9"/>
      <x:c r="AF281" s="9"/>
      <x:c r="AG281" s="9"/>
      <x:c r="AH281" s="9"/>
      <x:c r="AI281" s="11"/>
      <x:c r="AJ281" s="9"/>
      <x:c r="AK281" s="9" t="str">
        <x:v>Eval_Counting.xlsm</x:v>
      </x:c>
      <x:c r="AL281" s="9" t="str">
        <x:v>pi0.5 Results</x:v>
      </x:c>
      <x:c r="AM281" s="9" t="n">
        <x:v>131</x:v>
      </x:c>
      <x:c r="AN281" s="9" t="n">
        <x:v>131</x:v>
      </x:c>
    </x:row>
    <x:row r="282">
      <x:c r="A282" s="9" t="str">
        <x:v>Success</x:v>
      </x:c>
      <x:c r="B282" s="9" t="str">
        <x:v>Counting</x:v>
      </x:c>
      <x:c r="C282" s="10" t="n">
        <x:v>130</x:v>
      </x:c>
      <x:c r="D282" s="9" t="str">
        <x:v>Leave exactly two objects in the bowl.</x:v>
      </x:c>
      <x:c r="E282" s="9" t="str">
        <x:v>Bowl objects: [yellow block, blue pen] | Table objects: [airplane toy without propellers]</x:v>
      </x:c>
      <x:c r="F282" s="9" t="str">
        <x:v>NO-OP; preserve 2 objects in the bowl and do not initiate a grasp</x:v>
      </x:c>
      <x:c r="G282" s="9"/>
      <x:c r="H282" s="9" t="str">
        <x:v>Goal already satisfied / no movement</x:v>
      </x:c>
      <x:c r="I282" s="9" t="str">
        <x:v>NOOP-05</x:v>
      </x:c>
      <x:c r="J282" s="9" t="str">
        <x:v>Goal already satisfied: 2→2</x:v>
      </x:c>
      <x:c r="K282" s="9"/>
      <x:c r="L282" s="9" t="str">
        <x:v>861</x:v>
      </x:c>
      <x:c r="M282" s="9" t="str">
        <x:v>Prompt/concept grounding only. Training does not contain a goal-already-satisfied no-movement trajectory.</x:v>
      </x:c>
      <x:c r="N282" s="9" t="n">
        <x:v>6</x:v>
      </x:c>
      <x:c r="O282" s="9" t="str">
        <x:v>Move only the minimum listed objects between bowl and table for the next count.</x:v>
      </x:c>
      <x:c r="P282" s="9" t="str">
        <x:v>Visible-object count varies across no-op families. Table objects are distractors where present; success requires leaving the satisfied scene unchanged.</x:v>
      </x:c>
      <x:c r="Q282" s="9"/>
      <x:c r="R282" s="10"/>
      <x:c r="S282" s="10"/>
      <x:c r="T282" s="9"/>
      <x:c r="U282" s="9"/>
      <x:c r="V282" s="9"/>
      <x:c r="W282" s="9" t="str">
        <x:v>NOOP-05</x:v>
      </x:c>
      <x:c r="X282" s="10" t="n">
        <x:v>2</x:v>
      </x:c>
      <x:c r="Y282" s="10" t="n">
        <x:v>2</x:v>
      </x:c>
      <x:c r="Z282" s="9" t="str">
        <x:v>NO-OP</x:v>
      </x:c>
      <x:c r="AA282" s="9"/>
      <x:c r="AB282" s="9"/>
      <x:c r="AC282" s="9"/>
      <x:c r="AD282" s="9"/>
      <x:c r="AE282" s="9"/>
      <x:c r="AF282" s="9"/>
      <x:c r="AG282" s="9"/>
      <x:c r="AH282" s="9"/>
      <x:c r="AI282" s="11"/>
      <x:c r="AJ282" s="9"/>
      <x:c r="AK282" s="9" t="str">
        <x:v>Eval_Counting.xlsm</x:v>
      </x:c>
      <x:c r="AL282" s="9" t="str">
        <x:v>pi0.5 Results</x:v>
      </x:c>
      <x:c r="AM282" s="9" t="n">
        <x:v>132</x:v>
      </x:c>
      <x:c r="AN282" s="9" t="n">
        <x:v>132</x:v>
      </x:c>
    </x:row>
    <x:row r="283">
      <x:c r="A283" s="9" t="str">
        <x:v>Success</x:v>
      </x:c>
      <x:c r="B283" s="9" t="str">
        <x:v>Counting</x:v>
      </x:c>
      <x:c r="C283" s="10" t="n">
        <x:v>131</x:v>
      </x:c>
      <x:c r="D283" s="9" t="str">
        <x:v>Leave exactly three objects in the bowl.</x:v>
      </x:c>
      <x:c r="E283" s="9" t="str">
        <x:v>Bowl objects: [yellow block, blue pen, airplane toy without propellers] | Table objects: [green pencil sharpener]</x:v>
      </x:c>
      <x:c r="F283" s="9" t="str">
        <x:v>NO-OP; preserve 3 objects in the bowl and do not initiate a grasp</x:v>
      </x:c>
      <x:c r="G283" s="9"/>
      <x:c r="H283" s="9" t="str">
        <x:v>Goal already satisfied / no movement</x:v>
      </x:c>
      <x:c r="I283" s="9" t="str">
        <x:v>NOOP-05</x:v>
      </x:c>
      <x:c r="J283" s="9" t="str">
        <x:v>Goal already satisfied: 3→3</x:v>
      </x:c>
      <x:c r="K283" s="9"/>
      <x:c r="L283" s="9" t="str">
        <x:v>843</x:v>
      </x:c>
      <x:c r="M283" s="9" t="str">
        <x:v>Prompt/concept grounding only. Training does not contain a goal-already-satisfied no-movement trajectory.</x:v>
      </x:c>
      <x:c r="N283" s="9" t="n">
        <x:v>6</x:v>
      </x:c>
      <x:c r="O283" s="9" t="str">
        <x:v>Move only the minimum listed objects between bowl and table for the next count.</x:v>
      </x:c>
      <x:c r="P283" s="9" t="str">
        <x:v>Visible-object count varies across no-op families. Table objects are distractors where present; success requires leaving the satisfied scene unchanged.</x:v>
      </x:c>
      <x:c r="Q283" s="9"/>
      <x:c r="R283" s="10"/>
      <x:c r="S283" s="10"/>
      <x:c r="T283" s="9"/>
      <x:c r="U283" s="9"/>
      <x:c r="V283" s="9"/>
      <x:c r="W283" s="9" t="str">
        <x:v>NOOP-05</x:v>
      </x:c>
      <x:c r="X283" s="10" t="n">
        <x:v>3</x:v>
      </x:c>
      <x:c r="Y283" s="10" t="n">
        <x:v>3</x:v>
      </x:c>
      <x:c r="Z283" s="9" t="str">
        <x:v>NO-OP</x:v>
      </x:c>
      <x:c r="AA283" s="9"/>
      <x:c r="AB283" s="9"/>
      <x:c r="AC283" s="9"/>
      <x:c r="AD283" s="9"/>
      <x:c r="AE283" s="9"/>
      <x:c r="AF283" s="9"/>
      <x:c r="AG283" s="9"/>
      <x:c r="AH283" s="9"/>
      <x:c r="AI283" s="11"/>
      <x:c r="AJ283" s="9"/>
      <x:c r="AK283" s="9" t="str">
        <x:v>Eval_Counting.xlsm</x:v>
      </x:c>
      <x:c r="AL283" s="9" t="str">
        <x:v>pi0.5 Results</x:v>
      </x:c>
      <x:c r="AM283" s="9" t="n">
        <x:v>133</x:v>
      </x:c>
      <x:c r="AN283" s="9" t="n">
        <x:v>133</x:v>
      </x:c>
    </x:row>
    <x:row r="284">
      <x:c r="A284" s="9" t="str">
        <x:v>Failure</x:v>
      </x:c>
      <x:c r="B284" s="9" t="str">
        <x:v>Counting</x:v>
      </x:c>
      <x:c r="C284" s="10" t="n">
        <x:v>132</x:v>
      </x:c>
      <x:c r="D284" s="9" t="str">
        <x:v>Leave exactly three objects in the bowl.</x:v>
      </x:c>
      <x:c r="E284" s="9" t="str">
        <x:v>Bowl objects: [blue pen, green pencil sharpener] | Table objects: [airplane toy without propellers]</x:v>
      </x:c>
      <x:c r="F284" s="9" t="str">
        <x:v>ADD any one table object; finish with 3 objects in the bowl</x:v>
      </x:c>
      <x:c r="G284" s="9" t="str">
        <x:v>didn't move</x:v>
      </x:c>
      <x:c r="H284" s="9" t="str">
        <x:v>Concept/compositional transfer</x:v>
      </x:c>
      <x:c r="I284" s="9" t="str">
        <x:v>CT-CF02</x:v>
      </x:c>
      <x:c r="J284" s="9" t="str">
        <x:v>Primary: three via held-out 2→3 addition</x:v>
      </x:c>
      <x:c r="K284" s="9"/>
      <x:c r="L284" s="9" t="str">
        <x:v>966</x:v>
      </x:c>
      <x:c r="M284" s="9" t="str">
        <x:v>Representative direct-instruction trajectory for airplane toy without propellers; the evaluated count × transition composition is intentionally absent.</x:v>
      </x:c>
      <x:c r="N284" s="9" t="n">
        <x:v>2</x:v>
      </x:c>
      <x:c r="O284" s="9" t="str">
        <x:v>Reset the exact count-2 scene; change only the prompt.</x:v>
      </x:c>
      <x:c r="P284" s="9" t="str">
        <x:v>The goal word three is trained, and this 2→3 trajectory is trained under a direct instruction, but the combination is withheld.</x:v>
      </x:c>
      <x:c r="Q284" s="9"/>
      <x:c r="R284" s="10"/>
      <x:c r="S284" s="10"/>
      <x:c r="T284" s="9"/>
      <x:c r="U284" s="9"/>
      <x:c r="V284" s="9"/>
      <x:c r="W284" s="9" t="str">
        <x:v>CT-CF02-ADD</x:v>
      </x:c>
      <x:c r="X284" s="10" t="n">
        <x:v>2</x:v>
      </x:c>
      <x:c r="Y284" s="10" t="n">
        <x:v>3</x:v>
      </x:c>
      <x:c r="Z284" s="9" t="str">
        <x:v>ADD</x:v>
      </x:c>
      <x:c r="AA284" s="9"/>
      <x:c r="AB284" s="9"/>
      <x:c r="AC284" s="9"/>
      <x:c r="AD284" s="9"/>
      <x:c r="AE284" s="9"/>
      <x:c r="AF284" s="9"/>
      <x:c r="AG284" s="9"/>
      <x:c r="AH284" s="9"/>
      <x:c r="AI284" s="11"/>
      <x:c r="AJ284" s="9"/>
      <x:c r="AK284" s="9" t="str">
        <x:v>Eval_Counting.xlsm</x:v>
      </x:c>
      <x:c r="AL284" s="9" t="str">
        <x:v>pi0.5 Results</x:v>
      </x:c>
      <x:c r="AM284" s="9" t="n">
        <x:v>134</x:v>
      </x:c>
      <x:c r="AN284" s="9" t="n">
        <x:v>134</x:v>
      </x:c>
    </x:row>
    <x:row r="285">
      <x:c r="A285" s="9" t="str">
        <x:v>Failure</x:v>
      </x:c>
      <x:c r="B285" s="9" t="str">
        <x:v>Counting</x:v>
      </x:c>
      <x:c r="C285" s="10" t="n">
        <x:v>133</x:v>
      </x:c>
      <x:c r="D285" s="9" t="str">
        <x:v>Move the airplane toy without propellers into the bowl.</x:v>
      </x:c>
      <x:c r="E285" s="9" t="str">
        <x:v>Bowl objects: [blue pen, green pencil sharpener] | Table objects: [airplane toy without propellers]</x:v>
      </x:c>
      <x:c r="F285" s="9" t="str">
        <x:v>ADD airplane toy without propellers</x:v>
      </x:c>
      <x:c r="G285" s="9" t="str">
        <x:v>didn't move</x:v>
      </x:c>
      <x:c r="H285" s="9" t="str">
        <x:v>Matched manipulation control</x:v>
      </x:c>
      <x:c r="I285" s="9" t="str">
        <x:v>CT-CF02</x:v>
      </x:c>
      <x:c r="J285" s="9" t="str">
        <x:v>Matched direct ADD control</x:v>
      </x:c>
      <x:c r="K285" s="9" t="n">
        <x:v>132</x:v>
      </x:c>
      <x:c r="L285" s="9" t="str">
        <x:v>968</x:v>
      </x:c>
      <x:c r="M285" s="9" t="str">
        <x:v>Exact direct-prompt trajectory for the named object and action direction; evaluation layout is reset manually.</x:v>
      </x:c>
      <x:c r="N285" s="9" t="n">
        <x:v>2</x:v>
      </x:c>
      <x:c r="O285" s="9" t="str">
        <x:v>Reset the exact count-2 scene; change only the prompt.</x:v>
      </x:c>
      <x:c r="P285" s="9" t="str">
        <x:v>The direct prompt is present in Counting training for this same-task object and action direction.</x:v>
      </x:c>
      <x:c r="Q285" s="9"/>
      <x:c r="R285" s="10"/>
      <x:c r="S285" s="10"/>
      <x:c r="T285" s="9"/>
      <x:c r="U285" s="9"/>
      <x:c r="V285" s="9"/>
      <x:c r="W285" s="9" t="str">
        <x:v>CT-CF02-ADD</x:v>
      </x:c>
      <x:c r="X285" s="10" t="n">
        <x:v>2</x:v>
      </x:c>
      <x:c r="Y285" s="10" t="n">
        <x:v>3</x:v>
      </x:c>
      <x:c r="Z285" s="9" t="str">
        <x:v>ADD</x:v>
      </x:c>
      <x:c r="AA285" s="9"/>
      <x:c r="AB285" s="9"/>
      <x:c r="AC285" s="9"/>
      <x:c r="AD285" s="9"/>
      <x:c r="AE285" s="9"/>
      <x:c r="AF285" s="9"/>
      <x:c r="AG285" s="9"/>
      <x:c r="AH285" s="9"/>
      <x:c r="AI285" s="11"/>
      <x:c r="AJ285" s="9"/>
      <x:c r="AK285" s="9" t="str">
        <x:v>Eval_Counting.xlsm</x:v>
      </x:c>
      <x:c r="AL285" s="9" t="str">
        <x:v>pi0.5 Results</x:v>
      </x:c>
      <x:c r="AM285" s="9" t="n">
        <x:v>135</x:v>
      </x:c>
      <x:c r="AN285" s="9" t="n">
        <x:v>135</x:v>
      </x:c>
    </x:row>
    <x:row r="286">
      <x:c r="A286" s="9" t="str">
        <x:v>Failure</x:v>
      </x:c>
      <x:c r="B286" s="9" t="str">
        <x:v>Counting</x:v>
      </x:c>
      <x:c r="C286" s="10" t="n">
        <x:v>134</x:v>
      </x:c>
      <x:c r="D286" s="9" t="str">
        <x:v>Set the bowl's final object count to three.</x:v>
      </x:c>
      <x:c r="E286" s="9" t="str">
        <x:v>Bowl objects: [blue pen, green pencil sharpener] | Table objects: [airplane toy without propellers]</x:v>
      </x:c>
      <x:c r="F286" s="9" t="str">
        <x:v>ADD any one table object; finish with 3 objects in the bowl</x:v>
      </x:c>
      <x:c r="G286" s="9" t="str">
        <x:v>didn't move</x:v>
      </x:c>
      <x:c r="H286" s="9" t="str">
        <x:v>Language robustness</x:v>
      </x:c>
      <x:c r="I286" s="9" t="str">
        <x:v>CT-CF02</x:v>
      </x:c>
      <x:c r="J286" s="9" t="str">
        <x:v>Primary compositional paraphrase: three via 2→3 addition</x:v>
      </x:c>
      <x:c r="K286" s="9" t="n">
        <x:v>132</x:v>
      </x:c>
      <x:c r="L286" s="9" t="str">
        <x:v>966</x:v>
      </x:c>
      <x:c r="M286" s="9" t="str">
        <x:v>Representative direct-instruction trajectory for airplane toy without propellers; the evaluated count × transition composition is intentionally absent. The evaluation wording is also paraphrased.</x:v>
      </x:c>
      <x:c r="N286" s="9" t="n">
        <x:v>2</x:v>
      </x:c>
      <x:c r="O286" s="9" t="str">
        <x:v>Reset the exact count-2 scene; change only the prompt.</x:v>
      </x:c>
      <x:c r="P286" s="9" t="str">
        <x:v>Exact-scene paraphrase of the canonical held-out composition.</x:v>
      </x:c>
      <x:c r="Q286" s="9"/>
      <x:c r="R286" s="10"/>
      <x:c r="S286" s="10"/>
      <x:c r="T286" s="9"/>
      <x:c r="U286" s="9"/>
      <x:c r="V286" s="9"/>
      <x:c r="W286" s="9" t="str">
        <x:v>CT-CF02-ADD</x:v>
      </x:c>
      <x:c r="X286" s="10" t="n">
        <x:v>2</x:v>
      </x:c>
      <x:c r="Y286" s="10" t="n">
        <x:v>3</x:v>
      </x:c>
      <x:c r="Z286" s="9" t="str">
        <x:v>ADD</x:v>
      </x:c>
      <x:c r="AA286" s="9"/>
      <x:c r="AB286" s="9"/>
      <x:c r="AC286" s="9"/>
      <x:c r="AD286" s="9"/>
      <x:c r="AE286" s="9"/>
      <x:c r="AF286" s="9"/>
      <x:c r="AG286" s="9"/>
      <x:c r="AH286" s="9"/>
      <x:c r="AI286" s="11"/>
      <x:c r="AJ286" s="9"/>
      <x:c r="AK286" s="9" t="str">
        <x:v>Eval_Counting.xlsm</x:v>
      </x:c>
      <x:c r="AL286" s="9" t="str">
        <x:v>pi0.5 Results</x:v>
      </x:c>
      <x:c r="AM286" s="9" t="n">
        <x:v>136</x:v>
      </x:c>
      <x:c r="AN286" s="9" t="n">
        <x:v>136</x:v>
      </x:c>
    </x:row>
    <x:row r="287">
      <x:c r="A287" s="9" t="str">
        <x:v>Failure</x:v>
      </x:c>
      <x:c r="B287" s="9" t="str">
        <x:v>Counting</x:v>
      </x:c>
      <x:c r="C287" s="10" t="n">
        <x:v>135</x:v>
      </x:c>
      <x:c r="D287" s="9" t="str">
        <x:v>Lift the airplane toy without propellers from the table and set it inside the bowl.</x:v>
      </x:c>
      <x:c r="E287" s="9" t="str">
        <x:v>Bowl objects: [blue pen, green pencil sharpener] | Table objects: [airplane toy without propellers]</x:v>
      </x:c>
      <x:c r="F287" s="9" t="str">
        <x:v>ADD airplane toy without propellers</x:v>
      </x:c>
      <x:c r="G287" s="9" t="str">
        <x:v>didn't move</x:v>
      </x:c>
      <x:c r="H287" s="9" t="str">
        <x:v>Language robustness</x:v>
      </x:c>
      <x:c r="I287" s="9" t="str">
        <x:v>CT-CF02</x:v>
      </x:c>
      <x:c r="J287" s="9" t="str">
        <x:v>Matched-control paraphrase: ADD</x:v>
      </x:c>
      <x:c r="K287" s="9" t="n">
        <x:v>133</x:v>
      </x:c>
      <x:c r="L287" s="9" t="str">
        <x:v>968</x:v>
      </x:c>
      <x:c r="M287" s="9" t="str">
        <x:v>Canonical direct-control trajectory for the named object and action direction; evaluation wording is paraphrased.</x:v>
      </x:c>
      <x:c r="N287" s="9" t="n">
        <x:v>2</x:v>
      </x:c>
      <x:c r="O287" s="9" t="str">
        <x:v>Reset the exact count-2 scene; change only the prompt.</x:v>
      </x:c>
      <x:c r="P287" s="9" t="str">
        <x:v>Exact-scene paraphrase of the direct manipulation control.</x:v>
      </x:c>
      <x:c r="Q287" s="9"/>
      <x:c r="R287" s="10"/>
      <x:c r="S287" s="10"/>
      <x:c r="T287" s="9"/>
      <x:c r="U287" s="9"/>
      <x:c r="V287" s="9"/>
      <x:c r="W287" s="9" t="str">
        <x:v>CT-CF02-ADD</x:v>
      </x:c>
      <x:c r="X287" s="10" t="n">
        <x:v>2</x:v>
      </x:c>
      <x:c r="Y287" s="10" t="n">
        <x:v>3</x:v>
      </x:c>
      <x:c r="Z287" s="9" t="str">
        <x:v>ADD</x:v>
      </x:c>
      <x:c r="AA287" s="9"/>
      <x:c r="AB287" s="9"/>
      <x:c r="AC287" s="9"/>
      <x:c r="AD287" s="9"/>
      <x:c r="AE287" s="9"/>
      <x:c r="AF287" s="9"/>
      <x:c r="AG287" s="9"/>
      <x:c r="AH287" s="9"/>
      <x:c r="AI287" s="11"/>
      <x:c r="AJ287" s="9"/>
      <x:c r="AK287" s="9" t="str">
        <x:v>Eval_Counting.xlsm</x:v>
      </x:c>
      <x:c r="AL287" s="9" t="str">
        <x:v>pi0.5 Results</x:v>
      </x:c>
      <x:c r="AM287" s="9" t="n">
        <x:v>137</x:v>
      </x:c>
      <x:c r="AN287" s="9" t="n">
        <x:v>137</x:v>
      </x:c>
    </x:row>
    <x:row r="288">
      <x:c r="A288" s="9" t="str">
        <x:v>Failure</x:v>
      </x:c>
      <x:c r="B288" s="9" t="str">
        <x:v>Counting</x:v>
      </x:c>
      <x:c r="C288" s="10" t="n">
        <x:v>136</x:v>
      </x:c>
      <x:c r="D288" s="9" t="str">
        <x:v>Move the blue pen from the bowl to the table.</x:v>
      </x:c>
      <x:c r="E288" s="9" t="str">
        <x:v>Bowl objects: [blue pen, green pencil sharpener] | Table objects: [airplane toy without propellers]</x:v>
      </x:c>
      <x:c r="F288" s="9" t="str">
        <x:v>REMOVE blue pen</x:v>
      </x:c>
      <x:c r="G288" s="9" t="str">
        <x:v>didn't move</x:v>
      </x:c>
      <x:c r="H288" s="9" t="str">
        <x:v>Matched manipulation control</x:v>
      </x:c>
      <x:c r="I288" s="9" t="str">
        <x:v>CT-CF02</x:v>
      </x:c>
      <x:c r="J288" s="9" t="str">
        <x:v>Matched direct REMOVE control</x:v>
      </x:c>
      <x:c r="K288" s="9"/>
      <x:c r="L288" s="9" t="str">
        <x:v>835</x:v>
      </x:c>
      <x:c r="M288" s="9" t="str">
        <x:v>Exact direct-prompt trajectory for the named object and action direction; evaluation layout is reset manually.</x:v>
      </x:c>
      <x:c r="N288" s="9" t="n">
        <x:v>2</x:v>
      </x:c>
      <x:c r="O288" s="9" t="str">
        <x:v>Reset the exact count-2 scene; change only the prompt.</x:v>
      </x:c>
      <x:c r="P288" s="9" t="str">
        <x:v>The direct prompt is present in Counting training for this same-task object and action direction.</x:v>
      </x:c>
      <x:c r="Q288" s="9"/>
      <x:c r="R288" s="10"/>
      <x:c r="S288" s="10"/>
      <x:c r="T288" s="9"/>
      <x:c r="U288" s="9"/>
      <x:c r="V288" s="9"/>
      <x:c r="W288" s="9" t="str">
        <x:v>CT-CF02-REMOVE</x:v>
      </x:c>
      <x:c r="X288" s="10" t="n">
        <x:v>2</x:v>
      </x:c>
      <x:c r="Y288" s="10" t="n">
        <x:v>1</x:v>
      </x:c>
      <x:c r="Z288" s="9" t="str">
        <x:v>REMOVE</x:v>
      </x:c>
      <x:c r="AA288" s="9"/>
      <x:c r="AB288" s="9"/>
      <x:c r="AC288" s="9"/>
      <x:c r="AD288" s="9"/>
      <x:c r="AE288" s="9"/>
      <x:c r="AF288" s="9"/>
      <x:c r="AG288" s="9"/>
      <x:c r="AH288" s="9"/>
      <x:c r="AI288" s="11"/>
      <x:c r="AJ288" s="9"/>
      <x:c r="AK288" s="9" t="str">
        <x:v>Eval_Counting.xlsm</x:v>
      </x:c>
      <x:c r="AL288" s="9" t="str">
        <x:v>pi0.5 Results</x:v>
      </x:c>
      <x:c r="AM288" s="9" t="n">
        <x:v>138</x:v>
      </x:c>
      <x:c r="AN288" s="9" t="n">
        <x:v>138</x:v>
      </x:c>
    </x:row>
    <x:row r="289">
      <x:c r="A289" s="9" t="str">
        <x:v>Failure</x:v>
      </x:c>
      <x:c r="B289" s="9" t="str">
        <x:v>Counting</x:v>
      </x:c>
      <x:c r="C289" s="10" t="n">
        <x:v>137</x:v>
      </x:c>
      <x:c r="D289" s="9" t="str">
        <x:v>Leave exactly one object in the bowl.</x:v>
      </x:c>
      <x:c r="E289" s="9" t="str">
        <x:v>Bowl objects: [blue pen, green pencil sharpener] | Table objects: [airplane toy without propellers]</x:v>
      </x:c>
      <x:c r="F289" s="9" t="str">
        <x:v>REMOVE any one bowl object; finish with 1 object in the bowl</x:v>
      </x:c>
      <x:c r="G289" s="9" t="str">
        <x:v>didn't move</x:v>
      </x:c>
      <x:c r="H289" s="9" t="str">
        <x:v>Concept/compositional transfer</x:v>
      </x:c>
      <x:c r="I289" s="9" t="str">
        <x:v>CT-CF02</x:v>
      </x:c>
      <x:c r="J289" s="9" t="str">
        <x:v>Primary: one via held-out 2→1 removal</x:v>
      </x:c>
      <x:c r="K289" s="9" t="n">
        <x:v>136</x:v>
      </x:c>
      <x:c r="L289" s="9" t="str">
        <x:v>931</x:v>
      </x:c>
      <x:c r="M289" s="9" t="str">
        <x:v>Representative direct-instruction trajectory for green pencil sharpener; the evaluated count × transition composition is intentionally absent.</x:v>
      </x:c>
      <x:c r="N289" s="9" t="n">
        <x:v>2</x:v>
      </x:c>
      <x:c r="O289" s="9" t="str">
        <x:v>Build the listed count-2 scene.</x:v>
      </x:c>
      <x:c r="P289" s="9" t="str">
        <x:v>The goal word one is trained, and this 2→1 trajectory is trained under a direct instruction, but the combination is withheld.</x:v>
      </x:c>
      <x:c r="Q289" s="9"/>
      <x:c r="R289" s="10"/>
      <x:c r="S289" s="10"/>
      <x:c r="T289" s="9"/>
      <x:c r="U289" s="9"/>
      <x:c r="V289" s="9"/>
      <x:c r="W289" s="9" t="str">
        <x:v>CT-CF02-REMOVE</x:v>
      </x:c>
      <x:c r="X289" s="10" t="n">
        <x:v>2</x:v>
      </x:c>
      <x:c r="Y289" s="10" t="n">
        <x:v>1</x:v>
      </x:c>
      <x:c r="Z289" s="9" t="str">
        <x:v>REMOVE</x:v>
      </x:c>
      <x:c r="AA289" s="9"/>
      <x:c r="AB289" s="9"/>
      <x:c r="AC289" s="9"/>
      <x:c r="AD289" s="9"/>
      <x:c r="AE289" s="9"/>
      <x:c r="AF289" s="9"/>
      <x:c r="AG289" s="9"/>
      <x:c r="AH289" s="9"/>
      <x:c r="AI289" s="11"/>
      <x:c r="AJ289" s="9"/>
      <x:c r="AK289" s="9" t="str">
        <x:v>Eval_Counting.xlsm</x:v>
      </x:c>
      <x:c r="AL289" s="9" t="str">
        <x:v>pi0.5 Results</x:v>
      </x:c>
      <x:c r="AM289" s="9" t="n">
        <x:v>139</x:v>
      </x:c>
      <x:c r="AN289" s="9" t="n">
        <x:v>139</x:v>
      </x:c>
    </x:row>
    <x:row r="290">
      <x:c r="A290" s="9" t="str">
        <x:v>Failure</x:v>
      </x:c>
      <x:c r="B290" s="9" t="str">
        <x:v>Counting</x:v>
      </x:c>
      <x:c r="C290" s="10" t="n">
        <x:v>138</x:v>
      </x:c>
      <x:c r="D290" s="9" t="str">
        <x:v>Lift the blue pen out of the bowl and set it on the table.</x:v>
      </x:c>
      <x:c r="E290" s="9" t="str">
        <x:v>Bowl objects: [blue pen, green pencil sharpener] | Table objects: [airplane toy without propellers]</x:v>
      </x:c>
      <x:c r="F290" s="9" t="str">
        <x:v>REMOVE blue pen</x:v>
      </x:c>
      <x:c r="G290" s="9" t="str">
        <x:v>didn't move</x:v>
      </x:c>
      <x:c r="H290" s="9" t="str">
        <x:v>Language robustness</x:v>
      </x:c>
      <x:c r="I290" s="9" t="str">
        <x:v>CT-CF02</x:v>
      </x:c>
      <x:c r="J290" s="9" t="str">
        <x:v>Matched-control paraphrase: REMOVE</x:v>
      </x:c>
      <x:c r="K290" s="9" t="n">
        <x:v>136</x:v>
      </x:c>
      <x:c r="L290" s="9" t="str">
        <x:v>835</x:v>
      </x:c>
      <x:c r="M290" s="9" t="str">
        <x:v>Canonical direct-control trajectory for the named object and action direction; evaluation wording is paraphrased.</x:v>
      </x:c>
      <x:c r="N290" s="9" t="n">
        <x:v>2</x:v>
      </x:c>
      <x:c r="O290" s="9" t="str">
        <x:v>Reset the exact count-2 scene; change only the prompt.</x:v>
      </x:c>
      <x:c r="P290" s="9" t="str">
        <x:v>Exact-scene paraphrase of the direct manipulation control.</x:v>
      </x:c>
      <x:c r="Q290" s="9"/>
      <x:c r="R290" s="10"/>
      <x:c r="S290" s="10"/>
      <x:c r="T290" s="9"/>
      <x:c r="U290" s="9"/>
      <x:c r="V290" s="9"/>
      <x:c r="W290" s="9" t="str">
        <x:v>CT-CF02-REMOVE</x:v>
      </x:c>
      <x:c r="X290" s="10" t="n">
        <x:v>2</x:v>
      </x:c>
      <x:c r="Y290" s="10" t="n">
        <x:v>1</x:v>
      </x:c>
      <x:c r="Z290" s="9" t="str">
        <x:v>REMOVE</x:v>
      </x:c>
      <x:c r="AA290" s="9"/>
      <x:c r="AB290" s="9"/>
      <x:c r="AC290" s="9"/>
      <x:c r="AD290" s="9"/>
      <x:c r="AE290" s="9"/>
      <x:c r="AF290" s="9"/>
      <x:c r="AG290" s="9"/>
      <x:c r="AH290" s="9"/>
      <x:c r="AI290" s="11"/>
      <x:c r="AJ290" s="9"/>
      <x:c r="AK290" s="9" t="str">
        <x:v>Eval_Counting.xlsm</x:v>
      </x:c>
      <x:c r="AL290" s="9" t="str">
        <x:v>pi0.5 Results</x:v>
      </x:c>
      <x:c r="AM290" s="9" t="n">
        <x:v>140</x:v>
      </x:c>
      <x:c r="AN290" s="9" t="n">
        <x:v>140</x:v>
      </x:c>
    </x:row>
    <x:row r="291">
      <x:c r="A291" s="9" t="str">
        <x:v>Failure</x:v>
      </x:c>
      <x:c r="B291" s="9" t="str">
        <x:v>Counting</x:v>
      </x:c>
      <x:c r="C291" s="10" t="n">
        <x:v>139</x:v>
      </x:c>
      <x:c r="D291" s="9" t="str">
        <x:v>Set the bowl's final object count to one.</x:v>
      </x:c>
      <x:c r="E291" s="9" t="str">
        <x:v>Bowl objects: [blue pen, green pencil sharpener] | Table objects: [airplane toy without propellers]</x:v>
      </x:c>
      <x:c r="F291" s="9" t="str">
        <x:v>REMOVE any one bowl object; finish with 1 object in the bowl</x:v>
      </x:c>
      <x:c r="G291" s="9" t="str">
        <x:v>didn't move</x:v>
      </x:c>
      <x:c r="H291" s="9" t="str">
        <x:v>Language robustness</x:v>
      </x:c>
      <x:c r="I291" s="9" t="str">
        <x:v>CT-CF02</x:v>
      </x:c>
      <x:c r="J291" s="9" t="str">
        <x:v>Primary compositional paraphrase: one via 2→1 removal</x:v>
      </x:c>
      <x:c r="K291" s="9" t="n">
        <x:v>137</x:v>
      </x:c>
      <x:c r="L291" s="9" t="str">
        <x:v>931</x:v>
      </x:c>
      <x:c r="M291" s="9" t="str">
        <x:v>Representative direct-instruction trajectory for green pencil sharpener; the evaluated count × transition composition is intentionally absent. The evaluation wording is also paraphrased.</x:v>
      </x:c>
      <x:c r="N291" s="9" t="n">
        <x:v>2</x:v>
      </x:c>
      <x:c r="O291" s="9" t="str">
        <x:v>Build the listed count-2 scene.</x:v>
      </x:c>
      <x:c r="P291" s="9" t="str">
        <x:v>Exact-scene paraphrase of the canonical held-out composition.</x:v>
      </x:c>
      <x:c r="Q291" s="9"/>
      <x:c r="R291" s="10"/>
      <x:c r="S291" s="10"/>
      <x:c r="T291" s="9"/>
      <x:c r="U291" s="9"/>
      <x:c r="V291" s="9"/>
      <x:c r="W291" s="9" t="str">
        <x:v>CT-CF02-REMOVE</x:v>
      </x:c>
      <x:c r="X291" s="10" t="n">
        <x:v>2</x:v>
      </x:c>
      <x:c r="Y291" s="10" t="n">
        <x:v>1</x:v>
      </x:c>
      <x:c r="Z291" s="9" t="str">
        <x:v>REMOVE</x:v>
      </x:c>
      <x:c r="AA291" s="9"/>
      <x:c r="AB291" s="9"/>
      <x:c r="AC291" s="9"/>
      <x:c r="AD291" s="9"/>
      <x:c r="AE291" s="9"/>
      <x:c r="AF291" s="9"/>
      <x:c r="AG291" s="9"/>
      <x:c r="AH291" s="9"/>
      <x:c r="AI291" s="11"/>
      <x:c r="AJ291" s="9"/>
      <x:c r="AK291" s="9" t="str">
        <x:v>Eval_Counting.xlsm</x:v>
      </x:c>
      <x:c r="AL291" s="9" t="str">
        <x:v>pi0.5 Results</x:v>
      </x:c>
      <x:c r="AM291" s="9" t="n">
        <x:v>141</x:v>
      </x:c>
      <x:c r="AN291" s="9" t="n">
        <x:v>141</x:v>
      </x:c>
    </x:row>
    <x:row r="292">
      <x:c r="A292" s="9" t="str">
        <x:v>Failure</x:v>
      </x:c>
      <x:c r="B292" s="9" t="str">
        <x:v>Counting</x:v>
      </x:c>
      <x:c r="C292" s="10" t="n">
        <x:v>140</x:v>
      </x:c>
      <x:c r="D292" s="9" t="str">
        <x:v>Leave exactly three objects in the bowl.</x:v>
      </x:c>
      <x:c r="E292" s="9" t="str">
        <x:v>Bowl objects: [green pencil sharpener, airplane toy without propellers] | Table objects: [yellow block]</x:v>
      </x:c>
      <x:c r="F292" s="9" t="str">
        <x:v>ADD any one table object; finish with 3 objects in the bowl</x:v>
      </x:c>
      <x:c r="G292" s="9" t="str">
        <x:v>didn't move</x:v>
      </x:c>
      <x:c r="H292" s="9" t="str">
        <x:v>Concept/compositional transfer</x:v>
      </x:c>
      <x:c r="I292" s="9" t="str">
        <x:v>CT-CF12</x:v>
      </x:c>
      <x:c r="J292" s="9" t="str">
        <x:v>Primary: three via held-out 2→3 addition</x:v>
      </x:c>
      <x:c r="K292" s="9"/>
      <x:c r="L292" s="9" t="str">
        <x:v>866</x:v>
      </x:c>
      <x:c r="M292" s="9" t="str">
        <x:v>Representative direct-instruction trajectory for yellow block; the evaluated count × transition composition is intentionally absent.</x:v>
      </x:c>
      <x:c r="N292" s="9" t="n">
        <x:v>4</x:v>
      </x:c>
      <x:c r="O292" s="9" t="str">
        <x:v>Reset the exact count-2 scene; change only the prompt.</x:v>
      </x:c>
      <x:c r="P292" s="9" t="str">
        <x:v>The goal word three is trained, and this 2→3 trajectory is trained under a direct instruction, but the combination is withheld.</x:v>
      </x:c>
      <x:c r="Q292" s="9"/>
      <x:c r="R292" s="10"/>
      <x:c r="S292" s="10"/>
      <x:c r="T292" s="9"/>
      <x:c r="U292" s="9"/>
      <x:c r="V292" s="9"/>
      <x:c r="W292" s="9" t="str">
        <x:v>CT-CF12-ADD</x:v>
      </x:c>
      <x:c r="X292" s="10" t="n">
        <x:v>2</x:v>
      </x:c>
      <x:c r="Y292" s="10" t="n">
        <x:v>3</x:v>
      </x:c>
      <x:c r="Z292" s="9" t="str">
        <x:v>ADD</x:v>
      </x:c>
      <x:c r="AA292" s="9"/>
      <x:c r="AB292" s="9"/>
      <x:c r="AC292" s="9"/>
      <x:c r="AD292" s="9"/>
      <x:c r="AE292" s="9"/>
      <x:c r="AF292" s="9"/>
      <x:c r="AG292" s="9"/>
      <x:c r="AH292" s="9"/>
      <x:c r="AI292" s="11"/>
      <x:c r="AJ292" s="9"/>
      <x:c r="AK292" s="9" t="str">
        <x:v>Eval_Counting.xlsm</x:v>
      </x:c>
      <x:c r="AL292" s="9" t="str">
        <x:v>pi0.5 Results</x:v>
      </x:c>
      <x:c r="AM292" s="9" t="n">
        <x:v>142</x:v>
      </x:c>
      <x:c r="AN292" s="9" t="n">
        <x:v>142</x:v>
      </x:c>
    </x:row>
    <x:row r="293">
      <x:c r="A293" s="9" t="str">
        <x:v>Failure</x:v>
      </x:c>
      <x:c r="B293" s="9" t="str">
        <x:v>Counting</x:v>
      </x:c>
      <x:c r="C293" s="10" t="n">
        <x:v>141</x:v>
      </x:c>
      <x:c r="D293" s="9" t="str">
        <x:v>Leave exactly one object in the bowl.</x:v>
      </x:c>
      <x:c r="E293" s="9" t="str">
        <x:v>Bowl objects: [green pencil sharpener, airplane toy without propellers] | Table objects: [yellow block]</x:v>
      </x:c>
      <x:c r="F293" s="9" t="str">
        <x:v>REMOVE any one bowl object; finish with 1 object in the bowl</x:v>
      </x:c>
      <x:c r="G293" s="9" t="str">
        <x:v>didn't move</x:v>
      </x:c>
      <x:c r="H293" s="9" t="str">
        <x:v>Concept/compositional transfer</x:v>
      </x:c>
      <x:c r="I293" s="9" t="str">
        <x:v>CT-CF12</x:v>
      </x:c>
      <x:c r="J293" s="9" t="str">
        <x:v>Primary: one via held-out 2→1 removal</x:v>
      </x:c>
      <x:c r="K293" s="9" t="n">
        <x:v>140</x:v>
      </x:c>
      <x:c r="L293" s="9" t="str">
        <x:v>981</x:v>
      </x:c>
      <x:c r="M293" s="9" t="str">
        <x:v>Representative direct-instruction trajectory for airplane toy without propellers; the evaluated count × transition composition is intentionally absent.</x:v>
      </x:c>
      <x:c r="N293" s="9" t="n">
        <x:v>4</x:v>
      </x:c>
      <x:c r="O293" s="9" t="str">
        <x:v>Build the listed count-2 scene.</x:v>
      </x:c>
      <x:c r="P293" s="9" t="str">
        <x:v>The goal word one is trained, and this 2→1 trajectory is trained under a direct instruction, but the combination is withheld.</x:v>
      </x:c>
      <x:c r="Q293" s="9"/>
      <x:c r="R293" s="10"/>
      <x:c r="S293" s="10"/>
      <x:c r="T293" s="9"/>
      <x:c r="U293" s="9"/>
      <x:c r="V293" s="9"/>
      <x:c r="W293" s="9" t="str">
        <x:v>CT-CF12-REMOVE</x:v>
      </x:c>
      <x:c r="X293" s="10" t="n">
        <x:v>2</x:v>
      </x:c>
      <x:c r="Y293" s="10" t="n">
        <x:v>1</x:v>
      </x:c>
      <x:c r="Z293" s="9" t="str">
        <x:v>REMOVE</x:v>
      </x:c>
      <x:c r="AA293" s="9"/>
      <x:c r="AB293" s="9"/>
      <x:c r="AC293" s="9"/>
      <x:c r="AD293" s="9"/>
      <x:c r="AE293" s="9"/>
      <x:c r="AF293" s="9"/>
      <x:c r="AG293" s="9"/>
      <x:c r="AH293" s="9"/>
      <x:c r="AI293" s="11"/>
      <x:c r="AJ293" s="9"/>
      <x:c r="AK293" s="9" t="str">
        <x:v>Eval_Counting.xlsm</x:v>
      </x:c>
      <x:c r="AL293" s="9" t="str">
        <x:v>pi0.5 Results</x:v>
      </x:c>
      <x:c r="AM293" s="9" t="n">
        <x:v>143</x:v>
      </x:c>
      <x:c r="AN293" s="9" t="n">
        <x:v>143</x:v>
      </x:c>
    </x:row>
    <x:row r="294">
      <x:c r="A294" s="9" t="str">
        <x:v>Failure</x:v>
      </x:c>
      <x:c r="B294" s="9" t="str">
        <x:v>Counting</x:v>
      </x:c>
      <x:c r="C294" s="10" t="n">
        <x:v>142</x:v>
      </x:c>
      <x:c r="D294" s="9" t="str">
        <x:v>Leave exactly three objects in the bowl.</x:v>
      </x:c>
      <x:c r="E294" s="9" t="str">
        <x:v>Bowl objects: [yellow block, airplane toy without propellers, blue pen] | Table objects: [none]</x:v>
      </x:c>
      <x:c r="F294" s="9" t="str">
        <x:v>NO-OP; preserve 3 objects in the bowl and do not initiate a grasp</x:v>
      </x:c>
      <x:c r="G294" s="9" t="str">
        <x:v>removed the blue pen</x:v>
      </x:c>
      <x:c r="H294" s="9" t="str">
        <x:v>Goal already satisfied / no movement</x:v>
      </x:c>
      <x:c r="I294" s="9" t="str">
        <x:v>NOOP-02</x:v>
      </x:c>
      <x:c r="J294" s="9" t="str">
        <x:v>Goal already satisfied: 3→3</x:v>
      </x:c>
      <x:c r="K294" s="9"/>
      <x:c r="L294" s="9" t="str">
        <x:v>843</x:v>
      </x:c>
      <x:c r="M294" s="9" t="str">
        <x:v>Prompt/concept grounding only. Training does not contain a goal-already-satisfied no-movement trajectory.</x:v>
      </x:c>
      <x:c r="N294" s="9" t="n">
        <x:v>6</x:v>
      </x:c>
      <x:c r="O294" s="9" t="str">
        <x:v>Build the first no-movement scene in this family.</x:v>
      </x:c>
      <x:c r="P294" s="9" t="str">
        <x:v>Visible-object count varies across no-op families. Table objects are distractors where present; success requires leaving the satisfied scene unchanged.</x:v>
      </x:c>
      <x:c r="Q294" s="9"/>
      <x:c r="R294" s="10"/>
      <x:c r="S294" s="10"/>
      <x:c r="T294" s="9"/>
      <x:c r="U294" s="9"/>
      <x:c r="V294" s="9"/>
      <x:c r="W294" s="9" t="str">
        <x:v>NOOP-02</x:v>
      </x:c>
      <x:c r="X294" s="10" t="n">
        <x:v>3</x:v>
      </x:c>
      <x:c r="Y294" s="10" t="n">
        <x:v>3</x:v>
      </x:c>
      <x:c r="Z294" s="9" t="str">
        <x:v>NO-OP</x:v>
      </x:c>
      <x:c r="AA294" s="9"/>
      <x:c r="AB294" s="9"/>
      <x:c r="AC294" s="9"/>
      <x:c r="AD294" s="9"/>
      <x:c r="AE294" s="9"/>
      <x:c r="AF294" s="9"/>
      <x:c r="AG294" s="9"/>
      <x:c r="AH294" s="9"/>
      <x:c r="AI294" s="11"/>
      <x:c r="AJ294" s="9"/>
      <x:c r="AK294" s="9" t="str">
        <x:v>Eval_Counting.xlsm</x:v>
      </x:c>
      <x:c r="AL294" s="9" t="str">
        <x:v>pi0.5 Results</x:v>
      </x:c>
      <x:c r="AM294" s="9" t="n">
        <x:v>144</x:v>
      </x:c>
      <x:c r="AN294" s="9" t="n">
        <x:v>144</x:v>
      </x:c>
    </x:row>
    <x:row r="295">
      <x:c r="A295" s="9" t="str">
        <x:v>Success</x:v>
      </x:c>
      <x:c r="B295" s="9" t="str">
        <x:v>Counting</x:v>
      </x:c>
      <x:c r="C295" s="10" t="n">
        <x:v>143</x:v>
      </x:c>
      <x:c r="D295" s="9" t="str">
        <x:v>Leave exactly two objects in the bowl.</x:v>
      </x:c>
      <x:c r="E295" s="9" t="str">
        <x:v>Bowl objects: [yellow block, airplane toy without propellers] | Table objects: [none]</x:v>
      </x:c>
      <x:c r="F295" s="9" t="str">
        <x:v>NO-OP; preserve 2 objects in the bowl and do not initiate a grasp</x:v>
      </x:c>
      <x:c r="G295" s="9"/>
      <x:c r="H295" s="9" t="str">
        <x:v>Goal already satisfied / no movement</x:v>
      </x:c>
      <x:c r="I295" s="9" t="str">
        <x:v>NOOP-02</x:v>
      </x:c>
      <x:c r="J295" s="9" t="str">
        <x:v>Goal already satisfied: 2→2</x:v>
      </x:c>
      <x:c r="K295" s="9"/>
      <x:c r="L295" s="9" t="str">
        <x:v>861</x:v>
      </x:c>
      <x:c r="M295" s="9" t="str">
        <x:v>Prompt/concept grounding only. Training does not contain a goal-already-satisfied no-movement trajectory.</x:v>
      </x:c>
      <x:c r="N295" s="9" t="n">
        <x:v>6</x:v>
      </x:c>
      <x:c r="O295" s="9" t="str">
        <x:v>Move only the minimum listed objects between bowl and table for the next count.</x:v>
      </x:c>
      <x:c r="P295" s="9" t="str">
        <x:v>Visible-object count varies across no-op families. Table objects are distractors where present; success requires leaving the satisfied scene unchanged.</x:v>
      </x:c>
      <x:c r="Q295" s="9"/>
      <x:c r="R295" s="10"/>
      <x:c r="S295" s="10"/>
      <x:c r="T295" s="9"/>
      <x:c r="U295" s="9"/>
      <x:c r="V295" s="9"/>
      <x:c r="W295" s="9" t="str">
        <x:v>NOOP-02</x:v>
      </x:c>
      <x:c r="X295" s="10" t="n">
        <x:v>2</x:v>
      </x:c>
      <x:c r="Y295" s="10" t="n">
        <x:v>2</x:v>
      </x:c>
      <x:c r="Z295" s="9" t="str">
        <x:v>NO-OP</x:v>
      </x:c>
      <x:c r="AA295" s="9"/>
      <x:c r="AB295" s="9"/>
      <x:c r="AC295" s="9"/>
      <x:c r="AD295" s="9"/>
      <x:c r="AE295" s="9"/>
      <x:c r="AF295" s="9"/>
      <x:c r="AG295" s="9"/>
      <x:c r="AH295" s="9"/>
      <x:c r="AI295" s="11"/>
      <x:c r="AJ295" s="9"/>
      <x:c r="AK295" s="9" t="str">
        <x:v>Eval_Counting.xlsm</x:v>
      </x:c>
      <x:c r="AL295" s="9" t="str">
        <x:v>pi0.5 Results</x:v>
      </x:c>
      <x:c r="AM295" s="9" t="n">
        <x:v>145</x:v>
      </x:c>
      <x:c r="AN295" s="9" t="n">
        <x:v>145</x:v>
      </x:c>
    </x:row>
    <x:row r="296">
      <x:c r="A296" s="9" t="str">
        <x:v>Success</x:v>
      </x:c>
      <x:c r="B296" s="9" t="str">
        <x:v>Counting</x:v>
      </x:c>
      <x:c r="C296" s="10" t="n">
        <x:v>144</x:v>
      </x:c>
      <x:c r="D296" s="9" t="str">
        <x:v>Leave exactly one object in the bowl.</x:v>
      </x:c>
      <x:c r="E296" s="9" t="str">
        <x:v>Bowl objects: [yellow block] | Table objects: [none]</x:v>
      </x:c>
      <x:c r="F296" s="9" t="str">
        <x:v>NO-OP; preserve 1 object in the bowl and do not initiate a grasp</x:v>
      </x:c>
      <x:c r="G296" s="9"/>
      <x:c r="H296" s="9" t="str">
        <x:v>Goal already satisfied / no movement</x:v>
      </x:c>
      <x:c r="I296" s="9" t="str">
        <x:v>NOOP-02</x:v>
      </x:c>
      <x:c r="J296" s="9" t="str">
        <x:v>Goal already satisfied: 1→1</x:v>
      </x:c>
      <x:c r="K296" s="9"/>
      <x:c r="L296" s="9" t="str">
        <x:v>800</x:v>
      </x:c>
      <x:c r="M296" s="9" t="str">
        <x:v>Prompt/concept grounding only. Training does not contain a goal-already-satisfied no-movement trajectory.</x:v>
      </x:c>
      <x:c r="N296" s="9" t="n">
        <x:v>6</x:v>
      </x:c>
      <x:c r="O296" s="9" t="str">
        <x:v>Move only the minimum listed objects between bowl and table for the next count.</x:v>
      </x:c>
      <x:c r="P296" s="9" t="str">
        <x:v>Visible-object count varies across no-op families. Table objects are distractors where present; success requires leaving the satisfied scene unchanged.</x:v>
      </x:c>
      <x:c r="Q296" s="9"/>
      <x:c r="R296" s="10"/>
      <x:c r="S296" s="10"/>
      <x:c r="T296" s="9"/>
      <x:c r="U296" s="9"/>
      <x:c r="V296" s="9"/>
      <x:c r="W296" s="9" t="str">
        <x:v>NOOP-02</x:v>
      </x:c>
      <x:c r="X296" s="10" t="n">
        <x:v>1</x:v>
      </x:c>
      <x:c r="Y296" s="10" t="n">
        <x:v>1</x:v>
      </x:c>
      <x:c r="Z296" s="9" t="str">
        <x:v>NO-OP</x:v>
      </x:c>
      <x:c r="AA296" s="9"/>
      <x:c r="AB296" s="9"/>
      <x:c r="AC296" s="9"/>
      <x:c r="AD296" s="9"/>
      <x:c r="AE296" s="9"/>
      <x:c r="AF296" s="9"/>
      <x:c r="AG296" s="9"/>
      <x:c r="AH296" s="9"/>
      <x:c r="AI296" s="11"/>
      <x:c r="AJ296" s="9"/>
      <x:c r="AK296" s="9" t="str">
        <x:v>Eval_Counting.xlsm</x:v>
      </x:c>
      <x:c r="AL296" s="9" t="str">
        <x:v>pi0.5 Results</x:v>
      </x:c>
      <x:c r="AM296" s="9" t="n">
        <x:v>146</x:v>
      </x:c>
      <x:c r="AN296" s="9" t="n">
        <x:v>146</x:v>
      </x:c>
    </x:row>
    <x:row r="297">
      <x:c r="A297" s="9" t="str">
        <x:v>Success</x:v>
      </x:c>
      <x:c r="B297" s="9" t="str">
        <x:v>Counting</x:v>
      </x:c>
      <x:c r="C297" s="10" t="n">
        <x:v>145</x:v>
      </x:c>
      <x:c r="D297" s="9" t="str">
        <x:v>Leave no objects in the bowl.</x:v>
      </x:c>
      <x:c r="E297" s="9" t="str">
        <x:v>Bowl objects: [none] | Table objects: [yellow block]</x:v>
      </x:c>
      <x:c r="F297" s="9" t="str">
        <x:v>NO-OP; preserve 0 objects in the bowl and do not initiate a grasp</x:v>
      </x:c>
      <x:c r="G297" s="9"/>
      <x:c r="H297" s="9" t="str">
        <x:v>Goal already satisfied / no movement</x:v>
      </x:c>
      <x:c r="I297" s="9" t="str">
        <x:v>NOOP-02</x:v>
      </x:c>
      <x:c r="J297" s="9" t="str">
        <x:v>Goal already satisfied: 0→0</x:v>
      </x:c>
      <x:c r="K297" s="9"/>
      <x:c r="L297" s="9" t="str">
        <x:v>975</x:v>
      </x:c>
      <x:c r="M297" s="9" t="str">
        <x:v>Prompt/concept grounding only. Training does not contain a goal-already-satisfied no-movement trajectory.</x:v>
      </x:c>
      <x:c r="N297" s="9" t="n">
        <x:v>6</x:v>
      </x:c>
      <x:c r="O297" s="9" t="str">
        <x:v>Move only the minimum listed objects between bowl and table for the next count.</x:v>
      </x:c>
      <x:c r="P297" s="9" t="str">
        <x:v>Visible-object count varies across no-op families. Table objects are distractors where present; success requires leaving the satisfied scene unchanged.</x:v>
      </x:c>
      <x:c r="Q297" s="9"/>
      <x:c r="R297" s="10"/>
      <x:c r="S297" s="10"/>
      <x:c r="T297" s="9"/>
      <x:c r="U297" s="9"/>
      <x:c r="V297" s="9"/>
      <x:c r="W297" s="9" t="str">
        <x:v>NOOP-02</x:v>
      </x:c>
      <x:c r="X297" s="10" t="n">
        <x:v>0</x:v>
      </x:c>
      <x:c r="Y297" s="10" t="n">
        <x:v>0</x:v>
      </x:c>
      <x:c r="Z297" s="9" t="str">
        <x:v>NO-OP</x:v>
      </x:c>
      <x:c r="AA297" s="9"/>
      <x:c r="AB297" s="9"/>
      <x:c r="AC297" s="9"/>
      <x:c r="AD297" s="9"/>
      <x:c r="AE297" s="9"/>
      <x:c r="AF297" s="9"/>
      <x:c r="AG297" s="9"/>
      <x:c r="AH297" s="9"/>
      <x:c r="AI297" s="11"/>
      <x:c r="AJ297" s="9"/>
      <x:c r="AK297" s="9" t="str">
        <x:v>Eval_Counting.xlsm</x:v>
      </x:c>
      <x:c r="AL297" s="9" t="str">
        <x:v>pi0.5 Results</x:v>
      </x:c>
      <x:c r="AM297" s="9" t="n">
        <x:v>147</x:v>
      </x:c>
      <x:c r="AN297" s="9" t="n">
        <x:v>147</x:v>
      </x:c>
    </x:row>
    <x:row r="298">
      <x:c r="A298" s="9" t="str">
        <x:v>Failure</x:v>
      </x:c>
      <x:c r="B298" s="9" t="str">
        <x:v>Counting</x:v>
      </x:c>
      <x:c r="C298" s="10" t="n">
        <x:v>146</x:v>
      </x:c>
      <x:c r="D298" s="9" t="str">
        <x:v>Leave exactly three objects in the bowl.</x:v>
      </x:c>
      <x:c r="E298" s="9" t="str">
        <x:v>Bowl objects: [green pencil sharpener, airplane toy without propellers] | Table objects: [blue pen, yellow block]</x:v>
      </x:c>
      <x:c r="F298" s="9" t="str">
        <x:v>ADD any one table object; finish with 3 objects in the bowl</x:v>
      </x:c>
      <x:c r="G298" s="9" t="str">
        <x:v>didn't move</x:v>
      </x:c>
      <x:c r="H298" s="9" t="str">
        <x:v>Concept/compositional transfer</x:v>
      </x:c>
      <x:c r="I298" s="9" t="str">
        <x:v>CT-CF18</x:v>
      </x:c>
      <x:c r="J298" s="9" t="str">
        <x:v>Primary: three via held-out 2→3 addition</x:v>
      </x:c>
      <x:c r="K298" s="9"/>
      <x:c r="L298" s="9" t="str">
        <x:v>816</x:v>
      </x:c>
      <x:c r="M298" s="9" t="str">
        <x:v>Representative direct-instruction trajectory for blue pen; the evaluated count × transition composition is intentionally absent.</x:v>
      </x:c>
      <x:c r="N298" s="9" t="n">
        <x:v>4</x:v>
      </x:c>
      <x:c r="O298" s="9" t="str">
        <x:v>Reset the exact count-2 scene; change only the prompt.</x:v>
      </x:c>
      <x:c r="P298" s="9" t="str">
        <x:v>The goal word three is trained, and this 2→3 trajectory is trained under a direct instruction, but the combination is withheld.</x:v>
      </x:c>
      <x:c r="Q298" s="9"/>
      <x:c r="R298" s="10"/>
      <x:c r="S298" s="10"/>
      <x:c r="T298" s="9"/>
      <x:c r="U298" s="9"/>
      <x:c r="V298" s="9"/>
      <x:c r="W298" s="9" t="str">
        <x:v>CT-CF18-ADD</x:v>
      </x:c>
      <x:c r="X298" s="10" t="n">
        <x:v>2</x:v>
      </x:c>
      <x:c r="Y298" s="10" t="n">
        <x:v>3</x:v>
      </x:c>
      <x:c r="Z298" s="9" t="str">
        <x:v>ADD</x:v>
      </x:c>
      <x:c r="AA298" s="9"/>
      <x:c r="AB298" s="9"/>
      <x:c r="AC298" s="9"/>
      <x:c r="AD298" s="9"/>
      <x:c r="AE298" s="9"/>
      <x:c r="AF298" s="9"/>
      <x:c r="AG298" s="9"/>
      <x:c r="AH298" s="9"/>
      <x:c r="AI298" s="11"/>
      <x:c r="AJ298" s="9"/>
      <x:c r="AK298" s="9" t="str">
        <x:v>Eval_Counting.xlsm</x:v>
      </x:c>
      <x:c r="AL298" s="9" t="str">
        <x:v>pi0.5 Results</x:v>
      </x:c>
      <x:c r="AM298" s="9" t="n">
        <x:v>148</x:v>
      </x:c>
      <x:c r="AN298" s="9" t="n">
        <x:v>148</x:v>
      </x:c>
    </x:row>
    <x:row r="299">
      <x:c r="A299" s="9" t="str">
        <x:v>Failure</x:v>
      </x:c>
      <x:c r="B299" s="9" t="str">
        <x:v>Counting</x:v>
      </x:c>
      <x:c r="C299" s="10" t="n">
        <x:v>147</x:v>
      </x:c>
      <x:c r="D299" s="9" t="str">
        <x:v>Leave exactly one object in the bowl.</x:v>
      </x:c>
      <x:c r="E299" s="9" t="str">
        <x:v>Bowl objects: [green pencil sharpener, airplane toy without propellers] | Table objects: [blue pen, yellow block]</x:v>
      </x:c>
      <x:c r="F299" s="9" t="str">
        <x:v>REMOVE any one bowl object; finish with 1 object in the bowl</x:v>
      </x:c>
      <x:c r="G299" s="9" t="str">
        <x:v>didn't move</x:v>
      </x:c>
      <x:c r="H299" s="9" t="str">
        <x:v>Concept/compositional transfer</x:v>
      </x:c>
      <x:c r="I299" s="9" t="str">
        <x:v>CT-CF18</x:v>
      </x:c>
      <x:c r="J299" s="9" t="str">
        <x:v>Primary: one via held-out 2→1 removal</x:v>
      </x:c>
      <x:c r="K299" s="9" t="n">
        <x:v>146</x:v>
      </x:c>
      <x:c r="L299" s="9" t="str">
        <x:v>981</x:v>
      </x:c>
      <x:c r="M299" s="9" t="str">
        <x:v>Representative direct-instruction trajectory for airplane toy without propellers; the evaluated count × transition composition is intentionally absent.</x:v>
      </x:c>
      <x:c r="N299" s="9" t="n">
        <x:v>4</x:v>
      </x:c>
      <x:c r="O299" s="9" t="str">
        <x:v>Build the listed count-2 scene.</x:v>
      </x:c>
      <x:c r="P299" s="9" t="str">
        <x:v>The goal word one is trained, and this 2→1 trajectory is trained under a direct instruction, but the combination is withheld.</x:v>
      </x:c>
      <x:c r="Q299" s="9"/>
      <x:c r="R299" s="10"/>
      <x:c r="S299" s="10"/>
      <x:c r="T299" s="9"/>
      <x:c r="U299" s="9"/>
      <x:c r="V299" s="9"/>
      <x:c r="W299" s="9" t="str">
        <x:v>CT-CF18-REMOVE</x:v>
      </x:c>
      <x:c r="X299" s="10" t="n">
        <x:v>2</x:v>
      </x:c>
      <x:c r="Y299" s="10" t="n">
        <x:v>1</x:v>
      </x:c>
      <x:c r="Z299" s="9" t="str">
        <x:v>REMOVE</x:v>
      </x:c>
      <x:c r="AA299" s="9"/>
      <x:c r="AB299" s="9"/>
      <x:c r="AC299" s="9"/>
      <x:c r="AD299" s="9"/>
      <x:c r="AE299" s="9"/>
      <x:c r="AF299" s="9"/>
      <x:c r="AG299" s="9"/>
      <x:c r="AH299" s="9"/>
      <x:c r="AI299" s="11"/>
      <x:c r="AJ299" s="9"/>
      <x:c r="AK299" s="9" t="str">
        <x:v>Eval_Counting.xlsm</x:v>
      </x:c>
      <x:c r="AL299" s="9" t="str">
        <x:v>pi0.5 Results</x:v>
      </x:c>
      <x:c r="AM299" s="9" t="n">
        <x:v>149</x:v>
      </x:c>
      <x:c r="AN299" s="9" t="n">
        <x:v>149</x:v>
      </x:c>
    </x:row>
    <x:row r="300">
      <x:c r="A300" s="9" t="str">
        <x:v>Failure</x:v>
      </x:c>
      <x:c r="B300" s="9" t="str">
        <x:v>Counting</x:v>
      </x:c>
      <x:c r="C300" s="10" t="n">
        <x:v>148</x:v>
      </x:c>
      <x:c r="D300" s="9" t="str">
        <x:v>Leave exactly one object in the bowl.</x:v>
      </x:c>
      <x:c r="E300" s="9" t="str">
        <x:v>Bowl objects: [yellow block, airplane toy without propellers] | Table objects: [blue pen, green pencil sharpener]</x:v>
      </x:c>
      <x:c r="F300" s="9" t="str">
        <x:v>REMOVE any one bowl object; finish with 1 object in the bowl</x:v>
      </x:c>
      <x:c r="G300" s="9" t="str">
        <x:v>didn't move</x:v>
      </x:c>
      <x:c r="H300" s="9" t="str">
        <x:v>Concept/compositional transfer</x:v>
      </x:c>
      <x:c r="I300" s="9" t="str">
        <x:v>CT-CF23</x:v>
      </x:c>
      <x:c r="J300" s="9" t="str">
        <x:v>Primary: one via held-out 2→1 removal</x:v>
      </x:c>
      <x:c r="K300" s="9"/>
      <x:c r="L300" s="9" t="str">
        <x:v>881</x:v>
      </x:c>
      <x:c r="M300" s="9" t="str">
        <x:v>Representative direct-instruction trajectory for yellow block; the evaluated count × transition composition is intentionally absent.</x:v>
      </x:c>
      <x:c r="N300" s="9" t="n">
        <x:v>4</x:v>
      </x:c>
      <x:c r="O300" s="9" t="str">
        <x:v>Build the listed count-2 scene.</x:v>
      </x:c>
      <x:c r="P300" s="9" t="str">
        <x:v>The goal word one is trained, and this 2→1 trajectory is trained under a direct instruction, but the combination is withheld.</x:v>
      </x:c>
      <x:c r="Q300" s="9"/>
      <x:c r="R300" s="10"/>
      <x:c r="S300" s="10"/>
      <x:c r="T300" s="9"/>
      <x:c r="U300" s="9"/>
      <x:c r="V300" s="9"/>
      <x:c r="W300" s="9" t="str">
        <x:v>CT-CF23-REMOVE</x:v>
      </x:c>
      <x:c r="X300" s="10" t="n">
        <x:v>2</x:v>
      </x:c>
      <x:c r="Y300" s="10" t="n">
        <x:v>1</x:v>
      </x:c>
      <x:c r="Z300" s="9" t="str">
        <x:v>REMOVE</x:v>
      </x:c>
      <x:c r="AA300" s="9"/>
      <x:c r="AB300" s="9"/>
      <x:c r="AC300" s="9"/>
      <x:c r="AD300" s="9"/>
      <x:c r="AE300" s="9"/>
      <x:c r="AF300" s="9"/>
      <x:c r="AG300" s="9"/>
      <x:c r="AH300" s="9"/>
      <x:c r="AI300" s="11"/>
      <x:c r="AJ300" s="9"/>
      <x:c r="AK300" s="9" t="str">
        <x:v>Eval_Counting.xlsm</x:v>
      </x:c>
      <x:c r="AL300" s="9" t="str">
        <x:v>pi0.5 Results</x:v>
      </x:c>
      <x:c r="AM300" s="9" t="n">
        <x:v>150</x:v>
      </x:c>
      <x:c r="AN300" s="9" t="n">
        <x:v>150</x:v>
      </x:c>
    </x:row>
    <x:row r="301">
      <x:c r="A301" s="9" t="str">
        <x:v>Failure</x:v>
      </x:c>
      <x:c r="B301" s="9" t="str">
        <x:v>Counting</x:v>
      </x:c>
      <x:c r="C301" s="10" t="n">
        <x:v>149</x:v>
      </x:c>
      <x:c r="D301" s="9" t="str">
        <x:v>Leave exactly three objects in the bowl.</x:v>
      </x:c>
      <x:c r="E301" s="9" t="str">
        <x:v>Bowl objects: [yellow block, airplane toy without propellers] | Table objects: [blue pen, green pencil sharpener]</x:v>
      </x:c>
      <x:c r="F301" s="9" t="str">
        <x:v>ADD any one table object; finish with 3 objects in the bowl</x:v>
      </x:c>
      <x:c r="G301" s="9" t="str">
        <x:v>didn't move</x:v>
      </x:c>
      <x:c r="H301" s="9" t="str">
        <x:v>Concept/compositional transfer</x:v>
      </x:c>
      <x:c r="I301" s="9" t="str">
        <x:v>CT-CF23</x:v>
      </x:c>
      <x:c r="J301" s="9" t="str">
        <x:v>Primary: three via held-out 2→3 addition</x:v>
      </x:c>
      <x:c r="K301" s="9" t="n">
        <x:v>148</x:v>
      </x:c>
      <x:c r="L301" s="9" t="str">
        <x:v>916</x:v>
      </x:c>
      <x:c r="M301" s="9" t="str">
        <x:v>Representative direct-instruction trajectory for green pencil sharpener; the evaluated count × transition composition is intentionally absent.</x:v>
      </x:c>
      <x:c r="N301" s="9" t="n">
        <x:v>4</x:v>
      </x:c>
      <x:c r="O301" s="9" t="str">
        <x:v>Reset the exact count-2 scene; change only the prompt.</x:v>
      </x:c>
      <x:c r="P301" s="9" t="str">
        <x:v>The goal word three is trained, and this 2→3 trajectory is trained under a direct instruction, but the combination is withheld.</x:v>
      </x:c>
      <x:c r="Q301" s="9"/>
      <x:c r="R301" s="10"/>
      <x:c r="S301" s="10"/>
      <x:c r="T301" s="9"/>
      <x:c r="U301" s="9"/>
      <x:c r="V301" s="9"/>
      <x:c r="W301" s="9" t="str">
        <x:v>CT-CF23-ADD</x:v>
      </x:c>
      <x:c r="X301" s="10" t="n">
        <x:v>2</x:v>
      </x:c>
      <x:c r="Y301" s="10" t="n">
        <x:v>3</x:v>
      </x:c>
      <x:c r="Z301" s="9" t="str">
        <x:v>ADD</x:v>
      </x:c>
      <x:c r="AA301" s="9"/>
      <x:c r="AB301" s="9"/>
      <x:c r="AC301" s="9"/>
      <x:c r="AD301" s="9"/>
      <x:c r="AE301" s="9"/>
      <x:c r="AF301" s="9"/>
      <x:c r="AG301" s="9"/>
      <x:c r="AH301" s="9"/>
      <x:c r="AI301" s="11"/>
      <x:c r="AJ301" s="9"/>
      <x:c r="AK301" s="9" t="str">
        <x:v>Eval_Counting.xlsm</x:v>
      </x:c>
      <x:c r="AL301" s="9" t="str">
        <x:v>pi0.5 Results</x:v>
      </x:c>
      <x:c r="AM301" s="9" t="n">
        <x:v>151</x:v>
      </x:c>
      <x:c r="AN301" s="9" t="n">
        <x:v>151</x:v>
      </x:c>
    </x:row>
    <x:row r="302">
      <x:c r="A302" s="9" t="str">
        <x:v>Failure</x:v>
      </x:c>
      <x:c r="B302" s="9" t="str">
        <x:v>Ordinal Reference Ordering</x:v>
      </x:c>
      <x:c r="C302" s="10" t="n">
        <x:v>0</x:v>
      </x:c>
      <x:c r="D302" s="9" t="str">
        <x:v>Put the second object from the right in the bowl.</x:v>
      </x:c>
      <x:c r="E302" s="9" t="str">
        <x:v>L1: blue tape ball, L2: airplane toy with propellers</x:v>
      </x:c>
      <x:c r="F302" s="9" t="str">
        <x:v>blue tape ball</x:v>
      </x:c>
      <x:c r="G302" s="9" t="str">
        <x:v>picked airplane toy</x:v>
      </x:c>
      <x:c r="H302" s="9" t="str">
        <x:v>In-distribution concept baseline</x:v>
      </x:c>
      <x:c r="I302" s="9" t="str">
        <x:v>ID-EXACT01</x:v>
      </x:c>
      <x:c r="J302" s="9" t="str">
        <x:v>Exact training recreation — source episode 658</x:v>
      </x:c>
      <x:c r="K302" s="9"/>
      <x:c r="L302" s="9"/>
      <x:c r="M302" s="9"/>
      <x:c r="N302" s="9" t="str">
        <x:v>1 — In-distribution baselines</x:v>
      </x:c>
      <x:c r="O302" s="9" t="str">
        <x:v>Independently recreate the prompt and ordered object list from training episode 658; do not reuse the preceding baseline scene.</x:v>
      </x:c>
      <x:c r="P302" s="9" t="str">
        <x:v>Exact final prompt and complete left-to-right object order from explicit training episode 658: blue tape ball | airplane toy with propellers.</x:v>
      </x:c>
      <x:c r="Q302" s="9"/>
      <x:c r="R302" s="10" t="n">
        <x:v>2</x:v>
      </x:c>
      <x:c r="S302" s="10"/>
      <x:c r="T302" s="9"/>
      <x:c r="U302" s="9"/>
      <x:c r="V302" s="9"/>
      <x:c r="W302" s="9" t="str">
        <x:v>None — independent exact training recreation</x:v>
      </x:c>
      <x:c r="X302" s="10"/>
      <x:c r="Y302" s="10"/>
      <x:c r="Z302" s="9"/>
      <x:c r="AA302" s="9" t="str">
        <x:v>L1</x:v>
      </x:c>
      <x:c r="AB302" s="9" t="str">
        <x:v>second from right</x:v>
      </x:c>
      <x:c r="AC302" s="9"/>
      <x:c r="AD302" s="9"/>
      <x:c r="AE302" s="9"/>
      <x:c r="AF302" s="9"/>
      <x:c r="AG302" s="9"/>
      <x:c r="AH302" s="9"/>
      <x:c r="AI302" s="11"/>
      <x:c r="AJ302" s="9"/>
      <x:c r="AK302" s="9" t="str">
        <x:v>Eval_Ordinal_Reference_Ordering.xlsm</x:v>
      </x:c>
      <x:c r="AL302" s="9" t="str">
        <x:v>pi0.5 Results</x:v>
      </x:c>
      <x:c r="AM302" s="9" t="n">
        <x:v>2</x:v>
      </x:c>
      <x:c r="AN302" s="9" t="n">
        <x:v>2</x:v>
      </x:c>
    </x:row>
    <x:row r="303">
      <x:c r="A303" s="9" t="str">
        <x:v>Success</x:v>
      </x:c>
      <x:c r="B303" s="9" t="str">
        <x:v>Ordinal Reference Ordering</x:v>
      </x:c>
      <x:c r="C303" s="10" t="n">
        <x:v>1</x:v>
      </x:c>
      <x:c r="D303" s="9" t="str">
        <x:v>Put the second object from the left in the bowl.</x:v>
      </x:c>
      <x:c r="E303" s="9" t="str">
        <x:v>L1: blue tape ball, L2: airplane toy with propellers</x:v>
      </x:c>
      <x:c r="F303" s="9" t="str">
        <x:v>airplane toy with propellers</x:v>
      </x:c>
      <x:c r="G303" s="9"/>
      <x:c r="H303" s="9" t="str">
        <x:v>In-distribution concept baseline</x:v>
      </x:c>
      <x:c r="I303" s="9" t="str">
        <x:v>ID-EXACT02</x:v>
      </x:c>
      <x:c r="J303" s="9" t="str">
        <x:v>Exact training recreation — source episode 619</x:v>
      </x:c>
      <x:c r="K303" s="9"/>
      <x:c r="L303" s="9"/>
      <x:c r="M303" s="9"/>
      <x:c r="N303" s="9" t="str">
        <x:v>1 — In-distribution baselines</x:v>
      </x:c>
      <x:c r="O303" s="9" t="str">
        <x:v>Independently recreate the prompt and ordered object list from training episode 619; do not reuse the preceding baseline scene.</x:v>
      </x:c>
      <x:c r="P303" s="9" t="str">
        <x:v>Exact final prompt and complete left-to-right object order from explicit training episode 619: blue tape ball | airplane toy with propellers.</x:v>
      </x:c>
      <x:c r="Q303" s="9"/>
      <x:c r="R303" s="10" t="n">
        <x:v>2</x:v>
      </x:c>
      <x:c r="S303" s="10"/>
      <x:c r="T303" s="9"/>
      <x:c r="U303" s="9"/>
      <x:c r="V303" s="9"/>
      <x:c r="W303" s="9" t="str">
        <x:v>None — independent exact training recreation</x:v>
      </x:c>
      <x:c r="X303" s="10"/>
      <x:c r="Y303" s="10"/>
      <x:c r="Z303" s="9"/>
      <x:c r="AA303" s="9" t="str">
        <x:v>L2</x:v>
      </x:c>
      <x:c r="AB303" s="9" t="str">
        <x:v>second from left</x:v>
      </x:c>
      <x:c r="AC303" s="9"/>
      <x:c r="AD303" s="9"/>
      <x:c r="AE303" s="9"/>
      <x:c r="AF303" s="9"/>
      <x:c r="AG303" s="9"/>
      <x:c r="AH303" s="9"/>
      <x:c r="AI303" s="11"/>
      <x:c r="AJ303" s="9"/>
      <x:c r="AK303" s="9" t="str">
        <x:v>Eval_Ordinal_Reference_Ordering.xlsm</x:v>
      </x:c>
      <x:c r="AL303" s="9" t="str">
        <x:v>pi0.5 Results</x:v>
      </x:c>
      <x:c r="AM303" s="9" t="n">
        <x:v>3</x:v>
      </x:c>
      <x:c r="AN303" s="9" t="n">
        <x:v>3</x:v>
      </x:c>
    </x:row>
    <x:row r="304">
      <x:c r="A304" s="9" t="str">
        <x:v>Failure</x:v>
      </x:c>
      <x:c r="B304" s="9" t="str">
        <x:v>Ordinal Reference Ordering</x:v>
      </x:c>
      <x:c r="C304" s="10" t="n">
        <x:v>2</x:v>
      </x:c>
      <x:c r="D304" s="9" t="str">
        <x:v>Move the second item counted from the left into the bowl.</x:v>
      </x:c>
      <x:c r="E304" s="9" t="str">
        <x:v>L1: airplane toy with propellers, L2: green highlighter</x:v>
      </x:c>
      <x:c r="F304" s="9" t="str">
        <x:v>green highlighter</x:v>
      </x:c>
      <x:c r="G304" s="9" t="str">
        <x:v>went for green highlighter, so reasoning succeeded, but couldn't grasp it. stuck trying to grab it but couldn't</x:v>
      </x:c>
      <x:c r="H304" s="9" t="str">
        <x:v>In-distribution concept baseline</x:v>
      </x:c>
      <x:c r="I304" s="9" t="str">
        <x:v>ID-EXACT03</x:v>
      </x:c>
      <x:c r="J304" s="9" t="str">
        <x:v>Exact training recreation — source episode 719</x:v>
      </x:c>
      <x:c r="K304" s="9"/>
      <x:c r="L304" s="9"/>
      <x:c r="M304" s="9"/>
      <x:c r="N304" s="9" t="str">
        <x:v>1 — In-distribution baselines</x:v>
      </x:c>
      <x:c r="O304" s="9" t="str">
        <x:v>Independently recreate the prompt and ordered object list from training episode 719; do not reuse the preceding baseline scene.</x:v>
      </x:c>
      <x:c r="P304" s="9" t="str">
        <x:v>Exact final prompt and complete left-to-right object order from explicit training episode 719: airplane toy with propellers | green highlighter.</x:v>
      </x:c>
      <x:c r="Q304" s="9"/>
      <x:c r="R304" s="10" t="n">
        <x:v>2</x:v>
      </x:c>
      <x:c r="S304" s="10"/>
      <x:c r="T304" s="9"/>
      <x:c r="U304" s="9"/>
      <x:c r="V304" s="9"/>
      <x:c r="W304" s="9" t="str">
        <x:v>None — independent exact training recreation</x:v>
      </x:c>
      <x:c r="X304" s="10"/>
      <x:c r="Y304" s="10"/>
      <x:c r="Z304" s="9"/>
      <x:c r="AA304" s="9" t="str">
        <x:v>L2</x:v>
      </x:c>
      <x:c r="AB304" s="9" t="str">
        <x:v>second from left</x:v>
      </x:c>
      <x:c r="AC304" s="9"/>
      <x:c r="AD304" s="9"/>
      <x:c r="AE304" s="9"/>
      <x:c r="AF304" s="9"/>
      <x:c r="AG304" s="9"/>
      <x:c r="AH304" s="9"/>
      <x:c r="AI304" s="11"/>
      <x:c r="AJ304" s="9"/>
      <x:c r="AK304" s="9" t="str">
        <x:v>Eval_Ordinal_Reference_Ordering.xlsm</x:v>
      </x:c>
      <x:c r="AL304" s="9" t="str">
        <x:v>pi0.5 Results</x:v>
      </x:c>
      <x:c r="AM304" s="9" t="n">
        <x:v>4</x:v>
      </x:c>
      <x:c r="AN304" s="9" t="n">
        <x:v>4</x:v>
      </x:c>
    </x:row>
    <x:row r="305">
      <x:c r="A305" s="9" t="str">
        <x:v>Failure</x:v>
      </x:c>
      <x:c r="B305" s="9" t="str">
        <x:v>Ordinal Reference Ordering</x:v>
      </x:c>
      <x:c r="C305" s="10" t="n">
        <x:v>3</x:v>
      </x:c>
      <x:c r="D305" s="9" t="str">
        <x:v>Move the second item counted from the right into the bowl.</x:v>
      </x:c>
      <x:c r="E305" s="9" t="str">
        <x:v>L1: yellow pen, L2: airplane toy with propellers</x:v>
      </x:c>
      <x:c r="F305" s="9" t="str">
        <x:v>yellow pen</x:v>
      </x:c>
      <x:c r="G305" s="9" t="str">
        <x:v>picked airplane toy</x:v>
      </x:c>
      <x:c r="H305" s="9" t="str">
        <x:v>In-distribution concept baseline</x:v>
      </x:c>
      <x:c r="I305" s="9" t="str">
        <x:v>ID-EXACT04</x:v>
      </x:c>
      <x:c r="J305" s="9" t="str">
        <x:v>Exact training recreation — source episode 758</x:v>
      </x:c>
      <x:c r="K305" s="9"/>
      <x:c r="L305" s="9"/>
      <x:c r="M305" s="9"/>
      <x:c r="N305" s="9" t="str">
        <x:v>1 — In-distribution baselines</x:v>
      </x:c>
      <x:c r="O305" s="9" t="str">
        <x:v>Independently recreate the prompt and ordered object list from training episode 758; do not reuse the preceding baseline scene.</x:v>
      </x:c>
      <x:c r="P305" s="9" t="str">
        <x:v>Exact final prompt and complete left-to-right object order from explicit training episode 758: yellow pen | airplane toy with propellers.</x:v>
      </x:c>
      <x:c r="Q305" s="9"/>
      <x:c r="R305" s="10" t="n">
        <x:v>2</x:v>
      </x:c>
      <x:c r="S305" s="10"/>
      <x:c r="T305" s="9"/>
      <x:c r="U305" s="9"/>
      <x:c r="V305" s="9"/>
      <x:c r="W305" s="9" t="str">
        <x:v>None — independent exact training recreation</x:v>
      </x:c>
      <x:c r="X305" s="10"/>
      <x:c r="Y305" s="10"/>
      <x:c r="Z305" s="9"/>
      <x:c r="AA305" s="9" t="str">
        <x:v>L1</x:v>
      </x:c>
      <x:c r="AB305" s="9" t="str">
        <x:v>second from right</x:v>
      </x:c>
      <x:c r="AC305" s="9"/>
      <x:c r="AD305" s="9"/>
      <x:c r="AE305" s="9"/>
      <x:c r="AF305" s="9"/>
      <x:c r="AG305" s="9"/>
      <x:c r="AH305" s="9"/>
      <x:c r="AI305" s="11"/>
      <x:c r="AJ305" s="9"/>
      <x:c r="AK305" s="9" t="str">
        <x:v>Eval_Ordinal_Reference_Ordering.xlsm</x:v>
      </x:c>
      <x:c r="AL305" s="9" t="str">
        <x:v>pi0.5 Results</x:v>
      </x:c>
      <x:c r="AM305" s="9" t="n">
        <x:v>5</x:v>
      </x:c>
      <x:c r="AN305" s="9" t="n">
        <x:v>5</x:v>
      </x:c>
    </x:row>
    <x:row r="306">
      <x:c r="A306" s="9" t="str">
        <x:v>Failure</x:v>
      </x:c>
      <x:c r="B306" s="9" t="str">
        <x:v>Ordinal Reference Ordering</x:v>
      </x:c>
      <x:c r="C306" s="10" t="n">
        <x:v>4</x:v>
      </x:c>
      <x:c r="D306" s="9" t="str">
        <x:v>Put the third object from the right in the bowl.</x:v>
      </x:c>
      <x:c r="E306" s="9" t="str">
        <x:v>L1: airplane toy with propellers, L2: yellow pen, L3: blue tape ball</x:v>
      </x:c>
      <x:c r="F306" s="9" t="str">
        <x:v>airplane toy with propellers</x:v>
      </x:c>
      <x:c r="G306" s="9" t="str">
        <x:v>picked yellow pen</x:v>
      </x:c>
      <x:c r="H306" s="9" t="str">
        <x:v>In-distribution concept baseline</x:v>
      </x:c>
      <x:c r="I306" s="9" t="str">
        <x:v>ID-EXACT05</x:v>
      </x:c>
      <x:c r="J306" s="9" t="str">
        <x:v>Exact training recreation — source episode 604</x:v>
      </x:c>
      <x:c r="K306" s="9"/>
      <x:c r="L306" s="9"/>
      <x:c r="M306" s="9"/>
      <x:c r="N306" s="9" t="str">
        <x:v>1 — In-distribution baselines</x:v>
      </x:c>
      <x:c r="O306" s="9" t="str">
        <x:v>Independently recreate the prompt and ordered object list from training episode 604; do not reuse the preceding baseline scene.</x:v>
      </x:c>
      <x:c r="P306" s="9" t="str">
        <x:v>Exact final prompt and complete left-to-right object order from explicit training episode 604: airplane toy with propellers | yellow pen | blue tape ball.</x:v>
      </x:c>
      <x:c r="Q306" s="9"/>
      <x:c r="R306" s="10" t="n">
        <x:v>3</x:v>
      </x:c>
      <x:c r="S306" s="10"/>
      <x:c r="T306" s="9"/>
      <x:c r="U306" s="9"/>
      <x:c r="V306" s="9"/>
      <x:c r="W306" s="9" t="str">
        <x:v>None — independent exact training recreation</x:v>
      </x:c>
      <x:c r="X306" s="10"/>
      <x:c r="Y306" s="10"/>
      <x:c r="Z306" s="9"/>
      <x:c r="AA306" s="9" t="str">
        <x:v>L1</x:v>
      </x:c>
      <x:c r="AB306" s="9" t="str">
        <x:v>third from right</x:v>
      </x:c>
      <x:c r="AC306" s="9"/>
      <x:c r="AD306" s="9"/>
      <x:c r="AE306" s="9"/>
      <x:c r="AF306" s="9"/>
      <x:c r="AG306" s="9"/>
      <x:c r="AH306" s="9"/>
      <x:c r="AI306" s="11"/>
      <x:c r="AJ306" s="9"/>
      <x:c r="AK306" s="9" t="str">
        <x:v>Eval_Ordinal_Reference_Ordering.xlsm</x:v>
      </x:c>
      <x:c r="AL306" s="9" t="str">
        <x:v>pi0.5 Results</x:v>
      </x:c>
      <x:c r="AM306" s="9" t="n">
        <x:v>6</x:v>
      </x:c>
      <x:c r="AN306" s="9" t="n">
        <x:v>6</x:v>
      </x:c>
    </x:row>
    <x:row r="307">
      <x:c r="A307" s="9" t="str">
        <x:v>Success</x:v>
      </x:c>
      <x:c r="B307" s="9" t="str">
        <x:v>Ordinal Reference Ordering</x:v>
      </x:c>
      <x:c r="C307" s="10" t="n">
        <x:v>5</x:v>
      </x:c>
      <x:c r="D307" s="9" t="str">
        <x:v>Put the object that is first from the right in the bowl.</x:v>
      </x:c>
      <x:c r="E307" s="9" t="str">
        <x:v>L1: airplane toy with propellers, L2: green highlighter, L3: blue tape ball</x:v>
      </x:c>
      <x:c r="F307" s="9" t="str">
        <x:v>blue tape ball</x:v>
      </x:c>
      <x:c r="G307" s="9"/>
      <x:c r="H307" s="9" t="str">
        <x:v>In-distribution concept baseline</x:v>
      </x:c>
      <x:c r="I307" s="9" t="str">
        <x:v>ID-EXACT06</x:v>
      </x:c>
      <x:c r="J307" s="9" t="str">
        <x:v>Exact training recreation — source episode 679</x:v>
      </x:c>
      <x:c r="K307" s="9"/>
      <x:c r="L307" s="9"/>
      <x:c r="M307" s="9"/>
      <x:c r="N307" s="9" t="str">
        <x:v>1 — In-distribution baselines</x:v>
      </x:c>
      <x:c r="O307" s="9" t="str">
        <x:v>Independently recreate the prompt and ordered object list from training episode 679; do not reuse the preceding baseline scene.</x:v>
      </x:c>
      <x:c r="P307" s="9" t="str">
        <x:v>Exact final prompt and complete left-to-right object order from explicit training episode 679: airplane toy with propellers | green highlighter | blue tape ball.</x:v>
      </x:c>
      <x:c r="Q307" s="9"/>
      <x:c r="R307" s="10" t="n">
        <x:v>3</x:v>
      </x:c>
      <x:c r="S307" s="10"/>
      <x:c r="T307" s="9"/>
      <x:c r="U307" s="9"/>
      <x:c r="V307" s="9"/>
      <x:c r="W307" s="9" t="str">
        <x:v>None — independent exact training recreation</x:v>
      </x:c>
      <x:c r="X307" s="10"/>
      <x:c r="Y307" s="10"/>
      <x:c r="Z307" s="9"/>
      <x:c r="AA307" s="9" t="str">
        <x:v>L3</x:v>
      </x:c>
      <x:c r="AB307" s="9" t="str">
        <x:v>first from right</x:v>
      </x:c>
      <x:c r="AC307" s="9"/>
      <x:c r="AD307" s="9"/>
      <x:c r="AE307" s="9"/>
      <x:c r="AF307" s="9"/>
      <x:c r="AG307" s="9"/>
      <x:c r="AH307" s="9"/>
      <x:c r="AI307" s="11"/>
      <x:c r="AJ307" s="9"/>
      <x:c r="AK307" s="9" t="str">
        <x:v>Eval_Ordinal_Reference_Ordering.xlsm</x:v>
      </x:c>
      <x:c r="AL307" s="9" t="str">
        <x:v>pi0.5 Results</x:v>
      </x:c>
      <x:c r="AM307" s="9" t="n">
        <x:v>7</x:v>
      </x:c>
      <x:c r="AN307" s="9" t="n">
        <x:v>7</x:v>
      </x:c>
    </x:row>
    <x:row r="308">
      <x:c r="A308" s="9" t="str">
        <x:v>Success</x:v>
      </x:c>
      <x:c r="B308" s="9" t="str">
        <x:v>Ordinal Reference Ordering</x:v>
      </x:c>
      <x:c r="C308" s="10" t="n">
        <x:v>6</x:v>
      </x:c>
      <x:c r="D308" s="9" t="str">
        <x:v>Put the object that is third from the left in the bowl.</x:v>
      </x:c>
      <x:c r="E308" s="9" t="str">
        <x:v>L1: green highlighter, L2: blue tape ball, L3: yellow pen</x:v>
      </x:c>
      <x:c r="F308" s="9" t="str">
        <x:v>yellow pen</x:v>
      </x:c>
      <x:c r="G308" s="9"/>
      <x:c r="H308" s="9" t="str">
        <x:v>In-distribution concept baseline</x:v>
      </x:c>
      <x:c r="I308" s="9" t="str">
        <x:v>ID-EXACT07</x:v>
      </x:c>
      <x:c r="J308" s="9" t="str">
        <x:v>Exact training recreation — source episode 784</x:v>
      </x:c>
      <x:c r="K308" s="9"/>
      <x:c r="L308" s="9"/>
      <x:c r="M308" s="9"/>
      <x:c r="N308" s="9" t="str">
        <x:v>1 — In-distribution baselines</x:v>
      </x:c>
      <x:c r="O308" s="9" t="str">
        <x:v>Independently recreate the prompt and ordered object list from training episode 784; do not reuse the preceding baseline scene.</x:v>
      </x:c>
      <x:c r="P308" s="9" t="str">
        <x:v>Exact final prompt and complete left-to-right object order from explicit training episode 784: green highlighter | blue tape ball | yellow pen.</x:v>
      </x:c>
      <x:c r="Q308" s="9"/>
      <x:c r="R308" s="10" t="n">
        <x:v>3</x:v>
      </x:c>
      <x:c r="S308" s="10"/>
      <x:c r="T308" s="9"/>
      <x:c r="U308" s="9"/>
      <x:c r="V308" s="9"/>
      <x:c r="W308" s="9" t="str">
        <x:v>None — independent exact training recreation</x:v>
      </x:c>
      <x:c r="X308" s="10"/>
      <x:c r="Y308" s="10"/>
      <x:c r="Z308" s="9"/>
      <x:c r="AA308" s="9" t="str">
        <x:v>L3</x:v>
      </x:c>
      <x:c r="AB308" s="9" t="str">
        <x:v>third from left</x:v>
      </x:c>
      <x:c r="AC308" s="9"/>
      <x:c r="AD308" s="9"/>
      <x:c r="AE308" s="9"/>
      <x:c r="AF308" s="9"/>
      <x:c r="AG308" s="9"/>
      <x:c r="AH308" s="9"/>
      <x:c r="AI308" s="11"/>
      <x:c r="AJ308" s="9"/>
      <x:c r="AK308" s="9" t="str">
        <x:v>Eval_Ordinal_Reference_Ordering.xlsm</x:v>
      </x:c>
      <x:c r="AL308" s="9" t="str">
        <x:v>pi0.5 Results</x:v>
      </x:c>
      <x:c r="AM308" s="9" t="n">
        <x:v>8</x:v>
      </x:c>
      <x:c r="AN308" s="9" t="n">
        <x:v>8</x:v>
      </x:c>
    </x:row>
    <x:row r="309">
      <x:c r="A309" s="9" t="str">
        <x:v>Success</x:v>
      </x:c>
      <x:c r="B309" s="9" t="str">
        <x:v>Ordinal Reference Ordering</x:v>
      </x:c>
      <x:c r="C309" s="10" t="n">
        <x:v>7</x:v>
      </x:c>
      <x:c r="D309" s="9" t="str">
        <x:v>Put the first object from the left in the bowl.</x:v>
      </x:c>
      <x:c r="E309" s="9" t="str">
        <x:v>L1: green highlighter, L2: airplane toy with propellers, L3: blue tape ball</x:v>
      </x:c>
      <x:c r="F309" s="9" t="str">
        <x:v>green highlighter</x:v>
      </x:c>
      <x:c r="G309" s="9"/>
      <x:c r="H309" s="9" t="str">
        <x:v>In-distribution concept baseline</x:v>
      </x:c>
      <x:c r="I309" s="9" t="str">
        <x:v>ID-EXACT08</x:v>
      </x:c>
      <x:c r="J309" s="9" t="str">
        <x:v>Exact training recreation — source episode 706</x:v>
      </x:c>
      <x:c r="K309" s="9"/>
      <x:c r="L309" s="9"/>
      <x:c r="M309" s="9"/>
      <x:c r="N309" s="9" t="str">
        <x:v>1 — In-distribution baselines</x:v>
      </x:c>
      <x:c r="O309" s="9" t="str">
        <x:v>Independently recreate the prompt and ordered object list from training episode 706; do not reuse the preceding baseline scene.</x:v>
      </x:c>
      <x:c r="P309" s="9" t="str">
        <x:v>Exact final prompt and complete left-to-right object order from explicit training episode 706: green highlighter | airplane toy with propellers | blue tape ball.</x:v>
      </x:c>
      <x:c r="Q309" s="9"/>
      <x:c r="R309" s="10" t="n">
        <x:v>3</x:v>
      </x:c>
      <x:c r="S309" s="10"/>
      <x:c r="T309" s="9"/>
      <x:c r="U309" s="9"/>
      <x:c r="V309" s="9"/>
      <x:c r="W309" s="9" t="str">
        <x:v>None — independent exact training recreation</x:v>
      </x:c>
      <x:c r="X309" s="10"/>
      <x:c r="Y309" s="10"/>
      <x:c r="Z309" s="9"/>
      <x:c r="AA309" s="9" t="str">
        <x:v>L1</x:v>
      </x:c>
      <x:c r="AB309" s="9" t="str">
        <x:v>first from left</x:v>
      </x:c>
      <x:c r="AC309" s="9"/>
      <x:c r="AD309" s="9"/>
      <x:c r="AE309" s="9"/>
      <x:c r="AF309" s="9"/>
      <x:c r="AG309" s="9"/>
      <x:c r="AH309" s="9"/>
      <x:c r="AI309" s="11"/>
      <x:c r="AJ309" s="9"/>
      <x:c r="AK309" s="9" t="str">
        <x:v>Eval_Ordinal_Reference_Ordering.xlsm</x:v>
      </x:c>
      <x:c r="AL309" s="9" t="str">
        <x:v>pi0.5 Results</x:v>
      </x:c>
      <x:c r="AM309" s="9" t="n">
        <x:v>9</x:v>
      </x:c>
      <x:c r="AN309" s="9" t="n">
        <x:v>9</x:v>
      </x:c>
    </x:row>
    <x:row r="310">
      <x:c r="A310" s="9" t="str">
        <x:v>Failure</x:v>
      </x:c>
      <x:c r="B310" s="9" t="str">
        <x:v>Ordinal Reference Ordering</x:v>
      </x:c>
      <x:c r="C310" s="10" t="n">
        <x:v>8</x:v>
      </x:c>
      <x:c r="D310" s="9" t="str">
        <x:v>Put the fourth object from the right in the bowl.</x:v>
      </x:c>
      <x:c r="E310" s="9" t="str">
        <x:v>L1: blue tape ball, L2: green highlighter, L3: airplane toy with propellers, L4: yellow pen</x:v>
      </x:c>
      <x:c r="F310" s="9" t="str">
        <x:v>blue tape ball</x:v>
      </x:c>
      <x:c r="G310" s="9" t="str">
        <x:v>picked green highlighter</x:v>
      </x:c>
      <x:c r="H310" s="9" t="str">
        <x:v>In-distribution concept baseline</x:v>
      </x:c>
      <x:c r="I310" s="9" t="str">
        <x:v>ID-EXACT09</x:v>
      </x:c>
      <x:c r="J310" s="9" t="str">
        <x:v>Exact training recreation — source episode 652</x:v>
      </x:c>
      <x:c r="K310" s="9"/>
      <x:c r="L310" s="9"/>
      <x:c r="M310" s="9"/>
      <x:c r="N310" s="9" t="str">
        <x:v>1 — In-distribution baselines</x:v>
      </x:c>
      <x:c r="O310" s="9" t="str">
        <x:v>Independently recreate the prompt and ordered object list from training episode 652; do not reuse the preceding baseline scene.</x:v>
      </x:c>
      <x:c r="P310" s="9" t="str">
        <x:v>Exact final prompt and complete left-to-right object order from explicit training episode 652: blue tape ball | green highlighter | airplane toy with propellers | yellow pen.</x:v>
      </x:c>
      <x:c r="Q310" s="9"/>
      <x:c r="R310" s="10" t="n">
        <x:v>4</x:v>
      </x:c>
      <x:c r="S310" s="10"/>
      <x:c r="T310" s="9"/>
      <x:c r="U310" s="9"/>
      <x:c r="V310" s="9"/>
      <x:c r="W310" s="9" t="str">
        <x:v>None — independent exact training recreation</x:v>
      </x:c>
      <x:c r="X310" s="10"/>
      <x:c r="Y310" s="10"/>
      <x:c r="Z310" s="9"/>
      <x:c r="AA310" s="9" t="str">
        <x:v>L1</x:v>
      </x:c>
      <x:c r="AB310" s="9" t="str">
        <x:v>fourth from right</x:v>
      </x:c>
      <x:c r="AC310" s="9"/>
      <x:c r="AD310" s="9"/>
      <x:c r="AE310" s="9"/>
      <x:c r="AF310" s="9"/>
      <x:c r="AG310" s="9"/>
      <x:c r="AH310" s="9"/>
      <x:c r="AI310" s="11"/>
      <x:c r="AJ310" s="9"/>
      <x:c r="AK310" s="9" t="str">
        <x:v>Eval_Ordinal_Reference_Ordering.xlsm</x:v>
      </x:c>
      <x:c r="AL310" s="9" t="str">
        <x:v>pi0.5 Results</x:v>
      </x:c>
      <x:c r="AM310" s="9" t="n">
        <x:v>10</x:v>
      </x:c>
      <x:c r="AN310" s="9" t="n">
        <x:v>10</x:v>
      </x:c>
    </x:row>
    <x:row r="311">
      <x:c r="A311" s="9" t="str">
        <x:v>Failure</x:v>
      </x:c>
      <x:c r="B311" s="9" t="str">
        <x:v>Ordinal Reference Ordering</x:v>
      </x:c>
      <x:c r="C311" s="10" t="n">
        <x:v>9</x:v>
      </x:c>
      <x:c r="D311" s="9" t="str">
        <x:v>Put the second object from the left in the bowl.</x:v>
      </x:c>
      <x:c r="E311" s="9" t="str">
        <x:v>L1: blue tape ball, L2: airplane toy with propellers, L3: yellow pen, L4: green highlighter</x:v>
      </x:c>
      <x:c r="F311" s="9" t="str">
        <x:v>airplane toy with propellers</x:v>
      </x:c>
      <x:c r="G311" s="9" t="str">
        <x:v>picked yellow pen</x:v>
      </x:c>
      <x:c r="H311" s="9" t="str">
        <x:v>In-distribution concept baseline</x:v>
      </x:c>
      <x:c r="I311" s="9" t="str">
        <x:v>ID-EXACT10</x:v>
      </x:c>
      <x:c r="J311" s="9" t="str">
        <x:v>Exact training recreation — source episode 614</x:v>
      </x:c>
      <x:c r="K311" s="9"/>
      <x:c r="L311" s="9"/>
      <x:c r="M311" s="9"/>
      <x:c r="N311" s="9" t="str">
        <x:v>1 — In-distribution baselines</x:v>
      </x:c>
      <x:c r="O311" s="9" t="str">
        <x:v>Independently recreate the prompt and ordered object list from training episode 614; do not reuse the preceding baseline scene.</x:v>
      </x:c>
      <x:c r="P311" s="9" t="str">
        <x:v>Exact final prompt and complete left-to-right object order from explicit training episode 614: blue tape ball | airplane toy with propellers | yellow pen | green highlighter.</x:v>
      </x:c>
      <x:c r="Q311" s="9"/>
      <x:c r="R311" s="10" t="n">
        <x:v>4</x:v>
      </x:c>
      <x:c r="S311" s="10"/>
      <x:c r="T311" s="9"/>
      <x:c r="U311" s="9"/>
      <x:c r="V311" s="9"/>
      <x:c r="W311" s="9" t="str">
        <x:v>None — independent exact training recreation</x:v>
      </x:c>
      <x:c r="X311" s="10"/>
      <x:c r="Y311" s="10"/>
      <x:c r="Z311" s="9"/>
      <x:c r="AA311" s="9" t="str">
        <x:v>L2</x:v>
      </x:c>
      <x:c r="AB311" s="9" t="str">
        <x:v>second from left</x:v>
      </x:c>
      <x:c r="AC311" s="9"/>
      <x:c r="AD311" s="9"/>
      <x:c r="AE311" s="9"/>
      <x:c r="AF311" s="9"/>
      <x:c r="AG311" s="9"/>
      <x:c r="AH311" s="9"/>
      <x:c r="AI311" s="11"/>
      <x:c r="AJ311" s="9"/>
      <x:c r="AK311" s="9" t="str">
        <x:v>Eval_Ordinal_Reference_Ordering.xlsm</x:v>
      </x:c>
      <x:c r="AL311" s="9" t="str">
        <x:v>pi0.5 Results</x:v>
      </x:c>
      <x:c r="AM311" s="9" t="n">
        <x:v>11</x:v>
      </x:c>
      <x:c r="AN311" s="9" t="n">
        <x:v>11</x:v>
      </x:c>
    </x:row>
    <x:row r="312">
      <x:c r="A312" s="9" t="str">
        <x:v>Failure</x:v>
      </x:c>
      <x:c r="B312" s="9" t="str">
        <x:v>Ordinal Reference Ordering</x:v>
      </x:c>
      <x:c r="C312" s="10" t="n">
        <x:v>10</x:v>
      </x:c>
      <x:c r="D312" s="9" t="str">
        <x:v>Pick up the object that is second from the left and place it in the bowl.</x:v>
      </x:c>
      <x:c r="E312" s="9" t="str">
        <x:v>L1: blue tape ball, L2: yellow pen, L3: green highlighter, L4: airplane toy with propellers</x:v>
      </x:c>
      <x:c r="F312" s="9" t="str">
        <x:v>yellow pen</x:v>
      </x:c>
      <x:c r="G312" s="9" t="str">
        <x:v>picked airplane toy</x:v>
      </x:c>
      <x:c r="H312" s="9" t="str">
        <x:v>In-distribution concept baseline</x:v>
      </x:c>
      <x:c r="I312" s="9" t="str">
        <x:v>ID-EXACT11</x:v>
      </x:c>
      <x:c r="J312" s="9" t="str">
        <x:v>Exact training recreation — source episode 765</x:v>
      </x:c>
      <x:c r="K312" s="9"/>
      <x:c r="L312" s="9"/>
      <x:c r="M312" s="9"/>
      <x:c r="N312" s="9" t="str">
        <x:v>1 — In-distribution baselines</x:v>
      </x:c>
      <x:c r="O312" s="9" t="str">
        <x:v>Independently recreate the prompt and ordered object list from training episode 765; do not reuse the preceding baseline scene.</x:v>
      </x:c>
      <x:c r="P312" s="9" t="str">
        <x:v>Exact final prompt and complete left-to-right object order from explicit training episode 765: blue tape ball | yellow pen | green highlighter | airplane toy with propellers.</x:v>
      </x:c>
      <x:c r="Q312" s="9"/>
      <x:c r="R312" s="10" t="n">
        <x:v>4</x:v>
      </x:c>
      <x:c r="S312" s="10"/>
      <x:c r="T312" s="9"/>
      <x:c r="U312" s="9"/>
      <x:c r="V312" s="9"/>
      <x:c r="W312" s="9" t="str">
        <x:v>None — independent exact training recreation</x:v>
      </x:c>
      <x:c r="X312" s="10"/>
      <x:c r="Y312" s="10"/>
      <x:c r="Z312" s="9"/>
      <x:c r="AA312" s="9" t="str">
        <x:v>L2</x:v>
      </x:c>
      <x:c r="AB312" s="9" t="str">
        <x:v>second from left</x:v>
      </x:c>
      <x:c r="AC312" s="9"/>
      <x:c r="AD312" s="9"/>
      <x:c r="AE312" s="9"/>
      <x:c r="AF312" s="9"/>
      <x:c r="AG312" s="9"/>
      <x:c r="AH312" s="9"/>
      <x:c r="AI312" s="11"/>
      <x:c r="AJ312" s="9"/>
      <x:c r="AK312" s="9" t="str">
        <x:v>Eval_Ordinal_Reference_Ordering.xlsm</x:v>
      </x:c>
      <x:c r="AL312" s="9" t="str">
        <x:v>pi0.5 Results</x:v>
      </x:c>
      <x:c r="AM312" s="9" t="n">
        <x:v>12</x:v>
      </x:c>
      <x:c r="AN312" s="9" t="n">
        <x:v>12</x:v>
      </x:c>
    </x:row>
    <x:row r="313">
      <x:c r="A313" s="9" t="str">
        <x:v>Failure</x:v>
      </x:c>
      <x:c r="B313" s="9" t="str">
        <x:v>Ordinal Reference Ordering</x:v>
      </x:c>
      <x:c r="C313" s="10" t="n">
        <x:v>11</x:v>
      </x:c>
      <x:c r="D313" s="9" t="str">
        <x:v>Pick up the object that is fourth from the right and place it in the bowl.</x:v>
      </x:c>
      <x:c r="E313" s="9" t="str">
        <x:v>L1: green highlighter, L2: airplane toy with propellers, L3: yellow pen, L4: blue tape ball</x:v>
      </x:c>
      <x:c r="F313" s="9" t="str">
        <x:v>green highlighter</x:v>
      </x:c>
      <x:c r="G313" s="9" t="str">
        <x:v>tried to pick yellow pen, but couldn't, and then ended up picked up the airplane toy</x:v>
      </x:c>
      <x:c r="H313" s="9" t="str">
        <x:v>In-distribution concept baseline</x:v>
      </x:c>
      <x:c r="I313" s="9" t="str">
        <x:v>ID-EXACT12</x:v>
      </x:c>
      <x:c r="J313" s="9" t="str">
        <x:v>Exact training recreation — source episode 701</x:v>
      </x:c>
      <x:c r="K313" s="9"/>
      <x:c r="L313" s="9"/>
      <x:c r="M313" s="9"/>
      <x:c r="N313" s="9" t="str">
        <x:v>1 — In-distribution baselines</x:v>
      </x:c>
      <x:c r="O313" s="9" t="str">
        <x:v>Independently recreate the prompt and ordered object list from training episode 701; do not reuse the preceding baseline scene.</x:v>
      </x:c>
      <x:c r="P313" s="9" t="str">
        <x:v>Exact final prompt and complete left-to-right object order from explicit training episode 701: green highlighter | airplane toy with propellers | yellow pen | blue tape ball.</x:v>
      </x:c>
      <x:c r="Q313" s="9"/>
      <x:c r="R313" s="10" t="n">
        <x:v>4</x:v>
      </x:c>
      <x:c r="S313" s="10"/>
      <x:c r="T313" s="9"/>
      <x:c r="U313" s="9"/>
      <x:c r="V313" s="9"/>
      <x:c r="W313" s="9" t="str">
        <x:v>None — independent exact training recreation</x:v>
      </x:c>
      <x:c r="X313" s="10"/>
      <x:c r="Y313" s="10"/>
      <x:c r="Z313" s="9"/>
      <x:c r="AA313" s="9" t="str">
        <x:v>L1</x:v>
      </x:c>
      <x:c r="AB313" s="9" t="str">
        <x:v>fourth from right</x:v>
      </x:c>
      <x:c r="AC313" s="9"/>
      <x:c r="AD313" s="9"/>
      <x:c r="AE313" s="9"/>
      <x:c r="AF313" s="9"/>
      <x:c r="AG313" s="9"/>
      <x:c r="AH313" s="9"/>
      <x:c r="AI313" s="11"/>
      <x:c r="AJ313" s="9"/>
      <x:c r="AK313" s="9" t="str">
        <x:v>Eval_Ordinal_Reference_Ordering.xlsm</x:v>
      </x:c>
      <x:c r="AL313" s="9" t="str">
        <x:v>pi0.5 Results</x:v>
      </x:c>
      <x:c r="AM313" s="9" t="n">
        <x:v>13</x:v>
      </x:c>
      <x:c r="AN313" s="9" t="n">
        <x:v>13</x:v>
      </x:c>
    </x:row>
    <x:row r="314">
      <x:c r="A314" s="9" t="str">
        <x:v>Failure</x:v>
      </x:c>
      <x:c r="B314" s="9" t="str">
        <x:v>Ordinal Reference Ordering</x:v>
      </x:c>
      <x:c r="C314" s="10" t="n">
        <x:v>12</x:v>
      </x:c>
      <x:c r="D314" s="9" t="str">
        <x:v>Move the first item counted from the left into the bowl.</x:v>
      </x:c>
      <x:c r="E314" s="9" t="str">
        <x:v>L1: yellow pen, L2: airplane toy with propellers, L3: blue tape ball, L4: green highlighter</x:v>
      </x:c>
      <x:c r="F314" s="9" t="str">
        <x:v>yellow pen</x:v>
      </x:c>
      <x:c r="G314" s="9" t="str">
        <x:v>picked green highlighter</x:v>
      </x:c>
      <x:c r="H314" s="9" t="str">
        <x:v>In-distribution concept baseline</x:v>
      </x:c>
      <x:c r="I314" s="9" t="str">
        <x:v>ID-EXACT13</x:v>
      </x:c>
      <x:c r="J314" s="9" t="str">
        <x:v>Exact training recreation — source episode 750</x:v>
      </x:c>
      <x:c r="K314" s="9"/>
      <x:c r="L314" s="9"/>
      <x:c r="M314" s="9"/>
      <x:c r="N314" s="9" t="str">
        <x:v>1 — In-distribution baselines</x:v>
      </x:c>
      <x:c r="O314" s="9" t="str">
        <x:v>Independently recreate the prompt and ordered object list from training episode 750; do not reuse the preceding baseline scene.</x:v>
      </x:c>
      <x:c r="P314" s="9" t="str">
        <x:v>Exact final prompt and complete left-to-right object order from explicit training episode 750: yellow pen | airplane toy with propellers | blue tape ball | green highlighter.</x:v>
      </x:c>
      <x:c r="Q314" s="9"/>
      <x:c r="R314" s="10" t="n">
        <x:v>4</x:v>
      </x:c>
      <x:c r="S314" s="10"/>
      <x:c r="T314" s="9"/>
      <x:c r="U314" s="9"/>
      <x:c r="V314" s="9"/>
      <x:c r="W314" s="9" t="str">
        <x:v>None — independent exact training recreation</x:v>
      </x:c>
      <x:c r="X314" s="10"/>
      <x:c r="Y314" s="10"/>
      <x:c r="Z314" s="9"/>
      <x:c r="AA314" s="9" t="str">
        <x:v>L1</x:v>
      </x:c>
      <x:c r="AB314" s="9" t="str">
        <x:v>first from left</x:v>
      </x:c>
      <x:c r="AC314" s="9"/>
      <x:c r="AD314" s="9"/>
      <x:c r="AE314" s="9"/>
      <x:c r="AF314" s="9"/>
      <x:c r="AG314" s="9"/>
      <x:c r="AH314" s="9"/>
      <x:c r="AI314" s="11"/>
      <x:c r="AJ314" s="9"/>
      <x:c r="AK314" s="9" t="str">
        <x:v>Eval_Ordinal_Reference_Ordering.xlsm</x:v>
      </x:c>
      <x:c r="AL314" s="9" t="str">
        <x:v>pi0.5 Results</x:v>
      </x:c>
      <x:c r="AM314" s="9" t="n">
        <x:v>14</x:v>
      </x:c>
      <x:c r="AN314" s="9" t="n">
        <x:v>14</x:v>
      </x:c>
    </x:row>
    <x:row r="315">
      <x:c r="A315" s="9" t="str">
        <x:v>Failure</x:v>
      </x:c>
      <x:c r="B315" s="9" t="str">
        <x:v>Ordinal Reference Ordering</x:v>
      </x:c>
      <x:c r="C315" s="10" t="n">
        <x:v>13</x:v>
      </x:c>
      <x:c r="D315" s="9" t="str">
        <x:v>Move the third item counted from the right into the bowl.</x:v>
      </x:c>
      <x:c r="E315" s="9" t="str">
        <x:v>L1: blue tape ball, L2: green highlighter, L3: yellow pen, L4: airplane toy with propellers</x:v>
      </x:c>
      <x:c r="F315" s="9" t="str">
        <x:v>green highlighter</x:v>
      </x:c>
      <x:c r="G315" s="9" t="str">
        <x:v>picked the yellow pen</x:v>
      </x:c>
      <x:c r="H315" s="9" t="str">
        <x:v>In-distribution concept baseline</x:v>
      </x:c>
      <x:c r="I315" s="9" t="str">
        <x:v>ID-EXACT14</x:v>
      </x:c>
      <x:c r="J315" s="9" t="str">
        <x:v>Exact training recreation — source episode 716</x:v>
      </x:c>
      <x:c r="K315" s="9"/>
      <x:c r="L315" s="9"/>
      <x:c r="M315" s="9"/>
      <x:c r="N315" s="9" t="str">
        <x:v>1 — In-distribution baselines</x:v>
      </x:c>
      <x:c r="O315" s="9" t="str">
        <x:v>Independently recreate the prompt and ordered object list from training episode 716; do not reuse the preceding baseline scene.</x:v>
      </x:c>
      <x:c r="P315" s="9" t="str">
        <x:v>Exact final prompt and complete left-to-right object order from explicit training episode 716: blue tape ball | green highlighter | yellow pen | airplane toy with propellers.</x:v>
      </x:c>
      <x:c r="Q315" s="9"/>
      <x:c r="R315" s="10" t="n">
        <x:v>4</x:v>
      </x:c>
      <x:c r="S315" s="10"/>
      <x:c r="T315" s="9"/>
      <x:c r="U315" s="9"/>
      <x:c r="V315" s="9"/>
      <x:c r="W315" s="9" t="str">
        <x:v>None — independent exact training recreation</x:v>
      </x:c>
      <x:c r="X315" s="10"/>
      <x:c r="Y315" s="10"/>
      <x:c r="Z315" s="9"/>
      <x:c r="AA315" s="9" t="str">
        <x:v>L2</x:v>
      </x:c>
      <x:c r="AB315" s="9" t="str">
        <x:v>third from right</x:v>
      </x:c>
      <x:c r="AC315" s="9"/>
      <x:c r="AD315" s="9"/>
      <x:c r="AE315" s="9"/>
      <x:c r="AF315" s="9"/>
      <x:c r="AG315" s="9"/>
      <x:c r="AH315" s="9"/>
      <x:c r="AI315" s="11"/>
      <x:c r="AJ315" s="9"/>
      <x:c r="AK315" s="9" t="str">
        <x:v>Eval_Ordinal_Reference_Ordering.xlsm</x:v>
      </x:c>
      <x:c r="AL315" s="9" t="str">
        <x:v>pi0.5 Results</x:v>
      </x:c>
      <x:c r="AM315" s="9" t="n">
        <x:v>15</x:v>
      </x:c>
      <x:c r="AN315" s="9" t="n">
        <x:v>15</x:v>
      </x:c>
    </x:row>
    <x:row r="316">
      <x:c r="A316" s="9" t="str">
        <x:v>Failure</x:v>
      </x:c>
      <x:c r="B316" s="9" t="str">
        <x:v>Ordinal Reference Ordering</x:v>
      </x:c>
      <x:c r="C316" s="10" t="n">
        <x:v>14</x:v>
      </x:c>
      <x:c r="D316" s="9" t="str">
        <x:v>Move the fourth from the left object into the bowl.</x:v>
      </x:c>
      <x:c r="E316" s="9" t="str">
        <x:v>L1: airplane toy with propellers, L2: blue tape ball, L3: yellow pen, L4: green highlighter</x:v>
      </x:c>
      <x:c r="F316" s="9" t="str">
        <x:v>green highlighter</x:v>
      </x:c>
      <x:c r="G316" s="9" t="str">
        <x:v>picked the yellow pen</x:v>
      </x:c>
      <x:c r="H316" s="9" t="str">
        <x:v>In-distribution concept baseline</x:v>
      </x:c>
      <x:c r="I316" s="9" t="str">
        <x:v>ID-EXACT15</x:v>
      </x:c>
      <x:c r="J316" s="9" t="str">
        <x:v>Exact training recreation — source episode 738</x:v>
      </x:c>
      <x:c r="K316" s="9"/>
      <x:c r="L316" s="9"/>
      <x:c r="M316" s="9"/>
      <x:c r="N316" s="9" t="str">
        <x:v>1 — In-distribution baselines</x:v>
      </x:c>
      <x:c r="O316" s="9" t="str">
        <x:v>Independently recreate the prompt and ordered object list from training episode 738; do not reuse the preceding baseline scene.</x:v>
      </x:c>
      <x:c r="P316" s="9" t="str">
        <x:v>Exact final prompt and complete left-to-right object order from explicit training episode 738: airplane toy with propellers | blue tape ball | yellow pen | green highlighter.</x:v>
      </x:c>
      <x:c r="Q316" s="9"/>
      <x:c r="R316" s="10" t="n">
        <x:v>4</x:v>
      </x:c>
      <x:c r="S316" s="10"/>
      <x:c r="T316" s="9"/>
      <x:c r="U316" s="9"/>
      <x:c r="V316" s="9"/>
      <x:c r="W316" s="9" t="str">
        <x:v>None — independent exact training recreation</x:v>
      </x:c>
      <x:c r="X316" s="10"/>
      <x:c r="Y316" s="10"/>
      <x:c r="Z316" s="9"/>
      <x:c r="AA316" s="9" t="str">
        <x:v>L4</x:v>
      </x:c>
      <x:c r="AB316" s="9" t="str">
        <x:v>fourth from left</x:v>
      </x:c>
      <x:c r="AC316" s="9"/>
      <x:c r="AD316" s="9"/>
      <x:c r="AE316" s="9"/>
      <x:c r="AF316" s="9"/>
      <x:c r="AG316" s="9"/>
      <x:c r="AH316" s="9"/>
      <x:c r="AI316" s="11"/>
      <x:c r="AJ316" s="9"/>
      <x:c r="AK316" s="9" t="str">
        <x:v>Eval_Ordinal_Reference_Ordering.xlsm</x:v>
      </x:c>
      <x:c r="AL316" s="9" t="str">
        <x:v>pi0.5 Results</x:v>
      </x:c>
      <x:c r="AM316" s="9" t="n">
        <x:v>16</x:v>
      </x:c>
      <x:c r="AN316" s="9" t="n">
        <x:v>16</x:v>
      </x:c>
    </x:row>
    <x:row r="317">
      <x:c r="A317" s="9" t="str">
        <x:v>Success</x:v>
      </x:c>
      <x:c r="B317" s="9" t="str">
        <x:v>Ordinal Reference Ordering</x:v>
      </x:c>
      <x:c r="C317" s="10" t="n">
        <x:v>15</x:v>
      </x:c>
      <x:c r="D317" s="9" t="str">
        <x:v>Move the second from the right object into the bowl.</x:v>
      </x:c>
      <x:c r="E317" s="9" t="str">
        <x:v>L1: green highlighter, L2: blue tape ball, L3: airplane toy with propellers, L4: yellow pen</x:v>
      </x:c>
      <x:c r="F317" s="9" t="str">
        <x:v>airplane toy with propellers</x:v>
      </x:c>
      <x:c r="G317" s="9"/>
      <x:c r="H317" s="9" t="str">
        <x:v>In-distribution concept baseline</x:v>
      </x:c>
      <x:c r="I317" s="9" t="str">
        <x:v>ID-EXACT16</x:v>
      </x:c>
      <x:c r="J317" s="9" t="str">
        <x:v>Exact training recreation — source episode 627</x:v>
      </x:c>
      <x:c r="K317" s="9"/>
      <x:c r="L317" s="9"/>
      <x:c r="M317" s="9"/>
      <x:c r="N317" s="9" t="str">
        <x:v>1 — In-distribution baselines</x:v>
      </x:c>
      <x:c r="O317" s="9" t="str">
        <x:v>Independently recreate the prompt and ordered object list from training episode 627; do not reuse the preceding baseline scene.</x:v>
      </x:c>
      <x:c r="P317" s="9" t="str">
        <x:v>Exact final prompt and complete left-to-right object order from explicit training episode 627: green highlighter | blue tape ball | airplane toy with propellers | yellow pen.</x:v>
      </x:c>
      <x:c r="Q317" s="9"/>
      <x:c r="R317" s="10" t="n">
        <x:v>4</x:v>
      </x:c>
      <x:c r="S317" s="10"/>
      <x:c r="T317" s="9"/>
      <x:c r="U317" s="9"/>
      <x:c r="V317" s="9"/>
      <x:c r="W317" s="9" t="str">
        <x:v>None — independent exact training recreation</x:v>
      </x:c>
      <x:c r="X317" s="10"/>
      <x:c r="Y317" s="10"/>
      <x:c r="Z317" s="9"/>
      <x:c r="AA317" s="9" t="str">
        <x:v>L3</x:v>
      </x:c>
      <x:c r="AB317" s="9" t="str">
        <x:v>second from right</x:v>
      </x:c>
      <x:c r="AC317" s="9"/>
      <x:c r="AD317" s="9"/>
      <x:c r="AE317" s="9"/>
      <x:c r="AF317" s="9"/>
      <x:c r="AG317" s="9"/>
      <x:c r="AH317" s="9"/>
      <x:c r="AI317" s="11"/>
      <x:c r="AJ317" s="9"/>
      <x:c r="AK317" s="9" t="str">
        <x:v>Eval_Ordinal_Reference_Ordering.xlsm</x:v>
      </x:c>
      <x:c r="AL317" s="9" t="str">
        <x:v>pi0.5 Results</x:v>
      </x:c>
      <x:c r="AM317" s="9" t="n">
        <x:v>17</x:v>
      </x:c>
      <x:c r="AN317" s="9" t="n">
        <x:v>17</x:v>
      </x:c>
    </x:row>
    <x:row r="318">
      <x:c r="A318" s="9" t="str">
        <x:v>Failure</x:v>
      </x:c>
      <x:c r="B318" s="9" t="str">
        <x:v>Ordinal Reference Ordering</x:v>
      </x:c>
      <x:c r="C318" s="10" t="n">
        <x:v>16</x:v>
      </x:c>
      <x:c r="D318" s="9" t="str">
        <x:v>Move the third from the left object into the bowl.</x:v>
      </x:c>
      <x:c r="E318" s="9" t="str">
        <x:v>L1: green highlighter, L2: blue tape ball, L3: yellow pen, L4: airplane toy with propellers</x:v>
      </x:c>
      <x:c r="F318" s="9" t="str">
        <x:v>yellow pen</x:v>
      </x:c>
      <x:c r="G318" s="9" t="str">
        <x:v>picked the airplane toy</x:v>
      </x:c>
      <x:c r="H318" s="9" t="str">
        <x:v>In-distribution concept baseline</x:v>
      </x:c>
      <x:c r="I318" s="9" t="str">
        <x:v>ID-EXACT17</x:v>
      </x:c>
      <x:c r="J318" s="9" t="str">
        <x:v>Exact training recreation — source episode 786</x:v>
      </x:c>
      <x:c r="K318" s="9"/>
      <x:c r="L318" s="9"/>
      <x:c r="M318" s="9"/>
      <x:c r="N318" s="9" t="str">
        <x:v>1 — In-distribution baselines</x:v>
      </x:c>
      <x:c r="O318" s="9" t="str">
        <x:v>Independently recreate the prompt and ordered object list from training episode 786; do not reuse the preceding baseline scene.</x:v>
      </x:c>
      <x:c r="P318" s="9" t="str">
        <x:v>Exact final prompt and complete left-to-right object order from explicit training episode 786: green highlighter | blue tape ball | yellow pen | airplane toy with propellers.</x:v>
      </x:c>
      <x:c r="Q318" s="9"/>
      <x:c r="R318" s="10" t="n">
        <x:v>4</x:v>
      </x:c>
      <x:c r="S318" s="10"/>
      <x:c r="T318" s="9"/>
      <x:c r="U318" s="9"/>
      <x:c r="V318" s="9"/>
      <x:c r="W318" s="9" t="str">
        <x:v>None — independent exact training recreation</x:v>
      </x:c>
      <x:c r="X318" s="10"/>
      <x:c r="Y318" s="10"/>
      <x:c r="Z318" s="9"/>
      <x:c r="AA318" s="9" t="str">
        <x:v>L3</x:v>
      </x:c>
      <x:c r="AB318" s="9" t="str">
        <x:v>third from left</x:v>
      </x:c>
      <x:c r="AC318" s="9"/>
      <x:c r="AD318" s="9"/>
      <x:c r="AE318" s="9"/>
      <x:c r="AF318" s="9"/>
      <x:c r="AG318" s="9"/>
      <x:c r="AH318" s="9"/>
      <x:c r="AI318" s="11"/>
      <x:c r="AJ318" s="9"/>
      <x:c r="AK318" s="9" t="str">
        <x:v>Eval_Ordinal_Reference_Ordering.xlsm</x:v>
      </x:c>
      <x:c r="AL318" s="9" t="str">
        <x:v>pi0.5 Results</x:v>
      </x:c>
      <x:c r="AM318" s="9" t="n">
        <x:v>18</x:v>
      </x:c>
      <x:c r="AN318" s="9" t="n">
        <x:v>18</x:v>
      </x:c>
    </x:row>
    <x:row r="319">
      <x:c r="A319" s="9" t="str">
        <x:v>Success</x:v>
      </x:c>
      <x:c r="B319" s="9" t="str">
        <x:v>Ordinal Reference Ordering</x:v>
      </x:c>
      <x:c r="C319" s="10" t="n">
        <x:v>17</x:v>
      </x:c>
      <x:c r="D319" s="9" t="str">
        <x:v>Move the first from the right object into the bowl.</x:v>
      </x:c>
      <x:c r="E319" s="9" t="str">
        <x:v>L1: airplane toy with propellers, L2: green highlighter, L3: yellow pen, L4: blue tape ball</x:v>
      </x:c>
      <x:c r="F319" s="9" t="str">
        <x:v>blue tape ball</x:v>
      </x:c>
      <x:c r="G319" s="9"/>
      <x:c r="H319" s="9" t="str">
        <x:v>In-distribution concept baseline</x:v>
      </x:c>
      <x:c r="I319" s="9" t="str">
        <x:v>ID-EXACT18</x:v>
      </x:c>
      <x:c r="J319" s="9" t="str">
        <x:v>Exact training recreation — source episode 687</x:v>
      </x:c>
      <x:c r="K319" s="9"/>
      <x:c r="L319" s="9"/>
      <x:c r="M319" s="9"/>
      <x:c r="N319" s="9" t="str">
        <x:v>1 — In-distribution baselines</x:v>
      </x:c>
      <x:c r="O319" s="9" t="str">
        <x:v>Independently recreate the prompt and ordered object list from training episode 687; do not reuse the preceding baseline scene.</x:v>
      </x:c>
      <x:c r="P319" s="9" t="str">
        <x:v>Exact final prompt and complete left-to-right object order from explicit training episode 687: airplane toy with propellers | green highlighter | yellow pen | blue tape ball.</x:v>
      </x:c>
      <x:c r="Q319" s="9"/>
      <x:c r="R319" s="10" t="n">
        <x:v>4</x:v>
      </x:c>
      <x:c r="S319" s="10"/>
      <x:c r="T319" s="9"/>
      <x:c r="U319" s="9"/>
      <x:c r="V319" s="9"/>
      <x:c r="W319" s="9" t="str">
        <x:v>None — independent exact training recreation</x:v>
      </x:c>
      <x:c r="X319" s="10"/>
      <x:c r="Y319" s="10"/>
      <x:c r="Z319" s="9"/>
      <x:c r="AA319" s="9" t="str">
        <x:v>L4</x:v>
      </x:c>
      <x:c r="AB319" s="9" t="str">
        <x:v>first from right</x:v>
      </x:c>
      <x:c r="AC319" s="9"/>
      <x:c r="AD319" s="9"/>
      <x:c r="AE319" s="9"/>
      <x:c r="AF319" s="9"/>
      <x:c r="AG319" s="9"/>
      <x:c r="AH319" s="9"/>
      <x:c r="AI319" s="11"/>
      <x:c r="AJ319" s="9"/>
      <x:c r="AK319" s="9" t="str">
        <x:v>Eval_Ordinal_Reference_Ordering.xlsm</x:v>
      </x:c>
      <x:c r="AL319" s="9" t="str">
        <x:v>pi0.5 Results</x:v>
      </x:c>
      <x:c r="AM319" s="9" t="n">
        <x:v>19</x:v>
      </x:c>
      <x:c r="AN319" s="9" t="n">
        <x:v>19</x:v>
      </x:c>
    </x:row>
    <x:row r="320">
      <x:c r="A320" s="9" t="str">
        <x:v>Success</x:v>
      </x:c>
      <x:c r="B320" s="9" t="str">
        <x:v>Ordinal Reference Ordering</x:v>
      </x:c>
      <x:c r="C320" s="10" t="n">
        <x:v>18</x:v>
      </x:c>
      <x:c r="D320" s="9" t="str">
        <x:v>Pick up the object that is first from the right and place it in the bowl.</x:v>
      </x:c>
      <x:c r="E320" s="9" t="str">
        <x:v>L1: green highlighter, L2: airplane toy with propellers, L3: yellow pen, L4: blue tape ball</x:v>
      </x:c>
      <x:c r="F320" s="9" t="str">
        <x:v>blue tape ball</x:v>
      </x:c>
      <x:c r="G320" s="9"/>
      <x:c r="H320" s="9" t="str">
        <x:v>In-distribution concept baseline</x:v>
      </x:c>
      <x:c r="I320" s="9" t="str">
        <x:v>ID-EXACT19</x:v>
      </x:c>
      <x:c r="J320" s="9" t="str">
        <x:v>Exact training recreation — source episode 689</x:v>
      </x:c>
      <x:c r="K320" s="9"/>
      <x:c r="L320" s="9"/>
      <x:c r="M320" s="9"/>
      <x:c r="N320" s="9" t="str">
        <x:v>1 — In-distribution baselines</x:v>
      </x:c>
      <x:c r="O320" s="9" t="str">
        <x:v>Independently recreate the prompt and ordered object list from training episode 689; do not reuse the preceding baseline scene.</x:v>
      </x:c>
      <x:c r="P320" s="9" t="str">
        <x:v>Exact final prompt and complete left-to-right object order from explicit training episode 689: green highlighter | airplane toy with propellers | yellow pen | blue tape ball.</x:v>
      </x:c>
      <x:c r="Q320" s="9"/>
      <x:c r="R320" s="10" t="n">
        <x:v>4</x:v>
      </x:c>
      <x:c r="S320" s="10"/>
      <x:c r="T320" s="9"/>
      <x:c r="U320" s="9"/>
      <x:c r="V320" s="9"/>
      <x:c r="W320" s="9" t="str">
        <x:v>None — independent exact training recreation</x:v>
      </x:c>
      <x:c r="X320" s="10"/>
      <x:c r="Y320" s="10"/>
      <x:c r="Z320" s="9"/>
      <x:c r="AA320" s="9" t="str">
        <x:v>L4</x:v>
      </x:c>
      <x:c r="AB320" s="9" t="str">
        <x:v>first from right</x:v>
      </x:c>
      <x:c r="AC320" s="9"/>
      <x:c r="AD320" s="9"/>
      <x:c r="AE320" s="9"/>
      <x:c r="AF320" s="9"/>
      <x:c r="AG320" s="9"/>
      <x:c r="AH320" s="9"/>
      <x:c r="AI320" s="11"/>
      <x:c r="AJ320" s="9"/>
      <x:c r="AK320" s="9" t="str">
        <x:v>Eval_Ordinal_Reference_Ordering.xlsm</x:v>
      </x:c>
      <x:c r="AL320" s="9" t="str">
        <x:v>pi0.5 Results</x:v>
      </x:c>
      <x:c r="AM320" s="9" t="n">
        <x:v>20</x:v>
      </x:c>
      <x:c r="AN320" s="9" t="n">
        <x:v>20</x:v>
      </x:c>
    </x:row>
    <x:row r="321">
      <x:c r="A321" s="9" t="str">
        <x:v>Failure</x:v>
      </x:c>
      <x:c r="B321" s="9" t="str">
        <x:v>Ordinal Reference Ordering</x:v>
      </x:c>
      <x:c r="C321" s="10" t="n">
        <x:v>19</x:v>
      </x:c>
      <x:c r="D321" s="9" t="str">
        <x:v>Pick up the object that is third from the left and place it in the bowl.</x:v>
      </x:c>
      <x:c r="E321" s="9" t="str">
        <x:v>L1: blue tape ball, L2: yellow pen, L3: airplane toy with propellers, L4: green highlighter</x:v>
      </x:c>
      <x:c r="F321" s="9" t="str">
        <x:v>airplane toy with propellers</x:v>
      </x:c>
      <x:c r="G321" s="9" t="str">
        <x:v>picked green highlighter</x:v>
      </x:c>
      <x:c r="H321" s="9" t="str">
        <x:v>In-distribution concept baseline</x:v>
      </x:c>
      <x:c r="I321" s="9" t="str">
        <x:v>ID-EXACT20</x:v>
      </x:c>
      <x:c r="J321" s="9" t="str">
        <x:v>Exact training recreation — source episode 626</x:v>
      </x:c>
      <x:c r="K321" s="9"/>
      <x:c r="L321" s="9"/>
      <x:c r="M321" s="9"/>
      <x:c r="N321" s="9" t="str">
        <x:v>1 — In-distribution baselines</x:v>
      </x:c>
      <x:c r="O321" s="9" t="str">
        <x:v>Independently recreate the prompt and ordered object list from training episode 626; do not reuse the preceding baseline scene.</x:v>
      </x:c>
      <x:c r="P321" s="9" t="str">
        <x:v>Exact final prompt and complete left-to-right object order from explicit training episode 626: blue tape ball | yellow pen | airplane toy with propellers | green highlighter.</x:v>
      </x:c>
      <x:c r="Q321" s="9"/>
      <x:c r="R321" s="10" t="n">
        <x:v>4</x:v>
      </x:c>
      <x:c r="S321" s="10"/>
      <x:c r="T321" s="9"/>
      <x:c r="U321" s="9"/>
      <x:c r="V321" s="9"/>
      <x:c r="W321" s="9" t="str">
        <x:v>None — independent exact training recreation</x:v>
      </x:c>
      <x:c r="X321" s="10"/>
      <x:c r="Y321" s="10"/>
      <x:c r="Z321" s="9"/>
      <x:c r="AA321" s="9" t="str">
        <x:v>L3</x:v>
      </x:c>
      <x:c r="AB321" s="9" t="str">
        <x:v>third from left</x:v>
      </x:c>
      <x:c r="AC321" s="9"/>
      <x:c r="AD321" s="9"/>
      <x:c r="AE321" s="9"/>
      <x:c r="AF321" s="9"/>
      <x:c r="AG321" s="9"/>
      <x:c r="AH321" s="9"/>
      <x:c r="AI321" s="11"/>
      <x:c r="AJ321" s="9"/>
      <x:c r="AK321" s="9" t="str">
        <x:v>Eval_Ordinal_Reference_Ordering.xlsm</x:v>
      </x:c>
      <x:c r="AL321" s="9" t="str">
        <x:v>pi0.5 Results</x:v>
      </x:c>
      <x:c r="AM321" s="9" t="n">
        <x:v>21</x:v>
      </x:c>
      <x:c r="AN321" s="9" t="n">
        <x:v>21</x:v>
      </x:c>
    </x:row>
    <x:row r="322">
      <x:c r="A322" s="9" t="str">
        <x:v>Success</x:v>
      </x:c>
      <x:c r="B322" s="9" t="str">
        <x:v>Ordinal Reference Ordering</x:v>
      </x:c>
      <x:c r="C322" s="10" t="n">
        <x:v>20</x:v>
      </x:c>
      <x:c r="D322" s="9" t="str">
        <x:v>Pick up the object that is first from the left and place it in the bowl.</x:v>
      </x:c>
      <x:c r="E322" s="9" t="str">
        <x:v>L1: airplane toy with propellers, L2: blue tape ball</x:v>
      </x:c>
      <x:c r="F322" s="9" t="str">
        <x:v>airplane toy with propellers</x:v>
      </x:c>
      <x:c r="G322" s="9"/>
      <x:c r="H322" s="9" t="str">
        <x:v>Concept/compositional transfer</x:v>
      </x:c>
      <x:c r="I322" s="9" t="str">
        <x:v>CT-CF01-N2-01</x:v>
      </x:c>
      <x:c r="J322" s="9" t="str">
        <x:v>Masked cell n=2, L1, airplane toy with propellers</x:v>
      </x:c>
      <x:c r="K322" s="9"/>
      <x:c r="L322" s="9"/>
      <x:c r="M322" s="9"/>
      <x:c r="N322" s="9" t="str">
        <x:v>2 — Full transfer/control/language families</x:v>
      </x:c>
      <x:c r="O322" s="9" t="str">
        <x:v>Build this new scene family exactly from the L1–L4 description and save a first-frame reference image.</x:v>
      </x:c>
      <x:c r="P322" s="9" t="str">
        <x:v>The final manifest masks this exact sequence-length × physical-position × target-identity cell. Both equivalent left- and right-based descriptions are absent for this cell, while the canonical instruction wording occurs elsewhere in training.</x:v>
      </x:c>
      <x:c r="Q322" s="9"/>
      <x:c r="R322" s="10" t="n">
        <x:v>2</x:v>
      </x:c>
      <x:c r="S322" s="10"/>
      <x:c r="T322" s="9"/>
      <x:c r="U322" s="9"/>
      <x:c r="V322" s="9"/>
      <x:c r="W322" s="9" t="str">
        <x:v>CT-CF01-N2-01</x:v>
      </x:c>
      <x:c r="X322" s="10"/>
      <x:c r="Y322" s="10"/>
      <x:c r="Z322" s="9"/>
      <x:c r="AA322" s="9" t="str">
        <x:v>L1</x:v>
      </x:c>
      <x:c r="AB322" s="9" t="str">
        <x:v>first from left</x:v>
      </x:c>
      <x:c r="AC322" s="9"/>
      <x:c r="AD322" s="9"/>
      <x:c r="AE322" s="9"/>
      <x:c r="AF322" s="9"/>
      <x:c r="AG322" s="9"/>
      <x:c r="AH322" s="9"/>
      <x:c r="AI322" s="11"/>
      <x:c r="AJ322" s="9"/>
      <x:c r="AK322" s="9" t="str">
        <x:v>Eval_Ordinal_Reference_Ordering.xlsm</x:v>
      </x:c>
      <x:c r="AL322" s="9" t="str">
        <x:v>pi0.5 Results</x:v>
      </x:c>
      <x:c r="AM322" s="9" t="n">
        <x:v>22</x:v>
      </x:c>
      <x:c r="AN322" s="9" t="n">
        <x:v>22</x:v>
      </x:c>
    </x:row>
    <x:row r="323">
      <x:c r="A323" s="9" t="str">
        <x:v>Success</x:v>
      </x:c>
      <x:c r="B323" s="9" t="str">
        <x:v>Ordinal Reference Ordering</x:v>
      </x:c>
      <x:c r="C323" s="10" t="n">
        <x:v>21</x:v>
      </x:c>
      <x:c r="D323" s="9" t="str">
        <x:v>Pick up the airplane toy with propellers and place it in the bowl.</x:v>
      </x:c>
      <x:c r="E323" s="9" t="str">
        <x:v>L1: airplane toy with propellers, L2: blue tape ball</x:v>
      </x:c>
      <x:c r="F323" s="9" t="str">
        <x:v>airplane toy with propellers</x:v>
      </x:c>
      <x:c r="G323" s="9"/>
      <x:c r="H323" s="9" t="str">
        <x:v>Matched manipulation control</x:v>
      </x:c>
      <x:c r="I323" s="9" t="str">
        <x:v>CT-CF01-N2-01</x:v>
      </x:c>
      <x:c r="J323" s="9" t="str">
        <x:v>Exact-scene direct control; training prompt from episode 608</x:v>
      </x:c>
      <x:c r="K323" s="9" t="n">
        <x:v>20</x:v>
      </x:c>
      <x:c r="L323" s="9"/>
      <x:c r="M323" s="9"/>
      <x:c r="N323" s="9" t="str">
        <x:v>2 — Full transfer/control/language families</x:v>
      </x:c>
      <x:c r="O323" s="9" t="str">
        <x:v>Return the previously moved object to its marked position. Do not move any other object; only the prompt changes.</x:v>
      </x:c>
      <x:c r="P323" s="9" t="str">
        <x:v>This is the direct-name prompt assigned to the same masked training cell. It tests recognition and manipulation of the exact transfer target in the exact scene without requiring ordinal selection.</x:v>
      </x:c>
      <x:c r="Q323" s="9"/>
      <x:c r="R323" s="10" t="n">
        <x:v>2</x:v>
      </x:c>
      <x:c r="S323" s="10"/>
      <x:c r="T323" s="9"/>
      <x:c r="U323" s="9"/>
      <x:c r="V323" s="9"/>
      <x:c r="W323" s="9" t="str">
        <x:v>CT-CF01-N2-01</x:v>
      </x:c>
      <x:c r="X323" s="10"/>
      <x:c r="Y323" s="10"/>
      <x:c r="Z323" s="9"/>
      <x:c r="AA323" s="9" t="str">
        <x:v>L1</x:v>
      </x:c>
      <x:c r="AB323" s="9" t="str">
        <x:v>Direct-name control</x:v>
      </x:c>
      <x:c r="AC323" s="9"/>
      <x:c r="AD323" s="9"/>
      <x:c r="AE323" s="9"/>
      <x:c r="AF323" s="9"/>
      <x:c r="AG323" s="9"/>
      <x:c r="AH323" s="9"/>
      <x:c r="AI323" s="11"/>
      <x:c r="AJ323" s="9"/>
      <x:c r="AK323" s="9" t="str">
        <x:v>Eval_Ordinal_Reference_Ordering.xlsm</x:v>
      </x:c>
      <x:c r="AL323" s="9" t="str">
        <x:v>pi0.5 Results</x:v>
      </x:c>
      <x:c r="AM323" s="9" t="n">
        <x:v>23</x:v>
      </x:c>
      <x:c r="AN323" s="9" t="n">
        <x:v>23</x:v>
      </x:c>
    </x:row>
    <x:row r="324">
      <x:c r="A324" s="9" t="str">
        <x:v>Failure</x:v>
      </x:c>
      <x:c r="B324" s="9" t="str">
        <x:v>Ordinal Reference Ordering</x:v>
      </x:c>
      <x:c r="C324" s="10" t="n">
        <x:v>22</x:v>
      </x:c>
      <x:c r="D324" s="9" t="str">
        <x:v>Place the item occupying position first when counted from the left into the bowl.</x:v>
      </x:c>
      <x:c r="E324" s="9" t="str">
        <x:v>L1: airplane toy with propellers, L2: blue tape ball</x:v>
      </x:c>
      <x:c r="F324" s="9" t="str">
        <x:v>airplane toy with propellers</x:v>
      </x:c>
      <x:c r="G324" s="9" t="str">
        <x:v>picked blue tape ball</x:v>
      </x:c>
      <x:c r="H324" s="9" t="str">
        <x:v>Language robustness</x:v>
      </x:c>
      <x:c r="I324" s="9" t="str">
        <x:v>CT-CF01-N2-01</x:v>
      </x:c>
      <x:c r="J324" s="9" t="str">
        <x:v>Transfer paraphrase</x:v>
      </x:c>
      <x:c r="K324" s="9" t="n">
        <x:v>20</x:v>
      </x:c>
      <x:c r="L324" s="9"/>
      <x:c r="M324" s="9"/>
      <x:c r="N324" s="9" t="str">
        <x:v>2 — Full transfer/control/language families</x:v>
      </x:c>
      <x:c r="O324" s="9" t="str">
        <x:v>Return the previously moved object to its marked position. Do not move any other object; only the prompt changes.</x:v>
      </x:c>
      <x:c r="P324" s="9" t="str">
        <x:v>Exact-scene paraphrase of the referenced canonical transfer row. Exclude this row from the 50-trial primary canonical score.</x:v>
      </x:c>
      <x:c r="Q324" s="9"/>
      <x:c r="R324" s="10" t="n">
        <x:v>2</x:v>
      </x:c>
      <x:c r="S324" s="10"/>
      <x:c r="T324" s="9"/>
      <x:c r="U324" s="9"/>
      <x:c r="V324" s="9"/>
      <x:c r="W324" s="9" t="str">
        <x:v>CT-CF01-N2-01</x:v>
      </x:c>
      <x:c r="X324" s="10"/>
      <x:c r="Y324" s="10"/>
      <x:c r="Z324" s="9"/>
      <x:c r="AA324" s="9" t="str">
        <x:v>L1</x:v>
      </x:c>
      <x:c r="AB324" s="9" t="str">
        <x:v>first from left — paraphrase</x:v>
      </x:c>
      <x:c r="AC324" s="9"/>
      <x:c r="AD324" s="9"/>
      <x:c r="AE324" s="9"/>
      <x:c r="AF324" s="9"/>
      <x:c r="AG324" s="9"/>
      <x:c r="AH324" s="9"/>
      <x:c r="AI324" s="11"/>
      <x:c r="AJ324" s="9"/>
      <x:c r="AK324" s="9" t="str">
        <x:v>Eval_Ordinal_Reference_Ordering.xlsm</x:v>
      </x:c>
      <x:c r="AL324" s="9" t="str">
        <x:v>pi0.5 Results</x:v>
      </x:c>
      <x:c r="AM324" s="9" t="n">
        <x:v>24</x:v>
      </x:c>
      <x:c r="AN324" s="9" t="n">
        <x:v>24</x:v>
      </x:c>
    </x:row>
    <x:row r="325">
      <x:c r="A325" s="9" t="str">
        <x:v>Success</x:v>
      </x:c>
      <x:c r="B325" s="9" t="str">
        <x:v>Ordinal Reference Ordering</x:v>
      </x:c>
      <x:c r="C325" s="10" t="n">
        <x:v>23</x:v>
      </x:c>
      <x:c r="D325" s="9" t="str">
        <x:v>Take the airplane toy with propellers from the row and set it inside the bowl.</x:v>
      </x:c>
      <x:c r="E325" s="9" t="str">
        <x:v>L1: airplane toy with propellers, L2: blue tape ball</x:v>
      </x:c>
      <x:c r="F325" s="9" t="str">
        <x:v>airplane toy with propellers</x:v>
      </x:c>
      <x:c r="G325" s="9"/>
      <x:c r="H325" s="9" t="str">
        <x:v>Language robustness</x:v>
      </x:c>
      <x:c r="I325" s="9" t="str">
        <x:v>CT-CF01-N2-01</x:v>
      </x:c>
      <x:c r="J325" s="9" t="str">
        <x:v>Matched-control paraphrase</x:v>
      </x:c>
      <x:c r="K325" s="9" t="n">
        <x:v>21</x:v>
      </x:c>
      <x:c r="L325" s="9"/>
      <x:c r="M325" s="9"/>
      <x:c r="N325" s="9" t="str">
        <x:v>2 — Full transfer/control/language families</x:v>
      </x:c>
      <x:c r="O325" s="9" t="str">
        <x:v>Return the previously moved object to its marked position. Do not move any other object; only the prompt changes.</x:v>
      </x:c>
      <x:c r="P325" s="9" t="str">
        <x:v>Exact-scene paraphrase of the referenced direct-name control. This tests wording sensitivity without changing the target or physical scene.</x:v>
      </x:c>
      <x:c r="Q325" s="9"/>
      <x:c r="R325" s="10" t="n">
        <x:v>2</x:v>
      </x:c>
      <x:c r="S325" s="10"/>
      <x:c r="T325" s="9"/>
      <x:c r="U325" s="9"/>
      <x:c r="V325" s="9"/>
      <x:c r="W325" s="9" t="str">
        <x:v>CT-CF01-N2-01</x:v>
      </x:c>
      <x:c r="X325" s="10"/>
      <x:c r="Y325" s="10"/>
      <x:c r="Z325" s="9"/>
      <x:c r="AA325" s="9" t="str">
        <x:v>L1</x:v>
      </x:c>
      <x:c r="AB325" s="9" t="str">
        <x:v>Direct-name paraphrase</x:v>
      </x:c>
      <x:c r="AC325" s="9"/>
      <x:c r="AD325" s="9"/>
      <x:c r="AE325" s="9"/>
      <x:c r="AF325" s="9"/>
      <x:c r="AG325" s="9"/>
      <x:c r="AH325" s="9"/>
      <x:c r="AI325" s="11"/>
      <x:c r="AJ325" s="9"/>
      <x:c r="AK325" s="9" t="str">
        <x:v>Eval_Ordinal_Reference_Ordering.xlsm</x:v>
      </x:c>
      <x:c r="AL325" s="9" t="str">
        <x:v>pi0.5 Results</x:v>
      </x:c>
      <x:c r="AM325" s="9" t="n">
        <x:v>25</x:v>
      </x:c>
      <x:c r="AN325" s="9" t="n">
        <x:v>25</x:v>
      </x:c>
    </x:row>
    <x:row r="326">
      <x:c r="A326" s="9" t="str">
        <x:v>Success</x:v>
      </x:c>
      <x:c r="B326" s="9" t="str">
        <x:v>Ordinal Reference Ordering</x:v>
      </x:c>
      <x:c r="C326" s="10" t="n">
        <x:v>24</x:v>
      </x:c>
      <x:c r="D326" s="9" t="str">
        <x:v>Lift the blue tape ball and leave it in the bowl.</x:v>
      </x:c>
      <x:c r="E326" s="9" t="str">
        <x:v>L1: airplane toy with propellers, L2: blue tape ball</x:v>
      </x:c>
      <x:c r="F326" s="9" t="str">
        <x:v>blue tape ball</x:v>
      </x:c>
      <x:c r="G326" s="9"/>
      <x:c r="H326" s="9" t="str">
        <x:v>Language robustness</x:v>
      </x:c>
      <x:c r="I326" s="9" t="str">
        <x:v>CT-CF01-N2-01</x:v>
      </x:c>
      <x:c r="J326" s="9" t="str">
        <x:v>Matched-control paraphrase</x:v>
      </x:c>
      <x:c r="K326" s="9" t="n">
        <x:v>26</x:v>
      </x:c>
      <x:c r="L326" s="9"/>
      <x:c r="M326" s="9"/>
      <x:c r="N326" s="9" t="str">
        <x:v>2 — Full transfer/control/language families</x:v>
      </x:c>
      <x:c r="O326" s="9" t="str">
        <x:v>Return the previously moved object to its marked position. Do not move any other object; only the prompt changes.</x:v>
      </x:c>
      <x:c r="P326" s="9" t="str">
        <x:v>Exact-scene paraphrase of the referenced direct-name control. This tests wording sensitivity without changing the target or physical scene.</x:v>
      </x:c>
      <x:c r="Q326" s="9"/>
      <x:c r="R326" s="10" t="n">
        <x:v>2</x:v>
      </x:c>
      <x:c r="S326" s="10"/>
      <x:c r="T326" s="9"/>
      <x:c r="U326" s="9"/>
      <x:c r="V326" s="9"/>
      <x:c r="W326" s="9" t="str">
        <x:v>CT-CF01-N2-01</x:v>
      </x:c>
      <x:c r="X326" s="10"/>
      <x:c r="Y326" s="10"/>
      <x:c r="Z326" s="9"/>
      <x:c r="AA326" s="9" t="str">
        <x:v>L2</x:v>
      </x:c>
      <x:c r="AB326" s="9" t="str">
        <x:v>Direct-name paraphrase</x:v>
      </x:c>
      <x:c r="AC326" s="9"/>
      <x:c r="AD326" s="9"/>
      <x:c r="AE326" s="9"/>
      <x:c r="AF326" s="9"/>
      <x:c r="AG326" s="9"/>
      <x:c r="AH326" s="9"/>
      <x:c r="AI326" s="11"/>
      <x:c r="AJ326" s="9"/>
      <x:c r="AK326" s="9" t="str">
        <x:v>Eval_Ordinal_Reference_Ordering.xlsm</x:v>
      </x:c>
      <x:c r="AL326" s="9" t="str">
        <x:v>pi0.5 Results</x:v>
      </x:c>
      <x:c r="AM326" s="9" t="n">
        <x:v>26</x:v>
      </x:c>
      <x:c r="AN326" s="9" t="n">
        <x:v>26</x:v>
      </x:c>
    </x:row>
    <x:row r="327">
      <x:c r="A327" s="9" t="str">
        <x:v>Success</x:v>
      </x:c>
      <x:c r="B327" s="9" t="str">
        <x:v>Ordinal Reference Ordering</x:v>
      </x:c>
      <x:c r="C327" s="10" t="n">
        <x:v>25</x:v>
      </x:c>
      <x:c r="D327" s="9" t="str">
        <x:v>Starting at the left, count to the second item and put that item in the bowl.</x:v>
      </x:c>
      <x:c r="E327" s="9" t="str">
        <x:v>L1: airplane toy with propellers, L2: blue tape ball</x:v>
      </x:c>
      <x:c r="F327" s="9" t="str">
        <x:v>blue tape ball</x:v>
      </x:c>
      <x:c r="G327" s="9"/>
      <x:c r="H327" s="9" t="str">
        <x:v>Language robustness</x:v>
      </x:c>
      <x:c r="I327" s="9" t="str">
        <x:v>CT-CF01-N2-01</x:v>
      </x:c>
      <x:c r="J327" s="9" t="str">
        <x:v>Transfer paraphrase</x:v>
      </x:c>
      <x:c r="K327" s="9" t="n">
        <x:v>27</x:v>
      </x:c>
      <x:c r="L327" s="9"/>
      <x:c r="M327" s="9"/>
      <x:c r="N327" s="9" t="str">
        <x:v>2 — Full transfer/control/language families</x:v>
      </x:c>
      <x:c r="O327" s="9" t="str">
        <x:v>Return the previously moved object to its marked position. Do not move any other object; only the prompt changes.</x:v>
      </x:c>
      <x:c r="P327" s="9" t="str">
        <x:v>Exact-scene paraphrase of the referenced canonical transfer row. Exclude this row from the 50-trial primary canonical score.</x:v>
      </x:c>
      <x:c r="Q327" s="9"/>
      <x:c r="R327" s="10" t="n">
        <x:v>2</x:v>
      </x:c>
      <x:c r="S327" s="10"/>
      <x:c r="T327" s="9"/>
      <x:c r="U327" s="9"/>
      <x:c r="V327" s="9"/>
      <x:c r="W327" s="9" t="str">
        <x:v>CT-CF01-N2-01</x:v>
      </x:c>
      <x:c r="X327" s="10"/>
      <x:c r="Y327" s="10"/>
      <x:c r="Z327" s="9"/>
      <x:c r="AA327" s="9" t="str">
        <x:v>L2</x:v>
      </x:c>
      <x:c r="AB327" s="9" t="str">
        <x:v>second from left — paraphrase</x:v>
      </x:c>
      <x:c r="AC327" s="9"/>
      <x:c r="AD327" s="9"/>
      <x:c r="AE327" s="9"/>
      <x:c r="AF327" s="9"/>
      <x:c r="AG327" s="9"/>
      <x:c r="AH327" s="9"/>
      <x:c r="AI327" s="11"/>
      <x:c r="AJ327" s="9"/>
      <x:c r="AK327" s="9" t="str">
        <x:v>Eval_Ordinal_Reference_Ordering.xlsm</x:v>
      </x:c>
      <x:c r="AL327" s="9" t="str">
        <x:v>pi0.5 Results</x:v>
      </x:c>
      <x:c r="AM327" s="9" t="n">
        <x:v>27</x:v>
      </x:c>
      <x:c r="AN327" s="9" t="n">
        <x:v>27</x:v>
      </x:c>
    </x:row>
    <x:row r="328">
      <x:c r="A328" s="9" t="str">
        <x:v>Success</x:v>
      </x:c>
      <x:c r="B328" s="9" t="str">
        <x:v>Ordinal Reference Ordering</x:v>
      </x:c>
      <x:c r="C328" s="10" t="n">
        <x:v>26</x:v>
      </x:c>
      <x:c r="D328" s="9" t="str">
        <x:v>Move the blue tape ball into the bowl.</x:v>
      </x:c>
      <x:c r="E328" s="9" t="str">
        <x:v>L1: airplane toy with propellers, L2: blue tape ball</x:v>
      </x:c>
      <x:c r="F328" s="9" t="str">
        <x:v>blue tape ball</x:v>
      </x:c>
      <x:c r="G328" s="9"/>
      <x:c r="H328" s="9" t="str">
        <x:v>Matched manipulation control</x:v>
      </x:c>
      <x:c r="I328" s="9" t="str">
        <x:v>CT-CF01-N2-01</x:v>
      </x:c>
      <x:c r="J328" s="9" t="str">
        <x:v>Exact-scene direct control; training prompt from episode 669</x:v>
      </x:c>
      <x:c r="K328" s="9" t="n">
        <x:v>27</x:v>
      </x:c>
      <x:c r="L328" s="9"/>
      <x:c r="M328" s="9"/>
      <x:c r="N328" s="9" t="str">
        <x:v>2 — Full transfer/control/language families</x:v>
      </x:c>
      <x:c r="O328" s="9" t="str">
        <x:v>Return the previously moved object to its marked position. Do not move any other object; only the prompt changes.</x:v>
      </x:c>
      <x:c r="P328" s="9" t="str">
        <x:v>This is the direct-name prompt assigned to the same masked training cell. It tests recognition and manipulation of the exact transfer target in the exact scene without requiring ordinal selection.</x:v>
      </x:c>
      <x:c r="Q328" s="9"/>
      <x:c r="R328" s="10" t="n">
        <x:v>2</x:v>
      </x:c>
      <x:c r="S328" s="10"/>
      <x:c r="T328" s="9"/>
      <x:c r="U328" s="9"/>
      <x:c r="V328" s="9"/>
      <x:c r="W328" s="9" t="str">
        <x:v>CT-CF01-N2-01</x:v>
      </x:c>
      <x:c r="X328" s="10"/>
      <x:c r="Y328" s="10"/>
      <x:c r="Z328" s="9"/>
      <x:c r="AA328" s="9" t="str">
        <x:v>L2</x:v>
      </x:c>
      <x:c r="AB328" s="9" t="str">
        <x:v>Direct-name control</x:v>
      </x:c>
      <x:c r="AC328" s="9"/>
      <x:c r="AD328" s="9"/>
      <x:c r="AE328" s="9"/>
      <x:c r="AF328" s="9"/>
      <x:c r="AG328" s="9"/>
      <x:c r="AH328" s="9"/>
      <x:c r="AI328" s="11"/>
      <x:c r="AJ328" s="9"/>
      <x:c r="AK328" s="9" t="str">
        <x:v>Eval_Ordinal_Reference_Ordering.xlsm</x:v>
      </x:c>
      <x:c r="AL328" s="9" t="str">
        <x:v>pi0.5 Results</x:v>
      </x:c>
      <x:c r="AM328" s="9" t="n">
        <x:v>28</x:v>
      </x:c>
      <x:c r="AN328" s="9" t="n">
        <x:v>28</x:v>
      </x:c>
    </x:row>
    <x:row r="329">
      <x:c r="A329" s="9" t="str">
        <x:v>Success</x:v>
      </x:c>
      <x:c r="B329" s="9" t="str">
        <x:v>Ordinal Reference Ordering</x:v>
      </x:c>
      <x:c r="C329" s="10" t="n">
        <x:v>27</x:v>
      </x:c>
      <x:c r="D329" s="9" t="str">
        <x:v>Pick up the object that is second from the left and place it in the bowl.</x:v>
      </x:c>
      <x:c r="E329" s="9" t="str">
        <x:v>L1: airplane toy with propellers, L2: blue tape ball</x:v>
      </x:c>
      <x:c r="F329" s="9" t="str">
        <x:v>blue tape ball</x:v>
      </x:c>
      <x:c r="G329" s="9"/>
      <x:c r="H329" s="9" t="str">
        <x:v>Concept/compositional transfer</x:v>
      </x:c>
      <x:c r="I329" s="9" t="str">
        <x:v>CT-CF01-N2-01</x:v>
      </x:c>
      <x:c r="J329" s="9" t="str">
        <x:v>Masked cell n=2, L2, blue tape ball</x:v>
      </x:c>
      <x:c r="K329" s="9" t="n">
        <x:v>20</x:v>
      </x:c>
      <x:c r="L329" s="9"/>
      <x:c r="M329" s="9"/>
      <x:c r="N329" s="9" t="str">
        <x:v>2 — Full transfer/control/language families</x:v>
      </x:c>
      <x:c r="O329" s="9" t="str">
        <x:v>Return the previously moved object to its marked position. Do not move any other object; only the prompt changes.</x:v>
      </x:c>
      <x:c r="P329" s="9" t="str">
        <x:v>The final manifest masks this exact sequence-length × physical-position × target-identity cell. Both equivalent left- and right-based descriptions are absent for this cell, while the canonical instruction wording occurs elsewhere in training.</x:v>
      </x:c>
      <x:c r="Q329" s="9"/>
      <x:c r="R329" s="10" t="n">
        <x:v>2</x:v>
      </x:c>
      <x:c r="S329" s="10"/>
      <x:c r="T329" s="9"/>
      <x:c r="U329" s="9"/>
      <x:c r="V329" s="9"/>
      <x:c r="W329" s="9" t="str">
        <x:v>CT-CF01-N2-01</x:v>
      </x:c>
      <x:c r="X329" s="10"/>
      <x:c r="Y329" s="10"/>
      <x:c r="Z329" s="9"/>
      <x:c r="AA329" s="9" t="str">
        <x:v>L2</x:v>
      </x:c>
      <x:c r="AB329" s="9" t="str">
        <x:v>second from left</x:v>
      </x:c>
      <x:c r="AC329" s="9"/>
      <x:c r="AD329" s="9"/>
      <x:c r="AE329" s="9"/>
      <x:c r="AF329" s="9"/>
      <x:c r="AG329" s="9"/>
      <x:c r="AH329" s="9"/>
      <x:c r="AI329" s="11"/>
      <x:c r="AJ329" s="9"/>
      <x:c r="AK329" s="9" t="str">
        <x:v>Eval_Ordinal_Reference_Ordering.xlsm</x:v>
      </x:c>
      <x:c r="AL329" s="9" t="str">
        <x:v>pi0.5 Results</x:v>
      </x:c>
      <x:c r="AM329" s="9" t="n">
        <x:v>29</x:v>
      </x:c>
      <x:c r="AN329" s="9" t="n">
        <x:v>29</x:v>
      </x:c>
    </x:row>
    <x:row r="330">
      <x:c r="A330" s="9" t="str">
        <x:v>Success</x:v>
      </x:c>
      <x:c r="B330" s="9" t="str">
        <x:v>Ordinal Reference Ordering</x:v>
      </x:c>
      <x:c r="C330" s="10" t="n">
        <x:v>28</x:v>
      </x:c>
      <x:c r="D330" s="9" t="str">
        <x:v>Pick up the object that is third from the left and place it in the bowl.</x:v>
      </x:c>
      <x:c r="E330" s="9" t="str">
        <x:v>L1: blue tape ball, L2: green highlighter, L3: airplane toy with propellers</x:v>
      </x:c>
      <x:c r="F330" s="9" t="str">
        <x:v>airplane toy with propellers</x:v>
      </x:c>
      <x:c r="G330" s="9"/>
      <x:c r="H330" s="9" t="str">
        <x:v>Concept/compositional transfer</x:v>
      </x:c>
      <x:c r="I330" s="9" t="str">
        <x:v>CT-CF02-N3-01</x:v>
      </x:c>
      <x:c r="J330" s="9" t="str">
        <x:v>Masked cell n=3, L3, airplane toy with propellers</x:v>
      </x:c>
      <x:c r="K330" s="9"/>
      <x:c r="L330" s="9"/>
      <x:c r="M330" s="9"/>
      <x:c r="N330" s="9" t="str">
        <x:v>2 — Full transfer/control/language families</x:v>
      </x:c>
      <x:c r="O330" s="9" t="str">
        <x:v>Build this new scene family exactly from the L1–L4 description and save a first-frame reference image.</x:v>
      </x:c>
      <x:c r="P330" s="9" t="str">
        <x:v>The final manifest masks this exact sequence-length × physical-position × target-identity cell. Both equivalent left- and right-based descriptions are absent for this cell, while the canonical instruction wording occurs elsewhere in training.</x:v>
      </x:c>
      <x:c r="Q330" s="9"/>
      <x:c r="R330" s="10" t="n">
        <x:v>3</x:v>
      </x:c>
      <x:c r="S330" s="10"/>
      <x:c r="T330" s="9"/>
      <x:c r="U330" s="9"/>
      <x:c r="V330" s="9"/>
      <x:c r="W330" s="9" t="str">
        <x:v>CT-CF02-N3-01</x:v>
      </x:c>
      <x:c r="X330" s="10"/>
      <x:c r="Y330" s="10"/>
      <x:c r="Z330" s="9"/>
      <x:c r="AA330" s="9" t="str">
        <x:v>L3</x:v>
      </x:c>
      <x:c r="AB330" s="9" t="str">
        <x:v>third from left</x:v>
      </x:c>
      <x:c r="AC330" s="9"/>
      <x:c r="AD330" s="9"/>
      <x:c r="AE330" s="9"/>
      <x:c r="AF330" s="9"/>
      <x:c r="AG330" s="9"/>
      <x:c r="AH330" s="9"/>
      <x:c r="AI330" s="11"/>
      <x:c r="AJ330" s="9"/>
      <x:c r="AK330" s="9" t="str">
        <x:v>Eval_Ordinal_Reference_Ordering.xlsm</x:v>
      </x:c>
      <x:c r="AL330" s="9" t="str">
        <x:v>pi0.5 Results</x:v>
      </x:c>
      <x:c r="AM330" s="9" t="n">
        <x:v>30</x:v>
      </x:c>
      <x:c r="AN330" s="9" t="n">
        <x:v>30</x:v>
      </x:c>
    </x:row>
    <x:row r="331">
      <x:c r="A331" s="9" t="str">
        <x:v>Success</x:v>
      </x:c>
      <x:c r="B331" s="9" t="str">
        <x:v>Ordinal Reference Ordering</x:v>
      </x:c>
      <x:c r="C331" s="10" t="n">
        <x:v>29</x:v>
      </x:c>
      <x:c r="D331" s="9" t="str">
        <x:v>Put the airplane toy with propellers in the bowl.</x:v>
      </x:c>
      <x:c r="E331" s="9" t="str">
        <x:v>L1: blue tape ball, L2: green highlighter, L3: airplane toy with propellers</x:v>
      </x:c>
      <x:c r="F331" s="9" t="str">
        <x:v>airplane toy with propellers</x:v>
      </x:c>
      <x:c r="G331" s="9"/>
      <x:c r="H331" s="9" t="str">
        <x:v>Matched manipulation control</x:v>
      </x:c>
      <x:c r="I331" s="9" t="str">
        <x:v>CT-CF02-N3-01</x:v>
      </x:c>
      <x:c r="J331" s="9" t="str">
        <x:v>Exact-scene direct control; training prompt from episode 631</x:v>
      </x:c>
      <x:c r="K331" s="9" t="n">
        <x:v>28</x:v>
      </x:c>
      <x:c r="L331" s="9"/>
      <x:c r="M331" s="9"/>
      <x:c r="N331" s="9" t="str">
        <x:v>2 — Full transfer/control/language families</x:v>
      </x:c>
      <x:c r="O331" s="9" t="str">
        <x:v>Return the previously moved object to its marked position. Do not move any other object; only the prompt changes.</x:v>
      </x:c>
      <x:c r="P331" s="9" t="str">
        <x:v>This is the direct-name prompt assigned to the same masked training cell. It tests recognition and manipulation of the exact transfer target in the exact scene without requiring ordinal selection.</x:v>
      </x:c>
      <x:c r="Q331" s="9"/>
      <x:c r="R331" s="10" t="n">
        <x:v>3</x:v>
      </x:c>
      <x:c r="S331" s="10"/>
      <x:c r="T331" s="9"/>
      <x:c r="U331" s="9"/>
      <x:c r="V331" s="9"/>
      <x:c r="W331" s="9" t="str">
        <x:v>CT-CF02-N3-01</x:v>
      </x:c>
      <x:c r="X331" s="10"/>
      <x:c r="Y331" s="10"/>
      <x:c r="Z331" s="9"/>
      <x:c r="AA331" s="9" t="str">
        <x:v>L3</x:v>
      </x:c>
      <x:c r="AB331" s="9" t="str">
        <x:v>Direct-name control</x:v>
      </x:c>
      <x:c r="AC331" s="9"/>
      <x:c r="AD331" s="9"/>
      <x:c r="AE331" s="9"/>
      <x:c r="AF331" s="9"/>
      <x:c r="AG331" s="9"/>
      <x:c r="AH331" s="9"/>
      <x:c r="AI331" s="11"/>
      <x:c r="AJ331" s="9"/>
      <x:c r="AK331" s="9" t="str">
        <x:v>Eval_Ordinal_Reference_Ordering.xlsm</x:v>
      </x:c>
      <x:c r="AL331" s="9" t="str">
        <x:v>pi0.5 Results</x:v>
      </x:c>
      <x:c r="AM331" s="9" t="n">
        <x:v>31</x:v>
      </x:c>
      <x:c r="AN331" s="9" t="n">
        <x:v>31</x:v>
      </x:c>
    </x:row>
    <x:row r="332">
      <x:c r="A332" s="9" t="str">
        <x:v>Failure</x:v>
      </x:c>
      <x:c r="B332" s="9" t="str">
        <x:v>Ordinal Reference Ordering</x:v>
      </x:c>
      <x:c r="C332" s="10" t="n">
        <x:v>30</x:v>
      </x:c>
      <x:c r="D332" s="9" t="str">
        <x:v>Move whichever item comes third when you count from the left into the bowl.</x:v>
      </x:c>
      <x:c r="E332" s="9" t="str">
        <x:v>L1: blue tape ball, L2: green highlighter, L3: airplane toy with propellers</x:v>
      </x:c>
      <x:c r="F332" s="9" t="str">
        <x:v>airplane toy with propellers</x:v>
      </x:c>
      <x:c r="G332" s="9" t="str">
        <x:v>picked green highlighter</x:v>
      </x:c>
      <x:c r="H332" s="9" t="str">
        <x:v>Language robustness</x:v>
      </x:c>
      <x:c r="I332" s="9" t="str">
        <x:v>CT-CF02-N3-01</x:v>
      </x:c>
      <x:c r="J332" s="9" t="str">
        <x:v>Transfer paraphrase</x:v>
      </x:c>
      <x:c r="K332" s="9" t="n">
        <x:v>28</x:v>
      </x:c>
      <x:c r="L332" s="9"/>
      <x:c r="M332" s="9"/>
      <x:c r="N332" s="9" t="str">
        <x:v>2 — Full transfer/control/language families</x:v>
      </x:c>
      <x:c r="O332" s="9" t="str">
        <x:v>Return the previously moved object to its marked position. Do not move any other object; only the prompt changes.</x:v>
      </x:c>
      <x:c r="P332" s="9" t="str">
        <x:v>Exact-scene paraphrase of the referenced canonical transfer row. Exclude this row from the 50-trial primary canonical score.</x:v>
      </x:c>
      <x:c r="Q332" s="9"/>
      <x:c r="R332" s="10" t="n">
        <x:v>3</x:v>
      </x:c>
      <x:c r="S332" s="10"/>
      <x:c r="T332" s="9"/>
      <x:c r="U332" s="9"/>
      <x:c r="V332" s="9"/>
      <x:c r="W332" s="9" t="str">
        <x:v>CT-CF02-N3-01</x:v>
      </x:c>
      <x:c r="X332" s="10"/>
      <x:c r="Y332" s="10"/>
      <x:c r="Z332" s="9"/>
      <x:c r="AA332" s="9" t="str">
        <x:v>L3</x:v>
      </x:c>
      <x:c r="AB332" s="9" t="str">
        <x:v>third from left — paraphrase</x:v>
      </x:c>
      <x:c r="AC332" s="9"/>
      <x:c r="AD332" s="9"/>
      <x:c r="AE332" s="9"/>
      <x:c r="AF332" s="9"/>
      <x:c r="AG332" s="9"/>
      <x:c r="AH332" s="9"/>
      <x:c r="AI332" s="11"/>
      <x:c r="AJ332" s="9"/>
      <x:c r="AK332" s="9" t="str">
        <x:v>Eval_Ordinal_Reference_Ordering.xlsm</x:v>
      </x:c>
      <x:c r="AL332" s="9" t="str">
        <x:v>pi0.5 Results</x:v>
      </x:c>
      <x:c r="AM332" s="9" t="n">
        <x:v>32</x:v>
      </x:c>
      <x:c r="AN332" s="9" t="n">
        <x:v>32</x:v>
      </x:c>
    </x:row>
    <x:row r="333">
      <x:c r="A333" s="9" t="str">
        <x:v>Success</x:v>
      </x:c>
      <x:c r="B333" s="9" t="str">
        <x:v>Ordinal Reference Ordering</x:v>
      </x:c>
      <x:c r="C333" s="10" t="n">
        <x:v>31</x:v>
      </x:c>
      <x:c r="D333" s="9" t="str">
        <x:v>Transfer the airplane toy with propellers from its marked position into the bowl.</x:v>
      </x:c>
      <x:c r="E333" s="9" t="str">
        <x:v>L1: blue tape ball, L2: green highlighter, L3: airplane toy with propellers</x:v>
      </x:c>
      <x:c r="F333" s="9" t="str">
        <x:v>airplane toy with propellers</x:v>
      </x:c>
      <x:c r="G333" s="9"/>
      <x:c r="H333" s="9" t="str">
        <x:v>Language robustness</x:v>
      </x:c>
      <x:c r="I333" s="9" t="str">
        <x:v>CT-CF02-N3-01</x:v>
      </x:c>
      <x:c r="J333" s="9" t="str">
        <x:v>Matched-control paraphrase</x:v>
      </x:c>
      <x:c r="K333" s="9" t="n">
        <x:v>29</x:v>
      </x:c>
      <x:c r="L333" s="9"/>
      <x:c r="M333" s="9"/>
      <x:c r="N333" s="9" t="str">
        <x:v>2 — Full transfer/control/language families</x:v>
      </x:c>
      <x:c r="O333" s="9" t="str">
        <x:v>Return the previously moved object to its marked position. Do not move any other object; only the prompt changes.</x:v>
      </x:c>
      <x:c r="P333" s="9" t="str">
        <x:v>Exact-scene paraphrase of the referenced direct-name control. This tests wording sensitivity without changing the target or physical scene.</x:v>
      </x:c>
      <x:c r="Q333" s="9"/>
      <x:c r="R333" s="10" t="n">
        <x:v>3</x:v>
      </x:c>
      <x:c r="S333" s="10"/>
      <x:c r="T333" s="9"/>
      <x:c r="U333" s="9"/>
      <x:c r="V333" s="9"/>
      <x:c r="W333" s="9" t="str">
        <x:v>CT-CF02-N3-01</x:v>
      </x:c>
      <x:c r="X333" s="10"/>
      <x:c r="Y333" s="10"/>
      <x:c r="Z333" s="9"/>
      <x:c r="AA333" s="9" t="str">
        <x:v>L3</x:v>
      </x:c>
      <x:c r="AB333" s="9" t="str">
        <x:v>Direct-name paraphrase</x:v>
      </x:c>
      <x:c r="AC333" s="9"/>
      <x:c r="AD333" s="9"/>
      <x:c r="AE333" s="9"/>
      <x:c r="AF333" s="9"/>
      <x:c r="AG333" s="9"/>
      <x:c r="AH333" s="9"/>
      <x:c r="AI333" s="11"/>
      <x:c r="AJ333" s="9"/>
      <x:c r="AK333" s="9" t="str">
        <x:v>Eval_Ordinal_Reference_Ordering.xlsm</x:v>
      </x:c>
      <x:c r="AL333" s="9" t="str">
        <x:v>pi0.5 Results</x:v>
      </x:c>
      <x:c r="AM333" s="9" t="n">
        <x:v>33</x:v>
      </x:c>
      <x:c r="AN333" s="9" t="n">
        <x:v>33</x:v>
      </x:c>
    </x:row>
    <x:row r="334">
      <x:c r="A334" s="9" t="str">
        <x:v>Success</x:v>
      </x:c>
      <x:c r="B334" s="9" t="str">
        <x:v>Ordinal Reference Ordering</x:v>
      </x:c>
      <x:c r="C334" s="10" t="n">
        <x:v>32</x:v>
      </x:c>
      <x:c r="D334" s="9" t="str">
        <x:v>Lift the blue tape ball and leave it in the bowl.</x:v>
      </x:c>
      <x:c r="E334" s="9" t="str">
        <x:v>L1: blue tape ball, L2: green highlighter, L3: airplane toy with propellers</x:v>
      </x:c>
      <x:c r="F334" s="9" t="str">
        <x:v>blue tape ball</x:v>
      </x:c>
      <x:c r="G334" s="9"/>
      <x:c r="H334" s="9" t="str">
        <x:v>Language robustness</x:v>
      </x:c>
      <x:c r="I334" s="9" t="str">
        <x:v>CT-CF02-N3-01</x:v>
      </x:c>
      <x:c r="J334" s="9" t="str">
        <x:v>Matched-control paraphrase</x:v>
      </x:c>
      <x:c r="K334" s="9" t="n">
        <x:v>34</x:v>
      </x:c>
      <x:c r="L334" s="9"/>
      <x:c r="M334" s="9"/>
      <x:c r="N334" s="9" t="str">
        <x:v>2 — Full transfer/control/language families</x:v>
      </x:c>
      <x:c r="O334" s="9" t="str">
        <x:v>Return the previously moved object to its marked position. Do not move any other object; only the prompt changes.</x:v>
      </x:c>
      <x:c r="P334" s="9" t="str">
        <x:v>Exact-scene paraphrase of the referenced direct-name control. This tests wording sensitivity without changing the target or physical scene.</x:v>
      </x:c>
      <x:c r="Q334" s="9"/>
      <x:c r="R334" s="10" t="n">
        <x:v>3</x:v>
      </x:c>
      <x:c r="S334" s="10"/>
      <x:c r="T334" s="9"/>
      <x:c r="U334" s="9"/>
      <x:c r="V334" s="9"/>
      <x:c r="W334" s="9" t="str">
        <x:v>CT-CF02-N3-01</x:v>
      </x:c>
      <x:c r="X334" s="10"/>
      <x:c r="Y334" s="10"/>
      <x:c r="Z334" s="9"/>
      <x:c r="AA334" s="9" t="str">
        <x:v>L1</x:v>
      </x:c>
      <x:c r="AB334" s="9" t="str">
        <x:v>Direct-name paraphrase</x:v>
      </x:c>
      <x:c r="AC334" s="9"/>
      <x:c r="AD334" s="9"/>
      <x:c r="AE334" s="9"/>
      <x:c r="AF334" s="9"/>
      <x:c r="AG334" s="9"/>
      <x:c r="AH334" s="9"/>
      <x:c r="AI334" s="11"/>
      <x:c r="AJ334" s="9"/>
      <x:c r="AK334" s="9" t="str">
        <x:v>Eval_Ordinal_Reference_Ordering.xlsm</x:v>
      </x:c>
      <x:c r="AL334" s="9" t="str">
        <x:v>pi0.5 Results</x:v>
      </x:c>
      <x:c r="AM334" s="9" t="n">
        <x:v>34</x:v>
      </x:c>
      <x:c r="AN334" s="9" t="n">
        <x:v>34</x:v>
      </x:c>
    </x:row>
    <x:row r="335">
      <x:c r="A335" s="9" t="str">
        <x:v>Failure</x:v>
      </x:c>
      <x:c r="B335" s="9" t="str">
        <x:v>Ordinal Reference Ordering</x:v>
      </x:c>
      <x:c r="C335" s="10" t="n">
        <x:v>33</x:v>
      </x:c>
      <x:c r="D335" s="9" t="str">
        <x:v>Starting at the left, count to the first item and put that item in the bowl.</x:v>
      </x:c>
      <x:c r="E335" s="9" t="str">
        <x:v>L1: blue tape ball, L2: green highlighter, L3: airplane toy with propellers</x:v>
      </x:c>
      <x:c r="F335" s="9" t="str">
        <x:v>blue tape ball</x:v>
      </x:c>
      <x:c r="G335" s="9" t="str">
        <x:v>picked green highlighter</x:v>
      </x:c>
      <x:c r="H335" s="9" t="str">
        <x:v>Language robustness</x:v>
      </x:c>
      <x:c r="I335" s="9" t="str">
        <x:v>CT-CF02-N3-01</x:v>
      </x:c>
      <x:c r="J335" s="9" t="str">
        <x:v>Transfer paraphrase</x:v>
      </x:c>
      <x:c r="K335" s="9" t="n">
        <x:v>35</x:v>
      </x:c>
      <x:c r="L335" s="9"/>
      <x:c r="M335" s="9"/>
      <x:c r="N335" s="9" t="str">
        <x:v>2 — Full transfer/control/language families</x:v>
      </x:c>
      <x:c r="O335" s="9" t="str">
        <x:v>Return the previously moved object to its marked position. Do not move any other object; only the prompt changes.</x:v>
      </x:c>
      <x:c r="P335" s="9" t="str">
        <x:v>Exact-scene paraphrase of the referenced canonical transfer row. Exclude this row from the 50-trial primary canonical score.</x:v>
      </x:c>
      <x:c r="Q335" s="9"/>
      <x:c r="R335" s="10" t="n">
        <x:v>3</x:v>
      </x:c>
      <x:c r="S335" s="10"/>
      <x:c r="T335" s="9"/>
      <x:c r="U335" s="9"/>
      <x:c r="V335" s="9"/>
      <x:c r="W335" s="9" t="str">
        <x:v>CT-CF02-N3-01</x:v>
      </x:c>
      <x:c r="X335" s="10"/>
      <x:c r="Y335" s="10"/>
      <x:c r="Z335" s="9"/>
      <x:c r="AA335" s="9" t="str">
        <x:v>L1</x:v>
      </x:c>
      <x:c r="AB335" s="9" t="str">
        <x:v>first from left — paraphrase</x:v>
      </x:c>
      <x:c r="AC335" s="9"/>
      <x:c r="AD335" s="9"/>
      <x:c r="AE335" s="9"/>
      <x:c r="AF335" s="9"/>
      <x:c r="AG335" s="9"/>
      <x:c r="AH335" s="9"/>
      <x:c r="AI335" s="11"/>
      <x:c r="AJ335" s="9"/>
      <x:c r="AK335" s="9" t="str">
        <x:v>Eval_Ordinal_Reference_Ordering.xlsm</x:v>
      </x:c>
      <x:c r="AL335" s="9" t="str">
        <x:v>pi0.5 Results</x:v>
      </x:c>
      <x:c r="AM335" s="9" t="n">
        <x:v>35</x:v>
      </x:c>
      <x:c r="AN335" s="9" t="n">
        <x:v>35</x:v>
      </x:c>
    </x:row>
    <x:row r="336">
      <x:c r="A336" s="9" t="str">
        <x:v>Success</x:v>
      </x:c>
      <x:c r="B336" s="9" t="str">
        <x:v>Ordinal Reference Ordering</x:v>
      </x:c>
      <x:c r="C336" s="10" t="n">
        <x:v>34</x:v>
      </x:c>
      <x:c r="D336" s="9" t="str">
        <x:v>Put the blue tape ball in the bowl.</x:v>
      </x:c>
      <x:c r="E336" s="9" t="str">
        <x:v>L1: blue tape ball, L2: green highlighter, L3: airplane toy with propellers</x:v>
      </x:c>
      <x:c r="F336" s="9" t="str">
        <x:v>blue tape ball</x:v>
      </x:c>
      <x:c r="G336" s="9"/>
      <x:c r="H336" s="9" t="str">
        <x:v>Matched manipulation control</x:v>
      </x:c>
      <x:c r="I336" s="9" t="str">
        <x:v>CT-CF02-N3-01</x:v>
      </x:c>
      <x:c r="J336" s="9" t="str">
        <x:v>Exact-scene direct control; training prompt from episode 655</x:v>
      </x:c>
      <x:c r="K336" s="9" t="n">
        <x:v>35</x:v>
      </x:c>
      <x:c r="L336" s="9"/>
      <x:c r="M336" s="9"/>
      <x:c r="N336" s="9" t="str">
        <x:v>2 — Full transfer/control/language families</x:v>
      </x:c>
      <x:c r="O336" s="9" t="str">
        <x:v>Return the previously moved object to its marked position. Do not move any other object; only the prompt changes.</x:v>
      </x:c>
      <x:c r="P336" s="9" t="str">
        <x:v>This is the direct-name prompt assigned to the same masked training cell. It tests recognition and manipulation of the exact transfer target in the exact scene without requiring ordinal selection.</x:v>
      </x:c>
      <x:c r="Q336" s="9"/>
      <x:c r="R336" s="10" t="n">
        <x:v>3</x:v>
      </x:c>
      <x:c r="S336" s="10"/>
      <x:c r="T336" s="9"/>
      <x:c r="U336" s="9"/>
      <x:c r="V336" s="9"/>
      <x:c r="W336" s="9" t="str">
        <x:v>CT-CF02-N3-01</x:v>
      </x:c>
      <x:c r="X336" s="10"/>
      <x:c r="Y336" s="10"/>
      <x:c r="Z336" s="9"/>
      <x:c r="AA336" s="9" t="str">
        <x:v>L1</x:v>
      </x:c>
      <x:c r="AB336" s="9" t="str">
        <x:v>Direct-name control</x:v>
      </x:c>
      <x:c r="AC336" s="9"/>
      <x:c r="AD336" s="9"/>
      <x:c r="AE336" s="9"/>
      <x:c r="AF336" s="9"/>
      <x:c r="AG336" s="9"/>
      <x:c r="AH336" s="9"/>
      <x:c r="AI336" s="11"/>
      <x:c r="AJ336" s="9"/>
      <x:c r="AK336" s="9" t="str">
        <x:v>Eval_Ordinal_Reference_Ordering.xlsm</x:v>
      </x:c>
      <x:c r="AL336" s="9" t="str">
        <x:v>pi0.5 Results</x:v>
      </x:c>
      <x:c r="AM336" s="9" t="n">
        <x:v>36</x:v>
      </x:c>
      <x:c r="AN336" s="9" t="n">
        <x:v>36</x:v>
      </x:c>
    </x:row>
    <x:row r="337">
      <x:c r="A337" s="9" t="str">
        <x:v>Failure</x:v>
      </x:c>
      <x:c r="B337" s="9" t="str">
        <x:v>Ordinal Reference Ordering</x:v>
      </x:c>
      <x:c r="C337" s="10" t="n">
        <x:v>35</x:v>
      </x:c>
      <x:c r="D337" s="9" t="str">
        <x:v>Pick up the object that is first from the left and place it in the bowl.</x:v>
      </x:c>
      <x:c r="E337" s="9" t="str">
        <x:v>L1: blue tape ball, L2: green highlighter, L3: airplane toy with propellers</x:v>
      </x:c>
      <x:c r="F337" s="9" t="str">
        <x:v>blue tape ball</x:v>
      </x:c>
      <x:c r="G337" s="9" t="str">
        <x:v>originally went for green highlighter, missed, and then during recovery, got the airplane toy</x:v>
      </x:c>
      <x:c r="H337" s="9" t="str">
        <x:v>Concept/compositional transfer</x:v>
      </x:c>
      <x:c r="I337" s="9" t="str">
        <x:v>CT-CF02-N3-01</x:v>
      </x:c>
      <x:c r="J337" s="9" t="str">
        <x:v>Masked cell n=3, L1, blue tape ball</x:v>
      </x:c>
      <x:c r="K337" s="9" t="n">
        <x:v>28</x:v>
      </x:c>
      <x:c r="L337" s="9"/>
      <x:c r="M337" s="9"/>
      <x:c r="N337" s="9" t="str">
        <x:v>2 — Full transfer/control/language families</x:v>
      </x:c>
      <x:c r="O337" s="9" t="str">
        <x:v>Return the previously moved object to its marked position. Do not move any other object; only the prompt changes.</x:v>
      </x:c>
      <x:c r="P337" s="9" t="str">
        <x:v>The final manifest masks this exact sequence-length × physical-position × target-identity cell. Both equivalent left- and right-based descriptions are absent for this cell, while the canonical instruction wording occurs elsewhere in training.</x:v>
      </x:c>
      <x:c r="Q337" s="9"/>
      <x:c r="R337" s="10" t="n">
        <x:v>3</x:v>
      </x:c>
      <x:c r="S337" s="10"/>
      <x:c r="T337" s="9"/>
      <x:c r="U337" s="9"/>
      <x:c r="V337" s="9"/>
      <x:c r="W337" s="9" t="str">
        <x:v>CT-CF02-N3-01</x:v>
      </x:c>
      <x:c r="X337" s="10"/>
      <x:c r="Y337" s="10"/>
      <x:c r="Z337" s="9"/>
      <x:c r="AA337" s="9" t="str">
        <x:v>L1</x:v>
      </x:c>
      <x:c r="AB337" s="9" t="str">
        <x:v>first from left</x:v>
      </x:c>
      <x:c r="AC337" s="9"/>
      <x:c r="AD337" s="9"/>
      <x:c r="AE337" s="9"/>
      <x:c r="AF337" s="9"/>
      <x:c r="AG337" s="9"/>
      <x:c r="AH337" s="9"/>
      <x:c r="AI337" s="11"/>
      <x:c r="AJ337" s="9"/>
      <x:c r="AK337" s="9" t="str">
        <x:v>Eval_Ordinal_Reference_Ordering.xlsm</x:v>
      </x:c>
      <x:c r="AL337" s="9" t="str">
        <x:v>pi0.5 Results</x:v>
      </x:c>
      <x:c r="AM337" s="9" t="n">
        <x:v>37</x:v>
      </x:c>
      <x:c r="AN337" s="9" t="n">
        <x:v>37</x:v>
      </x:c>
    </x:row>
    <x:row r="338">
      <x:c r="A338" s="9" t="str">
        <x:v>Failure</x:v>
      </x:c>
      <x:c r="B338" s="9" t="str">
        <x:v>Ordinal Reference Ordering</x:v>
      </x:c>
      <x:c r="C338" s="10" t="n">
        <x:v>36</x:v>
      </x:c>
      <x:c r="D338" s="9" t="str">
        <x:v>Pick up the object that is second from the right and place it in the bowl.</x:v>
      </x:c>
      <x:c r="E338" s="9" t="str">
        <x:v>L1: green highlighter, L2: yellow pen</x:v>
      </x:c>
      <x:c r="F338" s="9" t="str">
        <x:v>green highlighter</x:v>
      </x:c>
      <x:c r="G338" s="9" t="str">
        <x:v>picked yellow pen</x:v>
      </x:c>
      <x:c r="H338" s="9" t="str">
        <x:v>Concept/compositional transfer</x:v>
      </x:c>
      <x:c r="I338" s="9" t="str">
        <x:v>CT-CF03-N2-04</x:v>
      </x:c>
      <x:c r="J338" s="9" t="str">
        <x:v>Masked cell n=2, L1, green highlighter</x:v>
      </x:c>
      <x:c r="K338" s="9"/>
      <x:c r="L338" s="9"/>
      <x:c r="M338" s="9"/>
      <x:c r="N338" s="9" t="str">
        <x:v>2 — Full transfer/control/language families</x:v>
      </x:c>
      <x:c r="O338" s="9" t="str">
        <x:v>Build this new scene family exactly from the L1–L4 description and save a first-frame reference image.</x:v>
      </x:c>
      <x:c r="P338" s="9" t="str">
        <x:v>The final manifest masks this exact sequence-length × physical-position × target-identity cell. Both equivalent left- and right-based descriptions are absent for this cell, while the canonical instruction wording occurs elsewhere in training.</x:v>
      </x:c>
      <x:c r="Q338" s="9"/>
      <x:c r="R338" s="10" t="n">
        <x:v>2</x:v>
      </x:c>
      <x:c r="S338" s="10"/>
      <x:c r="T338" s="9"/>
      <x:c r="U338" s="9"/>
      <x:c r="V338" s="9"/>
      <x:c r="W338" s="9" t="str">
        <x:v>CT-CF03-N2-04</x:v>
      </x:c>
      <x:c r="X338" s="10"/>
      <x:c r="Y338" s="10"/>
      <x:c r="Z338" s="9"/>
      <x:c r="AA338" s="9" t="str">
        <x:v>L1</x:v>
      </x:c>
      <x:c r="AB338" s="9" t="str">
        <x:v>second from right</x:v>
      </x:c>
      <x:c r="AC338" s="9"/>
      <x:c r="AD338" s="9"/>
      <x:c r="AE338" s="9"/>
      <x:c r="AF338" s="9"/>
      <x:c r="AG338" s="9"/>
      <x:c r="AH338" s="9"/>
      <x:c r="AI338" s="11"/>
      <x:c r="AJ338" s="9"/>
      <x:c r="AK338" s="9" t="str">
        <x:v>Eval_Ordinal_Reference_Ordering.xlsm</x:v>
      </x:c>
      <x:c r="AL338" s="9" t="str">
        <x:v>pi0.5 Results</x:v>
      </x:c>
      <x:c r="AM338" s="9" t="n">
        <x:v>38</x:v>
      </x:c>
      <x:c r="AN338" s="9" t="n">
        <x:v>38</x:v>
      </x:c>
    </x:row>
    <x:row r="339">
      <x:c r="A339" s="9" t="str">
        <x:v>Success</x:v>
      </x:c>
      <x:c r="B339" s="9" t="str">
        <x:v>Ordinal Reference Ordering</x:v>
      </x:c>
      <x:c r="C339" s="10" t="n">
        <x:v>37</x:v>
      </x:c>
      <x:c r="D339" s="9" t="str">
        <x:v>Pick up the green highlighter and place it in the bowl.</x:v>
      </x:c>
      <x:c r="E339" s="9" t="str">
        <x:v>L1: green highlighter, L2: yellow pen</x:v>
      </x:c>
      <x:c r="F339" s="9" t="str">
        <x:v>green highlighter</x:v>
      </x:c>
      <x:c r="G339" s="9"/>
      <x:c r="H339" s="9" t="str">
        <x:v>Matched manipulation control</x:v>
      </x:c>
      <x:c r="I339" s="9" t="str">
        <x:v>CT-CF03-N2-04</x:v>
      </x:c>
      <x:c r="J339" s="9" t="str">
        <x:v>Exact-scene direct control; training prompt from episode 710</x:v>
      </x:c>
      <x:c r="K339" s="9" t="n">
        <x:v>36</x:v>
      </x:c>
      <x:c r="L339" s="9"/>
      <x:c r="M339" s="9"/>
      <x:c r="N339" s="9" t="str">
        <x:v>2 — Full transfer/control/language families</x:v>
      </x:c>
      <x:c r="O339" s="9" t="str">
        <x:v>Return the previously moved object to its marked position. Do not move any other object; only the prompt changes.</x:v>
      </x:c>
      <x:c r="P339" s="9" t="str">
        <x:v>This is the direct-name prompt assigned to the same masked training cell. It tests recognition and manipulation of the exact transfer target in the exact scene without requiring ordinal selection.</x:v>
      </x:c>
      <x:c r="Q339" s="9"/>
      <x:c r="R339" s="10" t="n">
        <x:v>2</x:v>
      </x:c>
      <x:c r="S339" s="10"/>
      <x:c r="T339" s="9"/>
      <x:c r="U339" s="9"/>
      <x:c r="V339" s="9"/>
      <x:c r="W339" s="9" t="str">
        <x:v>CT-CF03-N2-04</x:v>
      </x:c>
      <x:c r="X339" s="10"/>
      <x:c r="Y339" s="10"/>
      <x:c r="Z339" s="9"/>
      <x:c r="AA339" s="9" t="str">
        <x:v>L1</x:v>
      </x:c>
      <x:c r="AB339" s="9" t="str">
        <x:v>Direct-name control</x:v>
      </x:c>
      <x:c r="AC339" s="9"/>
      <x:c r="AD339" s="9"/>
      <x:c r="AE339" s="9"/>
      <x:c r="AF339" s="9"/>
      <x:c r="AG339" s="9"/>
      <x:c r="AH339" s="9"/>
      <x:c r="AI339" s="11"/>
      <x:c r="AJ339" s="9"/>
      <x:c r="AK339" s="9" t="str">
        <x:v>Eval_Ordinal_Reference_Ordering.xlsm</x:v>
      </x:c>
      <x:c r="AL339" s="9" t="str">
        <x:v>pi0.5 Results</x:v>
      </x:c>
      <x:c r="AM339" s="9" t="n">
        <x:v>39</x:v>
      </x:c>
      <x:c r="AN339" s="9" t="n">
        <x:v>39</x:v>
      </x:c>
    </x:row>
    <x:row r="340">
      <x:c r="A340" s="9" t="str">
        <x:v>Failure</x:v>
      </x:c>
      <x:c r="B340" s="9" t="str">
        <x:v>Ordinal Reference Ordering</x:v>
      </x:c>
      <x:c r="C340" s="10" t="n">
        <x:v>38</x:v>
      </x:c>
      <x:c r="D340" s="9" t="str">
        <x:v>Move whichever item comes second when you count from the right into the bowl.</x:v>
      </x:c>
      <x:c r="E340" s="9" t="str">
        <x:v>L1: green highlighter, L2: yellow pen</x:v>
      </x:c>
      <x:c r="F340" s="9" t="str">
        <x:v>green highlighter</x:v>
      </x:c>
      <x:c r="G340" s="9" t="str">
        <x:v>picked yellow pen</x:v>
      </x:c>
      <x:c r="H340" s="9" t="str">
        <x:v>Language robustness</x:v>
      </x:c>
      <x:c r="I340" s="9" t="str">
        <x:v>CT-CF03-N2-04</x:v>
      </x:c>
      <x:c r="J340" s="9" t="str">
        <x:v>Transfer paraphrase</x:v>
      </x:c>
      <x:c r="K340" s="9" t="n">
        <x:v>36</x:v>
      </x:c>
      <x:c r="L340" s="9"/>
      <x:c r="M340" s="9"/>
      <x:c r="N340" s="9" t="str">
        <x:v>2 — Full transfer/control/language families</x:v>
      </x:c>
      <x:c r="O340" s="9" t="str">
        <x:v>Return the previously moved object to its marked position. Do not move any other object; only the prompt changes.</x:v>
      </x:c>
      <x:c r="P340" s="9" t="str">
        <x:v>Exact-scene paraphrase of the referenced canonical transfer row. Exclude this row from the 50-trial primary canonical score.</x:v>
      </x:c>
      <x:c r="Q340" s="9"/>
      <x:c r="R340" s="10" t="n">
        <x:v>2</x:v>
      </x:c>
      <x:c r="S340" s="10"/>
      <x:c r="T340" s="9"/>
      <x:c r="U340" s="9"/>
      <x:c r="V340" s="9"/>
      <x:c r="W340" s="9" t="str">
        <x:v>CT-CF03-N2-04</x:v>
      </x:c>
      <x:c r="X340" s="10"/>
      <x:c r="Y340" s="10"/>
      <x:c r="Z340" s="9"/>
      <x:c r="AA340" s="9" t="str">
        <x:v>L1</x:v>
      </x:c>
      <x:c r="AB340" s="9" t="str">
        <x:v>second from right — paraphrase</x:v>
      </x:c>
      <x:c r="AC340" s="9"/>
      <x:c r="AD340" s="9"/>
      <x:c r="AE340" s="9"/>
      <x:c r="AF340" s="9"/>
      <x:c r="AG340" s="9"/>
      <x:c r="AH340" s="9"/>
      <x:c r="AI340" s="11"/>
      <x:c r="AJ340" s="9"/>
      <x:c r="AK340" s="9" t="str">
        <x:v>Eval_Ordinal_Reference_Ordering.xlsm</x:v>
      </x:c>
      <x:c r="AL340" s="9" t="str">
        <x:v>pi0.5 Results</x:v>
      </x:c>
      <x:c r="AM340" s="9" t="n">
        <x:v>40</x:v>
      </x:c>
      <x:c r="AN340" s="9" t="n">
        <x:v>40</x:v>
      </x:c>
    </x:row>
    <x:row r="341">
      <x:c r="A341" s="9" t="str">
        <x:v>Success</x:v>
      </x:c>
      <x:c r="B341" s="9" t="str">
        <x:v>Ordinal Reference Ordering</x:v>
      </x:c>
      <x:c r="C341" s="10" t="n">
        <x:v>39</x:v>
      </x:c>
      <x:c r="D341" s="9" t="str">
        <x:v>Transfer the green highlighter from its marked position into the bowl.</x:v>
      </x:c>
      <x:c r="E341" s="9" t="str">
        <x:v>L1: green highlighter, L2: yellow pen</x:v>
      </x:c>
      <x:c r="F341" s="9" t="str">
        <x:v>green highlighter</x:v>
      </x:c>
      <x:c r="G341" s="9"/>
      <x:c r="H341" s="9" t="str">
        <x:v>Language robustness</x:v>
      </x:c>
      <x:c r="I341" s="9" t="str">
        <x:v>CT-CF03-N2-04</x:v>
      </x:c>
      <x:c r="J341" s="9" t="str">
        <x:v>Matched-control paraphrase</x:v>
      </x:c>
      <x:c r="K341" s="9" t="n">
        <x:v>37</x:v>
      </x:c>
      <x:c r="L341" s="9"/>
      <x:c r="M341" s="9"/>
      <x:c r="N341" s="9" t="str">
        <x:v>2 — Full transfer/control/language families</x:v>
      </x:c>
      <x:c r="O341" s="9" t="str">
        <x:v>Return the previously moved object to its marked position. Do not move any other object; only the prompt changes.</x:v>
      </x:c>
      <x:c r="P341" s="9" t="str">
        <x:v>Exact-scene paraphrase of the referenced direct-name control. This tests wording sensitivity without changing the target or physical scene.</x:v>
      </x:c>
      <x:c r="Q341" s="9"/>
      <x:c r="R341" s="10" t="n">
        <x:v>2</x:v>
      </x:c>
      <x:c r="S341" s="10"/>
      <x:c r="T341" s="9"/>
      <x:c r="U341" s="9"/>
      <x:c r="V341" s="9"/>
      <x:c r="W341" s="9" t="str">
        <x:v>CT-CF03-N2-04</x:v>
      </x:c>
      <x:c r="X341" s="10"/>
      <x:c r="Y341" s="10"/>
      <x:c r="Z341" s="9"/>
      <x:c r="AA341" s="9" t="str">
        <x:v>L1</x:v>
      </x:c>
      <x:c r="AB341" s="9" t="str">
        <x:v>Direct-name paraphrase</x:v>
      </x:c>
      <x:c r="AC341" s="9"/>
      <x:c r="AD341" s="9"/>
      <x:c r="AE341" s="9"/>
      <x:c r="AF341" s="9"/>
      <x:c r="AG341" s="9"/>
      <x:c r="AH341" s="9"/>
      <x:c r="AI341" s="11"/>
      <x:c r="AJ341" s="9"/>
      <x:c r="AK341" s="9" t="str">
        <x:v>Eval_Ordinal_Reference_Ordering.xlsm</x:v>
      </x:c>
      <x:c r="AL341" s="9" t="str">
        <x:v>pi0.5 Results</x:v>
      </x:c>
      <x:c r="AM341" s="9" t="n">
        <x:v>41</x:v>
      </x:c>
      <x:c r="AN341" s="9" t="n">
        <x:v>41</x:v>
      </x:c>
    </x:row>
    <x:row r="342">
      <x:c r="A342" s="9" t="str">
        <x:v>Success</x:v>
      </x:c>
      <x:c r="B342" s="9" t="str">
        <x:v>Ordinal Reference Ordering</x:v>
      </x:c>
      <x:c r="C342" s="10" t="n">
        <x:v>40</x:v>
      </x:c>
      <x:c r="D342" s="9" t="str">
        <x:v>Grasp the yellow pen, then release it inside the bowl.</x:v>
      </x:c>
      <x:c r="E342" s="9" t="str">
        <x:v>L1: green highlighter, L2: yellow pen</x:v>
      </x:c>
      <x:c r="F342" s="9" t="str">
        <x:v>yellow pen</x:v>
      </x:c>
      <x:c r="G342" s="9"/>
      <x:c r="H342" s="9" t="str">
        <x:v>Language robustness</x:v>
      </x:c>
      <x:c r="I342" s="9" t="str">
        <x:v>CT-CF03-N2-04</x:v>
      </x:c>
      <x:c r="J342" s="9" t="str">
        <x:v>Matched-control paraphrase</x:v>
      </x:c>
      <x:c r="K342" s="9" t="n">
        <x:v>42</x:v>
      </x:c>
      <x:c r="L342" s="9"/>
      <x:c r="M342" s="9"/>
      <x:c r="N342" s="9" t="str">
        <x:v>2 — Full transfer/control/language families</x:v>
      </x:c>
      <x:c r="O342" s="9" t="str">
        <x:v>Return the previously moved object to its marked position. Do not move any other object; only the prompt changes.</x:v>
      </x:c>
      <x:c r="P342" s="9" t="str">
        <x:v>Exact-scene paraphrase of the referenced direct-name control. This tests wording sensitivity without changing the target or physical scene.</x:v>
      </x:c>
      <x:c r="Q342" s="9"/>
      <x:c r="R342" s="10" t="n">
        <x:v>2</x:v>
      </x:c>
      <x:c r="S342" s="10"/>
      <x:c r="T342" s="9"/>
      <x:c r="U342" s="9"/>
      <x:c r="V342" s="9"/>
      <x:c r="W342" s="9" t="str">
        <x:v>CT-CF03-N2-04</x:v>
      </x:c>
      <x:c r="X342" s="10"/>
      <x:c r="Y342" s="10"/>
      <x:c r="Z342" s="9"/>
      <x:c r="AA342" s="9" t="str">
        <x:v>L2</x:v>
      </x:c>
      <x:c r="AB342" s="9" t="str">
        <x:v>Direct-name paraphrase</x:v>
      </x:c>
      <x:c r="AC342" s="9"/>
      <x:c r="AD342" s="9"/>
      <x:c r="AE342" s="9"/>
      <x:c r="AF342" s="9"/>
      <x:c r="AG342" s="9"/>
      <x:c r="AH342" s="9"/>
      <x:c r="AI342" s="11"/>
      <x:c r="AJ342" s="9"/>
      <x:c r="AK342" s="9" t="str">
        <x:v>Eval_Ordinal_Reference_Ordering.xlsm</x:v>
      </x:c>
      <x:c r="AL342" s="9" t="str">
        <x:v>pi0.5 Results</x:v>
      </x:c>
      <x:c r="AM342" s="9" t="n">
        <x:v>42</x:v>
      </x:c>
      <x:c r="AN342" s="9" t="n">
        <x:v>42</x:v>
      </x:c>
    </x:row>
    <x:row r="343">
      <x:c r="A343" s="9" t="str">
        <x:v>Success</x:v>
      </x:c>
      <x:c r="B343" s="9" t="str">
        <x:v>Ordinal Reference Ordering</x:v>
      </x:c>
      <x:c r="C343" s="10" t="n">
        <x:v>41</x:v>
      </x:c>
      <x:c r="D343" s="9" t="str">
        <x:v>Count from the left; place item number 2 in the bowl.</x:v>
      </x:c>
      <x:c r="E343" s="9" t="str">
        <x:v>L1: green highlighter, L2: yellow pen</x:v>
      </x:c>
      <x:c r="F343" s="9" t="str">
        <x:v>yellow pen</x:v>
      </x:c>
      <x:c r="G343" s="9"/>
      <x:c r="H343" s="9" t="str">
        <x:v>Language robustness</x:v>
      </x:c>
      <x:c r="I343" s="9" t="str">
        <x:v>CT-CF03-N2-04</x:v>
      </x:c>
      <x:c r="J343" s="9" t="str">
        <x:v>Transfer paraphrase</x:v>
      </x:c>
      <x:c r="K343" s="9" t="n">
        <x:v>43</x:v>
      </x:c>
      <x:c r="L343" s="9"/>
      <x:c r="M343" s="9"/>
      <x:c r="N343" s="9" t="str">
        <x:v>2 — Full transfer/control/language families</x:v>
      </x:c>
      <x:c r="O343" s="9" t="str">
        <x:v>Return the previously moved object to its marked position. Do not move any other object; only the prompt changes.</x:v>
      </x:c>
      <x:c r="P343" s="9" t="str">
        <x:v>Exact-scene paraphrase of the referenced canonical transfer row. Exclude this row from the 50-trial primary canonical score.</x:v>
      </x:c>
      <x:c r="Q343" s="9"/>
      <x:c r="R343" s="10" t="n">
        <x:v>2</x:v>
      </x:c>
      <x:c r="S343" s="10"/>
      <x:c r="T343" s="9"/>
      <x:c r="U343" s="9"/>
      <x:c r="V343" s="9"/>
      <x:c r="W343" s="9" t="str">
        <x:v>CT-CF03-N2-04</x:v>
      </x:c>
      <x:c r="X343" s="10"/>
      <x:c r="Y343" s="10"/>
      <x:c r="Z343" s="9"/>
      <x:c r="AA343" s="9" t="str">
        <x:v>L2</x:v>
      </x:c>
      <x:c r="AB343" s="9" t="str">
        <x:v>second from left — paraphrase</x:v>
      </x:c>
      <x:c r="AC343" s="9"/>
      <x:c r="AD343" s="9"/>
      <x:c r="AE343" s="9"/>
      <x:c r="AF343" s="9"/>
      <x:c r="AG343" s="9"/>
      <x:c r="AH343" s="9"/>
      <x:c r="AI343" s="11"/>
      <x:c r="AJ343" s="9"/>
      <x:c r="AK343" s="9" t="str">
        <x:v>Eval_Ordinal_Reference_Ordering.xlsm</x:v>
      </x:c>
      <x:c r="AL343" s="9" t="str">
        <x:v>pi0.5 Results</x:v>
      </x:c>
      <x:c r="AM343" s="9" t="n">
        <x:v>43</x:v>
      </x:c>
      <x:c r="AN343" s="9" t="n">
        <x:v>43</x:v>
      </x:c>
    </x:row>
    <x:row r="344">
      <x:c r="A344" s="9" t="str">
        <x:v>Success</x:v>
      </x:c>
      <x:c r="B344" s="9" t="str">
        <x:v>Ordinal Reference Ordering</x:v>
      </x:c>
      <x:c r="C344" s="10" t="n">
        <x:v>42</x:v>
      </x:c>
      <x:c r="D344" s="9" t="str">
        <x:v>Move the yellow pen into the bowl.</x:v>
      </x:c>
      <x:c r="E344" s="9" t="str">
        <x:v>L1: green highlighter, L2: yellow pen</x:v>
      </x:c>
      <x:c r="F344" s="9" t="str">
        <x:v>yellow pen</x:v>
      </x:c>
      <x:c r="G344" s="9"/>
      <x:c r="H344" s="9" t="str">
        <x:v>Matched manipulation control</x:v>
      </x:c>
      <x:c r="I344" s="9" t="str">
        <x:v>CT-CF03-N2-04</x:v>
      </x:c>
      <x:c r="J344" s="9" t="str">
        <x:v>Exact-scene direct control; training prompt from episode 771</x:v>
      </x:c>
      <x:c r="K344" s="9" t="n">
        <x:v>43</x:v>
      </x:c>
      <x:c r="L344" s="9"/>
      <x:c r="M344" s="9"/>
      <x:c r="N344" s="9" t="str">
        <x:v>2 — Full transfer/control/language families</x:v>
      </x:c>
      <x:c r="O344" s="9" t="str">
        <x:v>Return the previously moved object to its marked position. Do not move any other object; only the prompt changes.</x:v>
      </x:c>
      <x:c r="P344" s="9" t="str">
        <x:v>This is the direct-name prompt assigned to the same masked training cell. It tests recognition and manipulation of the exact transfer target in the exact scene without requiring ordinal selection.</x:v>
      </x:c>
      <x:c r="Q344" s="9"/>
      <x:c r="R344" s="10" t="n">
        <x:v>2</x:v>
      </x:c>
      <x:c r="S344" s="10"/>
      <x:c r="T344" s="9"/>
      <x:c r="U344" s="9"/>
      <x:c r="V344" s="9"/>
      <x:c r="W344" s="9" t="str">
        <x:v>CT-CF03-N2-04</x:v>
      </x:c>
      <x:c r="X344" s="10"/>
      <x:c r="Y344" s="10"/>
      <x:c r="Z344" s="9"/>
      <x:c r="AA344" s="9" t="str">
        <x:v>L2</x:v>
      </x:c>
      <x:c r="AB344" s="9" t="str">
        <x:v>Direct-name control</x:v>
      </x:c>
      <x:c r="AC344" s="9"/>
      <x:c r="AD344" s="9"/>
      <x:c r="AE344" s="9"/>
      <x:c r="AF344" s="9"/>
      <x:c r="AG344" s="9"/>
      <x:c r="AH344" s="9"/>
      <x:c r="AI344" s="11"/>
      <x:c r="AJ344" s="9"/>
      <x:c r="AK344" s="9" t="str">
        <x:v>Eval_Ordinal_Reference_Ordering.xlsm</x:v>
      </x:c>
      <x:c r="AL344" s="9" t="str">
        <x:v>pi0.5 Results</x:v>
      </x:c>
      <x:c r="AM344" s="9" t="n">
        <x:v>44</x:v>
      </x:c>
      <x:c r="AN344" s="9" t="n">
        <x:v>44</x:v>
      </x:c>
    </x:row>
    <x:row r="345">
      <x:c r="A345" s="9" t="str">
        <x:v>Success</x:v>
      </x:c>
      <x:c r="B345" s="9" t="str">
        <x:v>Ordinal Reference Ordering</x:v>
      </x:c>
      <x:c r="C345" s="10" t="n">
        <x:v>43</x:v>
      </x:c>
      <x:c r="D345" s="9" t="str">
        <x:v>Pick up the object that is second from the left and place it in the bowl.</x:v>
      </x:c>
      <x:c r="E345" s="9" t="str">
        <x:v>L1: green highlighter, L2: yellow pen</x:v>
      </x:c>
      <x:c r="F345" s="9" t="str">
        <x:v>yellow pen</x:v>
      </x:c>
      <x:c r="G345" s="9"/>
      <x:c r="H345" s="9" t="str">
        <x:v>Concept/compositional transfer</x:v>
      </x:c>
      <x:c r="I345" s="9" t="str">
        <x:v>CT-CF03-N2-04</x:v>
      </x:c>
      <x:c r="J345" s="9" t="str">
        <x:v>Masked cell n=2, L2, yellow pen</x:v>
      </x:c>
      <x:c r="K345" s="9" t="n">
        <x:v>36</x:v>
      </x:c>
      <x:c r="L345" s="9"/>
      <x:c r="M345" s="9"/>
      <x:c r="N345" s="9" t="str">
        <x:v>2 — Full transfer/control/language families</x:v>
      </x:c>
      <x:c r="O345" s="9" t="str">
        <x:v>Return the previously moved object to its marked position. Do not move any other object; only the prompt changes.</x:v>
      </x:c>
      <x:c r="P345" s="9" t="str">
        <x:v>The final manifest masks this exact sequence-length × physical-position × target-identity cell. Both equivalent left- and right-based descriptions are absent for this cell, while the canonical instruction wording occurs elsewhere in training.</x:v>
      </x:c>
      <x:c r="Q345" s="9"/>
      <x:c r="R345" s="10" t="n">
        <x:v>2</x:v>
      </x:c>
      <x:c r="S345" s="10"/>
      <x:c r="T345" s="9"/>
      <x:c r="U345" s="9"/>
      <x:c r="V345" s="9"/>
      <x:c r="W345" s="9" t="str">
        <x:v>CT-CF03-N2-04</x:v>
      </x:c>
      <x:c r="X345" s="10"/>
      <x:c r="Y345" s="10"/>
      <x:c r="Z345" s="9"/>
      <x:c r="AA345" s="9" t="str">
        <x:v>L2</x:v>
      </x:c>
      <x:c r="AB345" s="9" t="str">
        <x:v>second from left</x:v>
      </x:c>
      <x:c r="AC345" s="9"/>
      <x:c r="AD345" s="9"/>
      <x:c r="AE345" s="9"/>
      <x:c r="AF345" s="9"/>
      <x:c r="AG345" s="9"/>
      <x:c r="AH345" s="9"/>
      <x:c r="AI345" s="11"/>
      <x:c r="AJ345" s="9"/>
      <x:c r="AK345" s="9" t="str">
        <x:v>Eval_Ordinal_Reference_Ordering.xlsm</x:v>
      </x:c>
      <x:c r="AL345" s="9" t="str">
        <x:v>pi0.5 Results</x:v>
      </x:c>
      <x:c r="AM345" s="9" t="n">
        <x:v>45</x:v>
      </x:c>
      <x:c r="AN345" s="9" t="n">
        <x:v>45</x:v>
      </x:c>
    </x:row>
    <x:row r="346">
      <x:c r="A346" s="9" t="str">
        <x:v>Success</x:v>
      </x:c>
      <x:c r="B346" s="9" t="str">
        <x:v>Ordinal Reference Ordering</x:v>
      </x:c>
      <x:c r="C346" s="10" t="n">
        <x:v>44</x:v>
      </x:c>
      <x:c r="D346" s="9" t="str">
        <x:v>Pick up the object that is third from the left and place it in the bowl.</x:v>
      </x:c>
      <x:c r="E346" s="9" t="str">
        <x:v>L1: yellow pen, L2: airplane toy with propellers, L3: green highlighter</x:v>
      </x:c>
      <x:c r="F346" s="9" t="str">
        <x:v>green highlighter</x:v>
      </x:c>
      <x:c r="G346" s="9" t="str">
        <x:v>failed reasoning; picked the airplane toy at first, dropped it, and then during recovery got the green highlighter</x:v>
      </x:c>
      <x:c r="H346" s="9" t="str">
        <x:v>Concept/compositional transfer</x:v>
      </x:c>
      <x:c r="I346" s="9" t="str">
        <x:v>CT-CF04-N3-04</x:v>
      </x:c>
      <x:c r="J346" s="9" t="str">
        <x:v>Masked cell n=3, L3, green highlighter</x:v>
      </x:c>
      <x:c r="K346" s="9"/>
      <x:c r="L346" s="9"/>
      <x:c r="M346" s="9"/>
      <x:c r="N346" s="9" t="str">
        <x:v>2 — Full transfer/control/language families</x:v>
      </x:c>
      <x:c r="O346" s="9" t="str">
        <x:v>Build this new scene family exactly from the L1–L4 description and save a first-frame reference image.</x:v>
      </x:c>
      <x:c r="P346" s="9" t="str">
        <x:v>The final manifest masks this exact sequence-length × physical-position × target-identity cell. Both equivalent left- and right-based descriptions are absent for this cell, while the canonical instruction wording occurs elsewhere in training.</x:v>
      </x:c>
      <x:c r="Q346" s="9"/>
      <x:c r="R346" s="10" t="n">
        <x:v>3</x:v>
      </x:c>
      <x:c r="S346" s="10"/>
      <x:c r="T346" s="9"/>
      <x:c r="U346" s="9"/>
      <x:c r="V346" s="9"/>
      <x:c r="W346" s="9" t="str">
        <x:v>CT-CF04-N3-04</x:v>
      </x:c>
      <x:c r="X346" s="10"/>
      <x:c r="Y346" s="10"/>
      <x:c r="Z346" s="9"/>
      <x:c r="AA346" s="9" t="str">
        <x:v>L3</x:v>
      </x:c>
      <x:c r="AB346" s="9" t="str">
        <x:v>third from left</x:v>
      </x:c>
      <x:c r="AC346" s="9"/>
      <x:c r="AD346" s="9"/>
      <x:c r="AE346" s="9"/>
      <x:c r="AF346" s="9"/>
      <x:c r="AG346" s="9"/>
      <x:c r="AH346" s="9"/>
      <x:c r="AI346" s="11"/>
      <x:c r="AJ346" s="9"/>
      <x:c r="AK346" s="9" t="str">
        <x:v>Eval_Ordinal_Reference_Ordering.xlsm</x:v>
      </x:c>
      <x:c r="AL346" s="9" t="str">
        <x:v>pi0.5 Results</x:v>
      </x:c>
      <x:c r="AM346" s="9" t="n">
        <x:v>46</x:v>
      </x:c>
      <x:c r="AN346" s="9" t="n">
        <x:v>46</x:v>
      </x:c>
    </x:row>
    <x:row r="347">
      <x:c r="A347" s="9" t="str">
        <x:v>Success</x:v>
      </x:c>
      <x:c r="B347" s="9" t="str">
        <x:v>Ordinal Reference Ordering</x:v>
      </x:c>
      <x:c r="C347" s="10" t="n">
        <x:v>45</x:v>
      </x:c>
      <x:c r="D347" s="9" t="str">
        <x:v>Put the green highlighter in the bowl.</x:v>
      </x:c>
      <x:c r="E347" s="9" t="str">
        <x:v>L1: yellow pen, L2: airplane toy with propellers, L3: green highlighter</x:v>
      </x:c>
      <x:c r="F347" s="9" t="str">
        <x:v>green highlighter</x:v>
      </x:c>
      <x:c r="G347" s="9"/>
      <x:c r="H347" s="9" t="str">
        <x:v>Matched manipulation control</x:v>
      </x:c>
      <x:c r="I347" s="9" t="str">
        <x:v>CT-CF04-N3-04</x:v>
      </x:c>
      <x:c r="J347" s="9" t="str">
        <x:v>Exact-scene direct control; training prompt from episode 733</x:v>
      </x:c>
      <x:c r="K347" s="9" t="n">
        <x:v>44</x:v>
      </x:c>
      <x:c r="L347" s="9"/>
      <x:c r="M347" s="9"/>
      <x:c r="N347" s="9" t="str">
        <x:v>2 — Full transfer/control/language families</x:v>
      </x:c>
      <x:c r="O347" s="9" t="str">
        <x:v>Return the previously moved object to its marked position. Do not move any other object; only the prompt changes.</x:v>
      </x:c>
      <x:c r="P347" s="9" t="str">
        <x:v>This is the direct-name prompt assigned to the same masked training cell. It tests recognition and manipulation of the exact transfer target in the exact scene without requiring ordinal selection.</x:v>
      </x:c>
      <x:c r="Q347" s="9"/>
      <x:c r="R347" s="10" t="n">
        <x:v>3</x:v>
      </x:c>
      <x:c r="S347" s="10"/>
      <x:c r="T347" s="9"/>
      <x:c r="U347" s="9"/>
      <x:c r="V347" s="9"/>
      <x:c r="W347" s="9" t="str">
        <x:v>CT-CF04-N3-04</x:v>
      </x:c>
      <x:c r="X347" s="10"/>
      <x:c r="Y347" s="10"/>
      <x:c r="Z347" s="9"/>
      <x:c r="AA347" s="9" t="str">
        <x:v>L3</x:v>
      </x:c>
      <x:c r="AB347" s="9" t="str">
        <x:v>Direct-name control</x:v>
      </x:c>
      <x:c r="AC347" s="9"/>
      <x:c r="AD347" s="9"/>
      <x:c r="AE347" s="9"/>
      <x:c r="AF347" s="9"/>
      <x:c r="AG347" s="9"/>
      <x:c r="AH347" s="9"/>
      <x:c r="AI347" s="11"/>
      <x:c r="AJ347" s="9"/>
      <x:c r="AK347" s="9" t="str">
        <x:v>Eval_Ordinal_Reference_Ordering.xlsm</x:v>
      </x:c>
      <x:c r="AL347" s="9" t="str">
        <x:v>pi0.5 Results</x:v>
      </x:c>
      <x:c r="AM347" s="9" t="n">
        <x:v>47</x:v>
      </x:c>
      <x:c r="AN347" s="9" t="n">
        <x:v>47</x:v>
      </x:c>
    </x:row>
    <x:row r="348">
      <x:c r="A348" s="9" t="str">
        <x:v>Failure</x:v>
      </x:c>
      <x:c r="B348" s="9" t="str">
        <x:v>Ordinal Reference Ordering</x:v>
      </x:c>
      <x:c r="C348" s="10" t="n">
        <x:v>46</x:v>
      </x:c>
      <x:c r="D348" s="9" t="str">
        <x:v>Put the item in the third position from the left into the bowl.</x:v>
      </x:c>
      <x:c r="E348" s="9" t="str">
        <x:v>L1: yellow pen, L2: airplane toy with propellers, L3: green highlighter</x:v>
      </x:c>
      <x:c r="F348" s="9" t="str">
        <x:v>green highlighter</x:v>
      </x:c>
      <x:c r="G348" s="9" t="str">
        <x:v>picked airplane toy</x:v>
      </x:c>
      <x:c r="H348" s="9" t="str">
        <x:v>Language robustness</x:v>
      </x:c>
      <x:c r="I348" s="9" t="str">
        <x:v>CT-CF04-N3-04</x:v>
      </x:c>
      <x:c r="J348" s="9" t="str">
        <x:v>Transfer paraphrase</x:v>
      </x:c>
      <x:c r="K348" s="9" t="n">
        <x:v>44</x:v>
      </x:c>
      <x:c r="L348" s="9"/>
      <x:c r="M348" s="9"/>
      <x:c r="N348" s="9" t="str">
        <x:v>2 — Full transfer/control/language families</x:v>
      </x:c>
      <x:c r="O348" s="9" t="str">
        <x:v>Return the previously moved object to its marked position. Do not move any other object; only the prompt changes.</x:v>
      </x:c>
      <x:c r="P348" s="9" t="str">
        <x:v>Exact-scene paraphrase of the referenced canonical transfer row. Exclude this row from the 50-trial primary canonical score.</x:v>
      </x:c>
      <x:c r="Q348" s="9"/>
      <x:c r="R348" s="10" t="n">
        <x:v>3</x:v>
      </x:c>
      <x:c r="S348" s="10"/>
      <x:c r="T348" s="9"/>
      <x:c r="U348" s="9"/>
      <x:c r="V348" s="9"/>
      <x:c r="W348" s="9" t="str">
        <x:v>CT-CF04-N3-04</x:v>
      </x:c>
      <x:c r="X348" s="10"/>
      <x:c r="Y348" s="10"/>
      <x:c r="Z348" s="9"/>
      <x:c r="AA348" s="9" t="str">
        <x:v>L3</x:v>
      </x:c>
      <x:c r="AB348" s="9" t="str">
        <x:v>third from left — paraphrase</x:v>
      </x:c>
      <x:c r="AC348" s="9"/>
      <x:c r="AD348" s="9"/>
      <x:c r="AE348" s="9"/>
      <x:c r="AF348" s="9"/>
      <x:c r="AG348" s="9"/>
      <x:c r="AH348" s="9"/>
      <x:c r="AI348" s="11"/>
      <x:c r="AJ348" s="9"/>
      <x:c r="AK348" s="9" t="str">
        <x:v>Eval_Ordinal_Reference_Ordering.xlsm</x:v>
      </x:c>
      <x:c r="AL348" s="9" t="str">
        <x:v>pi0.5 Results</x:v>
      </x:c>
      <x:c r="AM348" s="9" t="n">
        <x:v>48</x:v>
      </x:c>
      <x:c r="AN348" s="9" t="n">
        <x:v>48</x:v>
      </x:c>
    </x:row>
    <x:row r="349">
      <x:c r="A349" s="9" t="str">
        <x:v>Success</x:v>
      </x:c>
      <x:c r="B349" s="9" t="str">
        <x:v>Ordinal Reference Ordering</x:v>
      </x:c>
      <x:c r="C349" s="10" t="n">
        <x:v>47</x:v>
      </x:c>
      <x:c r="D349" s="9" t="str">
        <x:v>Move the row's green highlighter into the bowl.</x:v>
      </x:c>
      <x:c r="E349" s="9" t="str">
        <x:v>L1: yellow pen, L2: airplane toy with propellers, L3: green highlighter</x:v>
      </x:c>
      <x:c r="F349" s="9" t="str">
        <x:v>green highlighter</x:v>
      </x:c>
      <x:c r="G349" s="9"/>
      <x:c r="H349" s="9" t="str">
        <x:v>Language robustness</x:v>
      </x:c>
      <x:c r="I349" s="9" t="str">
        <x:v>CT-CF04-N3-04</x:v>
      </x:c>
      <x:c r="J349" s="9" t="str">
        <x:v>Matched-control paraphrase</x:v>
      </x:c>
      <x:c r="K349" s="9" t="n">
        <x:v>45</x:v>
      </x:c>
      <x:c r="L349" s="9"/>
      <x:c r="M349" s="9"/>
      <x:c r="N349" s="9" t="str">
        <x:v>2 — Full transfer/control/language families</x:v>
      </x:c>
      <x:c r="O349" s="9" t="str">
        <x:v>Return the previously moved object to its marked position. Do not move any other object; only the prompt changes.</x:v>
      </x:c>
      <x:c r="P349" s="9" t="str">
        <x:v>Exact-scene paraphrase of the referenced direct-name control. This tests wording sensitivity without changing the target or physical scene.</x:v>
      </x:c>
      <x:c r="Q349" s="9"/>
      <x:c r="R349" s="10" t="n">
        <x:v>3</x:v>
      </x:c>
      <x:c r="S349" s="10"/>
      <x:c r="T349" s="9"/>
      <x:c r="U349" s="9"/>
      <x:c r="V349" s="9"/>
      <x:c r="W349" s="9" t="str">
        <x:v>CT-CF04-N3-04</x:v>
      </x:c>
      <x:c r="X349" s="10"/>
      <x:c r="Y349" s="10"/>
      <x:c r="Z349" s="9"/>
      <x:c r="AA349" s="9" t="str">
        <x:v>L3</x:v>
      </x:c>
      <x:c r="AB349" s="9" t="str">
        <x:v>Direct-name paraphrase</x:v>
      </x:c>
      <x:c r="AC349" s="9"/>
      <x:c r="AD349" s="9"/>
      <x:c r="AE349" s="9"/>
      <x:c r="AF349" s="9"/>
      <x:c r="AG349" s="9"/>
      <x:c r="AH349" s="9"/>
      <x:c r="AI349" s="11"/>
      <x:c r="AJ349" s="9"/>
      <x:c r="AK349" s="9" t="str">
        <x:v>Eval_Ordinal_Reference_Ordering.xlsm</x:v>
      </x:c>
      <x:c r="AL349" s="9" t="str">
        <x:v>pi0.5 Results</x:v>
      </x:c>
      <x:c r="AM349" s="9" t="n">
        <x:v>49</x:v>
      </x:c>
      <x:c r="AN349" s="9" t="n">
        <x:v>49</x:v>
      </x:c>
    </x:row>
    <x:row r="350">
      <x:c r="A350" s="9" t="str">
        <x:v>Success</x:v>
      </x:c>
      <x:c r="B350" s="9" t="str">
        <x:v>Ordinal Reference Ordering</x:v>
      </x:c>
      <x:c r="C350" s="10" t="n">
        <x:v>48</x:v>
      </x:c>
      <x:c r="D350" s="9" t="str">
        <x:v>Grasp the yellow pen, then release it inside the bowl.</x:v>
      </x:c>
      <x:c r="E350" s="9" t="str">
        <x:v>L1: yellow pen, L2: airplane toy with propellers, L3: green highlighter</x:v>
      </x:c>
      <x:c r="F350" s="9" t="str">
        <x:v>yellow pen</x:v>
      </x:c>
      <x:c r="G350" s="9"/>
      <x:c r="H350" s="9" t="str">
        <x:v>Language robustness</x:v>
      </x:c>
      <x:c r="I350" s="9" t="str">
        <x:v>CT-CF04-N3-04</x:v>
      </x:c>
      <x:c r="J350" s="9" t="str">
        <x:v>Matched-control paraphrase</x:v>
      </x:c>
      <x:c r="K350" s="9" t="n">
        <x:v>50</x:v>
      </x:c>
      <x:c r="L350" s="9"/>
      <x:c r="M350" s="9"/>
      <x:c r="N350" s="9" t="str">
        <x:v>2 — Full transfer/control/language families</x:v>
      </x:c>
      <x:c r="O350" s="9" t="str">
        <x:v>Return the previously moved object to its marked position. Do not move any other object; only the prompt changes.</x:v>
      </x:c>
      <x:c r="P350" s="9" t="str">
        <x:v>Exact-scene paraphrase of the referenced direct-name control. This tests wording sensitivity without changing the target or physical scene.</x:v>
      </x:c>
      <x:c r="Q350" s="9"/>
      <x:c r="R350" s="10" t="n">
        <x:v>3</x:v>
      </x:c>
      <x:c r="S350" s="10"/>
      <x:c r="T350" s="9"/>
      <x:c r="U350" s="9"/>
      <x:c r="V350" s="9"/>
      <x:c r="W350" s="9" t="str">
        <x:v>CT-CF04-N3-04</x:v>
      </x:c>
      <x:c r="X350" s="10"/>
      <x:c r="Y350" s="10"/>
      <x:c r="Z350" s="9"/>
      <x:c r="AA350" s="9" t="str">
        <x:v>L1</x:v>
      </x:c>
      <x:c r="AB350" s="9" t="str">
        <x:v>Direct-name paraphrase</x:v>
      </x:c>
      <x:c r="AC350" s="9"/>
      <x:c r="AD350" s="9"/>
      <x:c r="AE350" s="9"/>
      <x:c r="AF350" s="9"/>
      <x:c r="AG350" s="9"/>
      <x:c r="AH350" s="9"/>
      <x:c r="AI350" s="11"/>
      <x:c r="AJ350" s="9"/>
      <x:c r="AK350" s="9" t="str">
        <x:v>Eval_Ordinal_Reference_Ordering.xlsm</x:v>
      </x:c>
      <x:c r="AL350" s="9" t="str">
        <x:v>pi0.5 Results</x:v>
      </x:c>
      <x:c r="AM350" s="9" t="n">
        <x:v>50</x:v>
      </x:c>
      <x:c r="AN350" s="9" t="n">
        <x:v>50</x:v>
      </x:c>
    </x:row>
    <x:row r="351">
      <x:c r="A351" s="9" t="str">
        <x:v>Failure</x:v>
      </x:c>
      <x:c r="B351" s="9" t="str">
        <x:v>Ordinal Reference Ordering</x:v>
      </x:c>
      <x:c r="C351" s="10" t="n">
        <x:v>49</x:v>
      </x:c>
      <x:c r="D351" s="9" t="str">
        <x:v>Count from the left; place item number 1 in the bowl.</x:v>
      </x:c>
      <x:c r="E351" s="9" t="str">
        <x:v>L1: yellow pen, L2: airplane toy with propellers, L3: green highlighter</x:v>
      </x:c>
      <x:c r="F351" s="9" t="str">
        <x:v>yellow pen</x:v>
      </x:c>
      <x:c r="G351" s="9" t="str">
        <x:v>picked airplane toy</x:v>
      </x:c>
      <x:c r="H351" s="9" t="str">
        <x:v>Language robustness</x:v>
      </x:c>
      <x:c r="I351" s="9" t="str">
        <x:v>CT-CF04-N3-04</x:v>
      </x:c>
      <x:c r="J351" s="9" t="str">
        <x:v>Transfer paraphrase</x:v>
      </x:c>
      <x:c r="K351" s="9" t="n">
        <x:v>51</x:v>
      </x:c>
      <x:c r="L351" s="9"/>
      <x:c r="M351" s="9"/>
      <x:c r="N351" s="9" t="str">
        <x:v>2 — Full transfer/control/language families</x:v>
      </x:c>
      <x:c r="O351" s="9" t="str">
        <x:v>Return the previously moved object to its marked position. Do not move any other object; only the prompt changes.</x:v>
      </x:c>
      <x:c r="P351" s="9" t="str">
        <x:v>Exact-scene paraphrase of the referenced canonical transfer row. Exclude this row from the 50-trial primary canonical score.</x:v>
      </x:c>
      <x:c r="Q351" s="9"/>
      <x:c r="R351" s="10" t="n">
        <x:v>3</x:v>
      </x:c>
      <x:c r="S351" s="10"/>
      <x:c r="T351" s="9"/>
      <x:c r="U351" s="9"/>
      <x:c r="V351" s="9"/>
      <x:c r="W351" s="9" t="str">
        <x:v>CT-CF04-N3-04</x:v>
      </x:c>
      <x:c r="X351" s="10"/>
      <x:c r="Y351" s="10"/>
      <x:c r="Z351" s="9"/>
      <x:c r="AA351" s="9" t="str">
        <x:v>L1</x:v>
      </x:c>
      <x:c r="AB351" s="9" t="str">
        <x:v>first from left — paraphrase</x:v>
      </x:c>
      <x:c r="AC351" s="9"/>
      <x:c r="AD351" s="9"/>
      <x:c r="AE351" s="9"/>
      <x:c r="AF351" s="9"/>
      <x:c r="AG351" s="9"/>
      <x:c r="AH351" s="9"/>
      <x:c r="AI351" s="11"/>
      <x:c r="AJ351" s="9"/>
      <x:c r="AK351" s="9" t="str">
        <x:v>Eval_Ordinal_Reference_Ordering.xlsm</x:v>
      </x:c>
      <x:c r="AL351" s="9" t="str">
        <x:v>pi0.5 Results</x:v>
      </x:c>
      <x:c r="AM351" s="9" t="n">
        <x:v>51</x:v>
      </x:c>
      <x:c r="AN351" s="9" t="n">
        <x:v>51</x:v>
      </x:c>
    </x:row>
    <x:row r="352">
      <x:c r="A352" s="9" t="str">
        <x:v>Success</x:v>
      </x:c>
      <x:c r="B352" s="9" t="str">
        <x:v>Ordinal Reference Ordering</x:v>
      </x:c>
      <x:c r="C352" s="10" t="n">
        <x:v>50</x:v>
      </x:c>
      <x:c r="D352" s="9" t="str">
        <x:v>Put the yellow pen in the bowl.</x:v>
      </x:c>
      <x:c r="E352" s="9" t="str">
        <x:v>L1: yellow pen, L2: airplane toy with propellers, L3: green highlighter</x:v>
      </x:c>
      <x:c r="F352" s="9" t="str">
        <x:v>yellow pen</x:v>
      </x:c>
      <x:c r="G352" s="9"/>
      <x:c r="H352" s="9" t="str">
        <x:v>Matched manipulation control</x:v>
      </x:c>
      <x:c r="I352" s="9" t="str">
        <x:v>CT-CF04-N3-04</x:v>
      </x:c>
      <x:c r="J352" s="9" t="str">
        <x:v>Exact-scene direct control; training prompt from episode 757</x:v>
      </x:c>
      <x:c r="K352" s="9" t="n">
        <x:v>51</x:v>
      </x:c>
      <x:c r="L352" s="9"/>
      <x:c r="M352" s="9"/>
      <x:c r="N352" s="9" t="str">
        <x:v>2 — Full transfer/control/language families</x:v>
      </x:c>
      <x:c r="O352" s="9" t="str">
        <x:v>Return the previously moved object to its marked position. Do not move any other object; only the prompt changes.</x:v>
      </x:c>
      <x:c r="P352" s="9" t="str">
        <x:v>This is the direct-name prompt assigned to the same masked training cell. It tests recognition and manipulation of the exact transfer target in the exact scene without requiring ordinal selection.</x:v>
      </x:c>
      <x:c r="Q352" s="9"/>
      <x:c r="R352" s="10" t="n">
        <x:v>3</x:v>
      </x:c>
      <x:c r="S352" s="10"/>
      <x:c r="T352" s="9"/>
      <x:c r="U352" s="9"/>
      <x:c r="V352" s="9"/>
      <x:c r="W352" s="9" t="str">
        <x:v>CT-CF04-N3-04</x:v>
      </x:c>
      <x:c r="X352" s="10"/>
      <x:c r="Y352" s="10"/>
      <x:c r="Z352" s="9"/>
      <x:c r="AA352" s="9" t="str">
        <x:v>L1</x:v>
      </x:c>
      <x:c r="AB352" s="9" t="str">
        <x:v>Direct-name control</x:v>
      </x:c>
      <x:c r="AC352" s="9"/>
      <x:c r="AD352" s="9"/>
      <x:c r="AE352" s="9"/>
      <x:c r="AF352" s="9"/>
      <x:c r="AG352" s="9"/>
      <x:c r="AH352" s="9"/>
      <x:c r="AI352" s="11"/>
      <x:c r="AJ352" s="9"/>
      <x:c r="AK352" s="9" t="str">
        <x:v>Eval_Ordinal_Reference_Ordering.xlsm</x:v>
      </x:c>
      <x:c r="AL352" s="9" t="str">
        <x:v>pi0.5 Results</x:v>
      </x:c>
      <x:c r="AM352" s="9" t="n">
        <x:v>52</x:v>
      </x:c>
      <x:c r="AN352" s="9" t="n">
        <x:v>52</x:v>
      </x:c>
    </x:row>
    <x:row r="353">
      <x:c r="A353" s="9" t="str">
        <x:v>Failure</x:v>
      </x:c>
      <x:c r="B353" s="9" t="str">
        <x:v>Ordinal Reference Ordering</x:v>
      </x:c>
      <x:c r="C353" s="10" t="n">
        <x:v>51</x:v>
      </x:c>
      <x:c r="D353" s="9" t="str">
        <x:v>Pick up the object that is first from the left and place it in the bowl.</x:v>
      </x:c>
      <x:c r="E353" s="9" t="str">
        <x:v>L1: yellow pen, L2: airplane toy with propellers, L3: green highlighter</x:v>
      </x:c>
      <x:c r="F353" s="9" t="str">
        <x:v>yellow pen</x:v>
      </x:c>
      <x:c r="G353" s="9" t="str">
        <x:v>picked airplane toy</x:v>
      </x:c>
      <x:c r="H353" s="9" t="str">
        <x:v>Concept/compositional transfer</x:v>
      </x:c>
      <x:c r="I353" s="9" t="str">
        <x:v>CT-CF04-N3-04</x:v>
      </x:c>
      <x:c r="J353" s="9" t="str">
        <x:v>Masked cell n=3, L1, yellow pen</x:v>
      </x:c>
      <x:c r="K353" s="9" t="n">
        <x:v>44</x:v>
      </x:c>
      <x:c r="L353" s="9"/>
      <x:c r="M353" s="9"/>
      <x:c r="N353" s="9" t="str">
        <x:v>2 — Full transfer/control/language families</x:v>
      </x:c>
      <x:c r="O353" s="9" t="str">
        <x:v>Return the previously moved object to its marked position. Do not move any other object; only the prompt changes.</x:v>
      </x:c>
      <x:c r="P353" s="9" t="str">
        <x:v>The final manifest masks this exact sequence-length × physical-position × target-identity cell. Both equivalent left- and right-based descriptions are absent for this cell, while the canonical instruction wording occurs elsewhere in training.</x:v>
      </x:c>
      <x:c r="Q353" s="9"/>
      <x:c r="R353" s="10" t="n">
        <x:v>3</x:v>
      </x:c>
      <x:c r="S353" s="10"/>
      <x:c r="T353" s="9"/>
      <x:c r="U353" s="9"/>
      <x:c r="V353" s="9"/>
      <x:c r="W353" s="9" t="str">
        <x:v>CT-CF04-N3-04</x:v>
      </x:c>
      <x:c r="X353" s="10"/>
      <x:c r="Y353" s="10"/>
      <x:c r="Z353" s="9"/>
      <x:c r="AA353" s="9" t="str">
        <x:v>L1</x:v>
      </x:c>
      <x:c r="AB353" s="9" t="str">
        <x:v>first from left</x:v>
      </x:c>
      <x:c r="AC353" s="9"/>
      <x:c r="AD353" s="9"/>
      <x:c r="AE353" s="9"/>
      <x:c r="AF353" s="9"/>
      <x:c r="AG353" s="9"/>
      <x:c r="AH353" s="9"/>
      <x:c r="AI353" s="11"/>
      <x:c r="AJ353" s="9"/>
      <x:c r="AK353" s="9" t="str">
        <x:v>Eval_Ordinal_Reference_Ordering.xlsm</x:v>
      </x:c>
      <x:c r="AL353" s="9" t="str">
        <x:v>pi0.5 Results</x:v>
      </x:c>
      <x:c r="AM353" s="9" t="n">
        <x:v>53</x:v>
      </x:c>
      <x:c r="AN353" s="9" t="n">
        <x:v>53</x:v>
      </x:c>
    </x:row>
    <x:row r="354">
      <x:c r="A354" s="9" t="str">
        <x:v>Success</x:v>
      </x:c>
      <x:c r="B354" s="9" t="str">
        <x:v>Ordinal Reference Ordering</x:v>
      </x:c>
      <x:c r="C354" s="10" t="n">
        <x:v>52</x:v>
      </x:c>
      <x:c r="D354" s="9" t="str">
        <x:v>Pick up the object that is fourth from the right and place it in the bowl.</x:v>
      </x:c>
      <x:c r="E354" s="9" t="str">
        <x:v>L1: airplane toy with propellers, L2: blue tape ball, L3: yellow pen, L4: green highlighter</x:v>
      </x:c>
      <x:c r="F354" s="9" t="str">
        <x:v>airplane toy with propellers</x:v>
      </x:c>
      <x:c r="G354" s="9"/>
      <x:c r="H354" s="9" t="str">
        <x:v>Concept/compositional transfer</x:v>
      </x:c>
      <x:c r="I354" s="9" t="str">
        <x:v>CT-CF05-N4-01</x:v>
      </x:c>
      <x:c r="J354" s="9" t="str">
        <x:v>Masked cell n=4, L1, airplane toy with propellers</x:v>
      </x:c>
      <x:c r="K354" s="9"/>
      <x:c r="L354" s="9"/>
      <x:c r="M354" s="9"/>
      <x:c r="N354" s="9" t="str">
        <x:v>2 — Full transfer/control/language families</x:v>
      </x:c>
      <x:c r="O354" s="9" t="str">
        <x:v>Build this new scene family exactly from the L1–L4 description and save a first-frame reference image.</x:v>
      </x:c>
      <x:c r="P354" s="9" t="str">
        <x:v>The final manifest masks this exact sequence-length × physical-position × target-identity cell. Both equivalent left- and right-based descriptions are absent for this cell, while the canonical instruction wording occurs elsewhere in training.</x:v>
      </x:c>
      <x:c r="Q354" s="9"/>
      <x:c r="R354" s="10" t="n">
        <x:v>4</x:v>
      </x:c>
      <x:c r="S354" s="10"/>
      <x:c r="T354" s="9"/>
      <x:c r="U354" s="9"/>
      <x:c r="V354" s="9"/>
      <x:c r="W354" s="9" t="str">
        <x:v>CT-CF05-N4-01</x:v>
      </x:c>
      <x:c r="X354" s="10"/>
      <x:c r="Y354" s="10"/>
      <x:c r="Z354" s="9"/>
      <x:c r="AA354" s="9" t="str">
        <x:v>L1</x:v>
      </x:c>
      <x:c r="AB354" s="9" t="str">
        <x:v>fourth from right</x:v>
      </x:c>
      <x:c r="AC354" s="9"/>
      <x:c r="AD354" s="9"/>
      <x:c r="AE354" s="9"/>
      <x:c r="AF354" s="9"/>
      <x:c r="AG354" s="9"/>
      <x:c r="AH354" s="9"/>
      <x:c r="AI354" s="11"/>
      <x:c r="AJ354" s="9"/>
      <x:c r="AK354" s="9" t="str">
        <x:v>Eval_Ordinal_Reference_Ordering.xlsm</x:v>
      </x:c>
      <x:c r="AL354" s="9" t="str">
        <x:v>pi0.5 Results</x:v>
      </x:c>
      <x:c r="AM354" s="9" t="n">
        <x:v>54</x:v>
      </x:c>
      <x:c r="AN354" s="9" t="n">
        <x:v>54</x:v>
      </x:c>
    </x:row>
    <x:row r="355">
      <x:c r="A355" s="9" t="str">
        <x:v>Success</x:v>
      </x:c>
      <x:c r="B355" s="9" t="str">
        <x:v>Ordinal Reference Ordering</x:v>
      </x:c>
      <x:c r="C355" s="10" t="n">
        <x:v>53</x:v>
      </x:c>
      <x:c r="D355" s="9" t="str">
        <x:v>Move the airplane toy with propellers into the bowl.</x:v>
      </x:c>
      <x:c r="E355" s="9" t="str">
        <x:v>L1: airplane toy with propellers, L2: blue tape ball, L3: yellow pen, L4: green highlighter</x:v>
      </x:c>
      <x:c r="F355" s="9" t="str">
        <x:v>airplane toy with propellers</x:v>
      </x:c>
      <x:c r="G355" s="9"/>
      <x:c r="H355" s="9" t="str">
        <x:v>Matched manipulation control</x:v>
      </x:c>
      <x:c r="I355" s="9" t="str">
        <x:v>CT-CF05-N4-01</x:v>
      </x:c>
      <x:c r="J355" s="9" t="str">
        <x:v>Exact-scene direct control; training prompt from episode 600</x:v>
      </x:c>
      <x:c r="K355" s="9" t="n">
        <x:v>52</x:v>
      </x:c>
      <x:c r="L355" s="9"/>
      <x:c r="M355" s="9"/>
      <x:c r="N355" s="9" t="str">
        <x:v>2 — Full transfer/control/language families</x:v>
      </x:c>
      <x:c r="O355" s="9" t="str">
        <x:v>Return the previously moved object to its marked position. Do not move any other object; only the prompt changes.</x:v>
      </x:c>
      <x:c r="P355" s="9" t="str">
        <x:v>This is the direct-name prompt assigned to the same masked training cell. It tests recognition and manipulation of the exact transfer target in the exact scene without requiring ordinal selection.</x:v>
      </x:c>
      <x:c r="Q355" s="9"/>
      <x:c r="R355" s="10" t="n">
        <x:v>4</x:v>
      </x:c>
      <x:c r="S355" s="10"/>
      <x:c r="T355" s="9"/>
      <x:c r="U355" s="9"/>
      <x:c r="V355" s="9"/>
      <x:c r="W355" s="9" t="str">
        <x:v>CT-CF05-N4-01</x:v>
      </x:c>
      <x:c r="X355" s="10"/>
      <x:c r="Y355" s="10"/>
      <x:c r="Z355" s="9"/>
      <x:c r="AA355" s="9" t="str">
        <x:v>L1</x:v>
      </x:c>
      <x:c r="AB355" s="9" t="str">
        <x:v>Direct-name control</x:v>
      </x:c>
      <x:c r="AC355" s="9"/>
      <x:c r="AD355" s="9"/>
      <x:c r="AE355" s="9"/>
      <x:c r="AF355" s="9"/>
      <x:c r="AG355" s="9"/>
      <x:c r="AH355" s="9"/>
      <x:c r="AI355" s="11"/>
      <x:c r="AJ355" s="9"/>
      <x:c r="AK355" s="9" t="str">
        <x:v>Eval_Ordinal_Reference_Ordering.xlsm</x:v>
      </x:c>
      <x:c r="AL355" s="9" t="str">
        <x:v>pi0.5 Results</x:v>
      </x:c>
      <x:c r="AM355" s="9" t="n">
        <x:v>55</x:v>
      </x:c>
      <x:c r="AN355" s="9" t="n">
        <x:v>55</x:v>
      </x:c>
    </x:row>
    <x:row r="356">
      <x:c r="A356" s="9" t="str">
        <x:v>Success</x:v>
      </x:c>
      <x:c r="B356" s="9" t="str">
        <x:v>Ordinal Reference Ordering</x:v>
      </x:c>
      <x:c r="C356" s="10" t="n">
        <x:v>54</x:v>
      </x:c>
      <x:c r="D356" s="9" t="str">
        <x:v>Put the item in the fourth position from the right into the bowl.</x:v>
      </x:c>
      <x:c r="E356" s="9" t="str">
        <x:v>L1: airplane toy with propellers, L2: blue tape ball, L3: yellow pen, L4: green highlighter</x:v>
      </x:c>
      <x:c r="F356" s="9" t="str">
        <x:v>airplane toy with propellers</x:v>
      </x:c>
      <x:c r="G356" s="9"/>
      <x:c r="H356" s="9" t="str">
        <x:v>Language robustness</x:v>
      </x:c>
      <x:c r="I356" s="9" t="str">
        <x:v>CT-CF05-N4-01</x:v>
      </x:c>
      <x:c r="J356" s="9" t="str">
        <x:v>Transfer paraphrase</x:v>
      </x:c>
      <x:c r="K356" s="9" t="n">
        <x:v>52</x:v>
      </x:c>
      <x:c r="L356" s="9"/>
      <x:c r="M356" s="9"/>
      <x:c r="N356" s="9" t="str">
        <x:v>2 — Full transfer/control/language families</x:v>
      </x:c>
      <x:c r="O356" s="9" t="str">
        <x:v>Return the previously moved object to its marked position. Do not move any other object; only the prompt changes.</x:v>
      </x:c>
      <x:c r="P356" s="9" t="str">
        <x:v>Exact-scene paraphrase of the referenced canonical transfer row. Exclude this row from the 50-trial primary canonical score.</x:v>
      </x:c>
      <x:c r="Q356" s="9"/>
      <x:c r="R356" s="10" t="n">
        <x:v>4</x:v>
      </x:c>
      <x:c r="S356" s="10"/>
      <x:c r="T356" s="9"/>
      <x:c r="U356" s="9"/>
      <x:c r="V356" s="9"/>
      <x:c r="W356" s="9" t="str">
        <x:v>CT-CF05-N4-01</x:v>
      </x:c>
      <x:c r="X356" s="10"/>
      <x:c r="Y356" s="10"/>
      <x:c r="Z356" s="9"/>
      <x:c r="AA356" s="9" t="str">
        <x:v>L1</x:v>
      </x:c>
      <x:c r="AB356" s="9" t="str">
        <x:v>fourth from right — paraphrase</x:v>
      </x:c>
      <x:c r="AC356" s="9"/>
      <x:c r="AD356" s="9"/>
      <x:c r="AE356" s="9"/>
      <x:c r="AF356" s="9"/>
      <x:c r="AG356" s="9"/>
      <x:c r="AH356" s="9"/>
      <x:c r="AI356" s="11"/>
      <x:c r="AJ356" s="9"/>
      <x:c r="AK356" s="9" t="str">
        <x:v>Eval_Ordinal_Reference_Ordering.xlsm</x:v>
      </x:c>
      <x:c r="AL356" s="9" t="str">
        <x:v>pi0.5 Results</x:v>
      </x:c>
      <x:c r="AM356" s="9" t="n">
        <x:v>56</x:v>
      </x:c>
      <x:c r="AN356" s="9" t="n">
        <x:v>56</x:v>
      </x:c>
    </x:row>
    <x:row r="357">
      <x:c r="A357" s="9" t="str">
        <x:v>Success</x:v>
      </x:c>
      <x:c r="B357" s="9" t="str">
        <x:v>Ordinal Reference Ordering</x:v>
      </x:c>
      <x:c r="C357" s="10" t="n">
        <x:v>55</x:v>
      </x:c>
      <x:c r="D357" s="9" t="str">
        <x:v>Move the row's airplane toy with propellers into the bowl.</x:v>
      </x:c>
      <x:c r="E357" s="9" t="str">
        <x:v>L1: airplane toy with propellers, L2: blue tape ball, L3: yellow pen, L4: green highlighter</x:v>
      </x:c>
      <x:c r="F357" s="9" t="str">
        <x:v>airplane toy with propellers</x:v>
      </x:c>
      <x:c r="G357" s="9"/>
      <x:c r="H357" s="9" t="str">
        <x:v>Language robustness</x:v>
      </x:c>
      <x:c r="I357" s="9" t="str">
        <x:v>CT-CF05-N4-01</x:v>
      </x:c>
      <x:c r="J357" s="9" t="str">
        <x:v>Matched-control paraphrase</x:v>
      </x:c>
      <x:c r="K357" s="9" t="n">
        <x:v>53</x:v>
      </x:c>
      <x:c r="L357" s="9"/>
      <x:c r="M357" s="9"/>
      <x:c r="N357" s="9" t="str">
        <x:v>2 — Full transfer/control/language families</x:v>
      </x:c>
      <x:c r="O357" s="9" t="str">
        <x:v>Return the previously moved object to its marked position. Do not move any other object; only the prompt changes.</x:v>
      </x:c>
      <x:c r="P357" s="9" t="str">
        <x:v>Exact-scene paraphrase of the referenced direct-name control. This tests wording sensitivity without changing the target or physical scene.</x:v>
      </x:c>
      <x:c r="Q357" s="9"/>
      <x:c r="R357" s="10" t="n">
        <x:v>4</x:v>
      </x:c>
      <x:c r="S357" s="10"/>
      <x:c r="T357" s="9"/>
      <x:c r="U357" s="9"/>
      <x:c r="V357" s="9"/>
      <x:c r="W357" s="9" t="str">
        <x:v>CT-CF05-N4-01</x:v>
      </x:c>
      <x:c r="X357" s="10"/>
      <x:c r="Y357" s="10"/>
      <x:c r="Z357" s="9"/>
      <x:c r="AA357" s="9" t="str">
        <x:v>L1</x:v>
      </x:c>
      <x:c r="AB357" s="9" t="str">
        <x:v>Direct-name paraphrase</x:v>
      </x:c>
      <x:c r="AC357" s="9"/>
      <x:c r="AD357" s="9"/>
      <x:c r="AE357" s="9"/>
      <x:c r="AF357" s="9"/>
      <x:c r="AG357" s="9"/>
      <x:c r="AH357" s="9"/>
      <x:c r="AI357" s="11"/>
      <x:c r="AJ357" s="9"/>
      <x:c r="AK357" s="9" t="str">
        <x:v>Eval_Ordinal_Reference_Ordering.xlsm</x:v>
      </x:c>
      <x:c r="AL357" s="9" t="str">
        <x:v>pi0.5 Results</x:v>
      </x:c>
      <x:c r="AM357" s="9" t="n">
        <x:v>57</x:v>
      </x:c>
      <x:c r="AN357" s="9" t="n">
        <x:v>57</x:v>
      </x:c>
    </x:row>
    <x:row r="358">
      <x:c r="A358" s="9" t="str">
        <x:v>Success</x:v>
      </x:c>
      <x:c r="B358" s="9" t="str">
        <x:v>Ordinal Reference Ordering</x:v>
      </x:c>
      <x:c r="C358" s="10" t="n">
        <x:v>56</x:v>
      </x:c>
      <x:c r="D358" s="9" t="str">
        <x:v>Take the blue tape ball from the row and set it inside the bowl.</x:v>
      </x:c>
      <x:c r="E358" s="9" t="str">
        <x:v>L1: airplane toy with propellers, L2: blue tape ball, L3: yellow pen, L4: green highlighter</x:v>
      </x:c>
      <x:c r="F358" s="9" t="str">
        <x:v>blue tape ball</x:v>
      </x:c>
      <x:c r="G358" s="9"/>
      <x:c r="H358" s="9" t="str">
        <x:v>Language robustness</x:v>
      </x:c>
      <x:c r="I358" s="9" t="str">
        <x:v>CT-CF05-N4-01</x:v>
      </x:c>
      <x:c r="J358" s="9" t="str">
        <x:v>Matched-control paraphrase</x:v>
      </x:c>
      <x:c r="K358" s="9" t="n">
        <x:v>58</x:v>
      </x:c>
      <x:c r="L358" s="9"/>
      <x:c r="M358" s="9"/>
      <x:c r="N358" s="9" t="str">
        <x:v>2 — Full transfer/control/language families</x:v>
      </x:c>
      <x:c r="O358" s="9" t="str">
        <x:v>Return the previously moved object to its marked position. Do not move any other object; only the prompt changes.</x:v>
      </x:c>
      <x:c r="P358" s="9" t="str">
        <x:v>Exact-scene paraphrase of the referenced direct-name control. This tests wording sensitivity without changing the target or physical scene.</x:v>
      </x:c>
      <x:c r="Q358" s="9"/>
      <x:c r="R358" s="10" t="n">
        <x:v>4</x:v>
      </x:c>
      <x:c r="S358" s="10"/>
      <x:c r="T358" s="9"/>
      <x:c r="U358" s="9"/>
      <x:c r="V358" s="9"/>
      <x:c r="W358" s="9" t="str">
        <x:v>CT-CF05-N4-01</x:v>
      </x:c>
      <x:c r="X358" s="10"/>
      <x:c r="Y358" s="10"/>
      <x:c r="Z358" s="9"/>
      <x:c r="AA358" s="9" t="str">
        <x:v>L2</x:v>
      </x:c>
      <x:c r="AB358" s="9" t="str">
        <x:v>Direct-name paraphrase</x:v>
      </x:c>
      <x:c r="AC358" s="9"/>
      <x:c r="AD358" s="9"/>
      <x:c r="AE358" s="9"/>
      <x:c r="AF358" s="9"/>
      <x:c r="AG358" s="9"/>
      <x:c r="AH358" s="9"/>
      <x:c r="AI358" s="11"/>
      <x:c r="AJ358" s="9"/>
      <x:c r="AK358" s="9" t="str">
        <x:v>Eval_Ordinal_Reference_Ordering.xlsm</x:v>
      </x:c>
      <x:c r="AL358" s="9" t="str">
        <x:v>pi0.5 Results</x:v>
      </x:c>
      <x:c r="AM358" s="9" t="n">
        <x:v>58</x:v>
      </x:c>
      <x:c r="AN358" s="9" t="n">
        <x:v>58</x:v>
      </x:c>
    </x:row>
    <x:row r="359">
      <x:c r="A359" s="9" t="str">
        <x:v>Failure</x:v>
      </x:c>
      <x:c r="B359" s="9" t="str">
        <x:v>Ordinal Reference Ordering</x:v>
      </x:c>
      <x:c r="C359" s="10" t="n">
        <x:v>57</x:v>
      </x:c>
      <x:c r="D359" s="9" t="str">
        <x:v>Place the item occupying position second when counted from the left into the bowl.</x:v>
      </x:c>
      <x:c r="E359" s="9" t="str">
        <x:v>L1: airplane toy with propellers, L2: blue tape ball, L3: yellow pen, L4: green highlighter</x:v>
      </x:c>
      <x:c r="F359" s="9" t="str">
        <x:v>blue tape ball</x:v>
      </x:c>
      <x:c r="G359" s="9" t="str">
        <x:v>picked yellow pen</x:v>
      </x:c>
      <x:c r="H359" s="9" t="str">
        <x:v>Language robustness</x:v>
      </x:c>
      <x:c r="I359" s="9" t="str">
        <x:v>CT-CF05-N4-01</x:v>
      </x:c>
      <x:c r="J359" s="9" t="str">
        <x:v>Transfer paraphrase</x:v>
      </x:c>
      <x:c r="K359" s="9" t="n">
        <x:v>59</x:v>
      </x:c>
      <x:c r="L359" s="9"/>
      <x:c r="M359" s="9"/>
      <x:c r="N359" s="9" t="str">
        <x:v>2 — Full transfer/control/language families</x:v>
      </x:c>
      <x:c r="O359" s="9" t="str">
        <x:v>Return the previously moved object to its marked position. Do not move any other object; only the prompt changes.</x:v>
      </x:c>
      <x:c r="P359" s="9" t="str">
        <x:v>Exact-scene paraphrase of the referenced canonical transfer row. Exclude this row from the 50-trial primary canonical score.</x:v>
      </x:c>
      <x:c r="Q359" s="9"/>
      <x:c r="R359" s="10" t="n">
        <x:v>4</x:v>
      </x:c>
      <x:c r="S359" s="10"/>
      <x:c r="T359" s="9"/>
      <x:c r="U359" s="9"/>
      <x:c r="V359" s="9"/>
      <x:c r="W359" s="9" t="str">
        <x:v>CT-CF05-N4-01</x:v>
      </x:c>
      <x:c r="X359" s="10"/>
      <x:c r="Y359" s="10"/>
      <x:c r="Z359" s="9"/>
      <x:c r="AA359" s="9" t="str">
        <x:v>L2</x:v>
      </x:c>
      <x:c r="AB359" s="9" t="str">
        <x:v>second from left — paraphrase</x:v>
      </x:c>
      <x:c r="AC359" s="9"/>
      <x:c r="AD359" s="9"/>
      <x:c r="AE359" s="9"/>
      <x:c r="AF359" s="9"/>
      <x:c r="AG359" s="9"/>
      <x:c r="AH359" s="9"/>
      <x:c r="AI359" s="11"/>
      <x:c r="AJ359" s="9"/>
      <x:c r="AK359" s="9" t="str">
        <x:v>Eval_Ordinal_Reference_Ordering.xlsm</x:v>
      </x:c>
      <x:c r="AL359" s="9" t="str">
        <x:v>pi0.5 Results</x:v>
      </x:c>
      <x:c r="AM359" s="9" t="n">
        <x:v>59</x:v>
      </x:c>
      <x:c r="AN359" s="9" t="n">
        <x:v>59</x:v>
      </x:c>
    </x:row>
    <x:row r="360">
      <x:c r="A360" s="9" t="str">
        <x:v>Success</x:v>
      </x:c>
      <x:c r="B360" s="9" t="str">
        <x:v>Ordinal Reference Ordering</x:v>
      </x:c>
      <x:c r="C360" s="10" t="n">
        <x:v>58</x:v>
      </x:c>
      <x:c r="D360" s="9" t="str">
        <x:v>Put the blue tape ball in the bowl.</x:v>
      </x:c>
      <x:c r="E360" s="9" t="str">
        <x:v>L1: airplane toy with propellers, L2: blue tape ball, L3: yellow pen, L4: green highlighter</x:v>
      </x:c>
      <x:c r="F360" s="9" t="str">
        <x:v>blue tape ball</x:v>
      </x:c>
      <x:c r="G360" s="9"/>
      <x:c r="H360" s="9" t="str">
        <x:v>Matched manipulation control</x:v>
      </x:c>
      <x:c r="I360" s="9" t="str">
        <x:v>CT-CF05-N4-01</x:v>
      </x:c>
      <x:c r="J360" s="9" t="str">
        <x:v>Exact-scene direct control; training prompt from episode 667</x:v>
      </x:c>
      <x:c r="K360" s="9" t="n">
        <x:v>59</x:v>
      </x:c>
      <x:c r="L360" s="9"/>
      <x:c r="M360" s="9"/>
      <x:c r="N360" s="9" t="str">
        <x:v>2 — Full transfer/control/language families</x:v>
      </x:c>
      <x:c r="O360" s="9" t="str">
        <x:v>Return the previously moved object to its marked position. Do not move any other object; only the prompt changes.</x:v>
      </x:c>
      <x:c r="P360" s="9" t="str">
        <x:v>This is the direct-name prompt assigned to the same masked training cell. It tests recognition and manipulation of the exact transfer target in the exact scene without requiring ordinal selection.</x:v>
      </x:c>
      <x:c r="Q360" s="9"/>
      <x:c r="R360" s="10" t="n">
        <x:v>4</x:v>
      </x:c>
      <x:c r="S360" s="10"/>
      <x:c r="T360" s="9"/>
      <x:c r="U360" s="9"/>
      <x:c r="V360" s="9"/>
      <x:c r="W360" s="9" t="str">
        <x:v>CT-CF05-N4-01</x:v>
      </x:c>
      <x:c r="X360" s="10"/>
      <x:c r="Y360" s="10"/>
      <x:c r="Z360" s="9"/>
      <x:c r="AA360" s="9" t="str">
        <x:v>L2</x:v>
      </x:c>
      <x:c r="AB360" s="9" t="str">
        <x:v>Direct-name control</x:v>
      </x:c>
      <x:c r="AC360" s="9"/>
      <x:c r="AD360" s="9"/>
      <x:c r="AE360" s="9"/>
      <x:c r="AF360" s="9"/>
      <x:c r="AG360" s="9"/>
      <x:c r="AH360" s="9"/>
      <x:c r="AI360" s="11"/>
      <x:c r="AJ360" s="9"/>
      <x:c r="AK360" s="9" t="str">
        <x:v>Eval_Ordinal_Reference_Ordering.xlsm</x:v>
      </x:c>
      <x:c r="AL360" s="9" t="str">
        <x:v>pi0.5 Results</x:v>
      </x:c>
      <x:c r="AM360" s="9" t="n">
        <x:v>60</x:v>
      </x:c>
      <x:c r="AN360" s="9" t="n">
        <x:v>60</x:v>
      </x:c>
    </x:row>
    <x:row r="361">
      <x:c r="A361" s="9" t="str">
        <x:v>Failure</x:v>
      </x:c>
      <x:c r="B361" s="9" t="str">
        <x:v>Ordinal Reference Ordering</x:v>
      </x:c>
      <x:c r="C361" s="10" t="n">
        <x:v>59</x:v>
      </x:c>
      <x:c r="D361" s="9" t="str">
        <x:v>Pick up the object that is second from the left and place it in the bowl.</x:v>
      </x:c>
      <x:c r="E361" s="9" t="str">
        <x:v>L1: airplane toy with propellers, L2: blue tape ball, L3: yellow pen, L4: green highlighter</x:v>
      </x:c>
      <x:c r="F361" s="9" t="str">
        <x:v>blue tape ball</x:v>
      </x:c>
      <x:c r="G361" s="9" t="str">
        <x:v>picked airplane toy</x:v>
      </x:c>
      <x:c r="H361" s="9" t="str">
        <x:v>Concept/compositional transfer</x:v>
      </x:c>
      <x:c r="I361" s="9" t="str">
        <x:v>CT-CF05-N4-01</x:v>
      </x:c>
      <x:c r="J361" s="9" t="str">
        <x:v>Masked cell n=4, L2, blue tape ball</x:v>
      </x:c>
      <x:c r="K361" s="9" t="n">
        <x:v>52</x:v>
      </x:c>
      <x:c r="L361" s="9"/>
      <x:c r="M361" s="9"/>
      <x:c r="N361" s="9" t="str">
        <x:v>2 — Full transfer/control/language families</x:v>
      </x:c>
      <x:c r="O361" s="9" t="str">
        <x:v>Return the previously moved object to its marked position. Do not move any other object; only the prompt changes.</x:v>
      </x:c>
      <x:c r="P361" s="9" t="str">
        <x:v>The final manifest masks this exact sequence-length × physical-position × target-identity cell. Both equivalent left- and right-based descriptions are absent for this cell, while the canonical instruction wording occurs elsewhere in training.</x:v>
      </x:c>
      <x:c r="Q361" s="9"/>
      <x:c r="R361" s="10" t="n">
        <x:v>4</x:v>
      </x:c>
      <x:c r="S361" s="10"/>
      <x:c r="T361" s="9"/>
      <x:c r="U361" s="9"/>
      <x:c r="V361" s="9"/>
      <x:c r="W361" s="9" t="str">
        <x:v>CT-CF05-N4-01</x:v>
      </x:c>
      <x:c r="X361" s="10"/>
      <x:c r="Y361" s="10"/>
      <x:c r="Z361" s="9"/>
      <x:c r="AA361" s="9" t="str">
        <x:v>L2</x:v>
      </x:c>
      <x:c r="AB361" s="9" t="str">
        <x:v>second from left</x:v>
      </x:c>
      <x:c r="AC361" s="9"/>
      <x:c r="AD361" s="9"/>
      <x:c r="AE361" s="9"/>
      <x:c r="AF361" s="9"/>
      <x:c r="AG361" s="9"/>
      <x:c r="AH361" s="9"/>
      <x:c r="AI361" s="11"/>
      <x:c r="AJ361" s="9"/>
      <x:c r="AK361" s="9" t="str">
        <x:v>Eval_Ordinal_Reference_Ordering.xlsm</x:v>
      </x:c>
      <x:c r="AL361" s="9" t="str">
        <x:v>pi0.5 Results</x:v>
      </x:c>
      <x:c r="AM361" s="9" t="n">
        <x:v>61</x:v>
      </x:c>
      <x:c r="AN361" s="9" t="n">
        <x:v>61</x:v>
      </x:c>
    </x:row>
    <x:row r="362">
      <x:c r="A362" s="9" t="str">
        <x:v>Success</x:v>
      </x:c>
      <x:c r="B362" s="9" t="str">
        <x:v>Ordinal Reference Ordering</x:v>
      </x:c>
      <x:c r="C362" s="10" t="n">
        <x:v>60</x:v>
      </x:c>
      <x:c r="D362" s="9" t="str">
        <x:v>Pick up the object that is second from the left and place it in the bowl.</x:v>
      </x:c>
      <x:c r="E362" s="9" t="str">
        <x:v>L1: green highlighter, L2: blue tape ball</x:v>
      </x:c>
      <x:c r="F362" s="9" t="str">
        <x:v>blue tape ball</x:v>
      </x:c>
      <x:c r="G362" s="9"/>
      <x:c r="H362" s="9" t="str">
        <x:v>Concept/compositional transfer</x:v>
      </x:c>
      <x:c r="I362" s="9" t="str">
        <x:v>CT-CF06-N2-03</x:v>
      </x:c>
      <x:c r="J362" s="9" t="str">
        <x:v>Masked cell n=2, L2, blue tape ball</x:v>
      </x:c>
      <x:c r="K362" s="9"/>
      <x:c r="L362" s="9"/>
      <x:c r="M362" s="9"/>
      <x:c r="N362" s="9" t="str">
        <x:v>3 — Transfer + matched-control families</x:v>
      </x:c>
      <x:c r="O362" s="9" t="str">
        <x:v>Build this new scene family exactly from the L1–L4 description and save a first-frame reference image.</x:v>
      </x:c>
      <x:c r="P362" s="9" t="str">
        <x:v>The final manifest masks this exact sequence-length × physical-position × target-identity cell. Both equivalent left- and right-based descriptions are absent for this cell, while the canonical instruction wording occurs elsewhere in training.</x:v>
      </x:c>
      <x:c r="Q362" s="9"/>
      <x:c r="R362" s="10" t="n">
        <x:v>2</x:v>
      </x:c>
      <x:c r="S362" s="10"/>
      <x:c r="T362" s="9"/>
      <x:c r="U362" s="9"/>
      <x:c r="V362" s="9"/>
      <x:c r="W362" s="9" t="str">
        <x:v>CT-CF06-N2-03</x:v>
      </x:c>
      <x:c r="X362" s="10"/>
      <x:c r="Y362" s="10"/>
      <x:c r="Z362" s="9"/>
      <x:c r="AA362" s="9" t="str">
        <x:v>L2</x:v>
      </x:c>
      <x:c r="AB362" s="9" t="str">
        <x:v>second from left</x:v>
      </x:c>
      <x:c r="AC362" s="9"/>
      <x:c r="AD362" s="9"/>
      <x:c r="AE362" s="9"/>
      <x:c r="AF362" s="9"/>
      <x:c r="AG362" s="9"/>
      <x:c r="AH362" s="9"/>
      <x:c r="AI362" s="11"/>
      <x:c r="AJ362" s="9"/>
      <x:c r="AK362" s="9" t="str">
        <x:v>Eval_Ordinal_Reference_Ordering.xlsm</x:v>
      </x:c>
      <x:c r="AL362" s="9" t="str">
        <x:v>pi0.5 Results</x:v>
      </x:c>
      <x:c r="AM362" s="9" t="n">
        <x:v>62</x:v>
      </x:c>
      <x:c r="AN362" s="9" t="n">
        <x:v>62</x:v>
      </x:c>
    </x:row>
    <x:row r="363">
      <x:c r="A363" s="9" t="str">
        <x:v>Success</x:v>
      </x:c>
      <x:c r="B363" s="9" t="str">
        <x:v>Ordinal Reference Ordering</x:v>
      </x:c>
      <x:c r="C363" s="10" t="n">
        <x:v>61</x:v>
      </x:c>
      <x:c r="D363" s="9" t="str">
        <x:v>Pick up the blue tape ball and place it in the bowl.</x:v>
      </x:c>
      <x:c r="E363" s="9" t="str">
        <x:v>L1: green highlighter, L2: blue tape ball</x:v>
      </x:c>
      <x:c r="F363" s="9" t="str">
        <x:v>blue tape ball</x:v>
      </x:c>
      <x:c r="G363" s="9"/>
      <x:c r="H363" s="9" t="str">
        <x:v>Matched manipulation control</x:v>
      </x:c>
      <x:c r="I363" s="9" t="str">
        <x:v>CT-CF06-N2-03</x:v>
      </x:c>
      <x:c r="J363" s="9" t="str">
        <x:v>Exact-scene direct control; training prompt from episode 668</x:v>
      </x:c>
      <x:c r="K363" s="9" t="n">
        <x:v>60</x:v>
      </x:c>
      <x:c r="L363" s="9"/>
      <x:c r="M363" s="9"/>
      <x:c r="N363" s="9" t="str">
        <x:v>3 — Transfer + matched-control families</x:v>
      </x:c>
      <x:c r="O363" s="9" t="str">
        <x:v>Return the previously moved object to its marked position. Do not move any other object; only the prompt changes.</x:v>
      </x:c>
      <x:c r="P363" s="9" t="str">
        <x:v>This is the direct-name prompt assigned to the same masked training cell. It tests recognition and manipulation of the exact transfer target in the exact scene without requiring ordinal selection.</x:v>
      </x:c>
      <x:c r="Q363" s="9"/>
      <x:c r="R363" s="10" t="n">
        <x:v>2</x:v>
      </x:c>
      <x:c r="S363" s="10"/>
      <x:c r="T363" s="9"/>
      <x:c r="U363" s="9"/>
      <x:c r="V363" s="9"/>
      <x:c r="W363" s="9" t="str">
        <x:v>CT-CF06-N2-03</x:v>
      </x:c>
      <x:c r="X363" s="10"/>
      <x:c r="Y363" s="10"/>
      <x:c r="Z363" s="9"/>
      <x:c r="AA363" s="9" t="str">
        <x:v>L2</x:v>
      </x:c>
      <x:c r="AB363" s="9" t="str">
        <x:v>Direct-name control</x:v>
      </x:c>
      <x:c r="AC363" s="9"/>
      <x:c r="AD363" s="9"/>
      <x:c r="AE363" s="9"/>
      <x:c r="AF363" s="9"/>
      <x:c r="AG363" s="9"/>
      <x:c r="AH363" s="9"/>
      <x:c r="AI363" s="11"/>
      <x:c r="AJ363" s="9"/>
      <x:c r="AK363" s="9" t="str">
        <x:v>Eval_Ordinal_Reference_Ordering.xlsm</x:v>
      </x:c>
      <x:c r="AL363" s="9" t="str">
        <x:v>pi0.5 Results</x:v>
      </x:c>
      <x:c r="AM363" s="9" t="n">
        <x:v>63</x:v>
      </x:c>
      <x:c r="AN363" s="9" t="n">
        <x:v>63</x:v>
      </x:c>
    </x:row>
    <x:row r="364">
      <x:c r="A364" s="9" t="str">
        <x:v>Success</x:v>
      </x:c>
      <x:c r="B364" s="9" t="str">
        <x:v>Ordinal Reference Ordering</x:v>
      </x:c>
      <x:c r="C364" s="10" t="n">
        <x:v>62</x:v>
      </x:c>
      <x:c r="D364" s="9" t="str">
        <x:v>Move the green highlighter into the bowl.</x:v>
      </x:c>
      <x:c r="E364" s="9" t="str">
        <x:v>L1: green highlighter, L2: blue tape ball</x:v>
      </x:c>
      <x:c r="F364" s="9" t="str">
        <x:v>green highlighter</x:v>
      </x:c>
      <x:c r="G364" s="9"/>
      <x:c r="H364" s="9" t="str">
        <x:v>Matched manipulation control</x:v>
      </x:c>
      <x:c r="I364" s="9" t="str">
        <x:v>CT-CF06-N2-03</x:v>
      </x:c>
      <x:c r="J364" s="9" t="str">
        <x:v>Exact-scene direct control; training prompt from episode 708</x:v>
      </x:c>
      <x:c r="K364" s="9" t="n">
        <x:v>63</x:v>
      </x:c>
      <x:c r="L364" s="9"/>
      <x:c r="M364" s="9"/>
      <x:c r="N364" s="9" t="str">
        <x:v>3 — Transfer + matched-control families</x:v>
      </x:c>
      <x:c r="O364" s="9" t="str">
        <x:v>Return the previously moved object to its marked position. Do not move any other object; only the prompt changes.</x:v>
      </x:c>
      <x:c r="P364" s="9" t="str">
        <x:v>This is the direct-name prompt assigned to the same masked training cell. It tests recognition and manipulation of the exact transfer target in the exact scene without requiring ordinal selection.</x:v>
      </x:c>
      <x:c r="Q364" s="9"/>
      <x:c r="R364" s="10" t="n">
        <x:v>2</x:v>
      </x:c>
      <x:c r="S364" s="10"/>
      <x:c r="T364" s="9"/>
      <x:c r="U364" s="9"/>
      <x:c r="V364" s="9"/>
      <x:c r="W364" s="9" t="str">
        <x:v>CT-CF06-N2-03</x:v>
      </x:c>
      <x:c r="X364" s="10"/>
      <x:c r="Y364" s="10"/>
      <x:c r="Z364" s="9"/>
      <x:c r="AA364" s="9" t="str">
        <x:v>L1</x:v>
      </x:c>
      <x:c r="AB364" s="9" t="str">
        <x:v>Direct-name control</x:v>
      </x:c>
      <x:c r="AC364" s="9"/>
      <x:c r="AD364" s="9"/>
      <x:c r="AE364" s="9"/>
      <x:c r="AF364" s="9"/>
      <x:c r="AG364" s="9"/>
      <x:c r="AH364" s="9"/>
      <x:c r="AI364" s="11"/>
      <x:c r="AJ364" s="9"/>
      <x:c r="AK364" s="9" t="str">
        <x:v>Eval_Ordinal_Reference_Ordering.xlsm</x:v>
      </x:c>
      <x:c r="AL364" s="9" t="str">
        <x:v>pi0.5 Results</x:v>
      </x:c>
      <x:c r="AM364" s="9" t="n">
        <x:v>64</x:v>
      </x:c>
      <x:c r="AN364" s="9" t="n">
        <x:v>64</x:v>
      </x:c>
    </x:row>
    <x:row r="365">
      <x:c r="A365" s="9" t="str">
        <x:v>Failure</x:v>
      </x:c>
      <x:c r="B365" s="9" t="str">
        <x:v>Ordinal Reference Ordering</x:v>
      </x:c>
      <x:c r="C365" s="10" t="n">
        <x:v>63</x:v>
      </x:c>
      <x:c r="D365" s="9" t="str">
        <x:v>Pick up the object that is second from the right and place it in the bowl.</x:v>
      </x:c>
      <x:c r="E365" s="9" t="str">
        <x:v>L1: green highlighter, L2: blue tape ball</x:v>
      </x:c>
      <x:c r="F365" s="9" t="str">
        <x:v>green highlighter</x:v>
      </x:c>
      <x:c r="G365" s="9" t="str">
        <x:v>picked tape ball</x:v>
      </x:c>
      <x:c r="H365" s="9" t="str">
        <x:v>Concept/compositional transfer</x:v>
      </x:c>
      <x:c r="I365" s="9" t="str">
        <x:v>CT-CF06-N2-03</x:v>
      </x:c>
      <x:c r="J365" s="9" t="str">
        <x:v>Masked cell n=2, L1, green highlighter</x:v>
      </x:c>
      <x:c r="K365" s="9" t="n">
        <x:v>60</x:v>
      </x:c>
      <x:c r="L365" s="9"/>
      <x:c r="M365" s="9"/>
      <x:c r="N365" s="9" t="str">
        <x:v>3 — Transfer + matched-control families</x:v>
      </x:c>
      <x:c r="O365" s="9" t="str">
        <x:v>Return the previously moved object to its marked position. Do not move any other object; only the prompt changes.</x:v>
      </x:c>
      <x:c r="P365" s="9" t="str">
        <x:v>The final manifest masks this exact sequence-length × physical-position × target-identity cell. Both equivalent left- and right-based descriptions are absent for this cell, while the canonical instruction wording occurs elsewhere in training.</x:v>
      </x:c>
      <x:c r="Q365" s="9"/>
      <x:c r="R365" s="10" t="n">
        <x:v>2</x:v>
      </x:c>
      <x:c r="S365" s="10"/>
      <x:c r="T365" s="9"/>
      <x:c r="U365" s="9"/>
      <x:c r="V365" s="9"/>
      <x:c r="W365" s="9" t="str">
        <x:v>CT-CF06-N2-03</x:v>
      </x:c>
      <x:c r="X365" s="10"/>
      <x:c r="Y365" s="10"/>
      <x:c r="Z365" s="9"/>
      <x:c r="AA365" s="9" t="str">
        <x:v>L1</x:v>
      </x:c>
      <x:c r="AB365" s="9" t="str">
        <x:v>second from right</x:v>
      </x:c>
      <x:c r="AC365" s="9"/>
      <x:c r="AD365" s="9"/>
      <x:c r="AE365" s="9"/>
      <x:c r="AF365" s="9"/>
      <x:c r="AG365" s="9"/>
      <x:c r="AH365" s="9"/>
      <x:c r="AI365" s="11"/>
      <x:c r="AJ365" s="9"/>
      <x:c r="AK365" s="9" t="str">
        <x:v>Eval_Ordinal_Reference_Ordering.xlsm</x:v>
      </x:c>
      <x:c r="AL365" s="9" t="str">
        <x:v>pi0.5 Results</x:v>
      </x:c>
      <x:c r="AM365" s="9" t="n">
        <x:v>65</x:v>
      </x:c>
      <x:c r="AN365" s="9" t="n">
        <x:v>65</x:v>
      </x:c>
    </x:row>
    <x:row r="366">
      <x:c r="A366" s="9" t="str">
        <x:v>Failure</x:v>
      </x:c>
      <x:c r="B366" s="9" t="str">
        <x:v>Ordinal Reference Ordering</x:v>
      </x:c>
      <x:c r="C366" s="10" t="n">
        <x:v>64</x:v>
      </x:c>
      <x:c r="D366" s="9" t="str">
        <x:v>Pick up the object that is first from the left and place it in the bowl.</x:v>
      </x:c>
      <x:c r="E366" s="9" t="str">
        <x:v>L1: yellow pen, L2: blue tape ball, L3: airplane toy with propellers</x:v>
      </x:c>
      <x:c r="F366" s="9" t="str">
        <x:v>yellow pen</x:v>
      </x:c>
      <x:c r="G366" s="9" t="str">
        <x:v>picked airplane toy</x:v>
      </x:c>
      <x:c r="H366" s="9" t="str">
        <x:v>Concept/compositional transfer</x:v>
      </x:c>
      <x:c r="I366" s="9" t="str">
        <x:v>CT-CF07-N3-03</x:v>
      </x:c>
      <x:c r="J366" s="9" t="str">
        <x:v>Masked cell n=3, L1, yellow pen</x:v>
      </x:c>
      <x:c r="K366" s="9"/>
      <x:c r="L366" s="9"/>
      <x:c r="M366" s="9"/>
      <x:c r="N366" s="9" t="str">
        <x:v>3 — Transfer + matched-control families</x:v>
      </x:c>
      <x:c r="O366" s="9" t="str">
        <x:v>Build this new scene family exactly from the L1–L4 description and save a first-frame reference image.</x:v>
      </x:c>
      <x:c r="P366" s="9" t="str">
        <x:v>The final manifest masks this exact sequence-length × physical-position × target-identity cell. Both equivalent left- and right-based descriptions are absent for this cell, while the canonical instruction wording occurs elsewhere in training.</x:v>
      </x:c>
      <x:c r="Q366" s="9"/>
      <x:c r="R366" s="10" t="n">
        <x:v>3</x:v>
      </x:c>
      <x:c r="S366" s="10"/>
      <x:c r="T366" s="9"/>
      <x:c r="U366" s="9"/>
      <x:c r="V366" s="9"/>
      <x:c r="W366" s="9" t="str">
        <x:v>CT-CF07-N3-03</x:v>
      </x:c>
      <x:c r="X366" s="10"/>
      <x:c r="Y366" s="10"/>
      <x:c r="Z366" s="9"/>
      <x:c r="AA366" s="9" t="str">
        <x:v>L1</x:v>
      </x:c>
      <x:c r="AB366" s="9" t="str">
        <x:v>first from left</x:v>
      </x:c>
      <x:c r="AC366" s="9"/>
      <x:c r="AD366" s="9"/>
      <x:c r="AE366" s="9"/>
      <x:c r="AF366" s="9"/>
      <x:c r="AG366" s="9"/>
      <x:c r="AH366" s="9"/>
      <x:c r="AI366" s="11"/>
      <x:c r="AJ366" s="9"/>
      <x:c r="AK366" s="9" t="str">
        <x:v>Eval_Ordinal_Reference_Ordering.xlsm</x:v>
      </x:c>
      <x:c r="AL366" s="9" t="str">
        <x:v>pi0.5 Results</x:v>
      </x:c>
      <x:c r="AM366" s="9" t="n">
        <x:v>66</x:v>
      </x:c>
      <x:c r="AN366" s="9" t="n">
        <x:v>66</x:v>
      </x:c>
    </x:row>
    <x:row r="367">
      <x:c r="A367" s="9" t="str">
        <x:v>Success</x:v>
      </x:c>
      <x:c r="B367" s="9" t="str">
        <x:v>Ordinal Reference Ordering</x:v>
      </x:c>
      <x:c r="C367" s="10" t="n">
        <x:v>65</x:v>
      </x:c>
      <x:c r="D367" s="9" t="str">
        <x:v>Move the yellow pen into the bowl.</x:v>
      </x:c>
      <x:c r="E367" s="9" t="str">
        <x:v>L1: yellow pen, L2: blue tape ball, L3: airplane toy with propellers</x:v>
      </x:c>
      <x:c r="F367" s="9" t="str">
        <x:v>yellow pen</x:v>
      </x:c>
      <x:c r="G367" s="9"/>
      <x:c r="H367" s="9" t="str">
        <x:v>Matched manipulation control</x:v>
      </x:c>
      <x:c r="I367" s="9" t="str">
        <x:v>CT-CF07-N3-03</x:v>
      </x:c>
      <x:c r="J367" s="9" t="str">
        <x:v>Exact-scene direct control; training prompt from episode 756</x:v>
      </x:c>
      <x:c r="K367" s="9" t="n">
        <x:v>64</x:v>
      </x:c>
      <x:c r="L367" s="9"/>
      <x:c r="M367" s="9"/>
      <x:c r="N367" s="9" t="str">
        <x:v>3 — Transfer + matched-control families</x:v>
      </x:c>
      <x:c r="O367" s="9" t="str">
        <x:v>Return the previously moved object to its marked position. Do not move any other object; only the prompt changes.</x:v>
      </x:c>
      <x:c r="P367" s="9" t="str">
        <x:v>This is the direct-name prompt assigned to the same masked training cell. It tests recognition and manipulation of the exact transfer target in the exact scene without requiring ordinal selection.</x:v>
      </x:c>
      <x:c r="Q367" s="9"/>
      <x:c r="R367" s="10" t="n">
        <x:v>3</x:v>
      </x:c>
      <x:c r="S367" s="10"/>
      <x:c r="T367" s="9"/>
      <x:c r="U367" s="9"/>
      <x:c r="V367" s="9"/>
      <x:c r="W367" s="9" t="str">
        <x:v>CT-CF07-N3-03</x:v>
      </x:c>
      <x:c r="X367" s="10"/>
      <x:c r="Y367" s="10"/>
      <x:c r="Z367" s="9"/>
      <x:c r="AA367" s="9" t="str">
        <x:v>L1</x:v>
      </x:c>
      <x:c r="AB367" s="9" t="str">
        <x:v>Direct-name control</x:v>
      </x:c>
      <x:c r="AC367" s="9"/>
      <x:c r="AD367" s="9"/>
      <x:c r="AE367" s="9"/>
      <x:c r="AF367" s="9"/>
      <x:c r="AG367" s="9"/>
      <x:c r="AH367" s="9"/>
      <x:c r="AI367" s="11"/>
      <x:c r="AJ367" s="9"/>
      <x:c r="AK367" s="9" t="str">
        <x:v>Eval_Ordinal_Reference_Ordering.xlsm</x:v>
      </x:c>
      <x:c r="AL367" s="9" t="str">
        <x:v>pi0.5 Results</x:v>
      </x:c>
      <x:c r="AM367" s="9" t="n">
        <x:v>67</x:v>
      </x:c>
      <x:c r="AN367" s="9" t="n">
        <x:v>67</x:v>
      </x:c>
    </x:row>
    <x:row r="368">
      <x:c r="A368" s="9" t="str">
        <x:v>Success</x:v>
      </x:c>
      <x:c r="B368" s="9" t="str">
        <x:v>Ordinal Reference Ordering</x:v>
      </x:c>
      <x:c r="C368" s="10" t="n">
        <x:v>66</x:v>
      </x:c>
      <x:c r="D368" s="9" t="str">
        <x:v>Move the airplane toy with propellers into the bowl.</x:v>
      </x:c>
      <x:c r="E368" s="9" t="str">
        <x:v>L1: yellow pen, L2: blue tape ball, L3: airplane toy with propellers</x:v>
      </x:c>
      <x:c r="F368" s="9" t="str">
        <x:v>airplane toy with propellers</x:v>
      </x:c>
      <x:c r="G368" s="9"/>
      <x:c r="H368" s="9" t="str">
        <x:v>Matched manipulation control</x:v>
      </x:c>
      <x:c r="I368" s="9" t="str">
        <x:v>CT-CF07-N3-03</x:v>
      </x:c>
      <x:c r="J368" s="9" t="str">
        <x:v>Exact-scene direct control; training prompt from episode 630</x:v>
      </x:c>
      <x:c r="K368" s="9" t="n">
        <x:v>67</x:v>
      </x:c>
      <x:c r="L368" s="9"/>
      <x:c r="M368" s="9"/>
      <x:c r="N368" s="9" t="str">
        <x:v>3 — Transfer + matched-control families</x:v>
      </x:c>
      <x:c r="O368" s="9" t="str">
        <x:v>Return the previously moved object to its marked position. Do not move any other object; only the prompt changes.</x:v>
      </x:c>
      <x:c r="P368" s="9" t="str">
        <x:v>This is the direct-name prompt assigned to the same masked training cell. It tests recognition and manipulation of the exact transfer target in the exact scene without requiring ordinal selection.</x:v>
      </x:c>
      <x:c r="Q368" s="9"/>
      <x:c r="R368" s="10" t="n">
        <x:v>3</x:v>
      </x:c>
      <x:c r="S368" s="10"/>
      <x:c r="T368" s="9"/>
      <x:c r="U368" s="9"/>
      <x:c r="V368" s="9"/>
      <x:c r="W368" s="9" t="str">
        <x:v>CT-CF07-N3-03</x:v>
      </x:c>
      <x:c r="X368" s="10"/>
      <x:c r="Y368" s="10"/>
      <x:c r="Z368" s="9"/>
      <x:c r="AA368" s="9" t="str">
        <x:v>L3</x:v>
      </x:c>
      <x:c r="AB368" s="9" t="str">
        <x:v>Direct-name control</x:v>
      </x:c>
      <x:c r="AC368" s="9"/>
      <x:c r="AD368" s="9"/>
      <x:c r="AE368" s="9"/>
      <x:c r="AF368" s="9"/>
      <x:c r="AG368" s="9"/>
      <x:c r="AH368" s="9"/>
      <x:c r="AI368" s="11"/>
      <x:c r="AJ368" s="9"/>
      <x:c r="AK368" s="9" t="str">
        <x:v>Eval_Ordinal_Reference_Ordering.xlsm</x:v>
      </x:c>
      <x:c r="AL368" s="9" t="str">
        <x:v>pi0.5 Results</x:v>
      </x:c>
      <x:c r="AM368" s="9" t="n">
        <x:v>68</x:v>
      </x:c>
      <x:c r="AN368" s="9" t="n">
        <x:v>68</x:v>
      </x:c>
    </x:row>
    <x:row r="369">
      <x:c r="A369" s="9" t="str">
        <x:v>Success</x:v>
      </x:c>
      <x:c r="B369" s="9" t="str">
        <x:v>Ordinal Reference Ordering</x:v>
      </x:c>
      <x:c r="C369" s="10" t="n">
        <x:v>67</x:v>
      </x:c>
      <x:c r="D369" s="9" t="str">
        <x:v>Pick up the object that is third from the left and place it in the bowl.</x:v>
      </x:c>
      <x:c r="E369" s="9" t="str">
        <x:v>L1: yellow pen, L2: blue tape ball, L3: airplane toy with propellers</x:v>
      </x:c>
      <x:c r="F369" s="9" t="str">
        <x:v>airplane toy with propellers</x:v>
      </x:c>
      <x:c r="G369" s="9"/>
      <x:c r="H369" s="9" t="str">
        <x:v>Concept/compositional transfer</x:v>
      </x:c>
      <x:c r="I369" s="9" t="str">
        <x:v>CT-CF07-N3-03</x:v>
      </x:c>
      <x:c r="J369" s="9" t="str">
        <x:v>Masked cell n=3, L3, airplane toy with propellers</x:v>
      </x:c>
      <x:c r="K369" s="9" t="n">
        <x:v>64</x:v>
      </x:c>
      <x:c r="L369" s="9"/>
      <x:c r="M369" s="9"/>
      <x:c r="N369" s="9" t="str">
        <x:v>3 — Transfer + matched-control families</x:v>
      </x:c>
      <x:c r="O369" s="9" t="str">
        <x:v>Return the previously moved object to its marked position. Do not move any other object; only the prompt changes.</x:v>
      </x:c>
      <x:c r="P369" s="9" t="str">
        <x:v>The final manifest masks this exact sequence-length × physical-position × target-identity cell. Both equivalent left- and right-based descriptions are absent for this cell, while the canonical instruction wording occurs elsewhere in training.</x:v>
      </x:c>
      <x:c r="Q369" s="9"/>
      <x:c r="R369" s="10" t="n">
        <x:v>3</x:v>
      </x:c>
      <x:c r="S369" s="10"/>
      <x:c r="T369" s="9"/>
      <x:c r="U369" s="9"/>
      <x:c r="V369" s="9"/>
      <x:c r="W369" s="9" t="str">
        <x:v>CT-CF07-N3-03</x:v>
      </x:c>
      <x:c r="X369" s="10"/>
      <x:c r="Y369" s="10"/>
      <x:c r="Z369" s="9"/>
      <x:c r="AA369" s="9" t="str">
        <x:v>L3</x:v>
      </x:c>
      <x:c r="AB369" s="9" t="str">
        <x:v>third from left</x:v>
      </x:c>
      <x:c r="AC369" s="9"/>
      <x:c r="AD369" s="9"/>
      <x:c r="AE369" s="9"/>
      <x:c r="AF369" s="9"/>
      <x:c r="AG369" s="9"/>
      <x:c r="AH369" s="9"/>
      <x:c r="AI369" s="11"/>
      <x:c r="AJ369" s="9"/>
      <x:c r="AK369" s="9" t="str">
        <x:v>Eval_Ordinal_Reference_Ordering.xlsm</x:v>
      </x:c>
      <x:c r="AL369" s="9" t="str">
        <x:v>pi0.5 Results</x:v>
      </x:c>
      <x:c r="AM369" s="9" t="n">
        <x:v>69</x:v>
      </x:c>
      <x:c r="AN369" s="9" t="n">
        <x:v>69</x:v>
      </x:c>
    </x:row>
    <x:row r="370">
      <x:c r="A370" s="9" t="str">
        <x:v>Failure</x:v>
      </x:c>
      <x:c r="B370" s="9" t="str">
        <x:v>Ordinal Reference Ordering</x:v>
      </x:c>
      <x:c r="C370" s="10" t="n">
        <x:v>68</x:v>
      </x:c>
      <x:c r="D370" s="9" t="str">
        <x:v>Pick up the object that is fourth from the left and place it in the bowl.</x:v>
      </x:c>
      <x:c r="E370" s="9" t="str">
        <x:v>L1: blue tape ball, L2: airplane toy with propellers, L3: green highlighter, L4: yellow pen</x:v>
      </x:c>
      <x:c r="F370" s="9" t="str">
        <x:v>yellow pen</x:v>
      </x:c>
      <x:c r="G370" s="9" t="str">
        <x:v>picked airplane toy</x:v>
      </x:c>
      <x:c r="H370" s="9" t="str">
        <x:v>Concept/compositional transfer</x:v>
      </x:c>
      <x:c r="I370" s="9" t="str">
        <x:v>CT-CF08-N4-02</x:v>
      </x:c>
      <x:c r="J370" s="9" t="str">
        <x:v>Masked cell n=4, L4, yellow pen</x:v>
      </x:c>
      <x:c r="K370" s="9"/>
      <x:c r="L370" s="9"/>
      <x:c r="M370" s="9"/>
      <x:c r="N370" s="9" t="str">
        <x:v>3 — Transfer + matched-control families</x:v>
      </x:c>
      <x:c r="O370" s="9" t="str">
        <x:v>Build this new scene family exactly from the L1–L4 description and save a first-frame reference image.</x:v>
      </x:c>
      <x:c r="P370" s="9" t="str">
        <x:v>The final manifest masks this exact sequence-length × physical-position × target-identity cell. Both equivalent left- and right-based descriptions are absent for this cell, while the canonical instruction wording occurs elsewhere in training.</x:v>
      </x:c>
      <x:c r="Q370" s="9"/>
      <x:c r="R370" s="10" t="n">
        <x:v>4</x:v>
      </x:c>
      <x:c r="S370" s="10"/>
      <x:c r="T370" s="9"/>
      <x:c r="U370" s="9"/>
      <x:c r="V370" s="9"/>
      <x:c r="W370" s="9" t="str">
        <x:v>CT-CF08-N4-02</x:v>
      </x:c>
      <x:c r="X370" s="10"/>
      <x:c r="Y370" s="10"/>
      <x:c r="Z370" s="9"/>
      <x:c r="AA370" s="9" t="str">
        <x:v>L4</x:v>
      </x:c>
      <x:c r="AB370" s="9" t="str">
        <x:v>fourth from left</x:v>
      </x:c>
      <x:c r="AC370" s="9"/>
      <x:c r="AD370" s="9"/>
      <x:c r="AE370" s="9"/>
      <x:c r="AF370" s="9"/>
      <x:c r="AG370" s="9"/>
      <x:c r="AH370" s="9"/>
      <x:c r="AI370" s="11"/>
      <x:c r="AJ370" s="9"/>
      <x:c r="AK370" s="9" t="str">
        <x:v>Eval_Ordinal_Reference_Ordering.xlsm</x:v>
      </x:c>
      <x:c r="AL370" s="9" t="str">
        <x:v>pi0.5 Results</x:v>
      </x:c>
      <x:c r="AM370" s="9" t="n">
        <x:v>70</x:v>
      </x:c>
      <x:c r="AN370" s="9" t="n">
        <x:v>70</x:v>
      </x:c>
    </x:row>
    <x:row r="371">
      <x:c r="A371" s="9" t="str">
        <x:v>Success</x:v>
      </x:c>
      <x:c r="B371" s="9" t="str">
        <x:v>Ordinal Reference Ordering</x:v>
      </x:c>
      <x:c r="C371" s="10" t="n">
        <x:v>69</x:v>
      </x:c>
      <x:c r="D371" s="9" t="str">
        <x:v>Pick up the yellow pen and place it in the bowl.</x:v>
      </x:c>
      <x:c r="E371" s="9" t="str">
        <x:v>L1: blue tape ball, L2: airplane toy with propellers, L3: green highlighter, L4: yellow pen</x:v>
      </x:c>
      <x:c r="F371" s="9" t="str">
        <x:v>yellow pen</x:v>
      </x:c>
      <x:c r="G371" s="9"/>
      <x:c r="H371" s="9" t="str">
        <x:v>Matched manipulation control</x:v>
      </x:c>
      <x:c r="I371" s="9" t="str">
        <x:v>CT-CF08-N4-02</x:v>
      </x:c>
      <x:c r="J371" s="9" t="str">
        <x:v>Exact-scene direct control; training prompt from episode 795</x:v>
      </x:c>
      <x:c r="K371" s="9" t="n">
        <x:v>68</x:v>
      </x:c>
      <x:c r="L371" s="9"/>
      <x:c r="M371" s="9"/>
      <x:c r="N371" s="9" t="str">
        <x:v>3 — Transfer + matched-control families</x:v>
      </x:c>
      <x:c r="O371" s="9" t="str">
        <x:v>Return the previously moved object to its marked position. Do not move any other object; only the prompt changes.</x:v>
      </x:c>
      <x:c r="P371" s="9" t="str">
        <x:v>This is the direct-name prompt assigned to the same masked training cell. It tests recognition and manipulation of the exact transfer target in the exact scene without requiring ordinal selection.</x:v>
      </x:c>
      <x:c r="Q371" s="9"/>
      <x:c r="R371" s="10" t="n">
        <x:v>4</x:v>
      </x:c>
      <x:c r="S371" s="10"/>
      <x:c r="T371" s="9"/>
      <x:c r="U371" s="9"/>
      <x:c r="V371" s="9"/>
      <x:c r="W371" s="9" t="str">
        <x:v>CT-CF08-N4-02</x:v>
      </x:c>
      <x:c r="X371" s="10"/>
      <x:c r="Y371" s="10"/>
      <x:c r="Z371" s="9"/>
      <x:c r="AA371" s="9" t="str">
        <x:v>L4</x:v>
      </x:c>
      <x:c r="AB371" s="9" t="str">
        <x:v>Direct-name control</x:v>
      </x:c>
      <x:c r="AC371" s="9"/>
      <x:c r="AD371" s="9"/>
      <x:c r="AE371" s="9"/>
      <x:c r="AF371" s="9"/>
      <x:c r="AG371" s="9"/>
      <x:c r="AH371" s="9"/>
      <x:c r="AI371" s="11"/>
      <x:c r="AJ371" s="9"/>
      <x:c r="AK371" s="9" t="str">
        <x:v>Eval_Ordinal_Reference_Ordering.xlsm</x:v>
      </x:c>
      <x:c r="AL371" s="9" t="str">
        <x:v>pi0.5 Results</x:v>
      </x:c>
      <x:c r="AM371" s="9" t="n">
        <x:v>71</x:v>
      </x:c>
      <x:c r="AN371" s="9" t="n">
        <x:v>71</x:v>
      </x:c>
    </x:row>
    <x:row r="372">
      <x:c r="A372" s="9" t="str">
        <x:v>Success</x:v>
      </x:c>
      <x:c r="B372" s="9" t="str">
        <x:v>Ordinal Reference Ordering</x:v>
      </x:c>
      <x:c r="C372" s="10" t="n">
        <x:v>70</x:v>
      </x:c>
      <x:c r="D372" s="9" t="str">
        <x:v>Put the green highlighter in the bowl.</x:v>
      </x:c>
      <x:c r="E372" s="9" t="str">
        <x:v>L1: blue tape ball, L2: airplane toy with propellers, L3: green highlighter, L4: yellow pen</x:v>
      </x:c>
      <x:c r="F372" s="9" t="str">
        <x:v>green highlighter</x:v>
      </x:c>
      <x:c r="G372" s="9"/>
      <x:c r="H372" s="9" t="str">
        <x:v>Matched manipulation control</x:v>
      </x:c>
      <x:c r="I372" s="9" t="str">
        <x:v>CT-CF08-N4-02</x:v>
      </x:c>
      <x:c r="J372" s="9" t="str">
        <x:v>Exact-scene direct control; training prompt from episode 725</x:v>
      </x:c>
      <x:c r="K372" s="9" t="n">
        <x:v>71</x:v>
      </x:c>
      <x:c r="L372" s="9"/>
      <x:c r="M372" s="9"/>
      <x:c r="N372" s="9" t="str">
        <x:v>3 — Transfer + matched-control families</x:v>
      </x:c>
      <x:c r="O372" s="9" t="str">
        <x:v>Return the previously moved object to its marked position. Do not move any other object; only the prompt changes.</x:v>
      </x:c>
      <x:c r="P372" s="9" t="str">
        <x:v>This is the direct-name prompt assigned to the same masked training cell. It tests recognition and manipulation of the exact transfer target in the exact scene without requiring ordinal selection.</x:v>
      </x:c>
      <x:c r="Q372" s="9"/>
      <x:c r="R372" s="10" t="n">
        <x:v>4</x:v>
      </x:c>
      <x:c r="S372" s="10"/>
      <x:c r="T372" s="9"/>
      <x:c r="U372" s="9"/>
      <x:c r="V372" s="9"/>
      <x:c r="W372" s="9" t="str">
        <x:v>CT-CF08-N4-02</x:v>
      </x:c>
      <x:c r="X372" s="10"/>
      <x:c r="Y372" s="10"/>
      <x:c r="Z372" s="9"/>
      <x:c r="AA372" s="9" t="str">
        <x:v>L3</x:v>
      </x:c>
      <x:c r="AB372" s="9" t="str">
        <x:v>Direct-name control</x:v>
      </x:c>
      <x:c r="AC372" s="9"/>
      <x:c r="AD372" s="9"/>
      <x:c r="AE372" s="9"/>
      <x:c r="AF372" s="9"/>
      <x:c r="AG372" s="9"/>
      <x:c r="AH372" s="9"/>
      <x:c r="AI372" s="11"/>
      <x:c r="AJ372" s="9"/>
      <x:c r="AK372" s="9" t="str">
        <x:v>Eval_Ordinal_Reference_Ordering.xlsm</x:v>
      </x:c>
      <x:c r="AL372" s="9" t="str">
        <x:v>pi0.5 Results</x:v>
      </x:c>
      <x:c r="AM372" s="9" t="n">
        <x:v>72</x:v>
      </x:c>
      <x:c r="AN372" s="9" t="n">
        <x:v>72</x:v>
      </x:c>
    </x:row>
    <x:row r="373">
      <x:c r="A373" s="9" t="str">
        <x:v>Success</x:v>
      </x:c>
      <x:c r="B373" s="9" t="str">
        <x:v>Ordinal Reference Ordering</x:v>
      </x:c>
      <x:c r="C373" s="10" t="n">
        <x:v>71</x:v>
      </x:c>
      <x:c r="D373" s="9" t="str">
        <x:v>Pick up the object that is third from the left and place it in the bowl.</x:v>
      </x:c>
      <x:c r="E373" s="9" t="str">
        <x:v>L1: blue tape ball, L2: airplane toy with propellers, L3: green highlighter, L4: yellow pen</x:v>
      </x:c>
      <x:c r="F373" s="9" t="str">
        <x:v>green highlighter</x:v>
      </x:c>
      <x:c r="G373" s="9"/>
      <x:c r="H373" s="9" t="str">
        <x:v>Concept/compositional transfer</x:v>
      </x:c>
      <x:c r="I373" s="9" t="str">
        <x:v>CT-CF08-N4-02</x:v>
      </x:c>
      <x:c r="J373" s="9" t="str">
        <x:v>Masked cell n=4, L3, green highlighter</x:v>
      </x:c>
      <x:c r="K373" s="9" t="n">
        <x:v>68</x:v>
      </x:c>
      <x:c r="L373" s="9"/>
      <x:c r="M373" s="9"/>
      <x:c r="N373" s="9" t="str">
        <x:v>3 — Transfer + matched-control families</x:v>
      </x:c>
      <x:c r="O373" s="9" t="str">
        <x:v>Return the previously moved object to its marked position. Do not move any other object; only the prompt changes.</x:v>
      </x:c>
      <x:c r="P373" s="9" t="str">
        <x:v>The final manifest masks this exact sequence-length × physical-position × target-identity cell. Both equivalent left- and right-based descriptions are absent for this cell, while the canonical instruction wording occurs elsewhere in training.</x:v>
      </x:c>
      <x:c r="Q373" s="9"/>
      <x:c r="R373" s="10" t="n">
        <x:v>4</x:v>
      </x:c>
      <x:c r="S373" s="10"/>
      <x:c r="T373" s="9"/>
      <x:c r="U373" s="9"/>
      <x:c r="V373" s="9"/>
      <x:c r="W373" s="9" t="str">
        <x:v>CT-CF08-N4-02</x:v>
      </x:c>
      <x:c r="X373" s="10"/>
      <x:c r="Y373" s="10"/>
      <x:c r="Z373" s="9"/>
      <x:c r="AA373" s="9" t="str">
        <x:v>L3</x:v>
      </x:c>
      <x:c r="AB373" s="9" t="str">
        <x:v>third from left</x:v>
      </x:c>
      <x:c r="AC373" s="9"/>
      <x:c r="AD373" s="9"/>
      <x:c r="AE373" s="9"/>
      <x:c r="AF373" s="9"/>
      <x:c r="AG373" s="9"/>
      <x:c r="AH373" s="9"/>
      <x:c r="AI373" s="11"/>
      <x:c r="AJ373" s="9"/>
      <x:c r="AK373" s="9" t="str">
        <x:v>Eval_Ordinal_Reference_Ordering.xlsm</x:v>
      </x:c>
      <x:c r="AL373" s="9" t="str">
        <x:v>pi0.5 Results</x:v>
      </x:c>
      <x:c r="AM373" s="9" t="n">
        <x:v>73</x:v>
      </x:c>
      <x:c r="AN373" s="9" t="n">
        <x:v>73</x:v>
      </x:c>
    </x:row>
    <x:row r="374">
      <x:c r="A374" s="9" t="str">
        <x:v>Success</x:v>
      </x:c>
      <x:c r="B374" s="9" t="str">
        <x:v>Ordinal Reference Ordering</x:v>
      </x:c>
      <x:c r="C374" s="10" t="n">
        <x:v>72</x:v>
      </x:c>
      <x:c r="D374" s="9" t="str">
        <x:v>Pick up the object that is second from the right and place it in the bowl.</x:v>
      </x:c>
      <x:c r="E374" s="9" t="str">
        <x:v>L1: airplane toy with propellers, L2: yellow pen</x:v>
      </x:c>
      <x:c r="F374" s="9" t="str">
        <x:v>airplane toy with propellers</x:v>
      </x:c>
      <x:c r="G374" s="9"/>
      <x:c r="H374" s="9" t="str">
        <x:v>Concept/compositional transfer</x:v>
      </x:c>
      <x:c r="I374" s="9" t="str">
        <x:v>CT-CF09-N2-02</x:v>
      </x:c>
      <x:c r="J374" s="9" t="str">
        <x:v>Masked cell n=2, L1, airplane toy with propellers</x:v>
      </x:c>
      <x:c r="K374" s="9"/>
      <x:c r="L374" s="9"/>
      <x:c r="M374" s="9"/>
      <x:c r="N374" s="9" t="str">
        <x:v>3 — Transfer + matched-control families</x:v>
      </x:c>
      <x:c r="O374" s="9" t="str">
        <x:v>Build this new scene family exactly from the L1–L4 description and save a first-frame reference image.</x:v>
      </x:c>
      <x:c r="P374" s="9" t="str">
        <x:v>The final manifest masks this exact sequence-length × physical-position × target-identity cell. Both equivalent left- and right-based descriptions are absent for this cell, while the canonical instruction wording occurs elsewhere in training.</x:v>
      </x:c>
      <x:c r="Q374" s="9"/>
      <x:c r="R374" s="10" t="n">
        <x:v>2</x:v>
      </x:c>
      <x:c r="S374" s="10"/>
      <x:c r="T374" s="9"/>
      <x:c r="U374" s="9"/>
      <x:c r="V374" s="9"/>
      <x:c r="W374" s="9" t="str">
        <x:v>CT-CF09-N2-02</x:v>
      </x:c>
      <x:c r="X374" s="10"/>
      <x:c r="Y374" s="10"/>
      <x:c r="Z374" s="9"/>
      <x:c r="AA374" s="9" t="str">
        <x:v>L1</x:v>
      </x:c>
      <x:c r="AB374" s="9" t="str">
        <x:v>second from right</x:v>
      </x:c>
      <x:c r="AC374" s="9"/>
      <x:c r="AD374" s="9"/>
      <x:c r="AE374" s="9"/>
      <x:c r="AF374" s="9"/>
      <x:c r="AG374" s="9"/>
      <x:c r="AH374" s="9"/>
      <x:c r="AI374" s="11"/>
      <x:c r="AJ374" s="9"/>
      <x:c r="AK374" s="9" t="str">
        <x:v>Eval_Ordinal_Reference_Ordering.xlsm</x:v>
      </x:c>
      <x:c r="AL374" s="9" t="str">
        <x:v>pi0.5 Results</x:v>
      </x:c>
      <x:c r="AM374" s="9" t="n">
        <x:v>74</x:v>
      </x:c>
      <x:c r="AN374" s="9" t="n">
        <x:v>74</x:v>
      </x:c>
    </x:row>
    <x:row r="375">
      <x:c r="A375" s="9" t="str">
        <x:v>Success</x:v>
      </x:c>
      <x:c r="B375" s="9" t="str">
        <x:v>Ordinal Reference Ordering</x:v>
      </x:c>
      <x:c r="C375" s="10" t="n">
        <x:v>73</x:v>
      </x:c>
      <x:c r="D375" s="9" t="str">
        <x:v>Pick up the airplane toy with propellers and place it in the bowl.</x:v>
      </x:c>
      <x:c r="E375" s="9" t="str">
        <x:v>L1: airplane toy with propellers, L2: yellow pen</x:v>
      </x:c>
      <x:c r="F375" s="9" t="str">
        <x:v>airplane toy with propellers</x:v>
      </x:c>
      <x:c r="G375" s="9"/>
      <x:c r="H375" s="9" t="str">
        <x:v>Matched manipulation control</x:v>
      </x:c>
      <x:c r="I375" s="9" t="str">
        <x:v>CT-CF09-N2-02</x:v>
      </x:c>
      <x:c r="J375" s="9" t="str">
        <x:v>Exact-scene direct control; training prompt from episode 611</x:v>
      </x:c>
      <x:c r="K375" s="9" t="n">
        <x:v>72</x:v>
      </x:c>
      <x:c r="L375" s="9"/>
      <x:c r="M375" s="9"/>
      <x:c r="N375" s="9" t="str">
        <x:v>3 — Transfer + matched-control families</x:v>
      </x:c>
      <x:c r="O375" s="9" t="str">
        <x:v>Return the previously moved object to its marked position. Do not move any other object; only the prompt changes.</x:v>
      </x:c>
      <x:c r="P375" s="9" t="str">
        <x:v>This is the direct-name prompt assigned to the same masked training cell. It tests recognition and manipulation of the exact transfer target in the exact scene without requiring ordinal selection.</x:v>
      </x:c>
      <x:c r="Q375" s="9"/>
      <x:c r="R375" s="10" t="n">
        <x:v>2</x:v>
      </x:c>
      <x:c r="S375" s="10"/>
      <x:c r="T375" s="9"/>
      <x:c r="U375" s="9"/>
      <x:c r="V375" s="9"/>
      <x:c r="W375" s="9" t="str">
        <x:v>CT-CF09-N2-02</x:v>
      </x:c>
      <x:c r="X375" s="10"/>
      <x:c r="Y375" s="10"/>
      <x:c r="Z375" s="9"/>
      <x:c r="AA375" s="9" t="str">
        <x:v>L1</x:v>
      </x:c>
      <x:c r="AB375" s="9" t="str">
        <x:v>Direct-name control</x:v>
      </x:c>
      <x:c r="AC375" s="9"/>
      <x:c r="AD375" s="9"/>
      <x:c r="AE375" s="9"/>
      <x:c r="AF375" s="9"/>
      <x:c r="AG375" s="9"/>
      <x:c r="AH375" s="9"/>
      <x:c r="AI375" s="11"/>
      <x:c r="AJ375" s="9"/>
      <x:c r="AK375" s="9" t="str">
        <x:v>Eval_Ordinal_Reference_Ordering.xlsm</x:v>
      </x:c>
      <x:c r="AL375" s="9" t="str">
        <x:v>pi0.5 Results</x:v>
      </x:c>
      <x:c r="AM375" s="9" t="n">
        <x:v>75</x:v>
      </x:c>
      <x:c r="AN375" s="9" t="n">
        <x:v>75</x:v>
      </x:c>
    </x:row>
    <x:row r="376">
      <x:c r="A376" s="9" t="str">
        <x:v>Success</x:v>
      </x:c>
      <x:c r="B376" s="9" t="str">
        <x:v>Ordinal Reference Ordering</x:v>
      </x:c>
      <x:c r="C376" s="10" t="n">
        <x:v>74</x:v>
      </x:c>
      <x:c r="D376" s="9" t="str">
        <x:v>Move the yellow pen into the bowl.</x:v>
      </x:c>
      <x:c r="E376" s="9" t="str">
        <x:v>L1: airplane toy with propellers, L2: yellow pen</x:v>
      </x:c>
      <x:c r="F376" s="9" t="str">
        <x:v>yellow pen</x:v>
      </x:c>
      <x:c r="G376" s="9"/>
      <x:c r="H376" s="9" t="str">
        <x:v>Matched manipulation control</x:v>
      </x:c>
      <x:c r="I376" s="9" t="str">
        <x:v>CT-CF09-N2-02</x:v>
      </x:c>
      <x:c r="J376" s="9" t="str">
        <x:v>Exact-scene direct control; training prompt from episode 771</x:v>
      </x:c>
      <x:c r="K376" s="9" t="n">
        <x:v>75</x:v>
      </x:c>
      <x:c r="L376" s="9"/>
      <x:c r="M376" s="9"/>
      <x:c r="N376" s="9" t="str">
        <x:v>3 — Transfer + matched-control families</x:v>
      </x:c>
      <x:c r="O376" s="9" t="str">
        <x:v>Return the previously moved object to its marked position. Do not move any other object; only the prompt changes.</x:v>
      </x:c>
      <x:c r="P376" s="9" t="str">
        <x:v>This is the direct-name prompt assigned to the same masked training cell. It tests recognition and manipulation of the exact transfer target in the exact scene without requiring ordinal selection.</x:v>
      </x:c>
      <x:c r="Q376" s="9"/>
      <x:c r="R376" s="10" t="n">
        <x:v>2</x:v>
      </x:c>
      <x:c r="S376" s="10"/>
      <x:c r="T376" s="9"/>
      <x:c r="U376" s="9"/>
      <x:c r="V376" s="9"/>
      <x:c r="W376" s="9" t="str">
        <x:v>CT-CF09-N2-02</x:v>
      </x:c>
      <x:c r="X376" s="10"/>
      <x:c r="Y376" s="10"/>
      <x:c r="Z376" s="9"/>
      <x:c r="AA376" s="9" t="str">
        <x:v>L2</x:v>
      </x:c>
      <x:c r="AB376" s="9" t="str">
        <x:v>Direct-name control</x:v>
      </x:c>
      <x:c r="AC376" s="9"/>
      <x:c r="AD376" s="9"/>
      <x:c r="AE376" s="9"/>
      <x:c r="AF376" s="9"/>
      <x:c r="AG376" s="9"/>
      <x:c r="AH376" s="9"/>
      <x:c r="AI376" s="11"/>
      <x:c r="AJ376" s="9"/>
      <x:c r="AK376" s="9" t="str">
        <x:v>Eval_Ordinal_Reference_Ordering.xlsm</x:v>
      </x:c>
      <x:c r="AL376" s="9" t="str">
        <x:v>pi0.5 Results</x:v>
      </x:c>
      <x:c r="AM376" s="9" t="n">
        <x:v>76</x:v>
      </x:c>
      <x:c r="AN376" s="9" t="n">
        <x:v>76</x:v>
      </x:c>
    </x:row>
    <x:row r="377">
      <x:c r="A377" s="9" t="str">
        <x:v>Failure</x:v>
      </x:c>
      <x:c r="B377" s="9" t="str">
        <x:v>Ordinal Reference Ordering</x:v>
      </x:c>
      <x:c r="C377" s="10" t="n">
        <x:v>75</x:v>
      </x:c>
      <x:c r="D377" s="9" t="str">
        <x:v>Pick up the object that is second from the left and place it in the bowl.</x:v>
      </x:c>
      <x:c r="E377" s="9" t="str">
        <x:v>L1: airplane toy with propellers, L2: yellow pen</x:v>
      </x:c>
      <x:c r="F377" s="9" t="str">
        <x:v>yellow pen</x:v>
      </x:c>
      <x:c r="G377" s="9" t="str">
        <x:v>picked airplane toy</x:v>
      </x:c>
      <x:c r="H377" s="9" t="str">
        <x:v>Concept/compositional transfer</x:v>
      </x:c>
      <x:c r="I377" s="9" t="str">
        <x:v>CT-CF09-N2-02</x:v>
      </x:c>
      <x:c r="J377" s="9" t="str">
        <x:v>Masked cell n=2, L2, yellow pen</x:v>
      </x:c>
      <x:c r="K377" s="9" t="n">
        <x:v>72</x:v>
      </x:c>
      <x:c r="L377" s="9"/>
      <x:c r="M377" s="9"/>
      <x:c r="N377" s="9" t="str">
        <x:v>3 — Transfer + matched-control families</x:v>
      </x:c>
      <x:c r="O377" s="9" t="str">
        <x:v>Return the previously moved object to its marked position. Do not move any other object; only the prompt changes.</x:v>
      </x:c>
      <x:c r="P377" s="9" t="str">
        <x:v>The final manifest masks this exact sequence-length × physical-position × target-identity cell. Both equivalent left- and right-based descriptions are absent for this cell, while the canonical instruction wording occurs elsewhere in training.</x:v>
      </x:c>
      <x:c r="Q377" s="9"/>
      <x:c r="R377" s="10" t="n">
        <x:v>2</x:v>
      </x:c>
      <x:c r="S377" s="10"/>
      <x:c r="T377" s="9"/>
      <x:c r="U377" s="9"/>
      <x:c r="V377" s="9"/>
      <x:c r="W377" s="9" t="str">
        <x:v>CT-CF09-N2-02</x:v>
      </x:c>
      <x:c r="X377" s="10"/>
      <x:c r="Y377" s="10"/>
      <x:c r="Z377" s="9"/>
      <x:c r="AA377" s="9" t="str">
        <x:v>L2</x:v>
      </x:c>
      <x:c r="AB377" s="9" t="str">
        <x:v>second from left</x:v>
      </x:c>
      <x:c r="AC377" s="9"/>
      <x:c r="AD377" s="9"/>
      <x:c r="AE377" s="9"/>
      <x:c r="AF377" s="9"/>
      <x:c r="AG377" s="9"/>
      <x:c r="AH377" s="9"/>
      <x:c r="AI377" s="11"/>
      <x:c r="AJ377" s="9"/>
      <x:c r="AK377" s="9" t="str">
        <x:v>Eval_Ordinal_Reference_Ordering.xlsm</x:v>
      </x:c>
      <x:c r="AL377" s="9" t="str">
        <x:v>pi0.5 Results</x:v>
      </x:c>
      <x:c r="AM377" s="9" t="n">
        <x:v>77</x:v>
      </x:c>
      <x:c r="AN377" s="9" t="n">
        <x:v>77</x:v>
      </x:c>
    </x:row>
    <x:row r="378">
      <x:c r="A378" s="9" t="str">
        <x:v>Success</x:v>
      </x:c>
      <x:c r="B378" s="9" t="str">
        <x:v>Ordinal Reference Ordering</x:v>
      </x:c>
      <x:c r="C378" s="10" t="n">
        <x:v>76</x:v>
      </x:c>
      <x:c r="D378" s="9" t="str">
        <x:v>Pick up the object that is first from the right and place it in the bowl.</x:v>
      </x:c>
      <x:c r="E378" s="9" t="str">
        <x:v>L1: blue tape ball, L2: yellow pen, L3: green highlighter</x:v>
      </x:c>
      <x:c r="F378" s="9" t="str">
        <x:v>green highlighter</x:v>
      </x:c>
      <x:c r="G378" s="9"/>
      <x:c r="H378" s="9" t="str">
        <x:v>Concept/compositional transfer</x:v>
      </x:c>
      <x:c r="I378" s="9" t="str">
        <x:v>CT-CF10-N3-02</x:v>
      </x:c>
      <x:c r="J378" s="9" t="str">
        <x:v>Masked cell n=3, L3, green highlighter</x:v>
      </x:c>
      <x:c r="K378" s="9"/>
      <x:c r="L378" s="9"/>
      <x:c r="M378" s="9"/>
      <x:c r="N378" s="9" t="str">
        <x:v>3 — Transfer + matched-control families</x:v>
      </x:c>
      <x:c r="O378" s="9" t="str">
        <x:v>Build this new scene family exactly from the L1–L4 description and save a first-frame reference image.</x:v>
      </x:c>
      <x:c r="P378" s="9" t="str">
        <x:v>The final manifest masks this exact sequence-length × physical-position × target-identity cell. Both equivalent left- and right-based descriptions are absent for this cell, while the canonical instruction wording occurs elsewhere in training.</x:v>
      </x:c>
      <x:c r="Q378" s="9"/>
      <x:c r="R378" s="10" t="n">
        <x:v>3</x:v>
      </x:c>
      <x:c r="S378" s="10"/>
      <x:c r="T378" s="9"/>
      <x:c r="U378" s="9"/>
      <x:c r="V378" s="9"/>
      <x:c r="W378" s="9" t="str">
        <x:v>CT-CF10-N3-02</x:v>
      </x:c>
      <x:c r="X378" s="10"/>
      <x:c r="Y378" s="10"/>
      <x:c r="Z378" s="9"/>
      <x:c r="AA378" s="9" t="str">
        <x:v>L3</x:v>
      </x:c>
      <x:c r="AB378" s="9" t="str">
        <x:v>first from right</x:v>
      </x:c>
      <x:c r="AC378" s="9"/>
      <x:c r="AD378" s="9"/>
      <x:c r="AE378" s="9"/>
      <x:c r="AF378" s="9"/>
      <x:c r="AG378" s="9"/>
      <x:c r="AH378" s="9"/>
      <x:c r="AI378" s="11"/>
      <x:c r="AJ378" s="9"/>
      <x:c r="AK378" s="9" t="str">
        <x:v>Eval_Ordinal_Reference_Ordering.xlsm</x:v>
      </x:c>
      <x:c r="AL378" s="9" t="str">
        <x:v>pi0.5 Results</x:v>
      </x:c>
      <x:c r="AM378" s="9" t="n">
        <x:v>78</x:v>
      </x:c>
      <x:c r="AN378" s="9" t="n">
        <x:v>78</x:v>
      </x:c>
    </x:row>
    <x:row r="379">
      <x:c r="A379" s="9" t="str">
        <x:v>Success</x:v>
      </x:c>
      <x:c r="B379" s="9" t="str">
        <x:v>Ordinal Reference Ordering</x:v>
      </x:c>
      <x:c r="C379" s="10" t="n">
        <x:v>77</x:v>
      </x:c>
      <x:c r="D379" s="9" t="str">
        <x:v>Put the green highlighter in the bowl.</x:v>
      </x:c>
      <x:c r="E379" s="9" t="str">
        <x:v>L1: blue tape ball, L2: yellow pen, L3: green highlighter</x:v>
      </x:c>
      <x:c r="F379" s="9" t="str">
        <x:v>green highlighter</x:v>
      </x:c>
      <x:c r="G379" s="9"/>
      <x:c r="H379" s="9" t="str">
        <x:v>Matched manipulation control</x:v>
      </x:c>
      <x:c r="I379" s="9" t="str">
        <x:v>CT-CF10-N3-02</x:v>
      </x:c>
      <x:c r="J379" s="9" t="str">
        <x:v>Exact-scene direct control; training prompt from episode 733</x:v>
      </x:c>
      <x:c r="K379" s="9" t="n">
        <x:v>76</x:v>
      </x:c>
      <x:c r="L379" s="9"/>
      <x:c r="M379" s="9"/>
      <x:c r="N379" s="9" t="str">
        <x:v>3 — Transfer + matched-control families</x:v>
      </x:c>
      <x:c r="O379" s="9" t="str">
        <x:v>Return the previously moved object to its marked position. Do not move any other object; only the prompt changes.</x:v>
      </x:c>
      <x:c r="P379" s="9" t="str">
        <x:v>This is the direct-name prompt assigned to the same masked training cell. It tests recognition and manipulation of the exact transfer target in the exact scene without requiring ordinal selection.</x:v>
      </x:c>
      <x:c r="Q379" s="9"/>
      <x:c r="R379" s="10" t="n">
        <x:v>3</x:v>
      </x:c>
      <x:c r="S379" s="10"/>
      <x:c r="T379" s="9"/>
      <x:c r="U379" s="9"/>
      <x:c r="V379" s="9"/>
      <x:c r="W379" s="9" t="str">
        <x:v>CT-CF10-N3-02</x:v>
      </x:c>
      <x:c r="X379" s="10"/>
      <x:c r="Y379" s="10"/>
      <x:c r="Z379" s="9"/>
      <x:c r="AA379" s="9" t="str">
        <x:v>L3</x:v>
      </x:c>
      <x:c r="AB379" s="9" t="str">
        <x:v>Direct-name control</x:v>
      </x:c>
      <x:c r="AC379" s="9"/>
      <x:c r="AD379" s="9"/>
      <x:c r="AE379" s="9"/>
      <x:c r="AF379" s="9"/>
      <x:c r="AG379" s="9"/>
      <x:c r="AH379" s="9"/>
      <x:c r="AI379" s="11"/>
      <x:c r="AJ379" s="9"/>
      <x:c r="AK379" s="9" t="str">
        <x:v>Eval_Ordinal_Reference_Ordering.xlsm</x:v>
      </x:c>
      <x:c r="AL379" s="9" t="str">
        <x:v>pi0.5 Results</x:v>
      </x:c>
      <x:c r="AM379" s="9" t="n">
        <x:v>79</x:v>
      </x:c>
      <x:c r="AN379" s="9" t="n">
        <x:v>79</x:v>
      </x:c>
    </x:row>
    <x:row r="380">
      <x:c r="A380" s="9" t="str">
        <x:v>Success</x:v>
      </x:c>
      <x:c r="B380" s="9" t="str">
        <x:v>Ordinal Reference Ordering</x:v>
      </x:c>
      <x:c r="C380" s="10" t="n">
        <x:v>78</x:v>
      </x:c>
      <x:c r="D380" s="9" t="str">
        <x:v>Put the blue tape ball in the bowl.</x:v>
      </x:c>
      <x:c r="E380" s="9" t="str">
        <x:v>L1: blue tape ball, L2: yellow pen, L3: green highlighter</x:v>
      </x:c>
      <x:c r="F380" s="9" t="str">
        <x:v>blue tape ball</x:v>
      </x:c>
      <x:c r="G380" s="9"/>
      <x:c r="H380" s="9" t="str">
        <x:v>Matched manipulation control</x:v>
      </x:c>
      <x:c r="I380" s="9" t="str">
        <x:v>CT-CF10-N3-02</x:v>
      </x:c>
      <x:c r="J380" s="9" t="str">
        <x:v>Exact-scene direct control; training prompt from episode 655</x:v>
      </x:c>
      <x:c r="K380" s="9" t="n">
        <x:v>79</x:v>
      </x:c>
      <x:c r="L380" s="9"/>
      <x:c r="M380" s="9"/>
      <x:c r="N380" s="9" t="str">
        <x:v>3 — Transfer + matched-control families</x:v>
      </x:c>
      <x:c r="O380" s="9" t="str">
        <x:v>Return the previously moved object to its marked position. Do not move any other object; only the prompt changes.</x:v>
      </x:c>
      <x:c r="P380" s="9" t="str">
        <x:v>This is the direct-name prompt assigned to the same masked training cell. It tests recognition and manipulation of the exact transfer target in the exact scene without requiring ordinal selection.</x:v>
      </x:c>
      <x:c r="Q380" s="9"/>
      <x:c r="R380" s="10" t="n">
        <x:v>3</x:v>
      </x:c>
      <x:c r="S380" s="10"/>
      <x:c r="T380" s="9"/>
      <x:c r="U380" s="9"/>
      <x:c r="V380" s="9"/>
      <x:c r="W380" s="9" t="str">
        <x:v>CT-CF10-N3-02</x:v>
      </x:c>
      <x:c r="X380" s="10"/>
      <x:c r="Y380" s="10"/>
      <x:c r="Z380" s="9"/>
      <x:c r="AA380" s="9" t="str">
        <x:v>L1</x:v>
      </x:c>
      <x:c r="AB380" s="9" t="str">
        <x:v>Direct-name control</x:v>
      </x:c>
      <x:c r="AC380" s="9"/>
      <x:c r="AD380" s="9"/>
      <x:c r="AE380" s="9"/>
      <x:c r="AF380" s="9"/>
      <x:c r="AG380" s="9"/>
      <x:c r="AH380" s="9"/>
      <x:c r="AI380" s="11"/>
      <x:c r="AJ380" s="9"/>
      <x:c r="AK380" s="9" t="str">
        <x:v>Eval_Ordinal_Reference_Ordering.xlsm</x:v>
      </x:c>
      <x:c r="AL380" s="9" t="str">
        <x:v>pi0.5 Results</x:v>
      </x:c>
      <x:c r="AM380" s="9" t="n">
        <x:v>80</x:v>
      </x:c>
      <x:c r="AN380" s="9" t="n">
        <x:v>80</x:v>
      </x:c>
    </x:row>
    <x:row r="381">
      <x:c r="A381" s="9" t="str">
        <x:v>Failure</x:v>
      </x:c>
      <x:c r="B381" s="9" t="str">
        <x:v>Ordinal Reference Ordering</x:v>
      </x:c>
      <x:c r="C381" s="10" t="n">
        <x:v>79</x:v>
      </x:c>
      <x:c r="D381" s="9" t="str">
        <x:v>Pick up the object that is first from the left and place it in the bowl.</x:v>
      </x:c>
      <x:c r="E381" s="9" t="str">
        <x:v>L1: blue tape ball, L2: yellow pen, L3: green highlighter</x:v>
      </x:c>
      <x:c r="F381" s="9" t="str">
        <x:v>blue tape ball</x:v>
      </x:c>
      <x:c r="G381" s="9" t="str">
        <x:v>picked green highlighter</x:v>
      </x:c>
      <x:c r="H381" s="9" t="str">
        <x:v>Concept/compositional transfer</x:v>
      </x:c>
      <x:c r="I381" s="9" t="str">
        <x:v>CT-CF10-N3-02</x:v>
      </x:c>
      <x:c r="J381" s="9" t="str">
        <x:v>Masked cell n=3, L1, blue tape ball</x:v>
      </x:c>
      <x:c r="K381" s="9" t="n">
        <x:v>76</x:v>
      </x:c>
      <x:c r="L381" s="9"/>
      <x:c r="M381" s="9"/>
      <x:c r="N381" s="9" t="str">
        <x:v>3 — Transfer + matched-control families</x:v>
      </x:c>
      <x:c r="O381" s="9" t="str">
        <x:v>Return the previously moved object to its marked position. Do not move any other object; only the prompt changes.</x:v>
      </x:c>
      <x:c r="P381" s="9" t="str">
        <x:v>The final manifest masks this exact sequence-length × physical-position × target-identity cell. Both equivalent left- and right-based descriptions are absent for this cell, while the canonical instruction wording occurs elsewhere in training.</x:v>
      </x:c>
      <x:c r="Q381" s="9"/>
      <x:c r="R381" s="10" t="n">
        <x:v>3</x:v>
      </x:c>
      <x:c r="S381" s="10"/>
      <x:c r="T381" s="9"/>
      <x:c r="U381" s="9"/>
      <x:c r="V381" s="9"/>
      <x:c r="W381" s="9" t="str">
        <x:v>CT-CF10-N3-02</x:v>
      </x:c>
      <x:c r="X381" s="10"/>
      <x:c r="Y381" s="10"/>
      <x:c r="Z381" s="9"/>
      <x:c r="AA381" s="9" t="str">
        <x:v>L1</x:v>
      </x:c>
      <x:c r="AB381" s="9" t="str">
        <x:v>first from left</x:v>
      </x:c>
      <x:c r="AC381" s="9"/>
      <x:c r="AD381" s="9"/>
      <x:c r="AE381" s="9"/>
      <x:c r="AF381" s="9"/>
      <x:c r="AG381" s="9"/>
      <x:c r="AH381" s="9"/>
      <x:c r="AI381" s="11"/>
      <x:c r="AJ381" s="9"/>
      <x:c r="AK381" s="9" t="str">
        <x:v>Eval_Ordinal_Reference_Ordering.xlsm</x:v>
      </x:c>
      <x:c r="AL381" s="9" t="str">
        <x:v>pi0.5 Results</x:v>
      </x:c>
      <x:c r="AM381" s="9" t="n">
        <x:v>81</x:v>
      </x:c>
      <x:c r="AN381" s="9" t="n">
        <x:v>81</x:v>
      </x:c>
    </x:row>
    <x:row r="382">
      <x:c r="A382" s="9" t="str">
        <x:v>Failure</x:v>
      </x:c>
      <x:c r="B382" s="9" t="str">
        <x:v>Ordinal Reference Ordering</x:v>
      </x:c>
      <x:c r="C382" s="10" t="n">
        <x:v>80</x:v>
      </x:c>
      <x:c r="D382" s="9" t="str">
        <x:v>Pick up the object that is second from the right and place it in the bowl.</x:v>
      </x:c>
      <x:c r="E382" s="9" t="str">
        <x:v>L1: airplane toy with propellers, L2: blue tape ball</x:v>
      </x:c>
      <x:c r="F382" s="9" t="str">
        <x:v>airplane toy with propellers</x:v>
      </x:c>
      <x:c r="G382" s="9" t="str">
        <x:v>picked blue tape ball</x:v>
      </x:c>
      <x:c r="H382" s="9" t="str">
        <x:v>Concept/compositional transfer</x:v>
      </x:c>
      <x:c r="I382" s="9" t="str">
        <x:v>CT-CF11-N2-05</x:v>
      </x:c>
      <x:c r="J382" s="9" t="str">
        <x:v>Masked cell n=2, L1, airplane toy with propellers</x:v>
      </x:c>
      <x:c r="K382" s="9"/>
      <x:c r="L382" s="9"/>
      <x:c r="M382" s="9"/>
      <x:c r="N382" s="9" t="str">
        <x:v>4 — Transfer-only counterfactual pairs</x:v>
      </x:c>
      <x:c r="O382" s="9" t="str">
        <x:v>Build this new scene family exactly from the L1–L4 description and save a first-frame reference image.</x:v>
      </x:c>
      <x:c r="P382" s="9" t="str">
        <x:v>The final manifest masks this exact sequence-length × physical-position × target-identity cell. Both equivalent left- and right-based descriptions are absent for this cell, while the canonical instruction wording occurs elsewhere in training.</x:v>
      </x:c>
      <x:c r="Q382" s="9"/>
      <x:c r="R382" s="10" t="n">
        <x:v>2</x:v>
      </x:c>
      <x:c r="S382" s="10"/>
      <x:c r="T382" s="9"/>
      <x:c r="U382" s="9"/>
      <x:c r="V382" s="9"/>
      <x:c r="W382" s="9" t="str">
        <x:v>CT-CF11-N2-05</x:v>
      </x:c>
      <x:c r="X382" s="10"/>
      <x:c r="Y382" s="10"/>
      <x:c r="Z382" s="9"/>
      <x:c r="AA382" s="9" t="str">
        <x:v>L1</x:v>
      </x:c>
      <x:c r="AB382" s="9" t="str">
        <x:v>second from right</x:v>
      </x:c>
      <x:c r="AC382" s="9"/>
      <x:c r="AD382" s="9"/>
      <x:c r="AE382" s="9"/>
      <x:c r="AF382" s="9"/>
      <x:c r="AG382" s="9"/>
      <x:c r="AH382" s="9"/>
      <x:c r="AI382" s="11"/>
      <x:c r="AJ382" s="9"/>
      <x:c r="AK382" s="9" t="str">
        <x:v>Eval_Ordinal_Reference_Ordering.xlsm</x:v>
      </x:c>
      <x:c r="AL382" s="9" t="str">
        <x:v>pi0.5 Results</x:v>
      </x:c>
      <x:c r="AM382" s="9" t="n">
        <x:v>82</x:v>
      </x:c>
      <x:c r="AN382" s="9" t="n">
        <x:v>82</x:v>
      </x:c>
    </x:row>
    <x:row r="383">
      <x:c r="A383" s="9" t="str">
        <x:v>Success</x:v>
      </x:c>
      <x:c r="B383" s="9" t="str">
        <x:v>Ordinal Reference Ordering</x:v>
      </x:c>
      <x:c r="C383" s="10" t="n">
        <x:v>81</x:v>
      </x:c>
      <x:c r="D383" s="9" t="str">
        <x:v>Pick up the object that is second from the left and place it in the bowl.</x:v>
      </x:c>
      <x:c r="E383" s="9" t="str">
        <x:v>L1: airplane toy with propellers, L2: blue tape ball</x:v>
      </x:c>
      <x:c r="F383" s="9" t="str">
        <x:v>blue tape ball</x:v>
      </x:c>
      <x:c r="G383" s="9" t="str">
        <x:v>picked blue tape ball</x:v>
      </x:c>
      <x:c r="H383" s="9" t="str">
        <x:v>Concept/compositional transfer</x:v>
      </x:c>
      <x:c r="I383" s="9" t="str">
        <x:v>CT-CF11-N2-05</x:v>
      </x:c>
      <x:c r="J383" s="9" t="str">
        <x:v>Masked cell n=2, L2, blue tape ball</x:v>
      </x:c>
      <x:c r="K383" s="9" t="n">
        <x:v>80</x:v>
      </x:c>
      <x:c r="L383" s="9"/>
      <x:c r="M383" s="9"/>
      <x:c r="N383" s="9" t="str">
        <x:v>4 — Transfer-only counterfactual pairs</x:v>
      </x:c>
      <x:c r="O383" s="9" t="str">
        <x:v>Return the previously moved object to its marked position. Do not move any other object; only the prompt changes.</x:v>
      </x:c>
      <x:c r="P383" s="9" t="str">
        <x:v>The final manifest masks this exact sequence-length × physical-position × target-identity cell. Both equivalent left- and right-based descriptions are absent for this cell, while the canonical instruction wording occurs elsewhere in training.</x:v>
      </x:c>
      <x:c r="Q383" s="9"/>
      <x:c r="R383" s="10" t="n">
        <x:v>2</x:v>
      </x:c>
      <x:c r="S383" s="10"/>
      <x:c r="T383" s="9"/>
      <x:c r="U383" s="9"/>
      <x:c r="V383" s="9"/>
      <x:c r="W383" s="9" t="str">
        <x:v>CT-CF11-N2-05</x:v>
      </x:c>
      <x:c r="X383" s="10"/>
      <x:c r="Y383" s="10"/>
      <x:c r="Z383" s="9"/>
      <x:c r="AA383" s="9" t="str">
        <x:v>L2</x:v>
      </x:c>
      <x:c r="AB383" s="9" t="str">
        <x:v>second from left</x:v>
      </x:c>
      <x:c r="AC383" s="9"/>
      <x:c r="AD383" s="9"/>
      <x:c r="AE383" s="9"/>
      <x:c r="AF383" s="9"/>
      <x:c r="AG383" s="9"/>
      <x:c r="AH383" s="9"/>
      <x:c r="AI383" s="11"/>
      <x:c r="AJ383" s="9"/>
      <x:c r="AK383" s="9" t="str">
        <x:v>Eval_Ordinal_Reference_Ordering.xlsm</x:v>
      </x:c>
      <x:c r="AL383" s="9" t="str">
        <x:v>pi0.5 Results</x:v>
      </x:c>
      <x:c r="AM383" s="9" t="n">
        <x:v>83</x:v>
      </x:c>
      <x:c r="AN383" s="9" t="n">
        <x:v>83</x:v>
      </x:c>
    </x:row>
    <x:row r="384">
      <x:c r="A384" s="9" t="str">
        <x:v>Failure</x:v>
      </x:c>
      <x:c r="B384" s="9" t="str">
        <x:v>Ordinal Reference Ordering</x:v>
      </x:c>
      <x:c r="C384" s="10" t="n">
        <x:v>82</x:v>
      </x:c>
      <x:c r="D384" s="9" t="str">
        <x:v>Pick up the object that is first from the right and place it in the bowl.</x:v>
      </x:c>
      <x:c r="E384" s="9" t="str">
        <x:v>L1: blue tape ball, L2: yellow pen, L3: airplane toy with propellers</x:v>
      </x:c>
      <x:c r="F384" s="9" t="str">
        <x:v>airplane toy with propellers</x:v>
      </x:c>
      <x:c r="G384" s="9" t="str">
        <x:v>succeeded reasoning; tried to get the airplane toy, dropped it, and couldn't recover</x:v>
      </x:c>
      <x:c r="H384" s="9" t="str">
        <x:v>Concept/compositional transfer</x:v>
      </x:c>
      <x:c r="I384" s="9" t="str">
        <x:v>CT-CF12-N3-05</x:v>
      </x:c>
      <x:c r="J384" s="9" t="str">
        <x:v>Masked cell n=3, L3, airplane toy with propellers</x:v>
      </x:c>
      <x:c r="K384" s="9"/>
      <x:c r="L384" s="9"/>
      <x:c r="M384" s="9"/>
      <x:c r="N384" s="9" t="str">
        <x:v>4 — Transfer-only counterfactual pairs</x:v>
      </x:c>
      <x:c r="O384" s="9" t="str">
        <x:v>Build this new scene family exactly from the L1–L4 description and save a first-frame reference image.</x:v>
      </x:c>
      <x:c r="P384" s="9" t="str">
        <x:v>The final manifest masks this exact sequence-length × physical-position × target-identity cell. Both equivalent left- and right-based descriptions are absent for this cell, while the canonical instruction wording occurs elsewhere in training.</x:v>
      </x:c>
      <x:c r="Q384" s="9"/>
      <x:c r="R384" s="10" t="n">
        <x:v>3</x:v>
      </x:c>
      <x:c r="S384" s="10"/>
      <x:c r="T384" s="9"/>
      <x:c r="U384" s="9"/>
      <x:c r="V384" s="9"/>
      <x:c r="W384" s="9" t="str">
        <x:v>CT-CF12-N3-05</x:v>
      </x:c>
      <x:c r="X384" s="10"/>
      <x:c r="Y384" s="10"/>
      <x:c r="Z384" s="9"/>
      <x:c r="AA384" s="9" t="str">
        <x:v>L3</x:v>
      </x:c>
      <x:c r="AB384" s="9" t="str">
        <x:v>first from right</x:v>
      </x:c>
      <x:c r="AC384" s="9"/>
      <x:c r="AD384" s="9"/>
      <x:c r="AE384" s="9"/>
      <x:c r="AF384" s="9"/>
      <x:c r="AG384" s="9"/>
      <x:c r="AH384" s="9"/>
      <x:c r="AI384" s="11"/>
      <x:c r="AJ384" s="9"/>
      <x:c r="AK384" s="9" t="str">
        <x:v>Eval_Ordinal_Reference_Ordering.xlsm</x:v>
      </x:c>
      <x:c r="AL384" s="9" t="str">
        <x:v>pi0.5 Results</x:v>
      </x:c>
      <x:c r="AM384" s="9" t="n">
        <x:v>84</x:v>
      </x:c>
      <x:c r="AN384" s="9" t="n">
        <x:v>84</x:v>
      </x:c>
    </x:row>
    <x:row r="385">
      <x:c r="A385" s="9" t="str">
        <x:v>Failure</x:v>
      </x:c>
      <x:c r="B385" s="9" t="str">
        <x:v>Ordinal Reference Ordering</x:v>
      </x:c>
      <x:c r="C385" s="10" t="n">
        <x:v>83</x:v>
      </x:c>
      <x:c r="D385" s="9" t="str">
        <x:v>Pick up the object that is first from the left and place it in the bowl.</x:v>
      </x:c>
      <x:c r="E385" s="9" t="str">
        <x:v>L1: blue tape ball, L2: yellow pen, L3: airplane toy with propellers</x:v>
      </x:c>
      <x:c r="F385" s="9" t="str">
        <x:v>blue tape ball</x:v>
      </x:c>
      <x:c r="G385" s="9" t="str">
        <x:v>went for the airplane toy again;  basically did the same thing as the previous episode</x:v>
      </x:c>
      <x:c r="H385" s="9" t="str">
        <x:v>Concept/compositional transfer</x:v>
      </x:c>
      <x:c r="I385" s="9" t="str">
        <x:v>CT-CF12-N3-05</x:v>
      </x:c>
      <x:c r="J385" s="9" t="str">
        <x:v>Masked cell n=3, L1, blue tape ball</x:v>
      </x:c>
      <x:c r="K385" s="9" t="n">
        <x:v>82</x:v>
      </x:c>
      <x:c r="L385" s="9"/>
      <x:c r="M385" s="9"/>
      <x:c r="N385" s="9" t="str">
        <x:v>4 — Transfer-only counterfactual pairs</x:v>
      </x:c>
      <x:c r="O385" s="9" t="str">
        <x:v>Return the previously moved object to its marked position. Do not move any other object; only the prompt changes.</x:v>
      </x:c>
      <x:c r="P385" s="9" t="str">
        <x:v>The final manifest masks this exact sequence-length × physical-position × target-identity cell. Both equivalent left- and right-based descriptions are absent for this cell, while the canonical instruction wording occurs elsewhere in training.</x:v>
      </x:c>
      <x:c r="Q385" s="9"/>
      <x:c r="R385" s="10" t="n">
        <x:v>3</x:v>
      </x:c>
      <x:c r="S385" s="10"/>
      <x:c r="T385" s="9"/>
      <x:c r="U385" s="9"/>
      <x:c r="V385" s="9"/>
      <x:c r="W385" s="9" t="str">
        <x:v>CT-CF12-N3-05</x:v>
      </x:c>
      <x:c r="X385" s="10"/>
      <x:c r="Y385" s="10"/>
      <x:c r="Z385" s="9"/>
      <x:c r="AA385" s="9" t="str">
        <x:v>L1</x:v>
      </x:c>
      <x:c r="AB385" s="9" t="str">
        <x:v>first from left</x:v>
      </x:c>
      <x:c r="AC385" s="9"/>
      <x:c r="AD385" s="9"/>
      <x:c r="AE385" s="9"/>
      <x:c r="AF385" s="9"/>
      <x:c r="AG385" s="9"/>
      <x:c r="AH385" s="9"/>
      <x:c r="AI385" s="11"/>
      <x:c r="AJ385" s="9"/>
      <x:c r="AK385" s="9" t="str">
        <x:v>Eval_Ordinal_Reference_Ordering.xlsm</x:v>
      </x:c>
      <x:c r="AL385" s="9" t="str">
        <x:v>pi0.5 Results</x:v>
      </x:c>
      <x:c r="AM385" s="9" t="n">
        <x:v>85</x:v>
      </x:c>
      <x:c r="AN385" s="9" t="n">
        <x:v>85</x:v>
      </x:c>
    </x:row>
    <x:row r="386">
      <x:c r="A386" s="9" t="str">
        <x:v>Failure</x:v>
      </x:c>
      <x:c r="B386" s="9" t="str">
        <x:v>Ordinal Reference Ordering</x:v>
      </x:c>
      <x:c r="C386" s="10" t="n">
        <x:v>84</x:v>
      </x:c>
      <x:c r="D386" s="9" t="str">
        <x:v>Pick up the object that is fourth from the right and place it in the bowl.</x:v>
      </x:c>
      <x:c r="E386" s="9" t="str">
        <x:v>L1: airplane toy with propellers, L2: yellow pen, L3: green highlighter, L4: blue tape ball</x:v>
      </x:c>
      <x:c r="F386" s="9" t="str">
        <x:v>airplane toy with propellers</x:v>
      </x:c>
      <x:c r="G386" s="9" t="str">
        <x:v>picked yellow pen</x:v>
      </x:c>
      <x:c r="H386" s="9" t="str">
        <x:v>Concept/compositional transfer</x:v>
      </x:c>
      <x:c r="I386" s="9" t="str">
        <x:v>CT-CF13-N4-03</x:v>
      </x:c>
      <x:c r="J386" s="9" t="str">
        <x:v>Masked cell n=4, L1, airplane toy with propellers</x:v>
      </x:c>
      <x:c r="K386" s="9"/>
      <x:c r="L386" s="9"/>
      <x:c r="M386" s="9"/>
      <x:c r="N386" s="9" t="str">
        <x:v>4 — Transfer-only counterfactual pairs</x:v>
      </x:c>
      <x:c r="O386" s="9" t="str">
        <x:v>Build this new scene family exactly from the L1–L4 description and save a first-frame reference image.</x:v>
      </x:c>
      <x:c r="P386" s="9" t="str">
        <x:v>The final manifest masks this exact sequence-length × physical-position × target-identity cell. Both equivalent left- and right-based descriptions are absent for this cell, while the canonical instruction wording occurs elsewhere in training.</x:v>
      </x:c>
      <x:c r="Q386" s="9"/>
      <x:c r="R386" s="10" t="n">
        <x:v>4</x:v>
      </x:c>
      <x:c r="S386" s="10"/>
      <x:c r="T386" s="9"/>
      <x:c r="U386" s="9"/>
      <x:c r="V386" s="9"/>
      <x:c r="W386" s="9" t="str">
        <x:v>CT-CF13-N4-03</x:v>
      </x:c>
      <x:c r="X386" s="10"/>
      <x:c r="Y386" s="10"/>
      <x:c r="Z386" s="9"/>
      <x:c r="AA386" s="9" t="str">
        <x:v>L1</x:v>
      </x:c>
      <x:c r="AB386" s="9" t="str">
        <x:v>fourth from right</x:v>
      </x:c>
      <x:c r="AC386" s="9"/>
      <x:c r="AD386" s="9"/>
      <x:c r="AE386" s="9"/>
      <x:c r="AF386" s="9"/>
      <x:c r="AG386" s="9"/>
      <x:c r="AH386" s="9"/>
      <x:c r="AI386" s="11"/>
      <x:c r="AJ386" s="9"/>
      <x:c r="AK386" s="9" t="str">
        <x:v>Eval_Ordinal_Reference_Ordering.xlsm</x:v>
      </x:c>
      <x:c r="AL386" s="9" t="str">
        <x:v>pi0.5 Results</x:v>
      </x:c>
      <x:c r="AM386" s="9" t="n">
        <x:v>86</x:v>
      </x:c>
      <x:c r="AN386" s="9" t="n">
        <x:v>86</x:v>
      </x:c>
    </x:row>
    <x:row r="387">
      <x:c r="A387" s="9" t="str">
        <x:v>Failure</x:v>
      </x:c>
      <x:c r="B387" s="9" t="str">
        <x:v>Ordinal Reference Ordering</x:v>
      </x:c>
      <x:c r="C387" s="10" t="n">
        <x:v>85</x:v>
      </x:c>
      <x:c r="D387" s="9" t="str">
        <x:v>Pick up the object that is third from the left and place it in the bowl.</x:v>
      </x:c>
      <x:c r="E387" s="9" t="str">
        <x:v>L1: airplane toy with propellers, L2: yellow pen, L3: green highlighter, L4: blue tape ball</x:v>
      </x:c>
      <x:c r="F387" s="9" t="str">
        <x:v>green highlighter</x:v>
      </x:c>
      <x:c r="G387" s="9" t="str">
        <x:v>picked yellow pen</x:v>
      </x:c>
      <x:c r="H387" s="9" t="str">
        <x:v>Concept/compositional transfer</x:v>
      </x:c>
      <x:c r="I387" s="9" t="str">
        <x:v>CT-CF13-N4-03</x:v>
      </x:c>
      <x:c r="J387" s="9" t="str">
        <x:v>Masked cell n=4, L3, green highlighter</x:v>
      </x:c>
      <x:c r="K387" s="9" t="n">
        <x:v>84</x:v>
      </x:c>
      <x:c r="L387" s="9"/>
      <x:c r="M387" s="9"/>
      <x:c r="N387" s="9" t="str">
        <x:v>4 — Transfer-only counterfactual pairs</x:v>
      </x:c>
      <x:c r="O387" s="9" t="str">
        <x:v>Return the previously moved object to its marked position. Do not move any other object; only the prompt changes.</x:v>
      </x:c>
      <x:c r="P387" s="9" t="str">
        <x:v>The final manifest masks this exact sequence-length × physical-position × target-identity cell. Both equivalent left- and right-based descriptions are absent for this cell, while the canonical instruction wording occurs elsewhere in training.</x:v>
      </x:c>
      <x:c r="Q387" s="9"/>
      <x:c r="R387" s="10" t="n">
        <x:v>4</x:v>
      </x:c>
      <x:c r="S387" s="10"/>
      <x:c r="T387" s="9"/>
      <x:c r="U387" s="9"/>
      <x:c r="V387" s="9"/>
      <x:c r="W387" s="9" t="str">
        <x:v>CT-CF13-N4-03</x:v>
      </x:c>
      <x:c r="X387" s="10"/>
      <x:c r="Y387" s="10"/>
      <x:c r="Z387" s="9"/>
      <x:c r="AA387" s="9" t="str">
        <x:v>L3</x:v>
      </x:c>
      <x:c r="AB387" s="9" t="str">
        <x:v>third from left</x:v>
      </x:c>
      <x:c r="AC387" s="9"/>
      <x:c r="AD387" s="9"/>
      <x:c r="AE387" s="9"/>
      <x:c r="AF387" s="9"/>
      <x:c r="AG387" s="9"/>
      <x:c r="AH387" s="9"/>
      <x:c r="AI387" s="11"/>
      <x:c r="AJ387" s="9"/>
      <x:c r="AK387" s="9" t="str">
        <x:v>Eval_Ordinal_Reference_Ordering.xlsm</x:v>
      </x:c>
      <x:c r="AL387" s="9" t="str">
        <x:v>pi0.5 Results</x:v>
      </x:c>
      <x:c r="AM387" s="9" t="n">
        <x:v>87</x:v>
      </x:c>
      <x:c r="AN387" s="9" t="n">
        <x:v>87</x:v>
      </x:c>
    </x:row>
    <x:row r="388">
      <x:c r="A388" s="9" t="str">
        <x:v>Failure</x:v>
      </x:c>
      <x:c r="B388" s="9" t="str">
        <x:v>Ordinal Reference Ordering</x:v>
      </x:c>
      <x:c r="C388" s="10" t="n">
        <x:v>86</x:v>
      </x:c>
      <x:c r="D388" s="9" t="str">
        <x:v>Pick up the object that is second from the left and place it in the bowl.</x:v>
      </x:c>
      <x:c r="E388" s="9" t="str">
        <x:v>L1: airplane toy with propellers, L2: yellow pen</x:v>
      </x:c>
      <x:c r="F388" s="9" t="str">
        <x:v>yellow pen</x:v>
      </x:c>
      <x:c r="G388" s="9" t="str">
        <x:v>picked airplane toy</x:v>
      </x:c>
      <x:c r="H388" s="9" t="str">
        <x:v>Concept/compositional transfer</x:v>
      </x:c>
      <x:c r="I388" s="9" t="str">
        <x:v>CT-CF14-N2-06</x:v>
      </x:c>
      <x:c r="J388" s="9" t="str">
        <x:v>Masked cell n=2, L2, yellow pen</x:v>
      </x:c>
      <x:c r="K388" s="9"/>
      <x:c r="L388" s="9"/>
      <x:c r="M388" s="9"/>
      <x:c r="N388" s="9" t="str">
        <x:v>4 — Transfer-only counterfactual pairs</x:v>
      </x:c>
      <x:c r="O388" s="9" t="str">
        <x:v>Build this new scene family exactly from the L1–L4 description and save a first-frame reference image.</x:v>
      </x:c>
      <x:c r="P388" s="9" t="str">
        <x:v>The final manifest masks this exact sequence-length × physical-position × target-identity cell. Both equivalent left- and right-based descriptions are absent for this cell, while the canonical instruction wording occurs elsewhere in training.</x:v>
      </x:c>
      <x:c r="Q388" s="9"/>
      <x:c r="R388" s="10" t="n">
        <x:v>2</x:v>
      </x:c>
      <x:c r="S388" s="10"/>
      <x:c r="T388" s="9"/>
      <x:c r="U388" s="9"/>
      <x:c r="V388" s="9"/>
      <x:c r="W388" s="9" t="str">
        <x:v>CT-CF14-N2-06</x:v>
      </x:c>
      <x:c r="X388" s="10"/>
      <x:c r="Y388" s="10"/>
      <x:c r="Z388" s="9"/>
      <x:c r="AA388" s="9" t="str">
        <x:v>L2</x:v>
      </x:c>
      <x:c r="AB388" s="9" t="str">
        <x:v>second from left</x:v>
      </x:c>
      <x:c r="AC388" s="9"/>
      <x:c r="AD388" s="9"/>
      <x:c r="AE388" s="9"/>
      <x:c r="AF388" s="9"/>
      <x:c r="AG388" s="9"/>
      <x:c r="AH388" s="9"/>
      <x:c r="AI388" s="11"/>
      <x:c r="AJ388" s="9"/>
      <x:c r="AK388" s="9" t="str">
        <x:v>Eval_Ordinal_Reference_Ordering.xlsm</x:v>
      </x:c>
      <x:c r="AL388" s="9" t="str">
        <x:v>pi0.5 Results</x:v>
      </x:c>
      <x:c r="AM388" s="9" t="n">
        <x:v>88</x:v>
      </x:c>
      <x:c r="AN388" s="9" t="n">
        <x:v>88</x:v>
      </x:c>
    </x:row>
    <x:row r="389">
      <x:c r="A389" s="9" t="str">
        <x:v>Success</x:v>
      </x:c>
      <x:c r="B389" s="9" t="str">
        <x:v>Ordinal Reference Ordering</x:v>
      </x:c>
      <x:c r="C389" s="10" t="n">
        <x:v>87</x:v>
      </x:c>
      <x:c r="D389" s="9" t="str">
        <x:v>Pick up the object that is second from the right and place it in the bowl.</x:v>
      </x:c>
      <x:c r="E389" s="9" t="str">
        <x:v>L1: airplane toy with propellers, L2: yellow pen</x:v>
      </x:c>
      <x:c r="F389" s="9" t="str">
        <x:v>airplane toy with propellers</x:v>
      </x:c>
      <x:c r="G389" s="9"/>
      <x:c r="H389" s="9" t="str">
        <x:v>Concept/compositional transfer</x:v>
      </x:c>
      <x:c r="I389" s="9" t="str">
        <x:v>CT-CF14-N2-06</x:v>
      </x:c>
      <x:c r="J389" s="9" t="str">
        <x:v>Masked cell n=2, L1, airplane toy with propellers</x:v>
      </x:c>
      <x:c r="K389" s="9" t="n">
        <x:v>86</x:v>
      </x:c>
      <x:c r="L389" s="9"/>
      <x:c r="M389" s="9"/>
      <x:c r="N389" s="9" t="str">
        <x:v>4 — Transfer-only counterfactual pairs</x:v>
      </x:c>
      <x:c r="O389" s="9" t="str">
        <x:v>Return the previously moved object to its marked position. Do not move any other object; only the prompt changes.</x:v>
      </x:c>
      <x:c r="P389" s="9" t="str">
        <x:v>The final manifest masks this exact sequence-length × physical-position × target-identity cell. Both equivalent left- and right-based descriptions are absent for this cell, while the canonical instruction wording occurs elsewhere in training.</x:v>
      </x:c>
      <x:c r="Q389" s="9"/>
      <x:c r="R389" s="10" t="n">
        <x:v>2</x:v>
      </x:c>
      <x:c r="S389" s="10"/>
      <x:c r="T389" s="9"/>
      <x:c r="U389" s="9"/>
      <x:c r="V389" s="9"/>
      <x:c r="W389" s="9" t="str">
        <x:v>CT-CF14-N2-06</x:v>
      </x:c>
      <x:c r="X389" s="10"/>
      <x:c r="Y389" s="10"/>
      <x:c r="Z389" s="9"/>
      <x:c r="AA389" s="9" t="str">
        <x:v>L1</x:v>
      </x:c>
      <x:c r="AB389" s="9" t="str">
        <x:v>second from right</x:v>
      </x:c>
      <x:c r="AC389" s="9"/>
      <x:c r="AD389" s="9"/>
      <x:c r="AE389" s="9"/>
      <x:c r="AF389" s="9"/>
      <x:c r="AG389" s="9"/>
      <x:c r="AH389" s="9"/>
      <x:c r="AI389" s="11"/>
      <x:c r="AJ389" s="9"/>
      <x:c r="AK389" s="9" t="str">
        <x:v>Eval_Ordinal_Reference_Ordering.xlsm</x:v>
      </x:c>
      <x:c r="AL389" s="9" t="str">
        <x:v>pi0.5 Results</x:v>
      </x:c>
      <x:c r="AM389" s="9" t="n">
        <x:v>89</x:v>
      </x:c>
      <x:c r="AN389" s="9" t="n">
        <x:v>89</x:v>
      </x:c>
    </x:row>
    <x:row r="390">
      <x:c r="A390" s="9" t="str">
        <x:v>Failure</x:v>
      </x:c>
      <x:c r="B390" s="9" t="str">
        <x:v>Ordinal Reference Ordering</x:v>
      </x:c>
      <x:c r="C390" s="10" t="n">
        <x:v>88</x:v>
      </x:c>
      <x:c r="D390" s="9" t="str">
        <x:v>Pick up the object that is first from the left and place it in the bowl.</x:v>
      </x:c>
      <x:c r="E390" s="9" t="str">
        <x:v>L1: blue tape ball, L2: airplane toy with propellers, L3: green highlighter</x:v>
      </x:c>
      <x:c r="F390" s="9" t="str">
        <x:v>blue tape ball</x:v>
      </x:c>
      <x:c r="G390" s="9" t="str">
        <x:v>picked green highlighter</x:v>
      </x:c>
      <x:c r="H390" s="9" t="str">
        <x:v>Concept/compositional transfer</x:v>
      </x:c>
      <x:c r="I390" s="9" t="str">
        <x:v>CT-CF15-N3-06</x:v>
      </x:c>
      <x:c r="J390" s="9" t="str">
        <x:v>Masked cell n=3, L1, blue tape ball</x:v>
      </x:c>
      <x:c r="K390" s="9"/>
      <x:c r="L390" s="9"/>
      <x:c r="M390" s="9"/>
      <x:c r="N390" s="9" t="str">
        <x:v>4 — Transfer-only counterfactual pairs</x:v>
      </x:c>
      <x:c r="O390" s="9" t="str">
        <x:v>Build this new scene family exactly from the L1–L4 description and save a first-frame reference image.</x:v>
      </x:c>
      <x:c r="P390" s="9" t="str">
        <x:v>The final manifest masks this exact sequence-length × physical-position × target-identity cell. Both equivalent left- and right-based descriptions are absent for this cell, while the canonical instruction wording occurs elsewhere in training.</x:v>
      </x:c>
      <x:c r="Q390" s="9"/>
      <x:c r="R390" s="10" t="n">
        <x:v>3</x:v>
      </x:c>
      <x:c r="S390" s="10"/>
      <x:c r="T390" s="9"/>
      <x:c r="U390" s="9"/>
      <x:c r="V390" s="9"/>
      <x:c r="W390" s="9" t="str">
        <x:v>CT-CF15-N3-06</x:v>
      </x:c>
      <x:c r="X390" s="10"/>
      <x:c r="Y390" s="10"/>
      <x:c r="Z390" s="9"/>
      <x:c r="AA390" s="9" t="str">
        <x:v>L1</x:v>
      </x:c>
      <x:c r="AB390" s="9" t="str">
        <x:v>first from left</x:v>
      </x:c>
      <x:c r="AC390" s="9"/>
      <x:c r="AD390" s="9"/>
      <x:c r="AE390" s="9"/>
      <x:c r="AF390" s="9"/>
      <x:c r="AG390" s="9"/>
      <x:c r="AH390" s="9"/>
      <x:c r="AI390" s="11"/>
      <x:c r="AJ390" s="9"/>
      <x:c r="AK390" s="9" t="str">
        <x:v>Eval_Ordinal_Reference_Ordering.xlsm</x:v>
      </x:c>
      <x:c r="AL390" s="9" t="str">
        <x:v>pi0.5 Results</x:v>
      </x:c>
      <x:c r="AM390" s="9" t="n">
        <x:v>90</x:v>
      </x:c>
      <x:c r="AN390" s="9" t="n">
        <x:v>90</x:v>
      </x:c>
    </x:row>
    <x:row r="391">
      <x:c r="A391" s="9" t="str">
        <x:v>Success</x:v>
      </x:c>
      <x:c r="B391" s="9" t="str">
        <x:v>Ordinal Reference Ordering</x:v>
      </x:c>
      <x:c r="C391" s="10" t="n">
        <x:v>89</x:v>
      </x:c>
      <x:c r="D391" s="9" t="str">
        <x:v>Pick up the object that is first from the right and place it in the bowl.</x:v>
      </x:c>
      <x:c r="E391" s="9" t="str">
        <x:v>L1: blue tape ball, L2: airplane toy with propellers, L3: green highlighter</x:v>
      </x:c>
      <x:c r="F391" s="9" t="str">
        <x:v>green highlighter</x:v>
      </x:c>
      <x:c r="G391" s="9"/>
      <x:c r="H391" s="9" t="str">
        <x:v>Concept/compositional transfer</x:v>
      </x:c>
      <x:c r="I391" s="9" t="str">
        <x:v>CT-CF15-N3-06</x:v>
      </x:c>
      <x:c r="J391" s="9" t="str">
        <x:v>Masked cell n=3, L3, green highlighter</x:v>
      </x:c>
      <x:c r="K391" s="9" t="n">
        <x:v>88</x:v>
      </x:c>
      <x:c r="L391" s="9"/>
      <x:c r="M391" s="9"/>
      <x:c r="N391" s="9" t="str">
        <x:v>4 — Transfer-only counterfactual pairs</x:v>
      </x:c>
      <x:c r="O391" s="9" t="str">
        <x:v>Return the previously moved object to its marked position. Do not move any other object; only the prompt changes.</x:v>
      </x:c>
      <x:c r="P391" s="9" t="str">
        <x:v>The final manifest masks this exact sequence-length × physical-position × target-identity cell. Both equivalent left- and right-based descriptions are absent for this cell, while the canonical instruction wording occurs elsewhere in training.</x:v>
      </x:c>
      <x:c r="Q391" s="9"/>
      <x:c r="R391" s="10" t="n">
        <x:v>3</x:v>
      </x:c>
      <x:c r="S391" s="10"/>
      <x:c r="T391" s="9"/>
      <x:c r="U391" s="9"/>
      <x:c r="V391" s="9"/>
      <x:c r="W391" s="9" t="str">
        <x:v>CT-CF15-N3-06</x:v>
      </x:c>
      <x:c r="X391" s="10"/>
      <x:c r="Y391" s="10"/>
      <x:c r="Z391" s="9"/>
      <x:c r="AA391" s="9" t="str">
        <x:v>L3</x:v>
      </x:c>
      <x:c r="AB391" s="9" t="str">
        <x:v>first from right</x:v>
      </x:c>
      <x:c r="AC391" s="9"/>
      <x:c r="AD391" s="9"/>
      <x:c r="AE391" s="9"/>
      <x:c r="AF391" s="9"/>
      <x:c r="AG391" s="9"/>
      <x:c r="AH391" s="9"/>
      <x:c r="AI391" s="11"/>
      <x:c r="AJ391" s="9"/>
      <x:c r="AK391" s="9" t="str">
        <x:v>Eval_Ordinal_Reference_Ordering.xlsm</x:v>
      </x:c>
      <x:c r="AL391" s="9" t="str">
        <x:v>pi0.5 Results</x:v>
      </x:c>
      <x:c r="AM391" s="9" t="n">
        <x:v>91</x:v>
      </x:c>
      <x:c r="AN391" s="9" t="n">
        <x:v>91</x:v>
      </x:c>
    </x:row>
    <x:row r="392">
      <x:c r="A392" s="9" t="str">
        <x:v>Success</x:v>
      </x:c>
      <x:c r="B392" s="9" t="str">
        <x:v>Ordinal Reference Ordering</x:v>
      </x:c>
      <x:c r="C392" s="10" t="n">
        <x:v>90</x:v>
      </x:c>
      <x:c r="D392" s="9" t="str">
        <x:v>Pick up the object that is fourth from the left and place it in the bowl.</x:v>
      </x:c>
      <x:c r="E392" s="9" t="str">
        <x:v>L1: green highlighter, L2: blue tape ball, L3: airplane toy with propellers, L4: yellow pen</x:v>
      </x:c>
      <x:c r="F392" s="9" t="str">
        <x:v>yellow pen</x:v>
      </x:c>
      <x:c r="G392" s="9"/>
      <x:c r="H392" s="9" t="str">
        <x:v>Concept/compositional transfer</x:v>
      </x:c>
      <x:c r="I392" s="9" t="str">
        <x:v>CT-CF16-N4-04</x:v>
      </x:c>
      <x:c r="J392" s="9" t="str">
        <x:v>Masked cell n=4, L4, yellow pen</x:v>
      </x:c>
      <x:c r="K392" s="9"/>
      <x:c r="L392" s="9"/>
      <x:c r="M392" s="9"/>
      <x:c r="N392" s="9" t="str">
        <x:v>4 — Transfer-only counterfactual pairs</x:v>
      </x:c>
      <x:c r="O392" s="9" t="str">
        <x:v>Build this new scene family exactly from the L1–L4 description and save a first-frame reference image.</x:v>
      </x:c>
      <x:c r="P392" s="9" t="str">
        <x:v>The final manifest masks this exact sequence-length × physical-position × target-identity cell. Both equivalent left- and right-based descriptions are absent for this cell, while the canonical instruction wording occurs elsewhere in training.</x:v>
      </x:c>
      <x:c r="Q392" s="9"/>
      <x:c r="R392" s="10" t="n">
        <x:v>4</x:v>
      </x:c>
      <x:c r="S392" s="10"/>
      <x:c r="T392" s="9"/>
      <x:c r="U392" s="9"/>
      <x:c r="V392" s="9"/>
      <x:c r="W392" s="9" t="str">
        <x:v>CT-CF16-N4-04</x:v>
      </x:c>
      <x:c r="X392" s="10"/>
      <x:c r="Y392" s="10"/>
      <x:c r="Z392" s="9"/>
      <x:c r="AA392" s="9" t="str">
        <x:v>L4</x:v>
      </x:c>
      <x:c r="AB392" s="9" t="str">
        <x:v>fourth from left</x:v>
      </x:c>
      <x:c r="AC392" s="9"/>
      <x:c r="AD392" s="9"/>
      <x:c r="AE392" s="9"/>
      <x:c r="AF392" s="9"/>
      <x:c r="AG392" s="9"/>
      <x:c r="AH392" s="9"/>
      <x:c r="AI392" s="11"/>
      <x:c r="AJ392" s="9"/>
      <x:c r="AK392" s="9" t="str">
        <x:v>Eval_Ordinal_Reference_Ordering.xlsm</x:v>
      </x:c>
      <x:c r="AL392" s="9" t="str">
        <x:v>pi0.5 Results</x:v>
      </x:c>
      <x:c r="AM392" s="9" t="n">
        <x:v>92</x:v>
      </x:c>
      <x:c r="AN392" s="9" t="n">
        <x:v>92</x:v>
      </x:c>
    </x:row>
    <x:row r="393">
      <x:c r="A393" s="9" t="str">
        <x:v>Success</x:v>
      </x:c>
      <x:c r="B393" s="9" t="str">
        <x:v>Ordinal Reference Ordering</x:v>
      </x:c>
      <x:c r="C393" s="10" t="n">
        <x:v>91</x:v>
      </x:c>
      <x:c r="D393" s="9" t="str">
        <x:v>Pick up the object that is third from the right and place it in the bowl.</x:v>
      </x:c>
      <x:c r="E393" s="9" t="str">
        <x:v>L1: green highlighter, L2: blue tape ball, L3: airplane toy with propellers, L4: yellow pen</x:v>
      </x:c>
      <x:c r="F393" s="9" t="str">
        <x:v>blue tape ball</x:v>
      </x:c>
      <x:c r="G393" s="9"/>
      <x:c r="H393" s="9" t="str">
        <x:v>Concept/compositional transfer</x:v>
      </x:c>
      <x:c r="I393" s="9" t="str">
        <x:v>CT-CF16-N4-04</x:v>
      </x:c>
      <x:c r="J393" s="9" t="str">
        <x:v>Masked cell n=4, L2, blue tape ball</x:v>
      </x:c>
      <x:c r="K393" s="9" t="n">
        <x:v>90</x:v>
      </x:c>
      <x:c r="L393" s="9"/>
      <x:c r="M393" s="9"/>
      <x:c r="N393" s="9" t="str">
        <x:v>4 — Transfer-only counterfactual pairs</x:v>
      </x:c>
      <x:c r="O393" s="9" t="str">
        <x:v>Return the previously moved object to its marked position. Do not move any other object; only the prompt changes.</x:v>
      </x:c>
      <x:c r="P393" s="9" t="str">
        <x:v>The final manifest masks this exact sequence-length × physical-position × target-identity cell. Both equivalent left- and right-based descriptions are absent for this cell, while the canonical instruction wording occurs elsewhere in training.</x:v>
      </x:c>
      <x:c r="Q393" s="9"/>
      <x:c r="R393" s="10" t="n">
        <x:v>4</x:v>
      </x:c>
      <x:c r="S393" s="10"/>
      <x:c r="T393" s="9"/>
      <x:c r="U393" s="9"/>
      <x:c r="V393" s="9"/>
      <x:c r="W393" s="9" t="str">
        <x:v>CT-CF16-N4-04</x:v>
      </x:c>
      <x:c r="X393" s="10"/>
      <x:c r="Y393" s="10"/>
      <x:c r="Z393" s="9"/>
      <x:c r="AA393" s="9" t="str">
        <x:v>L2</x:v>
      </x:c>
      <x:c r="AB393" s="9" t="str">
        <x:v>third from right</x:v>
      </x:c>
      <x:c r="AC393" s="9"/>
      <x:c r="AD393" s="9"/>
      <x:c r="AE393" s="9"/>
      <x:c r="AF393" s="9"/>
      <x:c r="AG393" s="9"/>
      <x:c r="AH393" s="9"/>
      <x:c r="AI393" s="11"/>
      <x:c r="AJ393" s="9"/>
      <x:c r="AK393" s="9" t="str">
        <x:v>Eval_Ordinal_Reference_Ordering.xlsm</x:v>
      </x:c>
      <x:c r="AL393" s="9" t="str">
        <x:v>pi0.5 Results</x:v>
      </x:c>
      <x:c r="AM393" s="9" t="n">
        <x:v>93</x:v>
      </x:c>
      <x:c r="AN393" s="9" t="n">
        <x:v>93</x:v>
      </x:c>
    </x:row>
    <x:row r="394">
      <x:c r="A394" s="9" t="str">
        <x:v>Failure</x:v>
      </x:c>
      <x:c r="B394" s="9" t="str">
        <x:v>Ordinal Reference Ordering</x:v>
      </x:c>
      <x:c r="C394" s="10" t="n">
        <x:v>92</x:v>
      </x:c>
      <x:c r="D394" s="9" t="str">
        <x:v>Pick up the object that is second from the right and place it in the bowl.</x:v>
      </x:c>
      <x:c r="E394" s="9" t="str">
        <x:v>L1: green highlighter, L2: blue tape ball</x:v>
      </x:c>
      <x:c r="F394" s="9" t="str">
        <x:v>green highlighter</x:v>
      </x:c>
      <x:c r="G394" s="9" t="str">
        <x:v>picked blue tape ball</x:v>
      </x:c>
      <x:c r="H394" s="9" t="str">
        <x:v>Concept/compositional transfer</x:v>
      </x:c>
      <x:c r="I394" s="9" t="str">
        <x:v>CT-CF17-N2-07</x:v>
      </x:c>
      <x:c r="J394" s="9" t="str">
        <x:v>Masked cell n=2, L1, green highlighter</x:v>
      </x:c>
      <x:c r="K394" s="9"/>
      <x:c r="L394" s="9"/>
      <x:c r="M394" s="9"/>
      <x:c r="N394" s="9" t="str">
        <x:v>4 — Transfer-only counterfactual pairs</x:v>
      </x:c>
      <x:c r="O394" s="9" t="str">
        <x:v>Build this new scene family exactly from the L1–L4 description and save a first-frame reference image.</x:v>
      </x:c>
      <x:c r="P394" s="9" t="str">
        <x:v>The final manifest masks this exact sequence-length × physical-position × target-identity cell. Both equivalent left- and right-based descriptions are absent for this cell, while the canonical instruction wording occurs elsewhere in training.</x:v>
      </x:c>
      <x:c r="Q394" s="9"/>
      <x:c r="R394" s="10" t="n">
        <x:v>2</x:v>
      </x:c>
      <x:c r="S394" s="10"/>
      <x:c r="T394" s="9"/>
      <x:c r="U394" s="9"/>
      <x:c r="V394" s="9"/>
      <x:c r="W394" s="9" t="str">
        <x:v>CT-CF17-N2-07</x:v>
      </x:c>
      <x:c r="X394" s="10"/>
      <x:c r="Y394" s="10"/>
      <x:c r="Z394" s="9"/>
      <x:c r="AA394" s="9" t="str">
        <x:v>L1</x:v>
      </x:c>
      <x:c r="AB394" s="9" t="str">
        <x:v>second from right</x:v>
      </x:c>
      <x:c r="AC394" s="9"/>
      <x:c r="AD394" s="9"/>
      <x:c r="AE394" s="9"/>
      <x:c r="AF394" s="9"/>
      <x:c r="AG394" s="9"/>
      <x:c r="AH394" s="9"/>
      <x:c r="AI394" s="11"/>
      <x:c r="AJ394" s="9"/>
      <x:c r="AK394" s="9" t="str">
        <x:v>Eval_Ordinal_Reference_Ordering.xlsm</x:v>
      </x:c>
      <x:c r="AL394" s="9" t="str">
        <x:v>pi0.5 Results</x:v>
      </x:c>
      <x:c r="AM394" s="9" t="n">
        <x:v>94</x:v>
      </x:c>
      <x:c r="AN394" s="9" t="n">
        <x:v>94</x:v>
      </x:c>
    </x:row>
    <x:row r="395">
      <x:c r="A395" s="9" t="str">
        <x:v>Success</x:v>
      </x:c>
      <x:c r="B395" s="9" t="str">
        <x:v>Ordinal Reference Ordering</x:v>
      </x:c>
      <x:c r="C395" s="10" t="n">
        <x:v>93</x:v>
      </x:c>
      <x:c r="D395" s="9" t="str">
        <x:v>Pick up the object that is first from the right and place it in the bowl.</x:v>
      </x:c>
      <x:c r="E395" s="9" t="str">
        <x:v>L1: green highlighter, L2: blue tape ball</x:v>
      </x:c>
      <x:c r="F395" s="9" t="str">
        <x:v>blue tape ball</x:v>
      </x:c>
      <x:c r="G395" s="9"/>
      <x:c r="H395" s="9" t="str">
        <x:v>Concept/compositional transfer</x:v>
      </x:c>
      <x:c r="I395" s="9" t="str">
        <x:v>CT-CF17-N2-07</x:v>
      </x:c>
      <x:c r="J395" s="9" t="str">
        <x:v>Masked cell n=2, L2, blue tape ball</x:v>
      </x:c>
      <x:c r="K395" s="9" t="n">
        <x:v>92</x:v>
      </x:c>
      <x:c r="L395" s="9"/>
      <x:c r="M395" s="9"/>
      <x:c r="N395" s="9" t="str">
        <x:v>4 — Transfer-only counterfactual pairs</x:v>
      </x:c>
      <x:c r="O395" s="9" t="str">
        <x:v>Return the previously moved object to its marked position. Do not move any other object; only the prompt changes.</x:v>
      </x:c>
      <x:c r="P395" s="9" t="str">
        <x:v>The final manifest masks this exact sequence-length × physical-position × target-identity cell. Both equivalent left- and right-based descriptions are absent for this cell, while the canonical instruction wording occurs elsewhere in training.</x:v>
      </x:c>
      <x:c r="Q395" s="9"/>
      <x:c r="R395" s="10" t="n">
        <x:v>2</x:v>
      </x:c>
      <x:c r="S395" s="10"/>
      <x:c r="T395" s="9"/>
      <x:c r="U395" s="9"/>
      <x:c r="V395" s="9"/>
      <x:c r="W395" s="9" t="str">
        <x:v>CT-CF17-N2-07</x:v>
      </x:c>
      <x:c r="X395" s="10"/>
      <x:c r="Y395" s="10"/>
      <x:c r="Z395" s="9"/>
      <x:c r="AA395" s="9" t="str">
        <x:v>L2</x:v>
      </x:c>
      <x:c r="AB395" s="9" t="str">
        <x:v>first from right</x:v>
      </x:c>
      <x:c r="AC395" s="9"/>
      <x:c r="AD395" s="9"/>
      <x:c r="AE395" s="9"/>
      <x:c r="AF395" s="9"/>
      <x:c r="AG395" s="9"/>
      <x:c r="AH395" s="9"/>
      <x:c r="AI395" s="11"/>
      <x:c r="AJ395" s="9"/>
      <x:c r="AK395" s="9" t="str">
        <x:v>Eval_Ordinal_Reference_Ordering.xlsm</x:v>
      </x:c>
      <x:c r="AL395" s="9" t="str">
        <x:v>pi0.5 Results</x:v>
      </x:c>
      <x:c r="AM395" s="9" t="n">
        <x:v>95</x:v>
      </x:c>
      <x:c r="AN395" s="9" t="n">
        <x:v>95</x:v>
      </x:c>
    </x:row>
    <x:row r="396">
      <x:c r="A396" s="9" t="str">
        <x:v>Success</x:v>
      </x:c>
      <x:c r="B396" s="9" t="str">
        <x:v>Ordinal Reference Ordering</x:v>
      </x:c>
      <x:c r="C396" s="10" t="n">
        <x:v>94</x:v>
      </x:c>
      <x:c r="D396" s="9" t="str">
        <x:v>Pick up the object that is first from the right and place it in the bowl.</x:v>
      </x:c>
      <x:c r="E396" s="9" t="str">
        <x:v>L1: yellow pen, L2: green highlighter, L3: airplane toy with propellers</x:v>
      </x:c>
      <x:c r="F396" s="9" t="str">
        <x:v>airplane toy with propellers</x:v>
      </x:c>
      <x:c r="G396" s="9"/>
      <x:c r="H396" s="9" t="str">
        <x:v>Concept/compositional transfer</x:v>
      </x:c>
      <x:c r="I396" s="9" t="str">
        <x:v>CT-CF18-N3-07</x:v>
      </x:c>
      <x:c r="J396" s="9" t="str">
        <x:v>Masked cell n=3, L3, airplane toy with propellers</x:v>
      </x:c>
      <x:c r="K396" s="9"/>
      <x:c r="L396" s="9"/>
      <x:c r="M396" s="9"/>
      <x:c r="N396" s="9" t="str">
        <x:v>4 — Transfer-only counterfactual pairs</x:v>
      </x:c>
      <x:c r="O396" s="9" t="str">
        <x:v>Build this new scene family exactly from the L1–L4 description and save a first-frame reference image.</x:v>
      </x:c>
      <x:c r="P396" s="9" t="str">
        <x:v>The final manifest masks this exact sequence-length × physical-position × target-identity cell. Both equivalent left- and right-based descriptions are absent for this cell, while the canonical instruction wording occurs elsewhere in training.</x:v>
      </x:c>
      <x:c r="Q396" s="9"/>
      <x:c r="R396" s="10" t="n">
        <x:v>3</x:v>
      </x:c>
      <x:c r="S396" s="10"/>
      <x:c r="T396" s="9"/>
      <x:c r="U396" s="9"/>
      <x:c r="V396" s="9"/>
      <x:c r="W396" s="9" t="str">
        <x:v>CT-CF18-N3-07</x:v>
      </x:c>
      <x:c r="X396" s="10"/>
      <x:c r="Y396" s="10"/>
      <x:c r="Z396" s="9"/>
      <x:c r="AA396" s="9" t="str">
        <x:v>L3</x:v>
      </x:c>
      <x:c r="AB396" s="9" t="str">
        <x:v>first from right</x:v>
      </x:c>
      <x:c r="AC396" s="9"/>
      <x:c r="AD396" s="9"/>
      <x:c r="AE396" s="9"/>
      <x:c r="AF396" s="9"/>
      <x:c r="AG396" s="9"/>
      <x:c r="AH396" s="9"/>
      <x:c r="AI396" s="11"/>
      <x:c r="AJ396" s="9"/>
      <x:c r="AK396" s="9" t="str">
        <x:v>Eval_Ordinal_Reference_Ordering.xlsm</x:v>
      </x:c>
      <x:c r="AL396" s="9" t="str">
        <x:v>pi0.5 Results</x:v>
      </x:c>
      <x:c r="AM396" s="9" t="n">
        <x:v>96</x:v>
      </x:c>
      <x:c r="AN396" s="9" t="n">
        <x:v>96</x:v>
      </x:c>
    </x:row>
    <x:row r="397">
      <x:c r="A397" s="9" t="str">
        <x:v>Failure</x:v>
      </x:c>
      <x:c r="B397" s="9" t="str">
        <x:v>Ordinal Reference Ordering</x:v>
      </x:c>
      <x:c r="C397" s="10" t="n">
        <x:v>95</x:v>
      </x:c>
      <x:c r="D397" s="9" t="str">
        <x:v>Pick up the object that is third from the right and place it in the bowl.</x:v>
      </x:c>
      <x:c r="E397" s="9" t="str">
        <x:v>L1: yellow pen, L2: green highlighter, L3: airplane toy with propellers</x:v>
      </x:c>
      <x:c r="F397" s="9" t="str">
        <x:v>yellow pen</x:v>
      </x:c>
      <x:c r="G397" s="9" t="str">
        <x:v>picked airplane toy</x:v>
      </x:c>
      <x:c r="H397" s="9" t="str">
        <x:v>Concept/compositional transfer</x:v>
      </x:c>
      <x:c r="I397" s="9" t="str">
        <x:v>CT-CF18-N3-07</x:v>
      </x:c>
      <x:c r="J397" s="9" t="str">
        <x:v>Masked cell n=3, L1, yellow pen</x:v>
      </x:c>
      <x:c r="K397" s="9" t="n">
        <x:v>94</x:v>
      </x:c>
      <x:c r="L397" s="9"/>
      <x:c r="M397" s="9"/>
      <x:c r="N397" s="9" t="str">
        <x:v>4 — Transfer-only counterfactual pairs</x:v>
      </x:c>
      <x:c r="O397" s="9" t="str">
        <x:v>Return the previously moved object to its marked position. Do not move any other object; only the prompt changes.</x:v>
      </x:c>
      <x:c r="P397" s="9" t="str">
        <x:v>The final manifest masks this exact sequence-length × physical-position × target-identity cell. Both equivalent left- and right-based descriptions are absent for this cell, while the canonical instruction wording occurs elsewhere in training.</x:v>
      </x:c>
      <x:c r="Q397" s="9"/>
      <x:c r="R397" s="10" t="n">
        <x:v>3</x:v>
      </x:c>
      <x:c r="S397" s="10"/>
      <x:c r="T397" s="9"/>
      <x:c r="U397" s="9"/>
      <x:c r="V397" s="9"/>
      <x:c r="W397" s="9" t="str">
        <x:v>CT-CF18-N3-07</x:v>
      </x:c>
      <x:c r="X397" s="10"/>
      <x:c r="Y397" s="10"/>
      <x:c r="Z397" s="9"/>
      <x:c r="AA397" s="9" t="str">
        <x:v>L1</x:v>
      </x:c>
      <x:c r="AB397" s="9" t="str">
        <x:v>third from right</x:v>
      </x:c>
      <x:c r="AC397" s="9"/>
      <x:c r="AD397" s="9"/>
      <x:c r="AE397" s="9"/>
      <x:c r="AF397" s="9"/>
      <x:c r="AG397" s="9"/>
      <x:c r="AH397" s="9"/>
      <x:c r="AI397" s="11"/>
      <x:c r="AJ397" s="9"/>
      <x:c r="AK397" s="9" t="str">
        <x:v>Eval_Ordinal_Reference_Ordering.xlsm</x:v>
      </x:c>
      <x:c r="AL397" s="9" t="str">
        <x:v>pi0.5 Results</x:v>
      </x:c>
      <x:c r="AM397" s="9" t="n">
        <x:v>97</x:v>
      </x:c>
      <x:c r="AN397" s="9" t="n">
        <x:v>97</x:v>
      </x:c>
    </x:row>
    <x:row r="398">
      <x:c r="A398" s="9" t="str">
        <x:v>Success</x:v>
      </x:c>
      <x:c r="B398" s="9" t="str">
        <x:v>Ordinal Reference Ordering</x:v>
      </x:c>
      <x:c r="C398" s="10" t="n">
        <x:v>96</x:v>
      </x:c>
      <x:c r="D398" s="9" t="str">
        <x:v>Pick up the object that is fourth from the right and place it in the bowl.</x:v>
      </x:c>
      <x:c r="E398" s="9" t="str">
        <x:v>L1: airplane toy with propellers, L2: green highlighter, L3: blue tape ball, L4: yellow pen</x:v>
      </x:c>
      <x:c r="F398" s="9" t="str">
        <x:v>airplane toy with propellers</x:v>
      </x:c>
      <x:c r="G398" s="9"/>
      <x:c r="H398" s="9" t="str">
        <x:v>Concept/compositional transfer</x:v>
      </x:c>
      <x:c r="I398" s="9" t="str">
        <x:v>CT-CF19-N4-05</x:v>
      </x:c>
      <x:c r="J398" s="9" t="str">
        <x:v>Masked cell n=4, L1, airplane toy with propellers</x:v>
      </x:c>
      <x:c r="K398" s="9"/>
      <x:c r="L398" s="9"/>
      <x:c r="M398" s="9"/>
      <x:c r="N398" s="9" t="str">
        <x:v>4 — Transfer-only counterfactual pairs</x:v>
      </x:c>
      <x:c r="O398" s="9" t="str">
        <x:v>Build this new scene family exactly from the L1–L4 description and save a first-frame reference image.</x:v>
      </x:c>
      <x:c r="P398" s="9" t="str">
        <x:v>The final manifest masks this exact sequence-length × physical-position × target-identity cell. Both equivalent left- and right-based descriptions are absent for this cell, while the canonical instruction wording occurs elsewhere in training.</x:v>
      </x:c>
      <x:c r="Q398" s="9"/>
      <x:c r="R398" s="10" t="n">
        <x:v>4</x:v>
      </x:c>
      <x:c r="S398" s="10"/>
      <x:c r="T398" s="9"/>
      <x:c r="U398" s="9"/>
      <x:c r="V398" s="9"/>
      <x:c r="W398" s="9" t="str">
        <x:v>CT-CF19-N4-05</x:v>
      </x:c>
      <x:c r="X398" s="10"/>
      <x:c r="Y398" s="10"/>
      <x:c r="Z398" s="9"/>
      <x:c r="AA398" s="9" t="str">
        <x:v>L1</x:v>
      </x:c>
      <x:c r="AB398" s="9" t="str">
        <x:v>fourth from right</x:v>
      </x:c>
      <x:c r="AC398" s="9"/>
      <x:c r="AD398" s="9"/>
      <x:c r="AE398" s="9"/>
      <x:c r="AF398" s="9"/>
      <x:c r="AG398" s="9"/>
      <x:c r="AH398" s="9"/>
      <x:c r="AI398" s="11"/>
      <x:c r="AJ398" s="9"/>
      <x:c r="AK398" s="9" t="str">
        <x:v>Eval_Ordinal_Reference_Ordering.xlsm</x:v>
      </x:c>
      <x:c r="AL398" s="9" t="str">
        <x:v>pi0.5 Results</x:v>
      </x:c>
      <x:c r="AM398" s="9" t="n">
        <x:v>98</x:v>
      </x:c>
      <x:c r="AN398" s="9" t="n">
        <x:v>98</x:v>
      </x:c>
    </x:row>
    <x:row r="399">
      <x:c r="A399" s="9" t="str">
        <x:v>Failure</x:v>
      </x:c>
      <x:c r="B399" s="9" t="str">
        <x:v>Ordinal Reference Ordering</x:v>
      </x:c>
      <x:c r="C399" s="10" t="n">
        <x:v>97</x:v>
      </x:c>
      <x:c r="D399" s="9" t="str">
        <x:v>Pick up the object that is fourth from the left and place it in the bowl.</x:v>
      </x:c>
      <x:c r="E399" s="9" t="str">
        <x:v>L1: airplane toy with propellers, L2: green highlighter, L3: blue tape ball, L4: yellow pen</x:v>
      </x:c>
      <x:c r="F399" s="9" t="str">
        <x:v>yellow pen</x:v>
      </x:c>
      <x:c r="G399" s="9" t="str">
        <x:v>picked green highlighter</x:v>
      </x:c>
      <x:c r="H399" s="9" t="str">
        <x:v>Concept/compositional transfer</x:v>
      </x:c>
      <x:c r="I399" s="9" t="str">
        <x:v>CT-CF19-N4-05</x:v>
      </x:c>
      <x:c r="J399" s="9" t="str">
        <x:v>Masked cell n=4, L4, yellow pen</x:v>
      </x:c>
      <x:c r="K399" s="9" t="n">
        <x:v>96</x:v>
      </x:c>
      <x:c r="L399" s="9"/>
      <x:c r="M399" s="9"/>
      <x:c r="N399" s="9" t="str">
        <x:v>4 — Transfer-only counterfactual pairs</x:v>
      </x:c>
      <x:c r="O399" s="9" t="str">
        <x:v>Return the previously moved object to its marked position. Do not move any other object; only the prompt changes.</x:v>
      </x:c>
      <x:c r="P399" s="9" t="str">
        <x:v>The final manifest masks this exact sequence-length × physical-position × target-identity cell. Both equivalent left- and right-based descriptions are absent for this cell, while the canonical instruction wording occurs elsewhere in training.</x:v>
      </x:c>
      <x:c r="Q399" s="9"/>
      <x:c r="R399" s="10" t="n">
        <x:v>4</x:v>
      </x:c>
      <x:c r="S399" s="10"/>
      <x:c r="T399" s="9"/>
      <x:c r="U399" s="9"/>
      <x:c r="V399" s="9"/>
      <x:c r="W399" s="9" t="str">
        <x:v>CT-CF19-N4-05</x:v>
      </x:c>
      <x:c r="X399" s="10"/>
      <x:c r="Y399" s="10"/>
      <x:c r="Z399" s="9"/>
      <x:c r="AA399" s="9" t="str">
        <x:v>L4</x:v>
      </x:c>
      <x:c r="AB399" s="9" t="str">
        <x:v>fourth from left</x:v>
      </x:c>
      <x:c r="AC399" s="9"/>
      <x:c r="AD399" s="9"/>
      <x:c r="AE399" s="9"/>
      <x:c r="AF399" s="9"/>
      <x:c r="AG399" s="9"/>
      <x:c r="AH399" s="9"/>
      <x:c r="AI399" s="11"/>
      <x:c r="AJ399" s="9"/>
      <x:c r="AK399" s="9" t="str">
        <x:v>Eval_Ordinal_Reference_Ordering.xlsm</x:v>
      </x:c>
      <x:c r="AL399" s="9" t="str">
        <x:v>pi0.5 Results</x:v>
      </x:c>
      <x:c r="AM399" s="9" t="n">
        <x:v>99</x:v>
      </x:c>
      <x:c r="AN399" s="9" t="n">
        <x:v>99</x:v>
      </x:c>
    </x:row>
    <x:row r="400">
      <x:c r="A400" s="9" t="str">
        <x:v>Success</x:v>
      </x:c>
      <x:c r="B400" s="9" t="str">
        <x:v>Ordinal Reference Ordering</x:v>
      </x:c>
      <x:c r="C400" s="10" t="n">
        <x:v>98</x:v>
      </x:c>
      <x:c r="D400" s="9" t="str">
        <x:v>Pick up the object that is first from the right and place it in the bowl.</x:v>
      </x:c>
      <x:c r="E400" s="9" t="str">
        <x:v>L1: green highlighter, L2: yellow pen</x:v>
      </x:c>
      <x:c r="F400" s="9" t="str">
        <x:v>yellow pen</x:v>
      </x:c>
      <x:c r="G400" s="9"/>
      <x:c r="H400" s="9" t="str">
        <x:v>Concept/compositional transfer</x:v>
      </x:c>
      <x:c r="I400" s="9" t="str">
        <x:v>CT-CF20-N2-08</x:v>
      </x:c>
      <x:c r="J400" s="9" t="str">
        <x:v>Masked cell n=2, L2, yellow pen</x:v>
      </x:c>
      <x:c r="K400" s="9"/>
      <x:c r="L400" s="9"/>
      <x:c r="M400" s="9"/>
      <x:c r="N400" s="9" t="str">
        <x:v>4 — Transfer-only counterfactual pairs</x:v>
      </x:c>
      <x:c r="O400" s="9" t="str">
        <x:v>Build this new scene family exactly from the L1–L4 description and save a first-frame reference image.</x:v>
      </x:c>
      <x:c r="P400" s="9" t="str">
        <x:v>The final manifest masks this exact sequence-length × physical-position × target-identity cell. Both equivalent left- and right-based descriptions are absent for this cell, while the canonical instruction wording occurs elsewhere in training.</x:v>
      </x:c>
      <x:c r="Q400" s="9"/>
      <x:c r="R400" s="10" t="n">
        <x:v>2</x:v>
      </x:c>
      <x:c r="S400" s="10"/>
      <x:c r="T400" s="9"/>
      <x:c r="U400" s="9"/>
      <x:c r="V400" s="9"/>
      <x:c r="W400" s="9" t="str">
        <x:v>CT-CF20-N2-08</x:v>
      </x:c>
      <x:c r="X400" s="10"/>
      <x:c r="Y400" s="10"/>
      <x:c r="Z400" s="9"/>
      <x:c r="AA400" s="9" t="str">
        <x:v>L2</x:v>
      </x:c>
      <x:c r="AB400" s="9" t="str">
        <x:v>first from right</x:v>
      </x:c>
      <x:c r="AC400" s="9"/>
      <x:c r="AD400" s="9"/>
      <x:c r="AE400" s="9"/>
      <x:c r="AF400" s="9"/>
      <x:c r="AG400" s="9"/>
      <x:c r="AH400" s="9"/>
      <x:c r="AI400" s="11"/>
      <x:c r="AJ400" s="9"/>
      <x:c r="AK400" s="9" t="str">
        <x:v>Eval_Ordinal_Reference_Ordering.xlsm</x:v>
      </x:c>
      <x:c r="AL400" s="9" t="str">
        <x:v>pi0.5 Results</x:v>
      </x:c>
      <x:c r="AM400" s="9" t="n">
        <x:v>100</x:v>
      </x:c>
      <x:c r="AN400" s="9" t="n">
        <x:v>100</x:v>
      </x:c>
    </x:row>
    <x:row r="401">
      <x:c r="A401" s="9" t="str">
        <x:v>Failure</x:v>
      </x:c>
      <x:c r="B401" s="9" t="str">
        <x:v>Ordinal Reference Ordering</x:v>
      </x:c>
      <x:c r="C401" s="10" t="n">
        <x:v>99</x:v>
      </x:c>
      <x:c r="D401" s="9" t="str">
        <x:v>Pick up the object that is second from the right and place it in the bowl.</x:v>
      </x:c>
      <x:c r="E401" s="9" t="str">
        <x:v>L1: green highlighter, L2: yellow pen</x:v>
      </x:c>
      <x:c r="F401" s="9" t="str">
        <x:v>green highlighter</x:v>
      </x:c>
      <x:c r="G401" s="9"/>
      <x:c r="H401" s="9" t="str">
        <x:v>Concept/compositional transfer</x:v>
      </x:c>
      <x:c r="I401" s="9" t="str">
        <x:v>CT-CF20-N2-08</x:v>
      </x:c>
      <x:c r="J401" s="9" t="str">
        <x:v>Masked cell n=2, L1, green highlighter</x:v>
      </x:c>
      <x:c r="K401" s="9" t="n">
        <x:v>98</x:v>
      </x:c>
      <x:c r="L401" s="9"/>
      <x:c r="M401" s="9"/>
      <x:c r="N401" s="9" t="str">
        <x:v>4 — Transfer-only counterfactual pairs</x:v>
      </x:c>
      <x:c r="O401" s="9" t="str">
        <x:v>Return the previously moved object to its marked position. Do not move any other object; only the prompt changes.</x:v>
      </x:c>
      <x:c r="P401" s="9" t="str">
        <x:v>The final manifest masks this exact sequence-length × physical-position × target-identity cell. Both equivalent left- and right-based descriptions are absent for this cell, while the canonical instruction wording occurs elsewhere in training.</x:v>
      </x:c>
      <x:c r="Q401" s="9"/>
      <x:c r="R401" s="10" t="n">
        <x:v>2</x:v>
      </x:c>
      <x:c r="S401" s="10"/>
      <x:c r="T401" s="9"/>
      <x:c r="U401" s="9"/>
      <x:c r="V401" s="9"/>
      <x:c r="W401" s="9" t="str">
        <x:v>CT-CF20-N2-08</x:v>
      </x:c>
      <x:c r="X401" s="10"/>
      <x:c r="Y401" s="10"/>
      <x:c r="Z401" s="9"/>
      <x:c r="AA401" s="9" t="str">
        <x:v>L1</x:v>
      </x:c>
      <x:c r="AB401" s="9" t="str">
        <x:v>second from right</x:v>
      </x:c>
      <x:c r="AC401" s="9"/>
      <x:c r="AD401" s="9"/>
      <x:c r="AE401" s="9"/>
      <x:c r="AF401" s="9"/>
      <x:c r="AG401" s="9"/>
      <x:c r="AH401" s="9"/>
      <x:c r="AI401" s="11"/>
      <x:c r="AJ401" s="9"/>
      <x:c r="AK401" s="9" t="str">
        <x:v>Eval_Ordinal_Reference_Ordering.xlsm</x:v>
      </x:c>
      <x:c r="AL401" s="9" t="str">
        <x:v>pi0.5 Results</x:v>
      </x:c>
      <x:c r="AM401" s="9" t="n">
        <x:v>101</x:v>
      </x:c>
      <x:c r="AN401" s="9" t="n">
        <x:v>101</x:v>
      </x:c>
    </x:row>
    <x:row r="402">
      <x:c r="A402" s="9" t="str">
        <x:v>Success</x:v>
      </x:c>
      <x:c r="B402" s="9" t="str">
        <x:v>Ordinal Reference Ordering</x:v>
      </x:c>
      <x:c r="C402" s="10" t="n">
        <x:v>100</x:v>
      </x:c>
      <x:c r="D402" s="9" t="str">
        <x:v>Pick up the object that is third from the right and place it in the bowl.</x:v>
      </x:c>
      <x:c r="E402" s="9" t="str">
        <x:v>L1: yellow pen, L2: blue tape ball, L3: green highlighter</x:v>
      </x:c>
      <x:c r="F402" s="9" t="str">
        <x:v>yellow pen</x:v>
      </x:c>
      <x:c r="G402" s="9"/>
      <x:c r="H402" s="9" t="str">
        <x:v>Concept/compositional transfer</x:v>
      </x:c>
      <x:c r="I402" s="9" t="str">
        <x:v>CT-CF21-N3-08</x:v>
      </x:c>
      <x:c r="J402" s="9" t="str">
        <x:v>Masked cell n=3, L1, yellow pen</x:v>
      </x:c>
      <x:c r="K402" s="9"/>
      <x:c r="L402" s="9"/>
      <x:c r="M402" s="9"/>
      <x:c r="N402" s="9" t="str">
        <x:v>4 — Transfer-only counterfactual pairs</x:v>
      </x:c>
      <x:c r="O402" s="9" t="str">
        <x:v>Build this new scene family exactly from the L1–L4 description and save a first-frame reference image.</x:v>
      </x:c>
      <x:c r="P402" s="9" t="str">
        <x:v>The final manifest masks this exact sequence-length × physical-position × target-identity cell. Both equivalent left- and right-based descriptions are absent for this cell, while the canonical instruction wording occurs elsewhere in training.</x:v>
      </x:c>
      <x:c r="Q402" s="9"/>
      <x:c r="R402" s="10" t="n">
        <x:v>3</x:v>
      </x:c>
      <x:c r="S402" s="10"/>
      <x:c r="T402" s="9"/>
      <x:c r="U402" s="9"/>
      <x:c r="V402" s="9"/>
      <x:c r="W402" s="9" t="str">
        <x:v>CT-CF21-N3-08</x:v>
      </x:c>
      <x:c r="X402" s="10"/>
      <x:c r="Y402" s="10"/>
      <x:c r="Z402" s="9"/>
      <x:c r="AA402" s="9" t="str">
        <x:v>L1</x:v>
      </x:c>
      <x:c r="AB402" s="9" t="str">
        <x:v>third from right</x:v>
      </x:c>
      <x:c r="AC402" s="9"/>
      <x:c r="AD402" s="9"/>
      <x:c r="AE402" s="9"/>
      <x:c r="AF402" s="9"/>
      <x:c r="AG402" s="9"/>
      <x:c r="AH402" s="9"/>
      <x:c r="AI402" s="11"/>
      <x:c r="AJ402" s="9"/>
      <x:c r="AK402" s="9" t="str">
        <x:v>Eval_Ordinal_Reference_Ordering.xlsm</x:v>
      </x:c>
      <x:c r="AL402" s="9" t="str">
        <x:v>pi0.5 Results</x:v>
      </x:c>
      <x:c r="AM402" s="9" t="n">
        <x:v>102</x:v>
      </x:c>
      <x:c r="AN402" s="9" t="n">
        <x:v>102</x:v>
      </x:c>
    </x:row>
    <x:row r="403">
      <x:c r="A403" s="9" t="str">
        <x:v>Failure</x:v>
      </x:c>
      <x:c r="B403" s="9" t="str">
        <x:v>Ordinal Reference Ordering</x:v>
      </x:c>
      <x:c r="C403" s="10" t="n">
        <x:v>101</x:v>
      </x:c>
      <x:c r="D403" s="9" t="str">
        <x:v>Pick up the object that is first from the right and place it in the bowl.</x:v>
      </x:c>
      <x:c r="E403" s="9" t="str">
        <x:v>L1: yellow pen, L2: blue tape ball, L3: green highlighter</x:v>
      </x:c>
      <x:c r="F403" s="9" t="str">
        <x:v>green highlighter</x:v>
      </x:c>
      <x:c r="G403" s="9" t="str">
        <x:v>picked yellow pen</x:v>
      </x:c>
      <x:c r="H403" s="9" t="str">
        <x:v>Concept/compositional transfer</x:v>
      </x:c>
      <x:c r="I403" s="9" t="str">
        <x:v>CT-CF21-N3-08</x:v>
      </x:c>
      <x:c r="J403" s="9" t="str">
        <x:v>Masked cell n=3, L3, green highlighter</x:v>
      </x:c>
      <x:c r="K403" s="9" t="n">
        <x:v>100</x:v>
      </x:c>
      <x:c r="L403" s="9"/>
      <x:c r="M403" s="9"/>
      <x:c r="N403" s="9" t="str">
        <x:v>4 — Transfer-only counterfactual pairs</x:v>
      </x:c>
      <x:c r="O403" s="9" t="str">
        <x:v>Return the previously moved object to its marked position. Do not move any other object; only the prompt changes.</x:v>
      </x:c>
      <x:c r="P403" s="9" t="str">
        <x:v>The final manifest masks this exact sequence-length × physical-position × target-identity cell. Both equivalent left- and right-based descriptions are absent for this cell, while the canonical instruction wording occurs elsewhere in training.</x:v>
      </x:c>
      <x:c r="Q403" s="9"/>
      <x:c r="R403" s="10" t="n">
        <x:v>3</x:v>
      </x:c>
      <x:c r="S403" s="10"/>
      <x:c r="T403" s="9"/>
      <x:c r="U403" s="9"/>
      <x:c r="V403" s="9"/>
      <x:c r="W403" s="9" t="str">
        <x:v>CT-CF21-N3-08</x:v>
      </x:c>
      <x:c r="X403" s="10"/>
      <x:c r="Y403" s="10"/>
      <x:c r="Z403" s="9"/>
      <x:c r="AA403" s="9" t="str">
        <x:v>L3</x:v>
      </x:c>
      <x:c r="AB403" s="9" t="str">
        <x:v>first from right</x:v>
      </x:c>
      <x:c r="AC403" s="9"/>
      <x:c r="AD403" s="9"/>
      <x:c r="AE403" s="9"/>
      <x:c r="AF403" s="9"/>
      <x:c r="AG403" s="9"/>
      <x:c r="AH403" s="9"/>
      <x:c r="AI403" s="11"/>
      <x:c r="AJ403" s="9"/>
      <x:c r="AK403" s="9" t="str">
        <x:v>Eval_Ordinal_Reference_Ordering.xlsm</x:v>
      </x:c>
      <x:c r="AL403" s="9" t="str">
        <x:v>pi0.5 Results</x:v>
      </x:c>
      <x:c r="AM403" s="9" t="n">
        <x:v>103</x:v>
      </x:c>
      <x:c r="AN403" s="9" t="n">
        <x:v>103</x:v>
      </x:c>
    </x:row>
    <x:row r="404">
      <x:c r="A404" s="9" t="str">
        <x:v>Failure</x:v>
      </x:c>
      <x:c r="B404" s="9" t="str">
        <x:v>Ordinal Reference Ordering</x:v>
      </x:c>
      <x:c r="C404" s="10" t="n">
        <x:v>102</x:v>
      </x:c>
      <x:c r="D404" s="9" t="str">
        <x:v>Pick up the object that is third from the left and place it in the bowl.</x:v>
      </x:c>
      <x:c r="E404" s="9" t="str">
        <x:v>L1: yellow pen, L2: blue tape ball, L3: green highlighter, L4: airplane toy with propellers</x:v>
      </x:c>
      <x:c r="F404" s="9" t="str">
        <x:v>green highlighter</x:v>
      </x:c>
      <x:c r="G404" s="9" t="str">
        <x:v>picked airplane toy</x:v>
      </x:c>
      <x:c r="H404" s="9" t="str">
        <x:v>Concept/compositional transfer</x:v>
      </x:c>
      <x:c r="I404" s="9" t="str">
        <x:v>CT-CF22-N4-06</x:v>
      </x:c>
      <x:c r="J404" s="9" t="str">
        <x:v>Masked cell n=4, L3, green highlighter</x:v>
      </x:c>
      <x:c r="K404" s="9"/>
      <x:c r="L404" s="9"/>
      <x:c r="M404" s="9"/>
      <x:c r="N404" s="9" t="str">
        <x:v>4 — Transfer-only counterfactual pairs</x:v>
      </x:c>
      <x:c r="O404" s="9" t="str">
        <x:v>Build this new scene family exactly from the L1–L4 description and save a first-frame reference image.</x:v>
      </x:c>
      <x:c r="P404" s="9" t="str">
        <x:v>The final manifest masks this exact sequence-length × physical-position × target-identity cell. Both equivalent left- and right-based descriptions are absent for this cell, while the canonical instruction wording occurs elsewhere in training.</x:v>
      </x:c>
      <x:c r="Q404" s="9"/>
      <x:c r="R404" s="10" t="n">
        <x:v>4</x:v>
      </x:c>
      <x:c r="S404" s="10"/>
      <x:c r="T404" s="9"/>
      <x:c r="U404" s="9"/>
      <x:c r="V404" s="9"/>
      <x:c r="W404" s="9" t="str">
        <x:v>CT-CF22-N4-06</x:v>
      </x:c>
      <x:c r="X404" s="10"/>
      <x:c r="Y404" s="10"/>
      <x:c r="Z404" s="9"/>
      <x:c r="AA404" s="9" t="str">
        <x:v>L3</x:v>
      </x:c>
      <x:c r="AB404" s="9" t="str">
        <x:v>third from left</x:v>
      </x:c>
      <x:c r="AC404" s="9"/>
      <x:c r="AD404" s="9"/>
      <x:c r="AE404" s="9"/>
      <x:c r="AF404" s="9"/>
      <x:c r="AG404" s="9"/>
      <x:c r="AH404" s="9"/>
      <x:c r="AI404" s="11"/>
      <x:c r="AJ404" s="9"/>
      <x:c r="AK404" s="9" t="str">
        <x:v>Eval_Ordinal_Reference_Ordering.xlsm</x:v>
      </x:c>
      <x:c r="AL404" s="9" t="str">
        <x:v>pi0.5 Results</x:v>
      </x:c>
      <x:c r="AM404" s="9" t="n">
        <x:v>104</x:v>
      </x:c>
      <x:c r="AN404" s="9" t="n">
        <x:v>104</x:v>
      </x:c>
    </x:row>
    <x:row r="405">
      <x:c r="A405" s="9" t="str">
        <x:v>Failure</x:v>
      </x:c>
      <x:c r="B405" s="9" t="str">
        <x:v>Ordinal Reference Ordering</x:v>
      </x:c>
      <x:c r="C405" s="10" t="n">
        <x:v>103</x:v>
      </x:c>
      <x:c r="D405" s="9" t="str">
        <x:v>Pick up the object that is third from the right and place it in the bowl.</x:v>
      </x:c>
      <x:c r="E405" s="9" t="str">
        <x:v>L1: yellow pen, L2: blue tape ball, L3: green highlighter, L4: airplane toy with propellers</x:v>
      </x:c>
      <x:c r="F405" s="9" t="str">
        <x:v>blue tape ball</x:v>
      </x:c>
      <x:c r="G405" s="9" t="str">
        <x:v>picked airplane toy</x:v>
      </x:c>
      <x:c r="H405" s="9" t="str">
        <x:v>Concept/compositional transfer</x:v>
      </x:c>
      <x:c r="I405" s="9" t="str">
        <x:v>CT-CF22-N4-06</x:v>
      </x:c>
      <x:c r="J405" s="9" t="str">
        <x:v>Masked cell n=4, L2, blue tape ball</x:v>
      </x:c>
      <x:c r="K405" s="9" t="n">
        <x:v>102</x:v>
      </x:c>
      <x:c r="L405" s="9"/>
      <x:c r="M405" s="9"/>
      <x:c r="N405" s="9" t="str">
        <x:v>4 — Transfer-only counterfactual pairs</x:v>
      </x:c>
      <x:c r="O405" s="9" t="str">
        <x:v>Return the previously moved object to its marked position. Do not move any other object; only the prompt changes.</x:v>
      </x:c>
      <x:c r="P405" s="9" t="str">
        <x:v>The final manifest masks this exact sequence-length × physical-position × target-identity cell. Both equivalent left- and right-based descriptions are absent for this cell, while the canonical instruction wording occurs elsewhere in training.</x:v>
      </x:c>
      <x:c r="Q405" s="9"/>
      <x:c r="R405" s="10" t="n">
        <x:v>4</x:v>
      </x:c>
      <x:c r="S405" s="10"/>
      <x:c r="T405" s="9"/>
      <x:c r="U405" s="9"/>
      <x:c r="V405" s="9"/>
      <x:c r="W405" s="9" t="str">
        <x:v>CT-CF22-N4-06</x:v>
      </x:c>
      <x:c r="X405" s="10"/>
      <x:c r="Y405" s="10"/>
      <x:c r="Z405" s="9"/>
      <x:c r="AA405" s="9" t="str">
        <x:v>L2</x:v>
      </x:c>
      <x:c r="AB405" s="9" t="str">
        <x:v>third from right</x:v>
      </x:c>
      <x:c r="AC405" s="9"/>
      <x:c r="AD405" s="9"/>
      <x:c r="AE405" s="9"/>
      <x:c r="AF405" s="9"/>
      <x:c r="AG405" s="9"/>
      <x:c r="AH405" s="9"/>
      <x:c r="AI405" s="11"/>
      <x:c r="AJ405" s="9"/>
      <x:c r="AK405" s="9" t="str">
        <x:v>Eval_Ordinal_Reference_Ordering.xlsm</x:v>
      </x:c>
      <x:c r="AL405" s="9" t="str">
        <x:v>pi0.5 Results</x:v>
      </x:c>
      <x:c r="AM405" s="9" t="n">
        <x:v>105</x:v>
      </x:c>
      <x:c r="AN405" s="9" t="n">
        <x:v>105</x:v>
      </x:c>
    </x:row>
    <x:row r="406">
      <x:c r="A406" s="9" t="str">
        <x:v>Success</x:v>
      </x:c>
      <x:c r="B406" s="9" t="str">
        <x:v>Ordinal Reference Ordering</x:v>
      </x:c>
      <x:c r="C406" s="10" t="n">
        <x:v>104</x:v>
      </x:c>
      <x:c r="D406" s="9" t="str">
        <x:v>Pick up the object that is fourth from the right and place it in the bowl.</x:v>
      </x:c>
      <x:c r="E406" s="9" t="str">
        <x:v>L1: airplane toy with propellers, L2: blue tape ball, L3: green highlighter, L4: yellow pen</x:v>
      </x:c>
      <x:c r="F406" s="9" t="str">
        <x:v>airplane toy with propellers</x:v>
      </x:c>
      <x:c r="G406" s="9"/>
      <x:c r="H406" s="9" t="str">
        <x:v>Concept/compositional transfer</x:v>
      </x:c>
      <x:c r="I406" s="9" t="str">
        <x:v>CT-CF23-N4-07</x:v>
      </x:c>
      <x:c r="J406" s="9" t="str">
        <x:v>Masked cell n=4, L1, airplane toy with propellers</x:v>
      </x:c>
      <x:c r="K406" s="9"/>
      <x:c r="L406" s="9"/>
      <x:c r="M406" s="9"/>
      <x:c r="N406" s="9" t="str">
        <x:v>4 — Transfer-only counterfactual pairs</x:v>
      </x:c>
      <x:c r="O406" s="9" t="str">
        <x:v>Build this new scene family exactly from the L1–L4 description and save a first-frame reference image.</x:v>
      </x:c>
      <x:c r="P406" s="9" t="str">
        <x:v>The final manifest masks this exact sequence-length × physical-position × target-identity cell. Both equivalent left- and right-based descriptions are absent for this cell, while the canonical instruction wording occurs elsewhere in training.</x:v>
      </x:c>
      <x:c r="Q406" s="9"/>
      <x:c r="R406" s="10" t="n">
        <x:v>4</x:v>
      </x:c>
      <x:c r="S406" s="10"/>
      <x:c r="T406" s="9"/>
      <x:c r="U406" s="9"/>
      <x:c r="V406" s="9"/>
      <x:c r="W406" s="9" t="str">
        <x:v>CT-CF23-N4-07</x:v>
      </x:c>
      <x:c r="X406" s="10"/>
      <x:c r="Y406" s="10"/>
      <x:c r="Z406" s="9"/>
      <x:c r="AA406" s="9" t="str">
        <x:v>L1</x:v>
      </x:c>
      <x:c r="AB406" s="9" t="str">
        <x:v>fourth from right</x:v>
      </x:c>
      <x:c r="AC406" s="9"/>
      <x:c r="AD406" s="9"/>
      <x:c r="AE406" s="9"/>
      <x:c r="AF406" s="9"/>
      <x:c r="AG406" s="9"/>
      <x:c r="AH406" s="9"/>
      <x:c r="AI406" s="11"/>
      <x:c r="AJ406" s="9"/>
      <x:c r="AK406" s="9" t="str">
        <x:v>Eval_Ordinal_Reference_Ordering.xlsm</x:v>
      </x:c>
      <x:c r="AL406" s="9" t="str">
        <x:v>pi0.5 Results</x:v>
      </x:c>
      <x:c r="AM406" s="9" t="n">
        <x:v>106</x:v>
      </x:c>
      <x:c r="AN406" s="9" t="n">
        <x:v>106</x:v>
      </x:c>
    </x:row>
    <x:row r="407">
      <x:c r="A407" s="9" t="str">
        <x:v>Failure</x:v>
      </x:c>
      <x:c r="B407" s="9" t="str">
        <x:v>Ordinal Reference Ordering</x:v>
      </x:c>
      <x:c r="C407" s="10" t="n">
        <x:v>105</x:v>
      </x:c>
      <x:c r="D407" s="9" t="str">
        <x:v>Pick up the object that is third from the right and place it in the bowl.</x:v>
      </x:c>
      <x:c r="E407" s="9" t="str">
        <x:v>L1: airplane toy with propellers, L2: blue tape ball, L3: green highlighter, L4: yellow pen</x:v>
      </x:c>
      <x:c r="F407" s="9" t="str">
        <x:v>blue tape ball</x:v>
      </x:c>
      <x:c r="G407" s="9" t="str">
        <x:v>picked airplane toy</x:v>
      </x:c>
      <x:c r="H407" s="9" t="str">
        <x:v>Concept/compositional transfer</x:v>
      </x:c>
      <x:c r="I407" s="9" t="str">
        <x:v>CT-CF23-N4-07</x:v>
      </x:c>
      <x:c r="J407" s="9" t="str">
        <x:v>Masked cell n=4, L2, blue tape ball</x:v>
      </x:c>
      <x:c r="K407" s="9" t="n">
        <x:v>104</x:v>
      </x:c>
      <x:c r="L407" s="9"/>
      <x:c r="M407" s="9"/>
      <x:c r="N407" s="9" t="str">
        <x:v>4 — Transfer-only counterfactual pairs</x:v>
      </x:c>
      <x:c r="O407" s="9" t="str">
        <x:v>Return the previously moved object to its marked position. Do not move any other object; only the prompt changes.</x:v>
      </x:c>
      <x:c r="P407" s="9" t="str">
        <x:v>The final manifest masks this exact sequence-length × physical-position × target-identity cell. Both equivalent left- and right-based descriptions are absent for this cell, while the canonical instruction wording occurs elsewhere in training.</x:v>
      </x:c>
      <x:c r="Q407" s="9"/>
      <x:c r="R407" s="10" t="n">
        <x:v>4</x:v>
      </x:c>
      <x:c r="S407" s="10"/>
      <x:c r="T407" s="9"/>
      <x:c r="U407" s="9"/>
      <x:c r="V407" s="9"/>
      <x:c r="W407" s="9" t="str">
        <x:v>CT-CF23-N4-07</x:v>
      </x:c>
      <x:c r="X407" s="10"/>
      <x:c r="Y407" s="10"/>
      <x:c r="Z407" s="9"/>
      <x:c r="AA407" s="9" t="str">
        <x:v>L2</x:v>
      </x:c>
      <x:c r="AB407" s="9" t="str">
        <x:v>third from right</x:v>
      </x:c>
      <x:c r="AC407" s="9"/>
      <x:c r="AD407" s="9"/>
      <x:c r="AE407" s="9"/>
      <x:c r="AF407" s="9"/>
      <x:c r="AG407" s="9"/>
      <x:c r="AH407" s="9"/>
      <x:c r="AI407" s="11"/>
      <x:c r="AJ407" s="9"/>
      <x:c r="AK407" s="9" t="str">
        <x:v>Eval_Ordinal_Reference_Ordering.xlsm</x:v>
      </x:c>
      <x:c r="AL407" s="9" t="str">
        <x:v>pi0.5 Results</x:v>
      </x:c>
      <x:c r="AM407" s="9" t="n">
        <x:v>107</x:v>
      </x:c>
      <x:c r="AN407" s="9" t="n">
        <x:v>107</x:v>
      </x:c>
    </x:row>
    <x:row r="408">
      <x:c r="A408" s="9" t="str">
        <x:v>Success</x:v>
      </x:c>
      <x:c r="B408" s="9" t="str">
        <x:v>Ordinal Reference Ordering</x:v>
      </x:c>
      <x:c r="C408" s="10" t="n">
        <x:v>106</x:v>
      </x:c>
      <x:c r="D408" s="9" t="str">
        <x:v>Pick up the object that is third from the left and place it in the bowl.</x:v>
      </x:c>
      <x:c r="E408" s="9" t="str">
        <x:v>L1: airplane toy with propellers, L2: blue tape ball, L3: green highlighter, L4: yellow pen</x:v>
      </x:c>
      <x:c r="F408" s="9" t="str">
        <x:v>green highlighter</x:v>
      </x:c>
      <x:c r="G408" s="9"/>
      <x:c r="H408" s="9" t="str">
        <x:v>Concept/compositional transfer</x:v>
      </x:c>
      <x:c r="I408" s="9" t="str">
        <x:v>CT-CF24-N4-08</x:v>
      </x:c>
      <x:c r="J408" s="9" t="str">
        <x:v>Masked cell n=4, L3, green highlighter</x:v>
      </x:c>
      <x:c r="K408" s="9"/>
      <x:c r="L408" s="9"/>
      <x:c r="M408" s="9"/>
      <x:c r="N408" s="9" t="str">
        <x:v>4 — Transfer-only counterfactual pairs</x:v>
      </x:c>
      <x:c r="O408" s="9" t="str">
        <x:v>Build this new scene family exactly from the L1–L4 description and save a first-frame reference image.</x:v>
      </x:c>
      <x:c r="P408" s="9" t="str">
        <x:v>The final manifest masks this exact sequence-length × physical-position × target-identity cell. Both equivalent left- and right-based descriptions are absent for this cell, while the canonical instruction wording occurs elsewhere in training.</x:v>
      </x:c>
      <x:c r="Q408" s="9"/>
      <x:c r="R408" s="10" t="n">
        <x:v>4</x:v>
      </x:c>
      <x:c r="S408" s="10"/>
      <x:c r="T408" s="9"/>
      <x:c r="U408" s="9"/>
      <x:c r="V408" s="9"/>
      <x:c r="W408" s="9" t="str">
        <x:v>CT-CF24-N4-08</x:v>
      </x:c>
      <x:c r="X408" s="10"/>
      <x:c r="Y408" s="10"/>
      <x:c r="Z408" s="9"/>
      <x:c r="AA408" s="9" t="str">
        <x:v>L3</x:v>
      </x:c>
      <x:c r="AB408" s="9" t="str">
        <x:v>third from left</x:v>
      </x:c>
      <x:c r="AC408" s="9"/>
      <x:c r="AD408" s="9"/>
      <x:c r="AE408" s="9"/>
      <x:c r="AF408" s="9"/>
      <x:c r="AG408" s="9"/>
      <x:c r="AH408" s="9"/>
      <x:c r="AI408" s="11"/>
      <x:c r="AJ408" s="9"/>
      <x:c r="AK408" s="9" t="str">
        <x:v>Eval_Ordinal_Reference_Ordering.xlsm</x:v>
      </x:c>
      <x:c r="AL408" s="9" t="str">
        <x:v>pi0.5 Results</x:v>
      </x:c>
      <x:c r="AM408" s="9" t="n">
        <x:v>108</x:v>
      </x:c>
      <x:c r="AN408" s="9" t="n">
        <x:v>108</x:v>
      </x:c>
    </x:row>
    <x:row r="409">
      <x:c r="A409" s="9" t="str">
        <x:v>Failure</x:v>
      </x:c>
      <x:c r="B409" s="9" t="str">
        <x:v>Ordinal Reference Ordering</x:v>
      </x:c>
      <x:c r="C409" s="10" t="n">
        <x:v>107</x:v>
      </x:c>
      <x:c r="D409" s="9" t="str">
        <x:v>Pick up the object that is fourth from the right and place it in the bowl.</x:v>
      </x:c>
      <x:c r="E409" s="9" t="str">
        <x:v>L1: airplane toy with propellers, L2: blue tape ball, L3: green highlighter, L4: yellow pen</x:v>
      </x:c>
      <x:c r="F409" s="9" t="str">
        <x:v>airplane toy with propellers</x:v>
      </x:c>
      <x:c r="G409" s="9" t="str">
        <x:v>picked green highlighter</x:v>
      </x:c>
      <x:c r="H409" s="9" t="str">
        <x:v>Concept/compositional transfer</x:v>
      </x:c>
      <x:c r="I409" s="9" t="str">
        <x:v>CT-CF24-N4-08</x:v>
      </x:c>
      <x:c r="J409" s="9" t="str">
        <x:v>Masked cell n=4, L1, airplane toy with propellers</x:v>
      </x:c>
      <x:c r="K409" s="9" t="n">
        <x:v>106</x:v>
      </x:c>
      <x:c r="L409" s="9"/>
      <x:c r="M409" s="9"/>
      <x:c r="N409" s="9" t="str">
        <x:v>4 — Transfer-only counterfactual pairs</x:v>
      </x:c>
      <x:c r="O409" s="9" t="str">
        <x:v>Return the previously moved object to its marked position. Do not move any other object; only the prompt changes.</x:v>
      </x:c>
      <x:c r="P409" s="9" t="str">
        <x:v>The final manifest masks this exact sequence-length × physical-position × target-identity cell. Both equivalent left- and right-based descriptions are absent for this cell, while the canonical instruction wording occurs elsewhere in training.</x:v>
      </x:c>
      <x:c r="Q409" s="9"/>
      <x:c r="R409" s="10" t="n">
        <x:v>4</x:v>
      </x:c>
      <x:c r="S409" s="10"/>
      <x:c r="T409" s="9"/>
      <x:c r="U409" s="9"/>
      <x:c r="V409" s="9"/>
      <x:c r="W409" s="9" t="str">
        <x:v>CT-CF24-N4-08</x:v>
      </x:c>
      <x:c r="X409" s="10"/>
      <x:c r="Y409" s="10"/>
      <x:c r="Z409" s="9"/>
      <x:c r="AA409" s="9" t="str">
        <x:v>L1</x:v>
      </x:c>
      <x:c r="AB409" s="9" t="str">
        <x:v>fourth from right</x:v>
      </x:c>
      <x:c r="AC409" s="9"/>
      <x:c r="AD409" s="9"/>
      <x:c r="AE409" s="9"/>
      <x:c r="AF409" s="9"/>
      <x:c r="AG409" s="9"/>
      <x:c r="AH409" s="9"/>
      <x:c r="AI409" s="11"/>
      <x:c r="AJ409" s="9"/>
      <x:c r="AK409" s="9" t="str">
        <x:v>Eval_Ordinal_Reference_Ordering.xlsm</x:v>
      </x:c>
      <x:c r="AL409" s="9" t="str">
        <x:v>pi0.5 Results</x:v>
      </x:c>
      <x:c r="AM409" s="9" t="n">
        <x:v>109</x:v>
      </x:c>
      <x:c r="AN409" s="9" t="n">
        <x:v>109</x:v>
      </x:c>
    </x:row>
    <x:row r="410">
      <x:c r="A410" s="9" t="str">
        <x:v>Failure</x:v>
      </x:c>
      <x:c r="B410" s="9" t="str">
        <x:v>Ordinal Reference Ordering</x:v>
      </x:c>
      <x:c r="C410" s="10" t="n">
        <x:v>108</x:v>
      </x:c>
      <x:c r="D410" s="9" t="str">
        <x:v>Pick up the object that is third from the right and place it in the bowl.</x:v>
      </x:c>
      <x:c r="E410" s="9" t="str">
        <x:v>L1: airplane toy with propellers, L2: blue tape ball, L3: green highlighter, L4: yellow pen</x:v>
      </x:c>
      <x:c r="F410" s="9" t="str">
        <x:v>blue tape ball</x:v>
      </x:c>
      <x:c r="G410" s="9" t="str">
        <x:v>picked airplane toy</x:v>
      </x:c>
      <x:c r="H410" s="9" t="str">
        <x:v>Concept/compositional transfer</x:v>
      </x:c>
      <x:c r="I410" s="9" t="str">
        <x:v>CT-CF25-N4-09</x:v>
      </x:c>
      <x:c r="J410" s="9" t="str">
        <x:v>Masked cell n=4, L2, blue tape ball</x:v>
      </x:c>
      <x:c r="K410" s="9"/>
      <x:c r="L410" s="9"/>
      <x:c r="M410" s="9"/>
      <x:c r="N410" s="9" t="str">
        <x:v>4 — Transfer-only counterfactual pairs</x:v>
      </x:c>
      <x:c r="O410" s="9" t="str">
        <x:v>Build this new scene family exactly from the L1–L4 description and save a first-frame reference image.</x:v>
      </x:c>
      <x:c r="P410" s="9" t="str">
        <x:v>The final manifest masks this exact sequence-length × physical-position × target-identity cell. Both equivalent left- and right-based descriptions are absent for this cell, while the canonical instruction wording occurs elsewhere in training.</x:v>
      </x:c>
      <x:c r="Q410" s="9"/>
      <x:c r="R410" s="10" t="n">
        <x:v>4</x:v>
      </x:c>
      <x:c r="S410" s="10"/>
      <x:c r="T410" s="9"/>
      <x:c r="U410" s="9"/>
      <x:c r="V410" s="9"/>
      <x:c r="W410" s="9" t="str">
        <x:v>CT-CF25-N4-09</x:v>
      </x:c>
      <x:c r="X410" s="10"/>
      <x:c r="Y410" s="10"/>
      <x:c r="Z410" s="9"/>
      <x:c r="AA410" s="9" t="str">
        <x:v>L2</x:v>
      </x:c>
      <x:c r="AB410" s="9" t="str">
        <x:v>third from right</x:v>
      </x:c>
      <x:c r="AC410" s="9"/>
      <x:c r="AD410" s="9"/>
      <x:c r="AE410" s="9"/>
      <x:c r="AF410" s="9"/>
      <x:c r="AG410" s="9"/>
      <x:c r="AH410" s="9"/>
      <x:c r="AI410" s="11"/>
      <x:c r="AJ410" s="9"/>
      <x:c r="AK410" s="9" t="str">
        <x:v>Eval_Ordinal_Reference_Ordering.xlsm</x:v>
      </x:c>
      <x:c r="AL410" s="9" t="str">
        <x:v>pi0.5 Results</x:v>
      </x:c>
      <x:c r="AM410" s="9" t="n">
        <x:v>110</x:v>
      </x:c>
      <x:c r="AN410" s="9" t="n">
        <x:v>110</x:v>
      </x:c>
    </x:row>
    <x:row r="411">
      <x:c r="A411" s="9" t="str">
        <x:v>Failure</x:v>
      </x:c>
      <x:c r="B411" s="9" t="str">
        <x:v>Ordinal Reference Ordering</x:v>
      </x:c>
      <x:c r="C411" s="10" t="n">
        <x:v>109</x:v>
      </x:c>
      <x:c r="D411" s="9" t="str">
        <x:v>Pick up the object that is fourth from the left and place it in the bowl.</x:v>
      </x:c>
      <x:c r="E411" s="9" t="str">
        <x:v>L1: airplane toy with propellers, L2: blue tape ball, L3: green highlighter, L4: yellow pen</x:v>
      </x:c>
      <x:c r="F411" s="9" t="str">
        <x:v>yellow pen</x:v>
      </x:c>
      <x:c r="G411" s="9" t="str">
        <x:v>picked airplane toy</x:v>
      </x:c>
      <x:c r="H411" s="9" t="str">
        <x:v>Concept/compositional transfer</x:v>
      </x:c>
      <x:c r="I411" s="9" t="str">
        <x:v>CT-CF25-N4-09</x:v>
      </x:c>
      <x:c r="J411" s="9" t="str">
        <x:v>Masked cell n=4, L4, yellow pen</x:v>
      </x:c>
      <x:c r="K411" s="9" t="n">
        <x:v>108</x:v>
      </x:c>
      <x:c r="L411" s="9"/>
      <x:c r="M411" s="9"/>
      <x:c r="N411" s="9" t="str">
        <x:v>4 — Transfer-only counterfactual pairs</x:v>
      </x:c>
      <x:c r="O411" s="9" t="str">
        <x:v>Return the previously moved object to its marked position. Do not move any other object; only the prompt changes.</x:v>
      </x:c>
      <x:c r="P411" s="9" t="str">
        <x:v>The final manifest masks this exact sequence-length × physical-position × target-identity cell. Both equivalent left- and right-based descriptions are absent for this cell, while the canonical instruction wording occurs elsewhere in training.</x:v>
      </x:c>
      <x:c r="Q411" s="9"/>
      <x:c r="R411" s="10" t="n">
        <x:v>4</x:v>
      </x:c>
      <x:c r="S411" s="10"/>
      <x:c r="T411" s="9"/>
      <x:c r="U411" s="9"/>
      <x:c r="V411" s="9"/>
      <x:c r="W411" s="9" t="str">
        <x:v>CT-CF25-N4-09</x:v>
      </x:c>
      <x:c r="X411" s="10"/>
      <x:c r="Y411" s="10"/>
      <x:c r="Z411" s="9"/>
      <x:c r="AA411" s="9" t="str">
        <x:v>L4</x:v>
      </x:c>
      <x:c r="AB411" s="9" t="str">
        <x:v>fourth from left</x:v>
      </x:c>
      <x:c r="AC411" s="9"/>
      <x:c r="AD411" s="9"/>
      <x:c r="AE411" s="9"/>
      <x:c r="AF411" s="9"/>
      <x:c r="AG411" s="9"/>
      <x:c r="AH411" s="9"/>
      <x:c r="AI411" s="11"/>
      <x:c r="AJ411" s="9"/>
      <x:c r="AK411" s="9" t="str">
        <x:v>Eval_Ordinal_Reference_Ordering.xlsm</x:v>
      </x:c>
      <x:c r="AL411" s="9" t="str">
        <x:v>pi0.5 Results</x:v>
      </x:c>
      <x:c r="AM411" s="9" t="n">
        <x:v>111</x:v>
      </x:c>
      <x:c r="AN411" s="9" t="n">
        <x:v>111</x:v>
      </x:c>
    </x:row>
    <x:row r="412">
      <x:c r="A412" s="9" t="str">
        <x:v>Failure</x:v>
      </x:c>
      <x:c r="B412" s="9" t="str">
        <x:v>Ordinal Reference Ordering</x:v>
      </x:c>
      <x:c r="C412" s="10" t="n">
        <x:v>110</x:v>
      </x:c>
      <x:c r="D412" s="9" t="str">
        <x:v>Pick up the object that is first from the left and place it in the bowl.</x:v>
      </x:c>
      <x:c r="E412" s="9" t="str">
        <x:v>L1: red block, L2: airplane toy with propellers</x:v>
      </x:c>
      <x:c r="F412" s="9" t="str">
        <x:v>red block</x:v>
      </x:c>
      <x:c r="G412" s="9" t="str">
        <x:v>picked airplane toy</x:v>
      </x:c>
      <x:c r="H412" s="9" t="str">
        <x:v>Cross-task ordinal transfer — red block target</x:v>
      </x:c>
      <x:c r="I412" s="9" t="str">
        <x:v>XO-RB-CF01</x:v>
      </x:c>
      <x:c r="J412" s="9" t="str">
        <x:v>Reasoning prompt; red block is the ordinal target</x:v>
      </x:c>
      <x:c r="K412" s="9"/>
      <x:c r="L412" s="9"/>
      <x:c r="M412" s="9"/>
      <x:c r="N412" s="9" t="str">
        <x:v>5 — Red-block counterfactual pairs</x:v>
      </x:c>
      <x:c r="O412" s="9" t="str">
        <x:v>Build this new scene family exactly from the L1–L4 description and save a first-frame reference image.</x:v>
      </x:c>
      <x:c r="P412" s="9" t="str">
        <x:v>The red block is globally familiar from Relational Placement but absent from Ordering training. The prompt never names it; ordinal reasoning is required. Pair order is counterbalanced across families.</x:v>
      </x:c>
      <x:c r="Q412" s="9"/>
      <x:c r="R412" s="10" t="n">
        <x:v>2</x:v>
      </x:c>
      <x:c r="S412" s="10"/>
      <x:c r="T412" s="9"/>
      <x:c r="U412" s="9"/>
      <x:c r="V412" s="9"/>
      <x:c r="W412" s="9" t="str">
        <x:v>XO-RB-CF01</x:v>
      </x:c>
      <x:c r="X412" s="10"/>
      <x:c r="Y412" s="10"/>
      <x:c r="Z412" s="9"/>
      <x:c r="AA412" s="9" t="str">
        <x:v>L1</x:v>
      </x:c>
      <x:c r="AB412" s="9" t="str">
        <x:v>first from left</x:v>
      </x:c>
      <x:c r="AC412" s="9"/>
      <x:c r="AD412" s="9"/>
      <x:c r="AE412" s="9"/>
      <x:c r="AF412" s="9"/>
      <x:c r="AG412" s="9"/>
      <x:c r="AH412" s="9"/>
      <x:c r="AI412" s="11"/>
      <x:c r="AJ412" s="9"/>
      <x:c r="AK412" s="9" t="str">
        <x:v>Eval_Ordinal_Reference_Ordering.xlsm</x:v>
      </x:c>
      <x:c r="AL412" s="9" t="str">
        <x:v>pi0.5 Results</x:v>
      </x:c>
      <x:c r="AM412" s="9" t="n">
        <x:v>112</x:v>
      </x:c>
      <x:c r="AN412" s="9" t="n">
        <x:v>112</x:v>
      </x:c>
    </x:row>
    <x:row r="413">
      <x:c r="A413" s="9" t="str">
        <x:v>Success</x:v>
      </x:c>
      <x:c r="B413" s="9" t="str">
        <x:v>Ordinal Reference Ordering</x:v>
      </x:c>
      <x:c r="C413" s="10" t="n">
        <x:v>111</x:v>
      </x:c>
      <x:c r="D413" s="9" t="str">
        <x:v>Pick up the object that is second from the left and place it in the bowl.</x:v>
      </x:c>
      <x:c r="E413" s="9" t="str">
        <x:v>L1: red block, L2: airplane toy with propellers</x:v>
      </x:c>
      <x:c r="F413" s="9" t="str">
        <x:v>airplane toy with propellers</x:v>
      </x:c>
      <x:c r="G413" s="9"/>
      <x:c r="H413" s="9" t="str">
        <x:v>Cross-task ordinal counterfactual — red block distractor</x:v>
      </x:c>
      <x:c r="I413" s="9" t="str">
        <x:v>XO-RB-CF01</x:v>
      </x:c>
      <x:c r="J413" s="9" t="str">
        <x:v>Same scene; explicitly trained Ordering target (source episode 621)</x:v>
      </x:c>
      <x:c r="K413" s="9" t="n">
        <x:v>110</x:v>
      </x:c>
      <x:c r="L413" s="9"/>
      <x:c r="M413" s="9"/>
      <x:c r="N413" s="9" t="str">
        <x:v>5 — Red-block counterfactual pairs</x:v>
      </x:c>
      <x:c r="O413" s="9" t="str">
        <x:v>Return the previously moved object to its marked position. Do not move any other object; only the prompt changes.</x:v>
      </x:c>
      <x:c r="P413" s="9" t="str">
        <x:v>The same scene now targets a familiar Ordering object using the same canonical reasoning template and an exact training-supported ordinal prompt. The red block remains visible but is not the target.</x:v>
      </x:c>
      <x:c r="Q413" s="9"/>
      <x:c r="R413" s="10" t="n">
        <x:v>2</x:v>
      </x:c>
      <x:c r="S413" s="10"/>
      <x:c r="T413" s="9"/>
      <x:c r="U413" s="9"/>
      <x:c r="V413" s="9"/>
      <x:c r="W413" s="9" t="str">
        <x:v>XO-RB-CF01</x:v>
      </x:c>
      <x:c r="X413" s="10"/>
      <x:c r="Y413" s="10"/>
      <x:c r="Z413" s="9"/>
      <x:c r="AA413" s="9" t="str">
        <x:v>L2</x:v>
      </x:c>
      <x:c r="AB413" s="9" t="str">
        <x:v>second from left</x:v>
      </x:c>
      <x:c r="AC413" s="9"/>
      <x:c r="AD413" s="9"/>
      <x:c r="AE413" s="9"/>
      <x:c r="AF413" s="9"/>
      <x:c r="AG413" s="9"/>
      <x:c r="AH413" s="9"/>
      <x:c r="AI413" s="11"/>
      <x:c r="AJ413" s="9"/>
      <x:c r="AK413" s="9" t="str">
        <x:v>Eval_Ordinal_Reference_Ordering.xlsm</x:v>
      </x:c>
      <x:c r="AL413" s="9" t="str">
        <x:v>pi0.5 Results</x:v>
      </x:c>
      <x:c r="AM413" s="9" t="n">
        <x:v>113</x:v>
      </x:c>
      <x:c r="AN413" s="9" t="n">
        <x:v>113</x:v>
      </x:c>
    </x:row>
    <x:row r="414">
      <x:c r="A414" s="9" t="str">
        <x:v>Failure</x:v>
      </x:c>
      <x:c r="B414" s="9" t="str">
        <x:v>Ordinal Reference Ordering</x:v>
      </x:c>
      <x:c r="C414" s="10" t="n">
        <x:v>112</x:v>
      </x:c>
      <x:c r="D414" s="9" t="str">
        <x:v>Pick up the object that is second from the right and place it in the bowl.</x:v>
      </x:c>
      <x:c r="E414" s="9" t="str">
        <x:v>L1: blue tape ball, L2: red block</x:v>
      </x:c>
      <x:c r="F414" s="9" t="str">
        <x:v>blue tape ball</x:v>
      </x:c>
      <x:c r="G414" s="9" t="str">
        <x:v>picked red block</x:v>
      </x:c>
      <x:c r="H414" s="9" t="str">
        <x:v>Cross-task ordinal counterfactual — red block distractor</x:v>
      </x:c>
      <x:c r="I414" s="9" t="str">
        <x:v>XO-RB-CF02</x:v>
      </x:c>
      <x:c r="J414" s="9" t="str">
        <x:v>Same scene; explicitly trained Ordering target (source episode 659)</x:v>
      </x:c>
      <x:c r="K414" s="9"/>
      <x:c r="L414" s="9"/>
      <x:c r="M414" s="9"/>
      <x:c r="N414" s="9" t="str">
        <x:v>5 — Red-block counterfactual pairs</x:v>
      </x:c>
      <x:c r="O414" s="9" t="str">
        <x:v>Build this new scene family exactly from the L1–L4 description and save a first-frame reference image.</x:v>
      </x:c>
      <x:c r="P414" s="9" t="str">
        <x:v>The same scene now targets a familiar Ordering object using the same canonical reasoning template and an exact training-supported ordinal prompt. The red block remains visible but is not the target.</x:v>
      </x:c>
      <x:c r="Q414" s="9"/>
      <x:c r="R414" s="10" t="n">
        <x:v>2</x:v>
      </x:c>
      <x:c r="S414" s="10"/>
      <x:c r="T414" s="9"/>
      <x:c r="U414" s="9"/>
      <x:c r="V414" s="9"/>
      <x:c r="W414" s="9" t="str">
        <x:v>XO-RB-CF02</x:v>
      </x:c>
      <x:c r="X414" s="10"/>
      <x:c r="Y414" s="10"/>
      <x:c r="Z414" s="9"/>
      <x:c r="AA414" s="9" t="str">
        <x:v>L1</x:v>
      </x:c>
      <x:c r="AB414" s="9" t="str">
        <x:v>second from right</x:v>
      </x:c>
      <x:c r="AC414" s="9"/>
      <x:c r="AD414" s="9"/>
      <x:c r="AE414" s="9"/>
      <x:c r="AF414" s="9"/>
      <x:c r="AG414" s="9"/>
      <x:c r="AH414" s="9"/>
      <x:c r="AI414" s="11"/>
      <x:c r="AJ414" s="9"/>
      <x:c r="AK414" s="9" t="str">
        <x:v>Eval_Ordinal_Reference_Ordering.xlsm</x:v>
      </x:c>
      <x:c r="AL414" s="9" t="str">
        <x:v>pi0.5 Results</x:v>
      </x:c>
      <x:c r="AM414" s="9" t="n">
        <x:v>114</x:v>
      </x:c>
      <x:c r="AN414" s="9" t="n">
        <x:v>114</x:v>
      </x:c>
    </x:row>
    <x:row r="415">
      <x:c r="A415" s="9" t="str">
        <x:v>Success</x:v>
      </x:c>
      <x:c r="B415" s="9" t="str">
        <x:v>Ordinal Reference Ordering</x:v>
      </x:c>
      <x:c r="C415" s="10" t="n">
        <x:v>113</x:v>
      </x:c>
      <x:c r="D415" s="9" t="str">
        <x:v>Pick up the object that is first from the right and place it in the bowl.</x:v>
      </x:c>
      <x:c r="E415" s="9" t="str">
        <x:v>L1: blue tape ball, L2: red block</x:v>
      </x:c>
      <x:c r="F415" s="9" t="str">
        <x:v>red block</x:v>
      </x:c>
      <x:c r="G415" s="9"/>
      <x:c r="H415" s="9" t="str">
        <x:v>Cross-task ordinal transfer — red block target</x:v>
      </x:c>
      <x:c r="I415" s="9" t="str">
        <x:v>XO-RB-CF02</x:v>
      </x:c>
      <x:c r="J415" s="9" t="str">
        <x:v>Reasoning prompt; red block is the ordinal target</x:v>
      </x:c>
      <x:c r="K415" s="9" t="n">
        <x:v>112</x:v>
      </x:c>
      <x:c r="L415" s="9"/>
      <x:c r="M415" s="9"/>
      <x:c r="N415" s="9" t="str">
        <x:v>5 — Red-block counterfactual pairs</x:v>
      </x:c>
      <x:c r="O415" s="9" t="str">
        <x:v>Return the previously moved object to its marked position. Do not move any other object; only the prompt changes.</x:v>
      </x:c>
      <x:c r="P415" s="9" t="str">
        <x:v>The red block is globally familiar from Relational Placement but absent from Ordering training. The prompt never names it; ordinal reasoning is required. Pair order is counterbalanced across families.</x:v>
      </x:c>
      <x:c r="Q415" s="9"/>
      <x:c r="R415" s="10" t="n">
        <x:v>2</x:v>
      </x:c>
      <x:c r="S415" s="10"/>
      <x:c r="T415" s="9"/>
      <x:c r="U415" s="9"/>
      <x:c r="V415" s="9"/>
      <x:c r="W415" s="9" t="str">
        <x:v>XO-RB-CF02</x:v>
      </x:c>
      <x:c r="X415" s="10"/>
      <x:c r="Y415" s="10"/>
      <x:c r="Z415" s="9"/>
      <x:c r="AA415" s="9" t="str">
        <x:v>L2</x:v>
      </x:c>
      <x:c r="AB415" s="9" t="str">
        <x:v>first from right</x:v>
      </x:c>
      <x:c r="AC415" s="9"/>
      <x:c r="AD415" s="9"/>
      <x:c r="AE415" s="9"/>
      <x:c r="AF415" s="9"/>
      <x:c r="AG415" s="9"/>
      <x:c r="AH415" s="9"/>
      <x:c r="AI415" s="11"/>
      <x:c r="AJ415" s="9"/>
      <x:c r="AK415" s="9" t="str">
        <x:v>Eval_Ordinal_Reference_Ordering.xlsm</x:v>
      </x:c>
      <x:c r="AL415" s="9" t="str">
        <x:v>pi0.5 Results</x:v>
      </x:c>
      <x:c r="AM415" s="9" t="n">
        <x:v>115</x:v>
      </x:c>
      <x:c r="AN415" s="9" t="n">
        <x:v>115</x:v>
      </x:c>
    </x:row>
    <x:row r="416">
      <x:c r="A416" s="9" t="str">
        <x:v>Failure</x:v>
      </x:c>
      <x:c r="B416" s="9" t="str">
        <x:v>Ordinal Reference Ordering</x:v>
      </x:c>
      <x:c r="C416" s="10" t="n">
        <x:v>114</x:v>
      </x:c>
      <x:c r="D416" s="9" t="str">
        <x:v>Pick up the object that is third from the right and place it in the bowl.</x:v>
      </x:c>
      <x:c r="E416" s="9" t="str">
        <x:v>L1: red block, L2: green highlighter, L3: blue tape ball</x:v>
      </x:c>
      <x:c r="F416" s="9" t="str">
        <x:v>red block</x:v>
      </x:c>
      <x:c r="G416" s="9" t="str">
        <x:v>picked green highlighter</x:v>
      </x:c>
      <x:c r="H416" s="9" t="str">
        <x:v>Cross-task ordinal transfer — red block target</x:v>
      </x:c>
      <x:c r="I416" s="9" t="str">
        <x:v>XO-RB-CF03</x:v>
      </x:c>
      <x:c r="J416" s="9" t="str">
        <x:v>Reasoning prompt; red block is the ordinal target</x:v>
      </x:c>
      <x:c r="K416" s="9"/>
      <x:c r="L416" s="9"/>
      <x:c r="M416" s="9"/>
      <x:c r="N416" s="9" t="str">
        <x:v>5 — Red-block counterfactual pairs</x:v>
      </x:c>
      <x:c r="O416" s="9" t="str">
        <x:v>Build this new scene family exactly from the L1–L4 description and save a first-frame reference image.</x:v>
      </x:c>
      <x:c r="P416" s="9" t="str">
        <x:v>The red block is globally familiar from Relational Placement but absent from Ordering training. The prompt never names it; ordinal reasoning is required. Pair order is counterbalanced across families.</x:v>
      </x:c>
      <x:c r="Q416" s="9"/>
      <x:c r="R416" s="10" t="n">
        <x:v>3</x:v>
      </x:c>
      <x:c r="S416" s="10"/>
      <x:c r="T416" s="9"/>
      <x:c r="U416" s="9"/>
      <x:c r="V416" s="9"/>
      <x:c r="W416" s="9" t="str">
        <x:v>XO-RB-CF03</x:v>
      </x:c>
      <x:c r="X416" s="10"/>
      <x:c r="Y416" s="10"/>
      <x:c r="Z416" s="9"/>
      <x:c r="AA416" s="9" t="str">
        <x:v>L1</x:v>
      </x:c>
      <x:c r="AB416" s="9" t="str">
        <x:v>third from right</x:v>
      </x:c>
      <x:c r="AC416" s="9"/>
      <x:c r="AD416" s="9"/>
      <x:c r="AE416" s="9"/>
      <x:c r="AF416" s="9"/>
      <x:c r="AG416" s="9"/>
      <x:c r="AH416" s="9"/>
      <x:c r="AI416" s="11"/>
      <x:c r="AJ416" s="9"/>
      <x:c r="AK416" s="9" t="str">
        <x:v>Eval_Ordinal_Reference_Ordering.xlsm</x:v>
      </x:c>
      <x:c r="AL416" s="9" t="str">
        <x:v>pi0.5 Results</x:v>
      </x:c>
      <x:c r="AM416" s="9" t="n">
        <x:v>116</x:v>
      </x:c>
      <x:c r="AN416" s="9" t="n">
        <x:v>116</x:v>
      </x:c>
    </x:row>
    <x:row r="417">
      <x:c r="A417" s="9" t="str">
        <x:v>Success</x:v>
      </x:c>
      <x:c r="B417" s="9" t="str">
        <x:v>Ordinal Reference Ordering</x:v>
      </x:c>
      <x:c r="C417" s="10" t="n">
        <x:v>115</x:v>
      </x:c>
      <x:c r="D417" s="9" t="str">
        <x:v>Pick up the object that is first from the right and place it in the bowl.</x:v>
      </x:c>
      <x:c r="E417" s="9" t="str">
        <x:v>L1: red block, L2: green highlighter, L3: blue tape ball</x:v>
      </x:c>
      <x:c r="F417" s="9" t="str">
        <x:v>blue tape ball</x:v>
      </x:c>
      <x:c r="G417" s="9"/>
      <x:c r="H417" s="9" t="str">
        <x:v>Cross-task ordinal counterfactual — red block distractor</x:v>
      </x:c>
      <x:c r="I417" s="9" t="str">
        <x:v>XO-RB-CF03</x:v>
      </x:c>
      <x:c r="J417" s="9" t="str">
        <x:v>Same scene; explicitly trained Ordering target (source episode 683)</x:v>
      </x:c>
      <x:c r="K417" s="9" t="n">
        <x:v>114</x:v>
      </x:c>
      <x:c r="L417" s="9"/>
      <x:c r="M417" s="9"/>
      <x:c r="N417" s="9" t="str">
        <x:v>5 — Red-block counterfactual pairs</x:v>
      </x:c>
      <x:c r="O417" s="9" t="str">
        <x:v>Return the previously moved object to its marked position. Do not move any other object; only the prompt changes.</x:v>
      </x:c>
      <x:c r="P417" s="9" t="str">
        <x:v>The same scene now targets a familiar Ordering object using the same canonical reasoning template and an exact training-supported ordinal prompt. The red block remains visible but is not the target.</x:v>
      </x:c>
      <x:c r="Q417" s="9"/>
      <x:c r="R417" s="10" t="n">
        <x:v>3</x:v>
      </x:c>
      <x:c r="S417" s="10"/>
      <x:c r="T417" s="9"/>
      <x:c r="U417" s="9"/>
      <x:c r="V417" s="9"/>
      <x:c r="W417" s="9" t="str">
        <x:v>XO-RB-CF03</x:v>
      </x:c>
      <x:c r="X417" s="10"/>
      <x:c r="Y417" s="10"/>
      <x:c r="Z417" s="9"/>
      <x:c r="AA417" s="9" t="str">
        <x:v>L3</x:v>
      </x:c>
      <x:c r="AB417" s="9" t="str">
        <x:v>first from right</x:v>
      </x:c>
      <x:c r="AC417" s="9"/>
      <x:c r="AD417" s="9"/>
      <x:c r="AE417" s="9"/>
      <x:c r="AF417" s="9"/>
      <x:c r="AG417" s="9"/>
      <x:c r="AH417" s="9"/>
      <x:c r="AI417" s="11"/>
      <x:c r="AJ417" s="9"/>
      <x:c r="AK417" s="9" t="str">
        <x:v>Eval_Ordinal_Reference_Ordering.xlsm</x:v>
      </x:c>
      <x:c r="AL417" s="9" t="str">
        <x:v>pi0.5 Results</x:v>
      </x:c>
      <x:c r="AM417" s="9" t="n">
        <x:v>117</x:v>
      </x:c>
      <x:c r="AN417" s="9" t="n">
        <x:v>117</x:v>
      </x:c>
    </x:row>
    <x:row r="418">
      <x:c r="A418" s="9" t="str">
        <x:v>Failure</x:v>
      </x:c>
      <x:c r="B418" s="9" t="str">
        <x:v>Ordinal Reference Ordering</x:v>
      </x:c>
      <x:c r="C418" s="10" t="n">
        <x:v>116</x:v>
      </x:c>
      <x:c r="D418" s="9" t="str">
        <x:v>Pick up the object that is third from the right and place it in the bowl.</x:v>
      </x:c>
      <x:c r="E418" s="9" t="str">
        <x:v>L1: airplane toy with propellers, L2: yellow pen, L3: red block</x:v>
      </x:c>
      <x:c r="F418" s="9" t="str">
        <x:v>airplane toy with propellers</x:v>
      </x:c>
      <x:c r="G418" s="9" t="str">
        <x:v>picked red block</x:v>
      </x:c>
      <x:c r="H418" s="9" t="str">
        <x:v>Cross-task ordinal counterfactual — red block distractor</x:v>
      </x:c>
      <x:c r="I418" s="9" t="str">
        <x:v>XO-RB-CF04</x:v>
      </x:c>
      <x:c r="J418" s="9" t="str">
        <x:v>Same scene; explicitly trained Ordering target (source episode 606)</x:v>
      </x:c>
      <x:c r="K418" s="9"/>
      <x:c r="L418" s="9"/>
      <x:c r="M418" s="9"/>
      <x:c r="N418" s="9" t="str">
        <x:v>5 — Red-block counterfactual pairs</x:v>
      </x:c>
      <x:c r="O418" s="9" t="str">
        <x:v>Build this new scene family exactly from the L1–L4 description and save a first-frame reference image.</x:v>
      </x:c>
      <x:c r="P418" s="9" t="str">
        <x:v>The same scene now targets a familiar Ordering object using the same canonical reasoning template and an exact training-supported ordinal prompt. The red block remains visible but is not the target.</x:v>
      </x:c>
      <x:c r="Q418" s="9"/>
      <x:c r="R418" s="10" t="n">
        <x:v>3</x:v>
      </x:c>
      <x:c r="S418" s="10"/>
      <x:c r="T418" s="9"/>
      <x:c r="U418" s="9"/>
      <x:c r="V418" s="9"/>
      <x:c r="W418" s="9" t="str">
        <x:v>XO-RB-CF04</x:v>
      </x:c>
      <x:c r="X418" s="10"/>
      <x:c r="Y418" s="10"/>
      <x:c r="Z418" s="9"/>
      <x:c r="AA418" s="9" t="str">
        <x:v>L1</x:v>
      </x:c>
      <x:c r="AB418" s="9" t="str">
        <x:v>third from right</x:v>
      </x:c>
      <x:c r="AC418" s="9"/>
      <x:c r="AD418" s="9"/>
      <x:c r="AE418" s="9"/>
      <x:c r="AF418" s="9"/>
      <x:c r="AG418" s="9"/>
      <x:c r="AH418" s="9"/>
      <x:c r="AI418" s="11"/>
      <x:c r="AJ418" s="9"/>
      <x:c r="AK418" s="9" t="str">
        <x:v>Eval_Ordinal_Reference_Ordering.xlsm</x:v>
      </x:c>
      <x:c r="AL418" s="9" t="str">
        <x:v>pi0.5 Results</x:v>
      </x:c>
      <x:c r="AM418" s="9" t="n">
        <x:v>118</x:v>
      </x:c>
      <x:c r="AN418" s="9" t="n">
        <x:v>118</x:v>
      </x:c>
    </x:row>
    <x:row r="419">
      <x:c r="A419" s="9" t="str">
        <x:v>Success</x:v>
      </x:c>
      <x:c r="B419" s="9" t="str">
        <x:v>Ordinal Reference Ordering</x:v>
      </x:c>
      <x:c r="C419" s="10" t="n">
        <x:v>117</x:v>
      </x:c>
      <x:c r="D419" s="9" t="str">
        <x:v>Pick up the object that is third from the left and place it in the bowl.</x:v>
      </x:c>
      <x:c r="E419" s="9" t="str">
        <x:v>L1: airplane toy with propellers, L2: yellow pen, L3: red block</x:v>
      </x:c>
      <x:c r="F419" s="9" t="str">
        <x:v>red block</x:v>
      </x:c>
      <x:c r="G419" s="9"/>
      <x:c r="H419" s="9" t="str">
        <x:v>Cross-task ordinal transfer — red block target</x:v>
      </x:c>
      <x:c r="I419" s="9" t="str">
        <x:v>XO-RB-CF04</x:v>
      </x:c>
      <x:c r="J419" s="9" t="str">
        <x:v>Reasoning prompt; red block is the ordinal target</x:v>
      </x:c>
      <x:c r="K419" s="9" t="n">
        <x:v>116</x:v>
      </x:c>
      <x:c r="L419" s="9"/>
      <x:c r="M419" s="9"/>
      <x:c r="N419" s="9" t="str">
        <x:v>5 — Red-block counterfactual pairs</x:v>
      </x:c>
      <x:c r="O419" s="9" t="str">
        <x:v>Return the previously moved object to its marked position. Do not move any other object; only the prompt changes.</x:v>
      </x:c>
      <x:c r="P419" s="9" t="str">
        <x:v>The red block is globally familiar from Relational Placement but absent from Ordering training. The prompt never names it; ordinal reasoning is required. Pair order is counterbalanced across families.</x:v>
      </x:c>
      <x:c r="Q419" s="9"/>
      <x:c r="R419" s="10" t="n">
        <x:v>3</x:v>
      </x:c>
      <x:c r="S419" s="10"/>
      <x:c r="T419" s="9"/>
      <x:c r="U419" s="9"/>
      <x:c r="V419" s="9"/>
      <x:c r="W419" s="9" t="str">
        <x:v>XO-RB-CF04</x:v>
      </x:c>
      <x:c r="X419" s="10"/>
      <x:c r="Y419" s="10"/>
      <x:c r="Z419" s="9"/>
      <x:c r="AA419" s="9" t="str">
        <x:v>L3</x:v>
      </x:c>
      <x:c r="AB419" s="9" t="str">
        <x:v>third from left</x:v>
      </x:c>
      <x:c r="AC419" s="9"/>
      <x:c r="AD419" s="9"/>
      <x:c r="AE419" s="9"/>
      <x:c r="AF419" s="9"/>
      <x:c r="AG419" s="9"/>
      <x:c r="AH419" s="9"/>
      <x:c r="AI419" s="11"/>
      <x:c r="AJ419" s="9"/>
      <x:c r="AK419" s="9" t="str">
        <x:v>Eval_Ordinal_Reference_Ordering.xlsm</x:v>
      </x:c>
      <x:c r="AL419" s="9" t="str">
        <x:v>pi0.5 Results</x:v>
      </x:c>
      <x:c r="AM419" s="9" t="n">
        <x:v>119</x:v>
      </x:c>
      <x:c r="AN419" s="9" t="n">
        <x:v>119</x:v>
      </x:c>
    </x:row>
    <x:row r="420">
      <x:c r="A420" s="9" t="str">
        <x:v>Failure</x:v>
      </x:c>
      <x:c r="B420" s="9" t="str">
        <x:v>Ordinal Reference Ordering</x:v>
      </x:c>
      <x:c r="C420" s="10" t="n">
        <x:v>118</x:v>
      </x:c>
      <x:c r="D420" s="9" t="str">
        <x:v>Pick up the object that is first from the left and place it in the bowl.</x:v>
      </x:c>
      <x:c r="E420" s="9" t="str">
        <x:v>L1: red block, L2: green highlighter, L3: yellow pen, L4: blue tape ball</x:v>
      </x:c>
      <x:c r="F420" s="9" t="str">
        <x:v>red block</x:v>
      </x:c>
      <x:c r="G420" s="9" t="str">
        <x:v>picked blue tape ball</x:v>
      </x:c>
      <x:c r="H420" s="9" t="str">
        <x:v>Cross-task ordinal transfer — red block target</x:v>
      </x:c>
      <x:c r="I420" s="9" t="str">
        <x:v>XO-RB-CF05</x:v>
      </x:c>
      <x:c r="J420" s="9" t="str">
        <x:v>Reasoning prompt; red block is the ordinal target</x:v>
      </x:c>
      <x:c r="K420" s="9"/>
      <x:c r="L420" s="9"/>
      <x:c r="M420" s="9"/>
      <x:c r="N420" s="9" t="str">
        <x:v>5 — Red-block counterfactual pairs</x:v>
      </x:c>
      <x:c r="O420" s="9" t="str">
        <x:v>Build this new scene family exactly from the L1–L4 description and save a first-frame reference image.</x:v>
      </x:c>
      <x:c r="P420" s="9" t="str">
        <x:v>The red block is globally familiar from Relational Placement but absent from Ordering training. The prompt never names it; ordinal reasoning is required. Pair order is counterbalanced across families.</x:v>
      </x:c>
      <x:c r="Q420" s="9"/>
      <x:c r="R420" s="10" t="n">
        <x:v>4</x:v>
      </x:c>
      <x:c r="S420" s="10"/>
      <x:c r="T420" s="9"/>
      <x:c r="U420" s="9"/>
      <x:c r="V420" s="9"/>
      <x:c r="W420" s="9" t="str">
        <x:v>XO-RB-CF05</x:v>
      </x:c>
      <x:c r="X420" s="10"/>
      <x:c r="Y420" s="10"/>
      <x:c r="Z420" s="9"/>
      <x:c r="AA420" s="9" t="str">
        <x:v>L1</x:v>
      </x:c>
      <x:c r="AB420" s="9" t="str">
        <x:v>first from left</x:v>
      </x:c>
      <x:c r="AC420" s="9"/>
      <x:c r="AD420" s="9"/>
      <x:c r="AE420" s="9"/>
      <x:c r="AF420" s="9"/>
      <x:c r="AG420" s="9"/>
      <x:c r="AH420" s="9"/>
      <x:c r="AI420" s="11"/>
      <x:c r="AJ420" s="9"/>
      <x:c r="AK420" s="9" t="str">
        <x:v>Eval_Ordinal_Reference_Ordering.xlsm</x:v>
      </x:c>
      <x:c r="AL420" s="9" t="str">
        <x:v>pi0.5 Results</x:v>
      </x:c>
      <x:c r="AM420" s="9" t="n">
        <x:v>120</x:v>
      </x:c>
      <x:c r="AN420" s="9" t="n">
        <x:v>120</x:v>
      </x:c>
    </x:row>
    <x:row r="421">
      <x:c r="A421" s="9" t="str">
        <x:v>Failure</x:v>
      </x:c>
      <x:c r="B421" s="9" t="str">
        <x:v>Ordinal Reference Ordering</x:v>
      </x:c>
      <x:c r="C421" s="10" t="n">
        <x:v>119</x:v>
      </x:c>
      <x:c r="D421" s="9" t="str">
        <x:v>Pick up the object that is third from the right and place it in the bowl.</x:v>
      </x:c>
      <x:c r="E421" s="9" t="str">
        <x:v>L1: red block, L2: green highlighter, L3: yellow pen, L4: blue tape ball</x:v>
      </x:c>
      <x:c r="F421" s="9" t="str">
        <x:v>green highlighter</x:v>
      </x:c>
      <x:c r="G421" s="9" t="str">
        <x:v>picked blue tape ball</x:v>
      </x:c>
      <x:c r="H421" s="9" t="str">
        <x:v>Cross-task ordinal counterfactual — red block distractor</x:v>
      </x:c>
      <x:c r="I421" s="9" t="str">
        <x:v>XO-RB-CF05</x:v>
      </x:c>
      <x:c r="J421" s="9" t="str">
        <x:v>Same scene; explicitly trained Ordering target (source episode 718)</x:v>
      </x:c>
      <x:c r="K421" s="9" t="n">
        <x:v>118</x:v>
      </x:c>
      <x:c r="L421" s="9"/>
      <x:c r="M421" s="9"/>
      <x:c r="N421" s="9" t="str">
        <x:v>5 — Red-block counterfactual pairs</x:v>
      </x:c>
      <x:c r="O421" s="9" t="str">
        <x:v>Return the previously moved object to its marked position. Do not move any other object; only the prompt changes.</x:v>
      </x:c>
      <x:c r="P421" s="9" t="str">
        <x:v>The same scene now targets a familiar Ordering object using the same canonical reasoning template and an exact training-supported ordinal prompt. The red block remains visible but is not the target.</x:v>
      </x:c>
      <x:c r="Q421" s="9"/>
      <x:c r="R421" s="10" t="n">
        <x:v>4</x:v>
      </x:c>
      <x:c r="S421" s="10"/>
      <x:c r="T421" s="9"/>
      <x:c r="U421" s="9"/>
      <x:c r="V421" s="9"/>
      <x:c r="W421" s="9" t="str">
        <x:v>XO-RB-CF05</x:v>
      </x:c>
      <x:c r="X421" s="10"/>
      <x:c r="Y421" s="10"/>
      <x:c r="Z421" s="9"/>
      <x:c r="AA421" s="9" t="str">
        <x:v>L2</x:v>
      </x:c>
      <x:c r="AB421" s="9" t="str">
        <x:v>third from right</x:v>
      </x:c>
      <x:c r="AC421" s="9"/>
      <x:c r="AD421" s="9"/>
      <x:c r="AE421" s="9"/>
      <x:c r="AF421" s="9"/>
      <x:c r="AG421" s="9"/>
      <x:c r="AH421" s="9"/>
      <x:c r="AI421" s="11"/>
      <x:c r="AJ421" s="9"/>
      <x:c r="AK421" s="9" t="str">
        <x:v>Eval_Ordinal_Reference_Ordering.xlsm</x:v>
      </x:c>
      <x:c r="AL421" s="9" t="str">
        <x:v>pi0.5 Results</x:v>
      </x:c>
      <x:c r="AM421" s="9" t="n">
        <x:v>121</x:v>
      </x:c>
      <x:c r="AN421" s="9" t="n">
        <x:v>121</x:v>
      </x:c>
    </x:row>
    <x:row r="422">
      <x:c r="A422" s="9" t="str">
        <x:v>Success</x:v>
      </x:c>
      <x:c r="B422" s="9" t="str">
        <x:v>Ordinal Reference Ordering</x:v>
      </x:c>
      <x:c r="C422" s="10" t="n">
        <x:v>120</x:v>
      </x:c>
      <x:c r="D422" s="9" t="str">
        <x:v>Pick up the object that is third from the left and place it in the bowl.</x:v>
      </x:c>
      <x:c r="E422" s="9" t="str">
        <x:v>L1: yellow pen, L2: red block, L3: airplane toy with propellers, L4: blue tape ball</x:v>
      </x:c>
      <x:c r="F422" s="9" t="str">
        <x:v>airplane toy with propellers</x:v>
      </x:c>
      <x:c r="G422" s="9"/>
      <x:c r="H422" s="9" t="str">
        <x:v>Cross-task ordinal counterfactual — red block distractor</x:v>
      </x:c>
      <x:c r="I422" s="9" t="str">
        <x:v>XO-RB-CF06</x:v>
      </x:c>
      <x:c r="J422" s="9" t="str">
        <x:v>Same scene; explicitly trained Ordering target (source episode 626)</x:v>
      </x:c>
      <x:c r="K422" s="9"/>
      <x:c r="L422" s="9"/>
      <x:c r="M422" s="9"/>
      <x:c r="N422" s="9" t="str">
        <x:v>5 — Red-block counterfactual pairs</x:v>
      </x:c>
      <x:c r="O422" s="9" t="str">
        <x:v>Build this new scene family exactly from the L1–L4 description and save a first-frame reference image.</x:v>
      </x:c>
      <x:c r="P422" s="9" t="str">
        <x:v>The same scene now targets a familiar Ordering object using the same canonical reasoning template and an exact training-supported ordinal prompt. The red block remains visible but is not the target.</x:v>
      </x:c>
      <x:c r="Q422" s="9"/>
      <x:c r="R422" s="10" t="n">
        <x:v>4</x:v>
      </x:c>
      <x:c r="S422" s="10"/>
      <x:c r="T422" s="9"/>
      <x:c r="U422" s="9"/>
      <x:c r="V422" s="9"/>
      <x:c r="W422" s="9" t="str">
        <x:v>XO-RB-CF06</x:v>
      </x:c>
      <x:c r="X422" s="10"/>
      <x:c r="Y422" s="10"/>
      <x:c r="Z422" s="9"/>
      <x:c r="AA422" s="9" t="str">
        <x:v>L3</x:v>
      </x:c>
      <x:c r="AB422" s="9" t="str">
        <x:v>third from left</x:v>
      </x:c>
      <x:c r="AC422" s="9"/>
      <x:c r="AD422" s="9"/>
      <x:c r="AE422" s="9"/>
      <x:c r="AF422" s="9"/>
      <x:c r="AG422" s="9"/>
      <x:c r="AH422" s="9"/>
      <x:c r="AI422" s="11"/>
      <x:c r="AJ422" s="9"/>
      <x:c r="AK422" s="9" t="str">
        <x:v>Eval_Ordinal_Reference_Ordering.xlsm</x:v>
      </x:c>
      <x:c r="AL422" s="9" t="str">
        <x:v>pi0.5 Results</x:v>
      </x:c>
      <x:c r="AM422" s="9" t="n">
        <x:v>122</x:v>
      </x:c>
      <x:c r="AN422" s="9" t="n">
        <x:v>122</x:v>
      </x:c>
    </x:row>
    <x:row r="423">
      <x:c r="A423" s="9" t="str">
        <x:v>Failure</x:v>
      </x:c>
      <x:c r="B423" s="9" t="str">
        <x:v>Ordinal Reference Ordering</x:v>
      </x:c>
      <x:c r="C423" s="10" t="n">
        <x:v>121</x:v>
      </x:c>
      <x:c r="D423" s="9" t="str">
        <x:v>Pick up the object that is third from the right and place it in the bowl.</x:v>
      </x:c>
      <x:c r="E423" s="9" t="str">
        <x:v>L1: yellow pen, L2: red block, L3: airplane toy with propellers, L4: blue tape ball</x:v>
      </x:c>
      <x:c r="F423" s="9" t="str">
        <x:v>red block</x:v>
      </x:c>
      <x:c r="G423" s="9" t="str">
        <x:v>picked blue tape ball</x:v>
      </x:c>
      <x:c r="H423" s="9" t="str">
        <x:v>Cross-task ordinal transfer — red block target</x:v>
      </x:c>
      <x:c r="I423" s="9" t="str">
        <x:v>XO-RB-CF06</x:v>
      </x:c>
      <x:c r="J423" s="9" t="str">
        <x:v>Reasoning prompt; red block is the ordinal target</x:v>
      </x:c>
      <x:c r="K423" s="9" t="n">
        <x:v>120</x:v>
      </x:c>
      <x:c r="L423" s="9"/>
      <x:c r="M423" s="9"/>
      <x:c r="N423" s="9" t="str">
        <x:v>5 — Red-block counterfactual pairs</x:v>
      </x:c>
      <x:c r="O423" s="9" t="str">
        <x:v>Return the previously moved object to its marked position. Do not move any other object; only the prompt changes.</x:v>
      </x:c>
      <x:c r="P423" s="9" t="str">
        <x:v>The red block is globally familiar from Relational Placement but absent from Ordering training. The prompt never names it; ordinal reasoning is required. Pair order is counterbalanced across families.</x:v>
      </x:c>
      <x:c r="Q423" s="9"/>
      <x:c r="R423" s="10" t="n">
        <x:v>4</x:v>
      </x:c>
      <x:c r="S423" s="10"/>
      <x:c r="T423" s="9"/>
      <x:c r="U423" s="9"/>
      <x:c r="V423" s="9"/>
      <x:c r="W423" s="9" t="str">
        <x:v>XO-RB-CF06</x:v>
      </x:c>
      <x:c r="X423" s="10"/>
      <x:c r="Y423" s="10"/>
      <x:c r="Z423" s="9"/>
      <x:c r="AA423" s="9" t="str">
        <x:v>L2</x:v>
      </x:c>
      <x:c r="AB423" s="9" t="str">
        <x:v>third from right</x:v>
      </x:c>
      <x:c r="AC423" s="9"/>
      <x:c r="AD423" s="9"/>
      <x:c r="AE423" s="9"/>
      <x:c r="AF423" s="9"/>
      <x:c r="AG423" s="9"/>
      <x:c r="AH423" s="9"/>
      <x:c r="AI423" s="11"/>
      <x:c r="AJ423" s="9"/>
      <x:c r="AK423" s="9" t="str">
        <x:v>Eval_Ordinal_Reference_Ordering.xlsm</x:v>
      </x:c>
      <x:c r="AL423" s="9" t="str">
        <x:v>pi0.5 Results</x:v>
      </x:c>
      <x:c r="AM423" s="9" t="n">
        <x:v>123</x:v>
      </x:c>
      <x:c r="AN423" s="9" t="n">
        <x:v>123</x:v>
      </x:c>
    </x:row>
    <x:row r="424">
      <x:c r="A424" s="9" t="str">
        <x:v>Failure</x:v>
      </x:c>
      <x:c r="B424" s="9" t="str">
        <x:v>Ordinal Reference Ordering</x:v>
      </x:c>
      <x:c r="C424" s="10" t="n">
        <x:v>122</x:v>
      </x:c>
      <x:c r="D424" s="9" t="str">
        <x:v>Pick up the object that is second from the left and place it in the bowl.</x:v>
      </x:c>
      <x:c r="E424" s="9" t="str">
        <x:v>L1: yellow pen, L2: red block, L3: green highlighter, L4: blue tape ball</x:v>
      </x:c>
      <x:c r="F424" s="9" t="str">
        <x:v>red block</x:v>
      </x:c>
      <x:c r="G424" s="9" t="str">
        <x:v>picked blue tape ball</x:v>
      </x:c>
      <x:c r="H424" s="9" t="str">
        <x:v>Cross-task ordinal transfer — red block target</x:v>
      </x:c>
      <x:c r="I424" s="9" t="str">
        <x:v>XO-RB-CF07</x:v>
      </x:c>
      <x:c r="J424" s="9" t="str">
        <x:v>Reasoning prompt; red block is the ordinal target</x:v>
      </x:c>
      <x:c r="K424" s="9"/>
      <x:c r="L424" s="9"/>
      <x:c r="M424" s="9"/>
      <x:c r="N424" s="9" t="str">
        <x:v>5 — Red-block counterfactual pairs</x:v>
      </x:c>
      <x:c r="O424" s="9" t="str">
        <x:v>Build this new scene family exactly from the L1–L4 description and save a first-frame reference image.</x:v>
      </x:c>
      <x:c r="P424" s="9" t="str">
        <x:v>The red block is globally familiar from Relational Placement but absent from Ordering training. The prompt never names it; ordinal reasoning is required. Pair order is counterbalanced across families.</x:v>
      </x:c>
      <x:c r="Q424" s="9"/>
      <x:c r="R424" s="10" t="n">
        <x:v>4</x:v>
      </x:c>
      <x:c r="S424" s="10"/>
      <x:c r="T424" s="9"/>
      <x:c r="U424" s="9"/>
      <x:c r="V424" s="9"/>
      <x:c r="W424" s="9" t="str">
        <x:v>XO-RB-CF07</x:v>
      </x:c>
      <x:c r="X424" s="10"/>
      <x:c r="Y424" s="10"/>
      <x:c r="Z424" s="9"/>
      <x:c r="AA424" s="9" t="str">
        <x:v>L2</x:v>
      </x:c>
      <x:c r="AB424" s="9" t="str">
        <x:v>second from left</x:v>
      </x:c>
      <x:c r="AC424" s="9"/>
      <x:c r="AD424" s="9"/>
      <x:c r="AE424" s="9"/>
      <x:c r="AF424" s="9"/>
      <x:c r="AG424" s="9"/>
      <x:c r="AH424" s="9"/>
      <x:c r="AI424" s="11"/>
      <x:c r="AJ424" s="9"/>
      <x:c r="AK424" s="9" t="str">
        <x:v>Eval_Ordinal_Reference_Ordering.xlsm</x:v>
      </x:c>
      <x:c r="AL424" s="9" t="str">
        <x:v>pi0.5 Results</x:v>
      </x:c>
      <x:c r="AM424" s="9" t="n">
        <x:v>124</x:v>
      </x:c>
      <x:c r="AN424" s="9" t="n">
        <x:v>124</x:v>
      </x:c>
    </x:row>
    <x:row r="425">
      <x:c r="A425" s="9" t="str">
        <x:v>Success</x:v>
      </x:c>
      <x:c r="B425" s="9" t="str">
        <x:v>Ordinal Reference Ordering</x:v>
      </x:c>
      <x:c r="C425" s="10" t="n">
        <x:v>123</x:v>
      </x:c>
      <x:c r="D425" s="9" t="str">
        <x:v>Pick up the object that is first from the right and place it in the bowl.</x:v>
      </x:c>
      <x:c r="E425" s="9" t="str">
        <x:v>L1: yellow pen, L2: red block, L3: green highlighter, L4: blue tape ball</x:v>
      </x:c>
      <x:c r="F425" s="9" t="str">
        <x:v>blue tape ball</x:v>
      </x:c>
      <x:c r="G425" s="9"/>
      <x:c r="H425" s="9" t="str">
        <x:v>Cross-task ordinal counterfactual — red block distractor</x:v>
      </x:c>
      <x:c r="I425" s="9" t="str">
        <x:v>XO-RB-CF07</x:v>
      </x:c>
      <x:c r="J425" s="9" t="str">
        <x:v>Same scene; explicitly trained Ordering target (source episode 689)</x:v>
      </x:c>
      <x:c r="K425" s="9" t="n">
        <x:v>122</x:v>
      </x:c>
      <x:c r="L425" s="9"/>
      <x:c r="M425" s="9"/>
      <x:c r="N425" s="9" t="str">
        <x:v>5 — Red-block counterfactual pairs</x:v>
      </x:c>
      <x:c r="O425" s="9" t="str">
        <x:v>Return the previously moved object to its marked position. Do not move any other object; only the prompt changes.</x:v>
      </x:c>
      <x:c r="P425" s="9" t="str">
        <x:v>The same scene now targets a familiar Ordering object using the same canonical reasoning template and an exact training-supported ordinal prompt. The red block remains visible but is not the target.</x:v>
      </x:c>
      <x:c r="Q425" s="9"/>
      <x:c r="R425" s="10" t="n">
        <x:v>4</x:v>
      </x:c>
      <x:c r="S425" s="10"/>
      <x:c r="T425" s="9"/>
      <x:c r="U425" s="9"/>
      <x:c r="V425" s="9"/>
      <x:c r="W425" s="9" t="str">
        <x:v>XO-RB-CF07</x:v>
      </x:c>
      <x:c r="X425" s="10"/>
      <x:c r="Y425" s="10"/>
      <x:c r="Z425" s="9"/>
      <x:c r="AA425" s="9" t="str">
        <x:v>L4</x:v>
      </x:c>
      <x:c r="AB425" s="9" t="str">
        <x:v>first from right</x:v>
      </x:c>
      <x:c r="AC425" s="9"/>
      <x:c r="AD425" s="9"/>
      <x:c r="AE425" s="9"/>
      <x:c r="AF425" s="9"/>
      <x:c r="AG425" s="9"/>
      <x:c r="AH425" s="9"/>
      <x:c r="AI425" s="11"/>
      <x:c r="AJ425" s="9"/>
      <x:c r="AK425" s="9" t="str">
        <x:v>Eval_Ordinal_Reference_Ordering.xlsm</x:v>
      </x:c>
      <x:c r="AL425" s="9" t="str">
        <x:v>pi0.5 Results</x:v>
      </x:c>
      <x:c r="AM425" s="9" t="n">
        <x:v>125</x:v>
      </x:c>
      <x:c r="AN425" s="9" t="n">
        <x:v>125</x:v>
      </x:c>
    </x:row>
    <x:row r="426">
      <x:c r="A426" s="9" t="str">
        <x:v>Failure</x:v>
      </x:c>
      <x:c r="B426" s="9" t="str">
        <x:v>Ordinal Reference Ordering</x:v>
      </x:c>
      <x:c r="C426" s="10" t="n">
        <x:v>124</x:v>
      </x:c>
      <x:c r="D426" s="9" t="str">
        <x:v>Pick up the object that is second from the left and place it in the bowl.</x:v>
      </x:c>
      <x:c r="E426" s="9" t="str">
        <x:v>L1: airplane toy with propellers, L2: yellow pen, L3: red block, L4: blue tape ball</x:v>
      </x:c>
      <x:c r="F426" s="9" t="str">
        <x:v>yellow pen</x:v>
      </x:c>
      <x:c r="G426" s="9" t="str">
        <x:v>picked red block</x:v>
      </x:c>
      <x:c r="H426" s="9" t="str">
        <x:v>Cross-task ordinal counterfactual — red block distractor</x:v>
      </x:c>
      <x:c r="I426" s="9" t="str">
        <x:v>XO-RB-CF08</x:v>
      </x:c>
      <x:c r="J426" s="9" t="str">
        <x:v>Same scene; explicitly trained Ordering target (source episode 765)</x:v>
      </x:c>
      <x:c r="K426" s="9"/>
      <x:c r="L426" s="9"/>
      <x:c r="M426" s="9"/>
      <x:c r="N426" s="9" t="str">
        <x:v>5 — Red-block counterfactual pairs</x:v>
      </x:c>
      <x:c r="O426" s="9" t="str">
        <x:v>Build this new scene family exactly from the L1–L4 description and save a first-frame reference image.</x:v>
      </x:c>
      <x:c r="P426" s="9" t="str">
        <x:v>The same scene now targets a familiar Ordering object using the same canonical reasoning template and an exact training-supported ordinal prompt. The red block remains visible but is not the target.</x:v>
      </x:c>
      <x:c r="Q426" s="9"/>
      <x:c r="R426" s="10" t="n">
        <x:v>4</x:v>
      </x:c>
      <x:c r="S426" s="10"/>
      <x:c r="T426" s="9"/>
      <x:c r="U426" s="9"/>
      <x:c r="V426" s="9"/>
      <x:c r="W426" s="9" t="str">
        <x:v>XO-RB-CF08</x:v>
      </x:c>
      <x:c r="X426" s="10"/>
      <x:c r="Y426" s="10"/>
      <x:c r="Z426" s="9"/>
      <x:c r="AA426" s="9" t="str">
        <x:v>L2</x:v>
      </x:c>
      <x:c r="AB426" s="9" t="str">
        <x:v>second from left</x:v>
      </x:c>
      <x:c r="AC426" s="9"/>
      <x:c r="AD426" s="9"/>
      <x:c r="AE426" s="9"/>
      <x:c r="AF426" s="9"/>
      <x:c r="AG426" s="9"/>
      <x:c r="AH426" s="9"/>
      <x:c r="AI426" s="11"/>
      <x:c r="AJ426" s="9"/>
      <x:c r="AK426" s="9" t="str">
        <x:v>Eval_Ordinal_Reference_Ordering.xlsm</x:v>
      </x:c>
      <x:c r="AL426" s="9" t="str">
        <x:v>pi0.5 Results</x:v>
      </x:c>
      <x:c r="AM426" s="9" t="n">
        <x:v>126</x:v>
      </x:c>
      <x:c r="AN426" s="9" t="n">
        <x:v>126</x:v>
      </x:c>
    </x:row>
    <x:row r="427">
      <x:c r="A427" s="9" t="str">
        <x:v>Failure</x:v>
      </x:c>
      <x:c r="B427" s="9" t="str">
        <x:v>Ordinal Reference Ordering</x:v>
      </x:c>
      <x:c r="C427" s="10" t="n">
        <x:v>125</x:v>
      </x:c>
      <x:c r="D427" s="9" t="str">
        <x:v>Pick up the object that is second from the right and place it in the bowl.</x:v>
      </x:c>
      <x:c r="E427" s="9" t="str">
        <x:v>L1: airplane toy with propellers, L2: yellow pen, L3: red block, L4: blue tape ball</x:v>
      </x:c>
      <x:c r="F427" s="9" t="str">
        <x:v>red block</x:v>
      </x:c>
      <x:c r="G427" s="9" t="str">
        <x:v>picked yellow pen</x:v>
      </x:c>
      <x:c r="H427" s="9" t="str">
        <x:v>Cross-task ordinal transfer — red block target</x:v>
      </x:c>
      <x:c r="I427" s="9" t="str">
        <x:v>XO-RB-CF08</x:v>
      </x:c>
      <x:c r="J427" s="9" t="str">
        <x:v>Reasoning prompt; red block is the ordinal target</x:v>
      </x:c>
      <x:c r="K427" s="9" t="n">
        <x:v>124</x:v>
      </x:c>
      <x:c r="L427" s="9"/>
      <x:c r="M427" s="9"/>
      <x:c r="N427" s="9" t="str">
        <x:v>5 — Red-block counterfactual pairs</x:v>
      </x:c>
      <x:c r="O427" s="9" t="str">
        <x:v>Return the previously moved object to its marked position. Do not move any other object; only the prompt changes.</x:v>
      </x:c>
      <x:c r="P427" s="9" t="str">
        <x:v>The red block is globally familiar from Relational Placement but absent from Ordering training. The prompt never names it; ordinal reasoning is required. Pair order is counterbalanced across families.</x:v>
      </x:c>
      <x:c r="Q427" s="9"/>
      <x:c r="R427" s="10" t="n">
        <x:v>4</x:v>
      </x:c>
      <x:c r="S427" s="10"/>
      <x:c r="T427" s="9"/>
      <x:c r="U427" s="9"/>
      <x:c r="V427" s="9"/>
      <x:c r="W427" s="9" t="str">
        <x:v>XO-RB-CF08</x:v>
      </x:c>
      <x:c r="X427" s="10"/>
      <x:c r="Y427" s="10"/>
      <x:c r="Z427" s="9"/>
      <x:c r="AA427" s="9" t="str">
        <x:v>L3</x:v>
      </x:c>
      <x:c r="AB427" s="9" t="str">
        <x:v>second from right</x:v>
      </x:c>
      <x:c r="AC427" s="9"/>
      <x:c r="AD427" s="9"/>
      <x:c r="AE427" s="9"/>
      <x:c r="AF427" s="9"/>
      <x:c r="AG427" s="9"/>
      <x:c r="AH427" s="9"/>
      <x:c r="AI427" s="11"/>
      <x:c r="AJ427" s="9"/>
      <x:c r="AK427" s="9" t="str">
        <x:v>Eval_Ordinal_Reference_Ordering.xlsm</x:v>
      </x:c>
      <x:c r="AL427" s="9" t="str">
        <x:v>pi0.5 Results</x:v>
      </x:c>
      <x:c r="AM427" s="9" t="n">
        <x:v>127</x:v>
      </x:c>
      <x:c r="AN427" s="9" t="n">
        <x:v>127</x:v>
      </x:c>
    </x:row>
    <x:row r="428">
      <x:c r="A428" s="9" t="str">
        <x:v>Failure</x:v>
      </x:c>
      <x:c r="B428" s="9" t="str">
        <x:v>Ordinal Reference Ordering</x:v>
      </x:c>
      <x:c r="C428" s="10" t="n">
        <x:v>126</x:v>
      </x:c>
      <x:c r="D428" s="9" t="str">
        <x:v>Pick up the object that is first from the right and place it in the bowl.</x:v>
      </x:c>
      <x:c r="E428" s="9" t="str">
        <x:v>L1: airplane toy with propellers, L2: green highlighter, L3: blue tape ball, L4: red block</x:v>
      </x:c>
      <x:c r="F428" s="9" t="str">
        <x:v>red block</x:v>
      </x:c>
      <x:c r="G428" s="9" t="str">
        <x:v>picked airplane toy</x:v>
      </x:c>
      <x:c r="H428" s="9" t="str">
        <x:v>Cross-task ordinal transfer — red block target</x:v>
      </x:c>
      <x:c r="I428" s="9" t="str">
        <x:v>XO-RB-CF09</x:v>
      </x:c>
      <x:c r="J428" s="9" t="str">
        <x:v>Reasoning prompt; red block is the ordinal target</x:v>
      </x:c>
      <x:c r="K428" s="9"/>
      <x:c r="L428" s="9"/>
      <x:c r="M428" s="9"/>
      <x:c r="N428" s="9" t="str">
        <x:v>5 — Red-block counterfactual pairs</x:v>
      </x:c>
      <x:c r="O428" s="9" t="str">
        <x:v>Build this new scene family exactly from the L1–L4 description and save a first-frame reference image.</x:v>
      </x:c>
      <x:c r="P428" s="9" t="str">
        <x:v>The red block is globally familiar from Relational Placement but absent from Ordering training. The prompt never names it; ordinal reasoning is required. Pair order is counterbalanced across families.</x:v>
      </x:c>
      <x:c r="Q428" s="9"/>
      <x:c r="R428" s="10" t="n">
        <x:v>4</x:v>
      </x:c>
      <x:c r="S428" s="10"/>
      <x:c r="T428" s="9"/>
      <x:c r="U428" s="9"/>
      <x:c r="V428" s="9"/>
      <x:c r="W428" s="9" t="str">
        <x:v>XO-RB-CF09</x:v>
      </x:c>
      <x:c r="X428" s="10"/>
      <x:c r="Y428" s="10"/>
      <x:c r="Z428" s="9"/>
      <x:c r="AA428" s="9" t="str">
        <x:v>L4</x:v>
      </x:c>
      <x:c r="AB428" s="9" t="str">
        <x:v>first from right</x:v>
      </x:c>
      <x:c r="AC428" s="9"/>
      <x:c r="AD428" s="9"/>
      <x:c r="AE428" s="9"/>
      <x:c r="AF428" s="9"/>
      <x:c r="AG428" s="9"/>
      <x:c r="AH428" s="9"/>
      <x:c r="AI428" s="11"/>
      <x:c r="AJ428" s="9"/>
      <x:c r="AK428" s="9" t="str">
        <x:v>Eval_Ordinal_Reference_Ordering.xlsm</x:v>
      </x:c>
      <x:c r="AL428" s="9" t="str">
        <x:v>pi0.5 Results</x:v>
      </x:c>
      <x:c r="AM428" s="9" t="n">
        <x:v>128</x:v>
      </x:c>
      <x:c r="AN428" s="9" t="n">
        <x:v>128</x:v>
      </x:c>
    </x:row>
    <x:row r="429">
      <x:c r="A429" s="9" t="str">
        <x:v>Failure</x:v>
      </x:c>
      <x:c r="B429" s="9" t="str">
        <x:v>Ordinal Reference Ordering</x:v>
      </x:c>
      <x:c r="C429" s="10" t="n">
        <x:v>127</x:v>
      </x:c>
      <x:c r="D429" s="9" t="str">
        <x:v>Pick up the object that is second from the left and place it in the bowl.</x:v>
      </x:c>
      <x:c r="E429" s="9" t="str">
        <x:v>L1: airplane toy with propellers, L2: green highlighter, L3: blue tape ball, L4: red block</x:v>
      </x:c>
      <x:c r="F429" s="9" t="str">
        <x:v>green highlighter</x:v>
      </x:c>
      <x:c r="G429" s="9" t="str">
        <x:v>picked red block</x:v>
      </x:c>
      <x:c r="H429" s="9" t="str">
        <x:v>Cross-task ordinal counterfactual — red block distractor</x:v>
      </x:c>
      <x:c r="I429" s="9" t="str">
        <x:v>XO-RB-CF09</x:v>
      </x:c>
      <x:c r="J429" s="9" t="str">
        <x:v>Same scene; explicitly trained Ordering target (source episode 717)</x:v>
      </x:c>
      <x:c r="K429" s="9" t="n">
        <x:v>126</x:v>
      </x:c>
      <x:c r="L429" s="9"/>
      <x:c r="M429" s="9"/>
      <x:c r="N429" s="9" t="str">
        <x:v>5 — Red-block counterfactual pairs</x:v>
      </x:c>
      <x:c r="O429" s="9" t="str">
        <x:v>Return the previously moved object to its marked position. Do not move any other object; only the prompt changes.</x:v>
      </x:c>
      <x:c r="P429" s="9" t="str">
        <x:v>The same scene now targets a familiar Ordering object using the same canonical reasoning template and an exact training-supported ordinal prompt. The red block remains visible but is not the target.</x:v>
      </x:c>
      <x:c r="Q429" s="9"/>
      <x:c r="R429" s="10" t="n">
        <x:v>4</x:v>
      </x:c>
      <x:c r="S429" s="10"/>
      <x:c r="T429" s="9"/>
      <x:c r="U429" s="9"/>
      <x:c r="V429" s="9"/>
      <x:c r="W429" s="9" t="str">
        <x:v>XO-RB-CF09</x:v>
      </x:c>
      <x:c r="X429" s="10"/>
      <x:c r="Y429" s="10"/>
      <x:c r="Z429" s="9"/>
      <x:c r="AA429" s="9" t="str">
        <x:v>L2</x:v>
      </x:c>
      <x:c r="AB429" s="9" t="str">
        <x:v>second from left</x:v>
      </x:c>
      <x:c r="AC429" s="9"/>
      <x:c r="AD429" s="9"/>
      <x:c r="AE429" s="9"/>
      <x:c r="AF429" s="9"/>
      <x:c r="AG429" s="9"/>
      <x:c r="AH429" s="9"/>
      <x:c r="AI429" s="11"/>
      <x:c r="AJ429" s="9"/>
      <x:c r="AK429" s="9" t="str">
        <x:v>Eval_Ordinal_Reference_Ordering.xlsm</x:v>
      </x:c>
      <x:c r="AL429" s="9" t="str">
        <x:v>pi0.5 Results</x:v>
      </x:c>
      <x:c r="AM429" s="9" t="n">
        <x:v>129</x:v>
      </x:c>
      <x:c r="AN429" s="9" t="n">
        <x:v>129</x:v>
      </x:c>
    </x:row>
    <x:row r="430">
      <x:c r="A430" s="9" t="str">
        <x:v>Failure</x:v>
      </x:c>
      <x:c r="B430" s="9" t="str">
        <x:v>Ordinal Reference Ordering</x:v>
      </x:c>
      <x:c r="C430" s="10" t="n">
        <x:v>128</x:v>
      </x:c>
      <x:c r="D430" s="9" t="str">
        <x:v>Pick up the object that is third from the left and place it in the bowl.</x:v>
      </x:c>
      <x:c r="E430" s="9" t="str">
        <x:v>L1: blue tape ball, L2: airplane toy with propellers, L3: yellow pen, L4: red block</x:v>
      </x:c>
      <x:c r="F430" s="9" t="str">
        <x:v>yellow pen</x:v>
      </x:c>
      <x:c r="G430" s="9" t="str">
        <x:v>picked airplane toy</x:v>
      </x:c>
      <x:c r="H430" s="9" t="str">
        <x:v>Cross-task ordinal counterfactual — red block distractor</x:v>
      </x:c>
      <x:c r="I430" s="9" t="str">
        <x:v>XO-RB-CF10</x:v>
      </x:c>
      <x:c r="J430" s="9" t="str">
        <x:v>Same scene; explicitly trained Ordering target (source episode 776)</x:v>
      </x:c>
      <x:c r="K430" s="9"/>
      <x:c r="L430" s="9"/>
      <x:c r="M430" s="9"/>
      <x:c r="N430" s="9" t="str">
        <x:v>5 — Red-block counterfactual pairs</x:v>
      </x:c>
      <x:c r="O430" s="9" t="str">
        <x:v>Build this new scene family exactly from the L1–L4 description and save a first-frame reference image.</x:v>
      </x:c>
      <x:c r="P430" s="9" t="str">
        <x:v>The same scene now targets a familiar Ordering object using the same canonical reasoning template and an exact training-supported ordinal prompt. The red block remains visible but is not the target.</x:v>
      </x:c>
      <x:c r="Q430" s="9"/>
      <x:c r="R430" s="10" t="n">
        <x:v>4</x:v>
      </x:c>
      <x:c r="S430" s="10"/>
      <x:c r="T430" s="9"/>
      <x:c r="U430" s="9"/>
      <x:c r="V430" s="9"/>
      <x:c r="W430" s="9" t="str">
        <x:v>XO-RB-CF10</x:v>
      </x:c>
      <x:c r="X430" s="10"/>
      <x:c r="Y430" s="10"/>
      <x:c r="Z430" s="9"/>
      <x:c r="AA430" s="9" t="str">
        <x:v>L3</x:v>
      </x:c>
      <x:c r="AB430" s="9" t="str">
        <x:v>third from left</x:v>
      </x:c>
      <x:c r="AC430" s="9"/>
      <x:c r="AD430" s="9"/>
      <x:c r="AE430" s="9"/>
      <x:c r="AF430" s="9"/>
      <x:c r="AG430" s="9"/>
      <x:c r="AH430" s="9"/>
      <x:c r="AI430" s="11"/>
      <x:c r="AJ430" s="9"/>
      <x:c r="AK430" s="9" t="str">
        <x:v>Eval_Ordinal_Reference_Ordering.xlsm</x:v>
      </x:c>
      <x:c r="AL430" s="9" t="str">
        <x:v>pi0.5 Results</x:v>
      </x:c>
      <x:c r="AM430" s="9" t="n">
        <x:v>130</x:v>
      </x:c>
      <x:c r="AN430" s="9" t="n">
        <x:v>130</x:v>
      </x:c>
    </x:row>
    <x:row r="431">
      <x:c r="A431" s="9" t="str">
        <x:v>Success</x:v>
      </x:c>
      <x:c r="B431" s="9" t="str">
        <x:v>Ordinal Reference Ordering</x:v>
      </x:c>
      <x:c r="C431" s="10" t="n">
        <x:v>129</x:v>
      </x:c>
      <x:c r="D431" s="9" t="str">
        <x:v>Pick up the object that is fourth from the left and place it in the bowl.</x:v>
      </x:c>
      <x:c r="E431" s="9" t="str">
        <x:v>L1: blue tape ball, L2: airplane toy with propellers, L3: yellow pen, L4: red block</x:v>
      </x:c>
      <x:c r="F431" s="9" t="str">
        <x:v>red block</x:v>
      </x:c>
      <x:c r="G431" s="9"/>
      <x:c r="H431" s="9" t="str">
        <x:v>Cross-task ordinal transfer — red block target</x:v>
      </x:c>
      <x:c r="I431" s="9" t="str">
        <x:v>XO-RB-CF10</x:v>
      </x:c>
      <x:c r="J431" s="9" t="str">
        <x:v>Reasoning prompt; red block is the ordinal target</x:v>
      </x:c>
      <x:c r="K431" s="9" t="n">
        <x:v>128</x:v>
      </x:c>
      <x:c r="L431" s="9"/>
      <x:c r="M431" s="9"/>
      <x:c r="N431" s="9" t="str">
        <x:v>5 — Red-block counterfactual pairs</x:v>
      </x:c>
      <x:c r="O431" s="9" t="str">
        <x:v>Return the previously moved object to its marked position. Do not move any other object; only the prompt changes.</x:v>
      </x:c>
      <x:c r="P431" s="9" t="str">
        <x:v>The red block is globally familiar from Relational Placement but absent from Ordering training. The prompt never names it; ordinal reasoning is required. Pair order is counterbalanced across families.</x:v>
      </x:c>
      <x:c r="Q431" s="9"/>
      <x:c r="R431" s="10" t="n">
        <x:v>4</x:v>
      </x:c>
      <x:c r="S431" s="10"/>
      <x:c r="T431" s="9"/>
      <x:c r="U431" s="9"/>
      <x:c r="V431" s="9"/>
      <x:c r="W431" s="9" t="str">
        <x:v>XO-RB-CF10</x:v>
      </x:c>
      <x:c r="X431" s="10"/>
      <x:c r="Y431" s="10"/>
      <x:c r="Z431" s="9"/>
      <x:c r="AA431" s="9" t="str">
        <x:v>L4</x:v>
      </x:c>
      <x:c r="AB431" s="9" t="str">
        <x:v>fourth from left</x:v>
      </x:c>
      <x:c r="AC431" s="9"/>
      <x:c r="AD431" s="9"/>
      <x:c r="AE431" s="9"/>
      <x:c r="AF431" s="9"/>
      <x:c r="AG431" s="9"/>
      <x:c r="AH431" s="9"/>
      <x:c r="AI431" s="11"/>
      <x:c r="AJ431" s="9"/>
      <x:c r="AK431" s="9" t="str">
        <x:v>Eval_Ordinal_Reference_Ordering.xlsm</x:v>
      </x:c>
      <x:c r="AL431" s="9" t="str">
        <x:v>pi0.5 Results</x:v>
      </x:c>
      <x:c r="AM431" s="9" t="n">
        <x:v>131</x:v>
      </x:c>
      <x:c r="AN431" s="9" t="n">
        <x:v>131</x:v>
      </x:c>
    </x:row>
    <x:row r="432">
      <x:c r="A432" s="9" t="str">
        <x:v>Failure</x:v>
      </x:c>
      <x:c r="B432" s="9" t="str">
        <x:v>Ordinal Reference Ordering</x:v>
      </x:c>
      <x:c r="C432" s="10" t="n">
        <x:v>130</x:v>
      </x:c>
      <x:c r="D432" s="9" t="str">
        <x:v>Pick up the object that is fourth from the left and place it in the bowl.</x:v>
      </x:c>
      <x:c r="E432" s="9" t="str">
        <x:v>L1: airplane toy with propellers, L2: blue tape ball, L3: green highlighter</x:v>
      </x:c>
      <x:c r="F432" s="9" t="str">
        <x:v>None — requested ordinal does not exist</x:v>
      </x:c>
      <x:c r="G432" s="9" t="str">
        <x:v>picked airplane toy</x:v>
      </x:c>
      <x:c r="H432" s="9" t="str">
        <x:v>Invalid ordinal / no-movement diagnostic</x:v>
      </x:c>
      <x:c r="I432" s="9" t="str">
        <x:v>NOOP-INV01</x:v>
      </x:c>
      <x:c r="J432" s="9" t="str">
        <x:v>Request ordinal 4 in an n=3 scene</x:v>
      </x:c>
      <x:c r="K432" s="9"/>
      <x:c r="L432" s="9"/>
      <x:c r="M432" s="9"/>
      <x:c r="N432" s="9" t="str">
        <x:v>6 — Invalid-ordinal no-movement pairs</x:v>
      </x:c>
      <x:c r="O432" s="9" t="str">
        <x:v>Build this new scene family exactly from the L1–L4 description and save a first-frame reference image.</x:v>
      </x:c>
      <x:c r="P432" s="9" t="str">
        <x:v>There is no valid referent. Success requires abstaining: do not grasp, displace, or place any object. Report this separately because training contains no explicit no-operation examples.</x:v>
      </x:c>
      <x:c r="Q432" s="9"/>
      <x:c r="R432" s="10" t="n">
        <x:v>3</x:v>
      </x:c>
      <x:c r="S432" s="10"/>
      <x:c r="T432" s="9"/>
      <x:c r="U432" s="9"/>
      <x:c r="V432" s="9"/>
      <x:c r="W432" s="9" t="str">
        <x:v>NOOP-INV01</x:v>
      </x:c>
      <x:c r="X432" s="10"/>
      <x:c r="Y432" s="10"/>
      <x:c r="Z432" s="9"/>
      <x:c r="AA432" s="9" t="str">
        <x:v>N/A</x:v>
      </x:c>
      <x:c r="AB432" s="9" t="str">
        <x:v>fourth from left</x:v>
      </x:c>
      <x:c r="AC432" s="9"/>
      <x:c r="AD432" s="9"/>
      <x:c r="AE432" s="9"/>
      <x:c r="AF432" s="9"/>
      <x:c r="AG432" s="9"/>
      <x:c r="AH432" s="9"/>
      <x:c r="AI432" s="11"/>
      <x:c r="AJ432" s="9"/>
      <x:c r="AK432" s="9" t="str">
        <x:v>Eval_Ordinal_Reference_Ordering.xlsm</x:v>
      </x:c>
      <x:c r="AL432" s="9" t="str">
        <x:v>pi0.5 Results</x:v>
      </x:c>
      <x:c r="AM432" s="9" t="n">
        <x:v>132</x:v>
      </x:c>
      <x:c r="AN432" s="9" t="n">
        <x:v>132</x:v>
      </x:c>
    </x:row>
    <x:row r="433">
      <x:c r="A433" s="9" t="str">
        <x:v>Failure</x:v>
      </x:c>
      <x:c r="B433" s="9" t="str">
        <x:v>Ordinal Reference Ordering</x:v>
      </x:c>
      <x:c r="C433" s="10" t="n">
        <x:v>131</x:v>
      </x:c>
      <x:c r="D433" s="9" t="str">
        <x:v>Pick up the object that is fourth from the right and place it in the bowl.</x:v>
      </x:c>
      <x:c r="E433" s="9" t="str">
        <x:v>L1: airplane toy with propellers, L2: blue tape ball, L3: green highlighter</x:v>
      </x:c>
      <x:c r="F433" s="9" t="str">
        <x:v>None — requested ordinal does not exist</x:v>
      </x:c>
      <x:c r="G433" s="9" t="str">
        <x:v>picked airplane toy</x:v>
      </x:c>
      <x:c r="H433" s="9" t="str">
        <x:v>Invalid ordinal / no-movement diagnostic</x:v>
      </x:c>
      <x:c r="I433" s="9" t="str">
        <x:v>NOOP-INV01</x:v>
      </x:c>
      <x:c r="J433" s="9" t="str">
        <x:v>Request ordinal 4 in an n=3 scene</x:v>
      </x:c>
      <x:c r="K433" s="9" t="n">
        <x:v>130</x:v>
      </x:c>
      <x:c r="L433" s="9"/>
      <x:c r="M433" s="9"/>
      <x:c r="N433" s="9" t="str">
        <x:v>6 — Invalid-ordinal no-movement pairs</x:v>
      </x:c>
      <x:c r="O433" s="9" t="str">
        <x:v>Keep the exact scene unchanged; switch only the impossible ordinal prompt.</x:v>
      </x:c>
      <x:c r="P433" s="9" t="str">
        <x:v>There is no valid referent. Success requires abstaining: do not grasp, displace, or place any object. Report this separately because training contains no explicit no-operation examples.</x:v>
      </x:c>
      <x:c r="Q433" s="9"/>
      <x:c r="R433" s="10" t="n">
        <x:v>3</x:v>
      </x:c>
      <x:c r="S433" s="10"/>
      <x:c r="T433" s="9"/>
      <x:c r="U433" s="9"/>
      <x:c r="V433" s="9"/>
      <x:c r="W433" s="9" t="str">
        <x:v>NOOP-INV01</x:v>
      </x:c>
      <x:c r="X433" s="10"/>
      <x:c r="Y433" s="10"/>
      <x:c r="Z433" s="9"/>
      <x:c r="AA433" s="9" t="str">
        <x:v>N/A</x:v>
      </x:c>
      <x:c r="AB433" s="9" t="str">
        <x:v>fourth from right</x:v>
      </x:c>
      <x:c r="AC433" s="9"/>
      <x:c r="AD433" s="9"/>
      <x:c r="AE433" s="9"/>
      <x:c r="AF433" s="9"/>
      <x:c r="AG433" s="9"/>
      <x:c r="AH433" s="9"/>
      <x:c r="AI433" s="11"/>
      <x:c r="AJ433" s="9"/>
      <x:c r="AK433" s="9" t="str">
        <x:v>Eval_Ordinal_Reference_Ordering.xlsm</x:v>
      </x:c>
      <x:c r="AL433" s="9" t="str">
        <x:v>pi0.5 Results</x:v>
      </x:c>
      <x:c r="AM433" s="9" t="n">
        <x:v>133</x:v>
      </x:c>
      <x:c r="AN433" s="9" t="n">
        <x:v>133</x:v>
      </x:c>
    </x:row>
    <x:row r="434">
      <x:c r="A434" s="9" t="str">
        <x:v>Failure</x:v>
      </x:c>
      <x:c r="B434" s="9" t="str">
        <x:v>Ordinal Reference Ordering</x:v>
      </x:c>
      <x:c r="C434" s="10" t="n">
        <x:v>132</x:v>
      </x:c>
      <x:c r="D434" s="9" t="str">
        <x:v>Pick up the object that is fourth from the right and place it in the bowl.</x:v>
      </x:c>
      <x:c r="E434" s="9" t="str">
        <x:v>L1: yellow pen, L2: green highlighter, L3: blue tape ball</x:v>
      </x:c>
      <x:c r="F434" s="9" t="str">
        <x:v>None — requested ordinal does not exist</x:v>
      </x:c>
      <x:c r="G434" s="9" t="str">
        <x:v>picked tape ball</x:v>
      </x:c>
      <x:c r="H434" s="9" t="str">
        <x:v>Invalid ordinal / no-movement diagnostic</x:v>
      </x:c>
      <x:c r="I434" s="9" t="str">
        <x:v>NOOP-INV02</x:v>
      </x:c>
      <x:c r="J434" s="9" t="str">
        <x:v>Request ordinal 4 in an n=3 scene</x:v>
      </x:c>
      <x:c r="K434" s="9"/>
      <x:c r="L434" s="9"/>
      <x:c r="M434" s="9"/>
      <x:c r="N434" s="9" t="str">
        <x:v>6 — Invalid-ordinal no-movement pairs</x:v>
      </x:c>
      <x:c r="O434" s="9" t="str">
        <x:v>Build this new scene family exactly from the L1–L4 description and save a first-frame reference image.</x:v>
      </x:c>
      <x:c r="P434" s="9" t="str">
        <x:v>There is no valid referent. Success requires abstaining: do not grasp, displace, or place any object. Report this separately because training contains no explicit no-operation examples.</x:v>
      </x:c>
      <x:c r="Q434" s="9"/>
      <x:c r="R434" s="10" t="n">
        <x:v>3</x:v>
      </x:c>
      <x:c r="S434" s="10"/>
      <x:c r="T434" s="9"/>
      <x:c r="U434" s="9"/>
      <x:c r="V434" s="9"/>
      <x:c r="W434" s="9" t="str">
        <x:v>NOOP-INV02</x:v>
      </x:c>
      <x:c r="X434" s="10"/>
      <x:c r="Y434" s="10"/>
      <x:c r="Z434" s="9"/>
      <x:c r="AA434" s="9" t="str">
        <x:v>N/A</x:v>
      </x:c>
      <x:c r="AB434" s="9" t="str">
        <x:v>fourth from right</x:v>
      </x:c>
      <x:c r="AC434" s="9"/>
      <x:c r="AD434" s="9"/>
      <x:c r="AE434" s="9"/>
      <x:c r="AF434" s="9"/>
      <x:c r="AG434" s="9"/>
      <x:c r="AH434" s="9"/>
      <x:c r="AI434" s="11"/>
      <x:c r="AJ434" s="9"/>
      <x:c r="AK434" s="9" t="str">
        <x:v>Eval_Ordinal_Reference_Ordering.xlsm</x:v>
      </x:c>
      <x:c r="AL434" s="9" t="str">
        <x:v>pi0.5 Results</x:v>
      </x:c>
      <x:c r="AM434" s="9" t="n">
        <x:v>134</x:v>
      </x:c>
      <x:c r="AN434" s="9" t="n">
        <x:v>134</x:v>
      </x:c>
    </x:row>
    <x:row r="435">
      <x:c r="A435" s="9" t="str">
        <x:v>Failure</x:v>
      </x:c>
      <x:c r="B435" s="9" t="str">
        <x:v>Ordinal Reference Ordering</x:v>
      </x:c>
      <x:c r="C435" s="10" t="n">
        <x:v>133</x:v>
      </x:c>
      <x:c r="D435" s="9" t="str">
        <x:v>Pick up the object that is fourth from the left and place it in the bowl.</x:v>
      </x:c>
      <x:c r="E435" s="9" t="str">
        <x:v>L1: yellow pen, L2: green highlighter, L3: blue tape ball</x:v>
      </x:c>
      <x:c r="F435" s="9" t="str">
        <x:v>None — requested ordinal does not exist</x:v>
      </x:c>
      <x:c r="G435" s="9" t="str">
        <x:v>picked tape ball</x:v>
      </x:c>
      <x:c r="H435" s="9" t="str">
        <x:v>Invalid ordinal / no-movement diagnostic</x:v>
      </x:c>
      <x:c r="I435" s="9" t="str">
        <x:v>NOOP-INV02</x:v>
      </x:c>
      <x:c r="J435" s="9" t="str">
        <x:v>Request ordinal 4 in an n=3 scene</x:v>
      </x:c>
      <x:c r="K435" s="9" t="n">
        <x:v>132</x:v>
      </x:c>
      <x:c r="L435" s="9"/>
      <x:c r="M435" s="9"/>
      <x:c r="N435" s="9" t="str">
        <x:v>6 — Invalid-ordinal no-movement pairs</x:v>
      </x:c>
      <x:c r="O435" s="9" t="str">
        <x:v>Keep the exact scene unchanged; switch only the impossible ordinal prompt.</x:v>
      </x:c>
      <x:c r="P435" s="9" t="str">
        <x:v>There is no valid referent. Success requires abstaining: do not grasp, displace, or place any object. Report this separately because training contains no explicit no-operation examples.</x:v>
      </x:c>
      <x:c r="Q435" s="9"/>
      <x:c r="R435" s="10" t="n">
        <x:v>3</x:v>
      </x:c>
      <x:c r="S435" s="10"/>
      <x:c r="T435" s="9"/>
      <x:c r="U435" s="9"/>
      <x:c r="V435" s="9"/>
      <x:c r="W435" s="9" t="str">
        <x:v>NOOP-INV02</x:v>
      </x:c>
      <x:c r="X435" s="10"/>
      <x:c r="Y435" s="10"/>
      <x:c r="Z435" s="9"/>
      <x:c r="AA435" s="9" t="str">
        <x:v>N/A</x:v>
      </x:c>
      <x:c r="AB435" s="9" t="str">
        <x:v>fourth from left</x:v>
      </x:c>
      <x:c r="AC435" s="9"/>
      <x:c r="AD435" s="9"/>
      <x:c r="AE435" s="9"/>
      <x:c r="AF435" s="9"/>
      <x:c r="AG435" s="9"/>
      <x:c r="AH435" s="9"/>
      <x:c r="AI435" s="11"/>
      <x:c r="AJ435" s="9"/>
      <x:c r="AK435" s="9" t="str">
        <x:v>Eval_Ordinal_Reference_Ordering.xlsm</x:v>
      </x:c>
      <x:c r="AL435" s="9" t="str">
        <x:v>pi0.5 Results</x:v>
      </x:c>
      <x:c r="AM435" s="9" t="n">
        <x:v>135</x:v>
      </x:c>
      <x:c r="AN435" s="9" t="n">
        <x:v>135</x:v>
      </x:c>
    </x:row>
    <x:row r="436">
      <x:c r="A436" s="9" t="str">
        <x:v>Failure</x:v>
      </x:c>
      <x:c r="B436" s="9" t="str">
        <x:v>Ordinal Reference Ordering</x:v>
      </x:c>
      <x:c r="C436" s="10" t="n">
        <x:v>134</x:v>
      </x:c>
      <x:c r="D436" s="9" t="str">
        <x:v>Pick up the object that is fourth from the left and place it in the bowl.</x:v>
      </x:c>
      <x:c r="E436" s="9" t="str">
        <x:v>L1: blue tape ball, L2: airplane toy with propellers, L3: yellow pen</x:v>
      </x:c>
      <x:c r="F436" s="9" t="str">
        <x:v>None — requested ordinal does not exist</x:v>
      </x:c>
      <x:c r="G436" s="9" t="str">
        <x:v>picked airplane toy</x:v>
      </x:c>
      <x:c r="H436" s="9" t="str">
        <x:v>Invalid ordinal / no-movement diagnostic</x:v>
      </x:c>
      <x:c r="I436" s="9" t="str">
        <x:v>NOOP-INV03</x:v>
      </x:c>
      <x:c r="J436" s="9" t="str">
        <x:v>Request ordinal 4 in an n=3 scene</x:v>
      </x:c>
      <x:c r="K436" s="9"/>
      <x:c r="L436" s="9"/>
      <x:c r="M436" s="9"/>
      <x:c r="N436" s="9" t="str">
        <x:v>6 — Invalid-ordinal no-movement pairs</x:v>
      </x:c>
      <x:c r="O436" s="9" t="str">
        <x:v>Build this new scene family exactly from the L1–L4 description and save a first-frame reference image.</x:v>
      </x:c>
      <x:c r="P436" s="9" t="str">
        <x:v>There is no valid referent. Success requires abstaining: do not grasp, displace, or place any object. Report this separately because training contains no explicit no-operation examples.</x:v>
      </x:c>
      <x:c r="Q436" s="9"/>
      <x:c r="R436" s="10" t="n">
        <x:v>3</x:v>
      </x:c>
      <x:c r="S436" s="10"/>
      <x:c r="T436" s="9"/>
      <x:c r="U436" s="9"/>
      <x:c r="V436" s="9"/>
      <x:c r="W436" s="9" t="str">
        <x:v>NOOP-INV03</x:v>
      </x:c>
      <x:c r="X436" s="10"/>
      <x:c r="Y436" s="10"/>
      <x:c r="Z436" s="9"/>
      <x:c r="AA436" s="9" t="str">
        <x:v>N/A</x:v>
      </x:c>
      <x:c r="AB436" s="9" t="str">
        <x:v>fourth from left</x:v>
      </x:c>
      <x:c r="AC436" s="9"/>
      <x:c r="AD436" s="9"/>
      <x:c r="AE436" s="9"/>
      <x:c r="AF436" s="9"/>
      <x:c r="AG436" s="9"/>
      <x:c r="AH436" s="9"/>
      <x:c r="AI436" s="11"/>
      <x:c r="AJ436" s="9"/>
      <x:c r="AK436" s="9" t="str">
        <x:v>Eval_Ordinal_Reference_Ordering.xlsm</x:v>
      </x:c>
      <x:c r="AL436" s="9" t="str">
        <x:v>pi0.5 Results</x:v>
      </x:c>
      <x:c r="AM436" s="9" t="n">
        <x:v>136</x:v>
      </x:c>
      <x:c r="AN436" s="9" t="n">
        <x:v>136</x:v>
      </x:c>
    </x:row>
    <x:row r="437">
      <x:c r="A437" s="9" t="str">
        <x:v>Failure</x:v>
      </x:c>
      <x:c r="B437" s="9" t="str">
        <x:v>Ordinal Reference Ordering</x:v>
      </x:c>
      <x:c r="C437" s="10" t="n">
        <x:v>135</x:v>
      </x:c>
      <x:c r="D437" s="9" t="str">
        <x:v>Pick up the object that is fourth from the right and place it in the bowl.</x:v>
      </x:c>
      <x:c r="E437" s="9" t="str">
        <x:v>L1: blue tape ball, L2: airplane toy with propellers, L3: yellow pen</x:v>
      </x:c>
      <x:c r="F437" s="9" t="str">
        <x:v>None — requested ordinal does not exist</x:v>
      </x:c>
      <x:c r="G437" s="9" t="str">
        <x:v>picked airplane toy</x:v>
      </x:c>
      <x:c r="H437" s="9" t="str">
        <x:v>Invalid ordinal / no-movement diagnostic</x:v>
      </x:c>
      <x:c r="I437" s="9" t="str">
        <x:v>NOOP-INV03</x:v>
      </x:c>
      <x:c r="J437" s="9" t="str">
        <x:v>Request ordinal 4 in an n=3 scene</x:v>
      </x:c>
      <x:c r="K437" s="9" t="n">
        <x:v>134</x:v>
      </x:c>
      <x:c r="L437" s="9"/>
      <x:c r="M437" s="9"/>
      <x:c r="N437" s="9" t="str">
        <x:v>6 — Invalid-ordinal no-movement pairs</x:v>
      </x:c>
      <x:c r="O437" s="9" t="str">
        <x:v>Keep the exact scene unchanged; switch only the impossible ordinal prompt.</x:v>
      </x:c>
      <x:c r="P437" s="9" t="str">
        <x:v>There is no valid referent. Success requires abstaining: do not grasp, displace, or place any object. Report this separately because training contains no explicit no-operation examples.</x:v>
      </x:c>
      <x:c r="Q437" s="9"/>
      <x:c r="R437" s="10" t="n">
        <x:v>3</x:v>
      </x:c>
      <x:c r="S437" s="10"/>
      <x:c r="T437" s="9"/>
      <x:c r="U437" s="9"/>
      <x:c r="V437" s="9"/>
      <x:c r="W437" s="9" t="str">
        <x:v>NOOP-INV03</x:v>
      </x:c>
      <x:c r="X437" s="10"/>
      <x:c r="Y437" s="10"/>
      <x:c r="Z437" s="9"/>
      <x:c r="AA437" s="9" t="str">
        <x:v>N/A</x:v>
      </x:c>
      <x:c r="AB437" s="9" t="str">
        <x:v>fourth from right</x:v>
      </x:c>
      <x:c r="AC437" s="9"/>
      <x:c r="AD437" s="9"/>
      <x:c r="AE437" s="9"/>
      <x:c r="AF437" s="9"/>
      <x:c r="AG437" s="9"/>
      <x:c r="AH437" s="9"/>
      <x:c r="AI437" s="11"/>
      <x:c r="AJ437" s="9"/>
      <x:c r="AK437" s="9" t="str">
        <x:v>Eval_Ordinal_Reference_Ordering.xlsm</x:v>
      </x:c>
      <x:c r="AL437" s="9" t="str">
        <x:v>pi0.5 Results</x:v>
      </x:c>
      <x:c r="AM437" s="9" t="n">
        <x:v>137</x:v>
      </x:c>
      <x:c r="AN437" s="9" t="n">
        <x:v>137</x:v>
      </x:c>
    </x:row>
    <x:row r="438">
      <x:c r="A438" s="9" t="str">
        <x:v>Failure</x:v>
      </x:c>
      <x:c r="B438" s="9" t="str">
        <x:v>Ordinal Reference Ordering</x:v>
      </x:c>
      <x:c r="C438" s="10" t="n">
        <x:v>136</x:v>
      </x:c>
      <x:c r="D438" s="9" t="str">
        <x:v>Pick up the object that is fourth from the right and place it in the bowl.</x:v>
      </x:c>
      <x:c r="E438" s="9" t="str">
        <x:v>L1: green highlighter, L2: yellow pen, L3: airplane toy with propellers</x:v>
      </x:c>
      <x:c r="F438" s="9" t="str">
        <x:v>None — requested ordinal does not exist</x:v>
      </x:c>
      <x:c r="G438" s="9" t="str">
        <x:v>picked airplane toy</x:v>
      </x:c>
      <x:c r="H438" s="9" t="str">
        <x:v>Invalid ordinal / no-movement diagnostic</x:v>
      </x:c>
      <x:c r="I438" s="9" t="str">
        <x:v>NOOP-INV04</x:v>
      </x:c>
      <x:c r="J438" s="9" t="str">
        <x:v>Request ordinal 4 in an n=3 scene</x:v>
      </x:c>
      <x:c r="K438" s="9"/>
      <x:c r="L438" s="9"/>
      <x:c r="M438" s="9"/>
      <x:c r="N438" s="9" t="str">
        <x:v>6 — Invalid-ordinal no-movement pairs</x:v>
      </x:c>
      <x:c r="O438" s="9" t="str">
        <x:v>Build this new scene family exactly from the L1–L4 description and save a first-frame reference image.</x:v>
      </x:c>
      <x:c r="P438" s="9" t="str">
        <x:v>There is no valid referent. Success requires abstaining: do not grasp, displace, or place any object. Report this separately because training contains no explicit no-operation examples.</x:v>
      </x:c>
      <x:c r="Q438" s="9"/>
      <x:c r="R438" s="10" t="n">
        <x:v>3</x:v>
      </x:c>
      <x:c r="S438" s="10"/>
      <x:c r="T438" s="9"/>
      <x:c r="U438" s="9"/>
      <x:c r="V438" s="9"/>
      <x:c r="W438" s="9" t="str">
        <x:v>NOOP-INV04</x:v>
      </x:c>
      <x:c r="X438" s="10"/>
      <x:c r="Y438" s="10"/>
      <x:c r="Z438" s="9"/>
      <x:c r="AA438" s="9" t="str">
        <x:v>N/A</x:v>
      </x:c>
      <x:c r="AB438" s="9" t="str">
        <x:v>fourth from right</x:v>
      </x:c>
      <x:c r="AC438" s="9"/>
      <x:c r="AD438" s="9"/>
      <x:c r="AE438" s="9"/>
      <x:c r="AF438" s="9"/>
      <x:c r="AG438" s="9"/>
      <x:c r="AH438" s="9"/>
      <x:c r="AI438" s="11"/>
      <x:c r="AJ438" s="9"/>
      <x:c r="AK438" s="9" t="str">
        <x:v>Eval_Ordinal_Reference_Ordering.xlsm</x:v>
      </x:c>
      <x:c r="AL438" s="9" t="str">
        <x:v>pi0.5 Results</x:v>
      </x:c>
      <x:c r="AM438" s="9" t="n">
        <x:v>138</x:v>
      </x:c>
      <x:c r="AN438" s="9" t="n">
        <x:v>138</x:v>
      </x:c>
    </x:row>
    <x:row r="439">
      <x:c r="A439" s="9" t="str">
        <x:v>Failure</x:v>
      </x:c>
      <x:c r="B439" s="9" t="str">
        <x:v>Ordinal Reference Ordering</x:v>
      </x:c>
      <x:c r="C439" s="10" t="n">
        <x:v>137</x:v>
      </x:c>
      <x:c r="D439" s="9" t="str">
        <x:v>Pick up the object that is fourth from the left and place it in the bowl.</x:v>
      </x:c>
      <x:c r="E439" s="9" t="str">
        <x:v>L1: green highlighter, L2: yellow pen, L3: airplane toy with propellers</x:v>
      </x:c>
      <x:c r="F439" s="9" t="str">
        <x:v>None — requested ordinal does not exist</x:v>
      </x:c>
      <x:c r="G439" s="9" t="str">
        <x:v>picked airplane toy, dropped it not in the bowl, then went for the yellow pen </x:v>
      </x:c>
      <x:c r="H439" s="9" t="str">
        <x:v>Invalid ordinal / no-movement diagnostic</x:v>
      </x:c>
      <x:c r="I439" s="9" t="str">
        <x:v>NOOP-INV04</x:v>
      </x:c>
      <x:c r="J439" s="9" t="str">
        <x:v>Request ordinal 4 in an n=3 scene</x:v>
      </x:c>
      <x:c r="K439" s="9" t="n">
        <x:v>136</x:v>
      </x:c>
      <x:c r="L439" s="9"/>
      <x:c r="M439" s="9"/>
      <x:c r="N439" s="9" t="str">
        <x:v>6 — Invalid-ordinal no-movement pairs</x:v>
      </x:c>
      <x:c r="O439" s="9" t="str">
        <x:v>Keep the exact scene unchanged; switch only the impossible ordinal prompt.</x:v>
      </x:c>
      <x:c r="P439" s="9" t="str">
        <x:v>There is no valid referent. Success requires abstaining: do not grasp, displace, or place any object. Report this separately because training contains no explicit no-operation examples.</x:v>
      </x:c>
      <x:c r="Q439" s="9"/>
      <x:c r="R439" s="10" t="n">
        <x:v>3</x:v>
      </x:c>
      <x:c r="S439" s="10"/>
      <x:c r="T439" s="9"/>
      <x:c r="U439" s="9"/>
      <x:c r="V439" s="9"/>
      <x:c r="W439" s="9" t="str">
        <x:v>NOOP-INV04</x:v>
      </x:c>
      <x:c r="X439" s="10"/>
      <x:c r="Y439" s="10"/>
      <x:c r="Z439" s="9"/>
      <x:c r="AA439" s="9" t="str">
        <x:v>N/A</x:v>
      </x:c>
      <x:c r="AB439" s="9" t="str">
        <x:v>fourth from left</x:v>
      </x:c>
      <x:c r="AC439" s="9"/>
      <x:c r="AD439" s="9"/>
      <x:c r="AE439" s="9"/>
      <x:c r="AF439" s="9"/>
      <x:c r="AG439" s="9"/>
      <x:c r="AH439" s="9"/>
      <x:c r="AI439" s="11"/>
      <x:c r="AJ439" s="9"/>
      <x:c r="AK439" s="9" t="str">
        <x:v>Eval_Ordinal_Reference_Ordering.xlsm</x:v>
      </x:c>
      <x:c r="AL439" s="9" t="str">
        <x:v>pi0.5 Results</x:v>
      </x:c>
      <x:c r="AM439" s="9" t="n">
        <x:v>139</x:v>
      </x:c>
      <x:c r="AN439" s="9" t="n">
        <x:v>139</x:v>
      </x:c>
    </x:row>
    <x:row r="440">
      <x:c r="A440" s="9" t="str">
        <x:v>Failure</x:v>
      </x:c>
      <x:c r="B440" s="9" t="str">
        <x:v>Ordinal Reference Ordering</x:v>
      </x:c>
      <x:c r="C440" s="10" t="n">
        <x:v>138</x:v>
      </x:c>
      <x:c r="D440" s="9" t="str">
        <x:v>Pick up the object that is fourth from the left and place it in the bowl.</x:v>
      </x:c>
      <x:c r="E440" s="9" t="str">
        <x:v>L1: airplane toy with propellers, L2: yellow pen, L3: blue tape ball</x:v>
      </x:c>
      <x:c r="F440" s="9" t="str">
        <x:v>None — requested ordinal does not exist</x:v>
      </x:c>
      <x:c r="G440" s="9" t="str">
        <x:v>picked tape ball</x:v>
      </x:c>
      <x:c r="H440" s="9" t="str">
        <x:v>Invalid ordinal / no-movement diagnostic</x:v>
      </x:c>
      <x:c r="I440" s="9" t="str">
        <x:v>NOOP-INV05</x:v>
      </x:c>
      <x:c r="J440" s="9" t="str">
        <x:v>Request ordinal 4 in an n=3 scene</x:v>
      </x:c>
      <x:c r="K440" s="9"/>
      <x:c r="L440" s="9"/>
      <x:c r="M440" s="9"/>
      <x:c r="N440" s="9" t="str">
        <x:v>6 — Invalid-ordinal no-movement pairs</x:v>
      </x:c>
      <x:c r="O440" s="9" t="str">
        <x:v>Build this new scene family exactly from the L1–L4 description and save a first-frame reference image.</x:v>
      </x:c>
      <x:c r="P440" s="9" t="str">
        <x:v>There is no valid referent. Success requires abstaining: do not grasp, displace, or place any object. Report this separately because training contains no explicit no-operation examples.</x:v>
      </x:c>
      <x:c r="Q440" s="9"/>
      <x:c r="R440" s="10" t="n">
        <x:v>3</x:v>
      </x:c>
      <x:c r="S440" s="10"/>
      <x:c r="T440" s="9"/>
      <x:c r="U440" s="9"/>
      <x:c r="V440" s="9"/>
      <x:c r="W440" s="9" t="str">
        <x:v>NOOP-INV05</x:v>
      </x:c>
      <x:c r="X440" s="10"/>
      <x:c r="Y440" s="10"/>
      <x:c r="Z440" s="9"/>
      <x:c r="AA440" s="9" t="str">
        <x:v>N/A</x:v>
      </x:c>
      <x:c r="AB440" s="9" t="str">
        <x:v>fourth from left</x:v>
      </x:c>
      <x:c r="AC440" s="9"/>
      <x:c r="AD440" s="9"/>
      <x:c r="AE440" s="9"/>
      <x:c r="AF440" s="9"/>
      <x:c r="AG440" s="9"/>
      <x:c r="AH440" s="9"/>
      <x:c r="AI440" s="11"/>
      <x:c r="AJ440" s="9"/>
      <x:c r="AK440" s="9" t="str">
        <x:v>Eval_Ordinal_Reference_Ordering.xlsm</x:v>
      </x:c>
      <x:c r="AL440" s="9" t="str">
        <x:v>pi0.5 Results</x:v>
      </x:c>
      <x:c r="AM440" s="9" t="n">
        <x:v>140</x:v>
      </x:c>
      <x:c r="AN440" s="9" t="n">
        <x:v>140</x:v>
      </x:c>
    </x:row>
    <x:row r="441">
      <x:c r="A441" s="9" t="str">
        <x:v>Failure</x:v>
      </x:c>
      <x:c r="B441" s="9" t="str">
        <x:v>Ordinal Reference Ordering</x:v>
      </x:c>
      <x:c r="C441" s="10" t="n">
        <x:v>139</x:v>
      </x:c>
      <x:c r="D441" s="9" t="str">
        <x:v>Pick up the object that is fourth from the right and place it in the bowl.</x:v>
      </x:c>
      <x:c r="E441" s="9" t="str">
        <x:v>L1: airplane toy with propellers, L2: yellow pen, L3: blue tape ball</x:v>
      </x:c>
      <x:c r="F441" s="9" t="str">
        <x:v>None — requested ordinal does not exist</x:v>
      </x:c>
      <x:c r="G441" s="9" t="str">
        <x:v>picked tape ball</x:v>
      </x:c>
      <x:c r="H441" s="9" t="str">
        <x:v>Invalid ordinal / no-movement diagnostic</x:v>
      </x:c>
      <x:c r="I441" s="9" t="str">
        <x:v>NOOP-INV05</x:v>
      </x:c>
      <x:c r="J441" s="9" t="str">
        <x:v>Request ordinal 4 in an n=3 scene</x:v>
      </x:c>
      <x:c r="K441" s="9" t="n">
        <x:v>138</x:v>
      </x:c>
      <x:c r="L441" s="9"/>
      <x:c r="M441" s="9"/>
      <x:c r="N441" s="9" t="str">
        <x:v>6 — Invalid-ordinal no-movement pairs</x:v>
      </x:c>
      <x:c r="O441" s="9" t="str">
        <x:v>Keep the exact scene unchanged; switch only the impossible ordinal prompt.</x:v>
      </x:c>
      <x:c r="P441" s="9" t="str">
        <x:v>There is no valid referent. Success requires abstaining: do not grasp, displace, or place any object. Report this separately because training contains no explicit no-operation examples.</x:v>
      </x:c>
      <x:c r="Q441" s="9"/>
      <x:c r="R441" s="10" t="n">
        <x:v>3</x:v>
      </x:c>
      <x:c r="S441" s="10"/>
      <x:c r="T441" s="9"/>
      <x:c r="U441" s="9"/>
      <x:c r="V441" s="9"/>
      <x:c r="W441" s="9" t="str">
        <x:v>NOOP-INV05</x:v>
      </x:c>
      <x:c r="X441" s="10"/>
      <x:c r="Y441" s="10"/>
      <x:c r="Z441" s="9"/>
      <x:c r="AA441" s="9" t="str">
        <x:v>N/A</x:v>
      </x:c>
      <x:c r="AB441" s="9" t="str">
        <x:v>fourth from right</x:v>
      </x:c>
      <x:c r="AC441" s="9"/>
      <x:c r="AD441" s="9"/>
      <x:c r="AE441" s="9"/>
      <x:c r="AF441" s="9"/>
      <x:c r="AG441" s="9"/>
      <x:c r="AH441" s="9"/>
      <x:c r="AI441" s="11"/>
      <x:c r="AJ441" s="9"/>
      <x:c r="AK441" s="9" t="str">
        <x:v>Eval_Ordinal_Reference_Ordering.xlsm</x:v>
      </x:c>
      <x:c r="AL441" s="9" t="str">
        <x:v>pi0.5 Results</x:v>
      </x:c>
      <x:c r="AM441" s="9" t="n">
        <x:v>141</x:v>
      </x:c>
      <x:c r="AN441" s="9" t="n">
        <x:v>141</x:v>
      </x:c>
    </x:row>
    <x:row r="442">
      <x:c r="A442" s="9" t="str">
        <x:v>Failure</x:v>
      </x:c>
      <x:c r="B442" s="9" t="str">
        <x:v>Ordinal Reference Ordering</x:v>
      </x:c>
      <x:c r="C442" s="10" t="n">
        <x:v>140</x:v>
      </x:c>
      <x:c r="D442" s="9" t="str">
        <x:v>Pick up the object that is third from the right and place it in the bowl.</x:v>
      </x:c>
      <x:c r="E442" s="9" t="str">
        <x:v>L1: airplane toy with propellers, L2: blue tape ball</x:v>
      </x:c>
      <x:c r="F442" s="9" t="str">
        <x:v>None — requested ordinal does not exist</x:v>
      </x:c>
      <x:c r="G442" s="9" t="str">
        <x:v>picked airplane toy</x:v>
      </x:c>
      <x:c r="H442" s="9" t="str">
        <x:v>Invalid ordinal / no-movement diagnostic</x:v>
      </x:c>
      <x:c r="I442" s="9" t="str">
        <x:v>NOOP-INV06</x:v>
      </x:c>
      <x:c r="J442" s="9" t="str">
        <x:v>Request ordinal 3 in an n=2 scene</x:v>
      </x:c>
      <x:c r="K442" s="9"/>
      <x:c r="L442" s="9"/>
      <x:c r="M442" s="9"/>
      <x:c r="N442" s="9" t="str">
        <x:v>6 — Invalid-ordinal no-movement pairs</x:v>
      </x:c>
      <x:c r="O442" s="9" t="str">
        <x:v>Build this new scene family exactly from the L1–L4 description and save a first-frame reference image.</x:v>
      </x:c>
      <x:c r="P442" s="9" t="str">
        <x:v>There is no valid referent. Success requires abstaining: do not grasp, displace, or place any object. Report this separately because training contains no explicit no-operation examples.</x:v>
      </x:c>
      <x:c r="Q442" s="9"/>
      <x:c r="R442" s="10" t="n">
        <x:v>2</x:v>
      </x:c>
      <x:c r="S442" s="10"/>
      <x:c r="T442" s="9"/>
      <x:c r="U442" s="9"/>
      <x:c r="V442" s="9"/>
      <x:c r="W442" s="9" t="str">
        <x:v>NOOP-INV06</x:v>
      </x:c>
      <x:c r="X442" s="10"/>
      <x:c r="Y442" s="10"/>
      <x:c r="Z442" s="9"/>
      <x:c r="AA442" s="9" t="str">
        <x:v>N/A</x:v>
      </x:c>
      <x:c r="AB442" s="9" t="str">
        <x:v>third from right</x:v>
      </x:c>
      <x:c r="AC442" s="9"/>
      <x:c r="AD442" s="9"/>
      <x:c r="AE442" s="9"/>
      <x:c r="AF442" s="9"/>
      <x:c r="AG442" s="9"/>
      <x:c r="AH442" s="9"/>
      <x:c r="AI442" s="11"/>
      <x:c r="AJ442" s="9"/>
      <x:c r="AK442" s="9" t="str">
        <x:v>Eval_Ordinal_Reference_Ordering.xlsm</x:v>
      </x:c>
      <x:c r="AL442" s="9" t="str">
        <x:v>pi0.5 Results</x:v>
      </x:c>
      <x:c r="AM442" s="9" t="n">
        <x:v>142</x:v>
      </x:c>
      <x:c r="AN442" s="9" t="n">
        <x:v>142</x:v>
      </x:c>
    </x:row>
    <x:row r="443">
      <x:c r="A443" s="9" t="str">
        <x:v>Failure</x:v>
      </x:c>
      <x:c r="B443" s="9" t="str">
        <x:v>Ordinal Reference Ordering</x:v>
      </x:c>
      <x:c r="C443" s="10" t="n">
        <x:v>141</x:v>
      </x:c>
      <x:c r="D443" s="9" t="str">
        <x:v>Pick up the object that is third from the left and place it in the bowl.</x:v>
      </x:c>
      <x:c r="E443" s="9" t="str">
        <x:v>L1: airplane toy with propellers, L2: blue tape ball</x:v>
      </x:c>
      <x:c r="F443" s="9" t="str">
        <x:v>None — requested ordinal does not exist</x:v>
      </x:c>
      <x:c r="G443" s="9" t="str">
        <x:v>picked airplane toy</x:v>
      </x:c>
      <x:c r="H443" s="9" t="str">
        <x:v>Invalid ordinal / no-movement diagnostic</x:v>
      </x:c>
      <x:c r="I443" s="9" t="str">
        <x:v>NOOP-INV06</x:v>
      </x:c>
      <x:c r="J443" s="9" t="str">
        <x:v>Request ordinal 3 in an n=2 scene</x:v>
      </x:c>
      <x:c r="K443" s="9" t="n">
        <x:v>140</x:v>
      </x:c>
      <x:c r="L443" s="9"/>
      <x:c r="M443" s="9"/>
      <x:c r="N443" s="9" t="str">
        <x:v>6 — Invalid-ordinal no-movement pairs</x:v>
      </x:c>
      <x:c r="O443" s="9" t="str">
        <x:v>Keep the exact scene unchanged; switch only the impossible ordinal prompt.</x:v>
      </x:c>
      <x:c r="P443" s="9" t="str">
        <x:v>There is no valid referent. Success requires abstaining: do not grasp, displace, or place any object. Report this separately because training contains no explicit no-operation examples.</x:v>
      </x:c>
      <x:c r="Q443" s="9"/>
      <x:c r="R443" s="10" t="n">
        <x:v>2</x:v>
      </x:c>
      <x:c r="S443" s="10"/>
      <x:c r="T443" s="9"/>
      <x:c r="U443" s="9"/>
      <x:c r="V443" s="9"/>
      <x:c r="W443" s="9" t="str">
        <x:v>NOOP-INV06</x:v>
      </x:c>
      <x:c r="X443" s="10"/>
      <x:c r="Y443" s="10"/>
      <x:c r="Z443" s="9"/>
      <x:c r="AA443" s="9" t="str">
        <x:v>N/A</x:v>
      </x:c>
      <x:c r="AB443" s="9" t="str">
        <x:v>third from left</x:v>
      </x:c>
      <x:c r="AC443" s="9"/>
      <x:c r="AD443" s="9"/>
      <x:c r="AE443" s="9"/>
      <x:c r="AF443" s="9"/>
      <x:c r="AG443" s="9"/>
      <x:c r="AH443" s="9"/>
      <x:c r="AI443" s="11"/>
      <x:c r="AJ443" s="9"/>
      <x:c r="AK443" s="9" t="str">
        <x:v>Eval_Ordinal_Reference_Ordering.xlsm</x:v>
      </x:c>
      <x:c r="AL443" s="9" t="str">
        <x:v>pi0.5 Results</x:v>
      </x:c>
      <x:c r="AM443" s="9" t="n">
        <x:v>143</x:v>
      </x:c>
      <x:c r="AN443" s="9" t="n">
        <x:v>143</x:v>
      </x:c>
    </x:row>
    <x:row r="444">
      <x:c r="A444" s="9" t="str">
        <x:v>Failure</x:v>
      </x:c>
      <x:c r="B444" s="9" t="str">
        <x:v>Ordinal Reference Ordering</x:v>
      </x:c>
      <x:c r="C444" s="10" t="n">
        <x:v>142</x:v>
      </x:c>
      <x:c r="D444" s="9" t="str">
        <x:v>Pick up the object that is third from the left and place it in the bowl.</x:v>
      </x:c>
      <x:c r="E444" s="9" t="str">
        <x:v>L1: green highlighter, L2: yellow pen</x:v>
      </x:c>
      <x:c r="F444" s="9" t="str">
        <x:v>None — requested ordinal does not exist</x:v>
      </x:c>
      <x:c r="G444" s="9" t="str">
        <x:v>picked yellow pen</x:v>
      </x:c>
      <x:c r="H444" s="9" t="str">
        <x:v>Invalid ordinal / no-movement diagnostic</x:v>
      </x:c>
      <x:c r="I444" s="9" t="str">
        <x:v>NOOP-INV07</x:v>
      </x:c>
      <x:c r="J444" s="9" t="str">
        <x:v>Request ordinal 3 in an n=2 scene</x:v>
      </x:c>
      <x:c r="K444" s="9"/>
      <x:c r="L444" s="9"/>
      <x:c r="M444" s="9"/>
      <x:c r="N444" s="9" t="str">
        <x:v>6 — Invalid-ordinal no-movement pairs</x:v>
      </x:c>
      <x:c r="O444" s="9" t="str">
        <x:v>Build this new scene family exactly from the L1–L4 description and save a first-frame reference image.</x:v>
      </x:c>
      <x:c r="P444" s="9" t="str">
        <x:v>There is no valid referent. Success requires abstaining: do not grasp, displace, or place any object. Report this separately because training contains no explicit no-operation examples.</x:v>
      </x:c>
      <x:c r="Q444" s="9"/>
      <x:c r="R444" s="10" t="n">
        <x:v>2</x:v>
      </x:c>
      <x:c r="S444" s="10"/>
      <x:c r="T444" s="9"/>
      <x:c r="U444" s="9"/>
      <x:c r="V444" s="9"/>
      <x:c r="W444" s="9" t="str">
        <x:v>NOOP-INV07</x:v>
      </x:c>
      <x:c r="X444" s="10"/>
      <x:c r="Y444" s="10"/>
      <x:c r="Z444" s="9"/>
      <x:c r="AA444" s="9" t="str">
        <x:v>N/A</x:v>
      </x:c>
      <x:c r="AB444" s="9" t="str">
        <x:v>third from left</x:v>
      </x:c>
      <x:c r="AC444" s="9"/>
      <x:c r="AD444" s="9"/>
      <x:c r="AE444" s="9"/>
      <x:c r="AF444" s="9"/>
      <x:c r="AG444" s="9"/>
      <x:c r="AH444" s="9"/>
      <x:c r="AI444" s="11"/>
      <x:c r="AJ444" s="9"/>
      <x:c r="AK444" s="9" t="str">
        <x:v>Eval_Ordinal_Reference_Ordering.xlsm</x:v>
      </x:c>
      <x:c r="AL444" s="9" t="str">
        <x:v>pi0.5 Results</x:v>
      </x:c>
      <x:c r="AM444" s="9" t="n">
        <x:v>144</x:v>
      </x:c>
      <x:c r="AN444" s="9" t="n">
        <x:v>144</x:v>
      </x:c>
    </x:row>
    <x:row r="445">
      <x:c r="A445" s="9" t="str">
        <x:v>Failure</x:v>
      </x:c>
      <x:c r="B445" s="9" t="str">
        <x:v>Ordinal Reference Ordering</x:v>
      </x:c>
      <x:c r="C445" s="10" t="n">
        <x:v>143</x:v>
      </x:c>
      <x:c r="D445" s="9" t="str">
        <x:v>Pick up the object that is third from the right and place it in the bowl.</x:v>
      </x:c>
      <x:c r="E445" s="9" t="str">
        <x:v>L1: green highlighter, L2: yellow pen</x:v>
      </x:c>
      <x:c r="F445" s="9" t="str">
        <x:v>None — requested ordinal does not exist</x:v>
      </x:c>
      <x:c r="G445" s="9" t="str">
        <x:v>picked green highlighter</x:v>
      </x:c>
      <x:c r="H445" s="9" t="str">
        <x:v>Invalid ordinal / no-movement diagnostic</x:v>
      </x:c>
      <x:c r="I445" s="9" t="str">
        <x:v>NOOP-INV07</x:v>
      </x:c>
      <x:c r="J445" s="9" t="str">
        <x:v>Request ordinal 3 in an n=2 scene</x:v>
      </x:c>
      <x:c r="K445" s="9" t="n">
        <x:v>142</x:v>
      </x:c>
      <x:c r="L445" s="9"/>
      <x:c r="M445" s="9"/>
      <x:c r="N445" s="9" t="str">
        <x:v>6 — Invalid-ordinal no-movement pairs</x:v>
      </x:c>
      <x:c r="O445" s="9" t="str">
        <x:v>Keep the exact scene unchanged; switch only the impossible ordinal prompt.</x:v>
      </x:c>
      <x:c r="P445" s="9" t="str">
        <x:v>There is no valid referent. Success requires abstaining: do not grasp, displace, or place any object. Report this separately because training contains no explicit no-operation examples.</x:v>
      </x:c>
      <x:c r="Q445" s="9"/>
      <x:c r="R445" s="10" t="n">
        <x:v>2</x:v>
      </x:c>
      <x:c r="S445" s="10"/>
      <x:c r="T445" s="9"/>
      <x:c r="U445" s="9"/>
      <x:c r="V445" s="9"/>
      <x:c r="W445" s="9" t="str">
        <x:v>NOOP-INV07</x:v>
      </x:c>
      <x:c r="X445" s="10"/>
      <x:c r="Y445" s="10"/>
      <x:c r="Z445" s="9"/>
      <x:c r="AA445" s="9" t="str">
        <x:v>N/A</x:v>
      </x:c>
      <x:c r="AB445" s="9" t="str">
        <x:v>third from right</x:v>
      </x:c>
      <x:c r="AC445" s="9"/>
      <x:c r="AD445" s="9"/>
      <x:c r="AE445" s="9"/>
      <x:c r="AF445" s="9"/>
      <x:c r="AG445" s="9"/>
      <x:c r="AH445" s="9"/>
      <x:c r="AI445" s="11"/>
      <x:c r="AJ445" s="9"/>
      <x:c r="AK445" s="9" t="str">
        <x:v>Eval_Ordinal_Reference_Ordering.xlsm</x:v>
      </x:c>
      <x:c r="AL445" s="9" t="str">
        <x:v>pi0.5 Results</x:v>
      </x:c>
      <x:c r="AM445" s="9" t="n">
        <x:v>145</x:v>
      </x:c>
      <x:c r="AN445" s="9" t="n">
        <x:v>145</x:v>
      </x:c>
    </x:row>
    <x:row r="446">
      <x:c r="A446" s="9" t="str">
        <x:v>Failure</x:v>
      </x:c>
      <x:c r="B446" s="9" t="str">
        <x:v>Ordinal Reference Ordering</x:v>
      </x:c>
      <x:c r="C446" s="10" t="n">
        <x:v>144</x:v>
      </x:c>
      <x:c r="D446" s="9" t="str">
        <x:v>Pick up the object that is third from the right and place it in the bowl.</x:v>
      </x:c>
      <x:c r="E446" s="9" t="str">
        <x:v>L1: blue tape ball, L2: green highlighter</x:v>
      </x:c>
      <x:c r="F446" s="9" t="str">
        <x:v>None — requested ordinal does not exist</x:v>
      </x:c>
      <x:c r="G446" s="9" t="str">
        <x:v>picked green highlighter</x:v>
      </x:c>
      <x:c r="H446" s="9" t="str">
        <x:v>Invalid ordinal / no-movement diagnostic</x:v>
      </x:c>
      <x:c r="I446" s="9" t="str">
        <x:v>NOOP-INV08</x:v>
      </x:c>
      <x:c r="J446" s="9" t="str">
        <x:v>Request ordinal 3 in an n=2 scene</x:v>
      </x:c>
      <x:c r="K446" s="9"/>
      <x:c r="L446" s="9"/>
      <x:c r="M446" s="9"/>
      <x:c r="N446" s="9" t="str">
        <x:v>6 — Invalid-ordinal no-movement pairs</x:v>
      </x:c>
      <x:c r="O446" s="9" t="str">
        <x:v>Build this new scene family exactly from the L1–L4 description and save a first-frame reference image.</x:v>
      </x:c>
      <x:c r="P446" s="9" t="str">
        <x:v>There is no valid referent. Success requires abstaining: do not grasp, displace, or place any object. Report this separately because training contains no explicit no-operation examples.</x:v>
      </x:c>
      <x:c r="Q446" s="9"/>
      <x:c r="R446" s="10" t="n">
        <x:v>2</x:v>
      </x:c>
      <x:c r="S446" s="10"/>
      <x:c r="T446" s="9"/>
      <x:c r="U446" s="9"/>
      <x:c r="V446" s="9"/>
      <x:c r="W446" s="9" t="str">
        <x:v>NOOP-INV08</x:v>
      </x:c>
      <x:c r="X446" s="10"/>
      <x:c r="Y446" s="10"/>
      <x:c r="Z446" s="9"/>
      <x:c r="AA446" s="9" t="str">
        <x:v>N/A</x:v>
      </x:c>
      <x:c r="AB446" s="9" t="str">
        <x:v>third from right</x:v>
      </x:c>
      <x:c r="AC446" s="9"/>
      <x:c r="AD446" s="9"/>
      <x:c r="AE446" s="9"/>
      <x:c r="AF446" s="9"/>
      <x:c r="AG446" s="9"/>
      <x:c r="AH446" s="9"/>
      <x:c r="AI446" s="11"/>
      <x:c r="AJ446" s="9"/>
      <x:c r="AK446" s="9" t="str">
        <x:v>Eval_Ordinal_Reference_Ordering.xlsm</x:v>
      </x:c>
      <x:c r="AL446" s="9" t="str">
        <x:v>pi0.5 Results</x:v>
      </x:c>
      <x:c r="AM446" s="9" t="n">
        <x:v>146</x:v>
      </x:c>
      <x:c r="AN446" s="9" t="n">
        <x:v>146</x:v>
      </x:c>
    </x:row>
    <x:row r="447">
      <x:c r="A447" s="9" t="str">
        <x:v>Failure</x:v>
      </x:c>
      <x:c r="B447" s="9" t="str">
        <x:v>Ordinal Reference Ordering</x:v>
      </x:c>
      <x:c r="C447" s="10" t="n">
        <x:v>145</x:v>
      </x:c>
      <x:c r="D447" s="9" t="str">
        <x:v>Pick up the object that is third from the left and place it in the bowl.</x:v>
      </x:c>
      <x:c r="E447" s="9" t="str">
        <x:v>L1: blue tape ball, L2: green highlighter</x:v>
      </x:c>
      <x:c r="F447" s="9" t="str">
        <x:v>None — requested ordinal does not exist</x:v>
      </x:c>
      <x:c r="G447" s="9" t="str">
        <x:v>picked green highlighter</x:v>
      </x:c>
      <x:c r="H447" s="9" t="str">
        <x:v>Invalid ordinal / no-movement diagnostic</x:v>
      </x:c>
      <x:c r="I447" s="9" t="str">
        <x:v>NOOP-INV08</x:v>
      </x:c>
      <x:c r="J447" s="9" t="str">
        <x:v>Request ordinal 3 in an n=2 scene</x:v>
      </x:c>
      <x:c r="K447" s="9" t="n">
        <x:v>144</x:v>
      </x:c>
      <x:c r="L447" s="9"/>
      <x:c r="M447" s="9"/>
      <x:c r="N447" s="9" t="str">
        <x:v>6 — Invalid-ordinal no-movement pairs</x:v>
      </x:c>
      <x:c r="O447" s="9" t="str">
        <x:v>Keep the exact scene unchanged; switch only the impossible ordinal prompt.</x:v>
      </x:c>
      <x:c r="P447" s="9" t="str">
        <x:v>There is no valid referent. Success requires abstaining: do not grasp, displace, or place any object. Report this separately because training contains no explicit no-operation examples.</x:v>
      </x:c>
      <x:c r="Q447" s="9"/>
      <x:c r="R447" s="10" t="n">
        <x:v>2</x:v>
      </x:c>
      <x:c r="S447" s="10"/>
      <x:c r="T447" s="9"/>
      <x:c r="U447" s="9"/>
      <x:c r="V447" s="9"/>
      <x:c r="W447" s="9" t="str">
        <x:v>NOOP-INV08</x:v>
      </x:c>
      <x:c r="X447" s="10"/>
      <x:c r="Y447" s="10"/>
      <x:c r="Z447" s="9"/>
      <x:c r="AA447" s="9" t="str">
        <x:v>N/A</x:v>
      </x:c>
      <x:c r="AB447" s="9" t="str">
        <x:v>third from left</x:v>
      </x:c>
      <x:c r="AC447" s="9"/>
      <x:c r="AD447" s="9"/>
      <x:c r="AE447" s="9"/>
      <x:c r="AF447" s="9"/>
      <x:c r="AG447" s="9"/>
      <x:c r="AH447" s="9"/>
      <x:c r="AI447" s="11"/>
      <x:c r="AJ447" s="9"/>
      <x:c r="AK447" s="9" t="str">
        <x:v>Eval_Ordinal_Reference_Ordering.xlsm</x:v>
      </x:c>
      <x:c r="AL447" s="9" t="str">
        <x:v>pi0.5 Results</x:v>
      </x:c>
      <x:c r="AM447" s="9" t="n">
        <x:v>147</x:v>
      </x:c>
      <x:c r="AN447" s="9" t="n">
        <x:v>147</x:v>
      </x:c>
    </x:row>
    <x:row r="448">
      <x:c r="A448" s="9" t="str">
        <x:v>Failure</x:v>
      </x:c>
      <x:c r="B448" s="9" t="str">
        <x:v>Ordinal Reference Ordering</x:v>
      </x:c>
      <x:c r="C448" s="10" t="n">
        <x:v>146</x:v>
      </x:c>
      <x:c r="D448" s="9" t="str">
        <x:v>Pick up the object that is third from the left and place it in the bowl.</x:v>
      </x:c>
      <x:c r="E448" s="9" t="str">
        <x:v>L1: yellow pen, L2: airplane toy with propellers</x:v>
      </x:c>
      <x:c r="F448" s="9" t="str">
        <x:v>None — requested ordinal does not exist</x:v>
      </x:c>
      <x:c r="G448" s="9" t="str">
        <x:v>tried to pick airplane toy, but couldn't</x:v>
      </x:c>
      <x:c r="H448" s="9" t="str">
        <x:v>Invalid ordinal / no-movement diagnostic</x:v>
      </x:c>
      <x:c r="I448" s="9" t="str">
        <x:v>NOOP-INV09</x:v>
      </x:c>
      <x:c r="J448" s="9" t="str">
        <x:v>Request ordinal 3 in an n=2 scene</x:v>
      </x:c>
      <x:c r="K448" s="9"/>
      <x:c r="L448" s="9"/>
      <x:c r="M448" s="9"/>
      <x:c r="N448" s="9" t="str">
        <x:v>6 — Invalid-ordinal no-movement pairs</x:v>
      </x:c>
      <x:c r="O448" s="9" t="str">
        <x:v>Build this new scene family exactly from the L1–L4 description and save a first-frame reference image.</x:v>
      </x:c>
      <x:c r="P448" s="9" t="str">
        <x:v>There is no valid referent. Success requires abstaining: do not grasp, displace, or place any object. Report this separately because training contains no explicit no-operation examples.</x:v>
      </x:c>
      <x:c r="Q448" s="9"/>
      <x:c r="R448" s="10" t="n">
        <x:v>2</x:v>
      </x:c>
      <x:c r="S448" s="10"/>
      <x:c r="T448" s="9"/>
      <x:c r="U448" s="9"/>
      <x:c r="V448" s="9"/>
      <x:c r="W448" s="9" t="str">
        <x:v>NOOP-INV09</x:v>
      </x:c>
      <x:c r="X448" s="10"/>
      <x:c r="Y448" s="10"/>
      <x:c r="Z448" s="9"/>
      <x:c r="AA448" s="9" t="str">
        <x:v>N/A</x:v>
      </x:c>
      <x:c r="AB448" s="9" t="str">
        <x:v>third from left</x:v>
      </x:c>
      <x:c r="AC448" s="9"/>
      <x:c r="AD448" s="9"/>
      <x:c r="AE448" s="9"/>
      <x:c r="AF448" s="9"/>
      <x:c r="AG448" s="9"/>
      <x:c r="AH448" s="9"/>
      <x:c r="AI448" s="11"/>
      <x:c r="AJ448" s="9"/>
      <x:c r="AK448" s="9" t="str">
        <x:v>Eval_Ordinal_Reference_Ordering.xlsm</x:v>
      </x:c>
      <x:c r="AL448" s="9" t="str">
        <x:v>pi0.5 Results</x:v>
      </x:c>
      <x:c r="AM448" s="9" t="n">
        <x:v>148</x:v>
      </x:c>
      <x:c r="AN448" s="9" t="n">
        <x:v>148</x:v>
      </x:c>
    </x:row>
    <x:row r="449">
      <x:c r="A449" s="9" t="str">
        <x:v>Failure</x:v>
      </x:c>
      <x:c r="B449" s="9" t="str">
        <x:v>Ordinal Reference Ordering</x:v>
      </x:c>
      <x:c r="C449" s="10" t="n">
        <x:v>147</x:v>
      </x:c>
      <x:c r="D449" s="9" t="str">
        <x:v>Pick up the object that is third from the right and place it in the bowl.</x:v>
      </x:c>
      <x:c r="E449" s="9" t="str">
        <x:v>L1: yellow pen, L2: airplane toy with propellers</x:v>
      </x:c>
      <x:c r="F449" s="9" t="str">
        <x:v>None — requested ordinal does not exist</x:v>
      </x:c>
      <x:c r="G449" s="9" t="str">
        <x:v>tried to pick airplane toy, but couldn't</x:v>
      </x:c>
      <x:c r="H449" s="9" t="str">
        <x:v>Invalid ordinal / no-movement diagnostic</x:v>
      </x:c>
      <x:c r="I449" s="9" t="str">
        <x:v>NOOP-INV09</x:v>
      </x:c>
      <x:c r="J449" s="9" t="str">
        <x:v>Request ordinal 3 in an n=2 scene</x:v>
      </x:c>
      <x:c r="K449" s="9" t="n">
        <x:v>146</x:v>
      </x:c>
      <x:c r="L449" s="9"/>
      <x:c r="M449" s="9"/>
      <x:c r="N449" s="9" t="str">
        <x:v>6 — Invalid-ordinal no-movement pairs</x:v>
      </x:c>
      <x:c r="O449" s="9" t="str">
        <x:v>Keep the exact scene unchanged; switch only the impossible ordinal prompt.</x:v>
      </x:c>
      <x:c r="P449" s="9" t="str">
        <x:v>There is no valid referent. Success requires abstaining: do not grasp, displace, or place any object. Report this separately because training contains no explicit no-operation examples.</x:v>
      </x:c>
      <x:c r="Q449" s="9"/>
      <x:c r="R449" s="10" t="n">
        <x:v>2</x:v>
      </x:c>
      <x:c r="S449" s="10"/>
      <x:c r="T449" s="9"/>
      <x:c r="U449" s="9"/>
      <x:c r="V449" s="9"/>
      <x:c r="W449" s="9" t="str">
        <x:v>NOOP-INV09</x:v>
      </x:c>
      <x:c r="X449" s="10"/>
      <x:c r="Y449" s="10"/>
      <x:c r="Z449" s="9"/>
      <x:c r="AA449" s="9" t="str">
        <x:v>N/A</x:v>
      </x:c>
      <x:c r="AB449" s="9" t="str">
        <x:v>third from right</x:v>
      </x:c>
      <x:c r="AC449" s="9"/>
      <x:c r="AD449" s="9"/>
      <x:c r="AE449" s="9"/>
      <x:c r="AF449" s="9"/>
      <x:c r="AG449" s="9"/>
      <x:c r="AH449" s="9"/>
      <x:c r="AI449" s="11"/>
      <x:c r="AJ449" s="9"/>
      <x:c r="AK449" s="9" t="str">
        <x:v>Eval_Ordinal_Reference_Ordering.xlsm</x:v>
      </x:c>
      <x:c r="AL449" s="9" t="str">
        <x:v>pi0.5 Results</x:v>
      </x:c>
      <x:c r="AM449" s="9" t="n">
        <x:v>149</x:v>
      </x:c>
      <x:c r="AN449" s="9" t="n">
        <x:v>149</x:v>
      </x:c>
    </x:row>
    <x:row r="450">
      <x:c r="A450" s="9" t="str">
        <x:v>Failure</x:v>
      </x:c>
      <x:c r="B450" s="9" t="str">
        <x:v>Ordinal Reference Ordering</x:v>
      </x:c>
      <x:c r="C450" s="10" t="n">
        <x:v>148</x:v>
      </x:c>
      <x:c r="D450" s="9" t="str">
        <x:v>Pick up the object that is third from the right and place it in the bowl.</x:v>
      </x:c>
      <x:c r="E450" s="9" t="str">
        <x:v>L1: airplane toy with propellers, L2: green highlighter</x:v>
      </x:c>
      <x:c r="F450" s="9" t="str">
        <x:v>None — requested ordinal does not exist</x:v>
      </x:c>
      <x:c r="G450" s="9" t="str">
        <x:v>picked the airplane toy; dropped it and got it!</x:v>
      </x:c>
      <x:c r="H450" s="9" t="str">
        <x:v>Invalid ordinal / no-movement diagnostic</x:v>
      </x:c>
      <x:c r="I450" s="9" t="str">
        <x:v>NOOP-INV10</x:v>
      </x:c>
      <x:c r="J450" s="9" t="str">
        <x:v>Request ordinal 3 in an n=2 scene</x:v>
      </x:c>
      <x:c r="K450" s="9"/>
      <x:c r="L450" s="9"/>
      <x:c r="M450" s="9"/>
      <x:c r="N450" s="9" t="str">
        <x:v>6 — Invalid-ordinal no-movement pairs</x:v>
      </x:c>
      <x:c r="O450" s="9" t="str">
        <x:v>Build this new scene family exactly from the L1–L4 description and save a first-frame reference image.</x:v>
      </x:c>
      <x:c r="P450" s="9" t="str">
        <x:v>There is no valid referent. Success requires abstaining: do not grasp, displace, or place any object. Report this separately because training contains no explicit no-operation examples.</x:v>
      </x:c>
      <x:c r="Q450" s="9"/>
      <x:c r="R450" s="10" t="n">
        <x:v>2</x:v>
      </x:c>
      <x:c r="S450" s="10"/>
      <x:c r="T450" s="9"/>
      <x:c r="U450" s="9"/>
      <x:c r="V450" s="9"/>
      <x:c r="W450" s="9" t="str">
        <x:v>NOOP-INV10</x:v>
      </x:c>
      <x:c r="X450" s="10"/>
      <x:c r="Y450" s="10"/>
      <x:c r="Z450" s="9"/>
      <x:c r="AA450" s="9" t="str">
        <x:v>N/A</x:v>
      </x:c>
      <x:c r="AB450" s="9" t="str">
        <x:v>third from right</x:v>
      </x:c>
      <x:c r="AC450" s="9"/>
      <x:c r="AD450" s="9"/>
      <x:c r="AE450" s="9"/>
      <x:c r="AF450" s="9"/>
      <x:c r="AG450" s="9"/>
      <x:c r="AH450" s="9"/>
      <x:c r="AI450" s="11"/>
      <x:c r="AJ450" s="9"/>
      <x:c r="AK450" s="9" t="str">
        <x:v>Eval_Ordinal_Reference_Ordering.xlsm</x:v>
      </x:c>
      <x:c r="AL450" s="9" t="str">
        <x:v>pi0.5 Results</x:v>
      </x:c>
      <x:c r="AM450" s="9" t="n">
        <x:v>150</x:v>
      </x:c>
      <x:c r="AN450" s="9" t="n">
        <x:v>150</x:v>
      </x:c>
    </x:row>
    <x:row r="451">
      <x:c r="A451" s="9" t="str">
        <x:v>Failure</x:v>
      </x:c>
      <x:c r="B451" s="9" t="str">
        <x:v>Ordinal Reference Ordering</x:v>
      </x:c>
      <x:c r="C451" s="10" t="n">
        <x:v>149</x:v>
      </x:c>
      <x:c r="D451" s="9" t="str">
        <x:v>Pick up the object that is third from the left and place it in the bowl.</x:v>
      </x:c>
      <x:c r="E451" s="9" t="str">
        <x:v>L1: airplane toy with propellers, L2: green highlighter</x:v>
      </x:c>
      <x:c r="F451" s="9" t="str">
        <x:v>None — requested ordinal does not exist</x:v>
      </x:c>
      <x:c r="G451" s="9" t="str">
        <x:v>picked airplane toy</x:v>
      </x:c>
      <x:c r="H451" s="9" t="str">
        <x:v>Invalid ordinal / no-movement diagnostic</x:v>
      </x:c>
      <x:c r="I451" s="9" t="str">
        <x:v>NOOP-INV10</x:v>
      </x:c>
      <x:c r="J451" s="9" t="str">
        <x:v>Request ordinal 3 in an n=2 scene</x:v>
      </x:c>
      <x:c r="K451" s="9" t="n">
        <x:v>148</x:v>
      </x:c>
      <x:c r="L451" s="9"/>
      <x:c r="M451" s="9"/>
      <x:c r="N451" s="9" t="str">
        <x:v>6 — Invalid-ordinal no-movement pairs</x:v>
      </x:c>
      <x:c r="O451" s="9" t="str">
        <x:v>Keep the exact scene unchanged; switch only the impossible ordinal prompt.</x:v>
      </x:c>
      <x:c r="P451" s="9" t="str">
        <x:v>There is no valid referent. Success requires abstaining: do not grasp, displace, or place any object. Report this separately because training contains no explicit no-operation examples.</x:v>
      </x:c>
      <x:c r="Q451" s="9"/>
      <x:c r="R451" s="10" t="n">
        <x:v>2</x:v>
      </x:c>
      <x:c r="S451" s="10"/>
      <x:c r="T451" s="9"/>
      <x:c r="U451" s="9"/>
      <x:c r="V451" s="9"/>
      <x:c r="W451" s="9" t="str">
        <x:v>NOOP-INV10</x:v>
      </x:c>
      <x:c r="X451" s="10"/>
      <x:c r="Y451" s="10"/>
      <x:c r="Z451" s="9"/>
      <x:c r="AA451" s="9" t="str">
        <x:v>N/A</x:v>
      </x:c>
      <x:c r="AB451" s="9" t="str">
        <x:v>third from left</x:v>
      </x:c>
      <x:c r="AC451" s="9"/>
      <x:c r="AD451" s="9"/>
      <x:c r="AE451" s="9"/>
      <x:c r="AF451" s="9"/>
      <x:c r="AG451" s="9"/>
      <x:c r="AH451" s="9"/>
      <x:c r="AI451" s="11"/>
      <x:c r="AJ451" s="9"/>
      <x:c r="AK451" s="9" t="str">
        <x:v>Eval_Ordinal_Reference_Ordering.xlsm</x:v>
      </x:c>
      <x:c r="AL451" s="9" t="str">
        <x:v>pi0.5 Results</x:v>
      </x:c>
      <x:c r="AM451" s="9" t="n">
        <x:v>151</x:v>
      </x:c>
      <x:c r="AN451" s="9" t="n">
        <x:v>151</x:v>
      </x:c>
    </x:row>
    <x:row r="452">
      <x:c r="A452" s="9" t="str">
        <x:v>Failure</x:v>
      </x:c>
      <x:c r="B452" s="9" t="str">
        <x:v>Relational Placement</x:v>
      </x:c>
      <x:c r="C452" s="10" t="n">
        <x:v>0</x:v>
      </x:c>
      <x:c r="D452" s="9" t="str">
        <x:v>Move the green pen to the front of the pink marker.</x:v>
      </x:c>
      <x:c r="E452" s="9" t="str">
        <x:v>green pen, pink marker, red block</x:v>
      </x:c>
      <x:c r="F452" s="9" t="str">
        <x:v>green pen → 2–8 cm edge gap in front of pink marker; centroid direction within ±45°.</x:v>
      </x:c>
      <x:c r="G452" s="9" t="str">
        <x:v>did move to the front, but didn't let go of the green pen. successful reasoning</x:v>
      </x:c>
      <x:c r="H452" s="9" t="str">
        <x:v>In-distribution concept baseline</x:v>
      </x:c>
      <x:c r="I452" s="9" t="str">
        <x:v>RP-ID-CF01</x:v>
      </x:c>
      <x:c r="J452" s="9" t="str">
        <x:v>Four-way trained-cell counterfactual: front/behind polarity × target/reference role</x:v>
      </x:c>
      <x:c r="K452" s="9"/>
      <x:c r="L452" s="9" t="str">
        <x:v>204</x:v>
      </x:c>
      <x:c r="M452" s="9"/>
      <x:c r="N452" s="9"/>
      <x:c r="O452" s="9" t="str">
        <x:v>Build the listed neutral scene and save the first frame.</x:v>
      </x:c>
      <x:c r="P452" s="9" t="str">
        <x:v>Exact explicitly trained ordered relation-object cell from training episode 204. The four adjacent prompts share one initially unsatisfied scene.</x:v>
      </x:c>
      <x:c r="Q452" s="9"/>
      <x:c r="R452" s="10" t="n">
        <x:v>3</x:v>
      </x:c>
      <x:c r="S452" s="10"/>
      <x:c r="T452" s="9"/>
      <x:c r="U452" s="9"/>
      <x:c r="V452" s="9"/>
      <x:c r="W452" s="9"/>
      <x:c r="X452" s="10"/>
      <x:c r="Y452" s="10"/>
      <x:c r="Z452" s="9"/>
      <x:c r="AA452" s="9"/>
      <x:c r="AB452" s="9"/>
      <x:c r="AC452" s="9" t="str">
        <x:v>front</x:v>
      </x:c>
      <x:c r="AD452" s="9" t="str">
        <x:v>green pen</x:v>
      </x:c>
      <x:c r="AE452" s="9" t="str">
        <x:v>pink marker</x:v>
      </x:c>
      <x:c r="AF452" s="9" t="str">
        <x:v>None</x:v>
      </x:c>
      <x:c r="AG452" s="9"/>
      <x:c r="AH452" s="9"/>
      <x:c r="AI452" s="11"/>
      <x:c r="AJ452" s="9"/>
      <x:c r="AK452" s="9" t="str">
        <x:v>Eval_Relational_Placement (1).xlsm</x:v>
      </x:c>
      <x:c r="AL452" s="9" t="str">
        <x:v>pi0.5 Results</x:v>
      </x:c>
      <x:c r="AM452" s="9" t="n">
        <x:v>2</x:v>
      </x:c>
      <x:c r="AN452" s="9" t="n">
        <x:v>2</x:v>
      </x:c>
    </x:row>
    <x:row r="453">
      <x:c r="A453" s="9" t="str">
        <x:v>Failure</x:v>
      </x:c>
      <x:c r="B453" s="9" t="str">
        <x:v>Relational Placement</x:v>
      </x:c>
      <x:c r="C453" s="10" t="n">
        <x:v>1</x:v>
      </x:c>
      <x:c r="D453" s="9" t="str">
        <x:v>Move the green pen to the back of the pink marker.</x:v>
      </x:c>
      <x:c r="E453" s="9" t="str">
        <x:v>green pen, pink marker, red block</x:v>
      </x:c>
      <x:c r="F453" s="9" t="str">
        <x:v>green pen → 2–8 cm edge gap behind pink marker; centroid direction within ±45°.</x:v>
      </x:c>
      <x:c r="G453" s="9" t="str">
        <x:v>put in front of the green pen</x:v>
      </x:c>
      <x:c r="H453" s="9" t="str">
        <x:v>In-distribution concept baseline</x:v>
      </x:c>
      <x:c r="I453" s="9" t="str">
        <x:v>RP-ID-CF01</x:v>
      </x:c>
      <x:c r="J453" s="9" t="str">
        <x:v>Four-way trained-cell counterfactual: front/behind polarity × target/reference role</x:v>
      </x:c>
      <x:c r="K453" s="9" t="n">
        <x:v>0</x:v>
      </x:c>
      <x:c r="L453" s="9" t="str">
        <x:v>217</x:v>
      </x:c>
      <x:c r="M453" s="9"/>
      <x:c r="N453" s="9"/>
      <x:c r="O453" s="9" t="str">
        <x:v>Reset the moved object to its marked pose; preserve the exact scene and change only the instruction.</x:v>
      </x:c>
      <x:c r="P453" s="9" t="str">
        <x:v>Exact explicitly trained ordered relation-object cell from training episode 217. The four adjacent prompts share one initially unsatisfied scene.</x:v>
      </x:c>
      <x:c r="Q453" s="9"/>
      <x:c r="R453" s="10" t="n">
        <x:v>3</x:v>
      </x:c>
      <x:c r="S453" s="10"/>
      <x:c r="T453" s="9"/>
      <x:c r="U453" s="9"/>
      <x:c r="V453" s="9"/>
      <x:c r="W453" s="9"/>
      <x:c r="X453" s="10"/>
      <x:c r="Y453" s="10"/>
      <x:c r="Z453" s="9"/>
      <x:c r="AA453" s="9"/>
      <x:c r="AB453" s="9"/>
      <x:c r="AC453" s="9" t="str">
        <x:v>behind</x:v>
      </x:c>
      <x:c r="AD453" s="9" t="str">
        <x:v>green pen</x:v>
      </x:c>
      <x:c r="AE453" s="9" t="str">
        <x:v>pink marker</x:v>
      </x:c>
      <x:c r="AF453" s="9" t="str">
        <x:v>None</x:v>
      </x:c>
      <x:c r="AG453" s="9"/>
      <x:c r="AH453" s="9"/>
      <x:c r="AI453" s="11"/>
      <x:c r="AJ453" s="9"/>
      <x:c r="AK453" s="9" t="str">
        <x:v>Eval_Relational_Placement (1).xlsm</x:v>
      </x:c>
      <x:c r="AL453" s="9" t="str">
        <x:v>pi0.5 Results</x:v>
      </x:c>
      <x:c r="AM453" s="9" t="n">
        <x:v>3</x:v>
      </x:c>
      <x:c r="AN453" s="9" t="n">
        <x:v>3</x:v>
      </x:c>
    </x:row>
    <x:row r="454">
      <x:c r="A454" s="9" t="str">
        <x:v>Success</x:v>
      </x:c>
      <x:c r="B454" s="9" t="str">
        <x:v>Relational Placement</x:v>
      </x:c>
      <x:c r="C454" s="10" t="n">
        <x:v>2</x:v>
      </x:c>
      <x:c r="D454" s="9" t="str">
        <x:v>Move the pink marker to the front of the green pen.</x:v>
      </x:c>
      <x:c r="E454" s="9" t="str">
        <x:v>green pen, pink marker, red block</x:v>
      </x:c>
      <x:c r="F454" s="9" t="str">
        <x:v>pink marker → 2–8 cm edge gap in front of green pen; centroid direction within ±45°.</x:v>
      </x:c>
      <x:c r="G454" s="9"/>
      <x:c r="H454" s="9" t="str">
        <x:v>In-distribution concept baseline</x:v>
      </x:c>
      <x:c r="I454" s="9" t="str">
        <x:v>RP-ID-CF01</x:v>
      </x:c>
      <x:c r="J454" s="9" t="str">
        <x:v>Four-way trained-cell counterfactual: front/behind polarity × target/reference role</x:v>
      </x:c>
      <x:c r="K454" s="9" t="n">
        <x:v>0</x:v>
      </x:c>
      <x:c r="L454" s="9" t="str">
        <x:v>305</x:v>
      </x:c>
      <x:c r="M454" s="9"/>
      <x:c r="N454" s="9"/>
      <x:c r="O454" s="9" t="str">
        <x:v>Reset the moved object to its marked pose; preserve the exact scene and change only the instruction.</x:v>
      </x:c>
      <x:c r="P454" s="9" t="str">
        <x:v>Exact explicitly trained ordered relation-object cell from training episode 305. The four adjacent prompts share one initially unsatisfied scene.</x:v>
      </x:c>
      <x:c r="Q454" s="9"/>
      <x:c r="R454" s="10" t="n">
        <x:v>3</x:v>
      </x:c>
      <x:c r="S454" s="10"/>
      <x:c r="T454" s="9"/>
      <x:c r="U454" s="9"/>
      <x:c r="V454" s="9"/>
      <x:c r="W454" s="9"/>
      <x:c r="X454" s="10"/>
      <x:c r="Y454" s="10"/>
      <x:c r="Z454" s="9"/>
      <x:c r="AA454" s="9"/>
      <x:c r="AB454" s="9"/>
      <x:c r="AC454" s="9" t="str">
        <x:v>front</x:v>
      </x:c>
      <x:c r="AD454" s="9" t="str">
        <x:v>pink marker</x:v>
      </x:c>
      <x:c r="AE454" s="9" t="str">
        <x:v>green pen</x:v>
      </x:c>
      <x:c r="AF454" s="9" t="str">
        <x:v>None</x:v>
      </x:c>
      <x:c r="AG454" s="9"/>
      <x:c r="AH454" s="9"/>
      <x:c r="AI454" s="11"/>
      <x:c r="AJ454" s="9"/>
      <x:c r="AK454" s="9" t="str">
        <x:v>Eval_Relational_Placement (1).xlsm</x:v>
      </x:c>
      <x:c r="AL454" s="9" t="str">
        <x:v>pi0.5 Results</x:v>
      </x:c>
      <x:c r="AM454" s="9" t="n">
        <x:v>4</x:v>
      </x:c>
      <x:c r="AN454" s="9" t="n">
        <x:v>4</x:v>
      </x:c>
    </x:row>
    <x:row r="455">
      <x:c r="A455" s="9" t="str">
        <x:v>Success</x:v>
      </x:c>
      <x:c r="B455" s="9" t="str">
        <x:v>Relational Placement</x:v>
      </x:c>
      <x:c r="C455" s="10" t="n">
        <x:v>3</x:v>
      </x:c>
      <x:c r="D455" s="9" t="str">
        <x:v>Move the pink marker to the back of the green pen.</x:v>
      </x:c>
      <x:c r="E455" s="9" t="str">
        <x:v>green pen, pink marker, red block</x:v>
      </x:c>
      <x:c r="F455" s="9" t="str">
        <x:v>pink marker → 2–8 cm edge gap behind green pen; centroid direction within ±45°.</x:v>
      </x:c>
      <x:c r="G455" s="9"/>
      <x:c r="H455" s="9" t="str">
        <x:v>In-distribution concept baseline</x:v>
      </x:c>
      <x:c r="I455" s="9" t="str">
        <x:v>RP-ID-CF01</x:v>
      </x:c>
      <x:c r="J455" s="9" t="str">
        <x:v>Four-way trained-cell counterfactual: front/behind polarity × target/reference role</x:v>
      </x:c>
      <x:c r="K455" s="9" t="n">
        <x:v>0</x:v>
      </x:c>
      <x:c r="L455" s="9" t="str">
        <x:v>317</x:v>
      </x:c>
      <x:c r="M455" s="9"/>
      <x:c r="N455" s="9"/>
      <x:c r="O455" s="9" t="str">
        <x:v>Reset the moved object to its marked pose; preserve the exact scene and change only the instruction.</x:v>
      </x:c>
      <x:c r="P455" s="9" t="str">
        <x:v>Exact explicitly trained ordered relation-object cell from training episode 317. The four adjacent prompts share one initially unsatisfied scene.</x:v>
      </x:c>
      <x:c r="Q455" s="9"/>
      <x:c r="R455" s="10" t="n">
        <x:v>3</x:v>
      </x:c>
      <x:c r="S455" s="10"/>
      <x:c r="T455" s="9"/>
      <x:c r="U455" s="9"/>
      <x:c r="V455" s="9"/>
      <x:c r="W455" s="9"/>
      <x:c r="X455" s="10"/>
      <x:c r="Y455" s="10"/>
      <x:c r="Z455" s="9"/>
      <x:c r="AA455" s="9"/>
      <x:c r="AB455" s="9"/>
      <x:c r="AC455" s="9" t="str">
        <x:v>behind</x:v>
      </x:c>
      <x:c r="AD455" s="9" t="str">
        <x:v>pink marker</x:v>
      </x:c>
      <x:c r="AE455" s="9" t="str">
        <x:v>green pen</x:v>
      </x:c>
      <x:c r="AF455" s="9" t="str">
        <x:v>None</x:v>
      </x:c>
      <x:c r="AG455" s="9"/>
      <x:c r="AH455" s="9"/>
      <x:c r="AI455" s="11"/>
      <x:c r="AJ455" s="9"/>
      <x:c r="AK455" s="9" t="str">
        <x:v>Eval_Relational_Placement (1).xlsm</x:v>
      </x:c>
      <x:c r="AL455" s="9" t="str">
        <x:v>pi0.5 Results</x:v>
      </x:c>
      <x:c r="AM455" s="9" t="n">
        <x:v>5</x:v>
      </x:c>
      <x:c r="AN455" s="9" t="n">
        <x:v>5</x:v>
      </x:c>
    </x:row>
    <x:row r="456">
      <x:c r="A456" s="9" t="str">
        <x:v>Success</x:v>
      </x:c>
      <x:c r="B456" s="9" t="str">
        <x:v>Relational Placement</x:v>
      </x:c>
      <x:c r="C456" s="10" t="n">
        <x:v>4</x:v>
      </x:c>
      <x:c r="D456" s="9" t="str">
        <x:v>Move the green pen to the front of the blue block.</x:v>
      </x:c>
      <x:c r="E456" s="9" t="str">
        <x:v>green pen, blue block, pink marker, red block</x:v>
      </x:c>
      <x:c r="F456" s="9" t="str">
        <x:v>green pen → 2–8 cm edge gap in front of blue block; centroid direction within ±45°.</x:v>
      </x:c>
      <x:c r="G456" s="9" t="str">
        <x:v>front left, but I think it counts</x:v>
      </x:c>
      <x:c r="H456" s="9" t="str">
        <x:v>In-distribution concept baseline</x:v>
      </x:c>
      <x:c r="I456" s="9" t="str">
        <x:v>RP-ID-CF02</x:v>
      </x:c>
      <x:c r="J456" s="9" t="str">
        <x:v>Four-way trained-cell counterfactual: front/behind polarity × target/reference role</x:v>
      </x:c>
      <x:c r="K456" s="9"/>
      <x:c r="L456" s="9" t="str">
        <x:v>208</x:v>
      </x:c>
      <x:c r="M456" s="9"/>
      <x:c r="N456" s="9"/>
      <x:c r="O456" s="9" t="str">
        <x:v>Build the listed neutral scene and save the first frame.</x:v>
      </x:c>
      <x:c r="P456" s="9" t="str">
        <x:v>Exact explicitly trained ordered relation-object cell from training episode 208. The four adjacent prompts share one initially unsatisfied scene.</x:v>
      </x:c>
      <x:c r="Q456" s="9"/>
      <x:c r="R456" s="10" t="n">
        <x:v>4</x:v>
      </x:c>
      <x:c r="S456" s="10"/>
      <x:c r="T456" s="9"/>
      <x:c r="U456" s="9"/>
      <x:c r="V456" s="9"/>
      <x:c r="W456" s="9"/>
      <x:c r="X456" s="10"/>
      <x:c r="Y456" s="10"/>
      <x:c r="Z456" s="9"/>
      <x:c r="AA456" s="9"/>
      <x:c r="AB456" s="9"/>
      <x:c r="AC456" s="9" t="str">
        <x:v>front</x:v>
      </x:c>
      <x:c r="AD456" s="9" t="str">
        <x:v>green pen</x:v>
      </x:c>
      <x:c r="AE456" s="9" t="str">
        <x:v>blue block</x:v>
      </x:c>
      <x:c r="AF456" s="9" t="str">
        <x:v>None</x:v>
      </x:c>
      <x:c r="AG456" s="9"/>
      <x:c r="AH456" s="9"/>
      <x:c r="AI456" s="11"/>
      <x:c r="AJ456" s="9"/>
      <x:c r="AK456" s="9" t="str">
        <x:v>Eval_Relational_Placement (1).xlsm</x:v>
      </x:c>
      <x:c r="AL456" s="9" t="str">
        <x:v>pi0.5 Results</x:v>
      </x:c>
      <x:c r="AM456" s="9" t="n">
        <x:v>6</x:v>
      </x:c>
      <x:c r="AN456" s="9" t="n">
        <x:v>6</x:v>
      </x:c>
    </x:row>
    <x:row r="457">
      <x:c r="A457" s="9" t="str">
        <x:v>Success</x:v>
      </x:c>
      <x:c r="B457" s="9" t="str">
        <x:v>Relational Placement</x:v>
      </x:c>
      <x:c r="C457" s="10" t="n">
        <x:v>5</x:v>
      </x:c>
      <x:c r="D457" s="9" t="str">
        <x:v>Move the green pen to the back of the blue block.</x:v>
      </x:c>
      <x:c r="E457" s="9" t="str">
        <x:v>green pen, blue block, pink marker, red block</x:v>
      </x:c>
      <x:c r="F457" s="9" t="str">
        <x:v>green pen → 2–8 cm edge gap behind blue block; centroid direction within ±45°.</x:v>
      </x:c>
      <x:c r="G457" s="9"/>
      <x:c r="H457" s="9" t="str">
        <x:v>In-distribution concept baseline</x:v>
      </x:c>
      <x:c r="I457" s="9" t="str">
        <x:v>RP-ID-CF02</x:v>
      </x:c>
      <x:c r="J457" s="9" t="str">
        <x:v>Four-way trained-cell counterfactual: front/behind polarity × target/reference role</x:v>
      </x:c>
      <x:c r="K457" s="9" t="n">
        <x:v>4</x:v>
      </x:c>
      <x:c r="L457" s="9" t="str">
        <x:v>221</x:v>
      </x:c>
      <x:c r="M457" s="9"/>
      <x:c r="N457" s="9"/>
      <x:c r="O457" s="9" t="str">
        <x:v>Reset the moved object to its marked pose; preserve the exact scene and change only the instruction.</x:v>
      </x:c>
      <x:c r="P457" s="9" t="str">
        <x:v>Exact explicitly trained ordered relation-object cell from training episode 221. The four adjacent prompts share one initially unsatisfied scene.</x:v>
      </x:c>
      <x:c r="Q457" s="9"/>
      <x:c r="R457" s="10" t="n">
        <x:v>4</x:v>
      </x:c>
      <x:c r="S457" s="10"/>
      <x:c r="T457" s="9"/>
      <x:c r="U457" s="9"/>
      <x:c r="V457" s="9"/>
      <x:c r="W457" s="9"/>
      <x:c r="X457" s="10"/>
      <x:c r="Y457" s="10"/>
      <x:c r="Z457" s="9"/>
      <x:c r="AA457" s="9"/>
      <x:c r="AB457" s="9"/>
      <x:c r="AC457" s="9" t="str">
        <x:v>behind</x:v>
      </x:c>
      <x:c r="AD457" s="9" t="str">
        <x:v>green pen</x:v>
      </x:c>
      <x:c r="AE457" s="9" t="str">
        <x:v>blue block</x:v>
      </x:c>
      <x:c r="AF457" s="9" t="str">
        <x:v>None</x:v>
      </x:c>
      <x:c r="AG457" s="9"/>
      <x:c r="AH457" s="9"/>
      <x:c r="AI457" s="11"/>
      <x:c r="AJ457" s="9"/>
      <x:c r="AK457" s="9" t="str">
        <x:v>Eval_Relational_Placement (1).xlsm</x:v>
      </x:c>
      <x:c r="AL457" s="9" t="str">
        <x:v>pi0.5 Results</x:v>
      </x:c>
      <x:c r="AM457" s="9" t="n">
        <x:v>7</x:v>
      </x:c>
      <x:c r="AN457" s="9" t="n">
        <x:v>7</x:v>
      </x:c>
    </x:row>
    <x:row r="458">
      <x:c r="A458" s="9" t="str">
        <x:v>Success</x:v>
      </x:c>
      <x:c r="B458" s="9" t="str">
        <x:v>Relational Placement</x:v>
      </x:c>
      <x:c r="C458" s="10" t="n">
        <x:v>6</x:v>
      </x:c>
      <x:c r="D458" s="9" t="str">
        <x:v>Put the blue block on the table in front of the green pen.</x:v>
      </x:c>
      <x:c r="E458" s="9" t="str">
        <x:v>green pen, blue block, pink marker, red block</x:v>
      </x:c>
      <x:c r="F458" s="9" t="str">
        <x:v>blue block → 2–8 cm edge gap in front of green pen; centroid direction within ±45°.</x:v>
      </x:c>
      <x:c r="G458" s="9"/>
      <x:c r="H458" s="9" t="str">
        <x:v>In-distribution concept baseline</x:v>
      </x:c>
      <x:c r="I458" s="9" t="str">
        <x:v>RP-ID-CF02</x:v>
      </x:c>
      <x:c r="J458" s="9" t="str">
        <x:v>Four-way trained-cell counterfactual: front/behind polarity × target/reference role</x:v>
      </x:c>
      <x:c r="K458" s="9" t="n">
        <x:v>4</x:v>
      </x:c>
      <x:c r="L458" s="9" t="str">
        <x:v>350</x:v>
      </x:c>
      <x:c r="M458" s="9"/>
      <x:c r="N458" s="9"/>
      <x:c r="O458" s="9" t="str">
        <x:v>Reset the moved object to its marked pose; preserve the exact scene and change only the instruction.</x:v>
      </x:c>
      <x:c r="P458" s="9" t="str">
        <x:v>Exact explicitly trained ordered relation-object cell from training episode 350. The four adjacent prompts share one initially unsatisfied scene.</x:v>
      </x:c>
      <x:c r="Q458" s="9"/>
      <x:c r="R458" s="10" t="n">
        <x:v>4</x:v>
      </x:c>
      <x:c r="S458" s="10"/>
      <x:c r="T458" s="9"/>
      <x:c r="U458" s="9"/>
      <x:c r="V458" s="9"/>
      <x:c r="W458" s="9"/>
      <x:c r="X458" s="10"/>
      <x:c r="Y458" s="10"/>
      <x:c r="Z458" s="9"/>
      <x:c r="AA458" s="9"/>
      <x:c r="AB458" s="9"/>
      <x:c r="AC458" s="9" t="str">
        <x:v>front</x:v>
      </x:c>
      <x:c r="AD458" s="9" t="str">
        <x:v>blue block</x:v>
      </x:c>
      <x:c r="AE458" s="9" t="str">
        <x:v>green pen</x:v>
      </x:c>
      <x:c r="AF458" s="9" t="str">
        <x:v>None</x:v>
      </x:c>
      <x:c r="AG458" s="9"/>
      <x:c r="AH458" s="9"/>
      <x:c r="AI458" s="11"/>
      <x:c r="AJ458" s="9"/>
      <x:c r="AK458" s="9" t="str">
        <x:v>Eval_Relational_Placement (1).xlsm</x:v>
      </x:c>
      <x:c r="AL458" s="9" t="str">
        <x:v>pi0.5 Results</x:v>
      </x:c>
      <x:c r="AM458" s="9" t="n">
        <x:v>8</x:v>
      </x:c>
      <x:c r="AN458" s="9" t="n">
        <x:v>8</x:v>
      </x:c>
    </x:row>
    <x:row r="459">
      <x:c r="A459" s="9" t="str">
        <x:v>Success</x:v>
      </x:c>
      <x:c r="B459" s="9" t="str">
        <x:v>Relational Placement</x:v>
      </x:c>
      <x:c r="C459" s="10" t="n">
        <x:v>7</x:v>
      </x:c>
      <x:c r="D459" s="9" t="str">
        <x:v>Put the blue block on the table behind the green pen.</x:v>
      </x:c>
      <x:c r="E459" s="9" t="str">
        <x:v>green pen, blue block, pink marker, red block</x:v>
      </x:c>
      <x:c r="F459" s="9" t="str">
        <x:v>blue block → 2–8 cm edge gap behind green pen; centroid direction within ±45°.</x:v>
      </x:c>
      <x:c r="G459" s="9"/>
      <x:c r="H459" s="9" t="str">
        <x:v>In-distribution concept baseline</x:v>
      </x:c>
      <x:c r="I459" s="9" t="str">
        <x:v>RP-ID-CF02</x:v>
      </x:c>
      <x:c r="J459" s="9" t="str">
        <x:v>Four-way trained-cell counterfactual: front/behind polarity × target/reference role</x:v>
      </x:c>
      <x:c r="K459" s="9" t="n">
        <x:v>4</x:v>
      </x:c>
      <x:c r="L459" s="9" t="str">
        <x:v>362</x:v>
      </x:c>
      <x:c r="M459" s="9"/>
      <x:c r="N459" s="9"/>
      <x:c r="O459" s="9" t="str">
        <x:v>Reset the moved object to its marked pose; preserve the exact scene and change only the instruction.</x:v>
      </x:c>
      <x:c r="P459" s="9" t="str">
        <x:v>Exact explicitly trained ordered relation-object cell from training episode 362. The four adjacent prompts share one initially unsatisfied scene.</x:v>
      </x:c>
      <x:c r="Q459" s="9"/>
      <x:c r="R459" s="10" t="n">
        <x:v>4</x:v>
      </x:c>
      <x:c r="S459" s="10"/>
      <x:c r="T459" s="9"/>
      <x:c r="U459" s="9"/>
      <x:c r="V459" s="9"/>
      <x:c r="W459" s="9"/>
      <x:c r="X459" s="10"/>
      <x:c r="Y459" s="10"/>
      <x:c r="Z459" s="9"/>
      <x:c r="AA459" s="9"/>
      <x:c r="AB459" s="9"/>
      <x:c r="AC459" s="9" t="str">
        <x:v>behind</x:v>
      </x:c>
      <x:c r="AD459" s="9" t="str">
        <x:v>blue block</x:v>
      </x:c>
      <x:c r="AE459" s="9" t="str">
        <x:v>green pen</x:v>
      </x:c>
      <x:c r="AF459" s="9" t="str">
        <x:v>None</x:v>
      </x:c>
      <x:c r="AG459" s="9"/>
      <x:c r="AH459" s="9"/>
      <x:c r="AI459" s="11"/>
      <x:c r="AJ459" s="9"/>
      <x:c r="AK459" s="9" t="str">
        <x:v>Eval_Relational_Placement (1).xlsm</x:v>
      </x:c>
      <x:c r="AL459" s="9" t="str">
        <x:v>pi0.5 Results</x:v>
      </x:c>
      <x:c r="AM459" s="9" t="n">
        <x:v>9</x:v>
      </x:c>
      <x:c r="AN459" s="9" t="n">
        <x:v>9</x:v>
      </x:c>
    </x:row>
    <x:row r="460">
      <x:c r="A460" s="9" t="str">
        <x:v>Success</x:v>
      </x:c>
      <x:c r="B460" s="9" t="str">
        <x:v>Relational Placement</x:v>
      </x:c>
      <x:c r="C460" s="10" t="n">
        <x:v>8</x:v>
      </x:c>
      <x:c r="D460" s="9" t="str">
        <x:v>Place the red block to the left of the pink marker.</x:v>
      </x:c>
      <x:c r="E460" s="9" t="str">
        <x:v>red block, pink marker, blue block</x:v>
      </x:c>
      <x:c r="F460" s="9" t="str">
        <x:v>red block → 2–8 cm edge gap to the left of pink marker; centroid direction within ±45°.</x:v>
      </x:c>
      <x:c r="G460" s="9" t="str">
        <x:v>left back</x:v>
      </x:c>
      <x:c r="H460" s="9" t="str">
        <x:v>In-distribution concept baseline</x:v>
      </x:c>
      <x:c r="I460" s="9" t="str">
        <x:v>RP-ID-CF03</x:v>
      </x:c>
      <x:c r="J460" s="9" t="str">
        <x:v>Four-way trained-cell counterfactual: left/right polarity × target/reference role</x:v>
      </x:c>
      <x:c r="K460" s="9"/>
      <x:c r="L460" s="9" t="str">
        <x:v>275</x:v>
      </x:c>
      <x:c r="M460" s="9"/>
      <x:c r="N460" s="9"/>
      <x:c r="O460" s="9" t="str">
        <x:v>Build the listed neutral scene and save the first frame.</x:v>
      </x:c>
      <x:c r="P460" s="9" t="str">
        <x:v>Exact explicitly trained ordered relation-object cell from training episode 275. The four adjacent prompts share one initially unsatisfied scene.</x:v>
      </x:c>
      <x:c r="Q460" s="9"/>
      <x:c r="R460" s="10" t="n">
        <x:v>3</x:v>
      </x:c>
      <x:c r="S460" s="10"/>
      <x:c r="T460" s="9"/>
      <x:c r="U460" s="9"/>
      <x:c r="V460" s="9"/>
      <x:c r="W460" s="9"/>
      <x:c r="X460" s="10"/>
      <x:c r="Y460" s="10"/>
      <x:c r="Z460" s="9"/>
      <x:c r="AA460" s="9"/>
      <x:c r="AB460" s="9"/>
      <x:c r="AC460" s="9" t="str">
        <x:v>left</x:v>
      </x:c>
      <x:c r="AD460" s="9" t="str">
        <x:v>red block</x:v>
      </x:c>
      <x:c r="AE460" s="9" t="str">
        <x:v>pink marker</x:v>
      </x:c>
      <x:c r="AF460" s="9" t="str">
        <x:v>None</x:v>
      </x:c>
      <x:c r="AG460" s="9"/>
      <x:c r="AH460" s="9"/>
      <x:c r="AI460" s="11"/>
      <x:c r="AJ460" s="9"/>
      <x:c r="AK460" s="9" t="str">
        <x:v>Eval_Relational_Placement (1).xlsm</x:v>
      </x:c>
      <x:c r="AL460" s="9" t="str">
        <x:v>pi0.5 Results</x:v>
      </x:c>
      <x:c r="AM460" s="9" t="n">
        <x:v>10</x:v>
      </x:c>
      <x:c r="AN460" s="9" t="n">
        <x:v>10</x:v>
      </x:c>
    </x:row>
    <x:row r="461">
      <x:c r="A461" s="9" t="str">
        <x:v>Success</x:v>
      </x:c>
      <x:c r="B461" s="9" t="str">
        <x:v>Relational Placement</x:v>
      </x:c>
      <x:c r="C461" s="10" t="n">
        <x:v>9</x:v>
      </x:c>
      <x:c r="D461" s="9" t="str">
        <x:v>Place the red block to the right of the pink marker.</x:v>
      </x:c>
      <x:c r="E461" s="9" t="str">
        <x:v>red block, pink marker, blue block</x:v>
      </x:c>
      <x:c r="F461" s="9" t="str">
        <x:v>red block → 2–8 cm edge gap to the right of pink marker; centroid direction within ±45°.</x:v>
      </x:c>
      <x:c r="G461" s="9"/>
      <x:c r="H461" s="9" t="str">
        <x:v>In-distribution concept baseline</x:v>
      </x:c>
      <x:c r="I461" s="9" t="str">
        <x:v>RP-ID-CF03</x:v>
      </x:c>
      <x:c r="J461" s="9" t="str">
        <x:v>Four-way trained-cell counterfactual: left/right polarity × target/reference role</x:v>
      </x:c>
      <x:c r="K461" s="9" t="n">
        <x:v>8</x:v>
      </x:c>
      <x:c r="L461" s="9" t="str">
        <x:v>287</x:v>
      </x:c>
      <x:c r="M461" s="9"/>
      <x:c r="N461" s="9"/>
      <x:c r="O461" s="9" t="str">
        <x:v>Reset the moved object to its marked pose; preserve the exact scene and change only the instruction.</x:v>
      </x:c>
      <x:c r="P461" s="9" t="str">
        <x:v>Exact explicitly trained ordered relation-object cell from training episode 287. The four adjacent prompts share one initially unsatisfied scene.</x:v>
      </x:c>
      <x:c r="Q461" s="9"/>
      <x:c r="R461" s="10" t="n">
        <x:v>3</x:v>
      </x:c>
      <x:c r="S461" s="10"/>
      <x:c r="T461" s="9"/>
      <x:c r="U461" s="9"/>
      <x:c r="V461" s="9"/>
      <x:c r="W461" s="9"/>
      <x:c r="X461" s="10"/>
      <x:c r="Y461" s="10"/>
      <x:c r="Z461" s="9"/>
      <x:c r="AA461" s="9"/>
      <x:c r="AB461" s="9"/>
      <x:c r="AC461" s="9" t="str">
        <x:v>right</x:v>
      </x:c>
      <x:c r="AD461" s="9" t="str">
        <x:v>red block</x:v>
      </x:c>
      <x:c r="AE461" s="9" t="str">
        <x:v>pink marker</x:v>
      </x:c>
      <x:c r="AF461" s="9" t="str">
        <x:v>None</x:v>
      </x:c>
      <x:c r="AG461" s="9"/>
      <x:c r="AH461" s="9"/>
      <x:c r="AI461" s="11"/>
      <x:c r="AJ461" s="9"/>
      <x:c r="AK461" s="9" t="str">
        <x:v>Eval_Relational_Placement (1).xlsm</x:v>
      </x:c>
      <x:c r="AL461" s="9" t="str">
        <x:v>pi0.5 Results</x:v>
      </x:c>
      <x:c r="AM461" s="9" t="n">
        <x:v>11</x:v>
      </x:c>
      <x:c r="AN461" s="9" t="n">
        <x:v>11</x:v>
      </x:c>
    </x:row>
    <x:row r="462">
      <x:c r="A462" s="9" t="str">
        <x:v>Success</x:v>
      </x:c>
      <x:c r="B462" s="9" t="str">
        <x:v>Relational Placement</x:v>
      </x:c>
      <x:c r="C462" s="10" t="n">
        <x:v>10</x:v>
      </x:c>
      <x:c r="D462" s="9" t="str">
        <x:v>Place the pink marker to the left of the red block.</x:v>
      </x:c>
      <x:c r="E462" s="9" t="str">
        <x:v>red block, pink marker, blue block</x:v>
      </x:c>
      <x:c r="F462" s="9" t="str">
        <x:v>pink marker → 2–8 cm edge gap to the left of red block; centroid direction within ±45°.</x:v>
      </x:c>
      <x:c r="G462" s="9"/>
      <x:c r="H462" s="9" t="str">
        <x:v>In-distribution concept baseline</x:v>
      </x:c>
      <x:c r="I462" s="9" t="str">
        <x:v>RP-ID-CF03</x:v>
      </x:c>
      <x:c r="J462" s="9" t="str">
        <x:v>Four-way trained-cell counterfactual: left/right polarity × target/reference role</x:v>
      </x:c>
      <x:c r="K462" s="9" t="n">
        <x:v>8</x:v>
      </x:c>
      <x:c r="L462" s="9" t="str">
        <x:v>333</x:v>
      </x:c>
      <x:c r="M462" s="9"/>
      <x:c r="N462" s="9"/>
      <x:c r="O462" s="9" t="str">
        <x:v>Reset the moved object to its marked pose; preserve the exact scene and change only the instruction.</x:v>
      </x:c>
      <x:c r="P462" s="9" t="str">
        <x:v>Exact explicitly trained ordered relation-object cell from training episode 333. The four adjacent prompts share one initially unsatisfied scene.</x:v>
      </x:c>
      <x:c r="Q462" s="9"/>
      <x:c r="R462" s="10" t="n">
        <x:v>3</x:v>
      </x:c>
      <x:c r="S462" s="10"/>
      <x:c r="T462" s="9"/>
      <x:c r="U462" s="9"/>
      <x:c r="V462" s="9"/>
      <x:c r="W462" s="9"/>
      <x:c r="X462" s="10"/>
      <x:c r="Y462" s="10"/>
      <x:c r="Z462" s="9"/>
      <x:c r="AA462" s="9"/>
      <x:c r="AB462" s="9"/>
      <x:c r="AC462" s="9" t="str">
        <x:v>left</x:v>
      </x:c>
      <x:c r="AD462" s="9" t="str">
        <x:v>pink marker</x:v>
      </x:c>
      <x:c r="AE462" s="9" t="str">
        <x:v>red block</x:v>
      </x:c>
      <x:c r="AF462" s="9" t="str">
        <x:v>None</x:v>
      </x:c>
      <x:c r="AG462" s="9"/>
      <x:c r="AH462" s="9"/>
      <x:c r="AI462" s="11"/>
      <x:c r="AJ462" s="9"/>
      <x:c r="AK462" s="9" t="str">
        <x:v>Eval_Relational_Placement (1).xlsm</x:v>
      </x:c>
      <x:c r="AL462" s="9" t="str">
        <x:v>pi0.5 Results</x:v>
      </x:c>
      <x:c r="AM462" s="9" t="n">
        <x:v>12</x:v>
      </x:c>
      <x:c r="AN462" s="9" t="n">
        <x:v>12</x:v>
      </x:c>
    </x:row>
    <x:row r="463">
      <x:c r="A463" s="9" t="str">
        <x:v>Success</x:v>
      </x:c>
      <x:c r="B463" s="9" t="str">
        <x:v>Relational Placement</x:v>
      </x:c>
      <x:c r="C463" s="10" t="n">
        <x:v>11</x:v>
      </x:c>
      <x:c r="D463" s="9" t="str">
        <x:v>Place the pink marker to the right of the red block.</x:v>
      </x:c>
      <x:c r="E463" s="9" t="str">
        <x:v>red block, pink marker, blue block</x:v>
      </x:c>
      <x:c r="F463" s="9" t="str">
        <x:v>pink marker → 2–8 cm edge gap to the right of red block; centroid direction within ±45°.</x:v>
      </x:c>
      <x:c r="G463" s="9" t="str">
        <x:v>right back</x:v>
      </x:c>
      <x:c r="H463" s="9" t="str">
        <x:v>In-distribution concept baseline</x:v>
      </x:c>
      <x:c r="I463" s="9" t="str">
        <x:v>RP-ID-CF03</x:v>
      </x:c>
      <x:c r="J463" s="9" t="str">
        <x:v>Four-way trained-cell counterfactual: left/right polarity × target/reference role</x:v>
      </x:c>
      <x:c r="K463" s="9" t="n">
        <x:v>8</x:v>
      </x:c>
      <x:c r="L463" s="9" t="str">
        <x:v>346</x:v>
      </x:c>
      <x:c r="M463" s="9"/>
      <x:c r="N463" s="9"/>
      <x:c r="O463" s="9" t="str">
        <x:v>Reset the moved object to its marked pose; preserve the exact scene and change only the instruction.</x:v>
      </x:c>
      <x:c r="P463" s="9" t="str">
        <x:v>Exact explicitly trained ordered relation-object cell from training episode 346. The four adjacent prompts share one initially unsatisfied scene.</x:v>
      </x:c>
      <x:c r="Q463" s="9"/>
      <x:c r="R463" s="10" t="n">
        <x:v>3</x:v>
      </x:c>
      <x:c r="S463" s="10"/>
      <x:c r="T463" s="9"/>
      <x:c r="U463" s="9"/>
      <x:c r="V463" s="9"/>
      <x:c r="W463" s="9"/>
      <x:c r="X463" s="10"/>
      <x:c r="Y463" s="10"/>
      <x:c r="Z463" s="9"/>
      <x:c r="AA463" s="9"/>
      <x:c r="AB463" s="9"/>
      <x:c r="AC463" s="9" t="str">
        <x:v>right</x:v>
      </x:c>
      <x:c r="AD463" s="9" t="str">
        <x:v>pink marker</x:v>
      </x:c>
      <x:c r="AE463" s="9" t="str">
        <x:v>red block</x:v>
      </x:c>
      <x:c r="AF463" s="9" t="str">
        <x:v>None</x:v>
      </x:c>
      <x:c r="AG463" s="9"/>
      <x:c r="AH463" s="9"/>
      <x:c r="AI463" s="11"/>
      <x:c r="AJ463" s="9"/>
      <x:c r="AK463" s="9" t="str">
        <x:v>Eval_Relational_Placement (1).xlsm</x:v>
      </x:c>
      <x:c r="AL463" s="9" t="str">
        <x:v>pi0.5 Results</x:v>
      </x:c>
      <x:c r="AM463" s="9" t="n">
        <x:v>13</x:v>
      </x:c>
      <x:c r="AN463" s="9" t="n">
        <x:v>13</x:v>
      </x:c>
    </x:row>
    <x:row r="464">
      <x:c r="A464" s="9" t="str">
        <x:v>Failure</x:v>
      </x:c>
      <x:c r="B464" s="9" t="str">
        <x:v>Relational Placement</x:v>
      </x:c>
      <x:c r="C464" s="10" t="n">
        <x:v>12</x:v>
      </x:c>
      <x:c r="D464" s="9" t="str">
        <x:v>Place the red block to the left of the blue block.</x:v>
      </x:c>
      <x:c r="E464" s="9" t="str">
        <x:v>red block, blue block, green pen, pink marker</x:v>
      </x:c>
      <x:c r="F464" s="9" t="str">
        <x:v>red block → 2–8 cm edge gap to the left of blue block; centroid direction within ±45°.</x:v>
      </x:c>
      <x:c r="G464" s="9" t="str">
        <x:v>placed in front</x:v>
      </x:c>
      <x:c r="H464" s="9" t="str">
        <x:v>In-distribution concept baseline</x:v>
      </x:c>
      <x:c r="I464" s="9" t="str">
        <x:v>RP-ID-CF04</x:v>
      </x:c>
      <x:c r="J464" s="9" t="str">
        <x:v>Four-way trained-cell counterfactual: left/right polarity × target/reference role</x:v>
      </x:c>
      <x:c r="K464" s="9"/>
      <x:c r="L464" s="9" t="str">
        <x:v>279</x:v>
      </x:c>
      <x:c r="M464" s="9"/>
      <x:c r="N464" s="9"/>
      <x:c r="O464" s="9" t="str">
        <x:v>Build the listed neutral scene and save the first frame.</x:v>
      </x:c>
      <x:c r="P464" s="9" t="str">
        <x:v>Exact explicitly trained ordered relation-object cell from training episode 279. The four adjacent prompts share one initially unsatisfied scene.</x:v>
      </x:c>
      <x:c r="Q464" s="9"/>
      <x:c r="R464" s="10" t="n">
        <x:v>4</x:v>
      </x:c>
      <x:c r="S464" s="10"/>
      <x:c r="T464" s="9"/>
      <x:c r="U464" s="9"/>
      <x:c r="V464" s="9"/>
      <x:c r="W464" s="9"/>
      <x:c r="X464" s="10"/>
      <x:c r="Y464" s="10"/>
      <x:c r="Z464" s="9"/>
      <x:c r="AA464" s="9"/>
      <x:c r="AB464" s="9"/>
      <x:c r="AC464" s="9" t="str">
        <x:v>left</x:v>
      </x:c>
      <x:c r="AD464" s="9" t="str">
        <x:v>red block</x:v>
      </x:c>
      <x:c r="AE464" s="9" t="str">
        <x:v>blue block</x:v>
      </x:c>
      <x:c r="AF464" s="9" t="str">
        <x:v>None</x:v>
      </x:c>
      <x:c r="AG464" s="9"/>
      <x:c r="AH464" s="9"/>
      <x:c r="AI464" s="11"/>
      <x:c r="AJ464" s="9"/>
      <x:c r="AK464" s="9" t="str">
        <x:v>Eval_Relational_Placement (1).xlsm</x:v>
      </x:c>
      <x:c r="AL464" s="9" t="str">
        <x:v>pi0.5 Results</x:v>
      </x:c>
      <x:c r="AM464" s="9" t="n">
        <x:v>14</x:v>
      </x:c>
      <x:c r="AN464" s="9" t="n">
        <x:v>14</x:v>
      </x:c>
    </x:row>
    <x:row r="465">
      <x:c r="A465" s="9" t="str">
        <x:v>Failure</x:v>
      </x:c>
      <x:c r="B465" s="9" t="str">
        <x:v>Relational Placement</x:v>
      </x:c>
      <x:c r="C465" s="10" t="n">
        <x:v>13</x:v>
      </x:c>
      <x:c r="D465" s="9" t="str">
        <x:v>Place the red block to the right of the blue block.</x:v>
      </x:c>
      <x:c r="E465" s="9" t="str">
        <x:v>red block, blue block, green pen, pink marker</x:v>
      </x:c>
      <x:c r="F465" s="9" t="str">
        <x:v>red block → 2–8 cm edge gap to the right of blue block; centroid direction within ±45°.</x:v>
      </x:c>
      <x:c r="G465" s="9" t="str">
        <x:v>dropped on top, then rolled over to the front right, but mostly front</x:v>
      </x:c>
      <x:c r="H465" s="9" t="str">
        <x:v>In-distribution concept baseline</x:v>
      </x:c>
      <x:c r="I465" s="9" t="str">
        <x:v>RP-ID-CF04</x:v>
      </x:c>
      <x:c r="J465" s="9" t="str">
        <x:v>Four-way trained-cell counterfactual: left/right polarity × target/reference role</x:v>
      </x:c>
      <x:c r="K465" s="9" t="n">
        <x:v>12</x:v>
      </x:c>
      <x:c r="L465" s="9" t="str">
        <x:v>292</x:v>
      </x:c>
      <x:c r="M465" s="9"/>
      <x:c r="N465" s="9"/>
      <x:c r="O465" s="9" t="str">
        <x:v>Reset the moved object to its marked pose; preserve the exact scene and change only the instruction.</x:v>
      </x:c>
      <x:c r="P465" s="9" t="str">
        <x:v>Exact explicitly trained ordered relation-object cell from training episode 292. The four adjacent prompts share one initially unsatisfied scene.</x:v>
      </x:c>
      <x:c r="Q465" s="9"/>
      <x:c r="R465" s="10" t="n">
        <x:v>4</x:v>
      </x:c>
      <x:c r="S465" s="10"/>
      <x:c r="T465" s="9"/>
      <x:c r="U465" s="9"/>
      <x:c r="V465" s="9"/>
      <x:c r="W465" s="9"/>
      <x:c r="X465" s="10"/>
      <x:c r="Y465" s="10"/>
      <x:c r="Z465" s="9"/>
      <x:c r="AA465" s="9"/>
      <x:c r="AB465" s="9"/>
      <x:c r="AC465" s="9" t="str">
        <x:v>right</x:v>
      </x:c>
      <x:c r="AD465" s="9" t="str">
        <x:v>red block</x:v>
      </x:c>
      <x:c r="AE465" s="9" t="str">
        <x:v>blue block</x:v>
      </x:c>
      <x:c r="AF465" s="9" t="str">
        <x:v>None</x:v>
      </x:c>
      <x:c r="AG465" s="9"/>
      <x:c r="AH465" s="9"/>
      <x:c r="AI465" s="11"/>
      <x:c r="AJ465" s="9"/>
      <x:c r="AK465" s="9" t="str">
        <x:v>Eval_Relational_Placement (1).xlsm</x:v>
      </x:c>
      <x:c r="AL465" s="9" t="str">
        <x:v>pi0.5 Results</x:v>
      </x:c>
      <x:c r="AM465" s="9" t="n">
        <x:v>15</x:v>
      </x:c>
      <x:c r="AN465" s="9" t="n">
        <x:v>15</x:v>
      </x:c>
    </x:row>
    <x:row r="466">
      <x:c r="A466" s="9" t="str">
        <x:v>Success</x:v>
      </x:c>
      <x:c r="B466" s="9" t="str">
        <x:v>Relational Placement</x:v>
      </x:c>
      <x:c r="C466" s="10" t="n">
        <x:v>14</x:v>
      </x:c>
      <x:c r="D466" s="9" t="str">
        <x:v>Place the blue block to the left of the red block.</x:v>
      </x:c>
      <x:c r="E466" s="9" t="str">
        <x:v>red block, blue block, green pen, pink marker</x:v>
      </x:c>
      <x:c r="F466" s="9" t="str">
        <x:v>blue block → 2–8 cm edge gap to the left of red block; centroid direction within ±45°.</x:v>
      </x:c>
      <x:c r="G466" s="9"/>
      <x:c r="H466" s="9" t="str">
        <x:v>In-distribution concept baseline</x:v>
      </x:c>
      <x:c r="I466" s="9" t="str">
        <x:v>RP-ID-CF04</x:v>
      </x:c>
      <x:c r="J466" s="9" t="str">
        <x:v>Four-way trained-cell counterfactual: left/right polarity × target/reference role</x:v>
      </x:c>
      <x:c r="K466" s="9" t="n">
        <x:v>12</x:v>
      </x:c>
      <x:c r="L466" s="9" t="str">
        <x:v>379</x:v>
      </x:c>
      <x:c r="M466" s="9"/>
      <x:c r="N466" s="9"/>
      <x:c r="O466" s="9" t="str">
        <x:v>Reset the moved object to its marked pose; preserve the exact scene and change only the instruction.</x:v>
      </x:c>
      <x:c r="P466" s="9" t="str">
        <x:v>Exact explicitly trained ordered relation-object cell from training episode 379. The four adjacent prompts share one initially unsatisfied scene.</x:v>
      </x:c>
      <x:c r="Q466" s="9"/>
      <x:c r="R466" s="10" t="n">
        <x:v>4</x:v>
      </x:c>
      <x:c r="S466" s="10"/>
      <x:c r="T466" s="9"/>
      <x:c r="U466" s="9"/>
      <x:c r="V466" s="9"/>
      <x:c r="W466" s="9"/>
      <x:c r="X466" s="10"/>
      <x:c r="Y466" s="10"/>
      <x:c r="Z466" s="9"/>
      <x:c r="AA466" s="9"/>
      <x:c r="AB466" s="9"/>
      <x:c r="AC466" s="9" t="str">
        <x:v>left</x:v>
      </x:c>
      <x:c r="AD466" s="9" t="str">
        <x:v>blue block</x:v>
      </x:c>
      <x:c r="AE466" s="9" t="str">
        <x:v>red block</x:v>
      </x:c>
      <x:c r="AF466" s="9" t="str">
        <x:v>None</x:v>
      </x:c>
      <x:c r="AG466" s="9"/>
      <x:c r="AH466" s="9"/>
      <x:c r="AI466" s="11"/>
      <x:c r="AJ466" s="9"/>
      <x:c r="AK466" s="9" t="str">
        <x:v>Eval_Relational_Placement (1).xlsm</x:v>
      </x:c>
      <x:c r="AL466" s="9" t="str">
        <x:v>pi0.5 Results</x:v>
      </x:c>
      <x:c r="AM466" s="9" t="n">
        <x:v>16</x:v>
      </x:c>
      <x:c r="AN466" s="9" t="n">
        <x:v>16</x:v>
      </x:c>
    </x:row>
    <x:row r="467">
      <x:c r="A467" s="9" t="str">
        <x:v>Failure</x:v>
      </x:c>
      <x:c r="B467" s="9" t="str">
        <x:v>Relational Placement</x:v>
      </x:c>
      <x:c r="C467" s="10" t="n">
        <x:v>15</x:v>
      </x:c>
      <x:c r="D467" s="9" t="str">
        <x:v>Place the blue block to the right of the red block.</x:v>
      </x:c>
      <x:c r="E467" s="9" t="str">
        <x:v>red block, blue block, green pen, pink marker</x:v>
      </x:c>
      <x:c r="F467" s="9" t="str">
        <x:v>blue block → 2–8 cm edge gap to the right of red block; centroid direction within ±45°.</x:v>
      </x:c>
      <x:c r="G467" s="9" t="str">
        <x:v>placed back</x:v>
      </x:c>
      <x:c r="H467" s="9" t="str">
        <x:v>In-distribution concept baseline</x:v>
      </x:c>
      <x:c r="I467" s="9" t="str">
        <x:v>RP-ID-CF04</x:v>
      </x:c>
      <x:c r="J467" s="9" t="str">
        <x:v>Four-way trained-cell counterfactual: left/right polarity × target/reference role</x:v>
      </x:c>
      <x:c r="K467" s="9" t="n">
        <x:v>12</x:v>
      </x:c>
      <x:c r="L467" s="9" t="str">
        <x:v>392</x:v>
      </x:c>
      <x:c r="M467" s="9"/>
      <x:c r="N467" s="9"/>
      <x:c r="O467" s="9" t="str">
        <x:v>Reset the moved object to its marked pose; preserve the exact scene and change only the instruction.</x:v>
      </x:c>
      <x:c r="P467" s="9" t="str">
        <x:v>Exact explicitly trained ordered relation-object cell from training episode 392. The four adjacent prompts share one initially unsatisfied scene.</x:v>
      </x:c>
      <x:c r="Q467" s="9"/>
      <x:c r="R467" s="10" t="n">
        <x:v>4</x:v>
      </x:c>
      <x:c r="S467" s="10"/>
      <x:c r="T467" s="9"/>
      <x:c r="U467" s="9"/>
      <x:c r="V467" s="9"/>
      <x:c r="W467" s="9"/>
      <x:c r="X467" s="10"/>
      <x:c r="Y467" s="10"/>
      <x:c r="Z467" s="9"/>
      <x:c r="AA467" s="9"/>
      <x:c r="AB467" s="9"/>
      <x:c r="AC467" s="9" t="str">
        <x:v>right</x:v>
      </x:c>
      <x:c r="AD467" s="9" t="str">
        <x:v>blue block</x:v>
      </x:c>
      <x:c r="AE467" s="9" t="str">
        <x:v>red block</x:v>
      </x:c>
      <x:c r="AF467" s="9" t="str">
        <x:v>None</x:v>
      </x:c>
      <x:c r="AG467" s="9"/>
      <x:c r="AH467" s="9"/>
      <x:c r="AI467" s="11"/>
      <x:c r="AJ467" s="9"/>
      <x:c r="AK467" s="9" t="str">
        <x:v>Eval_Relational_Placement (1).xlsm</x:v>
      </x:c>
      <x:c r="AL467" s="9" t="str">
        <x:v>pi0.5 Results</x:v>
      </x:c>
      <x:c r="AM467" s="9" t="n">
        <x:v>17</x:v>
      </x:c>
      <x:c r="AN467" s="9" t="n">
        <x:v>17</x:v>
      </x:c>
    </x:row>
    <x:row r="468">
      <x:c r="A468" s="9" t="str">
        <x:v>Failure</x:v>
      </x:c>
      <x:c r="B468" s="9" t="str">
        <x:v>Relational Placement</x:v>
      </x:c>
      <x:c r="C468" s="10" t="n">
        <x:v>16</x:v>
      </x:c>
      <x:c r="D468" s="9" t="str">
        <x:v>Place the green pen to the left of the pink marker.</x:v>
      </x:c>
      <x:c r="E468" s="9" t="str">
        <x:v>green pen, pink marker, red block, blue block</x:v>
      </x:c>
      <x:c r="F468" s="9" t="str">
        <x:v>green pen → 2–8 cm edge gap to the left of pink marker; centroid direction within ±45°.</x:v>
      </x:c>
      <x:c r="G468" s="9" t="str">
        <x:v>placed on top and slid right</x:v>
      </x:c>
      <x:c r="H468" s="9" t="str">
        <x:v>In-distribution concept baseline</x:v>
      </x:c>
      <x:c r="I468" s="9" t="str">
        <x:v>RP-ID-CF05</x:v>
      </x:c>
      <x:c r="J468" s="9" t="str">
        <x:v>Four-prompt trained-cell mixed-axis counterfactual with all four target identities</x:v>
      </x:c>
      <x:c r="K468" s="9"/>
      <x:c r="L468" s="9" t="str">
        <x:v>229</x:v>
      </x:c>
      <x:c r="M468" s="9"/>
      <x:c r="N468" s="9"/>
      <x:c r="O468" s="9" t="str">
        <x:v>Build the listed neutral scene and save the first frame.</x:v>
      </x:c>
      <x:c r="P468" s="9" t="str">
        <x:v>Exact explicitly trained ordered relation-object cell from training episode 229. The four adjacent prompts share one initially unsatisfied scene.</x:v>
      </x:c>
      <x:c r="Q468" s="9"/>
      <x:c r="R468" s="10" t="n">
        <x:v>4</x:v>
      </x:c>
      <x:c r="S468" s="10"/>
      <x:c r="T468" s="9"/>
      <x:c r="U468" s="9"/>
      <x:c r="V468" s="9"/>
      <x:c r="W468" s="9"/>
      <x:c r="X468" s="10"/>
      <x:c r="Y468" s="10"/>
      <x:c r="Z468" s="9"/>
      <x:c r="AA468" s="9"/>
      <x:c r="AB468" s="9"/>
      <x:c r="AC468" s="9" t="str">
        <x:v>left</x:v>
      </x:c>
      <x:c r="AD468" s="9" t="str">
        <x:v>green pen</x:v>
      </x:c>
      <x:c r="AE468" s="9" t="str">
        <x:v>pink marker</x:v>
      </x:c>
      <x:c r="AF468" s="9" t="str">
        <x:v>None</x:v>
      </x:c>
      <x:c r="AG468" s="9"/>
      <x:c r="AH468" s="9"/>
      <x:c r="AI468" s="11"/>
      <x:c r="AJ468" s="9"/>
      <x:c r="AK468" s="9" t="str">
        <x:v>Eval_Relational_Placement (1).xlsm</x:v>
      </x:c>
      <x:c r="AL468" s="9" t="str">
        <x:v>pi0.5 Results</x:v>
      </x:c>
      <x:c r="AM468" s="9" t="n">
        <x:v>18</x:v>
      </x:c>
      <x:c r="AN468" s="9" t="n">
        <x:v>18</x:v>
      </x:c>
    </x:row>
    <x:row r="469">
      <x:c r="A469" s="9" t="str">
        <x:v>Success</x:v>
      </x:c>
      <x:c r="B469" s="9" t="str">
        <x:v>Relational Placement</x:v>
      </x:c>
      <x:c r="C469" s="10" t="n">
        <x:v>17</x:v>
      </x:c>
      <x:c r="D469" s="9" t="str">
        <x:v>Place the pink marker to the right of the green pen.</x:v>
      </x:c>
      <x:c r="E469" s="9" t="str">
        <x:v>green pen, pink marker, red block, blue block</x:v>
      </x:c>
      <x:c r="F469" s="9" t="str">
        <x:v>pink marker → 2–8 cm edge gap to the right of green pen; centroid direction within ±45°.</x:v>
      </x:c>
      <x:c r="G469" s="9"/>
      <x:c r="H469" s="9" t="str">
        <x:v>In-distribution concept baseline</x:v>
      </x:c>
      <x:c r="I469" s="9" t="str">
        <x:v>RP-ID-CF05</x:v>
      </x:c>
      <x:c r="J469" s="9" t="str">
        <x:v>Four-prompt trained-cell mixed-axis counterfactual with all four target identities</x:v>
      </x:c>
      <x:c r="K469" s="9" t="n">
        <x:v>16</x:v>
      </x:c>
      <x:c r="L469" s="9" t="str">
        <x:v>342</x:v>
      </x:c>
      <x:c r="M469" s="9"/>
      <x:c r="N469" s="9"/>
      <x:c r="O469" s="9" t="str">
        <x:v>Reset the moved object to its marked pose; preserve the exact scene and change only the instruction.</x:v>
      </x:c>
      <x:c r="P469" s="9" t="str">
        <x:v>Exact explicitly trained ordered relation-object cell from training episode 342. The four adjacent prompts share one initially unsatisfied scene.</x:v>
      </x:c>
      <x:c r="Q469" s="9"/>
      <x:c r="R469" s="10" t="n">
        <x:v>4</x:v>
      </x:c>
      <x:c r="S469" s="10"/>
      <x:c r="T469" s="9"/>
      <x:c r="U469" s="9"/>
      <x:c r="V469" s="9"/>
      <x:c r="W469" s="9"/>
      <x:c r="X469" s="10"/>
      <x:c r="Y469" s="10"/>
      <x:c r="Z469" s="9"/>
      <x:c r="AA469" s="9"/>
      <x:c r="AB469" s="9"/>
      <x:c r="AC469" s="9" t="str">
        <x:v>right</x:v>
      </x:c>
      <x:c r="AD469" s="9" t="str">
        <x:v>pink marker</x:v>
      </x:c>
      <x:c r="AE469" s="9" t="str">
        <x:v>green pen</x:v>
      </x:c>
      <x:c r="AF469" s="9" t="str">
        <x:v>None</x:v>
      </x:c>
      <x:c r="AG469" s="9"/>
      <x:c r="AH469" s="9"/>
      <x:c r="AI469" s="11"/>
      <x:c r="AJ469" s="9"/>
      <x:c r="AK469" s="9" t="str">
        <x:v>Eval_Relational_Placement (1).xlsm</x:v>
      </x:c>
      <x:c r="AL469" s="9" t="str">
        <x:v>pi0.5 Results</x:v>
      </x:c>
      <x:c r="AM469" s="9" t="n">
        <x:v>19</x:v>
      </x:c>
      <x:c r="AN469" s="9" t="n">
        <x:v>19</x:v>
      </x:c>
    </x:row>
    <x:row r="470">
      <x:c r="A470" s="9" t="str">
        <x:v>Success</x:v>
      </x:c>
      <x:c r="B470" s="9" t="str">
        <x:v>Relational Placement</x:v>
      </x:c>
      <x:c r="C470" s="10" t="n">
        <x:v>18</x:v>
      </x:c>
      <x:c r="D470" s="9" t="str">
        <x:v>Move the red block to the front of the blue block.</x:v>
      </x:c>
      <x:c r="E470" s="9" t="str">
        <x:v>green pen, pink marker, red block, blue block</x:v>
      </x:c>
      <x:c r="F470" s="9" t="str">
        <x:v>red block → 2–8 cm edge gap in front of blue block; centroid direction within ±45°.</x:v>
      </x:c>
      <x:c r="G470" s="9"/>
      <x:c r="H470" s="9" t="str">
        <x:v>In-distribution concept baseline</x:v>
      </x:c>
      <x:c r="I470" s="9" t="str">
        <x:v>RP-ID-CF05</x:v>
      </x:c>
      <x:c r="J470" s="9" t="str">
        <x:v>Four-prompt trained-cell mixed-axis counterfactual with all four target identities</x:v>
      </x:c>
      <x:c r="K470" s="9" t="n">
        <x:v>16</x:v>
      </x:c>
      <x:c r="L470" s="9" t="str">
        <x:v>254</x:v>
      </x:c>
      <x:c r="M470" s="9"/>
      <x:c r="N470" s="9"/>
      <x:c r="O470" s="9" t="str">
        <x:v>Reset the moved object to its marked pose; preserve the exact scene and change only the instruction.</x:v>
      </x:c>
      <x:c r="P470" s="9" t="str">
        <x:v>Exact explicitly trained ordered relation-object cell from training episode 254. The four adjacent prompts share one initially unsatisfied scene.</x:v>
      </x:c>
      <x:c r="Q470" s="9"/>
      <x:c r="R470" s="10" t="n">
        <x:v>4</x:v>
      </x:c>
      <x:c r="S470" s="10"/>
      <x:c r="T470" s="9"/>
      <x:c r="U470" s="9"/>
      <x:c r="V470" s="9"/>
      <x:c r="W470" s="9"/>
      <x:c r="X470" s="10"/>
      <x:c r="Y470" s="10"/>
      <x:c r="Z470" s="9"/>
      <x:c r="AA470" s="9"/>
      <x:c r="AB470" s="9"/>
      <x:c r="AC470" s="9" t="str">
        <x:v>front</x:v>
      </x:c>
      <x:c r="AD470" s="9" t="str">
        <x:v>red block</x:v>
      </x:c>
      <x:c r="AE470" s="9" t="str">
        <x:v>blue block</x:v>
      </x:c>
      <x:c r="AF470" s="9" t="str">
        <x:v>None</x:v>
      </x:c>
      <x:c r="AG470" s="9"/>
      <x:c r="AH470" s="9"/>
      <x:c r="AI470" s="11"/>
      <x:c r="AJ470" s="9"/>
      <x:c r="AK470" s="9" t="str">
        <x:v>Eval_Relational_Placement (1).xlsm</x:v>
      </x:c>
      <x:c r="AL470" s="9" t="str">
        <x:v>pi0.5 Results</x:v>
      </x:c>
      <x:c r="AM470" s="9" t="n">
        <x:v>20</x:v>
      </x:c>
      <x:c r="AN470" s="9" t="n">
        <x:v>20</x:v>
      </x:c>
    </x:row>
    <x:row r="471">
      <x:c r="A471" s="9" t="str">
        <x:v>Failure</x:v>
      </x:c>
      <x:c r="B471" s="9" t="str">
        <x:v>Relational Placement</x:v>
      </x:c>
      <x:c r="C471" s="10" t="n">
        <x:v>19</x:v>
      </x:c>
      <x:c r="D471" s="9" t="str">
        <x:v>Place the blue block behind the red block.</x:v>
      </x:c>
      <x:c r="E471" s="9" t="str">
        <x:v>green pen, pink marker, red block, blue block</x:v>
      </x:c>
      <x:c r="F471" s="9" t="str">
        <x:v>blue block → 2–8 cm edge gap behind red block; centroid direction within ±45°.</x:v>
      </x:c>
      <x:c r="G471" s="9" t="str">
        <x:v>placed left</x:v>
      </x:c>
      <x:c r="H471" s="9" t="str">
        <x:v>In-distribution concept baseline</x:v>
      </x:c>
      <x:c r="I471" s="9" t="str">
        <x:v>RP-ID-CF05</x:v>
      </x:c>
      <x:c r="J471" s="9" t="str">
        <x:v>Four-prompt trained-cell mixed-axis counterfactual with all four target identities</x:v>
      </x:c>
      <x:c r="K471" s="9" t="n">
        <x:v>16</x:v>
      </x:c>
      <x:c r="L471" s="9" t="str">
        <x:v>367</x:v>
      </x:c>
      <x:c r="M471" s="9"/>
      <x:c r="N471" s="9"/>
      <x:c r="O471" s="9" t="str">
        <x:v>Reset the moved object to its marked pose; preserve the exact scene and change only the instruction.</x:v>
      </x:c>
      <x:c r="P471" s="9" t="str">
        <x:v>Exact explicitly trained ordered relation-object cell from training episode 367. The four adjacent prompts share one initially unsatisfied scene.</x:v>
      </x:c>
      <x:c r="Q471" s="9"/>
      <x:c r="R471" s="10" t="n">
        <x:v>4</x:v>
      </x:c>
      <x:c r="S471" s="10"/>
      <x:c r="T471" s="9"/>
      <x:c r="U471" s="9"/>
      <x:c r="V471" s="9"/>
      <x:c r="W471" s="9"/>
      <x:c r="X471" s="10"/>
      <x:c r="Y471" s="10"/>
      <x:c r="Z471" s="9"/>
      <x:c r="AA471" s="9"/>
      <x:c r="AB471" s="9"/>
      <x:c r="AC471" s="9" t="str">
        <x:v>behind</x:v>
      </x:c>
      <x:c r="AD471" s="9" t="str">
        <x:v>blue block</x:v>
      </x:c>
      <x:c r="AE471" s="9" t="str">
        <x:v>red block</x:v>
      </x:c>
      <x:c r="AF471" s="9" t="str">
        <x:v>None</x:v>
      </x:c>
      <x:c r="AG471" s="9"/>
      <x:c r="AH471" s="9"/>
      <x:c r="AI471" s="11"/>
      <x:c r="AJ471" s="9"/>
      <x:c r="AK471" s="9" t="str">
        <x:v>Eval_Relational_Placement (1).xlsm</x:v>
      </x:c>
      <x:c r="AL471" s="9" t="str">
        <x:v>pi0.5 Results</x:v>
      </x:c>
      <x:c r="AM471" s="9" t="n">
        <x:v>21</x:v>
      </x:c>
      <x:c r="AN471" s="9" t="n">
        <x:v>21</x:v>
      </x:c>
    </x:row>
    <x:row r="472">
      <x:c r="A472" s="9" t="str">
        <x:v>Success</x:v>
      </x:c>
      <x:c r="B472" s="9" t="str">
        <x:v>Relational Placement</x:v>
      </x:c>
      <x:c r="C472" s="10" t="n">
        <x:v>20</x:v>
      </x:c>
      <x:c r="D472" s="9" t="str">
        <x:v>Place the green pen in front of the red block.</x:v>
      </x:c>
      <x:c r="E472" s="9" t="str">
        <x:v>green pen, red block, pink marker</x:v>
      </x:c>
      <x:c r="F472" s="9" t="str">
        <x:v>green pen → 2–8 cm edge gap in front of red block; centroid direction within ±45°.</x:v>
      </x:c>
      <x:c r="G472" s="9"/>
      <x:c r="H472" s="9" t="str">
        <x:v>Concept/compositional transfer</x:v>
      </x:c>
      <x:c r="I472" s="9" t="str">
        <x:v>RP-CT-CF01</x:v>
      </x:c>
      <x:c r="J472" s="9" t="str">
        <x:v>Four-way held-out counterfactual: relation polarity × target/reference role</x:v>
      </x:c>
      <x:c r="K472" s="9"/>
      <x:c r="L472" s="9" t="str">
        <x:v>201</x:v>
      </x:c>
      <x:c r="M472" s="9"/>
      <x:c r="N472" s="9"/>
      <x:c r="O472" s="9" t="str">
        <x:v>Build the listed neutral-axis scene and save the first frame.</x:v>
      </x:c>
      <x:c r="P472" s="9" t="str">
        <x:v>The directional word × ordered green-pen/red-block role is held out. Source episode 201 supplies the same target manipulation under a trained near/next-to/beside prompt. The orthogonal start prevents an inverse-start shortcut.</x:v>
      </x:c>
      <x:c r="Q472" s="9"/>
      <x:c r="R472" s="10" t="n">
        <x:v>3</x:v>
      </x:c>
      <x:c r="S472" s="10"/>
      <x:c r="T472" s="9"/>
      <x:c r="U472" s="9"/>
      <x:c r="V472" s="9"/>
      <x:c r="W472" s="9"/>
      <x:c r="X472" s="10"/>
      <x:c r="Y472" s="10"/>
      <x:c r="Z472" s="9"/>
      <x:c r="AA472" s="9"/>
      <x:c r="AB472" s="9"/>
      <x:c r="AC472" s="9" t="str">
        <x:v>front</x:v>
      </x:c>
      <x:c r="AD472" s="9" t="str">
        <x:v>green pen</x:v>
      </x:c>
      <x:c r="AE472" s="9" t="str">
        <x:v>red block</x:v>
      </x:c>
      <x:c r="AF472" s="9" t="str">
        <x:v>None</x:v>
      </x:c>
      <x:c r="AG472" s="9"/>
      <x:c r="AH472" s="9"/>
      <x:c r="AI472" s="11"/>
      <x:c r="AJ472" s="9"/>
      <x:c r="AK472" s="9" t="str">
        <x:v>Eval_Relational_Placement (1).xlsm</x:v>
      </x:c>
      <x:c r="AL472" s="9" t="str">
        <x:v>pi0.5 Results</x:v>
      </x:c>
      <x:c r="AM472" s="9" t="n">
        <x:v>22</x:v>
      </x:c>
      <x:c r="AN472" s="9" t="n">
        <x:v>22</x:v>
      </x:c>
    </x:row>
    <x:row r="473">
      <x:c r="A473" s="9" t="str">
        <x:v>Failure</x:v>
      </x:c>
      <x:c r="B473" s="9" t="str">
        <x:v>Relational Placement</x:v>
      </x:c>
      <x:c r="C473" s="10" t="n">
        <x:v>21</x:v>
      </x:c>
      <x:c r="D473" s="9" t="str">
        <x:v>Place the green pen behind the red block.</x:v>
      </x:c>
      <x:c r="E473" s="9" t="str">
        <x:v>green pen, red block, pink marker</x:v>
      </x:c>
      <x:c r="F473" s="9" t="str">
        <x:v>green pen → 2–8 cm edge gap behind red block; centroid direction within ±45°.</x:v>
      </x:c>
      <x:c r="G473" s="9" t="str">
        <x:v>placed right</x:v>
      </x:c>
      <x:c r="H473" s="9" t="str">
        <x:v>Concept/compositional transfer</x:v>
      </x:c>
      <x:c r="I473" s="9" t="str">
        <x:v>RP-CT-CF01</x:v>
      </x:c>
      <x:c r="J473" s="9" t="str">
        <x:v>Four-way held-out counterfactual: relation polarity × target/reference role</x:v>
      </x:c>
      <x:c r="K473" s="9" t="n">
        <x:v>20</x:v>
      </x:c>
      <x:c r="L473" s="9" t="str">
        <x:v>213</x:v>
      </x:c>
      <x:c r="M473" s="9"/>
      <x:c r="N473" s="9"/>
      <x:c r="O473" s="9" t="str">
        <x:v>Reset both core objects to their marked poses; preserve distractors, camera, and robot start; change only the instruction.</x:v>
      </x:c>
      <x:c r="P473" s="9" t="str">
        <x:v>The directional word × ordered green-pen/red-block role is held out. Source episode 213 supplies the same target manipulation under a trained near/next-to/beside prompt. The orthogonal start prevents an inverse-start shortcut.</x:v>
      </x:c>
      <x:c r="Q473" s="9"/>
      <x:c r="R473" s="10" t="n">
        <x:v>3</x:v>
      </x:c>
      <x:c r="S473" s="10"/>
      <x:c r="T473" s="9"/>
      <x:c r="U473" s="9"/>
      <x:c r="V473" s="9"/>
      <x:c r="W473" s="9"/>
      <x:c r="X473" s="10"/>
      <x:c r="Y473" s="10"/>
      <x:c r="Z473" s="9"/>
      <x:c r="AA473" s="9"/>
      <x:c r="AB473" s="9"/>
      <x:c r="AC473" s="9" t="str">
        <x:v>behind</x:v>
      </x:c>
      <x:c r="AD473" s="9" t="str">
        <x:v>green pen</x:v>
      </x:c>
      <x:c r="AE473" s="9" t="str">
        <x:v>red block</x:v>
      </x:c>
      <x:c r="AF473" s="9" t="str">
        <x:v>None</x:v>
      </x:c>
      <x:c r="AG473" s="9"/>
      <x:c r="AH473" s="9"/>
      <x:c r="AI473" s="11"/>
      <x:c r="AJ473" s="9"/>
      <x:c r="AK473" s="9" t="str">
        <x:v>Eval_Relational_Placement (1).xlsm</x:v>
      </x:c>
      <x:c r="AL473" s="9" t="str">
        <x:v>pi0.5 Results</x:v>
      </x:c>
      <x:c r="AM473" s="9" t="n">
        <x:v>23</x:v>
      </x:c>
      <x:c r="AN473" s="9" t="n">
        <x:v>23</x:v>
      </x:c>
    </x:row>
    <x:row r="474">
      <x:c r="A474" s="9" t="str">
        <x:v>Success</x:v>
      </x:c>
      <x:c r="B474" s="9" t="str">
        <x:v>Relational Placement</x:v>
      </x:c>
      <x:c r="C474" s="10" t="n">
        <x:v>22</x:v>
      </x:c>
      <x:c r="D474" s="9" t="str">
        <x:v>Place the red block in front of the green pen.</x:v>
      </x:c>
      <x:c r="E474" s="9" t="str">
        <x:v>green pen, red block, pink marker</x:v>
      </x:c>
      <x:c r="F474" s="9" t="str">
        <x:v>red block → 2–8 cm edge gap in front of green pen; centroid direction within ±45°.</x:v>
      </x:c>
      <x:c r="G474" s="9"/>
      <x:c r="H474" s="9" t="str">
        <x:v>Concept/compositional transfer</x:v>
      </x:c>
      <x:c r="I474" s="9" t="str">
        <x:v>RP-CT-CF01</x:v>
      </x:c>
      <x:c r="J474" s="9" t="str">
        <x:v>Four-way held-out counterfactual: relation polarity × target/reference role</x:v>
      </x:c>
      <x:c r="K474" s="9" t="n">
        <x:v>20</x:v>
      </x:c>
      <x:c r="L474" s="9" t="str">
        <x:v>259</x:v>
      </x:c>
      <x:c r="M474" s="9"/>
      <x:c r="N474" s="9"/>
      <x:c r="O474" s="9" t="str">
        <x:v>Reset both core objects to their marked poses; preserve distractors, camera, and robot start; change only the instruction.</x:v>
      </x:c>
      <x:c r="P474" s="9" t="str">
        <x:v>The directional word × ordered green-pen/red-block role is held out. Source episode 259 supplies the same target manipulation under a trained near/next-to/beside prompt. The orthogonal start prevents an inverse-start shortcut.</x:v>
      </x:c>
      <x:c r="Q474" s="9"/>
      <x:c r="R474" s="10" t="n">
        <x:v>3</x:v>
      </x:c>
      <x:c r="S474" s="10"/>
      <x:c r="T474" s="9"/>
      <x:c r="U474" s="9"/>
      <x:c r="V474" s="9"/>
      <x:c r="W474" s="9"/>
      <x:c r="X474" s="10"/>
      <x:c r="Y474" s="10"/>
      <x:c r="Z474" s="9"/>
      <x:c r="AA474" s="9"/>
      <x:c r="AB474" s="9"/>
      <x:c r="AC474" s="9" t="str">
        <x:v>front</x:v>
      </x:c>
      <x:c r="AD474" s="9" t="str">
        <x:v>red block</x:v>
      </x:c>
      <x:c r="AE474" s="9" t="str">
        <x:v>green pen</x:v>
      </x:c>
      <x:c r="AF474" s="9" t="str">
        <x:v>None</x:v>
      </x:c>
      <x:c r="AG474" s="9"/>
      <x:c r="AH474" s="9"/>
      <x:c r="AI474" s="11"/>
      <x:c r="AJ474" s="9"/>
      <x:c r="AK474" s="9" t="str">
        <x:v>Eval_Relational_Placement (1).xlsm</x:v>
      </x:c>
      <x:c r="AL474" s="9" t="str">
        <x:v>pi0.5 Results</x:v>
      </x:c>
      <x:c r="AM474" s="9" t="n">
        <x:v>24</x:v>
      </x:c>
      <x:c r="AN474" s="9" t="n">
        <x:v>24</x:v>
      </x:c>
    </x:row>
    <x:row r="475">
      <x:c r="A475" s="9" t="str">
        <x:v>Success</x:v>
      </x:c>
      <x:c r="B475" s="9" t="str">
        <x:v>Relational Placement</x:v>
      </x:c>
      <x:c r="C475" s="10" t="n">
        <x:v>23</x:v>
      </x:c>
      <x:c r="D475" s="9" t="str">
        <x:v>Place the red block behind the green pen.</x:v>
      </x:c>
      <x:c r="E475" s="9" t="str">
        <x:v>green pen, red block, pink marker</x:v>
      </x:c>
      <x:c r="F475" s="9" t="str">
        <x:v>red block → 2–8 cm edge gap behind green pen; centroid direction within ±45°.</x:v>
      </x:c>
      <x:c r="G475" s="9"/>
      <x:c r="H475" s="9" t="str">
        <x:v>Concept/compositional transfer</x:v>
      </x:c>
      <x:c r="I475" s="9" t="str">
        <x:v>RP-CT-CF01</x:v>
      </x:c>
      <x:c r="J475" s="9" t="str">
        <x:v>Four-way held-out counterfactual: relation polarity × target/reference role</x:v>
      </x:c>
      <x:c r="K475" s="9" t="n">
        <x:v>20</x:v>
      </x:c>
      <x:c r="L475" s="9" t="str">
        <x:v>272</x:v>
      </x:c>
      <x:c r="M475" s="9"/>
      <x:c r="N475" s="9"/>
      <x:c r="O475" s="9" t="str">
        <x:v>Reset both core objects to their marked poses; preserve distractors, camera, and robot start; change only the instruction.</x:v>
      </x:c>
      <x:c r="P475" s="9" t="str">
        <x:v>The directional word × ordered green-pen/red-block role is held out. Source episode 272 supplies the same target manipulation under a trained near/next-to/beside prompt. The orthogonal start prevents an inverse-start shortcut.</x:v>
      </x:c>
      <x:c r="Q475" s="9"/>
      <x:c r="R475" s="10" t="n">
        <x:v>3</x:v>
      </x:c>
      <x:c r="S475" s="10"/>
      <x:c r="T475" s="9"/>
      <x:c r="U475" s="9"/>
      <x:c r="V475" s="9"/>
      <x:c r="W475" s="9"/>
      <x:c r="X475" s="10"/>
      <x:c r="Y475" s="10"/>
      <x:c r="Z475" s="9"/>
      <x:c r="AA475" s="9"/>
      <x:c r="AB475" s="9"/>
      <x:c r="AC475" s="9" t="str">
        <x:v>behind</x:v>
      </x:c>
      <x:c r="AD475" s="9" t="str">
        <x:v>red block</x:v>
      </x:c>
      <x:c r="AE475" s="9" t="str">
        <x:v>green pen</x:v>
      </x:c>
      <x:c r="AF475" s="9" t="str">
        <x:v>None</x:v>
      </x:c>
      <x:c r="AG475" s="9"/>
      <x:c r="AH475" s="9"/>
      <x:c r="AI475" s="11"/>
      <x:c r="AJ475" s="9"/>
      <x:c r="AK475" s="9" t="str">
        <x:v>Eval_Relational_Placement (1).xlsm</x:v>
      </x:c>
      <x:c r="AL475" s="9" t="str">
        <x:v>pi0.5 Results</x:v>
      </x:c>
      <x:c r="AM475" s="9" t="n">
        <x:v>25</x:v>
      </x:c>
      <x:c r="AN475" s="9" t="n">
        <x:v>25</x:v>
      </x:c>
    </x:row>
    <x:row r="476">
      <x:c r="A476" s="9" t="str">
        <x:v>Success</x:v>
      </x:c>
      <x:c r="B476" s="9" t="str">
        <x:v>Relational Placement</x:v>
      </x:c>
      <x:c r="C476" s="10" t="n">
        <x:v>24</x:v>
      </x:c>
      <x:c r="D476" s="9" t="str">
        <x:v>Place the green pen in front of the red block.</x:v>
      </x:c>
      <x:c r="E476" s="9" t="str">
        <x:v>green pen, red block, blue block, pink marker</x:v>
      </x:c>
      <x:c r="F476" s="9" t="str">
        <x:v>green pen → 2–8 cm edge gap in front of red block; centroid direction within ±45°.</x:v>
      </x:c>
      <x:c r="G476" s="9"/>
      <x:c r="H476" s="9" t="str">
        <x:v>Concept/compositional transfer</x:v>
      </x:c>
      <x:c r="I476" s="9" t="str">
        <x:v>RP-CT-CF02</x:v>
      </x:c>
      <x:c r="J476" s="9" t="str">
        <x:v>Four-way held-out counterfactual: relation polarity × target/reference role</x:v>
      </x:c>
      <x:c r="K476" s="9"/>
      <x:c r="L476" s="9" t="str">
        <x:v>202</x:v>
      </x:c>
      <x:c r="M476" s="9"/>
      <x:c r="N476" s="9"/>
      <x:c r="O476" s="9" t="str">
        <x:v>Build the listed neutral-axis scene and save the first frame.</x:v>
      </x:c>
      <x:c r="P476" s="9" t="str">
        <x:v>The directional word × ordered green-pen/red-block role is held out. Source episode 202 supplies the same target manipulation under a trained near/next-to/beside prompt. The orthogonal start prevents an inverse-start shortcut.</x:v>
      </x:c>
      <x:c r="Q476" s="9"/>
      <x:c r="R476" s="10" t="n">
        <x:v>4</x:v>
      </x:c>
      <x:c r="S476" s="10"/>
      <x:c r="T476" s="9"/>
      <x:c r="U476" s="9"/>
      <x:c r="V476" s="9"/>
      <x:c r="W476" s="9"/>
      <x:c r="X476" s="10"/>
      <x:c r="Y476" s="10"/>
      <x:c r="Z476" s="9"/>
      <x:c r="AA476" s="9"/>
      <x:c r="AB476" s="9"/>
      <x:c r="AC476" s="9" t="str">
        <x:v>front</x:v>
      </x:c>
      <x:c r="AD476" s="9" t="str">
        <x:v>green pen</x:v>
      </x:c>
      <x:c r="AE476" s="9" t="str">
        <x:v>red block</x:v>
      </x:c>
      <x:c r="AF476" s="9" t="str">
        <x:v>None</x:v>
      </x:c>
      <x:c r="AG476" s="9"/>
      <x:c r="AH476" s="9"/>
      <x:c r="AI476" s="11"/>
      <x:c r="AJ476" s="9"/>
      <x:c r="AK476" s="9" t="str">
        <x:v>Eval_Relational_Placement (1).xlsm</x:v>
      </x:c>
      <x:c r="AL476" s="9" t="str">
        <x:v>pi0.5 Results</x:v>
      </x:c>
      <x:c r="AM476" s="9" t="n">
        <x:v>26</x:v>
      </x:c>
      <x:c r="AN476" s="9" t="n">
        <x:v>26</x:v>
      </x:c>
    </x:row>
    <x:row r="477">
      <x:c r="A477" s="9" t="str">
        <x:v>Success</x:v>
      </x:c>
      <x:c r="B477" s="9" t="str">
        <x:v>Relational Placement</x:v>
      </x:c>
      <x:c r="C477" s="10" t="n">
        <x:v>25</x:v>
      </x:c>
      <x:c r="D477" s="9" t="str">
        <x:v>Place the green pen behind the red block.</x:v>
      </x:c>
      <x:c r="E477" s="9" t="str">
        <x:v>green pen, red block, blue block, pink marker</x:v>
      </x:c>
      <x:c r="F477" s="9" t="str">
        <x:v>green pen → 2–8 cm edge gap behind red block; centroid direction within ±45°.</x:v>
      </x:c>
      <x:c r="G477" s="9" t="str">
        <x:v>behind and right</x:v>
      </x:c>
      <x:c r="H477" s="9" t="str">
        <x:v>Concept/compositional transfer</x:v>
      </x:c>
      <x:c r="I477" s="9" t="str">
        <x:v>RP-CT-CF02</x:v>
      </x:c>
      <x:c r="J477" s="9" t="str">
        <x:v>Four-way held-out counterfactual: relation polarity × target/reference role</x:v>
      </x:c>
      <x:c r="K477" s="9" t="n">
        <x:v>24</x:v>
      </x:c>
      <x:c r="L477" s="9" t="str">
        <x:v>214</x:v>
      </x:c>
      <x:c r="M477" s="9"/>
      <x:c r="N477" s="9"/>
      <x:c r="O477" s="9" t="str">
        <x:v>Reset both core objects to their marked poses; preserve distractors, camera, and robot start; change only the instruction.</x:v>
      </x:c>
      <x:c r="P477" s="9" t="str">
        <x:v>The directional word × ordered green-pen/red-block role is held out. Source episode 214 supplies the same target manipulation under a trained near/next-to/beside prompt. The orthogonal start prevents an inverse-start shortcut.</x:v>
      </x:c>
      <x:c r="Q477" s="9"/>
      <x:c r="R477" s="10" t="n">
        <x:v>4</x:v>
      </x:c>
      <x:c r="S477" s="10"/>
      <x:c r="T477" s="9"/>
      <x:c r="U477" s="9"/>
      <x:c r="V477" s="9"/>
      <x:c r="W477" s="9"/>
      <x:c r="X477" s="10"/>
      <x:c r="Y477" s="10"/>
      <x:c r="Z477" s="9"/>
      <x:c r="AA477" s="9"/>
      <x:c r="AB477" s="9"/>
      <x:c r="AC477" s="9" t="str">
        <x:v>behind</x:v>
      </x:c>
      <x:c r="AD477" s="9" t="str">
        <x:v>green pen</x:v>
      </x:c>
      <x:c r="AE477" s="9" t="str">
        <x:v>red block</x:v>
      </x:c>
      <x:c r="AF477" s="9" t="str">
        <x:v>None</x:v>
      </x:c>
      <x:c r="AG477" s="9"/>
      <x:c r="AH477" s="9"/>
      <x:c r="AI477" s="11"/>
      <x:c r="AJ477" s="9"/>
      <x:c r="AK477" s="9" t="str">
        <x:v>Eval_Relational_Placement (1).xlsm</x:v>
      </x:c>
      <x:c r="AL477" s="9" t="str">
        <x:v>pi0.5 Results</x:v>
      </x:c>
      <x:c r="AM477" s="9" t="n">
        <x:v>27</x:v>
      </x:c>
      <x:c r="AN477" s="9" t="n">
        <x:v>27</x:v>
      </x:c>
    </x:row>
    <x:row r="478">
      <x:c r="A478" s="9" t="str">
        <x:v>Success</x:v>
      </x:c>
      <x:c r="B478" s="9" t="str">
        <x:v>Relational Placement</x:v>
      </x:c>
      <x:c r="C478" s="10" t="n">
        <x:v>26</x:v>
      </x:c>
      <x:c r="D478" s="9" t="str">
        <x:v>Place the red block in front of the green pen.</x:v>
      </x:c>
      <x:c r="E478" s="9" t="str">
        <x:v>green pen, red block, blue block, pink marker</x:v>
      </x:c>
      <x:c r="F478" s="9" t="str">
        <x:v>red block → 2–8 cm edge gap in front of green pen; centroid direction within ±45°.</x:v>
      </x:c>
      <x:c r="G478" s="9"/>
      <x:c r="H478" s="9" t="str">
        <x:v>Concept/compositional transfer</x:v>
      </x:c>
      <x:c r="I478" s="9" t="str">
        <x:v>RP-CT-CF02</x:v>
      </x:c>
      <x:c r="J478" s="9" t="str">
        <x:v>Four-way held-out counterfactual: relation polarity × target/reference role</x:v>
      </x:c>
      <x:c r="K478" s="9" t="n">
        <x:v>24</x:v>
      </x:c>
      <x:c r="L478" s="9" t="str">
        <x:v>260</x:v>
      </x:c>
      <x:c r="M478" s="9"/>
      <x:c r="N478" s="9"/>
      <x:c r="O478" s="9" t="str">
        <x:v>Reset both core objects to their marked poses; preserve distractors, camera, and robot start; change only the instruction.</x:v>
      </x:c>
      <x:c r="P478" s="9" t="str">
        <x:v>The directional word × ordered green-pen/red-block role is held out. Source episode 260 supplies the same target manipulation under a trained near/next-to/beside prompt. The orthogonal start prevents an inverse-start shortcut.</x:v>
      </x:c>
      <x:c r="Q478" s="9"/>
      <x:c r="R478" s="10" t="n">
        <x:v>4</x:v>
      </x:c>
      <x:c r="S478" s="10"/>
      <x:c r="T478" s="9"/>
      <x:c r="U478" s="9"/>
      <x:c r="V478" s="9"/>
      <x:c r="W478" s="9"/>
      <x:c r="X478" s="10"/>
      <x:c r="Y478" s="10"/>
      <x:c r="Z478" s="9"/>
      <x:c r="AA478" s="9"/>
      <x:c r="AB478" s="9"/>
      <x:c r="AC478" s="9" t="str">
        <x:v>front</x:v>
      </x:c>
      <x:c r="AD478" s="9" t="str">
        <x:v>red block</x:v>
      </x:c>
      <x:c r="AE478" s="9" t="str">
        <x:v>green pen</x:v>
      </x:c>
      <x:c r="AF478" s="9" t="str">
        <x:v>None</x:v>
      </x:c>
      <x:c r="AG478" s="9"/>
      <x:c r="AH478" s="9"/>
      <x:c r="AI478" s="11"/>
      <x:c r="AJ478" s="9"/>
      <x:c r="AK478" s="9" t="str">
        <x:v>Eval_Relational_Placement (1).xlsm</x:v>
      </x:c>
      <x:c r="AL478" s="9" t="str">
        <x:v>pi0.5 Results</x:v>
      </x:c>
      <x:c r="AM478" s="9" t="n">
        <x:v>28</x:v>
      </x:c>
      <x:c r="AN478" s="9" t="n">
        <x:v>28</x:v>
      </x:c>
    </x:row>
    <x:row r="479">
      <x:c r="A479" s="9" t="str">
        <x:v>Success</x:v>
      </x:c>
      <x:c r="B479" s="9" t="str">
        <x:v>Relational Placement</x:v>
      </x:c>
      <x:c r="C479" s="10" t="n">
        <x:v>27</x:v>
      </x:c>
      <x:c r="D479" s="9" t="str">
        <x:v>Place the red block behind the green pen.</x:v>
      </x:c>
      <x:c r="E479" s="9" t="str">
        <x:v>green pen, red block, blue block, pink marker</x:v>
      </x:c>
      <x:c r="F479" s="9" t="str">
        <x:v>red block → 2–8 cm edge gap behind green pen; centroid direction within ±45°.</x:v>
      </x:c>
      <x:c r="G479" s="9"/>
      <x:c r="H479" s="9" t="str">
        <x:v>Concept/compositional transfer</x:v>
      </x:c>
      <x:c r="I479" s="9" t="str">
        <x:v>RP-CT-CF02</x:v>
      </x:c>
      <x:c r="J479" s="9" t="str">
        <x:v>Four-way held-out counterfactual: relation polarity × target/reference role</x:v>
      </x:c>
      <x:c r="K479" s="9" t="n">
        <x:v>24</x:v>
      </x:c>
      <x:c r="L479" s="9" t="str">
        <x:v>273</x:v>
      </x:c>
      <x:c r="M479" s="9"/>
      <x:c r="N479" s="9"/>
      <x:c r="O479" s="9" t="str">
        <x:v>Reset both core objects to their marked poses; preserve distractors, camera, and robot start; change only the instruction.</x:v>
      </x:c>
      <x:c r="P479" s="9" t="str">
        <x:v>The directional word × ordered green-pen/red-block role is held out. Source episode 273 supplies the same target manipulation under a trained near/next-to/beside prompt. The orthogonal start prevents an inverse-start shortcut.</x:v>
      </x:c>
      <x:c r="Q479" s="9"/>
      <x:c r="R479" s="10" t="n">
        <x:v>4</x:v>
      </x:c>
      <x:c r="S479" s="10"/>
      <x:c r="T479" s="9"/>
      <x:c r="U479" s="9"/>
      <x:c r="V479" s="9"/>
      <x:c r="W479" s="9"/>
      <x:c r="X479" s="10"/>
      <x:c r="Y479" s="10"/>
      <x:c r="Z479" s="9"/>
      <x:c r="AA479" s="9"/>
      <x:c r="AB479" s="9"/>
      <x:c r="AC479" s="9" t="str">
        <x:v>behind</x:v>
      </x:c>
      <x:c r="AD479" s="9" t="str">
        <x:v>red block</x:v>
      </x:c>
      <x:c r="AE479" s="9" t="str">
        <x:v>green pen</x:v>
      </x:c>
      <x:c r="AF479" s="9" t="str">
        <x:v>None</x:v>
      </x:c>
      <x:c r="AG479" s="9"/>
      <x:c r="AH479" s="9"/>
      <x:c r="AI479" s="11"/>
      <x:c r="AJ479" s="9"/>
      <x:c r="AK479" s="9" t="str">
        <x:v>Eval_Relational_Placement (1).xlsm</x:v>
      </x:c>
      <x:c r="AL479" s="9" t="str">
        <x:v>pi0.5 Results</x:v>
      </x:c>
      <x:c r="AM479" s="9" t="n">
        <x:v>29</x:v>
      </x:c>
      <x:c r="AN479" s="9" t="n">
        <x:v>29</x:v>
      </x:c>
    </x:row>
    <x:row r="480">
      <x:c r="A480" s="9" t="str">
        <x:v>Success</x:v>
      </x:c>
      <x:c r="B480" s="9" t="str">
        <x:v>Relational Placement</x:v>
      </x:c>
      <x:c r="C480" s="10" t="n">
        <x:v>28</x:v>
      </x:c>
      <x:c r="D480" s="9" t="str">
        <x:v>Place the green pen in front of the red block.</x:v>
      </x:c>
      <x:c r="E480" s="9" t="str">
        <x:v>green pen, red block, pink marker</x:v>
      </x:c>
      <x:c r="F480" s="9" t="str">
        <x:v>green pen → 2–8 cm edge gap in front of red block; centroid direction within ±45°.</x:v>
      </x:c>
      <x:c r="G480" s="9" t="str">
        <x:v>placed to the left</x:v>
      </x:c>
      <x:c r="H480" s="9" t="str">
        <x:v>Concept/compositional transfer</x:v>
      </x:c>
      <x:c r="I480" s="9" t="str">
        <x:v>RP-CT-CF03</x:v>
      </x:c>
      <x:c r="J480" s="9" t="str">
        <x:v>Four-way held-out counterfactual: relation polarity × target/reference role</x:v>
      </x:c>
      <x:c r="K480" s="9"/>
      <x:c r="L480" s="9" t="str">
        <x:v>203</x:v>
      </x:c>
      <x:c r="M480" s="9"/>
      <x:c r="N480" s="9"/>
      <x:c r="O480" s="9" t="str">
        <x:v>Build the listed neutral-axis scene and save the first frame.</x:v>
      </x:c>
      <x:c r="P480" s="9" t="str">
        <x:v>The directional word × ordered green-pen/red-block role is held out. Source episode 203 supplies the same target manipulation under a trained near/next-to/beside prompt. The orthogonal start prevents an inverse-start shortcut.</x:v>
      </x:c>
      <x:c r="Q480" s="9"/>
      <x:c r="R480" s="10" t="n">
        <x:v>3</x:v>
      </x:c>
      <x:c r="S480" s="10"/>
      <x:c r="T480" s="9"/>
      <x:c r="U480" s="9"/>
      <x:c r="V480" s="9"/>
      <x:c r="W480" s="9"/>
      <x:c r="X480" s="10"/>
      <x:c r="Y480" s="10"/>
      <x:c r="Z480" s="9"/>
      <x:c r="AA480" s="9"/>
      <x:c r="AB480" s="9"/>
      <x:c r="AC480" s="9" t="str">
        <x:v>front</x:v>
      </x:c>
      <x:c r="AD480" s="9" t="str">
        <x:v>green pen</x:v>
      </x:c>
      <x:c r="AE480" s="9" t="str">
        <x:v>red block</x:v>
      </x:c>
      <x:c r="AF480" s="9" t="str">
        <x:v>None</x:v>
      </x:c>
      <x:c r="AG480" s="9"/>
      <x:c r="AH480" s="9"/>
      <x:c r="AI480" s="11"/>
      <x:c r="AJ480" s="9"/>
      <x:c r="AK480" s="9" t="str">
        <x:v>Eval_Relational_Placement (1).xlsm</x:v>
      </x:c>
      <x:c r="AL480" s="9" t="str">
        <x:v>pi0.5 Results</x:v>
      </x:c>
      <x:c r="AM480" s="9" t="n">
        <x:v>30</x:v>
      </x:c>
      <x:c r="AN480" s="9" t="n">
        <x:v>30</x:v>
      </x:c>
    </x:row>
    <x:row r="481">
      <x:c r="A481" s="9" t="str">
        <x:v>Failure</x:v>
      </x:c>
      <x:c r="B481" s="9" t="str">
        <x:v>Relational Placement</x:v>
      </x:c>
      <x:c r="C481" s="10" t="n">
        <x:v>29</x:v>
      </x:c>
      <x:c r="D481" s="9" t="str">
        <x:v>Place the green pen behind the red block.</x:v>
      </x:c>
      <x:c r="E481" s="9" t="str">
        <x:v>green pen, red block, pink marker</x:v>
      </x:c>
      <x:c r="F481" s="9" t="str">
        <x:v>green pen → 2–8 cm edge gap behind red block; centroid direction within ±45°.</x:v>
      </x:c>
      <x:c r="G481" s="9" t="str">
        <x:v>placed to the left</x:v>
      </x:c>
      <x:c r="H481" s="9" t="str">
        <x:v>Concept/compositional transfer</x:v>
      </x:c>
      <x:c r="I481" s="9" t="str">
        <x:v>RP-CT-CF03</x:v>
      </x:c>
      <x:c r="J481" s="9" t="str">
        <x:v>Four-way held-out counterfactual: relation polarity × target/reference role</x:v>
      </x:c>
      <x:c r="K481" s="9" t="n">
        <x:v>28</x:v>
      </x:c>
      <x:c r="L481" s="9" t="str">
        <x:v>215</x:v>
      </x:c>
      <x:c r="M481" s="9"/>
      <x:c r="N481" s="9"/>
      <x:c r="O481" s="9" t="str">
        <x:v>Reset both core objects to their marked poses; preserve distractors, camera, and robot start; change only the instruction.</x:v>
      </x:c>
      <x:c r="P481" s="9" t="str">
        <x:v>The directional word × ordered green-pen/red-block role is held out. Source episode 215 supplies the same target manipulation under a trained near/next-to/beside prompt. The orthogonal start prevents an inverse-start shortcut.</x:v>
      </x:c>
      <x:c r="Q481" s="9"/>
      <x:c r="R481" s="10" t="n">
        <x:v>3</x:v>
      </x:c>
      <x:c r="S481" s="10"/>
      <x:c r="T481" s="9"/>
      <x:c r="U481" s="9"/>
      <x:c r="V481" s="9"/>
      <x:c r="W481" s="9"/>
      <x:c r="X481" s="10"/>
      <x:c r="Y481" s="10"/>
      <x:c r="Z481" s="9"/>
      <x:c r="AA481" s="9"/>
      <x:c r="AB481" s="9"/>
      <x:c r="AC481" s="9" t="str">
        <x:v>behind</x:v>
      </x:c>
      <x:c r="AD481" s="9" t="str">
        <x:v>green pen</x:v>
      </x:c>
      <x:c r="AE481" s="9" t="str">
        <x:v>red block</x:v>
      </x:c>
      <x:c r="AF481" s="9" t="str">
        <x:v>None</x:v>
      </x:c>
      <x:c r="AG481" s="9"/>
      <x:c r="AH481" s="9"/>
      <x:c r="AI481" s="11"/>
      <x:c r="AJ481" s="9"/>
      <x:c r="AK481" s="9" t="str">
        <x:v>Eval_Relational_Placement (1).xlsm</x:v>
      </x:c>
      <x:c r="AL481" s="9" t="str">
        <x:v>pi0.5 Results</x:v>
      </x:c>
      <x:c r="AM481" s="9" t="n">
        <x:v>31</x:v>
      </x:c>
      <x:c r="AN481" s="9" t="n">
        <x:v>31</x:v>
      </x:c>
    </x:row>
    <x:row r="482">
      <x:c r="A482" s="9" t="str">
        <x:v>Success</x:v>
      </x:c>
      <x:c r="B482" s="9" t="str">
        <x:v>Relational Placement</x:v>
      </x:c>
      <x:c r="C482" s="10" t="n">
        <x:v>30</x:v>
      </x:c>
      <x:c r="D482" s="9" t="str">
        <x:v>Place the red block in front of the green pen.</x:v>
      </x:c>
      <x:c r="E482" s="9" t="str">
        <x:v>green pen, red block, pink marker</x:v>
      </x:c>
      <x:c r="F482" s="9" t="str">
        <x:v>red block → 2–8 cm edge gap in front of green pen; centroid direction within ±45°.</x:v>
      </x:c>
      <x:c r="G482" s="9"/>
      <x:c r="H482" s="9" t="str">
        <x:v>Concept/compositional transfer</x:v>
      </x:c>
      <x:c r="I482" s="9" t="str">
        <x:v>RP-CT-CF03</x:v>
      </x:c>
      <x:c r="J482" s="9" t="str">
        <x:v>Four-way held-out counterfactual: relation polarity × target/reference role</x:v>
      </x:c>
      <x:c r="K482" s="9" t="n">
        <x:v>28</x:v>
      </x:c>
      <x:c r="L482" s="9" t="str">
        <x:v>261</x:v>
      </x:c>
      <x:c r="M482" s="9"/>
      <x:c r="N482" s="9"/>
      <x:c r="O482" s="9" t="str">
        <x:v>Reset both core objects to their marked poses; preserve distractors, camera, and robot start; change only the instruction.</x:v>
      </x:c>
      <x:c r="P482" s="9" t="str">
        <x:v>The directional word × ordered green-pen/red-block role is held out. Source episode 261 supplies the same target manipulation under a trained near/next-to/beside prompt. The orthogonal start prevents an inverse-start shortcut.</x:v>
      </x:c>
      <x:c r="Q482" s="9"/>
      <x:c r="R482" s="10" t="n">
        <x:v>3</x:v>
      </x:c>
      <x:c r="S482" s="10"/>
      <x:c r="T482" s="9"/>
      <x:c r="U482" s="9"/>
      <x:c r="V482" s="9"/>
      <x:c r="W482" s="9"/>
      <x:c r="X482" s="10"/>
      <x:c r="Y482" s="10"/>
      <x:c r="Z482" s="9"/>
      <x:c r="AA482" s="9"/>
      <x:c r="AB482" s="9"/>
      <x:c r="AC482" s="9" t="str">
        <x:v>front</x:v>
      </x:c>
      <x:c r="AD482" s="9" t="str">
        <x:v>red block</x:v>
      </x:c>
      <x:c r="AE482" s="9" t="str">
        <x:v>green pen</x:v>
      </x:c>
      <x:c r="AF482" s="9" t="str">
        <x:v>None</x:v>
      </x:c>
      <x:c r="AG482" s="9"/>
      <x:c r="AH482" s="9"/>
      <x:c r="AI482" s="11"/>
      <x:c r="AJ482" s="9"/>
      <x:c r="AK482" s="9" t="str">
        <x:v>Eval_Relational_Placement (1).xlsm</x:v>
      </x:c>
      <x:c r="AL482" s="9" t="str">
        <x:v>pi0.5 Results</x:v>
      </x:c>
      <x:c r="AM482" s="9" t="n">
        <x:v>32</x:v>
      </x:c>
      <x:c r="AN482" s="9" t="n">
        <x:v>32</x:v>
      </x:c>
    </x:row>
    <x:row r="483">
      <x:c r="A483" s="9" t="str">
        <x:v>Failure</x:v>
      </x:c>
      <x:c r="B483" s="9" t="str">
        <x:v>Relational Placement</x:v>
      </x:c>
      <x:c r="C483" s="10" t="n">
        <x:v>31</x:v>
      </x:c>
      <x:c r="D483" s="9" t="str">
        <x:v>Place the red block behind the green pen.</x:v>
      </x:c>
      <x:c r="E483" s="9" t="str">
        <x:v>green pen, red block, pink marker</x:v>
      </x:c>
      <x:c r="F483" s="9" t="str">
        <x:v>red block → 2–8 cm edge gap behind green pen; centroid direction within ±45°.</x:v>
      </x:c>
      <x:c r="G483" s="9" t="str">
        <x:v>placed in front but pushed the pen forwards</x:v>
      </x:c>
      <x:c r="H483" s="9" t="str">
        <x:v>Concept/compositional transfer</x:v>
      </x:c>
      <x:c r="I483" s="9" t="str">
        <x:v>RP-CT-CF03</x:v>
      </x:c>
      <x:c r="J483" s="9" t="str">
        <x:v>Four-way held-out counterfactual: relation polarity × target/reference role</x:v>
      </x:c>
      <x:c r="K483" s="9" t="n">
        <x:v>28</x:v>
      </x:c>
      <x:c r="L483" s="9" t="str">
        <x:v>274</x:v>
      </x:c>
      <x:c r="M483" s="9"/>
      <x:c r="N483" s="9"/>
      <x:c r="O483" s="9" t="str">
        <x:v>Reset both core objects to their marked poses; preserve distractors, camera, and robot start; change only the instruction.</x:v>
      </x:c>
      <x:c r="P483" s="9" t="str">
        <x:v>The directional word × ordered green-pen/red-block role is held out. Source episode 274 supplies the same target manipulation under a trained near/next-to/beside prompt. The orthogonal start prevents an inverse-start shortcut.</x:v>
      </x:c>
      <x:c r="Q483" s="9"/>
      <x:c r="R483" s="10" t="n">
        <x:v>3</x:v>
      </x:c>
      <x:c r="S483" s="10"/>
      <x:c r="T483" s="9"/>
      <x:c r="U483" s="9"/>
      <x:c r="V483" s="9"/>
      <x:c r="W483" s="9"/>
      <x:c r="X483" s="10"/>
      <x:c r="Y483" s="10"/>
      <x:c r="Z483" s="9"/>
      <x:c r="AA483" s="9"/>
      <x:c r="AB483" s="9"/>
      <x:c r="AC483" s="9" t="str">
        <x:v>behind</x:v>
      </x:c>
      <x:c r="AD483" s="9" t="str">
        <x:v>red block</x:v>
      </x:c>
      <x:c r="AE483" s="9" t="str">
        <x:v>green pen</x:v>
      </x:c>
      <x:c r="AF483" s="9" t="str">
        <x:v>None</x:v>
      </x:c>
      <x:c r="AG483" s="9"/>
      <x:c r="AH483" s="9"/>
      <x:c r="AI483" s="11"/>
      <x:c r="AJ483" s="9"/>
      <x:c r="AK483" s="9" t="str">
        <x:v>Eval_Relational_Placement (1).xlsm</x:v>
      </x:c>
      <x:c r="AL483" s="9" t="str">
        <x:v>pi0.5 Results</x:v>
      </x:c>
      <x:c r="AM483" s="9" t="n">
        <x:v>33</x:v>
      </x:c>
      <x:c r="AN483" s="9" t="n">
        <x:v>33</x:v>
      </x:c>
    </x:row>
    <x:row r="484">
      <x:c r="A484" s="9" t="str">
        <x:v>Failure</x:v>
      </x:c>
      <x:c r="B484" s="9" t="str">
        <x:v>Relational Placement</x:v>
      </x:c>
      <x:c r="C484" s="10" t="n">
        <x:v>32</x:v>
      </x:c>
      <x:c r="D484" s="9" t="str">
        <x:v>Place the green pen to the left of the red block.</x:v>
      </x:c>
      <x:c r="E484" s="9" t="str">
        <x:v>green pen, red block, blue block, pink marker</x:v>
      </x:c>
      <x:c r="F484" s="9" t="str">
        <x:v>green pen → 2–8 cm edge gap to the left of red block; centroid direction within ±45°.</x:v>
      </x:c>
      <x:c r="G484" s="9" t="str">
        <x:v>placed behind red block</x:v>
      </x:c>
      <x:c r="H484" s="9" t="str">
        <x:v>Concept/compositional transfer</x:v>
      </x:c>
      <x:c r="I484" s="9" t="str">
        <x:v>RP-CT-CF04</x:v>
      </x:c>
      <x:c r="J484" s="9" t="str">
        <x:v>Four-way held-out counterfactual: relation polarity × target/reference role</x:v>
      </x:c>
      <x:c r="K484" s="9"/>
      <x:c r="L484" s="9" t="str">
        <x:v>227</x:v>
      </x:c>
      <x:c r="M484" s="9"/>
      <x:c r="N484" s="9"/>
      <x:c r="O484" s="9" t="str">
        <x:v>Build the listed neutral-axis scene and save the first frame.</x:v>
      </x:c>
      <x:c r="P484" s="9" t="str">
        <x:v>The directional word × ordered green-pen/red-block role is held out. Source episode 227 supplies the same target manipulation under a trained near/next-to/beside prompt. The orthogonal start prevents an inverse-start shortcut.</x:v>
      </x:c>
      <x:c r="Q484" s="9"/>
      <x:c r="R484" s="10" t="n">
        <x:v>4</x:v>
      </x:c>
      <x:c r="S484" s="10"/>
      <x:c r="T484" s="9"/>
      <x:c r="U484" s="9"/>
      <x:c r="V484" s="9"/>
      <x:c r="W484" s="9"/>
      <x:c r="X484" s="10"/>
      <x:c r="Y484" s="10"/>
      <x:c r="Z484" s="9"/>
      <x:c r="AA484" s="9"/>
      <x:c r="AB484" s="9"/>
      <x:c r="AC484" s="9" t="str">
        <x:v>left</x:v>
      </x:c>
      <x:c r="AD484" s="9" t="str">
        <x:v>green pen</x:v>
      </x:c>
      <x:c r="AE484" s="9" t="str">
        <x:v>red block</x:v>
      </x:c>
      <x:c r="AF484" s="9" t="str">
        <x:v>None</x:v>
      </x:c>
      <x:c r="AG484" s="9"/>
      <x:c r="AH484" s="9"/>
      <x:c r="AI484" s="11"/>
      <x:c r="AJ484" s="9"/>
      <x:c r="AK484" s="9" t="str">
        <x:v>Eval_Relational_Placement (1).xlsm</x:v>
      </x:c>
      <x:c r="AL484" s="9" t="str">
        <x:v>pi0.5 Results</x:v>
      </x:c>
      <x:c r="AM484" s="9" t="n">
        <x:v>34</x:v>
      </x:c>
      <x:c r="AN484" s="9" t="n">
        <x:v>34</x:v>
      </x:c>
    </x:row>
    <x:row r="485">
      <x:c r="A485" s="9" t="str">
        <x:v>Failure</x:v>
      </x:c>
      <x:c r="B485" s="9" t="str">
        <x:v>Relational Placement</x:v>
      </x:c>
      <x:c r="C485" s="10" t="n">
        <x:v>33</x:v>
      </x:c>
      <x:c r="D485" s="9" t="str">
        <x:v>Place the green pen to the right of the red block.</x:v>
      </x:c>
      <x:c r="E485" s="9" t="str">
        <x:v>green pen, red block, blue block, pink marker</x:v>
      </x:c>
      <x:c r="F485" s="9" t="str">
        <x:v>green pen → 2–8 cm edge gap to the right of red block; centroid direction within ±45°.</x:v>
      </x:c>
      <x:c r="G485" s="9" t="str">
        <x:v>placed to the right of pink pen and front of red block</x:v>
      </x:c>
      <x:c r="H485" s="9" t="str">
        <x:v>Concept/compositional transfer</x:v>
      </x:c>
      <x:c r="I485" s="9" t="str">
        <x:v>RP-CT-CF04</x:v>
      </x:c>
      <x:c r="J485" s="9" t="str">
        <x:v>Four-way held-out counterfactual: relation polarity × target/reference role</x:v>
      </x:c>
      <x:c r="K485" s="9" t="n">
        <x:v>32</x:v>
      </x:c>
      <x:c r="L485" s="9" t="str">
        <x:v>239</x:v>
      </x:c>
      <x:c r="M485" s="9"/>
      <x:c r="N485" s="9"/>
      <x:c r="O485" s="9" t="str">
        <x:v>Reset both core objects to their marked poses; preserve distractors, camera, and robot start; change only the instruction.</x:v>
      </x:c>
      <x:c r="P485" s="9" t="str">
        <x:v>The directional word × ordered green-pen/red-block role is held out. Source episode 239 supplies the same target manipulation under a trained near/next-to/beside prompt. The orthogonal start prevents an inverse-start shortcut.</x:v>
      </x:c>
      <x:c r="Q485" s="9"/>
      <x:c r="R485" s="10" t="n">
        <x:v>4</x:v>
      </x:c>
      <x:c r="S485" s="10"/>
      <x:c r="T485" s="9"/>
      <x:c r="U485" s="9"/>
      <x:c r="V485" s="9"/>
      <x:c r="W485" s="9"/>
      <x:c r="X485" s="10"/>
      <x:c r="Y485" s="10"/>
      <x:c r="Z485" s="9"/>
      <x:c r="AA485" s="9"/>
      <x:c r="AB485" s="9"/>
      <x:c r="AC485" s="9" t="str">
        <x:v>right</x:v>
      </x:c>
      <x:c r="AD485" s="9" t="str">
        <x:v>green pen</x:v>
      </x:c>
      <x:c r="AE485" s="9" t="str">
        <x:v>red block</x:v>
      </x:c>
      <x:c r="AF485" s="9" t="str">
        <x:v>None</x:v>
      </x:c>
      <x:c r="AG485" s="9"/>
      <x:c r="AH485" s="9"/>
      <x:c r="AI485" s="11"/>
      <x:c r="AJ485" s="9"/>
      <x:c r="AK485" s="9" t="str">
        <x:v>Eval_Relational_Placement (1).xlsm</x:v>
      </x:c>
      <x:c r="AL485" s="9" t="str">
        <x:v>pi0.5 Results</x:v>
      </x:c>
      <x:c r="AM485" s="9" t="n">
        <x:v>35</x:v>
      </x:c>
      <x:c r="AN485" s="9" t="n">
        <x:v>35</x:v>
      </x:c>
    </x:row>
    <x:row r="486">
      <x:c r="A486" s="9" t="str">
        <x:v>Failure</x:v>
      </x:c>
      <x:c r="B486" s="9" t="str">
        <x:v>Relational Placement</x:v>
      </x:c>
      <x:c r="C486" s="10" t="n">
        <x:v>34</x:v>
      </x:c>
      <x:c r="D486" s="9" t="str">
        <x:v>Place the red block to the left of the green pen.</x:v>
      </x:c>
      <x:c r="E486" s="9" t="str">
        <x:v>green pen, red block, blue block, pink marker</x:v>
      </x:c>
      <x:c r="F486" s="9" t="str">
        <x:v>red block → 2–8 cm edge gap to the left of green pen; centroid direction within ±45°.</x:v>
      </x:c>
      <x:c r="G486" s="9" t="str">
        <x:v>rotated the green pen so the red block is in front of the green pen</x:v>
      </x:c>
      <x:c r="H486" s="9" t="str">
        <x:v>Concept/compositional transfer</x:v>
      </x:c>
      <x:c r="I486" s="9" t="str">
        <x:v>RP-CT-CF04</x:v>
      </x:c>
      <x:c r="J486" s="9" t="str">
        <x:v>Four-way held-out counterfactual: relation polarity × target/reference role</x:v>
      </x:c>
      <x:c r="K486" s="9" t="n">
        <x:v>32</x:v>
      </x:c>
      <x:c r="L486" s="9" t="str">
        <x:v>285</x:v>
      </x:c>
      <x:c r="M486" s="9"/>
      <x:c r="N486" s="9"/>
      <x:c r="O486" s="9" t="str">
        <x:v>Reset both core objects to their marked poses; preserve distractors, camera, and robot start; change only the instruction.</x:v>
      </x:c>
      <x:c r="P486" s="9" t="str">
        <x:v>The directional word × ordered green-pen/red-block role is held out. Source episode 285 supplies the same target manipulation under a trained near/next-to/beside prompt. The orthogonal start prevents an inverse-start shortcut.</x:v>
      </x:c>
      <x:c r="Q486" s="9"/>
      <x:c r="R486" s="10" t="n">
        <x:v>4</x:v>
      </x:c>
      <x:c r="S486" s="10"/>
      <x:c r="T486" s="9"/>
      <x:c r="U486" s="9"/>
      <x:c r="V486" s="9"/>
      <x:c r="W486" s="9"/>
      <x:c r="X486" s="10"/>
      <x:c r="Y486" s="10"/>
      <x:c r="Z486" s="9"/>
      <x:c r="AA486" s="9"/>
      <x:c r="AB486" s="9"/>
      <x:c r="AC486" s="9" t="str">
        <x:v>left</x:v>
      </x:c>
      <x:c r="AD486" s="9" t="str">
        <x:v>red block</x:v>
      </x:c>
      <x:c r="AE486" s="9" t="str">
        <x:v>green pen</x:v>
      </x:c>
      <x:c r="AF486" s="9" t="str">
        <x:v>None</x:v>
      </x:c>
      <x:c r="AG486" s="9"/>
      <x:c r="AH486" s="9"/>
      <x:c r="AI486" s="11"/>
      <x:c r="AJ486" s="9"/>
      <x:c r="AK486" s="9" t="str">
        <x:v>Eval_Relational_Placement (1).xlsm</x:v>
      </x:c>
      <x:c r="AL486" s="9" t="str">
        <x:v>pi0.5 Results</x:v>
      </x:c>
      <x:c r="AM486" s="9" t="n">
        <x:v>36</x:v>
      </x:c>
      <x:c r="AN486" s="9" t="n">
        <x:v>36</x:v>
      </x:c>
    </x:row>
    <x:row r="487">
      <x:c r="A487" s="9" t="str">
        <x:v>Success</x:v>
      </x:c>
      <x:c r="B487" s="9" t="str">
        <x:v>Relational Placement</x:v>
      </x:c>
      <x:c r="C487" s="10" t="n">
        <x:v>35</x:v>
      </x:c>
      <x:c r="D487" s="9" t="str">
        <x:v>Place the red block to the right of the green pen.</x:v>
      </x:c>
      <x:c r="E487" s="9" t="str">
        <x:v>green pen, red block, blue block, pink marker</x:v>
      </x:c>
      <x:c r="F487" s="9" t="str">
        <x:v>red block → 2–8 cm edge gap to the right of green pen; centroid direction within ±45°.</x:v>
      </x:c>
      <x:c r="G487" s="9"/>
      <x:c r="H487" s="9" t="str">
        <x:v>Concept/compositional transfer</x:v>
      </x:c>
      <x:c r="I487" s="9" t="str">
        <x:v>RP-CT-CF04</x:v>
      </x:c>
      <x:c r="J487" s="9" t="str">
        <x:v>Four-way held-out counterfactual: relation polarity × target/reference role</x:v>
      </x:c>
      <x:c r="K487" s="9" t="n">
        <x:v>32</x:v>
      </x:c>
      <x:c r="L487" s="9" t="str">
        <x:v>298</x:v>
      </x:c>
      <x:c r="M487" s="9"/>
      <x:c r="N487" s="9"/>
      <x:c r="O487" s="9" t="str">
        <x:v>Reset both core objects to their marked poses; preserve distractors, camera, and robot start; change only the instruction.</x:v>
      </x:c>
      <x:c r="P487" s="9" t="str">
        <x:v>The directional word × ordered green-pen/red-block role is held out. Source episode 298 supplies the same target manipulation under a trained near/next-to/beside prompt. The orthogonal start prevents an inverse-start shortcut.</x:v>
      </x:c>
      <x:c r="Q487" s="9"/>
      <x:c r="R487" s="10" t="n">
        <x:v>4</x:v>
      </x:c>
      <x:c r="S487" s="10"/>
      <x:c r="T487" s="9"/>
      <x:c r="U487" s="9"/>
      <x:c r="V487" s="9"/>
      <x:c r="W487" s="9"/>
      <x:c r="X487" s="10"/>
      <x:c r="Y487" s="10"/>
      <x:c r="Z487" s="9"/>
      <x:c r="AA487" s="9"/>
      <x:c r="AB487" s="9"/>
      <x:c r="AC487" s="9" t="str">
        <x:v>right</x:v>
      </x:c>
      <x:c r="AD487" s="9" t="str">
        <x:v>red block</x:v>
      </x:c>
      <x:c r="AE487" s="9" t="str">
        <x:v>green pen</x:v>
      </x:c>
      <x:c r="AF487" s="9" t="str">
        <x:v>None</x:v>
      </x:c>
      <x:c r="AG487" s="9"/>
      <x:c r="AH487" s="9"/>
      <x:c r="AI487" s="11"/>
      <x:c r="AJ487" s="9"/>
      <x:c r="AK487" s="9" t="str">
        <x:v>Eval_Relational_Placement (1).xlsm</x:v>
      </x:c>
      <x:c r="AL487" s="9" t="str">
        <x:v>pi0.5 Results</x:v>
      </x:c>
      <x:c r="AM487" s="9" t="n">
        <x:v>37</x:v>
      </x:c>
      <x:c r="AN487" s="9" t="n">
        <x:v>37</x:v>
      </x:c>
    </x:row>
    <x:row r="488">
      <x:c r="A488" s="9" t="str">
        <x:v>Success</x:v>
      </x:c>
      <x:c r="B488" s="9" t="str">
        <x:v>Relational Placement</x:v>
      </x:c>
      <x:c r="C488" s="10" t="n">
        <x:v>36</x:v>
      </x:c>
      <x:c r="D488" s="9" t="str">
        <x:v>Place the green pen to the left of the red block.</x:v>
      </x:c>
      <x:c r="E488" s="9" t="str">
        <x:v>green pen, red block, pink marker</x:v>
      </x:c>
      <x:c r="F488" s="9" t="str">
        <x:v>green pen → 2–8 cm edge gap to the left of red block; centroid direction within ±45°.</x:v>
      </x:c>
      <x:c r="G488" s="9"/>
      <x:c r="H488" s="9" t="str">
        <x:v>Concept/compositional transfer</x:v>
      </x:c>
      <x:c r="I488" s="9" t="str">
        <x:v>RP-CT-CF05</x:v>
      </x:c>
      <x:c r="J488" s="9" t="str">
        <x:v>Four-way held-out counterfactual: relation polarity × target/reference role</x:v>
      </x:c>
      <x:c r="K488" s="9"/>
      <x:c r="L488" s="9" t="str">
        <x:v>226</x:v>
      </x:c>
      <x:c r="M488" s="9"/>
      <x:c r="N488" s="9"/>
      <x:c r="O488" s="9" t="str">
        <x:v>Build the listed neutral-axis scene and save the first frame.</x:v>
      </x:c>
      <x:c r="P488" s="9" t="str">
        <x:v>The directional word × ordered green-pen/red-block role is held out. Source episode 226 supplies the same target manipulation under a trained near/next-to/beside prompt. The orthogonal start prevents an inverse-start shortcut.</x:v>
      </x:c>
      <x:c r="Q488" s="9"/>
      <x:c r="R488" s="10" t="n">
        <x:v>3</x:v>
      </x:c>
      <x:c r="S488" s="10"/>
      <x:c r="T488" s="9"/>
      <x:c r="U488" s="9"/>
      <x:c r="V488" s="9"/>
      <x:c r="W488" s="9"/>
      <x:c r="X488" s="10"/>
      <x:c r="Y488" s="10"/>
      <x:c r="Z488" s="9"/>
      <x:c r="AA488" s="9"/>
      <x:c r="AB488" s="9"/>
      <x:c r="AC488" s="9" t="str">
        <x:v>left</x:v>
      </x:c>
      <x:c r="AD488" s="9" t="str">
        <x:v>green pen</x:v>
      </x:c>
      <x:c r="AE488" s="9" t="str">
        <x:v>red block</x:v>
      </x:c>
      <x:c r="AF488" s="9" t="str">
        <x:v>None</x:v>
      </x:c>
      <x:c r="AG488" s="9"/>
      <x:c r="AH488" s="9"/>
      <x:c r="AI488" s="11"/>
      <x:c r="AJ488" s="9"/>
      <x:c r="AK488" s="9" t="str">
        <x:v>Eval_Relational_Placement (1).xlsm</x:v>
      </x:c>
      <x:c r="AL488" s="9" t="str">
        <x:v>pi0.5 Results</x:v>
      </x:c>
      <x:c r="AM488" s="9" t="n">
        <x:v>38</x:v>
      </x:c>
      <x:c r="AN488" s="9" t="n">
        <x:v>38</x:v>
      </x:c>
    </x:row>
    <x:row r="489">
      <x:c r="A489" s="9" t="str">
        <x:v>Failure</x:v>
      </x:c>
      <x:c r="B489" s="9" t="str">
        <x:v>Relational Placement</x:v>
      </x:c>
      <x:c r="C489" s="10" t="n">
        <x:v>37</x:v>
      </x:c>
      <x:c r="D489" s="9" t="str">
        <x:v>Place the green pen to the right of the red block.</x:v>
      </x:c>
      <x:c r="E489" s="9" t="str">
        <x:v>green pen, red block, pink marker</x:v>
      </x:c>
      <x:c r="F489" s="9" t="str">
        <x:v>green pen → 2–8 cm edge gap to the right of red block; centroid direction within ±45°.</x:v>
      </x:c>
      <x:c r="G489" s="9" t="str">
        <x:v>placed to the left again</x:v>
      </x:c>
      <x:c r="H489" s="9" t="str">
        <x:v>Concept/compositional transfer</x:v>
      </x:c>
      <x:c r="I489" s="9" t="str">
        <x:v>RP-CT-CF05</x:v>
      </x:c>
      <x:c r="J489" s="9" t="str">
        <x:v>Four-way held-out counterfactual: relation polarity × target/reference role</x:v>
      </x:c>
      <x:c r="K489" s="9" t="n">
        <x:v>36</x:v>
      </x:c>
      <x:c r="L489" s="9" t="str">
        <x:v>238</x:v>
      </x:c>
      <x:c r="M489" s="9"/>
      <x:c r="N489" s="9"/>
      <x:c r="O489" s="9" t="str">
        <x:v>Reset both core objects to their marked poses; preserve distractors, camera, and robot start; change only the instruction.</x:v>
      </x:c>
      <x:c r="P489" s="9" t="str">
        <x:v>The directional word × ordered green-pen/red-block role is held out. Source episode 238 supplies the same target manipulation under a trained near/next-to/beside prompt. The orthogonal start prevents an inverse-start shortcut.</x:v>
      </x:c>
      <x:c r="Q489" s="9"/>
      <x:c r="R489" s="10" t="n">
        <x:v>3</x:v>
      </x:c>
      <x:c r="S489" s="10"/>
      <x:c r="T489" s="9"/>
      <x:c r="U489" s="9"/>
      <x:c r="V489" s="9"/>
      <x:c r="W489" s="9"/>
      <x:c r="X489" s="10"/>
      <x:c r="Y489" s="10"/>
      <x:c r="Z489" s="9"/>
      <x:c r="AA489" s="9"/>
      <x:c r="AB489" s="9"/>
      <x:c r="AC489" s="9" t="str">
        <x:v>right</x:v>
      </x:c>
      <x:c r="AD489" s="9" t="str">
        <x:v>green pen</x:v>
      </x:c>
      <x:c r="AE489" s="9" t="str">
        <x:v>red block</x:v>
      </x:c>
      <x:c r="AF489" s="9" t="str">
        <x:v>None</x:v>
      </x:c>
      <x:c r="AG489" s="9"/>
      <x:c r="AH489" s="9"/>
      <x:c r="AI489" s="11"/>
      <x:c r="AJ489" s="9"/>
      <x:c r="AK489" s="9" t="str">
        <x:v>Eval_Relational_Placement (1).xlsm</x:v>
      </x:c>
      <x:c r="AL489" s="9" t="str">
        <x:v>pi0.5 Results</x:v>
      </x:c>
      <x:c r="AM489" s="9" t="n">
        <x:v>39</x:v>
      </x:c>
      <x:c r="AN489" s="9" t="n">
        <x:v>39</x:v>
      </x:c>
    </x:row>
    <x:row r="490">
      <x:c r="A490" s="9" t="str">
        <x:v>Success</x:v>
      </x:c>
      <x:c r="B490" s="9" t="str">
        <x:v>Relational Placement</x:v>
      </x:c>
      <x:c r="C490" s="10" t="n">
        <x:v>38</x:v>
      </x:c>
      <x:c r="D490" s="9" t="str">
        <x:v>Place the red block to the left of the green pen.</x:v>
      </x:c>
      <x:c r="E490" s="9" t="str">
        <x:v>green pen, red block, pink marker</x:v>
      </x:c>
      <x:c r="F490" s="9" t="str">
        <x:v>red block → 2–8 cm edge gap to the left of green pen; centroid direction within ±45°.</x:v>
      </x:c>
      <x:c r="G490" s="9" t="str">
        <x:v>top left but I'll count it</x:v>
      </x:c>
      <x:c r="H490" s="9" t="str">
        <x:v>Concept/compositional transfer</x:v>
      </x:c>
      <x:c r="I490" s="9" t="str">
        <x:v>RP-CT-CF05</x:v>
      </x:c>
      <x:c r="J490" s="9" t="str">
        <x:v>Four-way held-out counterfactual: relation polarity × target/reference role</x:v>
      </x:c>
      <x:c r="K490" s="9" t="n">
        <x:v>36</x:v>
      </x:c>
      <x:c r="L490" s="9" t="str">
        <x:v>284</x:v>
      </x:c>
      <x:c r="M490" s="9"/>
      <x:c r="N490" s="9"/>
      <x:c r="O490" s="9" t="str">
        <x:v>Reset both core objects to their marked poses; preserve distractors, camera, and robot start; change only the instruction.</x:v>
      </x:c>
      <x:c r="P490" s="9" t="str">
        <x:v>The directional word × ordered green-pen/red-block role is held out. Source episode 284 supplies the same target manipulation under a trained near/next-to/beside prompt. The orthogonal start prevents an inverse-start shortcut.</x:v>
      </x:c>
      <x:c r="Q490" s="9"/>
      <x:c r="R490" s="10" t="n">
        <x:v>3</x:v>
      </x:c>
      <x:c r="S490" s="10"/>
      <x:c r="T490" s="9"/>
      <x:c r="U490" s="9"/>
      <x:c r="V490" s="9"/>
      <x:c r="W490" s="9"/>
      <x:c r="X490" s="10"/>
      <x:c r="Y490" s="10"/>
      <x:c r="Z490" s="9"/>
      <x:c r="AA490" s="9"/>
      <x:c r="AB490" s="9"/>
      <x:c r="AC490" s="9" t="str">
        <x:v>left</x:v>
      </x:c>
      <x:c r="AD490" s="9" t="str">
        <x:v>red block</x:v>
      </x:c>
      <x:c r="AE490" s="9" t="str">
        <x:v>green pen</x:v>
      </x:c>
      <x:c r="AF490" s="9" t="str">
        <x:v>None</x:v>
      </x:c>
      <x:c r="AG490" s="9"/>
      <x:c r="AH490" s="9"/>
      <x:c r="AI490" s="11"/>
      <x:c r="AJ490" s="9"/>
      <x:c r="AK490" s="9" t="str">
        <x:v>Eval_Relational_Placement (1).xlsm</x:v>
      </x:c>
      <x:c r="AL490" s="9" t="str">
        <x:v>pi0.5 Results</x:v>
      </x:c>
      <x:c r="AM490" s="9" t="n">
        <x:v>40</x:v>
      </x:c>
      <x:c r="AN490" s="9" t="n">
        <x:v>40</x:v>
      </x:c>
    </x:row>
    <x:row r="491">
      <x:c r="A491" s="9" t="str">
        <x:v>Success</x:v>
      </x:c>
      <x:c r="B491" s="9" t="str">
        <x:v>Relational Placement</x:v>
      </x:c>
      <x:c r="C491" s="10" t="n">
        <x:v>39</x:v>
      </x:c>
      <x:c r="D491" s="9" t="str">
        <x:v>Place the red block to the right of the green pen.</x:v>
      </x:c>
      <x:c r="E491" s="9" t="str">
        <x:v>green pen, red block, pink marker</x:v>
      </x:c>
      <x:c r="F491" s="9" t="str">
        <x:v>red block → 2–8 cm edge gap to the right of green pen; centroid direction within ±45°.</x:v>
      </x:c>
      <x:c r="G491" s="9"/>
      <x:c r="H491" s="9" t="str">
        <x:v>Concept/compositional transfer</x:v>
      </x:c>
      <x:c r="I491" s="9" t="str">
        <x:v>RP-CT-CF05</x:v>
      </x:c>
      <x:c r="J491" s="9" t="str">
        <x:v>Four-way held-out counterfactual: relation polarity × target/reference role</x:v>
      </x:c>
      <x:c r="K491" s="9" t="n">
        <x:v>36</x:v>
      </x:c>
      <x:c r="L491" s="9" t="str">
        <x:v>297</x:v>
      </x:c>
      <x:c r="M491" s="9"/>
      <x:c r="N491" s="9"/>
      <x:c r="O491" s="9" t="str">
        <x:v>Reset both core objects to their marked poses; preserve distractors, camera, and robot start; change only the instruction.</x:v>
      </x:c>
      <x:c r="P491" s="9" t="str">
        <x:v>The directional word × ordered green-pen/red-block role is held out. Source episode 297 supplies the same target manipulation under a trained near/next-to/beside prompt. The orthogonal start prevents an inverse-start shortcut.</x:v>
      </x:c>
      <x:c r="Q491" s="9"/>
      <x:c r="R491" s="10" t="n">
        <x:v>3</x:v>
      </x:c>
      <x:c r="S491" s="10"/>
      <x:c r="T491" s="9"/>
      <x:c r="U491" s="9"/>
      <x:c r="V491" s="9"/>
      <x:c r="W491" s="9"/>
      <x:c r="X491" s="10"/>
      <x:c r="Y491" s="10"/>
      <x:c r="Z491" s="9"/>
      <x:c r="AA491" s="9"/>
      <x:c r="AB491" s="9"/>
      <x:c r="AC491" s="9" t="str">
        <x:v>right</x:v>
      </x:c>
      <x:c r="AD491" s="9" t="str">
        <x:v>red block</x:v>
      </x:c>
      <x:c r="AE491" s="9" t="str">
        <x:v>green pen</x:v>
      </x:c>
      <x:c r="AF491" s="9" t="str">
        <x:v>None</x:v>
      </x:c>
      <x:c r="AG491" s="9"/>
      <x:c r="AH491" s="9"/>
      <x:c r="AI491" s="11"/>
      <x:c r="AJ491" s="9"/>
      <x:c r="AK491" s="9" t="str">
        <x:v>Eval_Relational_Placement (1).xlsm</x:v>
      </x:c>
      <x:c r="AL491" s="9" t="str">
        <x:v>pi0.5 Results</x:v>
      </x:c>
      <x:c r="AM491" s="9" t="n">
        <x:v>41</x:v>
      </x:c>
      <x:c r="AN491" s="9" t="n">
        <x:v>41</x:v>
      </x:c>
    </x:row>
    <x:row r="492">
      <x:c r="A492" s="9" t="str">
        <x:v>Failure</x:v>
      </x:c>
      <x:c r="B492" s="9" t="str">
        <x:v>Relational Placement</x:v>
      </x:c>
      <x:c r="C492" s="10" t="n">
        <x:v>40</x:v>
      </x:c>
      <x:c r="D492" s="9" t="str">
        <x:v>Place the green pen to the left of the red block.</x:v>
      </x:c>
      <x:c r="E492" s="9" t="str">
        <x:v>green pen, red block, blue block, pink marker</x:v>
      </x:c>
      <x:c r="F492" s="9" t="str">
        <x:v>green pen → 2–8 cm edge gap to the left of red block; centroid direction within ±45°.</x:v>
      </x:c>
      <x:c r="G492" s="9" t="str">
        <x:v>placed behind</x:v>
      </x:c>
      <x:c r="H492" s="9" t="str">
        <x:v>Concept/compositional transfer</x:v>
      </x:c>
      <x:c r="I492" s="9" t="str">
        <x:v>RP-CT-CF06</x:v>
      </x:c>
      <x:c r="J492" s="9" t="str">
        <x:v>Four-way held-out counterfactual: relation polarity × target/reference role</x:v>
      </x:c>
      <x:c r="K492" s="9"/>
      <x:c r="L492" s="9" t="str">
        <x:v>227</x:v>
      </x:c>
      <x:c r="M492" s="9"/>
      <x:c r="N492" s="9"/>
      <x:c r="O492" s="9" t="str">
        <x:v>Build the listed neutral-axis scene and save the first frame.</x:v>
      </x:c>
      <x:c r="P492" s="9" t="str">
        <x:v>The directional word × ordered green-pen/red-block role is held out. Source episode 227 supplies the same target manipulation under a trained near/next-to/beside prompt. The orthogonal start prevents an inverse-start shortcut.</x:v>
      </x:c>
      <x:c r="Q492" s="9"/>
      <x:c r="R492" s="10" t="n">
        <x:v>4</x:v>
      </x:c>
      <x:c r="S492" s="10"/>
      <x:c r="T492" s="9"/>
      <x:c r="U492" s="9"/>
      <x:c r="V492" s="9"/>
      <x:c r="W492" s="9"/>
      <x:c r="X492" s="10"/>
      <x:c r="Y492" s="10"/>
      <x:c r="Z492" s="9"/>
      <x:c r="AA492" s="9"/>
      <x:c r="AB492" s="9"/>
      <x:c r="AC492" s="9" t="str">
        <x:v>left</x:v>
      </x:c>
      <x:c r="AD492" s="9" t="str">
        <x:v>green pen</x:v>
      </x:c>
      <x:c r="AE492" s="9" t="str">
        <x:v>red block</x:v>
      </x:c>
      <x:c r="AF492" s="9" t="str">
        <x:v>None</x:v>
      </x:c>
      <x:c r="AG492" s="9"/>
      <x:c r="AH492" s="9"/>
      <x:c r="AI492" s="11"/>
      <x:c r="AJ492" s="9"/>
      <x:c r="AK492" s="9" t="str">
        <x:v>Eval_Relational_Placement (1).xlsm</x:v>
      </x:c>
      <x:c r="AL492" s="9" t="str">
        <x:v>pi0.5 Results</x:v>
      </x:c>
      <x:c r="AM492" s="9" t="n">
        <x:v>42</x:v>
      </x:c>
      <x:c r="AN492" s="9" t="n">
        <x:v>42</x:v>
      </x:c>
    </x:row>
    <x:row r="493">
      <x:c r="A493" s="9" t="str">
        <x:v>Success</x:v>
      </x:c>
      <x:c r="B493" s="9" t="str">
        <x:v>Relational Placement</x:v>
      </x:c>
      <x:c r="C493" s="10" t="n">
        <x:v>41</x:v>
      </x:c>
      <x:c r="D493" s="9" t="str">
        <x:v>Place the green pen to the right of the red block.</x:v>
      </x:c>
      <x:c r="E493" s="9" t="str">
        <x:v>green pen, red block, blue block, pink marker</x:v>
      </x:c>
      <x:c r="F493" s="9" t="str">
        <x:v>green pen → 2–8 cm edge gap to the right of red block; centroid direction within ±45°.</x:v>
      </x:c>
      <x:c r="G493" s="9"/>
      <x:c r="H493" s="9" t="str">
        <x:v>Concept/compositional transfer</x:v>
      </x:c>
      <x:c r="I493" s="9" t="str">
        <x:v>RP-CT-CF06</x:v>
      </x:c>
      <x:c r="J493" s="9" t="str">
        <x:v>Four-way held-out counterfactual: relation polarity × target/reference role</x:v>
      </x:c>
      <x:c r="K493" s="9" t="n">
        <x:v>40</x:v>
      </x:c>
      <x:c r="L493" s="9" t="str">
        <x:v>241</x:v>
      </x:c>
      <x:c r="M493" s="9"/>
      <x:c r="N493" s="9"/>
      <x:c r="O493" s="9" t="str">
        <x:v>Reset both core objects to their marked poses; preserve distractors, camera, and robot start; change only the instruction.</x:v>
      </x:c>
      <x:c r="P493" s="9" t="str">
        <x:v>The directional word × ordered green-pen/red-block role is held out. Source episode 241 supplies the same target manipulation under a trained near/next-to/beside prompt. The orthogonal start prevents an inverse-start shortcut.</x:v>
      </x:c>
      <x:c r="Q493" s="9"/>
      <x:c r="R493" s="10" t="n">
        <x:v>4</x:v>
      </x:c>
      <x:c r="S493" s="10"/>
      <x:c r="T493" s="9"/>
      <x:c r="U493" s="9"/>
      <x:c r="V493" s="9"/>
      <x:c r="W493" s="9"/>
      <x:c r="X493" s="10"/>
      <x:c r="Y493" s="10"/>
      <x:c r="Z493" s="9"/>
      <x:c r="AA493" s="9"/>
      <x:c r="AB493" s="9"/>
      <x:c r="AC493" s="9" t="str">
        <x:v>right</x:v>
      </x:c>
      <x:c r="AD493" s="9" t="str">
        <x:v>green pen</x:v>
      </x:c>
      <x:c r="AE493" s="9" t="str">
        <x:v>red block</x:v>
      </x:c>
      <x:c r="AF493" s="9" t="str">
        <x:v>None</x:v>
      </x:c>
      <x:c r="AG493" s="9"/>
      <x:c r="AH493" s="9"/>
      <x:c r="AI493" s="11"/>
      <x:c r="AJ493" s="9"/>
      <x:c r="AK493" s="9" t="str">
        <x:v>Eval_Relational_Placement (1).xlsm</x:v>
      </x:c>
      <x:c r="AL493" s="9" t="str">
        <x:v>pi0.5 Results</x:v>
      </x:c>
      <x:c r="AM493" s="9" t="n">
        <x:v>43</x:v>
      </x:c>
      <x:c r="AN493" s="9" t="n">
        <x:v>43</x:v>
      </x:c>
    </x:row>
    <x:row r="494">
      <x:c r="A494" s="9" t="str">
        <x:v>Failure</x:v>
      </x:c>
      <x:c r="B494" s="9" t="str">
        <x:v>Relational Placement</x:v>
      </x:c>
      <x:c r="C494" s="10" t="n">
        <x:v>42</x:v>
      </x:c>
      <x:c r="D494" s="9" t="str">
        <x:v>Place the red block to the left of the green pen.</x:v>
      </x:c>
      <x:c r="E494" s="9" t="str">
        <x:v>green pen, red block, blue block, pink marker</x:v>
      </x:c>
      <x:c r="F494" s="9" t="str">
        <x:v>red block → 2–8 cm edge gap to the left of green pen; centroid direction within ±45°.</x:v>
      </x:c>
      <x:c r="G494" s="9" t="str">
        <x:v>placed in front</x:v>
      </x:c>
      <x:c r="H494" s="9" t="str">
        <x:v>Concept/compositional transfer</x:v>
      </x:c>
      <x:c r="I494" s="9" t="str">
        <x:v>RP-CT-CF06</x:v>
      </x:c>
      <x:c r="J494" s="9" t="str">
        <x:v>Four-way held-out counterfactual: relation polarity × target/reference role</x:v>
      </x:c>
      <x:c r="K494" s="9" t="n">
        <x:v>40</x:v>
      </x:c>
      <x:c r="L494" s="9" t="str">
        <x:v>285</x:v>
      </x:c>
      <x:c r="M494" s="9"/>
      <x:c r="N494" s="9"/>
      <x:c r="O494" s="9" t="str">
        <x:v>Reset both core objects to their marked poses; preserve distractors, camera, and robot start; change only the instruction.</x:v>
      </x:c>
      <x:c r="P494" s="9" t="str">
        <x:v>The directional word × ordered green-pen/red-block role is held out. Source episode 285 supplies the same target manipulation under a trained near/next-to/beside prompt. The orthogonal start prevents an inverse-start shortcut.</x:v>
      </x:c>
      <x:c r="Q494" s="9"/>
      <x:c r="R494" s="10" t="n">
        <x:v>4</x:v>
      </x:c>
      <x:c r="S494" s="10"/>
      <x:c r="T494" s="9"/>
      <x:c r="U494" s="9"/>
      <x:c r="V494" s="9"/>
      <x:c r="W494" s="9"/>
      <x:c r="X494" s="10"/>
      <x:c r="Y494" s="10"/>
      <x:c r="Z494" s="9"/>
      <x:c r="AA494" s="9"/>
      <x:c r="AB494" s="9"/>
      <x:c r="AC494" s="9" t="str">
        <x:v>left</x:v>
      </x:c>
      <x:c r="AD494" s="9" t="str">
        <x:v>red block</x:v>
      </x:c>
      <x:c r="AE494" s="9" t="str">
        <x:v>green pen</x:v>
      </x:c>
      <x:c r="AF494" s="9" t="str">
        <x:v>None</x:v>
      </x:c>
      <x:c r="AG494" s="9"/>
      <x:c r="AH494" s="9"/>
      <x:c r="AI494" s="11"/>
      <x:c r="AJ494" s="9"/>
      <x:c r="AK494" s="9" t="str">
        <x:v>Eval_Relational_Placement (1).xlsm</x:v>
      </x:c>
      <x:c r="AL494" s="9" t="str">
        <x:v>pi0.5 Results</x:v>
      </x:c>
      <x:c r="AM494" s="9" t="n">
        <x:v>44</x:v>
      </x:c>
      <x:c r="AN494" s="9" t="n">
        <x:v>44</x:v>
      </x:c>
    </x:row>
    <x:row r="495">
      <x:c r="A495" s="9" t="str">
        <x:v>Success</x:v>
      </x:c>
      <x:c r="B495" s="9" t="str">
        <x:v>Relational Placement</x:v>
      </x:c>
      <x:c r="C495" s="10" t="n">
        <x:v>43</x:v>
      </x:c>
      <x:c r="D495" s="9" t="str">
        <x:v>Place the red block to the right of the green pen.</x:v>
      </x:c>
      <x:c r="E495" s="9" t="str">
        <x:v>green pen, red block, blue block, pink marker</x:v>
      </x:c>
      <x:c r="F495" s="9" t="str">
        <x:v>red block → 2–8 cm edge gap to the right of green pen; centroid direction within ±45°.</x:v>
      </x:c>
      <x:c r="G495" s="9" t="str">
        <x:v>put on the right side of the pen, and it rotated such that it ended on the right of the pen.</x:v>
      </x:c>
      <x:c r="H495" s="9" t="str">
        <x:v>Concept/compositional transfer</x:v>
      </x:c>
      <x:c r="I495" s="9" t="str">
        <x:v>RP-CT-CF06</x:v>
      </x:c>
      <x:c r="J495" s="9" t="str">
        <x:v>Four-way held-out counterfactual: relation polarity × target/reference role</x:v>
      </x:c>
      <x:c r="K495" s="9" t="n">
        <x:v>40</x:v>
      </x:c>
      <x:c r="L495" s="9" t="str">
        <x:v>298</x:v>
      </x:c>
      <x:c r="M495" s="9"/>
      <x:c r="N495" s="9"/>
      <x:c r="O495" s="9" t="str">
        <x:v>Reset both core objects to their marked poses; preserve distractors, camera, and robot start; change only the instruction.</x:v>
      </x:c>
      <x:c r="P495" s="9" t="str">
        <x:v>The directional word × ordered green-pen/red-block role is held out. Source episode 298 supplies the same target manipulation under a trained near/next-to/beside prompt. The orthogonal start prevents an inverse-start shortcut.</x:v>
      </x:c>
      <x:c r="Q495" s="9"/>
      <x:c r="R495" s="10" t="n">
        <x:v>4</x:v>
      </x:c>
      <x:c r="S495" s="10"/>
      <x:c r="T495" s="9"/>
      <x:c r="U495" s="9"/>
      <x:c r="V495" s="9"/>
      <x:c r="W495" s="9"/>
      <x:c r="X495" s="10"/>
      <x:c r="Y495" s="10"/>
      <x:c r="Z495" s="9"/>
      <x:c r="AA495" s="9"/>
      <x:c r="AB495" s="9"/>
      <x:c r="AC495" s="9" t="str">
        <x:v>right</x:v>
      </x:c>
      <x:c r="AD495" s="9" t="str">
        <x:v>red block</x:v>
      </x:c>
      <x:c r="AE495" s="9" t="str">
        <x:v>green pen</x:v>
      </x:c>
      <x:c r="AF495" s="9" t="str">
        <x:v>None</x:v>
      </x:c>
      <x:c r="AG495" s="9"/>
      <x:c r="AH495" s="9"/>
      <x:c r="AI495" s="11"/>
      <x:c r="AJ495" s="9"/>
      <x:c r="AK495" s="9" t="str">
        <x:v>Eval_Relational_Placement (1).xlsm</x:v>
      </x:c>
      <x:c r="AL495" s="9" t="str">
        <x:v>pi0.5 Results</x:v>
      </x:c>
      <x:c r="AM495" s="9" t="n">
        <x:v>45</x:v>
      </x:c>
      <x:c r="AN495" s="9" t="n">
        <x:v>45</x:v>
      </x:c>
    </x:row>
    <x:row r="496">
      <x:c r="A496" s="9" t="str">
        <x:v>Success</x:v>
      </x:c>
      <x:c r="B496" s="9" t="str">
        <x:v>Relational Placement</x:v>
      </x:c>
      <x:c r="C496" s="10" t="n">
        <x:v>44</x:v>
      </x:c>
      <x:c r="D496" s="9" t="str">
        <x:v>Place the green pen in front of the red block.</x:v>
      </x:c>
      <x:c r="E496" s="9" t="str">
        <x:v>green pen, red block, pink marker</x:v>
      </x:c>
      <x:c r="F496" s="9" t="str">
        <x:v>green pen → 2–8 cm edge gap in front of red block; centroid direction within ±45°.</x:v>
      </x:c>
      <x:c r="G496" s="9" t="str">
        <x:v>super good rollout</x:v>
      </x:c>
      <x:c r="H496" s="9" t="str">
        <x:v>Concept/compositional transfer</x:v>
      </x:c>
      <x:c r="I496" s="9" t="str">
        <x:v>RP-CT-N01</x:v>
      </x:c>
      <x:c r="J496" s="9" t="str">
        <x:v>Neutral-axis independent compositional-transfer scene</x:v>
      </x:c>
      <x:c r="K496" s="9"/>
      <x:c r="L496" s="9" t="str">
        <x:v>201</x:v>
      </x:c>
      <x:c r="M496" s="9"/>
      <x:c r="N496" s="9"/>
      <x:c r="O496" s="9" t="str">
        <x:v>Build the listed neutral-axis scene and save the first frame.</x:v>
      </x:c>
      <x:c r="P496" s="9" t="str">
        <x:v>Independent held-out-composition scene. Source episode 201 supplies target recognition/manipulation under the trained prompt “Place the green pen next to the red block.”. The orthogonal start removes the opposite-side shortcut.</x:v>
      </x:c>
      <x:c r="Q496" s="9"/>
      <x:c r="R496" s="10" t="n">
        <x:v>3</x:v>
      </x:c>
      <x:c r="S496" s="10"/>
      <x:c r="T496" s="9"/>
      <x:c r="U496" s="9"/>
      <x:c r="V496" s="9"/>
      <x:c r="W496" s="9"/>
      <x:c r="X496" s="10"/>
      <x:c r="Y496" s="10"/>
      <x:c r="Z496" s="9"/>
      <x:c r="AA496" s="9"/>
      <x:c r="AB496" s="9"/>
      <x:c r="AC496" s="9" t="str">
        <x:v>front</x:v>
      </x:c>
      <x:c r="AD496" s="9" t="str">
        <x:v>green pen</x:v>
      </x:c>
      <x:c r="AE496" s="9" t="str">
        <x:v>red block</x:v>
      </x:c>
      <x:c r="AF496" s="9" t="str">
        <x:v>None</x:v>
      </x:c>
      <x:c r="AG496" s="9"/>
      <x:c r="AH496" s="9"/>
      <x:c r="AI496" s="11"/>
      <x:c r="AJ496" s="9"/>
      <x:c r="AK496" s="9" t="str">
        <x:v>Eval_Relational_Placement (1).xlsm</x:v>
      </x:c>
      <x:c r="AL496" s="9" t="str">
        <x:v>pi0.5 Results</x:v>
      </x:c>
      <x:c r="AM496" s="9" t="n">
        <x:v>46</x:v>
      </x:c>
      <x:c r="AN496" s="9" t="n">
        <x:v>46</x:v>
      </x:c>
    </x:row>
    <x:row r="497">
      <x:c r="A497" s="9" t="str">
        <x:v>Success</x:v>
      </x:c>
      <x:c r="B497" s="9" t="str">
        <x:v>Relational Placement</x:v>
      </x:c>
      <x:c r="C497" s="10" t="n">
        <x:v>45</x:v>
      </x:c>
      <x:c r="D497" s="9" t="str">
        <x:v>Place the green pen next to the red block.</x:v>
      </x:c>
      <x:c r="E497" s="9" t="str">
        <x:v>green pen, red block, pink marker</x:v>
      </x:c>
      <x:c r="F497" s="9" t="str">
        <x:v>green pen → 2–8 cm edge gap near red block; no directional sector required.</x:v>
      </x:c>
      <x:c r="G497" s="9" t="str">
        <x:v>placed in front</x:v>
      </x:c>
      <x:c r="H497" s="9" t="str">
        <x:v>Matched manipulation control</x:v>
      </x:c>
      <x:c r="I497" s="9" t="str">
        <x:v>RP-CT-N01</x:v>
      </x:c>
      <x:c r="J497" s="9" t="str">
        <x:v>Exact-scene masked manipulation control</x:v>
      </x:c>
      <x:c r="K497" s="9" t="n">
        <x:v>44</x:v>
      </x:c>
      <x:c r="L497" s="9" t="str">
        <x:v>201</x:v>
      </x:c>
      <x:c r="M497" s="9"/>
      <x:c r="N497" s="9"/>
      <x:c r="O497" s="9" t="str">
        <x:v>Reset P1 to its marked pose; preserve the exact scene and use the trained control instruction.</x:v>
      </x:c>
      <x:c r="P497" s="9" t="str">
        <x:v>Exact-scene control using the final training prompt from episode 201. The target, reference, distractors, camera, and robot start match the paired transfer row.</x:v>
      </x:c>
      <x:c r="Q497" s="9"/>
      <x:c r="R497" s="10" t="n">
        <x:v>3</x:v>
      </x:c>
      <x:c r="S497" s="10"/>
      <x:c r="T497" s="9"/>
      <x:c r="U497" s="9"/>
      <x:c r="V497" s="9"/>
      <x:c r="W497" s="9"/>
      <x:c r="X497" s="10"/>
      <x:c r="Y497" s="10"/>
      <x:c r="Z497" s="9"/>
      <x:c r="AA497" s="9"/>
      <x:c r="AB497" s="9"/>
      <x:c r="AC497" s="9" t="str">
        <x:v>front</x:v>
      </x:c>
      <x:c r="AD497" s="9" t="str">
        <x:v>green pen</x:v>
      </x:c>
      <x:c r="AE497" s="9" t="str">
        <x:v>red block</x:v>
      </x:c>
      <x:c r="AF497" s="9" t="str">
        <x:v>None</x:v>
      </x:c>
      <x:c r="AG497" s="9"/>
      <x:c r="AH497" s="9"/>
      <x:c r="AI497" s="11"/>
      <x:c r="AJ497" s="9"/>
      <x:c r="AK497" s="9" t="str">
        <x:v>Eval_Relational_Placement (1).xlsm</x:v>
      </x:c>
      <x:c r="AL497" s="9" t="str">
        <x:v>pi0.5 Results</x:v>
      </x:c>
      <x:c r="AM497" s="9" t="n">
        <x:v>47</x:v>
      </x:c>
      <x:c r="AN497" s="9" t="n">
        <x:v>47</x:v>
      </x:c>
    </x:row>
    <x:row r="498">
      <x:c r="A498" s="9" t="str">
        <x:v>Success</x:v>
      </x:c>
      <x:c r="B498" s="9" t="str">
        <x:v>Relational Placement</x:v>
      </x:c>
      <x:c r="C498" s="10" t="n">
        <x:v>46</x:v>
      </x:c>
      <x:c r="D498" s="9" t="str">
        <x:v>Position the green pen on the robot-facing side of the red block.</x:v>
      </x:c>
      <x:c r="E498" s="9" t="str">
        <x:v>green pen, red block, pink marker</x:v>
      </x:c>
      <x:c r="F498" s="9" t="str">
        <x:v>green pen → 2–8 cm edge gap in front of red block; centroid direction within ±45°.</x:v>
      </x:c>
      <x:c r="G498" s="9"/>
      <x:c r="H498" s="9" t="str">
        <x:v>Language robustness</x:v>
      </x:c>
      <x:c r="I498" s="9" t="str">
        <x:v>RP-CT-N01</x:v>
      </x:c>
      <x:c r="J498" s="9" t="str">
        <x:v>Transfer paraphrase of concept/compositional transfer</x:v>
      </x:c>
      <x:c r="K498" s="9" t="n">
        <x:v>44</x:v>
      </x:c>
      <x:c r="L498" s="9" t="str">
        <x:v>201</x:v>
      </x:c>
      <x:c r="M498" s="9"/>
      <x:c r="N498" s="9"/>
      <x:c r="O498" s="9" t="str">
        <x:v>Reset P1 to its marked pose; preserve the exact scene and change only the wording of the transfer instruction.</x:v>
      </x:c>
      <x:c r="P498" s="9" t="str">
        <x:v>Exact-scene paraphrase of the canonical compositional-transfer instruction.</x:v>
      </x:c>
      <x:c r="Q498" s="9"/>
      <x:c r="R498" s="10" t="n">
        <x:v>3</x:v>
      </x:c>
      <x:c r="S498" s="10"/>
      <x:c r="T498" s="9"/>
      <x:c r="U498" s="9"/>
      <x:c r="V498" s="9"/>
      <x:c r="W498" s="9"/>
      <x:c r="X498" s="10"/>
      <x:c r="Y498" s="10"/>
      <x:c r="Z498" s="9"/>
      <x:c r="AA498" s="9"/>
      <x:c r="AB498" s="9"/>
      <x:c r="AC498" s="9" t="str">
        <x:v>front</x:v>
      </x:c>
      <x:c r="AD498" s="9" t="str">
        <x:v>green pen</x:v>
      </x:c>
      <x:c r="AE498" s="9" t="str">
        <x:v>red block</x:v>
      </x:c>
      <x:c r="AF498" s="9" t="str">
        <x:v>None</x:v>
      </x:c>
      <x:c r="AG498" s="9"/>
      <x:c r="AH498" s="9"/>
      <x:c r="AI498" s="11"/>
      <x:c r="AJ498" s="9"/>
      <x:c r="AK498" s="9" t="str">
        <x:v>Eval_Relational_Placement (1).xlsm</x:v>
      </x:c>
      <x:c r="AL498" s="9" t="str">
        <x:v>pi0.5 Results</x:v>
      </x:c>
      <x:c r="AM498" s="9" t="n">
        <x:v>48</x:v>
      </x:c>
      <x:c r="AN498" s="9" t="n">
        <x:v>48</x:v>
      </x:c>
    </x:row>
    <x:row r="499">
      <x:c r="A499" s="9" t="str">
        <x:v>Success</x:v>
      </x:c>
      <x:c r="B499" s="9" t="str">
        <x:v>Relational Placement</x:v>
      </x:c>
      <x:c r="C499" s="10" t="n">
        <x:v>47</x:v>
      </x:c>
      <x:c r="D499" s="9" t="str">
        <x:v>Set the green pen down close to the red block.</x:v>
      </x:c>
      <x:c r="E499" s="9" t="str">
        <x:v>green pen, red block, pink marker</x:v>
      </x:c>
      <x:c r="F499" s="9" t="str">
        <x:v>green pen → 2–8 cm edge gap near red block; no directional sector required.</x:v>
      </x:c>
      <x:c r="G499" s="9" t="str">
        <x:v>placed left. put on top but slid to the left</x:v>
      </x:c>
      <x:c r="H499" s="9" t="str">
        <x:v>Language robustness</x:v>
      </x:c>
      <x:c r="I499" s="9" t="str">
        <x:v>RP-CT-N01</x:v>
      </x:c>
      <x:c r="J499" s="9" t="str">
        <x:v>Matched-control paraphrase</x:v>
      </x:c>
      <x:c r="K499" s="9" t="n">
        <x:v>45</x:v>
      </x:c>
      <x:c r="L499" s="9" t="str">
        <x:v>201</x:v>
      </x:c>
      <x:c r="M499" s="9"/>
      <x:c r="N499" s="9"/>
      <x:c r="O499" s="9" t="str">
        <x:v>Reset P1 to its marked pose; preserve the exact scene and change only the wording of the matched-control instruction.</x:v>
      </x:c>
      <x:c r="P499" s="9" t="str">
        <x:v>Exact-scene paraphrase of the training-supported control from episode 201.</x:v>
      </x:c>
      <x:c r="Q499" s="9"/>
      <x:c r="R499" s="10" t="n">
        <x:v>3</x:v>
      </x:c>
      <x:c r="S499" s="10"/>
      <x:c r="T499" s="9"/>
      <x:c r="U499" s="9"/>
      <x:c r="V499" s="9"/>
      <x:c r="W499" s="9"/>
      <x:c r="X499" s="10"/>
      <x:c r="Y499" s="10"/>
      <x:c r="Z499" s="9"/>
      <x:c r="AA499" s="9"/>
      <x:c r="AB499" s="9"/>
      <x:c r="AC499" s="9" t="str">
        <x:v>front</x:v>
      </x:c>
      <x:c r="AD499" s="9" t="str">
        <x:v>green pen</x:v>
      </x:c>
      <x:c r="AE499" s="9" t="str">
        <x:v>red block</x:v>
      </x:c>
      <x:c r="AF499" s="9" t="str">
        <x:v>None</x:v>
      </x:c>
      <x:c r="AG499" s="9"/>
      <x:c r="AH499" s="9"/>
      <x:c r="AI499" s="11"/>
      <x:c r="AJ499" s="9"/>
      <x:c r="AK499" s="9" t="str">
        <x:v>Eval_Relational_Placement (1).xlsm</x:v>
      </x:c>
      <x:c r="AL499" s="9" t="str">
        <x:v>pi0.5 Results</x:v>
      </x:c>
      <x:c r="AM499" s="9" t="n">
        <x:v>49</x:v>
      </x:c>
      <x:c r="AN499" s="9" t="n">
        <x:v>49</x:v>
      </x:c>
    </x:row>
    <x:row r="500">
      <x:c r="A500" s="9" t="str">
        <x:v>Success</x:v>
      </x:c>
      <x:c r="B500" s="9" t="str">
        <x:v>Relational Placement</x:v>
      </x:c>
      <x:c r="C500" s="10" t="n">
        <x:v>48</x:v>
      </x:c>
      <x:c r="D500" s="9" t="str">
        <x:v>Place the green pen in front of the red block.</x:v>
      </x:c>
      <x:c r="E500" s="9" t="str">
        <x:v>green pen, red block, blue block, pink marker</x:v>
      </x:c>
      <x:c r="F500" s="9" t="str">
        <x:v>green pen → 2–8 cm edge gap in front of red block; centroid direction within ±45°.</x:v>
      </x:c>
      <x:c r="G500" s="9" t="str">
        <x:v>struggled with grasping pen, but got it</x:v>
      </x:c>
      <x:c r="H500" s="9" t="str">
        <x:v>Concept/compositional transfer</x:v>
      </x:c>
      <x:c r="I500" s="9" t="str">
        <x:v>RP-CT-N02</x:v>
      </x:c>
      <x:c r="J500" s="9" t="str">
        <x:v>Neutral-axis independent compositional-transfer scene</x:v>
      </x:c>
      <x:c r="K500" s="9"/>
      <x:c r="L500" s="9" t="str">
        <x:v>202</x:v>
      </x:c>
      <x:c r="M500" s="9"/>
      <x:c r="N500" s="9"/>
      <x:c r="O500" s="9" t="str">
        <x:v>Build the listed neutral-axis scene and save the first frame.</x:v>
      </x:c>
      <x:c r="P500" s="9" t="str">
        <x:v>Independent held-out-composition scene. Source episode 202 supplies target recognition/manipulation under the trained prompt “Put the green pen beside the red block.”. The orthogonal start removes the opposite-side shortcut.</x:v>
      </x:c>
      <x:c r="Q500" s="9"/>
      <x:c r="R500" s="10" t="n">
        <x:v>4</x:v>
      </x:c>
      <x:c r="S500" s="10"/>
      <x:c r="T500" s="9"/>
      <x:c r="U500" s="9"/>
      <x:c r="V500" s="9"/>
      <x:c r="W500" s="9"/>
      <x:c r="X500" s="10"/>
      <x:c r="Y500" s="10"/>
      <x:c r="Z500" s="9"/>
      <x:c r="AA500" s="9"/>
      <x:c r="AB500" s="9"/>
      <x:c r="AC500" s="9" t="str">
        <x:v>front</x:v>
      </x:c>
      <x:c r="AD500" s="9" t="str">
        <x:v>green pen</x:v>
      </x:c>
      <x:c r="AE500" s="9" t="str">
        <x:v>red block</x:v>
      </x:c>
      <x:c r="AF500" s="9" t="str">
        <x:v>None</x:v>
      </x:c>
      <x:c r="AG500" s="9"/>
      <x:c r="AH500" s="9"/>
      <x:c r="AI500" s="11"/>
      <x:c r="AJ500" s="9"/>
      <x:c r="AK500" s="9" t="str">
        <x:v>Eval_Relational_Placement (1).xlsm</x:v>
      </x:c>
      <x:c r="AL500" s="9" t="str">
        <x:v>pi0.5 Results</x:v>
      </x:c>
      <x:c r="AM500" s="9" t="n">
        <x:v>50</x:v>
      </x:c>
      <x:c r="AN500" s="9" t="n">
        <x:v>50</x:v>
      </x:c>
    </x:row>
    <x:row r="501">
      <x:c r="A501" s="9" t="str">
        <x:v>Success</x:v>
      </x:c>
      <x:c r="B501" s="9" t="str">
        <x:v>Relational Placement</x:v>
      </x:c>
      <x:c r="C501" s="10" t="n">
        <x:v>49</x:v>
      </x:c>
      <x:c r="D501" s="9" t="str">
        <x:v>Put the green pen beside the red block.</x:v>
      </x:c>
      <x:c r="E501" s="9" t="str">
        <x:v>green pen, red block, blue block, pink marker</x:v>
      </x:c>
      <x:c r="F501" s="9" t="str">
        <x:v>green pen → 2–8 cm edge gap near red block; no directional sector required.</x:v>
      </x:c>
      <x:c r="G501" s="9" t="str">
        <x:v>placed to the left</x:v>
      </x:c>
      <x:c r="H501" s="9" t="str">
        <x:v>Matched manipulation control</x:v>
      </x:c>
      <x:c r="I501" s="9" t="str">
        <x:v>RP-CT-N02</x:v>
      </x:c>
      <x:c r="J501" s="9" t="str">
        <x:v>Exact-scene masked manipulation control</x:v>
      </x:c>
      <x:c r="K501" s="9" t="n">
        <x:v>48</x:v>
      </x:c>
      <x:c r="L501" s="9" t="str">
        <x:v>202</x:v>
      </x:c>
      <x:c r="M501" s="9"/>
      <x:c r="N501" s="9"/>
      <x:c r="O501" s="9" t="str">
        <x:v>Reset P1 to its marked pose; preserve the exact scene and use the trained control instruction.</x:v>
      </x:c>
      <x:c r="P501" s="9" t="str">
        <x:v>Exact-scene control using the final training prompt from episode 202. The target, reference, distractors, camera, and robot start match the paired transfer row.</x:v>
      </x:c>
      <x:c r="Q501" s="9"/>
      <x:c r="R501" s="10" t="n">
        <x:v>4</x:v>
      </x:c>
      <x:c r="S501" s="10"/>
      <x:c r="T501" s="9"/>
      <x:c r="U501" s="9"/>
      <x:c r="V501" s="9"/>
      <x:c r="W501" s="9"/>
      <x:c r="X501" s="10"/>
      <x:c r="Y501" s="10"/>
      <x:c r="Z501" s="9"/>
      <x:c r="AA501" s="9"/>
      <x:c r="AB501" s="9"/>
      <x:c r="AC501" s="9" t="str">
        <x:v>front</x:v>
      </x:c>
      <x:c r="AD501" s="9" t="str">
        <x:v>green pen</x:v>
      </x:c>
      <x:c r="AE501" s="9" t="str">
        <x:v>red block</x:v>
      </x:c>
      <x:c r="AF501" s="9" t="str">
        <x:v>None</x:v>
      </x:c>
      <x:c r="AG501" s="9"/>
      <x:c r="AH501" s="9"/>
      <x:c r="AI501" s="11"/>
      <x:c r="AJ501" s="9"/>
      <x:c r="AK501" s="9" t="str">
        <x:v>Eval_Relational_Placement (1).xlsm</x:v>
      </x:c>
      <x:c r="AL501" s="9" t="str">
        <x:v>pi0.5 Results</x:v>
      </x:c>
      <x:c r="AM501" s="9" t="n">
        <x:v>51</x:v>
      </x:c>
      <x:c r="AN501" s="9" t="n">
        <x:v>51</x:v>
      </x:c>
    </x:row>
    <x:row r="502">
      <x:c r="A502" s="9" t="str">
        <x:v>Failure</x:v>
      </x:c>
      <x:c r="B502" s="9" t="str">
        <x:v>Relational Placement</x:v>
      </x:c>
      <x:c r="C502" s="10" t="n">
        <x:v>50</x:v>
      </x:c>
      <x:c r="D502" s="9" t="str">
        <x:v>Position the green pen on the robot-facing side of the red block.</x:v>
      </x:c>
      <x:c r="E502" s="9" t="str">
        <x:v>green pen, red block, blue block, pink marker</x:v>
      </x:c>
      <x:c r="F502" s="9" t="str">
        <x:v>green pen → 2–8 cm edge gap in front of red block; centroid direction within ±45°.</x:v>
      </x:c>
      <x:c r="G502" s="9" t="str">
        <x:v>placed to the left</x:v>
      </x:c>
      <x:c r="H502" s="9" t="str">
        <x:v>Language robustness</x:v>
      </x:c>
      <x:c r="I502" s="9" t="str">
        <x:v>RP-CT-N02</x:v>
      </x:c>
      <x:c r="J502" s="9" t="str">
        <x:v>Transfer paraphrase of concept/compositional transfer</x:v>
      </x:c>
      <x:c r="K502" s="9" t="n">
        <x:v>48</x:v>
      </x:c>
      <x:c r="L502" s="9" t="str">
        <x:v>202</x:v>
      </x:c>
      <x:c r="M502" s="9"/>
      <x:c r="N502" s="9"/>
      <x:c r="O502" s="9" t="str">
        <x:v>Reset P1 to its marked pose; preserve the exact scene and change only the wording of the transfer instruction.</x:v>
      </x:c>
      <x:c r="P502" s="9" t="str">
        <x:v>Exact-scene paraphrase of the canonical compositional-transfer instruction.</x:v>
      </x:c>
      <x:c r="Q502" s="9"/>
      <x:c r="R502" s="10" t="n">
        <x:v>4</x:v>
      </x:c>
      <x:c r="S502" s="10"/>
      <x:c r="T502" s="9"/>
      <x:c r="U502" s="9"/>
      <x:c r="V502" s="9"/>
      <x:c r="W502" s="9"/>
      <x:c r="X502" s="10"/>
      <x:c r="Y502" s="10"/>
      <x:c r="Z502" s="9"/>
      <x:c r="AA502" s="9"/>
      <x:c r="AB502" s="9"/>
      <x:c r="AC502" s="9" t="str">
        <x:v>front</x:v>
      </x:c>
      <x:c r="AD502" s="9" t="str">
        <x:v>green pen</x:v>
      </x:c>
      <x:c r="AE502" s="9" t="str">
        <x:v>red block</x:v>
      </x:c>
      <x:c r="AF502" s="9" t="str">
        <x:v>None</x:v>
      </x:c>
      <x:c r="AG502" s="9"/>
      <x:c r="AH502" s="9"/>
      <x:c r="AI502" s="11"/>
      <x:c r="AJ502" s="9"/>
      <x:c r="AK502" s="9" t="str">
        <x:v>Eval_Relational_Placement (1).xlsm</x:v>
      </x:c>
      <x:c r="AL502" s="9" t="str">
        <x:v>pi0.5 Results</x:v>
      </x:c>
      <x:c r="AM502" s="9" t="n">
        <x:v>52</x:v>
      </x:c>
      <x:c r="AN502" s="9" t="n">
        <x:v>52</x:v>
      </x:c>
    </x:row>
    <x:row r="503">
      <x:c r="A503" s="9" t="str">
        <x:v>Success</x:v>
      </x:c>
      <x:c r="B503" s="9" t="str">
        <x:v>Relational Placement</x:v>
      </x:c>
      <x:c r="C503" s="10" t="n">
        <x:v>51</x:v>
      </x:c>
      <x:c r="D503" s="9" t="str">
        <x:v>Set the green pen down close to the red block.</x:v>
      </x:c>
      <x:c r="E503" s="9" t="str">
        <x:v>green pen, red block, blue block, pink marker</x:v>
      </x:c>
      <x:c r="F503" s="9" t="str">
        <x:v>green pen → 2–8 cm edge gap near red block; no directional sector required.</x:v>
      </x:c>
      <x:c r="G503" s="9" t="str">
        <x:v>placed to the left</x:v>
      </x:c>
      <x:c r="H503" s="9" t="str">
        <x:v>Language robustness</x:v>
      </x:c>
      <x:c r="I503" s="9" t="str">
        <x:v>RP-CT-N02</x:v>
      </x:c>
      <x:c r="J503" s="9" t="str">
        <x:v>Matched-control paraphrase</x:v>
      </x:c>
      <x:c r="K503" s="9" t="n">
        <x:v>49</x:v>
      </x:c>
      <x:c r="L503" s="9" t="str">
        <x:v>202</x:v>
      </x:c>
      <x:c r="M503" s="9"/>
      <x:c r="N503" s="9"/>
      <x:c r="O503" s="9" t="str">
        <x:v>Reset P1 to its marked pose; preserve the exact scene and change only the wording of the matched-control instruction.</x:v>
      </x:c>
      <x:c r="P503" s="9" t="str">
        <x:v>Exact-scene paraphrase of the training-supported control from episode 202.</x:v>
      </x:c>
      <x:c r="Q503" s="9"/>
      <x:c r="R503" s="10" t="n">
        <x:v>4</x:v>
      </x:c>
      <x:c r="S503" s="10"/>
      <x:c r="T503" s="9"/>
      <x:c r="U503" s="9"/>
      <x:c r="V503" s="9"/>
      <x:c r="W503" s="9"/>
      <x:c r="X503" s="10"/>
      <x:c r="Y503" s="10"/>
      <x:c r="Z503" s="9"/>
      <x:c r="AA503" s="9"/>
      <x:c r="AB503" s="9"/>
      <x:c r="AC503" s="9" t="str">
        <x:v>front</x:v>
      </x:c>
      <x:c r="AD503" s="9" t="str">
        <x:v>green pen</x:v>
      </x:c>
      <x:c r="AE503" s="9" t="str">
        <x:v>red block</x:v>
      </x:c>
      <x:c r="AF503" s="9" t="str">
        <x:v>None</x:v>
      </x:c>
      <x:c r="AG503" s="9"/>
      <x:c r="AH503" s="9"/>
      <x:c r="AI503" s="11"/>
      <x:c r="AJ503" s="9"/>
      <x:c r="AK503" s="9" t="str">
        <x:v>Eval_Relational_Placement (1).xlsm</x:v>
      </x:c>
      <x:c r="AL503" s="9" t="str">
        <x:v>pi0.5 Results</x:v>
      </x:c>
      <x:c r="AM503" s="9" t="n">
        <x:v>53</x:v>
      </x:c>
      <x:c r="AN503" s="9" t="n">
        <x:v>53</x:v>
      </x:c>
    </x:row>
    <x:row r="504">
      <x:c r="A504" s="9" t="str">
        <x:v>Success</x:v>
      </x:c>
      <x:c r="B504" s="9" t="str">
        <x:v>Relational Placement</x:v>
      </x:c>
      <x:c r="C504" s="10" t="n">
        <x:v>52</x:v>
      </x:c>
      <x:c r="D504" s="9" t="str">
        <x:v>Place the red block in front of the green pen.</x:v>
      </x:c>
      <x:c r="E504" s="9" t="str">
        <x:v>red block, green pen, pink marker</x:v>
      </x:c>
      <x:c r="F504" s="9" t="str">
        <x:v>red block → 2–8 cm edge gap in front of green pen; centroid direction within ±45°.</x:v>
      </x:c>
      <x:c r="G504" s="9"/>
      <x:c r="H504" s="9" t="str">
        <x:v>Concept/compositional transfer</x:v>
      </x:c>
      <x:c r="I504" s="9" t="str">
        <x:v>RP-CT-N03</x:v>
      </x:c>
      <x:c r="J504" s="9" t="str">
        <x:v>Neutral-axis independent compositional-transfer scene</x:v>
      </x:c>
      <x:c r="K504" s="9"/>
      <x:c r="L504" s="9" t="str">
        <x:v>259</x:v>
      </x:c>
      <x:c r="M504" s="9"/>
      <x:c r="N504" s="9"/>
      <x:c r="O504" s="9" t="str">
        <x:v>Build the listed neutral-axis scene and save the first frame.</x:v>
      </x:c>
      <x:c r="P504" s="9" t="str">
        <x:v>Independent held-out-composition scene. Source episode 259 supplies target recognition/manipulation under the trained prompt “Put the red block beside the green pen.”. The orthogonal start removes the opposite-side shortcut.</x:v>
      </x:c>
      <x:c r="Q504" s="9"/>
      <x:c r="R504" s="10" t="n">
        <x:v>3</x:v>
      </x:c>
      <x:c r="S504" s="10"/>
      <x:c r="T504" s="9"/>
      <x:c r="U504" s="9"/>
      <x:c r="V504" s="9"/>
      <x:c r="W504" s="9"/>
      <x:c r="X504" s="10"/>
      <x:c r="Y504" s="10"/>
      <x:c r="Z504" s="9"/>
      <x:c r="AA504" s="9"/>
      <x:c r="AB504" s="9"/>
      <x:c r="AC504" s="9" t="str">
        <x:v>front</x:v>
      </x:c>
      <x:c r="AD504" s="9" t="str">
        <x:v>red block</x:v>
      </x:c>
      <x:c r="AE504" s="9" t="str">
        <x:v>green pen</x:v>
      </x:c>
      <x:c r="AF504" s="9" t="str">
        <x:v>None</x:v>
      </x:c>
      <x:c r="AG504" s="9"/>
      <x:c r="AH504" s="9"/>
      <x:c r="AI504" s="11"/>
      <x:c r="AJ504" s="9"/>
      <x:c r="AK504" s="9" t="str">
        <x:v>Eval_Relational_Placement (1).xlsm</x:v>
      </x:c>
      <x:c r="AL504" s="9" t="str">
        <x:v>pi0.5 Results</x:v>
      </x:c>
      <x:c r="AM504" s="9" t="n">
        <x:v>54</x:v>
      </x:c>
      <x:c r="AN504" s="9" t="n">
        <x:v>54</x:v>
      </x:c>
    </x:row>
    <x:row r="505">
      <x:c r="A505" s="9" t="str">
        <x:v>Success</x:v>
      </x:c>
      <x:c r="B505" s="9" t="str">
        <x:v>Relational Placement</x:v>
      </x:c>
      <x:c r="C505" s="10" t="n">
        <x:v>53</x:v>
      </x:c>
      <x:c r="D505" s="9" t="str">
        <x:v>Put the red block beside the green pen.</x:v>
      </x:c>
      <x:c r="E505" s="9" t="str">
        <x:v>red block, green pen, pink marker</x:v>
      </x:c>
      <x:c r="F505" s="9" t="str">
        <x:v>red block → 2–8 cm edge gap near green pen; no directional sector required.</x:v>
      </x:c>
      <x:c r="G505" s="9" t="str">
        <x:v>placed in front</x:v>
      </x:c>
      <x:c r="H505" s="9" t="str">
        <x:v>Matched manipulation control</x:v>
      </x:c>
      <x:c r="I505" s="9" t="str">
        <x:v>RP-CT-N03</x:v>
      </x:c>
      <x:c r="J505" s="9" t="str">
        <x:v>Exact-scene masked manipulation control</x:v>
      </x:c>
      <x:c r="K505" s="9" t="n">
        <x:v>52</x:v>
      </x:c>
      <x:c r="L505" s="9" t="str">
        <x:v>259</x:v>
      </x:c>
      <x:c r="M505" s="9"/>
      <x:c r="N505" s="9"/>
      <x:c r="O505" s="9" t="str">
        <x:v>Reset P1 to its marked pose; preserve the exact scene and use the trained control instruction.</x:v>
      </x:c>
      <x:c r="P505" s="9" t="str">
        <x:v>Exact-scene control using the final training prompt from episode 259. The target, reference, distractors, camera, and robot start match the paired transfer row.</x:v>
      </x:c>
      <x:c r="Q505" s="9"/>
      <x:c r="R505" s="10" t="n">
        <x:v>3</x:v>
      </x:c>
      <x:c r="S505" s="10"/>
      <x:c r="T505" s="9"/>
      <x:c r="U505" s="9"/>
      <x:c r="V505" s="9"/>
      <x:c r="W505" s="9"/>
      <x:c r="X505" s="10"/>
      <x:c r="Y505" s="10"/>
      <x:c r="Z505" s="9"/>
      <x:c r="AA505" s="9"/>
      <x:c r="AB505" s="9"/>
      <x:c r="AC505" s="9" t="str">
        <x:v>front</x:v>
      </x:c>
      <x:c r="AD505" s="9" t="str">
        <x:v>red block</x:v>
      </x:c>
      <x:c r="AE505" s="9" t="str">
        <x:v>green pen</x:v>
      </x:c>
      <x:c r="AF505" s="9" t="str">
        <x:v>None</x:v>
      </x:c>
      <x:c r="AG505" s="9"/>
      <x:c r="AH505" s="9"/>
      <x:c r="AI505" s="11"/>
      <x:c r="AJ505" s="9"/>
      <x:c r="AK505" s="9" t="str">
        <x:v>Eval_Relational_Placement (1).xlsm</x:v>
      </x:c>
      <x:c r="AL505" s="9" t="str">
        <x:v>pi0.5 Results</x:v>
      </x:c>
      <x:c r="AM505" s="9" t="n">
        <x:v>55</x:v>
      </x:c>
      <x:c r="AN505" s="9" t="n">
        <x:v>55</x:v>
      </x:c>
    </x:row>
    <x:row r="506">
      <x:c r="A506" s="9" t="str">
        <x:v>Success</x:v>
      </x:c>
      <x:c r="B506" s="9" t="str">
        <x:v>Relational Placement</x:v>
      </x:c>
      <x:c r="C506" s="10" t="n">
        <x:v>54</x:v>
      </x:c>
      <x:c r="D506" s="9" t="str">
        <x:v>Position the red block on the robot-facing side of the green pen.</x:v>
      </x:c>
      <x:c r="E506" s="9" t="str">
        <x:v>red block, green pen, pink marker</x:v>
      </x:c>
      <x:c r="F506" s="9" t="str">
        <x:v>red block → 2–8 cm edge gap in front of green pen; centroid direction within ±45°.</x:v>
      </x:c>
      <x:c r="G506" s="9" t="str">
        <x:v>placed in front</x:v>
      </x:c>
      <x:c r="H506" s="9" t="str">
        <x:v>Language robustness</x:v>
      </x:c>
      <x:c r="I506" s="9" t="str">
        <x:v>RP-CT-N03</x:v>
      </x:c>
      <x:c r="J506" s="9" t="str">
        <x:v>Transfer paraphrase of concept/compositional transfer</x:v>
      </x:c>
      <x:c r="K506" s="9" t="n">
        <x:v>52</x:v>
      </x:c>
      <x:c r="L506" s="9" t="str">
        <x:v>259</x:v>
      </x:c>
      <x:c r="M506" s="9"/>
      <x:c r="N506" s="9"/>
      <x:c r="O506" s="9" t="str">
        <x:v>Reset P1 to its marked pose; preserve the exact scene and change only the wording of the transfer instruction.</x:v>
      </x:c>
      <x:c r="P506" s="9" t="str">
        <x:v>Exact-scene paraphrase of the canonical compositional-transfer instruction.</x:v>
      </x:c>
      <x:c r="Q506" s="9"/>
      <x:c r="R506" s="10" t="n">
        <x:v>3</x:v>
      </x:c>
      <x:c r="S506" s="10"/>
      <x:c r="T506" s="9"/>
      <x:c r="U506" s="9"/>
      <x:c r="V506" s="9"/>
      <x:c r="W506" s="9"/>
      <x:c r="X506" s="10"/>
      <x:c r="Y506" s="10"/>
      <x:c r="Z506" s="9"/>
      <x:c r="AA506" s="9"/>
      <x:c r="AB506" s="9"/>
      <x:c r="AC506" s="9" t="str">
        <x:v>front</x:v>
      </x:c>
      <x:c r="AD506" s="9" t="str">
        <x:v>red block</x:v>
      </x:c>
      <x:c r="AE506" s="9" t="str">
        <x:v>green pen</x:v>
      </x:c>
      <x:c r="AF506" s="9" t="str">
        <x:v>None</x:v>
      </x:c>
      <x:c r="AG506" s="9"/>
      <x:c r="AH506" s="9"/>
      <x:c r="AI506" s="11"/>
      <x:c r="AJ506" s="9"/>
      <x:c r="AK506" s="9" t="str">
        <x:v>Eval_Relational_Placement (1).xlsm</x:v>
      </x:c>
      <x:c r="AL506" s="9" t="str">
        <x:v>pi0.5 Results</x:v>
      </x:c>
      <x:c r="AM506" s="9" t="n">
        <x:v>56</x:v>
      </x:c>
      <x:c r="AN506" s="9" t="n">
        <x:v>56</x:v>
      </x:c>
    </x:row>
    <x:row r="507">
      <x:c r="A507" s="9" t="str">
        <x:v>Success</x:v>
      </x:c>
      <x:c r="B507" s="9" t="str">
        <x:v>Relational Placement</x:v>
      </x:c>
      <x:c r="C507" s="10" t="n">
        <x:v>55</x:v>
      </x:c>
      <x:c r="D507" s="9" t="str">
        <x:v>Set the red block down close to the green pen.</x:v>
      </x:c>
      <x:c r="E507" s="9" t="str">
        <x:v>red block, green pen, pink marker</x:v>
      </x:c>
      <x:c r="F507" s="9" t="str">
        <x:v>red block → 2–8 cm edge gap near green pen; no directional sector required.</x:v>
      </x:c>
      <x:c r="G507" s="9" t="str">
        <x:v>placed in front</x:v>
      </x:c>
      <x:c r="H507" s="9" t="str">
        <x:v>Language robustness</x:v>
      </x:c>
      <x:c r="I507" s="9" t="str">
        <x:v>RP-CT-N03</x:v>
      </x:c>
      <x:c r="J507" s="9" t="str">
        <x:v>Matched-control paraphrase</x:v>
      </x:c>
      <x:c r="K507" s="9" t="n">
        <x:v>53</x:v>
      </x:c>
      <x:c r="L507" s="9" t="str">
        <x:v>259</x:v>
      </x:c>
      <x:c r="M507" s="9"/>
      <x:c r="N507" s="9"/>
      <x:c r="O507" s="9" t="str">
        <x:v>Reset P1 to its marked pose; preserve the exact scene and change only the wording of the matched-control instruction.</x:v>
      </x:c>
      <x:c r="P507" s="9" t="str">
        <x:v>Exact-scene paraphrase of the training-supported control from episode 259.</x:v>
      </x:c>
      <x:c r="Q507" s="9"/>
      <x:c r="R507" s="10" t="n">
        <x:v>3</x:v>
      </x:c>
      <x:c r="S507" s="10"/>
      <x:c r="T507" s="9"/>
      <x:c r="U507" s="9"/>
      <x:c r="V507" s="9"/>
      <x:c r="W507" s="9"/>
      <x:c r="X507" s="10"/>
      <x:c r="Y507" s="10"/>
      <x:c r="Z507" s="9"/>
      <x:c r="AA507" s="9"/>
      <x:c r="AB507" s="9"/>
      <x:c r="AC507" s="9" t="str">
        <x:v>front</x:v>
      </x:c>
      <x:c r="AD507" s="9" t="str">
        <x:v>red block</x:v>
      </x:c>
      <x:c r="AE507" s="9" t="str">
        <x:v>green pen</x:v>
      </x:c>
      <x:c r="AF507" s="9" t="str">
        <x:v>None</x:v>
      </x:c>
      <x:c r="AG507" s="9"/>
      <x:c r="AH507" s="9"/>
      <x:c r="AI507" s="11"/>
      <x:c r="AJ507" s="9"/>
      <x:c r="AK507" s="9" t="str">
        <x:v>Eval_Relational_Placement (1).xlsm</x:v>
      </x:c>
      <x:c r="AL507" s="9" t="str">
        <x:v>pi0.5 Results</x:v>
      </x:c>
      <x:c r="AM507" s="9" t="n">
        <x:v>57</x:v>
      </x:c>
      <x:c r="AN507" s="9" t="n">
        <x:v>57</x:v>
      </x:c>
    </x:row>
    <x:row r="508">
      <x:c r="A508" s="9" t="str">
        <x:v>Success</x:v>
      </x:c>
      <x:c r="B508" s="9" t="str">
        <x:v>Relational Placement</x:v>
      </x:c>
      <x:c r="C508" s="10" t="n">
        <x:v>56</x:v>
      </x:c>
      <x:c r="D508" s="9" t="str">
        <x:v>Place the green pen behind the red block.</x:v>
      </x:c>
      <x:c r="E508" s="9" t="str">
        <x:v>green pen, red block, blue block, pink marker</x:v>
      </x:c>
      <x:c r="F508" s="9" t="str">
        <x:v>green pen → 2–8 cm edge gap behind red block; centroid direction within ±45°.</x:v>
      </x:c>
      <x:c r="G508" s="9"/>
      <x:c r="H508" s="9" t="str">
        <x:v>Concept/compositional transfer</x:v>
      </x:c>
      <x:c r="I508" s="9" t="str">
        <x:v>RP-CT-N04</x:v>
      </x:c>
      <x:c r="J508" s="9" t="str">
        <x:v>Neutral-axis independent compositional-transfer scene</x:v>
      </x:c>
      <x:c r="K508" s="9"/>
      <x:c r="L508" s="9" t="str">
        <x:v>216</x:v>
      </x:c>
      <x:c r="M508" s="9"/>
      <x:c r="N508" s="9"/>
      <x:c r="O508" s="9" t="str">
        <x:v>Build the listed neutral-axis scene and save the first frame.</x:v>
      </x:c>
      <x:c r="P508" s="9" t="str">
        <x:v>Independent held-out-composition scene. Source episode 216 supplies target recognition/manipulation under the trained prompt “Place the green pen next to the red block.”. The orthogonal start removes the opposite-side shortcut.</x:v>
      </x:c>
      <x:c r="Q508" s="9"/>
      <x:c r="R508" s="10" t="n">
        <x:v>4</x:v>
      </x:c>
      <x:c r="S508" s="10"/>
      <x:c r="T508" s="9"/>
      <x:c r="U508" s="9"/>
      <x:c r="V508" s="9"/>
      <x:c r="W508" s="9"/>
      <x:c r="X508" s="10"/>
      <x:c r="Y508" s="10"/>
      <x:c r="Z508" s="9"/>
      <x:c r="AA508" s="9"/>
      <x:c r="AB508" s="9"/>
      <x:c r="AC508" s="9" t="str">
        <x:v>behind</x:v>
      </x:c>
      <x:c r="AD508" s="9" t="str">
        <x:v>green pen</x:v>
      </x:c>
      <x:c r="AE508" s="9" t="str">
        <x:v>red block</x:v>
      </x:c>
      <x:c r="AF508" s="9" t="str">
        <x:v>None</x:v>
      </x:c>
      <x:c r="AG508" s="9"/>
      <x:c r="AH508" s="9"/>
      <x:c r="AI508" s="11"/>
      <x:c r="AJ508" s="9"/>
      <x:c r="AK508" s="9" t="str">
        <x:v>Eval_Relational_Placement (1).xlsm</x:v>
      </x:c>
      <x:c r="AL508" s="9" t="str">
        <x:v>pi0.5 Results</x:v>
      </x:c>
      <x:c r="AM508" s="9" t="n">
        <x:v>58</x:v>
      </x:c>
      <x:c r="AN508" s="9" t="n">
        <x:v>58</x:v>
      </x:c>
    </x:row>
    <x:row r="509">
      <x:c r="A509" s="9" t="str">
        <x:v>Failure</x:v>
      </x:c>
      <x:c r="B509" s="9" t="str">
        <x:v>Relational Placement</x:v>
      </x:c>
      <x:c r="C509" s="10" t="n">
        <x:v>57</x:v>
      </x:c>
      <x:c r="D509" s="9" t="str">
        <x:v>Place the green pen next to the red block.</x:v>
      </x:c>
      <x:c r="E509" s="9" t="str">
        <x:v>green pen, red block, blue block, pink marker</x:v>
      </x:c>
      <x:c r="F509" s="9" t="str">
        <x:v>green pen → 2–8 cm edge gap near red block; no directional sector required.</x:v>
      </x:c>
      <x:c r="G509" s="9" t="str">
        <x:v>placed smack on top</x:v>
      </x:c>
      <x:c r="H509" s="9" t="str">
        <x:v>Matched manipulation control</x:v>
      </x:c>
      <x:c r="I509" s="9" t="str">
        <x:v>RP-CT-N04</x:v>
      </x:c>
      <x:c r="J509" s="9" t="str">
        <x:v>Exact-scene masked manipulation control</x:v>
      </x:c>
      <x:c r="K509" s="9" t="n">
        <x:v>56</x:v>
      </x:c>
      <x:c r="L509" s="9" t="str">
        <x:v>216</x:v>
      </x:c>
      <x:c r="M509" s="9"/>
      <x:c r="N509" s="9"/>
      <x:c r="O509" s="9" t="str">
        <x:v>Reset P1 to its marked pose; preserve the exact scene and use the trained control instruction.</x:v>
      </x:c>
      <x:c r="P509" s="9" t="str">
        <x:v>Exact-scene control using the final training prompt from episode 216. The target, reference, distractors, camera, and robot start match the paired transfer row.</x:v>
      </x:c>
      <x:c r="Q509" s="9"/>
      <x:c r="R509" s="10" t="n">
        <x:v>4</x:v>
      </x:c>
      <x:c r="S509" s="10"/>
      <x:c r="T509" s="9"/>
      <x:c r="U509" s="9"/>
      <x:c r="V509" s="9"/>
      <x:c r="W509" s="9"/>
      <x:c r="X509" s="10"/>
      <x:c r="Y509" s="10"/>
      <x:c r="Z509" s="9"/>
      <x:c r="AA509" s="9"/>
      <x:c r="AB509" s="9"/>
      <x:c r="AC509" s="9" t="str">
        <x:v>behind</x:v>
      </x:c>
      <x:c r="AD509" s="9" t="str">
        <x:v>green pen</x:v>
      </x:c>
      <x:c r="AE509" s="9" t="str">
        <x:v>red block</x:v>
      </x:c>
      <x:c r="AF509" s="9" t="str">
        <x:v>None</x:v>
      </x:c>
      <x:c r="AG509" s="9"/>
      <x:c r="AH509" s="9"/>
      <x:c r="AI509" s="11"/>
      <x:c r="AJ509" s="9"/>
      <x:c r="AK509" s="9" t="str">
        <x:v>Eval_Relational_Placement (1).xlsm</x:v>
      </x:c>
      <x:c r="AL509" s="9" t="str">
        <x:v>pi0.5 Results</x:v>
      </x:c>
      <x:c r="AM509" s="9" t="n">
        <x:v>59</x:v>
      </x:c>
      <x:c r="AN509" s="9" t="n">
        <x:v>59</x:v>
      </x:c>
    </x:row>
    <x:row r="510">
      <x:c r="A510" s="9" t="str">
        <x:v>Success</x:v>
      </x:c>
      <x:c r="B510" s="9" t="str">
        <x:v>Relational Placement</x:v>
      </x:c>
      <x:c r="C510" s="10" t="n">
        <x:v>58</x:v>
      </x:c>
      <x:c r="D510" s="9" t="str">
        <x:v>Position the green pen on the far side of the red block, away from the robot.</x:v>
      </x:c>
      <x:c r="E510" s="9" t="str">
        <x:v>green pen, red block, blue block, pink marker</x:v>
      </x:c>
      <x:c r="F510" s="9" t="str">
        <x:v>green pen → 2–8 cm edge gap behind red block; centroid direction within ±45°.</x:v>
      </x:c>
      <x:c r="G510" s="9"/>
      <x:c r="H510" s="9" t="str">
        <x:v>Language robustness</x:v>
      </x:c>
      <x:c r="I510" s="9" t="str">
        <x:v>RP-CT-N04</x:v>
      </x:c>
      <x:c r="J510" s="9" t="str">
        <x:v>Transfer paraphrase of concept/compositional transfer</x:v>
      </x:c>
      <x:c r="K510" s="9" t="n">
        <x:v>56</x:v>
      </x:c>
      <x:c r="L510" s="9" t="str">
        <x:v>216</x:v>
      </x:c>
      <x:c r="M510" s="9"/>
      <x:c r="N510" s="9"/>
      <x:c r="O510" s="9" t="str">
        <x:v>Reset P1 to its marked pose; preserve the exact scene and change only the wording of the transfer instruction.</x:v>
      </x:c>
      <x:c r="P510" s="9" t="str">
        <x:v>Exact-scene paraphrase of the canonical compositional-transfer instruction.</x:v>
      </x:c>
      <x:c r="Q510" s="9"/>
      <x:c r="R510" s="10" t="n">
        <x:v>4</x:v>
      </x:c>
      <x:c r="S510" s="10"/>
      <x:c r="T510" s="9"/>
      <x:c r="U510" s="9"/>
      <x:c r="V510" s="9"/>
      <x:c r="W510" s="9"/>
      <x:c r="X510" s="10"/>
      <x:c r="Y510" s="10"/>
      <x:c r="Z510" s="9"/>
      <x:c r="AA510" s="9"/>
      <x:c r="AB510" s="9"/>
      <x:c r="AC510" s="9" t="str">
        <x:v>behind</x:v>
      </x:c>
      <x:c r="AD510" s="9" t="str">
        <x:v>green pen</x:v>
      </x:c>
      <x:c r="AE510" s="9" t="str">
        <x:v>red block</x:v>
      </x:c>
      <x:c r="AF510" s="9" t="str">
        <x:v>None</x:v>
      </x:c>
      <x:c r="AG510" s="9"/>
      <x:c r="AH510" s="9"/>
      <x:c r="AI510" s="11"/>
      <x:c r="AJ510" s="9"/>
      <x:c r="AK510" s="9" t="str">
        <x:v>Eval_Relational_Placement (1).xlsm</x:v>
      </x:c>
      <x:c r="AL510" s="9" t="str">
        <x:v>pi0.5 Results</x:v>
      </x:c>
      <x:c r="AM510" s="9" t="n">
        <x:v>60</x:v>
      </x:c>
      <x:c r="AN510" s="9" t="n">
        <x:v>60</x:v>
      </x:c>
    </x:row>
    <x:row r="511">
      <x:c r="A511" s="9" t="str">
        <x:v>Success</x:v>
      </x:c>
      <x:c r="B511" s="9" t="str">
        <x:v>Relational Placement</x:v>
      </x:c>
      <x:c r="C511" s="10" t="n">
        <x:v>59</x:v>
      </x:c>
      <x:c r="D511" s="9" t="str">
        <x:v>Set the green pen down close to the red block.</x:v>
      </x:c>
      <x:c r="E511" s="9" t="str">
        <x:v>green pen, red block, blue block, pink marker</x:v>
      </x:c>
      <x:c r="F511" s="9" t="str">
        <x:v>green pen → 2–8 cm edge gap near red block; no directional sector required.</x:v>
      </x:c>
      <x:c r="G511" s="9" t="str">
        <x:v>placed to the right; leaning on the block though</x:v>
      </x:c>
      <x:c r="H511" s="9" t="str">
        <x:v>Language robustness</x:v>
      </x:c>
      <x:c r="I511" s="9" t="str">
        <x:v>RP-CT-N04</x:v>
      </x:c>
      <x:c r="J511" s="9" t="str">
        <x:v>Matched-control paraphrase</x:v>
      </x:c>
      <x:c r="K511" s="9" t="n">
        <x:v>57</x:v>
      </x:c>
      <x:c r="L511" s="9" t="str">
        <x:v>216</x:v>
      </x:c>
      <x:c r="M511" s="9"/>
      <x:c r="N511" s="9"/>
      <x:c r="O511" s="9" t="str">
        <x:v>Reset P1 to its marked pose; preserve the exact scene and change only the wording of the matched-control instruction.</x:v>
      </x:c>
      <x:c r="P511" s="9" t="str">
        <x:v>Exact-scene paraphrase of the training-supported control from episode 216.</x:v>
      </x:c>
      <x:c r="Q511" s="9"/>
      <x:c r="R511" s="10" t="n">
        <x:v>4</x:v>
      </x:c>
      <x:c r="S511" s="10"/>
      <x:c r="T511" s="9"/>
      <x:c r="U511" s="9"/>
      <x:c r="V511" s="9"/>
      <x:c r="W511" s="9"/>
      <x:c r="X511" s="10"/>
      <x:c r="Y511" s="10"/>
      <x:c r="Z511" s="9"/>
      <x:c r="AA511" s="9"/>
      <x:c r="AB511" s="9"/>
      <x:c r="AC511" s="9" t="str">
        <x:v>behind</x:v>
      </x:c>
      <x:c r="AD511" s="9" t="str">
        <x:v>green pen</x:v>
      </x:c>
      <x:c r="AE511" s="9" t="str">
        <x:v>red block</x:v>
      </x:c>
      <x:c r="AF511" s="9" t="str">
        <x:v>None</x:v>
      </x:c>
      <x:c r="AG511" s="9"/>
      <x:c r="AH511" s="9"/>
      <x:c r="AI511" s="11"/>
      <x:c r="AJ511" s="9"/>
      <x:c r="AK511" s="9" t="str">
        <x:v>Eval_Relational_Placement (1).xlsm</x:v>
      </x:c>
      <x:c r="AL511" s="9" t="str">
        <x:v>pi0.5 Results</x:v>
      </x:c>
      <x:c r="AM511" s="9" t="n">
        <x:v>61</x:v>
      </x:c>
      <x:c r="AN511" s="9" t="n">
        <x:v>61</x:v>
      </x:c>
    </x:row>
    <x:row r="512">
      <x:c r="A512" s="9" t="str">
        <x:v>Success</x:v>
      </x:c>
      <x:c r="B512" s="9" t="str">
        <x:v>Relational Placement</x:v>
      </x:c>
      <x:c r="C512" s="10" t="n">
        <x:v>60</x:v>
      </x:c>
      <x:c r="D512" s="9" t="str">
        <x:v>Place the red block behind the green pen.</x:v>
      </x:c>
      <x:c r="E512" s="9" t="str">
        <x:v>red block, green pen, pink marker</x:v>
      </x:c>
      <x:c r="F512" s="9" t="str">
        <x:v>red block → 2–8 cm edge gap behind green pen; centroid direction within ±45°.</x:v>
      </x:c>
      <x:c r="G512" s="9"/>
      <x:c r="H512" s="9" t="str">
        <x:v>Concept/compositional transfer</x:v>
      </x:c>
      <x:c r="I512" s="9" t="str">
        <x:v>RP-CT-N05</x:v>
      </x:c>
      <x:c r="J512" s="9" t="str">
        <x:v>Neutral-axis independent compositional-transfer scene</x:v>
      </x:c>
      <x:c r="K512" s="9"/>
      <x:c r="L512" s="9" t="str">
        <x:v>272</x:v>
      </x:c>
      <x:c r="M512" s="9"/>
      <x:c r="N512" s="9"/>
      <x:c r="O512" s="9" t="str">
        <x:v>Build the listed neutral-axis scene and save the first frame.</x:v>
      </x:c>
      <x:c r="P512" s="9" t="str">
        <x:v>Independent held-out-composition scene. Source episode 272 supplies target recognition/manipulation under the trained prompt “Move the red block near the green pen.”. The orthogonal start removes the opposite-side shortcut.</x:v>
      </x:c>
      <x:c r="Q512" s="9"/>
      <x:c r="R512" s="10" t="n">
        <x:v>3</x:v>
      </x:c>
      <x:c r="S512" s="10"/>
      <x:c r="T512" s="9"/>
      <x:c r="U512" s="9"/>
      <x:c r="V512" s="9"/>
      <x:c r="W512" s="9"/>
      <x:c r="X512" s="10"/>
      <x:c r="Y512" s="10"/>
      <x:c r="Z512" s="9"/>
      <x:c r="AA512" s="9"/>
      <x:c r="AB512" s="9"/>
      <x:c r="AC512" s="9" t="str">
        <x:v>behind</x:v>
      </x:c>
      <x:c r="AD512" s="9" t="str">
        <x:v>red block</x:v>
      </x:c>
      <x:c r="AE512" s="9" t="str">
        <x:v>green pen</x:v>
      </x:c>
      <x:c r="AF512" s="9" t="str">
        <x:v>None</x:v>
      </x:c>
      <x:c r="AG512" s="9"/>
      <x:c r="AH512" s="9"/>
      <x:c r="AI512" s="11"/>
      <x:c r="AJ512" s="9"/>
      <x:c r="AK512" s="9" t="str">
        <x:v>Eval_Relational_Placement (1).xlsm</x:v>
      </x:c>
      <x:c r="AL512" s="9" t="str">
        <x:v>pi0.5 Results</x:v>
      </x:c>
      <x:c r="AM512" s="9" t="n">
        <x:v>62</x:v>
      </x:c>
      <x:c r="AN512" s="9" t="n">
        <x:v>62</x:v>
      </x:c>
    </x:row>
    <x:row r="513">
      <x:c r="A513" s="9" t="str">
        <x:v>Success</x:v>
      </x:c>
      <x:c r="B513" s="9" t="str">
        <x:v>Relational Placement</x:v>
      </x:c>
      <x:c r="C513" s="10" t="n">
        <x:v>61</x:v>
      </x:c>
      <x:c r="D513" s="9" t="str">
        <x:v>Move the red block near the green pen.</x:v>
      </x:c>
      <x:c r="E513" s="9" t="str">
        <x:v>red block, green pen, pink marker</x:v>
      </x:c>
      <x:c r="F513" s="9" t="str">
        <x:v>red block → 2–8 cm edge gap near green pen; no directional sector required.</x:v>
      </x:c>
      <x:c r="G513" s="9" t="str">
        <x:v>placed behind</x:v>
      </x:c>
      <x:c r="H513" s="9" t="str">
        <x:v>Matched manipulation control</x:v>
      </x:c>
      <x:c r="I513" s="9" t="str">
        <x:v>RP-CT-N05</x:v>
      </x:c>
      <x:c r="J513" s="9" t="str">
        <x:v>Exact-scene masked manipulation control</x:v>
      </x:c>
      <x:c r="K513" s="9" t="n">
        <x:v>60</x:v>
      </x:c>
      <x:c r="L513" s="9" t="str">
        <x:v>272</x:v>
      </x:c>
      <x:c r="M513" s="9"/>
      <x:c r="N513" s="9"/>
      <x:c r="O513" s="9" t="str">
        <x:v>Reset P1 to its marked pose; preserve the exact scene and use the trained control instruction.</x:v>
      </x:c>
      <x:c r="P513" s="9" t="str">
        <x:v>Exact-scene control using the final training prompt from episode 272. The target, reference, distractors, camera, and robot start match the paired transfer row.</x:v>
      </x:c>
      <x:c r="Q513" s="9"/>
      <x:c r="R513" s="10" t="n">
        <x:v>3</x:v>
      </x:c>
      <x:c r="S513" s="10"/>
      <x:c r="T513" s="9"/>
      <x:c r="U513" s="9"/>
      <x:c r="V513" s="9"/>
      <x:c r="W513" s="9"/>
      <x:c r="X513" s="10"/>
      <x:c r="Y513" s="10"/>
      <x:c r="Z513" s="9"/>
      <x:c r="AA513" s="9"/>
      <x:c r="AB513" s="9"/>
      <x:c r="AC513" s="9" t="str">
        <x:v>behind</x:v>
      </x:c>
      <x:c r="AD513" s="9" t="str">
        <x:v>red block</x:v>
      </x:c>
      <x:c r="AE513" s="9" t="str">
        <x:v>green pen</x:v>
      </x:c>
      <x:c r="AF513" s="9" t="str">
        <x:v>None</x:v>
      </x:c>
      <x:c r="AG513" s="9"/>
      <x:c r="AH513" s="9"/>
      <x:c r="AI513" s="11"/>
      <x:c r="AJ513" s="9"/>
      <x:c r="AK513" s="9" t="str">
        <x:v>Eval_Relational_Placement (1).xlsm</x:v>
      </x:c>
      <x:c r="AL513" s="9" t="str">
        <x:v>pi0.5 Results</x:v>
      </x:c>
      <x:c r="AM513" s="9" t="n">
        <x:v>63</x:v>
      </x:c>
      <x:c r="AN513" s="9" t="n">
        <x:v>63</x:v>
      </x:c>
    </x:row>
    <x:row r="514">
      <x:c r="A514" s="9" t="str">
        <x:v>Success</x:v>
      </x:c>
      <x:c r="B514" s="9" t="str">
        <x:v>Relational Placement</x:v>
      </x:c>
      <x:c r="C514" s="10" t="n">
        <x:v>62</x:v>
      </x:c>
      <x:c r="D514" s="9" t="str">
        <x:v>Position the red block on the far side of the green pen, away from the robot.</x:v>
      </x:c>
      <x:c r="E514" s="9" t="str">
        <x:v>red block, green pen, pink marker</x:v>
      </x:c>
      <x:c r="F514" s="9" t="str">
        <x:v>red block → 2–8 cm edge gap behind green pen; centroid direction within ±45°.</x:v>
      </x:c>
      <x:c r="G514" s="9"/>
      <x:c r="H514" s="9" t="str">
        <x:v>Language robustness</x:v>
      </x:c>
      <x:c r="I514" s="9" t="str">
        <x:v>RP-CT-N05</x:v>
      </x:c>
      <x:c r="J514" s="9" t="str">
        <x:v>Transfer paraphrase of concept/compositional transfer</x:v>
      </x:c>
      <x:c r="K514" s="9" t="n">
        <x:v>60</x:v>
      </x:c>
      <x:c r="L514" s="9" t="str">
        <x:v>272</x:v>
      </x:c>
      <x:c r="M514" s="9"/>
      <x:c r="N514" s="9"/>
      <x:c r="O514" s="9" t="str">
        <x:v>Reset P1 to its marked pose; preserve the exact scene and change only the wording of the transfer instruction.</x:v>
      </x:c>
      <x:c r="P514" s="9" t="str">
        <x:v>Exact-scene paraphrase of the canonical compositional-transfer instruction.</x:v>
      </x:c>
      <x:c r="Q514" s="9"/>
      <x:c r="R514" s="10" t="n">
        <x:v>3</x:v>
      </x:c>
      <x:c r="S514" s="10"/>
      <x:c r="T514" s="9"/>
      <x:c r="U514" s="9"/>
      <x:c r="V514" s="9"/>
      <x:c r="W514" s="9"/>
      <x:c r="X514" s="10"/>
      <x:c r="Y514" s="10"/>
      <x:c r="Z514" s="9"/>
      <x:c r="AA514" s="9"/>
      <x:c r="AB514" s="9"/>
      <x:c r="AC514" s="9" t="str">
        <x:v>behind</x:v>
      </x:c>
      <x:c r="AD514" s="9" t="str">
        <x:v>red block</x:v>
      </x:c>
      <x:c r="AE514" s="9" t="str">
        <x:v>green pen</x:v>
      </x:c>
      <x:c r="AF514" s="9" t="str">
        <x:v>None</x:v>
      </x:c>
      <x:c r="AG514" s="9"/>
      <x:c r="AH514" s="9"/>
      <x:c r="AI514" s="11"/>
      <x:c r="AJ514" s="9"/>
      <x:c r="AK514" s="9" t="str">
        <x:v>Eval_Relational_Placement (1).xlsm</x:v>
      </x:c>
      <x:c r="AL514" s="9" t="str">
        <x:v>pi0.5 Results</x:v>
      </x:c>
      <x:c r="AM514" s="9" t="n">
        <x:v>64</x:v>
      </x:c>
      <x:c r="AN514" s="9" t="n">
        <x:v>64</x:v>
      </x:c>
    </x:row>
    <x:row r="515">
      <x:c r="A515" s="9" t="str">
        <x:v>Success</x:v>
      </x:c>
      <x:c r="B515" s="9" t="str">
        <x:v>Relational Placement</x:v>
      </x:c>
      <x:c r="C515" s="10" t="n">
        <x:v>63</x:v>
      </x:c>
      <x:c r="D515" s="9" t="str">
        <x:v>Set the red block down close to the green pen.</x:v>
      </x:c>
      <x:c r="E515" s="9" t="str">
        <x:v>red block, green pen, pink marker</x:v>
      </x:c>
      <x:c r="F515" s="9" t="str">
        <x:v>red block → 2–8 cm edge gap near green pen; no directional sector required.</x:v>
      </x:c>
      <x:c r="G515" s="9" t="str">
        <x:v>placed in front</x:v>
      </x:c>
      <x:c r="H515" s="9" t="str">
        <x:v>Language robustness</x:v>
      </x:c>
      <x:c r="I515" s="9" t="str">
        <x:v>RP-CT-N05</x:v>
      </x:c>
      <x:c r="J515" s="9" t="str">
        <x:v>Matched-control paraphrase</x:v>
      </x:c>
      <x:c r="K515" s="9" t="n">
        <x:v>61</x:v>
      </x:c>
      <x:c r="L515" s="9" t="str">
        <x:v>272</x:v>
      </x:c>
      <x:c r="M515" s="9"/>
      <x:c r="N515" s="9"/>
      <x:c r="O515" s="9" t="str">
        <x:v>Reset P1 to its marked pose; preserve the exact scene and change only the wording of the matched-control instruction.</x:v>
      </x:c>
      <x:c r="P515" s="9" t="str">
        <x:v>Exact-scene paraphrase of the training-supported control from episode 272.</x:v>
      </x:c>
      <x:c r="Q515" s="9"/>
      <x:c r="R515" s="10" t="n">
        <x:v>3</x:v>
      </x:c>
      <x:c r="S515" s="10"/>
      <x:c r="T515" s="9"/>
      <x:c r="U515" s="9"/>
      <x:c r="V515" s="9"/>
      <x:c r="W515" s="9"/>
      <x:c r="X515" s="10"/>
      <x:c r="Y515" s="10"/>
      <x:c r="Z515" s="9"/>
      <x:c r="AA515" s="9"/>
      <x:c r="AB515" s="9"/>
      <x:c r="AC515" s="9" t="str">
        <x:v>behind</x:v>
      </x:c>
      <x:c r="AD515" s="9" t="str">
        <x:v>red block</x:v>
      </x:c>
      <x:c r="AE515" s="9" t="str">
        <x:v>green pen</x:v>
      </x:c>
      <x:c r="AF515" s="9" t="str">
        <x:v>None</x:v>
      </x:c>
      <x:c r="AG515" s="9"/>
      <x:c r="AH515" s="9"/>
      <x:c r="AI515" s="11"/>
      <x:c r="AJ515" s="9"/>
      <x:c r="AK515" s="9" t="str">
        <x:v>Eval_Relational_Placement (1).xlsm</x:v>
      </x:c>
      <x:c r="AL515" s="9" t="str">
        <x:v>pi0.5 Results</x:v>
      </x:c>
      <x:c r="AM515" s="9" t="n">
        <x:v>65</x:v>
      </x:c>
      <x:c r="AN515" s="9" t="n">
        <x:v>65</x:v>
      </x:c>
    </x:row>
    <x:row r="516">
      <x:c r="A516" s="9" t="str">
        <x:v>Success</x:v>
      </x:c>
      <x:c r="B516" s="9" t="str">
        <x:v>Relational Placement</x:v>
      </x:c>
      <x:c r="C516" s="10" t="n">
        <x:v>64</x:v>
      </x:c>
      <x:c r="D516" s="9" t="str">
        <x:v>Place the red block behind the green pen.</x:v>
      </x:c>
      <x:c r="E516" s="9" t="str">
        <x:v>red block, green pen, blue block, pink marker</x:v>
      </x:c>
      <x:c r="F516" s="9" t="str">
        <x:v>red block → 2–8 cm edge gap behind green pen; centroid direction within ±45°.</x:v>
      </x:c>
      <x:c r="G516" s="9"/>
      <x:c r="H516" s="9" t="str">
        <x:v>Concept/compositional transfer</x:v>
      </x:c>
      <x:c r="I516" s="9" t="str">
        <x:v>RP-CT-N06</x:v>
      </x:c>
      <x:c r="J516" s="9" t="str">
        <x:v>Neutral-axis independent compositional-transfer scene</x:v>
      </x:c>
      <x:c r="K516" s="9"/>
      <x:c r="L516" s="9" t="str">
        <x:v>273</x:v>
      </x:c>
      <x:c r="M516" s="9"/>
      <x:c r="N516" s="9"/>
      <x:c r="O516" s="9" t="str">
        <x:v>Build the listed neutral-axis scene and save the first frame.</x:v>
      </x:c>
      <x:c r="P516" s="9" t="str">
        <x:v>Independent held-out-composition scene. Source episode 273 supplies target recognition/manipulation under the trained prompt “Place the red block next to the green pen.”. The orthogonal start removes the opposite-side shortcut.</x:v>
      </x:c>
      <x:c r="Q516" s="9"/>
      <x:c r="R516" s="10" t="n">
        <x:v>4</x:v>
      </x:c>
      <x:c r="S516" s="10"/>
      <x:c r="T516" s="9"/>
      <x:c r="U516" s="9"/>
      <x:c r="V516" s="9"/>
      <x:c r="W516" s="9"/>
      <x:c r="X516" s="10"/>
      <x:c r="Y516" s="10"/>
      <x:c r="Z516" s="9"/>
      <x:c r="AA516" s="9"/>
      <x:c r="AB516" s="9"/>
      <x:c r="AC516" s="9" t="str">
        <x:v>behind</x:v>
      </x:c>
      <x:c r="AD516" s="9" t="str">
        <x:v>red block</x:v>
      </x:c>
      <x:c r="AE516" s="9" t="str">
        <x:v>green pen</x:v>
      </x:c>
      <x:c r="AF516" s="9" t="str">
        <x:v>None</x:v>
      </x:c>
      <x:c r="AG516" s="9"/>
      <x:c r="AH516" s="9"/>
      <x:c r="AI516" s="11"/>
      <x:c r="AJ516" s="9"/>
      <x:c r="AK516" s="9" t="str">
        <x:v>Eval_Relational_Placement (1).xlsm</x:v>
      </x:c>
      <x:c r="AL516" s="9" t="str">
        <x:v>pi0.5 Results</x:v>
      </x:c>
      <x:c r="AM516" s="9" t="n">
        <x:v>66</x:v>
      </x:c>
      <x:c r="AN516" s="9" t="n">
        <x:v>66</x:v>
      </x:c>
    </x:row>
    <x:row r="517">
      <x:c r="A517" s="9" t="str">
        <x:v>Success</x:v>
      </x:c>
      <x:c r="B517" s="9" t="str">
        <x:v>Relational Placement</x:v>
      </x:c>
      <x:c r="C517" s="10" t="n">
        <x:v>65</x:v>
      </x:c>
      <x:c r="D517" s="9" t="str">
        <x:v>Place the red block next to the green pen.</x:v>
      </x:c>
      <x:c r="E517" s="9" t="str">
        <x:v>red block, green pen, blue block, pink marker</x:v>
      </x:c>
      <x:c r="F517" s="9" t="str">
        <x:v>red block → 2–8 cm edge gap near green pen; no directional sector required.</x:v>
      </x:c>
      <x:c r="G517" s="9" t="str">
        <x:v>placed in the back; leaning on the pen towards the back</x:v>
      </x:c>
      <x:c r="H517" s="9" t="str">
        <x:v>Matched manipulation control</x:v>
      </x:c>
      <x:c r="I517" s="9" t="str">
        <x:v>RP-CT-N06</x:v>
      </x:c>
      <x:c r="J517" s="9" t="str">
        <x:v>Exact-scene masked manipulation control</x:v>
      </x:c>
      <x:c r="K517" s="9" t="n">
        <x:v>64</x:v>
      </x:c>
      <x:c r="L517" s="9" t="str">
        <x:v>273</x:v>
      </x:c>
      <x:c r="M517" s="9"/>
      <x:c r="N517" s="9"/>
      <x:c r="O517" s="9" t="str">
        <x:v>Reset P1 to its marked pose; preserve the exact scene and use the trained control instruction.</x:v>
      </x:c>
      <x:c r="P517" s="9" t="str">
        <x:v>Exact-scene control using the final training prompt from episode 273. The target, reference, distractors, camera, and robot start match the paired transfer row.</x:v>
      </x:c>
      <x:c r="Q517" s="9"/>
      <x:c r="R517" s="10" t="n">
        <x:v>4</x:v>
      </x:c>
      <x:c r="S517" s="10"/>
      <x:c r="T517" s="9"/>
      <x:c r="U517" s="9"/>
      <x:c r="V517" s="9"/>
      <x:c r="W517" s="9"/>
      <x:c r="X517" s="10"/>
      <x:c r="Y517" s="10"/>
      <x:c r="Z517" s="9"/>
      <x:c r="AA517" s="9"/>
      <x:c r="AB517" s="9"/>
      <x:c r="AC517" s="9" t="str">
        <x:v>behind</x:v>
      </x:c>
      <x:c r="AD517" s="9" t="str">
        <x:v>red block</x:v>
      </x:c>
      <x:c r="AE517" s="9" t="str">
        <x:v>green pen</x:v>
      </x:c>
      <x:c r="AF517" s="9" t="str">
        <x:v>None</x:v>
      </x:c>
      <x:c r="AG517" s="9"/>
      <x:c r="AH517" s="9"/>
      <x:c r="AI517" s="11"/>
      <x:c r="AJ517" s="9"/>
      <x:c r="AK517" s="9" t="str">
        <x:v>Eval_Relational_Placement (1).xlsm</x:v>
      </x:c>
      <x:c r="AL517" s="9" t="str">
        <x:v>pi0.5 Results</x:v>
      </x:c>
      <x:c r="AM517" s="9" t="n">
        <x:v>67</x:v>
      </x:c>
      <x:c r="AN517" s="9" t="n">
        <x:v>67</x:v>
      </x:c>
    </x:row>
    <x:row r="518">
      <x:c r="A518" s="9" t="str">
        <x:v>Success</x:v>
      </x:c>
      <x:c r="B518" s="9" t="str">
        <x:v>Relational Placement</x:v>
      </x:c>
      <x:c r="C518" s="10" t="n">
        <x:v>66</x:v>
      </x:c>
      <x:c r="D518" s="9" t="str">
        <x:v>Position the red block on the far side of the green pen, away from the robot.</x:v>
      </x:c>
      <x:c r="E518" s="9" t="str">
        <x:v>red block, green pen, blue block, pink marker</x:v>
      </x:c>
      <x:c r="F518" s="9" t="str">
        <x:v>red block → 2–8 cm edge gap behind green pen; centroid direction within ±45°.</x:v>
      </x:c>
      <x:c r="G518" s="9"/>
      <x:c r="H518" s="9" t="str">
        <x:v>Language robustness</x:v>
      </x:c>
      <x:c r="I518" s="9" t="str">
        <x:v>RP-CT-N06</x:v>
      </x:c>
      <x:c r="J518" s="9" t="str">
        <x:v>Transfer paraphrase of concept/compositional transfer</x:v>
      </x:c>
      <x:c r="K518" s="9" t="n">
        <x:v>64</x:v>
      </x:c>
      <x:c r="L518" s="9" t="str">
        <x:v>273</x:v>
      </x:c>
      <x:c r="M518" s="9"/>
      <x:c r="N518" s="9"/>
      <x:c r="O518" s="9" t="str">
        <x:v>Reset P1 to its marked pose; preserve the exact scene and change only the wording of the transfer instruction.</x:v>
      </x:c>
      <x:c r="P518" s="9" t="str">
        <x:v>Exact-scene paraphrase of the canonical compositional-transfer instruction.</x:v>
      </x:c>
      <x:c r="Q518" s="9"/>
      <x:c r="R518" s="10" t="n">
        <x:v>4</x:v>
      </x:c>
      <x:c r="S518" s="10"/>
      <x:c r="T518" s="9"/>
      <x:c r="U518" s="9"/>
      <x:c r="V518" s="9"/>
      <x:c r="W518" s="9"/>
      <x:c r="X518" s="10"/>
      <x:c r="Y518" s="10"/>
      <x:c r="Z518" s="9"/>
      <x:c r="AA518" s="9"/>
      <x:c r="AB518" s="9"/>
      <x:c r="AC518" s="9" t="str">
        <x:v>behind</x:v>
      </x:c>
      <x:c r="AD518" s="9" t="str">
        <x:v>red block</x:v>
      </x:c>
      <x:c r="AE518" s="9" t="str">
        <x:v>green pen</x:v>
      </x:c>
      <x:c r="AF518" s="9" t="str">
        <x:v>None</x:v>
      </x:c>
      <x:c r="AG518" s="9"/>
      <x:c r="AH518" s="9"/>
      <x:c r="AI518" s="11"/>
      <x:c r="AJ518" s="9"/>
      <x:c r="AK518" s="9" t="str">
        <x:v>Eval_Relational_Placement (1).xlsm</x:v>
      </x:c>
      <x:c r="AL518" s="9" t="str">
        <x:v>pi0.5 Results</x:v>
      </x:c>
      <x:c r="AM518" s="9" t="n">
        <x:v>68</x:v>
      </x:c>
      <x:c r="AN518" s="9" t="n">
        <x:v>68</x:v>
      </x:c>
    </x:row>
    <x:row r="519">
      <x:c r="A519" s="9" t="str">
        <x:v>Success</x:v>
      </x:c>
      <x:c r="B519" s="9" t="str">
        <x:v>Relational Placement</x:v>
      </x:c>
      <x:c r="C519" s="10" t="n">
        <x:v>67</x:v>
      </x:c>
      <x:c r="D519" s="9" t="str">
        <x:v>Set the red block down close to the green pen.</x:v>
      </x:c>
      <x:c r="E519" s="9" t="str">
        <x:v>red block, green pen, blue block, pink marker</x:v>
      </x:c>
      <x:c r="F519" s="9" t="str">
        <x:v>red block → 2–8 cm edge gap near green pen; no directional sector required.</x:v>
      </x:c>
      <x:c r="G519" s="9" t="str">
        <x:v>placed in front</x:v>
      </x:c>
      <x:c r="H519" s="9" t="str">
        <x:v>Language robustness</x:v>
      </x:c>
      <x:c r="I519" s="9" t="str">
        <x:v>RP-CT-N06</x:v>
      </x:c>
      <x:c r="J519" s="9" t="str">
        <x:v>Matched-control paraphrase</x:v>
      </x:c>
      <x:c r="K519" s="9" t="n">
        <x:v>65</x:v>
      </x:c>
      <x:c r="L519" s="9" t="str">
        <x:v>273</x:v>
      </x:c>
      <x:c r="M519" s="9"/>
      <x:c r="N519" s="9"/>
      <x:c r="O519" s="9" t="str">
        <x:v>Reset P1 to its marked pose; preserve the exact scene and change only the wording of the matched-control instruction.</x:v>
      </x:c>
      <x:c r="P519" s="9" t="str">
        <x:v>Exact-scene paraphrase of the training-supported control from episode 273.</x:v>
      </x:c>
      <x:c r="Q519" s="9"/>
      <x:c r="R519" s="10" t="n">
        <x:v>4</x:v>
      </x:c>
      <x:c r="S519" s="10"/>
      <x:c r="T519" s="9"/>
      <x:c r="U519" s="9"/>
      <x:c r="V519" s="9"/>
      <x:c r="W519" s="9"/>
      <x:c r="X519" s="10"/>
      <x:c r="Y519" s="10"/>
      <x:c r="Z519" s="9"/>
      <x:c r="AA519" s="9"/>
      <x:c r="AB519" s="9"/>
      <x:c r="AC519" s="9" t="str">
        <x:v>behind</x:v>
      </x:c>
      <x:c r="AD519" s="9" t="str">
        <x:v>red block</x:v>
      </x:c>
      <x:c r="AE519" s="9" t="str">
        <x:v>green pen</x:v>
      </x:c>
      <x:c r="AF519" s="9" t="str">
        <x:v>None</x:v>
      </x:c>
      <x:c r="AG519" s="9"/>
      <x:c r="AH519" s="9"/>
      <x:c r="AI519" s="11"/>
      <x:c r="AJ519" s="9"/>
      <x:c r="AK519" s="9" t="str">
        <x:v>Eval_Relational_Placement (1).xlsm</x:v>
      </x:c>
      <x:c r="AL519" s="9" t="str">
        <x:v>pi0.5 Results</x:v>
      </x:c>
      <x:c r="AM519" s="9" t="n">
        <x:v>69</x:v>
      </x:c>
      <x:c r="AN519" s="9" t="n">
        <x:v>69</x:v>
      </x:c>
    </x:row>
    <x:row r="520">
      <x:c r="A520" s="9" t="str">
        <x:v>Success</x:v>
      </x:c>
      <x:c r="B520" s="9" t="str">
        <x:v>Relational Placement</x:v>
      </x:c>
      <x:c r="C520" s="10" t="n">
        <x:v>68</x:v>
      </x:c>
      <x:c r="D520" s="9" t="str">
        <x:v>Place the green pen to the left of the red block.</x:v>
      </x:c>
      <x:c r="E520" s="9" t="str">
        <x:v>green pen, red block, pink marker</x:v>
      </x:c>
      <x:c r="F520" s="9" t="str">
        <x:v>green pen → 2–8 cm edge gap to the left of red block; centroid direction within ±45°.</x:v>
      </x:c>
      <x:c r="G520" s="9"/>
      <x:c r="H520" s="9" t="str">
        <x:v>Concept/compositional transfer</x:v>
      </x:c>
      <x:c r="I520" s="9" t="str">
        <x:v>RP-CT-N07</x:v>
      </x:c>
      <x:c r="J520" s="9" t="str">
        <x:v>Neutral-axis independent compositional-transfer scene</x:v>
      </x:c>
      <x:c r="K520" s="9"/>
      <x:c r="L520" s="9" t="str">
        <x:v>228</x:v>
      </x:c>
      <x:c r="M520" s="9"/>
      <x:c r="N520" s="9"/>
      <x:c r="O520" s="9" t="str">
        <x:v>Build the listed neutral-axis scene and save the first frame.</x:v>
      </x:c>
      <x:c r="P520" s="9" t="str">
        <x:v>Independent held-out-composition scene. Source episode 228 supplies target recognition/manipulation under the trained prompt “Place the green pen next to the red block.”. The orthogonal start removes the opposite-side shortcut.</x:v>
      </x:c>
      <x:c r="Q520" s="9"/>
      <x:c r="R520" s="10" t="n">
        <x:v>3</x:v>
      </x:c>
      <x:c r="S520" s="10"/>
      <x:c r="T520" s="9"/>
      <x:c r="U520" s="9"/>
      <x:c r="V520" s="9"/>
      <x:c r="W520" s="9"/>
      <x:c r="X520" s="10"/>
      <x:c r="Y520" s="10"/>
      <x:c r="Z520" s="9"/>
      <x:c r="AA520" s="9"/>
      <x:c r="AB520" s="9"/>
      <x:c r="AC520" s="9" t="str">
        <x:v>left</x:v>
      </x:c>
      <x:c r="AD520" s="9" t="str">
        <x:v>green pen</x:v>
      </x:c>
      <x:c r="AE520" s="9" t="str">
        <x:v>red block</x:v>
      </x:c>
      <x:c r="AF520" s="9" t="str">
        <x:v>None</x:v>
      </x:c>
      <x:c r="AG520" s="9"/>
      <x:c r="AH520" s="9"/>
      <x:c r="AI520" s="11"/>
      <x:c r="AJ520" s="9"/>
      <x:c r="AK520" s="9" t="str">
        <x:v>Eval_Relational_Placement (1).xlsm</x:v>
      </x:c>
      <x:c r="AL520" s="9" t="str">
        <x:v>pi0.5 Results</x:v>
      </x:c>
      <x:c r="AM520" s="9" t="n">
        <x:v>70</x:v>
      </x:c>
      <x:c r="AN520" s="9" t="n">
        <x:v>70</x:v>
      </x:c>
    </x:row>
    <x:row r="521">
      <x:c r="A521" s="9" t="str">
        <x:v>Success</x:v>
      </x:c>
      <x:c r="B521" s="9" t="str">
        <x:v>Relational Placement</x:v>
      </x:c>
      <x:c r="C521" s="10" t="n">
        <x:v>69</x:v>
      </x:c>
      <x:c r="D521" s="9" t="str">
        <x:v>Place the green pen next to the red block.</x:v>
      </x:c>
      <x:c r="E521" s="9" t="str">
        <x:v>green pen, red block, pink marker</x:v>
      </x:c>
      <x:c r="F521" s="9" t="str">
        <x:v>green pen → 2–8 cm edge gap near red block; no directional sector required.</x:v>
      </x:c>
      <x:c r="G521" s="9" t="str">
        <x:v>put on left</x:v>
      </x:c>
      <x:c r="H521" s="9" t="str">
        <x:v>Matched manipulation control</x:v>
      </x:c>
      <x:c r="I521" s="9" t="str">
        <x:v>RP-CT-N07</x:v>
      </x:c>
      <x:c r="J521" s="9" t="str">
        <x:v>Exact-scene masked manipulation control</x:v>
      </x:c>
      <x:c r="K521" s="9" t="n">
        <x:v>68</x:v>
      </x:c>
      <x:c r="L521" s="9" t="str">
        <x:v>228</x:v>
      </x:c>
      <x:c r="M521" s="9"/>
      <x:c r="N521" s="9"/>
      <x:c r="O521" s="9" t="str">
        <x:v>Reset P1 to its marked pose; preserve the exact scene and use the trained control instruction.</x:v>
      </x:c>
      <x:c r="P521" s="9" t="str">
        <x:v>Exact-scene control using the final training prompt from episode 228. The target, reference, distractors, camera, and robot start match the paired transfer row.</x:v>
      </x:c>
      <x:c r="Q521" s="9"/>
      <x:c r="R521" s="10" t="n">
        <x:v>3</x:v>
      </x:c>
      <x:c r="S521" s="10"/>
      <x:c r="T521" s="9"/>
      <x:c r="U521" s="9"/>
      <x:c r="V521" s="9"/>
      <x:c r="W521" s="9"/>
      <x:c r="X521" s="10"/>
      <x:c r="Y521" s="10"/>
      <x:c r="Z521" s="9"/>
      <x:c r="AA521" s="9"/>
      <x:c r="AB521" s="9"/>
      <x:c r="AC521" s="9" t="str">
        <x:v>left</x:v>
      </x:c>
      <x:c r="AD521" s="9" t="str">
        <x:v>green pen</x:v>
      </x:c>
      <x:c r="AE521" s="9" t="str">
        <x:v>red block</x:v>
      </x:c>
      <x:c r="AF521" s="9" t="str">
        <x:v>None</x:v>
      </x:c>
      <x:c r="AG521" s="9"/>
      <x:c r="AH521" s="9"/>
      <x:c r="AI521" s="11"/>
      <x:c r="AJ521" s="9"/>
      <x:c r="AK521" s="9" t="str">
        <x:v>Eval_Relational_Placement (1).xlsm</x:v>
      </x:c>
      <x:c r="AL521" s="9" t="str">
        <x:v>pi0.5 Results</x:v>
      </x:c>
      <x:c r="AM521" s="9" t="n">
        <x:v>71</x:v>
      </x:c>
      <x:c r="AN521" s="9" t="n">
        <x:v>71</x:v>
      </x:c>
    </x:row>
    <x:row r="522">
      <x:c r="A522" s="9" t="str">
        <x:v>Success</x:v>
      </x:c>
      <x:c r="B522" s="9" t="str">
        <x:v>Relational Placement</x:v>
      </x:c>
      <x:c r="C522" s="10" t="n">
        <x:v>70</x:v>
      </x:c>
      <x:c r="D522" s="9" t="str">
        <x:v>Position the green pen on the robot's left-hand side of the red block.</x:v>
      </x:c>
      <x:c r="E522" s="9" t="str">
        <x:v>green pen, red block, pink marker</x:v>
      </x:c>
      <x:c r="F522" s="9" t="str">
        <x:v>green pen → 2–8 cm edge gap to the left of red block; centroid direction within ±45°.</x:v>
      </x:c>
      <x:c r="G522" s="9"/>
      <x:c r="H522" s="9" t="str">
        <x:v>Language robustness</x:v>
      </x:c>
      <x:c r="I522" s="9" t="str">
        <x:v>RP-CT-N07</x:v>
      </x:c>
      <x:c r="J522" s="9" t="str">
        <x:v>Transfer paraphrase of concept/compositional transfer</x:v>
      </x:c>
      <x:c r="K522" s="9" t="n">
        <x:v>68</x:v>
      </x:c>
      <x:c r="L522" s="9" t="str">
        <x:v>228</x:v>
      </x:c>
      <x:c r="M522" s="9"/>
      <x:c r="N522" s="9"/>
      <x:c r="O522" s="9" t="str">
        <x:v>Reset P1 to its marked pose; preserve the exact scene and change only the wording of the transfer instruction.</x:v>
      </x:c>
      <x:c r="P522" s="9" t="str">
        <x:v>Exact-scene paraphrase of the canonical compositional-transfer instruction.</x:v>
      </x:c>
      <x:c r="Q522" s="9"/>
      <x:c r="R522" s="10" t="n">
        <x:v>3</x:v>
      </x:c>
      <x:c r="S522" s="10"/>
      <x:c r="T522" s="9"/>
      <x:c r="U522" s="9"/>
      <x:c r="V522" s="9"/>
      <x:c r="W522" s="9"/>
      <x:c r="X522" s="10"/>
      <x:c r="Y522" s="10"/>
      <x:c r="Z522" s="9"/>
      <x:c r="AA522" s="9"/>
      <x:c r="AB522" s="9"/>
      <x:c r="AC522" s="9" t="str">
        <x:v>left</x:v>
      </x:c>
      <x:c r="AD522" s="9" t="str">
        <x:v>green pen</x:v>
      </x:c>
      <x:c r="AE522" s="9" t="str">
        <x:v>red block</x:v>
      </x:c>
      <x:c r="AF522" s="9" t="str">
        <x:v>None</x:v>
      </x:c>
      <x:c r="AG522" s="9"/>
      <x:c r="AH522" s="9"/>
      <x:c r="AI522" s="11"/>
      <x:c r="AJ522" s="9"/>
      <x:c r="AK522" s="9" t="str">
        <x:v>Eval_Relational_Placement (1).xlsm</x:v>
      </x:c>
      <x:c r="AL522" s="9" t="str">
        <x:v>pi0.5 Results</x:v>
      </x:c>
      <x:c r="AM522" s="9" t="n">
        <x:v>72</x:v>
      </x:c>
      <x:c r="AN522" s="9" t="n">
        <x:v>72</x:v>
      </x:c>
    </x:row>
    <x:row r="523">
      <x:c r="A523" s="9" t="str">
        <x:v>Success</x:v>
      </x:c>
      <x:c r="B523" s="9" t="str">
        <x:v>Relational Placement</x:v>
      </x:c>
      <x:c r="C523" s="10" t="n">
        <x:v>71</x:v>
      </x:c>
      <x:c r="D523" s="9" t="str">
        <x:v>Set the green pen down close to the red block.</x:v>
      </x:c>
      <x:c r="E523" s="9" t="str">
        <x:v>green pen, red block, pink marker</x:v>
      </x:c>
      <x:c r="F523" s="9" t="str">
        <x:v>green pen → 2–8 cm edge gap near red block; no directional sector required.</x:v>
      </x:c>
      <x:c r="G523" s="9" t="str">
        <x:v>pushed the block with the pen and plen ended up in front of the block</x:v>
      </x:c>
      <x:c r="H523" s="9" t="str">
        <x:v>Language robustness</x:v>
      </x:c>
      <x:c r="I523" s="9" t="str">
        <x:v>RP-CT-N07</x:v>
      </x:c>
      <x:c r="J523" s="9" t="str">
        <x:v>Matched-control paraphrase</x:v>
      </x:c>
      <x:c r="K523" s="9" t="n">
        <x:v>69</x:v>
      </x:c>
      <x:c r="L523" s="9" t="str">
        <x:v>228</x:v>
      </x:c>
      <x:c r="M523" s="9"/>
      <x:c r="N523" s="9"/>
      <x:c r="O523" s="9" t="str">
        <x:v>Reset P1 to its marked pose; preserve the exact scene and change only the wording of the matched-control instruction.</x:v>
      </x:c>
      <x:c r="P523" s="9" t="str">
        <x:v>Exact-scene paraphrase of the training-supported control from episode 228.</x:v>
      </x:c>
      <x:c r="Q523" s="9"/>
      <x:c r="R523" s="10" t="n">
        <x:v>3</x:v>
      </x:c>
      <x:c r="S523" s="10"/>
      <x:c r="T523" s="9"/>
      <x:c r="U523" s="9"/>
      <x:c r="V523" s="9"/>
      <x:c r="W523" s="9"/>
      <x:c r="X523" s="10"/>
      <x:c r="Y523" s="10"/>
      <x:c r="Z523" s="9"/>
      <x:c r="AA523" s="9"/>
      <x:c r="AB523" s="9"/>
      <x:c r="AC523" s="9" t="str">
        <x:v>left</x:v>
      </x:c>
      <x:c r="AD523" s="9" t="str">
        <x:v>green pen</x:v>
      </x:c>
      <x:c r="AE523" s="9" t="str">
        <x:v>red block</x:v>
      </x:c>
      <x:c r="AF523" s="9" t="str">
        <x:v>None</x:v>
      </x:c>
      <x:c r="AG523" s="9"/>
      <x:c r="AH523" s="9"/>
      <x:c r="AI523" s="11"/>
      <x:c r="AJ523" s="9"/>
      <x:c r="AK523" s="9" t="str">
        <x:v>Eval_Relational_Placement (1).xlsm</x:v>
      </x:c>
      <x:c r="AL523" s="9" t="str">
        <x:v>pi0.5 Results</x:v>
      </x:c>
      <x:c r="AM523" s="9" t="n">
        <x:v>73</x:v>
      </x:c>
      <x:c r="AN523" s="9" t="n">
        <x:v>73</x:v>
      </x:c>
    </x:row>
    <x:row r="524">
      <x:c r="A524" s="9" t="str">
        <x:v>Failure</x:v>
      </x:c>
      <x:c r="B524" s="9" t="str">
        <x:v>Relational Placement</x:v>
      </x:c>
      <x:c r="C524" s="10" t="n">
        <x:v>72</x:v>
      </x:c>
      <x:c r="D524" s="9" t="str">
        <x:v>Place the red block to the left of the green pen.</x:v>
      </x:c>
      <x:c r="E524" s="9" t="str">
        <x:v>red block, green pen, blue block, pink marker</x:v>
      </x:c>
      <x:c r="F524" s="9" t="str">
        <x:v>red block → 2–8 cm edge gap to the left of green pen; centroid direction within ±45°.</x:v>
      </x:c>
      <x:c r="G524" s="9" t="str">
        <x:v>failed to grasp the red block</x:v>
      </x:c>
      <x:c r="H524" s="9" t="str">
        <x:v>Concept/compositional transfer</x:v>
      </x:c>
      <x:c r="I524" s="9" t="str">
        <x:v>RP-CT-N08</x:v>
      </x:c>
      <x:c r="J524" s="9" t="str">
        <x:v>Neutral-axis independent compositional-transfer scene</x:v>
      </x:c>
      <x:c r="K524" s="9"/>
      <x:c r="L524" s="9" t="str">
        <x:v>285</x:v>
      </x:c>
      <x:c r="M524" s="9"/>
      <x:c r="N524" s="9"/>
      <x:c r="O524" s="9" t="str">
        <x:v>Build the listed neutral-axis scene and save the first frame.</x:v>
      </x:c>
      <x:c r="P524" s="9" t="str">
        <x:v>Independent held-out-composition scene. Source episode 285 supplies target recognition/manipulation under the trained prompt “Place the red block next to the green pen.”. The orthogonal start removes the opposite-side shortcut.</x:v>
      </x:c>
      <x:c r="Q524" s="9"/>
      <x:c r="R524" s="10" t="n">
        <x:v>4</x:v>
      </x:c>
      <x:c r="S524" s="10"/>
      <x:c r="T524" s="9"/>
      <x:c r="U524" s="9"/>
      <x:c r="V524" s="9"/>
      <x:c r="W524" s="9"/>
      <x:c r="X524" s="10"/>
      <x:c r="Y524" s="10"/>
      <x:c r="Z524" s="9"/>
      <x:c r="AA524" s="9"/>
      <x:c r="AB524" s="9"/>
      <x:c r="AC524" s="9" t="str">
        <x:v>left</x:v>
      </x:c>
      <x:c r="AD524" s="9" t="str">
        <x:v>red block</x:v>
      </x:c>
      <x:c r="AE524" s="9" t="str">
        <x:v>green pen</x:v>
      </x:c>
      <x:c r="AF524" s="9" t="str">
        <x:v>None</x:v>
      </x:c>
      <x:c r="AG524" s="9"/>
      <x:c r="AH524" s="9"/>
      <x:c r="AI524" s="11"/>
      <x:c r="AJ524" s="9"/>
      <x:c r="AK524" s="9" t="str">
        <x:v>Eval_Relational_Placement (1).xlsm</x:v>
      </x:c>
      <x:c r="AL524" s="9" t="str">
        <x:v>pi0.5 Results</x:v>
      </x:c>
      <x:c r="AM524" s="9" t="n">
        <x:v>74</x:v>
      </x:c>
      <x:c r="AN524" s="9" t="n">
        <x:v>74</x:v>
      </x:c>
    </x:row>
    <x:row r="525">
      <x:c r="A525" s="9" t="str">
        <x:v>Success</x:v>
      </x:c>
      <x:c r="B525" s="9" t="str">
        <x:v>Relational Placement</x:v>
      </x:c>
      <x:c r="C525" s="10" t="n">
        <x:v>73</x:v>
      </x:c>
      <x:c r="D525" s="9" t="str">
        <x:v>Place the red block next to the green pen.</x:v>
      </x:c>
      <x:c r="E525" s="9" t="str">
        <x:v>red block, green pen, blue block, pink marker</x:v>
      </x:c>
      <x:c r="F525" s="9" t="str">
        <x:v>red block → 2–8 cm edge gap near green pen; no directional sector required.</x:v>
      </x:c>
      <x:c r="G525" s="9" t="str">
        <x:v>placed to left</x:v>
      </x:c>
      <x:c r="H525" s="9" t="str">
        <x:v>Matched manipulation control</x:v>
      </x:c>
      <x:c r="I525" s="9" t="str">
        <x:v>RP-CT-N08</x:v>
      </x:c>
      <x:c r="J525" s="9" t="str">
        <x:v>Exact-scene masked manipulation control</x:v>
      </x:c>
      <x:c r="K525" s="9" t="n">
        <x:v>72</x:v>
      </x:c>
      <x:c r="L525" s="9" t="str">
        <x:v>285</x:v>
      </x:c>
      <x:c r="M525" s="9"/>
      <x:c r="N525" s="9"/>
      <x:c r="O525" s="9" t="str">
        <x:v>Reset P1 to its marked pose; preserve the exact scene and use the trained control instruction.</x:v>
      </x:c>
      <x:c r="P525" s="9" t="str">
        <x:v>Exact-scene control using the final training prompt from episode 285. The target, reference, distractors, camera, and robot start match the paired transfer row.</x:v>
      </x:c>
      <x:c r="Q525" s="9"/>
      <x:c r="R525" s="10" t="n">
        <x:v>4</x:v>
      </x:c>
      <x:c r="S525" s="10"/>
      <x:c r="T525" s="9"/>
      <x:c r="U525" s="9"/>
      <x:c r="V525" s="9"/>
      <x:c r="W525" s="9"/>
      <x:c r="X525" s="10"/>
      <x:c r="Y525" s="10"/>
      <x:c r="Z525" s="9"/>
      <x:c r="AA525" s="9"/>
      <x:c r="AB525" s="9"/>
      <x:c r="AC525" s="9" t="str">
        <x:v>left</x:v>
      </x:c>
      <x:c r="AD525" s="9" t="str">
        <x:v>red block</x:v>
      </x:c>
      <x:c r="AE525" s="9" t="str">
        <x:v>green pen</x:v>
      </x:c>
      <x:c r="AF525" s="9" t="str">
        <x:v>None</x:v>
      </x:c>
      <x:c r="AG525" s="9"/>
      <x:c r="AH525" s="9"/>
      <x:c r="AI525" s="11"/>
      <x:c r="AJ525" s="9"/>
      <x:c r="AK525" s="9" t="str">
        <x:v>Eval_Relational_Placement (1).xlsm</x:v>
      </x:c>
      <x:c r="AL525" s="9" t="str">
        <x:v>pi0.5 Results</x:v>
      </x:c>
      <x:c r="AM525" s="9" t="n">
        <x:v>75</x:v>
      </x:c>
      <x:c r="AN525" s="9" t="n">
        <x:v>75</x:v>
      </x:c>
    </x:row>
    <x:row r="526">
      <x:c r="A526" s="9" t="str">
        <x:v>Success</x:v>
      </x:c>
      <x:c r="B526" s="9" t="str">
        <x:v>Relational Placement</x:v>
      </x:c>
      <x:c r="C526" s="10" t="n">
        <x:v>74</x:v>
      </x:c>
      <x:c r="D526" s="9" t="str">
        <x:v>Position the red block on the robot's left-hand side of the green pen.</x:v>
      </x:c>
      <x:c r="E526" s="9" t="str">
        <x:v>red block, green pen, blue block, pink marker</x:v>
      </x:c>
      <x:c r="F526" s="9" t="str">
        <x:v>red block → 2–8 cm edge gap to the left of green pen; centroid direction within ±45°.</x:v>
      </x:c>
      <x:c r="G526" s="9"/>
      <x:c r="H526" s="9" t="str">
        <x:v>Language robustness</x:v>
      </x:c>
      <x:c r="I526" s="9" t="str">
        <x:v>RP-CT-N08</x:v>
      </x:c>
      <x:c r="J526" s="9" t="str">
        <x:v>Transfer paraphrase of concept/compositional transfer</x:v>
      </x:c>
      <x:c r="K526" s="9" t="n">
        <x:v>72</x:v>
      </x:c>
      <x:c r="L526" s="9" t="str">
        <x:v>285</x:v>
      </x:c>
      <x:c r="M526" s="9"/>
      <x:c r="N526" s="9"/>
      <x:c r="O526" s="9" t="str">
        <x:v>Reset P1 to its marked pose; preserve the exact scene and change only the wording of the transfer instruction.</x:v>
      </x:c>
      <x:c r="P526" s="9" t="str">
        <x:v>Exact-scene paraphrase of the canonical compositional-transfer instruction.</x:v>
      </x:c>
      <x:c r="Q526" s="9"/>
      <x:c r="R526" s="10" t="n">
        <x:v>4</x:v>
      </x:c>
      <x:c r="S526" s="10"/>
      <x:c r="T526" s="9"/>
      <x:c r="U526" s="9"/>
      <x:c r="V526" s="9"/>
      <x:c r="W526" s="9"/>
      <x:c r="X526" s="10"/>
      <x:c r="Y526" s="10"/>
      <x:c r="Z526" s="9"/>
      <x:c r="AA526" s="9"/>
      <x:c r="AB526" s="9"/>
      <x:c r="AC526" s="9" t="str">
        <x:v>left</x:v>
      </x:c>
      <x:c r="AD526" s="9" t="str">
        <x:v>red block</x:v>
      </x:c>
      <x:c r="AE526" s="9" t="str">
        <x:v>green pen</x:v>
      </x:c>
      <x:c r="AF526" s="9" t="str">
        <x:v>None</x:v>
      </x:c>
      <x:c r="AG526" s="9"/>
      <x:c r="AH526" s="9"/>
      <x:c r="AI526" s="11"/>
      <x:c r="AJ526" s="9"/>
      <x:c r="AK526" s="9" t="str">
        <x:v>Eval_Relational_Placement (1).xlsm</x:v>
      </x:c>
      <x:c r="AL526" s="9" t="str">
        <x:v>pi0.5 Results</x:v>
      </x:c>
      <x:c r="AM526" s="9" t="n">
        <x:v>76</x:v>
      </x:c>
      <x:c r="AN526" s="9" t="n">
        <x:v>76</x:v>
      </x:c>
    </x:row>
    <x:row r="527">
      <x:c r="A527" s="9" t="str">
        <x:v>Success</x:v>
      </x:c>
      <x:c r="B527" s="9" t="str">
        <x:v>Relational Placement</x:v>
      </x:c>
      <x:c r="C527" s="10" t="n">
        <x:v>75</x:v>
      </x:c>
      <x:c r="D527" s="9" t="str">
        <x:v>Set the red block down close to the green pen.</x:v>
      </x:c>
      <x:c r="E527" s="9" t="str">
        <x:v>red block, green pen, blue block, pink marker</x:v>
      </x:c>
      <x:c r="F527" s="9" t="str">
        <x:v>red block → 2–8 cm edge gap near green pen; no directional sector required.</x:v>
      </x:c>
      <x:c r="G527" s="9" t="str">
        <x:v>placed to right</x:v>
      </x:c>
      <x:c r="H527" s="9" t="str">
        <x:v>Language robustness</x:v>
      </x:c>
      <x:c r="I527" s="9" t="str">
        <x:v>RP-CT-N08</x:v>
      </x:c>
      <x:c r="J527" s="9" t="str">
        <x:v>Matched-control paraphrase</x:v>
      </x:c>
      <x:c r="K527" s="9" t="n">
        <x:v>73</x:v>
      </x:c>
      <x:c r="L527" s="9" t="str">
        <x:v>285</x:v>
      </x:c>
      <x:c r="M527" s="9"/>
      <x:c r="N527" s="9"/>
      <x:c r="O527" s="9" t="str">
        <x:v>Reset P1 to its marked pose; preserve the exact scene and change only the wording of the matched-control instruction.</x:v>
      </x:c>
      <x:c r="P527" s="9" t="str">
        <x:v>Exact-scene paraphrase of the training-supported control from episode 285.</x:v>
      </x:c>
      <x:c r="Q527" s="9"/>
      <x:c r="R527" s="10" t="n">
        <x:v>4</x:v>
      </x:c>
      <x:c r="S527" s="10"/>
      <x:c r="T527" s="9"/>
      <x:c r="U527" s="9"/>
      <x:c r="V527" s="9"/>
      <x:c r="W527" s="9"/>
      <x:c r="X527" s="10"/>
      <x:c r="Y527" s="10"/>
      <x:c r="Z527" s="9"/>
      <x:c r="AA527" s="9"/>
      <x:c r="AB527" s="9"/>
      <x:c r="AC527" s="9" t="str">
        <x:v>left</x:v>
      </x:c>
      <x:c r="AD527" s="9" t="str">
        <x:v>red block</x:v>
      </x:c>
      <x:c r="AE527" s="9" t="str">
        <x:v>green pen</x:v>
      </x:c>
      <x:c r="AF527" s="9" t="str">
        <x:v>None</x:v>
      </x:c>
      <x:c r="AG527" s="9"/>
      <x:c r="AH527" s="9"/>
      <x:c r="AI527" s="11"/>
      <x:c r="AJ527" s="9"/>
      <x:c r="AK527" s="9" t="str">
        <x:v>Eval_Relational_Placement (1).xlsm</x:v>
      </x:c>
      <x:c r="AL527" s="9" t="str">
        <x:v>pi0.5 Results</x:v>
      </x:c>
      <x:c r="AM527" s="9" t="n">
        <x:v>77</x:v>
      </x:c>
      <x:c r="AN527" s="9" t="n">
        <x:v>77</x:v>
      </x:c>
    </x:row>
    <x:row r="528">
      <x:c r="A528" s="9" t="str">
        <x:v>Failure</x:v>
      </x:c>
      <x:c r="B528" s="9" t="str">
        <x:v>Relational Placement</x:v>
      </x:c>
      <x:c r="C528" s="10" t="n">
        <x:v>76</x:v>
      </x:c>
      <x:c r="D528" s="9" t="str">
        <x:v>Place the green pen to the right of the red block.</x:v>
      </x:c>
      <x:c r="E528" s="9" t="str">
        <x:v>green pen, red block, pink marker</x:v>
      </x:c>
      <x:c r="F528" s="9" t="str">
        <x:v>green pen → 2–8 cm edge gap to the right of red block; centroid direction within ±45°.</x:v>
      </x:c>
      <x:c r="G528" s="9" t="str">
        <x:v>placed in front</x:v>
      </x:c>
      <x:c r="H528" s="9" t="str">
        <x:v>Concept/compositional transfer</x:v>
      </x:c>
      <x:c r="I528" s="9" t="str">
        <x:v>RP-CT-N09</x:v>
      </x:c>
      <x:c r="J528" s="9" t="str">
        <x:v>Neutral-axis independent compositional-transfer scene</x:v>
      </x:c>
      <x:c r="K528" s="9"/>
      <x:c r="L528" s="9" t="str">
        <x:v>240</x:v>
      </x:c>
      <x:c r="M528" s="9"/>
      <x:c r="N528" s="9"/>
      <x:c r="O528" s="9" t="str">
        <x:v>Build the listed neutral-axis scene and save the first frame.</x:v>
      </x:c>
      <x:c r="P528" s="9" t="str">
        <x:v>Independent held-out-composition scene. Source episode 240 supplies target recognition/manipulation under the trained prompt “Place the green pen next to the red block.”. The orthogonal start removes the opposite-side shortcut.</x:v>
      </x:c>
      <x:c r="Q528" s="9"/>
      <x:c r="R528" s="10" t="n">
        <x:v>3</x:v>
      </x:c>
      <x:c r="S528" s="10"/>
      <x:c r="T528" s="9"/>
      <x:c r="U528" s="9"/>
      <x:c r="V528" s="9"/>
      <x:c r="W528" s="9"/>
      <x:c r="X528" s="10"/>
      <x:c r="Y528" s="10"/>
      <x:c r="Z528" s="9"/>
      <x:c r="AA528" s="9"/>
      <x:c r="AB528" s="9"/>
      <x:c r="AC528" s="9" t="str">
        <x:v>right</x:v>
      </x:c>
      <x:c r="AD528" s="9" t="str">
        <x:v>green pen</x:v>
      </x:c>
      <x:c r="AE528" s="9" t="str">
        <x:v>red block</x:v>
      </x:c>
      <x:c r="AF528" s="9" t="str">
        <x:v>None</x:v>
      </x:c>
      <x:c r="AG528" s="9"/>
      <x:c r="AH528" s="9"/>
      <x:c r="AI528" s="11"/>
      <x:c r="AJ528" s="9"/>
      <x:c r="AK528" s="9" t="str">
        <x:v>Eval_Relational_Placement (1).xlsm</x:v>
      </x:c>
      <x:c r="AL528" s="9" t="str">
        <x:v>pi0.5 Results</x:v>
      </x:c>
      <x:c r="AM528" s="9" t="n">
        <x:v>78</x:v>
      </x:c>
      <x:c r="AN528" s="9" t="n">
        <x:v>78</x:v>
      </x:c>
    </x:row>
    <x:row r="529">
      <x:c r="A529" s="9" t="str">
        <x:v>Success</x:v>
      </x:c>
      <x:c r="B529" s="9" t="str">
        <x:v>Relational Placement</x:v>
      </x:c>
      <x:c r="C529" s="10" t="n">
        <x:v>77</x:v>
      </x:c>
      <x:c r="D529" s="9" t="str">
        <x:v>Place the green pen next to the red block.</x:v>
      </x:c>
      <x:c r="E529" s="9" t="str">
        <x:v>green pen, red block, pink marker</x:v>
      </x:c>
      <x:c r="F529" s="9" t="str">
        <x:v>green pen → 2–8 cm edge gap near red block; no directional sector required.</x:v>
      </x:c>
      <x:c r="G529" s="9" t="str">
        <x:v>placed in back</x:v>
      </x:c>
      <x:c r="H529" s="9" t="str">
        <x:v>Matched manipulation control</x:v>
      </x:c>
      <x:c r="I529" s="9" t="str">
        <x:v>RP-CT-N09</x:v>
      </x:c>
      <x:c r="J529" s="9" t="str">
        <x:v>Exact-scene masked manipulation control</x:v>
      </x:c>
      <x:c r="K529" s="9" t="n">
        <x:v>76</x:v>
      </x:c>
      <x:c r="L529" s="9" t="str">
        <x:v>240</x:v>
      </x:c>
      <x:c r="M529" s="9"/>
      <x:c r="N529" s="9"/>
      <x:c r="O529" s="9" t="str">
        <x:v>Reset P1 to its marked pose; preserve the exact scene and use the trained control instruction.</x:v>
      </x:c>
      <x:c r="P529" s="9" t="str">
        <x:v>Exact-scene control using the final training prompt from episode 240. The target, reference, distractors, camera, and robot start match the paired transfer row.</x:v>
      </x:c>
      <x:c r="Q529" s="9"/>
      <x:c r="R529" s="10" t="n">
        <x:v>3</x:v>
      </x:c>
      <x:c r="S529" s="10"/>
      <x:c r="T529" s="9"/>
      <x:c r="U529" s="9"/>
      <x:c r="V529" s="9"/>
      <x:c r="W529" s="9"/>
      <x:c r="X529" s="10"/>
      <x:c r="Y529" s="10"/>
      <x:c r="Z529" s="9"/>
      <x:c r="AA529" s="9"/>
      <x:c r="AB529" s="9"/>
      <x:c r="AC529" s="9" t="str">
        <x:v>right</x:v>
      </x:c>
      <x:c r="AD529" s="9" t="str">
        <x:v>green pen</x:v>
      </x:c>
      <x:c r="AE529" s="9" t="str">
        <x:v>red block</x:v>
      </x:c>
      <x:c r="AF529" s="9" t="str">
        <x:v>None</x:v>
      </x:c>
      <x:c r="AG529" s="9"/>
      <x:c r="AH529" s="9"/>
      <x:c r="AI529" s="11"/>
      <x:c r="AJ529" s="9"/>
      <x:c r="AK529" s="9" t="str">
        <x:v>Eval_Relational_Placement (1).xlsm</x:v>
      </x:c>
      <x:c r="AL529" s="9" t="str">
        <x:v>pi0.5 Results</x:v>
      </x:c>
      <x:c r="AM529" s="9" t="n">
        <x:v>79</x:v>
      </x:c>
      <x:c r="AN529" s="9" t="n">
        <x:v>79</x:v>
      </x:c>
    </x:row>
    <x:row r="530">
      <x:c r="A530" s="9" t="str">
        <x:v>Failure</x:v>
      </x:c>
      <x:c r="B530" s="9" t="str">
        <x:v>Relational Placement</x:v>
      </x:c>
      <x:c r="C530" s="10" t="n">
        <x:v>78</x:v>
      </x:c>
      <x:c r="D530" s="9" t="str">
        <x:v>Position the green pen on the robot's right-hand side of the red block.</x:v>
      </x:c>
      <x:c r="E530" s="9" t="str">
        <x:v>green pen, red block, pink marker</x:v>
      </x:c>
      <x:c r="F530" s="9" t="str">
        <x:v>green pen → 2–8 cm edge gap to the right of red block; centroid direction within ±45°.</x:v>
      </x:c>
      <x:c r="G530" s="9" t="str">
        <x:v>placed on top and slid to the left</x:v>
      </x:c>
      <x:c r="H530" s="9" t="str">
        <x:v>Language robustness</x:v>
      </x:c>
      <x:c r="I530" s="9" t="str">
        <x:v>RP-CT-N09</x:v>
      </x:c>
      <x:c r="J530" s="9" t="str">
        <x:v>Transfer paraphrase of concept/compositional transfer</x:v>
      </x:c>
      <x:c r="K530" s="9" t="n">
        <x:v>76</x:v>
      </x:c>
      <x:c r="L530" s="9" t="str">
        <x:v>240</x:v>
      </x:c>
      <x:c r="M530" s="9"/>
      <x:c r="N530" s="9"/>
      <x:c r="O530" s="9" t="str">
        <x:v>Reset P1 to its marked pose; preserve the exact scene and change only the wording of the transfer instruction.</x:v>
      </x:c>
      <x:c r="P530" s="9" t="str">
        <x:v>Exact-scene paraphrase of the canonical compositional-transfer instruction.</x:v>
      </x:c>
      <x:c r="Q530" s="9"/>
      <x:c r="R530" s="10" t="n">
        <x:v>3</x:v>
      </x:c>
      <x:c r="S530" s="10"/>
      <x:c r="T530" s="9"/>
      <x:c r="U530" s="9"/>
      <x:c r="V530" s="9"/>
      <x:c r="W530" s="9"/>
      <x:c r="X530" s="10"/>
      <x:c r="Y530" s="10"/>
      <x:c r="Z530" s="9"/>
      <x:c r="AA530" s="9"/>
      <x:c r="AB530" s="9"/>
      <x:c r="AC530" s="9" t="str">
        <x:v>right</x:v>
      </x:c>
      <x:c r="AD530" s="9" t="str">
        <x:v>green pen</x:v>
      </x:c>
      <x:c r="AE530" s="9" t="str">
        <x:v>red block</x:v>
      </x:c>
      <x:c r="AF530" s="9" t="str">
        <x:v>None</x:v>
      </x:c>
      <x:c r="AG530" s="9"/>
      <x:c r="AH530" s="9"/>
      <x:c r="AI530" s="11"/>
      <x:c r="AJ530" s="9"/>
      <x:c r="AK530" s="9" t="str">
        <x:v>Eval_Relational_Placement (1).xlsm</x:v>
      </x:c>
      <x:c r="AL530" s="9" t="str">
        <x:v>pi0.5 Results</x:v>
      </x:c>
      <x:c r="AM530" s="9" t="n">
        <x:v>80</x:v>
      </x:c>
      <x:c r="AN530" s="9" t="n">
        <x:v>80</x:v>
      </x:c>
    </x:row>
    <x:row r="531">
      <x:c r="A531" s="9" t="str">
        <x:v>Success</x:v>
      </x:c>
      <x:c r="B531" s="9" t="str">
        <x:v>Relational Placement</x:v>
      </x:c>
      <x:c r="C531" s="10" t="n">
        <x:v>79</x:v>
      </x:c>
      <x:c r="D531" s="9" t="str">
        <x:v>Set the green pen down close to the red block.</x:v>
      </x:c>
      <x:c r="E531" s="9" t="str">
        <x:v>green pen, red block, pink marker</x:v>
      </x:c>
      <x:c r="F531" s="9" t="str">
        <x:v>green pen → 2–8 cm edge gap near red block; no directional sector required.</x:v>
      </x:c>
      <x:c r="G531" s="9" t="str">
        <x:v>placed in front</x:v>
      </x:c>
      <x:c r="H531" s="9" t="str">
        <x:v>Language robustness</x:v>
      </x:c>
      <x:c r="I531" s="9" t="str">
        <x:v>RP-CT-N09</x:v>
      </x:c>
      <x:c r="J531" s="9" t="str">
        <x:v>Matched-control paraphrase</x:v>
      </x:c>
      <x:c r="K531" s="9" t="n">
        <x:v>77</x:v>
      </x:c>
      <x:c r="L531" s="9" t="str">
        <x:v>240</x:v>
      </x:c>
      <x:c r="M531" s="9"/>
      <x:c r="N531" s="9"/>
      <x:c r="O531" s="9" t="str">
        <x:v>Reset P1 to its marked pose; preserve the exact scene and change only the wording of the matched-control instruction.</x:v>
      </x:c>
      <x:c r="P531" s="9" t="str">
        <x:v>Exact-scene paraphrase of the training-supported control from episode 240.</x:v>
      </x:c>
      <x:c r="Q531" s="9"/>
      <x:c r="R531" s="10" t="n">
        <x:v>3</x:v>
      </x:c>
      <x:c r="S531" s="10"/>
      <x:c r="T531" s="9"/>
      <x:c r="U531" s="9"/>
      <x:c r="V531" s="9"/>
      <x:c r="W531" s="9"/>
      <x:c r="X531" s="10"/>
      <x:c r="Y531" s="10"/>
      <x:c r="Z531" s="9"/>
      <x:c r="AA531" s="9"/>
      <x:c r="AB531" s="9"/>
      <x:c r="AC531" s="9" t="str">
        <x:v>right</x:v>
      </x:c>
      <x:c r="AD531" s="9" t="str">
        <x:v>green pen</x:v>
      </x:c>
      <x:c r="AE531" s="9" t="str">
        <x:v>red block</x:v>
      </x:c>
      <x:c r="AF531" s="9" t="str">
        <x:v>None</x:v>
      </x:c>
      <x:c r="AG531" s="9"/>
      <x:c r="AH531" s="9"/>
      <x:c r="AI531" s="11"/>
      <x:c r="AJ531" s="9"/>
      <x:c r="AK531" s="9" t="str">
        <x:v>Eval_Relational_Placement (1).xlsm</x:v>
      </x:c>
      <x:c r="AL531" s="9" t="str">
        <x:v>pi0.5 Results</x:v>
      </x:c>
      <x:c r="AM531" s="9" t="n">
        <x:v>81</x:v>
      </x:c>
      <x:c r="AN531" s="9" t="n">
        <x:v>81</x:v>
      </x:c>
    </x:row>
    <x:row r="532">
      <x:c r="A532" s="9" t="str">
        <x:v>Success</x:v>
      </x:c>
      <x:c r="B532" s="9" t="str">
        <x:v>Relational Placement</x:v>
      </x:c>
      <x:c r="C532" s="10" t="n">
        <x:v>80</x:v>
      </x:c>
      <x:c r="D532" s="9" t="str">
        <x:v>Place the red block to the right of the green pen.</x:v>
      </x:c>
      <x:c r="E532" s="9" t="str">
        <x:v>red block, green pen, blue block, pink marker</x:v>
      </x:c>
      <x:c r="F532" s="9" t="str">
        <x:v>red block → 2–8 cm edge gap to the right of green pen; centroid direction within ±45°.</x:v>
      </x:c>
      <x:c r="G532" s="9"/>
      <x:c r="H532" s="9" t="str">
        <x:v>Concept/compositional transfer</x:v>
      </x:c>
      <x:c r="I532" s="9" t="str">
        <x:v>RP-CT-N10</x:v>
      </x:c>
      <x:c r="J532" s="9" t="str">
        <x:v>Neutral-axis independent compositional-transfer scene</x:v>
      </x:c>
      <x:c r="K532" s="9"/>
      <x:c r="L532" s="9" t="str">
        <x:v>298</x:v>
      </x:c>
      <x:c r="M532" s="9"/>
      <x:c r="N532" s="9"/>
      <x:c r="O532" s="9" t="str">
        <x:v>Build the listed neutral-axis scene and save the first frame.</x:v>
      </x:c>
      <x:c r="P532" s="9" t="str">
        <x:v>Independent held-out-composition scene. Source episode 298 supplies target recognition/manipulation under the trained prompt “Put the red block beside the green pen.”. The orthogonal start removes the opposite-side shortcut.</x:v>
      </x:c>
      <x:c r="Q532" s="9"/>
      <x:c r="R532" s="10" t="n">
        <x:v>4</x:v>
      </x:c>
      <x:c r="S532" s="10"/>
      <x:c r="T532" s="9"/>
      <x:c r="U532" s="9"/>
      <x:c r="V532" s="9"/>
      <x:c r="W532" s="9"/>
      <x:c r="X532" s="10"/>
      <x:c r="Y532" s="10"/>
      <x:c r="Z532" s="9"/>
      <x:c r="AA532" s="9"/>
      <x:c r="AB532" s="9"/>
      <x:c r="AC532" s="9" t="str">
        <x:v>right</x:v>
      </x:c>
      <x:c r="AD532" s="9" t="str">
        <x:v>red block</x:v>
      </x:c>
      <x:c r="AE532" s="9" t="str">
        <x:v>green pen</x:v>
      </x:c>
      <x:c r="AF532" s="9" t="str">
        <x:v>None</x:v>
      </x:c>
      <x:c r="AG532" s="9"/>
      <x:c r="AH532" s="9"/>
      <x:c r="AI532" s="11"/>
      <x:c r="AJ532" s="9"/>
      <x:c r="AK532" s="9" t="str">
        <x:v>Eval_Relational_Placement (1).xlsm</x:v>
      </x:c>
      <x:c r="AL532" s="9" t="str">
        <x:v>pi0.5 Results</x:v>
      </x:c>
      <x:c r="AM532" s="9" t="n">
        <x:v>82</x:v>
      </x:c>
      <x:c r="AN532" s="9" t="n">
        <x:v>82</x:v>
      </x:c>
    </x:row>
    <x:row r="533">
      <x:c r="A533" s="9" t="str">
        <x:v>Success</x:v>
      </x:c>
      <x:c r="B533" s="9" t="str">
        <x:v>Relational Placement</x:v>
      </x:c>
      <x:c r="C533" s="10" t="n">
        <x:v>81</x:v>
      </x:c>
      <x:c r="D533" s="9" t="str">
        <x:v>Put the red block beside the green pen.</x:v>
      </x:c>
      <x:c r="E533" s="9" t="str">
        <x:v>red block, green pen, blue block, pink marker</x:v>
      </x:c>
      <x:c r="F533" s="9" t="str">
        <x:v>red block → 2–8 cm edge gap near green pen; no directional sector required.</x:v>
      </x:c>
      <x:c r="G533" s="9" t="str">
        <x:v>placed on right</x:v>
      </x:c>
      <x:c r="H533" s="9" t="str">
        <x:v>Matched manipulation control</x:v>
      </x:c>
      <x:c r="I533" s="9" t="str">
        <x:v>RP-CT-N10</x:v>
      </x:c>
      <x:c r="J533" s="9" t="str">
        <x:v>Exact-scene masked manipulation control</x:v>
      </x:c>
      <x:c r="K533" s="9" t="n">
        <x:v>80</x:v>
      </x:c>
      <x:c r="L533" s="9" t="str">
        <x:v>298</x:v>
      </x:c>
      <x:c r="M533" s="9"/>
      <x:c r="N533" s="9"/>
      <x:c r="O533" s="9" t="str">
        <x:v>Reset P1 to its marked pose; preserve the exact scene and use the trained control instruction.</x:v>
      </x:c>
      <x:c r="P533" s="9" t="str">
        <x:v>Exact-scene control using the final training prompt from episode 298. The target, reference, distractors, camera, and robot start match the paired transfer row.</x:v>
      </x:c>
      <x:c r="Q533" s="9"/>
      <x:c r="R533" s="10" t="n">
        <x:v>4</x:v>
      </x:c>
      <x:c r="S533" s="10"/>
      <x:c r="T533" s="9"/>
      <x:c r="U533" s="9"/>
      <x:c r="V533" s="9"/>
      <x:c r="W533" s="9"/>
      <x:c r="X533" s="10"/>
      <x:c r="Y533" s="10"/>
      <x:c r="Z533" s="9"/>
      <x:c r="AA533" s="9"/>
      <x:c r="AB533" s="9"/>
      <x:c r="AC533" s="9" t="str">
        <x:v>right</x:v>
      </x:c>
      <x:c r="AD533" s="9" t="str">
        <x:v>red block</x:v>
      </x:c>
      <x:c r="AE533" s="9" t="str">
        <x:v>green pen</x:v>
      </x:c>
      <x:c r="AF533" s="9" t="str">
        <x:v>None</x:v>
      </x:c>
      <x:c r="AG533" s="9"/>
      <x:c r="AH533" s="9"/>
      <x:c r="AI533" s="11"/>
      <x:c r="AJ533" s="9"/>
      <x:c r="AK533" s="9" t="str">
        <x:v>Eval_Relational_Placement (1).xlsm</x:v>
      </x:c>
      <x:c r="AL533" s="9" t="str">
        <x:v>pi0.5 Results</x:v>
      </x:c>
      <x:c r="AM533" s="9" t="n">
        <x:v>83</x:v>
      </x:c>
      <x:c r="AN533" s="9" t="n">
        <x:v>83</x:v>
      </x:c>
    </x:row>
    <x:row r="534">
      <x:c r="A534" s="9" t="str">
        <x:v>Failure</x:v>
      </x:c>
      <x:c r="B534" s="9" t="str">
        <x:v>Relational Placement</x:v>
      </x:c>
      <x:c r="C534" s="10" t="n">
        <x:v>82</x:v>
      </x:c>
      <x:c r="D534" s="9" t="str">
        <x:v>Position the red block on the robot's right-hand side of the green pen.</x:v>
      </x:c>
      <x:c r="E534" s="9" t="str">
        <x:v>red block, green pen, blue block, pink marker</x:v>
      </x:c>
      <x:c r="F534" s="9" t="str">
        <x:v>red block → 2–8 cm edge gap to the right of green pen; centroid direction within ±45°.</x:v>
      </x:c>
      <x:c r="G534" s="9" t="str">
        <x:v>placed on the left</x:v>
      </x:c>
      <x:c r="H534" s="9" t="str">
        <x:v>Language robustness</x:v>
      </x:c>
      <x:c r="I534" s="9" t="str">
        <x:v>RP-CT-N10</x:v>
      </x:c>
      <x:c r="J534" s="9" t="str">
        <x:v>Transfer paraphrase of concept/compositional transfer</x:v>
      </x:c>
      <x:c r="K534" s="9" t="n">
        <x:v>80</x:v>
      </x:c>
      <x:c r="L534" s="9" t="str">
        <x:v>298</x:v>
      </x:c>
      <x:c r="M534" s="9"/>
      <x:c r="N534" s="9"/>
      <x:c r="O534" s="9" t="str">
        <x:v>Reset P1 to its marked pose; preserve the exact scene and change only the wording of the transfer instruction.</x:v>
      </x:c>
      <x:c r="P534" s="9" t="str">
        <x:v>Exact-scene paraphrase of the canonical compositional-transfer instruction.</x:v>
      </x:c>
      <x:c r="Q534" s="9"/>
      <x:c r="R534" s="10" t="n">
        <x:v>4</x:v>
      </x:c>
      <x:c r="S534" s="10"/>
      <x:c r="T534" s="9"/>
      <x:c r="U534" s="9"/>
      <x:c r="V534" s="9"/>
      <x:c r="W534" s="9"/>
      <x:c r="X534" s="10"/>
      <x:c r="Y534" s="10"/>
      <x:c r="Z534" s="9"/>
      <x:c r="AA534" s="9"/>
      <x:c r="AB534" s="9"/>
      <x:c r="AC534" s="9" t="str">
        <x:v>right</x:v>
      </x:c>
      <x:c r="AD534" s="9" t="str">
        <x:v>red block</x:v>
      </x:c>
      <x:c r="AE534" s="9" t="str">
        <x:v>green pen</x:v>
      </x:c>
      <x:c r="AF534" s="9" t="str">
        <x:v>None</x:v>
      </x:c>
      <x:c r="AG534" s="9"/>
      <x:c r="AH534" s="9"/>
      <x:c r="AI534" s="11"/>
      <x:c r="AJ534" s="9"/>
      <x:c r="AK534" s="9" t="str">
        <x:v>Eval_Relational_Placement (1).xlsm</x:v>
      </x:c>
      <x:c r="AL534" s="9" t="str">
        <x:v>pi0.5 Results</x:v>
      </x:c>
      <x:c r="AM534" s="9" t="n">
        <x:v>84</x:v>
      </x:c>
      <x:c r="AN534" s="9" t="n">
        <x:v>84</x:v>
      </x:c>
    </x:row>
    <x:row r="535">
      <x:c r="A535" s="9" t="str">
        <x:v>Success</x:v>
      </x:c>
      <x:c r="B535" s="9" t="str">
        <x:v>Relational Placement</x:v>
      </x:c>
      <x:c r="C535" s="10" t="n">
        <x:v>83</x:v>
      </x:c>
      <x:c r="D535" s="9" t="str">
        <x:v>Set the red block down close to the green pen.</x:v>
      </x:c>
      <x:c r="E535" s="9" t="str">
        <x:v>red block, green pen, blue block, pink marker</x:v>
      </x:c>
      <x:c r="F535" s="9" t="str">
        <x:v>red block → 2–8 cm edge gap near green pen; no directional sector required.</x:v>
      </x:c>
      <x:c r="G535" s="9" t="str">
        <x:v>placed on the left</x:v>
      </x:c>
      <x:c r="H535" s="9" t="str">
        <x:v>Language robustness</x:v>
      </x:c>
      <x:c r="I535" s="9" t="str">
        <x:v>RP-CT-N10</x:v>
      </x:c>
      <x:c r="J535" s="9" t="str">
        <x:v>Matched-control paraphrase</x:v>
      </x:c>
      <x:c r="K535" s="9" t="n">
        <x:v>81</x:v>
      </x:c>
      <x:c r="L535" s="9" t="str">
        <x:v>298</x:v>
      </x:c>
      <x:c r="M535" s="9"/>
      <x:c r="N535" s="9"/>
      <x:c r="O535" s="9" t="str">
        <x:v>Reset P1 to its marked pose; preserve the exact scene and change only the wording of the matched-control instruction.</x:v>
      </x:c>
      <x:c r="P535" s="9" t="str">
        <x:v>Exact-scene paraphrase of the training-supported control from episode 298.</x:v>
      </x:c>
      <x:c r="Q535" s="9"/>
      <x:c r="R535" s="10" t="n">
        <x:v>4</x:v>
      </x:c>
      <x:c r="S535" s="10"/>
      <x:c r="T535" s="9"/>
      <x:c r="U535" s="9"/>
      <x:c r="V535" s="9"/>
      <x:c r="W535" s="9"/>
      <x:c r="X535" s="10"/>
      <x:c r="Y535" s="10"/>
      <x:c r="Z535" s="9"/>
      <x:c r="AA535" s="9"/>
      <x:c r="AB535" s="9"/>
      <x:c r="AC535" s="9" t="str">
        <x:v>right</x:v>
      </x:c>
      <x:c r="AD535" s="9" t="str">
        <x:v>red block</x:v>
      </x:c>
      <x:c r="AE535" s="9" t="str">
        <x:v>green pen</x:v>
      </x:c>
      <x:c r="AF535" s="9" t="str">
        <x:v>None</x:v>
      </x:c>
      <x:c r="AG535" s="9"/>
      <x:c r="AH535" s="9"/>
      <x:c r="AI535" s="11"/>
      <x:c r="AJ535" s="9"/>
      <x:c r="AK535" s="9" t="str">
        <x:v>Eval_Relational_Placement (1).xlsm</x:v>
      </x:c>
      <x:c r="AL535" s="9" t="str">
        <x:v>pi0.5 Results</x:v>
      </x:c>
      <x:c r="AM535" s="9" t="n">
        <x:v>85</x:v>
      </x:c>
      <x:c r="AN535" s="9" t="n">
        <x:v>85</x:v>
      </x:c>
    </x:row>
    <x:row r="536">
      <x:c r="A536" s="9" t="str">
        <x:v>Success</x:v>
      </x:c>
      <x:c r="B536" s="9" t="str">
        <x:v>Relational Placement</x:v>
      </x:c>
      <x:c r="C536" s="10" t="n">
        <x:v>84</x:v>
      </x:c>
      <x:c r="D536" s="9" t="str">
        <x:v>Place the green pen in front of the red block.</x:v>
      </x:c>
      <x:c r="E536" s="9" t="str">
        <x:v>green pen, red block, pink marker, blue block</x:v>
      </x:c>
      <x:c r="F536" s="9" t="str">
        <x:v>green pen → 2–8 cm edge gap in front of red block; centroid direction within ±45°.</x:v>
      </x:c>
      <x:c r="G536" s="9"/>
      <x:c r="H536" s="9" t="str">
        <x:v>Concept/compositional transfer</x:v>
      </x:c>
      <x:c r="I536" s="9" t="str">
        <x:v>RP-CT-N11</x:v>
      </x:c>
      <x:c r="J536" s="9" t="str">
        <x:v>Neutral-axis independent compositional-transfer scene</x:v>
      </x:c>
      <x:c r="K536" s="9"/>
      <x:c r="L536" s="9" t="str">
        <x:v>202</x:v>
      </x:c>
      <x:c r="M536" s="9"/>
      <x:c r="N536" s="9"/>
      <x:c r="O536" s="9" t="str">
        <x:v>Build the listed neutral-axis scene and save the first frame.</x:v>
      </x:c>
      <x:c r="P536" s="9" t="str">
        <x:v>Independent held-out-composition scene. Source episode 202 supplies target recognition/manipulation under the trained prompt “Put the green pen beside the red block.”. The orthogonal start removes the opposite-side shortcut.</x:v>
      </x:c>
      <x:c r="Q536" s="9"/>
      <x:c r="R536" s="10" t="n">
        <x:v>4</x:v>
      </x:c>
      <x:c r="S536" s="10"/>
      <x:c r="T536" s="9"/>
      <x:c r="U536" s="9"/>
      <x:c r="V536" s="9"/>
      <x:c r="W536" s="9"/>
      <x:c r="X536" s="10"/>
      <x:c r="Y536" s="10"/>
      <x:c r="Z536" s="9"/>
      <x:c r="AA536" s="9"/>
      <x:c r="AB536" s="9"/>
      <x:c r="AC536" s="9" t="str">
        <x:v>front</x:v>
      </x:c>
      <x:c r="AD536" s="9" t="str">
        <x:v>green pen</x:v>
      </x:c>
      <x:c r="AE536" s="9" t="str">
        <x:v>red block</x:v>
      </x:c>
      <x:c r="AF536" s="9" t="str">
        <x:v>None</x:v>
      </x:c>
      <x:c r="AG536" s="9"/>
      <x:c r="AH536" s="9"/>
      <x:c r="AI536" s="11"/>
      <x:c r="AJ536" s="9"/>
      <x:c r="AK536" s="9" t="str">
        <x:v>Eval_Relational_Placement (1).xlsm</x:v>
      </x:c>
      <x:c r="AL536" s="9" t="str">
        <x:v>pi0.5 Results</x:v>
      </x:c>
      <x:c r="AM536" s="9" t="n">
        <x:v>86</x:v>
      </x:c>
      <x:c r="AN536" s="9" t="n">
        <x:v>86</x:v>
      </x:c>
    </x:row>
    <x:row r="537">
      <x:c r="A537" s="9" t="str">
        <x:v>Success</x:v>
      </x:c>
      <x:c r="B537" s="9" t="str">
        <x:v>Relational Placement</x:v>
      </x:c>
      <x:c r="C537" s="10" t="n">
        <x:v>85</x:v>
      </x:c>
      <x:c r="D537" s="9" t="str">
        <x:v>Put the green pen beside the red block.</x:v>
      </x:c>
      <x:c r="E537" s="9" t="str">
        <x:v>green pen, red block, pink marker, blue block</x:v>
      </x:c>
      <x:c r="F537" s="9" t="str">
        <x:v>green pen → 2–8 cm edge gap near red block; no directional sector required.</x:v>
      </x:c>
      <x:c r="G537" s="9" t="str">
        <x:v>placed front left</x:v>
      </x:c>
      <x:c r="H537" s="9" t="str">
        <x:v>Matched manipulation control</x:v>
      </x:c>
      <x:c r="I537" s="9" t="str">
        <x:v>RP-CT-N11</x:v>
      </x:c>
      <x:c r="J537" s="9" t="str">
        <x:v>Exact-scene masked manipulation control</x:v>
      </x:c>
      <x:c r="K537" s="9" t="n">
        <x:v>84</x:v>
      </x:c>
      <x:c r="L537" s="9" t="str">
        <x:v>202</x:v>
      </x:c>
      <x:c r="M537" s="9"/>
      <x:c r="N537" s="9"/>
      <x:c r="O537" s="9" t="str">
        <x:v>Reset P1 to its marked pose; preserve the exact scene and use the trained control instruction.</x:v>
      </x:c>
      <x:c r="P537" s="9" t="str">
        <x:v>Exact-scene control using the final training prompt from episode 202. The target, reference, distractors, camera, and robot start match the paired transfer row.</x:v>
      </x:c>
      <x:c r="Q537" s="9"/>
      <x:c r="R537" s="10" t="n">
        <x:v>4</x:v>
      </x:c>
      <x:c r="S537" s="10"/>
      <x:c r="T537" s="9"/>
      <x:c r="U537" s="9"/>
      <x:c r="V537" s="9"/>
      <x:c r="W537" s="9"/>
      <x:c r="X537" s="10"/>
      <x:c r="Y537" s="10"/>
      <x:c r="Z537" s="9"/>
      <x:c r="AA537" s="9"/>
      <x:c r="AB537" s="9"/>
      <x:c r="AC537" s="9" t="str">
        <x:v>front</x:v>
      </x:c>
      <x:c r="AD537" s="9" t="str">
        <x:v>green pen</x:v>
      </x:c>
      <x:c r="AE537" s="9" t="str">
        <x:v>red block</x:v>
      </x:c>
      <x:c r="AF537" s="9" t="str">
        <x:v>None</x:v>
      </x:c>
      <x:c r="AG537" s="9"/>
      <x:c r="AH537" s="9"/>
      <x:c r="AI537" s="11"/>
      <x:c r="AJ537" s="9"/>
      <x:c r="AK537" s="9" t="str">
        <x:v>Eval_Relational_Placement (1).xlsm</x:v>
      </x:c>
      <x:c r="AL537" s="9" t="str">
        <x:v>pi0.5 Results</x:v>
      </x:c>
      <x:c r="AM537" s="9" t="n">
        <x:v>87</x:v>
      </x:c>
      <x:c r="AN537" s="9" t="n">
        <x:v>87</x:v>
      </x:c>
    </x:row>
    <x:row r="538">
      <x:c r="A538" s="9" t="str">
        <x:v>Success</x:v>
      </x:c>
      <x:c r="B538" s="9" t="str">
        <x:v>Relational Placement</x:v>
      </x:c>
      <x:c r="C538" s="10" t="n">
        <x:v>86</x:v>
      </x:c>
      <x:c r="D538" s="9" t="str">
        <x:v>Place the red block in front of the green pen.</x:v>
      </x:c>
      <x:c r="E538" s="9" t="str">
        <x:v>red block, green pen, blue block</x:v>
      </x:c>
      <x:c r="F538" s="9" t="str">
        <x:v>red block → 2–8 cm edge gap in front of green pen; centroid direction within ±45°.</x:v>
      </x:c>
      <x:c r="G538" s="9"/>
      <x:c r="H538" s="9" t="str">
        <x:v>Concept/compositional transfer</x:v>
      </x:c>
      <x:c r="I538" s="9" t="str">
        <x:v>RP-CT-N12</x:v>
      </x:c>
      <x:c r="J538" s="9" t="str">
        <x:v>Neutral-axis independent compositional-transfer scene</x:v>
      </x:c>
      <x:c r="K538" s="9"/>
      <x:c r="L538" s="9" t="str">
        <x:v>261</x:v>
      </x:c>
      <x:c r="M538" s="9"/>
      <x:c r="N538" s="9"/>
      <x:c r="O538" s="9" t="str">
        <x:v>Build the listed neutral-axis scene and save the first frame.</x:v>
      </x:c>
      <x:c r="P538" s="9" t="str">
        <x:v>Independent held-out-composition scene. Source episode 261 supplies target recognition/manipulation under the trained prompt “Place the red block next to the green pen.”. The orthogonal start removes the opposite-side shortcut.</x:v>
      </x:c>
      <x:c r="Q538" s="9"/>
      <x:c r="R538" s="10" t="n">
        <x:v>3</x:v>
      </x:c>
      <x:c r="S538" s="10"/>
      <x:c r="T538" s="9"/>
      <x:c r="U538" s="9"/>
      <x:c r="V538" s="9"/>
      <x:c r="W538" s="9"/>
      <x:c r="X538" s="10"/>
      <x:c r="Y538" s="10"/>
      <x:c r="Z538" s="9"/>
      <x:c r="AA538" s="9"/>
      <x:c r="AB538" s="9"/>
      <x:c r="AC538" s="9" t="str">
        <x:v>front</x:v>
      </x:c>
      <x:c r="AD538" s="9" t="str">
        <x:v>red block</x:v>
      </x:c>
      <x:c r="AE538" s="9" t="str">
        <x:v>green pen</x:v>
      </x:c>
      <x:c r="AF538" s="9" t="str">
        <x:v>None</x:v>
      </x:c>
      <x:c r="AG538" s="9"/>
      <x:c r="AH538" s="9"/>
      <x:c r="AI538" s="11"/>
      <x:c r="AJ538" s="9"/>
      <x:c r="AK538" s="9" t="str">
        <x:v>Eval_Relational_Placement (1).xlsm</x:v>
      </x:c>
      <x:c r="AL538" s="9" t="str">
        <x:v>pi0.5 Results</x:v>
      </x:c>
      <x:c r="AM538" s="9" t="n">
        <x:v>88</x:v>
      </x:c>
      <x:c r="AN538" s="9" t="n">
        <x:v>88</x:v>
      </x:c>
    </x:row>
    <x:row r="539">
      <x:c r="A539" s="9" t="str">
        <x:v>Success</x:v>
      </x:c>
      <x:c r="B539" s="9" t="str">
        <x:v>Relational Placement</x:v>
      </x:c>
      <x:c r="C539" s="10" t="n">
        <x:v>87</x:v>
      </x:c>
      <x:c r="D539" s="9" t="str">
        <x:v>Place the red block next to the green pen.</x:v>
      </x:c>
      <x:c r="E539" s="9" t="str">
        <x:v>red block, green pen, blue block</x:v>
      </x:c>
      <x:c r="F539" s="9" t="str">
        <x:v>red block → 2–8 cm edge gap near green pen; no directional sector required.</x:v>
      </x:c>
      <x:c r="G539" s="9" t="str">
        <x:v>placed red block in front</x:v>
      </x:c>
      <x:c r="H539" s="9" t="str">
        <x:v>Matched manipulation control</x:v>
      </x:c>
      <x:c r="I539" s="9" t="str">
        <x:v>RP-CT-N12</x:v>
      </x:c>
      <x:c r="J539" s="9" t="str">
        <x:v>Exact-scene masked manipulation control</x:v>
      </x:c>
      <x:c r="K539" s="9" t="n">
        <x:v>86</x:v>
      </x:c>
      <x:c r="L539" s="9" t="str">
        <x:v>261</x:v>
      </x:c>
      <x:c r="M539" s="9"/>
      <x:c r="N539" s="9"/>
      <x:c r="O539" s="9" t="str">
        <x:v>Reset P1 to its marked pose; preserve the exact scene and use the trained control instruction.</x:v>
      </x:c>
      <x:c r="P539" s="9" t="str">
        <x:v>Exact-scene control using the final training prompt from episode 261. The target, reference, distractors, camera, and robot start match the paired transfer row.</x:v>
      </x:c>
      <x:c r="Q539" s="9"/>
      <x:c r="R539" s="10" t="n">
        <x:v>3</x:v>
      </x:c>
      <x:c r="S539" s="10"/>
      <x:c r="T539" s="9"/>
      <x:c r="U539" s="9"/>
      <x:c r="V539" s="9"/>
      <x:c r="W539" s="9"/>
      <x:c r="X539" s="10"/>
      <x:c r="Y539" s="10"/>
      <x:c r="Z539" s="9"/>
      <x:c r="AA539" s="9"/>
      <x:c r="AB539" s="9"/>
      <x:c r="AC539" s="9" t="str">
        <x:v>front</x:v>
      </x:c>
      <x:c r="AD539" s="9" t="str">
        <x:v>red block</x:v>
      </x:c>
      <x:c r="AE539" s="9" t="str">
        <x:v>green pen</x:v>
      </x:c>
      <x:c r="AF539" s="9" t="str">
        <x:v>None</x:v>
      </x:c>
      <x:c r="AG539" s="9"/>
      <x:c r="AH539" s="9"/>
      <x:c r="AI539" s="11"/>
      <x:c r="AJ539" s="9"/>
      <x:c r="AK539" s="9" t="str">
        <x:v>Eval_Relational_Placement (1).xlsm</x:v>
      </x:c>
      <x:c r="AL539" s="9" t="str">
        <x:v>pi0.5 Results</x:v>
      </x:c>
      <x:c r="AM539" s="9" t="n">
        <x:v>89</x:v>
      </x:c>
      <x:c r="AN539" s="9" t="n">
        <x:v>89</x:v>
      </x:c>
    </x:row>
    <x:row r="540">
      <x:c r="A540" s="9" t="str">
        <x:v>Success</x:v>
      </x:c>
      <x:c r="B540" s="9" t="str">
        <x:v>Relational Placement</x:v>
      </x:c>
      <x:c r="C540" s="10" t="n">
        <x:v>88</x:v>
      </x:c>
      <x:c r="D540" s="9" t="str">
        <x:v>Place the green pen behind the red block.</x:v>
      </x:c>
      <x:c r="E540" s="9" t="str">
        <x:v>green pen, red block, pink marker</x:v>
      </x:c>
      <x:c r="F540" s="9" t="str">
        <x:v>green pen → 2–8 cm edge gap behind red block; centroid direction within ±45°.</x:v>
      </x:c>
      <x:c r="G540" s="9"/>
      <x:c r="H540" s="9" t="str">
        <x:v>Concept/compositional transfer</x:v>
      </x:c>
      <x:c r="I540" s="9" t="str">
        <x:v>RP-CT-N13</x:v>
      </x:c>
      <x:c r="J540" s="9" t="str">
        <x:v>Neutral-axis independent compositional-transfer scene</x:v>
      </x:c>
      <x:c r="K540" s="9"/>
      <x:c r="L540" s="9" t="str">
        <x:v>213</x:v>
      </x:c>
      <x:c r="M540" s="9"/>
      <x:c r="N540" s="9"/>
      <x:c r="O540" s="9" t="str">
        <x:v>Build the listed neutral-axis scene and save the first frame.</x:v>
      </x:c>
      <x:c r="P540" s="9" t="str">
        <x:v>Independent held-out-composition scene. Source episode 213 supplies target recognition/manipulation under the trained prompt “Place the green pen next to the red block.”. The orthogonal start removes the opposite-side shortcut.</x:v>
      </x:c>
      <x:c r="Q540" s="9"/>
      <x:c r="R540" s="10" t="n">
        <x:v>3</x:v>
      </x:c>
      <x:c r="S540" s="10"/>
      <x:c r="T540" s="9"/>
      <x:c r="U540" s="9"/>
      <x:c r="V540" s="9"/>
      <x:c r="W540" s="9"/>
      <x:c r="X540" s="10"/>
      <x:c r="Y540" s="10"/>
      <x:c r="Z540" s="9"/>
      <x:c r="AA540" s="9"/>
      <x:c r="AB540" s="9"/>
      <x:c r="AC540" s="9" t="str">
        <x:v>behind</x:v>
      </x:c>
      <x:c r="AD540" s="9" t="str">
        <x:v>green pen</x:v>
      </x:c>
      <x:c r="AE540" s="9" t="str">
        <x:v>red block</x:v>
      </x:c>
      <x:c r="AF540" s="9" t="str">
        <x:v>None</x:v>
      </x:c>
      <x:c r="AG540" s="9"/>
      <x:c r="AH540" s="9"/>
      <x:c r="AI540" s="11"/>
      <x:c r="AJ540" s="9"/>
      <x:c r="AK540" s="9" t="str">
        <x:v>Eval_Relational_Placement (1).xlsm</x:v>
      </x:c>
      <x:c r="AL540" s="9" t="str">
        <x:v>pi0.5 Results</x:v>
      </x:c>
      <x:c r="AM540" s="9" t="n">
        <x:v>90</x:v>
      </x:c>
      <x:c r="AN540" s="9" t="n">
        <x:v>90</x:v>
      </x:c>
    </x:row>
    <x:row r="541">
      <x:c r="A541" s="9" t="str">
        <x:v>Success</x:v>
      </x:c>
      <x:c r="B541" s="9" t="str">
        <x:v>Relational Placement</x:v>
      </x:c>
      <x:c r="C541" s="10" t="n">
        <x:v>89</x:v>
      </x:c>
      <x:c r="D541" s="9" t="str">
        <x:v>Place the green pen next to the red block.</x:v>
      </x:c>
      <x:c r="E541" s="9" t="str">
        <x:v>green pen, red block, pink marker</x:v>
      </x:c>
      <x:c r="F541" s="9" t="str">
        <x:v>green pen → 2–8 cm edge gap near red block; no directional sector required.</x:v>
      </x:c>
      <x:c r="G541" s="9" t="str">
        <x:v>placed behind</x:v>
      </x:c>
      <x:c r="H541" s="9" t="str">
        <x:v>Matched manipulation control</x:v>
      </x:c>
      <x:c r="I541" s="9" t="str">
        <x:v>RP-CT-N13</x:v>
      </x:c>
      <x:c r="J541" s="9" t="str">
        <x:v>Exact-scene masked manipulation control</x:v>
      </x:c>
      <x:c r="K541" s="9" t="n">
        <x:v>88</x:v>
      </x:c>
      <x:c r="L541" s="9" t="str">
        <x:v>213</x:v>
      </x:c>
      <x:c r="M541" s="9"/>
      <x:c r="N541" s="9"/>
      <x:c r="O541" s="9" t="str">
        <x:v>Reset P1 to its marked pose; preserve the exact scene and use the trained control instruction.</x:v>
      </x:c>
      <x:c r="P541" s="9" t="str">
        <x:v>Exact-scene control using the final training prompt from episode 213. The target, reference, distractors, camera, and robot start match the paired transfer row.</x:v>
      </x:c>
      <x:c r="Q541" s="9"/>
      <x:c r="R541" s="10" t="n">
        <x:v>3</x:v>
      </x:c>
      <x:c r="S541" s="10"/>
      <x:c r="T541" s="9"/>
      <x:c r="U541" s="9"/>
      <x:c r="V541" s="9"/>
      <x:c r="W541" s="9"/>
      <x:c r="X541" s="10"/>
      <x:c r="Y541" s="10"/>
      <x:c r="Z541" s="9"/>
      <x:c r="AA541" s="9"/>
      <x:c r="AB541" s="9"/>
      <x:c r="AC541" s="9" t="str">
        <x:v>behind</x:v>
      </x:c>
      <x:c r="AD541" s="9" t="str">
        <x:v>green pen</x:v>
      </x:c>
      <x:c r="AE541" s="9" t="str">
        <x:v>red block</x:v>
      </x:c>
      <x:c r="AF541" s="9" t="str">
        <x:v>None</x:v>
      </x:c>
      <x:c r="AG541" s="9"/>
      <x:c r="AH541" s="9"/>
      <x:c r="AI541" s="11"/>
      <x:c r="AJ541" s="9"/>
      <x:c r="AK541" s="9" t="str">
        <x:v>Eval_Relational_Placement (1).xlsm</x:v>
      </x:c>
      <x:c r="AL541" s="9" t="str">
        <x:v>pi0.5 Results</x:v>
      </x:c>
      <x:c r="AM541" s="9" t="n">
        <x:v>91</x:v>
      </x:c>
      <x:c r="AN541" s="9" t="n">
        <x:v>91</x:v>
      </x:c>
    </x:row>
    <x:row r="542">
      <x:c r="A542" s="9" t="str">
        <x:v>Success</x:v>
      </x:c>
      <x:c r="B542" s="9" t="str">
        <x:v>Relational Placement</x:v>
      </x:c>
      <x:c r="C542" s="10" t="n">
        <x:v>90</x:v>
      </x:c>
      <x:c r="D542" s="9" t="str">
        <x:v>Place the red block behind the green pen.</x:v>
      </x:c>
      <x:c r="E542" s="9" t="str">
        <x:v>red block, green pen, blue block, pink marker</x:v>
      </x:c>
      <x:c r="F542" s="9" t="str">
        <x:v>red block → 2–8 cm edge gap behind green pen; centroid direction within ±45°.</x:v>
      </x:c>
      <x:c r="G542" s="9"/>
      <x:c r="H542" s="9" t="str">
        <x:v>Concept/compositional transfer</x:v>
      </x:c>
      <x:c r="I542" s="9" t="str">
        <x:v>RP-CT-N14</x:v>
      </x:c>
      <x:c r="J542" s="9" t="str">
        <x:v>Neutral-axis independent compositional-transfer scene</x:v>
      </x:c>
      <x:c r="K542" s="9"/>
      <x:c r="L542" s="9" t="str">
        <x:v>273</x:v>
      </x:c>
      <x:c r="M542" s="9"/>
      <x:c r="N542" s="9"/>
      <x:c r="O542" s="9" t="str">
        <x:v>Build the listed neutral-axis scene and save the first frame.</x:v>
      </x:c>
      <x:c r="P542" s="9" t="str">
        <x:v>Independent held-out-composition scene. Source episode 273 supplies target recognition/manipulation under the trained prompt “Place the red block next to the green pen.”. The orthogonal start removes the opposite-side shortcut.</x:v>
      </x:c>
      <x:c r="Q542" s="9"/>
      <x:c r="R542" s="10" t="n">
        <x:v>4</x:v>
      </x:c>
      <x:c r="S542" s="10"/>
      <x:c r="T542" s="9"/>
      <x:c r="U542" s="9"/>
      <x:c r="V542" s="9"/>
      <x:c r="W542" s="9"/>
      <x:c r="X542" s="10"/>
      <x:c r="Y542" s="10"/>
      <x:c r="Z542" s="9"/>
      <x:c r="AA542" s="9"/>
      <x:c r="AB542" s="9"/>
      <x:c r="AC542" s="9" t="str">
        <x:v>behind</x:v>
      </x:c>
      <x:c r="AD542" s="9" t="str">
        <x:v>red block</x:v>
      </x:c>
      <x:c r="AE542" s="9" t="str">
        <x:v>green pen</x:v>
      </x:c>
      <x:c r="AF542" s="9" t="str">
        <x:v>None</x:v>
      </x:c>
      <x:c r="AG542" s="9"/>
      <x:c r="AH542" s="9"/>
      <x:c r="AI542" s="11"/>
      <x:c r="AJ542" s="9"/>
      <x:c r="AK542" s="9" t="str">
        <x:v>Eval_Relational_Placement (1).xlsm</x:v>
      </x:c>
      <x:c r="AL542" s="9" t="str">
        <x:v>pi0.5 Results</x:v>
      </x:c>
      <x:c r="AM542" s="9" t="n">
        <x:v>92</x:v>
      </x:c>
      <x:c r="AN542" s="9" t="n">
        <x:v>92</x:v>
      </x:c>
    </x:row>
    <x:row r="543">
      <x:c r="A543" s="9" t="str">
        <x:v>Success</x:v>
      </x:c>
      <x:c r="B543" s="9" t="str">
        <x:v>Relational Placement</x:v>
      </x:c>
      <x:c r="C543" s="10" t="n">
        <x:v>91</x:v>
      </x:c>
      <x:c r="D543" s="9" t="str">
        <x:v>Place the red block next to the green pen.</x:v>
      </x:c>
      <x:c r="E543" s="9" t="str">
        <x:v>red block, green pen, blue block, pink marker</x:v>
      </x:c>
      <x:c r="F543" s="9" t="str">
        <x:v>red block → 2–8 cm edge gap near green pen; no directional sector required.</x:v>
      </x:c>
      <x:c r="G543" s="9" t="str">
        <x:v>placed in front</x:v>
      </x:c>
      <x:c r="H543" s="9" t="str">
        <x:v>Matched manipulation control</x:v>
      </x:c>
      <x:c r="I543" s="9" t="str">
        <x:v>RP-CT-N14</x:v>
      </x:c>
      <x:c r="J543" s="9" t="str">
        <x:v>Exact-scene masked manipulation control</x:v>
      </x:c>
      <x:c r="K543" s="9" t="n">
        <x:v>90</x:v>
      </x:c>
      <x:c r="L543" s="9" t="str">
        <x:v>273</x:v>
      </x:c>
      <x:c r="M543" s="9"/>
      <x:c r="N543" s="9"/>
      <x:c r="O543" s="9" t="str">
        <x:v>Reset P1 to its marked pose; preserve the exact scene and use the trained control instruction.</x:v>
      </x:c>
      <x:c r="P543" s="9" t="str">
        <x:v>Exact-scene control using the final training prompt from episode 273. The target, reference, distractors, camera, and robot start match the paired transfer row.</x:v>
      </x:c>
      <x:c r="Q543" s="9"/>
      <x:c r="R543" s="10" t="n">
        <x:v>4</x:v>
      </x:c>
      <x:c r="S543" s="10"/>
      <x:c r="T543" s="9"/>
      <x:c r="U543" s="9"/>
      <x:c r="V543" s="9"/>
      <x:c r="W543" s="9"/>
      <x:c r="X543" s="10"/>
      <x:c r="Y543" s="10"/>
      <x:c r="Z543" s="9"/>
      <x:c r="AA543" s="9"/>
      <x:c r="AB543" s="9"/>
      <x:c r="AC543" s="9" t="str">
        <x:v>behind</x:v>
      </x:c>
      <x:c r="AD543" s="9" t="str">
        <x:v>red block</x:v>
      </x:c>
      <x:c r="AE543" s="9" t="str">
        <x:v>green pen</x:v>
      </x:c>
      <x:c r="AF543" s="9" t="str">
        <x:v>None</x:v>
      </x:c>
      <x:c r="AG543" s="9"/>
      <x:c r="AH543" s="9"/>
      <x:c r="AI543" s="11"/>
      <x:c r="AJ543" s="9"/>
      <x:c r="AK543" s="9" t="str">
        <x:v>Eval_Relational_Placement (1).xlsm</x:v>
      </x:c>
      <x:c r="AL543" s="9" t="str">
        <x:v>pi0.5 Results</x:v>
      </x:c>
      <x:c r="AM543" s="9" t="n">
        <x:v>93</x:v>
      </x:c>
      <x:c r="AN543" s="9" t="n">
        <x:v>93</x:v>
      </x:c>
    </x:row>
    <x:row r="544">
      <x:c r="A544" s="9" t="str">
        <x:v>Success</x:v>
      </x:c>
      <x:c r="B544" s="9" t="str">
        <x:v>Relational Placement</x:v>
      </x:c>
      <x:c r="C544" s="10" t="n">
        <x:v>92</x:v>
      </x:c>
      <x:c r="D544" s="9" t="str">
        <x:v>Place the green pen to the left of the red block.</x:v>
      </x:c>
      <x:c r="E544" s="9" t="str">
        <x:v>green pen, red block, pink marker, blue block</x:v>
      </x:c>
      <x:c r="F544" s="9" t="str">
        <x:v>green pen → 2–8 cm edge gap to the left of red block; centroid direction within ±45°.</x:v>
      </x:c>
      <x:c r="G544" s="9"/>
      <x:c r="H544" s="9" t="str">
        <x:v>Concept/compositional transfer</x:v>
      </x:c>
      <x:c r="I544" s="9" t="str">
        <x:v>RP-CT-N15</x:v>
      </x:c>
      <x:c r="J544" s="9" t="str">
        <x:v>Neutral-axis independent compositional-transfer scene</x:v>
      </x:c>
      <x:c r="K544" s="9"/>
      <x:c r="L544" s="9" t="str">
        <x:v>227</x:v>
      </x:c>
      <x:c r="M544" s="9"/>
      <x:c r="N544" s="9"/>
      <x:c r="O544" s="9" t="str">
        <x:v>Build the listed neutral-axis scene and save the first frame.</x:v>
      </x:c>
      <x:c r="P544" s="9" t="str">
        <x:v>Independent held-out-composition scene. Source episode 227 supplies target recognition/manipulation under the trained prompt “Move the green pen near the red block.”. The orthogonal start removes the opposite-side shortcut.</x:v>
      </x:c>
      <x:c r="Q544" s="9"/>
      <x:c r="R544" s="10" t="n">
        <x:v>4</x:v>
      </x:c>
      <x:c r="S544" s="10"/>
      <x:c r="T544" s="9"/>
      <x:c r="U544" s="9"/>
      <x:c r="V544" s="9"/>
      <x:c r="W544" s="9"/>
      <x:c r="X544" s="10"/>
      <x:c r="Y544" s="10"/>
      <x:c r="Z544" s="9"/>
      <x:c r="AA544" s="9"/>
      <x:c r="AB544" s="9"/>
      <x:c r="AC544" s="9" t="str">
        <x:v>left</x:v>
      </x:c>
      <x:c r="AD544" s="9" t="str">
        <x:v>green pen</x:v>
      </x:c>
      <x:c r="AE544" s="9" t="str">
        <x:v>red block</x:v>
      </x:c>
      <x:c r="AF544" s="9" t="str">
        <x:v>None</x:v>
      </x:c>
      <x:c r="AG544" s="9"/>
      <x:c r="AH544" s="9"/>
      <x:c r="AI544" s="11"/>
      <x:c r="AJ544" s="9"/>
      <x:c r="AK544" s="9" t="str">
        <x:v>Eval_Relational_Placement (1).xlsm</x:v>
      </x:c>
      <x:c r="AL544" s="9" t="str">
        <x:v>pi0.5 Results</x:v>
      </x:c>
      <x:c r="AM544" s="9" t="n">
        <x:v>94</x:v>
      </x:c>
      <x:c r="AN544" s="9" t="n">
        <x:v>94</x:v>
      </x:c>
    </x:row>
    <x:row r="545">
      <x:c r="A545" s="9" t="str">
        <x:v>Failure</x:v>
      </x:c>
      <x:c r="B545" s="9" t="str">
        <x:v>Relational Placement</x:v>
      </x:c>
      <x:c r="C545" s="10" t="n">
        <x:v>93</x:v>
      </x:c>
      <x:c r="D545" s="9" t="str">
        <x:v>Move the green pen near the red block.</x:v>
      </x:c>
      <x:c r="E545" s="9" t="str">
        <x:v>green pen, red block, pink marker, blue block</x:v>
      </x:c>
      <x:c r="F545" s="9" t="str">
        <x:v>green pen → 2–8 cm edge gap near red block; no directional sector required.</x:v>
      </x:c>
      <x:c r="G545" s="9" t="str">
        <x:v>placed behind</x:v>
      </x:c>
      <x:c r="H545" s="9" t="str">
        <x:v>Matched manipulation control</x:v>
      </x:c>
      <x:c r="I545" s="9" t="str">
        <x:v>RP-CT-N15</x:v>
      </x:c>
      <x:c r="J545" s="9" t="str">
        <x:v>Exact-scene masked manipulation control</x:v>
      </x:c>
      <x:c r="K545" s="9" t="n">
        <x:v>92</x:v>
      </x:c>
      <x:c r="L545" s="9" t="str">
        <x:v>227</x:v>
      </x:c>
      <x:c r="M545" s="9"/>
      <x:c r="N545" s="9"/>
      <x:c r="O545" s="9" t="str">
        <x:v>Reset P1 to its marked pose; preserve the exact scene and use the trained control instruction.</x:v>
      </x:c>
      <x:c r="P545" s="9" t="str">
        <x:v>Exact-scene control using the final training prompt from episode 227. The target, reference, distractors, camera, and robot start match the paired transfer row.</x:v>
      </x:c>
      <x:c r="Q545" s="9"/>
      <x:c r="R545" s="10" t="n">
        <x:v>4</x:v>
      </x:c>
      <x:c r="S545" s="10"/>
      <x:c r="T545" s="9"/>
      <x:c r="U545" s="9"/>
      <x:c r="V545" s="9"/>
      <x:c r="W545" s="9"/>
      <x:c r="X545" s="10"/>
      <x:c r="Y545" s="10"/>
      <x:c r="Z545" s="9"/>
      <x:c r="AA545" s="9"/>
      <x:c r="AB545" s="9"/>
      <x:c r="AC545" s="9" t="str">
        <x:v>left</x:v>
      </x:c>
      <x:c r="AD545" s="9" t="str">
        <x:v>green pen</x:v>
      </x:c>
      <x:c r="AE545" s="9" t="str">
        <x:v>red block</x:v>
      </x:c>
      <x:c r="AF545" s="9" t="str">
        <x:v>None</x:v>
      </x:c>
      <x:c r="AG545" s="9"/>
      <x:c r="AH545" s="9"/>
      <x:c r="AI545" s="11"/>
      <x:c r="AJ545" s="9"/>
      <x:c r="AK545" s="9" t="str">
        <x:v>Eval_Relational_Placement (1).xlsm</x:v>
      </x:c>
      <x:c r="AL545" s="9" t="str">
        <x:v>pi0.5 Results</x:v>
      </x:c>
      <x:c r="AM545" s="9" t="n">
        <x:v>95</x:v>
      </x:c>
      <x:c r="AN545" s="9" t="n">
        <x:v>95</x:v>
      </x:c>
    </x:row>
    <x:row r="546">
      <x:c r="A546" s="9" t="str">
        <x:v>Success</x:v>
      </x:c>
      <x:c r="B546" s="9" t="str">
        <x:v>Relational Placement</x:v>
      </x:c>
      <x:c r="C546" s="10" t="n">
        <x:v>94</x:v>
      </x:c>
      <x:c r="D546" s="9" t="str">
        <x:v>Place the red block to the left of the green pen.</x:v>
      </x:c>
      <x:c r="E546" s="9" t="str">
        <x:v>red block, green pen, blue block</x:v>
      </x:c>
      <x:c r="F546" s="9" t="str">
        <x:v>red block → 2–8 cm edge gap to the left of green pen; centroid direction within ±45°.</x:v>
      </x:c>
      <x:c r="G546" s="9"/>
      <x:c r="H546" s="9" t="str">
        <x:v>Concept/compositional transfer</x:v>
      </x:c>
      <x:c r="I546" s="9" t="str">
        <x:v>RP-CT-N16</x:v>
      </x:c>
      <x:c r="J546" s="9" t="str">
        <x:v>Neutral-axis independent compositional-transfer scene</x:v>
      </x:c>
      <x:c r="K546" s="9"/>
      <x:c r="L546" s="9" t="str">
        <x:v>286</x:v>
      </x:c>
      <x:c r="M546" s="9"/>
      <x:c r="N546" s="9"/>
      <x:c r="O546" s="9" t="str">
        <x:v>Build the listed neutral-axis scene and save the first frame.</x:v>
      </x:c>
      <x:c r="P546" s="9" t="str">
        <x:v>Independent held-out-composition scene. Source episode 286 supplies target recognition/manipulation under the trained prompt “Put the red block beside the green pen.”. The orthogonal start removes the opposite-side shortcut.</x:v>
      </x:c>
      <x:c r="Q546" s="9"/>
      <x:c r="R546" s="10" t="n">
        <x:v>3</x:v>
      </x:c>
      <x:c r="S546" s="10"/>
      <x:c r="T546" s="9"/>
      <x:c r="U546" s="9"/>
      <x:c r="V546" s="9"/>
      <x:c r="W546" s="9"/>
      <x:c r="X546" s="10"/>
      <x:c r="Y546" s="10"/>
      <x:c r="Z546" s="9"/>
      <x:c r="AA546" s="9"/>
      <x:c r="AB546" s="9"/>
      <x:c r="AC546" s="9" t="str">
        <x:v>left</x:v>
      </x:c>
      <x:c r="AD546" s="9" t="str">
        <x:v>red block</x:v>
      </x:c>
      <x:c r="AE546" s="9" t="str">
        <x:v>green pen</x:v>
      </x:c>
      <x:c r="AF546" s="9" t="str">
        <x:v>None</x:v>
      </x:c>
      <x:c r="AG546" s="9"/>
      <x:c r="AH546" s="9"/>
      <x:c r="AI546" s="11"/>
      <x:c r="AJ546" s="9"/>
      <x:c r="AK546" s="9" t="str">
        <x:v>Eval_Relational_Placement (1).xlsm</x:v>
      </x:c>
      <x:c r="AL546" s="9" t="str">
        <x:v>pi0.5 Results</x:v>
      </x:c>
      <x:c r="AM546" s="9" t="n">
        <x:v>96</x:v>
      </x:c>
      <x:c r="AN546" s="9" t="n">
        <x:v>96</x:v>
      </x:c>
    </x:row>
    <x:row r="547">
      <x:c r="A547" s="9" t="str">
        <x:v>Success</x:v>
      </x:c>
      <x:c r="B547" s="9" t="str">
        <x:v>Relational Placement</x:v>
      </x:c>
      <x:c r="C547" s="10" t="n">
        <x:v>95</x:v>
      </x:c>
      <x:c r="D547" s="9" t="str">
        <x:v>Put the red block beside the green pen.</x:v>
      </x:c>
      <x:c r="E547" s="9" t="str">
        <x:v>red block, green pen, blue block</x:v>
      </x:c>
      <x:c r="F547" s="9" t="str">
        <x:v>red block → 2–8 cm edge gap near green pen; no directional sector required.</x:v>
      </x:c>
      <x:c r="G547" s="9" t="str">
        <x:v>placed to the left</x:v>
      </x:c>
      <x:c r="H547" s="9" t="str">
        <x:v>Matched manipulation control</x:v>
      </x:c>
      <x:c r="I547" s="9" t="str">
        <x:v>RP-CT-N16</x:v>
      </x:c>
      <x:c r="J547" s="9" t="str">
        <x:v>Exact-scene masked manipulation control</x:v>
      </x:c>
      <x:c r="K547" s="9" t="n">
        <x:v>94</x:v>
      </x:c>
      <x:c r="L547" s="9" t="str">
        <x:v>286</x:v>
      </x:c>
      <x:c r="M547" s="9"/>
      <x:c r="N547" s="9"/>
      <x:c r="O547" s="9" t="str">
        <x:v>Reset P1 to its marked pose; preserve the exact scene and use the trained control instruction.</x:v>
      </x:c>
      <x:c r="P547" s="9" t="str">
        <x:v>Exact-scene control using the final training prompt from episode 286. The target, reference, distractors, camera, and robot start match the paired transfer row.</x:v>
      </x:c>
      <x:c r="Q547" s="9"/>
      <x:c r="R547" s="10" t="n">
        <x:v>3</x:v>
      </x:c>
      <x:c r="S547" s="10"/>
      <x:c r="T547" s="9"/>
      <x:c r="U547" s="9"/>
      <x:c r="V547" s="9"/>
      <x:c r="W547" s="9"/>
      <x:c r="X547" s="10"/>
      <x:c r="Y547" s="10"/>
      <x:c r="Z547" s="9"/>
      <x:c r="AA547" s="9"/>
      <x:c r="AB547" s="9"/>
      <x:c r="AC547" s="9" t="str">
        <x:v>left</x:v>
      </x:c>
      <x:c r="AD547" s="9" t="str">
        <x:v>red block</x:v>
      </x:c>
      <x:c r="AE547" s="9" t="str">
        <x:v>green pen</x:v>
      </x:c>
      <x:c r="AF547" s="9" t="str">
        <x:v>None</x:v>
      </x:c>
      <x:c r="AG547" s="9"/>
      <x:c r="AH547" s="9"/>
      <x:c r="AI547" s="11"/>
      <x:c r="AJ547" s="9"/>
      <x:c r="AK547" s="9" t="str">
        <x:v>Eval_Relational_Placement (1).xlsm</x:v>
      </x:c>
      <x:c r="AL547" s="9" t="str">
        <x:v>pi0.5 Results</x:v>
      </x:c>
      <x:c r="AM547" s="9" t="n">
        <x:v>97</x:v>
      </x:c>
      <x:c r="AN547" s="9" t="n">
        <x:v>97</x:v>
      </x:c>
    </x:row>
    <x:row r="548">
      <x:c r="A548" s="9" t="str">
        <x:v>Failure</x:v>
      </x:c>
      <x:c r="B548" s="9" t="str">
        <x:v>Relational Placement</x:v>
      </x:c>
      <x:c r="C548" s="10" t="n">
        <x:v>96</x:v>
      </x:c>
      <x:c r="D548" s="9" t="str">
        <x:v>Place the red block to the left of the green pen.</x:v>
      </x:c>
      <x:c r="E548" s="9" t="str">
        <x:v>red block, green pen, pink marker, blue block</x:v>
      </x:c>
      <x:c r="F548" s="9" t="str">
        <x:v>red block → 2–8 cm edge gap to the left of green pen; centroid direction within ±45°.</x:v>
      </x:c>
      <x:c r="G548" s="9" t="str">
        <x:v>placed right; leaning on pen</x:v>
      </x:c>
      <x:c r="H548" s="9" t="str">
        <x:v>Concept/compositional transfer</x:v>
      </x:c>
      <x:c r="I548" s="9" t="str">
        <x:v>RP-CT-N17</x:v>
      </x:c>
      <x:c r="J548" s="9" t="str">
        <x:v>Neutral-axis independent compositional-transfer scene</x:v>
      </x:c>
      <x:c r="K548" s="9"/>
      <x:c r="L548" s="9" t="str">
        <x:v>285</x:v>
      </x:c>
      <x:c r="M548" s="9"/>
      <x:c r="N548" s="9"/>
      <x:c r="O548" s="9" t="str">
        <x:v>Build the listed neutral-axis scene and save the first frame.</x:v>
      </x:c>
      <x:c r="P548" s="9" t="str">
        <x:v>Independent held-out-composition scene. Source episode 285 supplies target recognition/manipulation under the trained prompt “Place the red block next to the green pen.”. The orthogonal start removes the opposite-side shortcut.</x:v>
      </x:c>
      <x:c r="Q548" s="9"/>
      <x:c r="R548" s="10" t="n">
        <x:v>4</x:v>
      </x:c>
      <x:c r="S548" s="10"/>
      <x:c r="T548" s="9"/>
      <x:c r="U548" s="9"/>
      <x:c r="V548" s="9"/>
      <x:c r="W548" s="9"/>
      <x:c r="X548" s="10"/>
      <x:c r="Y548" s="10"/>
      <x:c r="Z548" s="9"/>
      <x:c r="AA548" s="9"/>
      <x:c r="AB548" s="9"/>
      <x:c r="AC548" s="9" t="str">
        <x:v>left</x:v>
      </x:c>
      <x:c r="AD548" s="9" t="str">
        <x:v>red block</x:v>
      </x:c>
      <x:c r="AE548" s="9" t="str">
        <x:v>green pen</x:v>
      </x:c>
      <x:c r="AF548" s="9" t="str">
        <x:v>None</x:v>
      </x:c>
      <x:c r="AG548" s="9"/>
      <x:c r="AH548" s="9"/>
      <x:c r="AI548" s="11"/>
      <x:c r="AJ548" s="9"/>
      <x:c r="AK548" s="9" t="str">
        <x:v>Eval_Relational_Placement (1).xlsm</x:v>
      </x:c>
      <x:c r="AL548" s="9" t="str">
        <x:v>pi0.5 Results</x:v>
      </x:c>
      <x:c r="AM548" s="9" t="n">
        <x:v>98</x:v>
      </x:c>
      <x:c r="AN548" s="9" t="n">
        <x:v>98</x:v>
      </x:c>
    </x:row>
    <x:row r="549">
      <x:c r="A549" s="9" t="str">
        <x:v>Success</x:v>
      </x:c>
      <x:c r="B549" s="9" t="str">
        <x:v>Relational Placement</x:v>
      </x:c>
      <x:c r="C549" s="10" t="n">
        <x:v>97</x:v>
      </x:c>
      <x:c r="D549" s="9" t="str">
        <x:v>Place the red block next to the green pen.</x:v>
      </x:c>
      <x:c r="E549" s="9" t="str">
        <x:v>red block, green pen, pink marker, blue block</x:v>
      </x:c>
      <x:c r="F549" s="9" t="str">
        <x:v>red block → 2–8 cm edge gap near green pen; no directional sector required.</x:v>
      </x:c>
      <x:c r="G549" s="9" t="str">
        <x:v>placed on right</x:v>
      </x:c>
      <x:c r="H549" s="9" t="str">
        <x:v>Matched manipulation control</x:v>
      </x:c>
      <x:c r="I549" s="9" t="str">
        <x:v>RP-CT-N17</x:v>
      </x:c>
      <x:c r="J549" s="9" t="str">
        <x:v>Exact-scene masked manipulation control</x:v>
      </x:c>
      <x:c r="K549" s="9" t="n">
        <x:v>96</x:v>
      </x:c>
      <x:c r="L549" s="9" t="str">
        <x:v>285</x:v>
      </x:c>
      <x:c r="M549" s="9"/>
      <x:c r="N549" s="9"/>
      <x:c r="O549" s="9" t="str">
        <x:v>Reset P1 to its marked pose; preserve the exact scene and use the trained control instruction.</x:v>
      </x:c>
      <x:c r="P549" s="9" t="str">
        <x:v>Exact-scene control using the final training prompt from episode 285. The target, reference, distractors, camera, and robot start match the paired transfer row.</x:v>
      </x:c>
      <x:c r="Q549" s="9"/>
      <x:c r="R549" s="10" t="n">
        <x:v>4</x:v>
      </x:c>
      <x:c r="S549" s="10"/>
      <x:c r="T549" s="9"/>
      <x:c r="U549" s="9"/>
      <x:c r="V549" s="9"/>
      <x:c r="W549" s="9"/>
      <x:c r="X549" s="10"/>
      <x:c r="Y549" s="10"/>
      <x:c r="Z549" s="9"/>
      <x:c r="AA549" s="9"/>
      <x:c r="AB549" s="9"/>
      <x:c r="AC549" s="9" t="str">
        <x:v>left</x:v>
      </x:c>
      <x:c r="AD549" s="9" t="str">
        <x:v>red block</x:v>
      </x:c>
      <x:c r="AE549" s="9" t="str">
        <x:v>green pen</x:v>
      </x:c>
      <x:c r="AF549" s="9" t="str">
        <x:v>None</x:v>
      </x:c>
      <x:c r="AG549" s="9"/>
      <x:c r="AH549" s="9"/>
      <x:c r="AI549" s="11"/>
      <x:c r="AJ549" s="9"/>
      <x:c r="AK549" s="9" t="str">
        <x:v>Eval_Relational_Placement (1).xlsm</x:v>
      </x:c>
      <x:c r="AL549" s="9" t="str">
        <x:v>pi0.5 Results</x:v>
      </x:c>
      <x:c r="AM549" s="9" t="n">
        <x:v>99</x:v>
      </x:c>
      <x:c r="AN549" s="9" t="n">
        <x:v>99</x:v>
      </x:c>
    </x:row>
    <x:row r="550">
      <x:c r="A550" s="9" t="str">
        <x:v>Success</x:v>
      </x:c>
      <x:c r="B550" s="9" t="str">
        <x:v>Relational Placement</x:v>
      </x:c>
      <x:c r="C550" s="10" t="n">
        <x:v>98</x:v>
      </x:c>
      <x:c r="D550" s="9" t="str">
        <x:v>Place the green pen to the right of the red block.</x:v>
      </x:c>
      <x:c r="E550" s="9" t="str">
        <x:v>green pen, red block, blue block</x:v>
      </x:c>
      <x:c r="F550" s="9" t="str">
        <x:v>green pen → 2–8 cm edge gap to the right of red block; centroid direction within ±45°.</x:v>
      </x:c>
      <x:c r="G550" s="9"/>
      <x:c r="H550" s="9" t="str">
        <x:v>Concept/compositional transfer</x:v>
      </x:c>
      <x:c r="I550" s="9" t="str">
        <x:v>RP-CT-N18</x:v>
      </x:c>
      <x:c r="J550" s="9" t="str">
        <x:v>Neutral-axis independent compositional-transfer scene</x:v>
      </x:c>
      <x:c r="K550" s="9"/>
      <x:c r="L550" s="9" t="str">
        <x:v>238</x:v>
      </x:c>
      <x:c r="M550" s="9"/>
      <x:c r="N550" s="9"/>
      <x:c r="O550" s="9" t="str">
        <x:v>Build the listed neutral-axis scene and save the first frame.</x:v>
      </x:c>
      <x:c r="P550" s="9" t="str">
        <x:v>Independent held-out-composition scene. Source episode 238 supplies target recognition/manipulation under the trained prompt “Put the green pen beside the red block.”. The orthogonal start removes the opposite-side shortcut.</x:v>
      </x:c>
      <x:c r="Q550" s="9"/>
      <x:c r="R550" s="10" t="n">
        <x:v>3</x:v>
      </x:c>
      <x:c r="S550" s="10"/>
      <x:c r="T550" s="9"/>
      <x:c r="U550" s="9"/>
      <x:c r="V550" s="9"/>
      <x:c r="W550" s="9"/>
      <x:c r="X550" s="10"/>
      <x:c r="Y550" s="10"/>
      <x:c r="Z550" s="9"/>
      <x:c r="AA550" s="9"/>
      <x:c r="AB550" s="9"/>
      <x:c r="AC550" s="9" t="str">
        <x:v>right</x:v>
      </x:c>
      <x:c r="AD550" s="9" t="str">
        <x:v>green pen</x:v>
      </x:c>
      <x:c r="AE550" s="9" t="str">
        <x:v>red block</x:v>
      </x:c>
      <x:c r="AF550" s="9" t="str">
        <x:v>None</x:v>
      </x:c>
      <x:c r="AG550" s="9"/>
      <x:c r="AH550" s="9"/>
      <x:c r="AI550" s="11"/>
      <x:c r="AJ550" s="9"/>
      <x:c r="AK550" s="9" t="str">
        <x:v>Eval_Relational_Placement (1).xlsm</x:v>
      </x:c>
      <x:c r="AL550" s="9" t="str">
        <x:v>pi0.5 Results</x:v>
      </x:c>
      <x:c r="AM550" s="9" t="n">
        <x:v>100</x:v>
      </x:c>
      <x:c r="AN550" s="9" t="n">
        <x:v>100</x:v>
      </x:c>
    </x:row>
    <x:row r="551">
      <x:c r="A551" s="9" t="str">
        <x:v>Success</x:v>
      </x:c>
      <x:c r="B551" s="9" t="str">
        <x:v>Relational Placement</x:v>
      </x:c>
      <x:c r="C551" s="10" t="n">
        <x:v>99</x:v>
      </x:c>
      <x:c r="D551" s="9" t="str">
        <x:v>Put the green pen beside the red block.</x:v>
      </x:c>
      <x:c r="E551" s="9" t="str">
        <x:v>green pen, red block, blue block</x:v>
      </x:c>
      <x:c r="F551" s="9" t="str">
        <x:v>green pen → 2–8 cm edge gap near red block; no directional sector required.</x:v>
      </x:c>
      <x:c r="G551" s="9" t="str">
        <x:v>placed right back</x:v>
      </x:c>
      <x:c r="H551" s="9" t="str">
        <x:v>Matched manipulation control</x:v>
      </x:c>
      <x:c r="I551" s="9" t="str">
        <x:v>RP-CT-N18</x:v>
      </x:c>
      <x:c r="J551" s="9" t="str">
        <x:v>Exact-scene masked manipulation control</x:v>
      </x:c>
      <x:c r="K551" s="9" t="n">
        <x:v>98</x:v>
      </x:c>
      <x:c r="L551" s="9" t="str">
        <x:v>238</x:v>
      </x:c>
      <x:c r="M551" s="9"/>
      <x:c r="N551" s="9"/>
      <x:c r="O551" s="9" t="str">
        <x:v>Reset P1 to its marked pose; preserve the exact scene and use the trained control instruction.</x:v>
      </x:c>
      <x:c r="P551" s="9" t="str">
        <x:v>Exact-scene control using the final training prompt from episode 238. The target, reference, distractors, camera, and robot start match the paired transfer row.</x:v>
      </x:c>
      <x:c r="Q551" s="9"/>
      <x:c r="R551" s="10" t="n">
        <x:v>3</x:v>
      </x:c>
      <x:c r="S551" s="10"/>
      <x:c r="T551" s="9"/>
      <x:c r="U551" s="9"/>
      <x:c r="V551" s="9"/>
      <x:c r="W551" s="9"/>
      <x:c r="X551" s="10"/>
      <x:c r="Y551" s="10"/>
      <x:c r="Z551" s="9"/>
      <x:c r="AA551" s="9"/>
      <x:c r="AB551" s="9"/>
      <x:c r="AC551" s="9" t="str">
        <x:v>right</x:v>
      </x:c>
      <x:c r="AD551" s="9" t="str">
        <x:v>green pen</x:v>
      </x:c>
      <x:c r="AE551" s="9" t="str">
        <x:v>red block</x:v>
      </x:c>
      <x:c r="AF551" s="9" t="str">
        <x:v>None</x:v>
      </x:c>
      <x:c r="AG551" s="9"/>
      <x:c r="AH551" s="9"/>
      <x:c r="AI551" s="11"/>
      <x:c r="AJ551" s="9"/>
      <x:c r="AK551" s="9" t="str">
        <x:v>Eval_Relational_Placement (1).xlsm</x:v>
      </x:c>
      <x:c r="AL551" s="9" t="str">
        <x:v>pi0.5 Results</x:v>
      </x:c>
      <x:c r="AM551" s="9" t="n">
        <x:v>101</x:v>
      </x:c>
      <x:c r="AN551" s="9" t="n">
        <x:v>101</x:v>
      </x:c>
    </x:row>
    <x:row r="552">
      <x:c r="A552" s="9" t="str">
        <x:v>Success</x:v>
      </x:c>
      <x:c r="B552" s="9" t="str">
        <x:v>Relational Placement</x:v>
      </x:c>
      <x:c r="C552" s="10" t="n">
        <x:v>100</x:v>
      </x:c>
      <x:c r="D552" s="9" t="str">
        <x:v>Place the green pen to the right of the red block.</x:v>
      </x:c>
      <x:c r="E552" s="9" t="str">
        <x:v>green pen, red block, pink marker, blue block</x:v>
      </x:c>
      <x:c r="F552" s="9" t="str">
        <x:v>green pen → 2–8 cm edge gap to the right of red block; centroid direction within ±45°.</x:v>
      </x:c>
      <x:c r="G552" s="9"/>
      <x:c r="H552" s="9" t="str">
        <x:v>Concept/compositional transfer</x:v>
      </x:c>
      <x:c r="I552" s="9" t="str">
        <x:v>RP-CT-N19</x:v>
      </x:c>
      <x:c r="J552" s="9" t="str">
        <x:v>Neutral-axis independent compositional-transfer scene</x:v>
      </x:c>
      <x:c r="K552" s="9"/>
      <x:c r="L552" s="9" t="str">
        <x:v>239</x:v>
      </x:c>
      <x:c r="M552" s="9"/>
      <x:c r="N552" s="9"/>
      <x:c r="O552" s="9" t="str">
        <x:v>Build the listed neutral-axis scene and save the first frame.</x:v>
      </x:c>
      <x:c r="P552" s="9" t="str">
        <x:v>Independent held-out-composition scene. Source episode 239 supplies target recognition/manipulation under the trained prompt “Move the green pen near the red block.”. The orthogonal start removes the opposite-side shortcut.</x:v>
      </x:c>
      <x:c r="Q552" s="9"/>
      <x:c r="R552" s="10" t="n">
        <x:v>4</x:v>
      </x:c>
      <x:c r="S552" s="10"/>
      <x:c r="T552" s="9"/>
      <x:c r="U552" s="9"/>
      <x:c r="V552" s="9"/>
      <x:c r="W552" s="9"/>
      <x:c r="X552" s="10"/>
      <x:c r="Y552" s="10"/>
      <x:c r="Z552" s="9"/>
      <x:c r="AA552" s="9"/>
      <x:c r="AB552" s="9"/>
      <x:c r="AC552" s="9" t="str">
        <x:v>right</x:v>
      </x:c>
      <x:c r="AD552" s="9" t="str">
        <x:v>green pen</x:v>
      </x:c>
      <x:c r="AE552" s="9" t="str">
        <x:v>red block</x:v>
      </x:c>
      <x:c r="AF552" s="9" t="str">
        <x:v>None</x:v>
      </x:c>
      <x:c r="AG552" s="9"/>
      <x:c r="AH552" s="9"/>
      <x:c r="AI552" s="11"/>
      <x:c r="AJ552" s="9"/>
      <x:c r="AK552" s="9" t="str">
        <x:v>Eval_Relational_Placement (1).xlsm</x:v>
      </x:c>
      <x:c r="AL552" s="9" t="str">
        <x:v>pi0.5 Results</x:v>
      </x:c>
      <x:c r="AM552" s="9" t="n">
        <x:v>102</x:v>
      </x:c>
      <x:c r="AN552" s="9" t="n">
        <x:v>102</x:v>
      </x:c>
    </x:row>
    <x:row r="553">
      <x:c r="A553" s="9" t="str">
        <x:v>Success</x:v>
      </x:c>
      <x:c r="B553" s="9" t="str">
        <x:v>Relational Placement</x:v>
      </x:c>
      <x:c r="C553" s="10" t="n">
        <x:v>101</x:v>
      </x:c>
      <x:c r="D553" s="9" t="str">
        <x:v>Move the green pen near the red block.</x:v>
      </x:c>
      <x:c r="E553" s="9" t="str">
        <x:v>green pen, red block, pink marker, blue block</x:v>
      </x:c>
      <x:c r="F553" s="9" t="str">
        <x:v>green pen → 2–8 cm edge gap near red block; no directional sector required.</x:v>
      </x:c>
      <x:c r="G553" s="9" t="str">
        <x:v>placed in front</x:v>
      </x:c>
      <x:c r="H553" s="9" t="str">
        <x:v>Matched manipulation control</x:v>
      </x:c>
      <x:c r="I553" s="9" t="str">
        <x:v>RP-CT-N19</x:v>
      </x:c>
      <x:c r="J553" s="9" t="str">
        <x:v>Exact-scene masked manipulation control</x:v>
      </x:c>
      <x:c r="K553" s="9" t="n">
        <x:v>100</x:v>
      </x:c>
      <x:c r="L553" s="9" t="str">
        <x:v>239</x:v>
      </x:c>
      <x:c r="M553" s="9"/>
      <x:c r="N553" s="9"/>
      <x:c r="O553" s="9" t="str">
        <x:v>Reset P1 to its marked pose; preserve the exact scene and use the trained control instruction.</x:v>
      </x:c>
      <x:c r="P553" s="9" t="str">
        <x:v>Exact-scene control using the final training prompt from episode 239. The target, reference, distractors, camera, and robot start match the paired transfer row.</x:v>
      </x:c>
      <x:c r="Q553" s="9"/>
      <x:c r="R553" s="10" t="n">
        <x:v>4</x:v>
      </x:c>
      <x:c r="S553" s="10"/>
      <x:c r="T553" s="9"/>
      <x:c r="U553" s="9"/>
      <x:c r="V553" s="9"/>
      <x:c r="W553" s="9"/>
      <x:c r="X553" s="10"/>
      <x:c r="Y553" s="10"/>
      <x:c r="Z553" s="9"/>
      <x:c r="AA553" s="9"/>
      <x:c r="AB553" s="9"/>
      <x:c r="AC553" s="9" t="str">
        <x:v>right</x:v>
      </x:c>
      <x:c r="AD553" s="9" t="str">
        <x:v>green pen</x:v>
      </x:c>
      <x:c r="AE553" s="9" t="str">
        <x:v>red block</x:v>
      </x:c>
      <x:c r="AF553" s="9" t="str">
        <x:v>None</x:v>
      </x:c>
      <x:c r="AG553" s="9"/>
      <x:c r="AH553" s="9"/>
      <x:c r="AI553" s="11"/>
      <x:c r="AJ553" s="9"/>
      <x:c r="AK553" s="9" t="str">
        <x:v>Eval_Relational_Placement (1).xlsm</x:v>
      </x:c>
      <x:c r="AL553" s="9" t="str">
        <x:v>pi0.5 Results</x:v>
      </x:c>
      <x:c r="AM553" s="9" t="n">
        <x:v>103</x:v>
      </x:c>
      <x:c r="AN553" s="9" t="n">
        <x:v>103</x:v>
      </x:c>
    </x:row>
    <x:row r="554">
      <x:c r="A554" s="9" t="str">
        <x:v>Success</x:v>
      </x:c>
      <x:c r="B554" s="9" t="str">
        <x:v>Relational Placement</x:v>
      </x:c>
      <x:c r="C554" s="10" t="n">
        <x:v>102</x:v>
      </x:c>
      <x:c r="D554" s="9" t="str">
        <x:v>Place the red block to the right of the green pen.</x:v>
      </x:c>
      <x:c r="E554" s="9" t="str">
        <x:v>red block, green pen, blue block</x:v>
      </x:c>
      <x:c r="F554" s="9" t="str">
        <x:v>red block → 2–8 cm edge gap to the right of green pen; centroid direction within ±45°.</x:v>
      </x:c>
      <x:c r="G554" s="9"/>
      <x:c r="H554" s="9" t="str">
        <x:v>Concept/compositional transfer</x:v>
      </x:c>
      <x:c r="I554" s="9" t="str">
        <x:v>RP-CT-N20</x:v>
      </x:c>
      <x:c r="J554" s="9" t="str">
        <x:v>Neutral-axis independent compositional-transfer scene</x:v>
      </x:c>
      <x:c r="K554" s="9"/>
      <x:c r="L554" s="9" t="str">
        <x:v>299</x:v>
      </x:c>
      <x:c r="M554" s="9"/>
      <x:c r="N554" s="9"/>
      <x:c r="O554" s="9" t="str">
        <x:v>Build the listed neutral-axis scene and save the first frame.</x:v>
      </x:c>
      <x:c r="P554" s="9" t="str">
        <x:v>Independent held-out-composition scene. Source episode 299 supplies target recognition/manipulation under the trained prompt “Move the red block near the green pen.”. The orthogonal start removes the opposite-side shortcut.</x:v>
      </x:c>
      <x:c r="Q554" s="9"/>
      <x:c r="R554" s="10" t="n">
        <x:v>3</x:v>
      </x:c>
      <x:c r="S554" s="10"/>
      <x:c r="T554" s="9"/>
      <x:c r="U554" s="9"/>
      <x:c r="V554" s="9"/>
      <x:c r="W554" s="9"/>
      <x:c r="X554" s="10"/>
      <x:c r="Y554" s="10"/>
      <x:c r="Z554" s="9"/>
      <x:c r="AA554" s="9"/>
      <x:c r="AB554" s="9"/>
      <x:c r="AC554" s="9" t="str">
        <x:v>right</x:v>
      </x:c>
      <x:c r="AD554" s="9" t="str">
        <x:v>red block</x:v>
      </x:c>
      <x:c r="AE554" s="9" t="str">
        <x:v>green pen</x:v>
      </x:c>
      <x:c r="AF554" s="9" t="str">
        <x:v>None</x:v>
      </x:c>
      <x:c r="AG554" s="9"/>
      <x:c r="AH554" s="9"/>
      <x:c r="AI554" s="11"/>
      <x:c r="AJ554" s="9"/>
      <x:c r="AK554" s="9" t="str">
        <x:v>Eval_Relational_Placement (1).xlsm</x:v>
      </x:c>
      <x:c r="AL554" s="9" t="str">
        <x:v>pi0.5 Results</x:v>
      </x:c>
      <x:c r="AM554" s="9" t="n">
        <x:v>104</x:v>
      </x:c>
      <x:c r="AN554" s="9" t="n">
        <x:v>104</x:v>
      </x:c>
    </x:row>
    <x:row r="555">
      <x:c r="A555" s="9" t="str">
        <x:v>Success</x:v>
      </x:c>
      <x:c r="B555" s="9" t="str">
        <x:v>Relational Placement</x:v>
      </x:c>
      <x:c r="C555" s="10" t="n">
        <x:v>103</x:v>
      </x:c>
      <x:c r="D555" s="9" t="str">
        <x:v>Move the red block near the green pen.</x:v>
      </x:c>
      <x:c r="E555" s="9" t="str">
        <x:v>red block, green pen, blue block</x:v>
      </x:c>
      <x:c r="F555" s="9" t="str">
        <x:v>red block → 2–8 cm edge gap near green pen; no directional sector required.</x:v>
      </x:c>
      <x:c r="G555" s="9" t="str">
        <x:v>placed on right</x:v>
      </x:c>
      <x:c r="H555" s="9" t="str">
        <x:v>Matched manipulation control</x:v>
      </x:c>
      <x:c r="I555" s="9" t="str">
        <x:v>RP-CT-N20</x:v>
      </x:c>
      <x:c r="J555" s="9" t="str">
        <x:v>Exact-scene masked manipulation control</x:v>
      </x:c>
      <x:c r="K555" s="9" t="n">
        <x:v>102</x:v>
      </x:c>
      <x:c r="L555" s="9" t="str">
        <x:v>299</x:v>
      </x:c>
      <x:c r="M555" s="9"/>
      <x:c r="N555" s="9"/>
      <x:c r="O555" s="9" t="str">
        <x:v>Reset P1 to its marked pose; preserve the exact scene and use the trained control instruction.</x:v>
      </x:c>
      <x:c r="P555" s="9" t="str">
        <x:v>Exact-scene control using the final training prompt from episode 299. The target, reference, distractors, camera, and robot start match the paired transfer row.</x:v>
      </x:c>
      <x:c r="Q555" s="9"/>
      <x:c r="R555" s="10" t="n">
        <x:v>3</x:v>
      </x:c>
      <x:c r="S555" s="10"/>
      <x:c r="T555" s="9"/>
      <x:c r="U555" s="9"/>
      <x:c r="V555" s="9"/>
      <x:c r="W555" s="9"/>
      <x:c r="X555" s="10"/>
      <x:c r="Y555" s="10"/>
      <x:c r="Z555" s="9"/>
      <x:c r="AA555" s="9"/>
      <x:c r="AB555" s="9"/>
      <x:c r="AC555" s="9" t="str">
        <x:v>right</x:v>
      </x:c>
      <x:c r="AD555" s="9" t="str">
        <x:v>red block</x:v>
      </x:c>
      <x:c r="AE555" s="9" t="str">
        <x:v>green pen</x:v>
      </x:c>
      <x:c r="AF555" s="9" t="str">
        <x:v>None</x:v>
      </x:c>
      <x:c r="AG555" s="9"/>
      <x:c r="AH555" s="9"/>
      <x:c r="AI555" s="11"/>
      <x:c r="AJ555" s="9"/>
      <x:c r="AK555" s="9" t="str">
        <x:v>Eval_Relational_Placement (1).xlsm</x:v>
      </x:c>
      <x:c r="AL555" s="9" t="str">
        <x:v>pi0.5 Results</x:v>
      </x:c>
      <x:c r="AM555" s="9" t="n">
        <x:v>105</x:v>
      </x:c>
      <x:c r="AN555" s="9" t="n">
        <x:v>105</x:v>
      </x:c>
    </x:row>
    <x:row r="556">
      <x:c r="A556" s="9" t="str">
        <x:v>Success</x:v>
      </x:c>
      <x:c r="B556" s="9" t="str">
        <x:v>Relational Placement</x:v>
      </x:c>
      <x:c r="C556" s="10" t="n">
        <x:v>104</x:v>
      </x:c>
      <x:c r="D556" s="9" t="str">
        <x:v>Place the green pen in front of the red block.</x:v>
      </x:c>
      <x:c r="E556" s="9" t="str">
        <x:v>green pen, red block, pink marker</x:v>
      </x:c>
      <x:c r="F556" s="9" t="str">
        <x:v>green pen → 2–8 cm edge gap in front of red block; centroid direction within ±45°.</x:v>
      </x:c>
      <x:c r="G556" s="9"/>
      <x:c r="H556" s="9" t="str">
        <x:v>Concept/compositional transfer</x:v>
      </x:c>
      <x:c r="I556" s="9" t="str">
        <x:v>RP-CT-N21</x:v>
      </x:c>
      <x:c r="J556" s="9" t="str">
        <x:v>Neutral-axis independent compositional-transfer scene</x:v>
      </x:c>
      <x:c r="K556" s="9"/>
      <x:c r="L556" s="9" t="str">
        <x:v>203</x:v>
      </x:c>
      <x:c r="M556" s="9"/>
      <x:c r="N556" s="9"/>
      <x:c r="O556" s="9" t="str">
        <x:v>Build the listed neutral-axis scene and save the first frame.</x:v>
      </x:c>
      <x:c r="P556" s="9" t="str">
        <x:v>Independent held-out-composition scene. Source episode 203 supplies target recognition/manipulation under the trained prompt “Move the green pen near the red block.”. The orthogonal start removes the opposite-side shortcut.</x:v>
      </x:c>
      <x:c r="Q556" s="9"/>
      <x:c r="R556" s="10" t="n">
        <x:v>3</x:v>
      </x:c>
      <x:c r="S556" s="10"/>
      <x:c r="T556" s="9"/>
      <x:c r="U556" s="9"/>
      <x:c r="V556" s="9"/>
      <x:c r="W556" s="9"/>
      <x:c r="X556" s="10"/>
      <x:c r="Y556" s="10"/>
      <x:c r="Z556" s="9"/>
      <x:c r="AA556" s="9"/>
      <x:c r="AB556" s="9"/>
      <x:c r="AC556" s="9" t="str">
        <x:v>front</x:v>
      </x:c>
      <x:c r="AD556" s="9" t="str">
        <x:v>green pen</x:v>
      </x:c>
      <x:c r="AE556" s="9" t="str">
        <x:v>red block</x:v>
      </x:c>
      <x:c r="AF556" s="9" t="str">
        <x:v>None</x:v>
      </x:c>
      <x:c r="AG556" s="9"/>
      <x:c r="AH556" s="9"/>
      <x:c r="AI556" s="11"/>
      <x:c r="AJ556" s="9"/>
      <x:c r="AK556" s="9" t="str">
        <x:v>Eval_Relational_Placement (1).xlsm</x:v>
      </x:c>
      <x:c r="AL556" s="9" t="str">
        <x:v>pi0.5 Results</x:v>
      </x:c>
      <x:c r="AM556" s="9" t="n">
        <x:v>106</x:v>
      </x:c>
      <x:c r="AN556" s="9" t="n">
        <x:v>106</x:v>
      </x:c>
    </x:row>
    <x:row r="557">
      <x:c r="A557" s="9" t="str">
        <x:v>Failure</x:v>
      </x:c>
      <x:c r="B557" s="9" t="str">
        <x:v>Relational Placement</x:v>
      </x:c>
      <x:c r="C557" s="10" t="n">
        <x:v>105</x:v>
      </x:c>
      <x:c r="D557" s="9" t="str">
        <x:v>Place the red block in front of the green pen.</x:v>
      </x:c>
      <x:c r="E557" s="9" t="str">
        <x:v>red block, green pen, blue block, pink marker</x:v>
      </x:c>
      <x:c r="F557" s="9" t="str">
        <x:v>red block → 2–8 cm edge gap in front of green pen; centroid direction within ±45°.</x:v>
      </x:c>
      <x:c r="G557" s="9" t="str">
        <x:v>placed behind; leaning on green pen</x:v>
      </x:c>
      <x:c r="H557" s="9" t="str">
        <x:v>Concept/compositional transfer</x:v>
      </x:c>
      <x:c r="I557" s="9" t="str">
        <x:v>RP-CT-N22</x:v>
      </x:c>
      <x:c r="J557" s="9" t="str">
        <x:v>Neutral-axis independent compositional-transfer scene</x:v>
      </x:c>
      <x:c r="K557" s="9"/>
      <x:c r="L557" s="9" t="str">
        <x:v>260</x:v>
      </x:c>
      <x:c r="M557" s="9"/>
      <x:c r="N557" s="9"/>
      <x:c r="O557" s="9" t="str">
        <x:v>Build the listed neutral-axis scene and save the first frame.</x:v>
      </x:c>
      <x:c r="P557" s="9" t="str">
        <x:v>Independent held-out-composition scene. Source episode 260 supplies target recognition/manipulation under the trained prompt “Move the red block near the green pen.”. The orthogonal start removes the opposite-side shortcut.</x:v>
      </x:c>
      <x:c r="Q557" s="9"/>
      <x:c r="R557" s="10" t="n">
        <x:v>4</x:v>
      </x:c>
      <x:c r="S557" s="10"/>
      <x:c r="T557" s="9"/>
      <x:c r="U557" s="9"/>
      <x:c r="V557" s="9"/>
      <x:c r="W557" s="9"/>
      <x:c r="X557" s="10"/>
      <x:c r="Y557" s="10"/>
      <x:c r="Z557" s="9"/>
      <x:c r="AA557" s="9"/>
      <x:c r="AB557" s="9"/>
      <x:c r="AC557" s="9" t="str">
        <x:v>front</x:v>
      </x:c>
      <x:c r="AD557" s="9" t="str">
        <x:v>red block</x:v>
      </x:c>
      <x:c r="AE557" s="9" t="str">
        <x:v>green pen</x:v>
      </x:c>
      <x:c r="AF557" s="9" t="str">
        <x:v>None</x:v>
      </x:c>
      <x:c r="AG557" s="9"/>
      <x:c r="AH557" s="9"/>
      <x:c r="AI557" s="11"/>
      <x:c r="AJ557" s="9"/>
      <x:c r="AK557" s="9" t="str">
        <x:v>Eval_Relational_Placement (1).xlsm</x:v>
      </x:c>
      <x:c r="AL557" s="9" t="str">
        <x:v>pi0.5 Results</x:v>
      </x:c>
      <x:c r="AM557" s="9" t="n">
        <x:v>107</x:v>
      </x:c>
      <x:c r="AN557" s="9" t="n">
        <x:v>107</x:v>
      </x:c>
    </x:row>
    <x:row r="558">
      <x:c r="A558" s="9" t="str">
        <x:v>Failure</x:v>
      </x:c>
      <x:c r="B558" s="9" t="str">
        <x:v>Relational Placement</x:v>
      </x:c>
      <x:c r="C558" s="10" t="n">
        <x:v>106</x:v>
      </x:c>
      <x:c r="D558" s="9" t="str">
        <x:v>Place the green pen behind the red block.</x:v>
      </x:c>
      <x:c r="E558" s="9" t="str">
        <x:v>green pen, red block, pink marker, blue block</x:v>
      </x:c>
      <x:c r="F558" s="9" t="str">
        <x:v>green pen → 2–8 cm edge gap behind red block; centroid direction within ±45°.</x:v>
      </x:c>
      <x:c r="G558" s="9" t="str">
        <x:v>placed to the right of the red blcok</x:v>
      </x:c>
      <x:c r="H558" s="9" t="str">
        <x:v>Concept/compositional transfer</x:v>
      </x:c>
      <x:c r="I558" s="9" t="str">
        <x:v>RP-CT-N23</x:v>
      </x:c>
      <x:c r="J558" s="9" t="str">
        <x:v>Neutral-axis independent compositional-transfer scene</x:v>
      </x:c>
      <x:c r="K558" s="9"/>
      <x:c r="L558" s="9" t="str">
        <x:v>214</x:v>
      </x:c>
      <x:c r="M558" s="9"/>
      <x:c r="N558" s="9"/>
      <x:c r="O558" s="9" t="str">
        <x:v>Build the listed neutral-axis scene and save the first frame.</x:v>
      </x:c>
      <x:c r="P558" s="9" t="str">
        <x:v>Independent held-out-composition scene. Source episode 214 supplies target recognition/manipulation under the trained prompt “Put the green pen beside the red block.”. The orthogonal start removes the opposite-side shortcut.</x:v>
      </x:c>
      <x:c r="Q558" s="9"/>
      <x:c r="R558" s="10" t="n">
        <x:v>4</x:v>
      </x:c>
      <x:c r="S558" s="10"/>
      <x:c r="T558" s="9"/>
      <x:c r="U558" s="9"/>
      <x:c r="V558" s="9"/>
      <x:c r="W558" s="9"/>
      <x:c r="X558" s="10"/>
      <x:c r="Y558" s="10"/>
      <x:c r="Z558" s="9"/>
      <x:c r="AA558" s="9"/>
      <x:c r="AB558" s="9"/>
      <x:c r="AC558" s="9" t="str">
        <x:v>behind</x:v>
      </x:c>
      <x:c r="AD558" s="9" t="str">
        <x:v>green pen</x:v>
      </x:c>
      <x:c r="AE558" s="9" t="str">
        <x:v>red block</x:v>
      </x:c>
      <x:c r="AF558" s="9" t="str">
        <x:v>None</x:v>
      </x:c>
      <x:c r="AG558" s="9"/>
      <x:c r="AH558" s="9"/>
      <x:c r="AI558" s="11"/>
      <x:c r="AJ558" s="9"/>
      <x:c r="AK558" s="9" t="str">
        <x:v>Eval_Relational_Placement (1).xlsm</x:v>
      </x:c>
      <x:c r="AL558" s="9" t="str">
        <x:v>pi0.5 Results</x:v>
      </x:c>
      <x:c r="AM558" s="9" t="n">
        <x:v>108</x:v>
      </x:c>
      <x:c r="AN558" s="9" t="n">
        <x:v>108</x:v>
      </x:c>
    </x:row>
    <x:row r="559">
      <x:c r="A559" s="9" t="str">
        <x:v>Success</x:v>
      </x:c>
      <x:c r="B559" s="9" t="str">
        <x:v>Relational Placement</x:v>
      </x:c>
      <x:c r="C559" s="10" t="n">
        <x:v>107</x:v>
      </x:c>
      <x:c r="D559" s="9" t="str">
        <x:v>Place the red block behind the green pen.</x:v>
      </x:c>
      <x:c r="E559" s="9" t="str">
        <x:v>red block, green pen, blue block</x:v>
      </x:c>
      <x:c r="F559" s="9" t="str">
        <x:v>red block → 2–8 cm edge gap behind green pen; centroid direction within ±45°.</x:v>
      </x:c>
      <x:c r="G559" s="9"/>
      <x:c r="H559" s="9" t="str">
        <x:v>Concept/compositional transfer</x:v>
      </x:c>
      <x:c r="I559" s="9" t="str">
        <x:v>RP-CT-N24</x:v>
      </x:c>
      <x:c r="J559" s="9" t="str">
        <x:v>Neutral-axis independent compositional-transfer scene</x:v>
      </x:c>
      <x:c r="K559" s="9"/>
      <x:c r="L559" s="9" t="str">
        <x:v>274</x:v>
      </x:c>
      <x:c r="M559" s="9"/>
      <x:c r="N559" s="9"/>
      <x:c r="O559" s="9" t="str">
        <x:v>Build the listed neutral-axis scene and save the first frame.</x:v>
      </x:c>
      <x:c r="P559" s="9" t="str">
        <x:v>Independent held-out-composition scene. Source episode 274 supplies target recognition/manipulation under the trained prompt “Put the red block beside the green pen.”. The orthogonal start removes the opposite-side shortcut.</x:v>
      </x:c>
      <x:c r="Q559" s="9"/>
      <x:c r="R559" s="10" t="n">
        <x:v>3</x:v>
      </x:c>
      <x:c r="S559" s="10"/>
      <x:c r="T559" s="9"/>
      <x:c r="U559" s="9"/>
      <x:c r="V559" s="9"/>
      <x:c r="W559" s="9"/>
      <x:c r="X559" s="10"/>
      <x:c r="Y559" s="10"/>
      <x:c r="Z559" s="9"/>
      <x:c r="AA559" s="9"/>
      <x:c r="AB559" s="9"/>
      <x:c r="AC559" s="9" t="str">
        <x:v>behind</x:v>
      </x:c>
      <x:c r="AD559" s="9" t="str">
        <x:v>red block</x:v>
      </x:c>
      <x:c r="AE559" s="9" t="str">
        <x:v>green pen</x:v>
      </x:c>
      <x:c r="AF559" s="9" t="str">
        <x:v>None</x:v>
      </x:c>
      <x:c r="AG559" s="9"/>
      <x:c r="AH559" s="9"/>
      <x:c r="AI559" s="11"/>
      <x:c r="AJ559" s="9"/>
      <x:c r="AK559" s="9" t="str">
        <x:v>Eval_Relational_Placement (1).xlsm</x:v>
      </x:c>
      <x:c r="AL559" s="9" t="str">
        <x:v>pi0.5 Results</x:v>
      </x:c>
      <x:c r="AM559" s="9" t="n">
        <x:v>109</x:v>
      </x:c>
      <x:c r="AN559" s="9" t="n">
        <x:v>109</x:v>
      </x:c>
    </x:row>
    <x:row r="560">
      <x:c r="A560" s="9" t="str">
        <x:v>Success</x:v>
      </x:c>
      <x:c r="B560" s="9" t="str">
        <x:v>Relational Placement</x:v>
      </x:c>
      <x:c r="C560" s="10" t="n">
        <x:v>108</x:v>
      </x:c>
      <x:c r="D560" s="9" t="str">
        <x:v>Place the green pen to the left of the red block.</x:v>
      </x:c>
      <x:c r="E560" s="9" t="str">
        <x:v>green pen, red block, pink marker</x:v>
      </x:c>
      <x:c r="F560" s="9" t="str">
        <x:v>green pen → 2–8 cm edge gap to the left of red block; centroid direction within ±45°.</x:v>
      </x:c>
      <x:c r="G560" s="9"/>
      <x:c r="H560" s="9" t="str">
        <x:v>Concept/compositional transfer</x:v>
      </x:c>
      <x:c r="I560" s="9" t="str">
        <x:v>RP-CT-N25</x:v>
      </x:c>
      <x:c r="J560" s="9" t="str">
        <x:v>Neutral-axis independent compositional-transfer scene</x:v>
      </x:c>
      <x:c r="K560" s="9"/>
      <x:c r="L560" s="9" t="str">
        <x:v>226</x:v>
      </x:c>
      <x:c r="M560" s="9"/>
      <x:c r="N560" s="9"/>
      <x:c r="O560" s="9" t="str">
        <x:v>Build the listed neutral-axis scene and save the first frame.</x:v>
      </x:c>
      <x:c r="P560" s="9" t="str">
        <x:v>Independent held-out-composition scene. Source episode 226 supplies target recognition/manipulation under the trained prompt “Put the green pen beside the red block.”. The orthogonal start removes the opposite-side shortcut.</x:v>
      </x:c>
      <x:c r="Q560" s="9"/>
      <x:c r="R560" s="10" t="n">
        <x:v>3</x:v>
      </x:c>
      <x:c r="S560" s="10"/>
      <x:c r="T560" s="9"/>
      <x:c r="U560" s="9"/>
      <x:c r="V560" s="9"/>
      <x:c r="W560" s="9"/>
      <x:c r="X560" s="10"/>
      <x:c r="Y560" s="10"/>
      <x:c r="Z560" s="9"/>
      <x:c r="AA560" s="9"/>
      <x:c r="AB560" s="9"/>
      <x:c r="AC560" s="9" t="str">
        <x:v>left</x:v>
      </x:c>
      <x:c r="AD560" s="9" t="str">
        <x:v>green pen</x:v>
      </x:c>
      <x:c r="AE560" s="9" t="str">
        <x:v>red block</x:v>
      </x:c>
      <x:c r="AF560" s="9" t="str">
        <x:v>None</x:v>
      </x:c>
      <x:c r="AG560" s="9"/>
      <x:c r="AH560" s="9"/>
      <x:c r="AI560" s="11"/>
      <x:c r="AJ560" s="9"/>
      <x:c r="AK560" s="9" t="str">
        <x:v>Eval_Relational_Placement (1).xlsm</x:v>
      </x:c>
      <x:c r="AL560" s="9" t="str">
        <x:v>pi0.5 Results</x:v>
      </x:c>
      <x:c r="AM560" s="9" t="n">
        <x:v>110</x:v>
      </x:c>
      <x:c r="AN560" s="9" t="n">
        <x:v>110</x:v>
      </x:c>
    </x:row>
    <x:row r="561">
      <x:c r="A561" s="9" t="str">
        <x:v>Success</x:v>
      </x:c>
      <x:c r="B561" s="9" t="str">
        <x:v>Relational Placement</x:v>
      </x:c>
      <x:c r="C561" s="10" t="n">
        <x:v>109</x:v>
      </x:c>
      <x:c r="D561" s="9" t="str">
        <x:v>Place the red block to the right of the green pen.</x:v>
      </x:c>
      <x:c r="E561" s="9" t="str">
        <x:v>red block, green pen, blue block, pink marker</x:v>
      </x:c>
      <x:c r="F561" s="9" t="str">
        <x:v>red block → 2–8 cm edge gap to the right of green pen; centroid direction within ±45°.</x:v>
      </x:c>
      <x:c r="G561" s="9" t="str">
        <x:v>leaning on the pen</x:v>
      </x:c>
      <x:c r="H561" s="9" t="str">
        <x:v>Concept/compositional transfer</x:v>
      </x:c>
      <x:c r="I561" s="9" t="str">
        <x:v>RP-CT-N26</x:v>
      </x:c>
      <x:c r="J561" s="9" t="str">
        <x:v>Neutral-axis independent compositional-transfer scene</x:v>
      </x:c>
      <x:c r="K561" s="9"/>
      <x:c r="L561" s="9" t="str">
        <x:v>298</x:v>
      </x:c>
      <x:c r="M561" s="9"/>
      <x:c r="N561" s="9"/>
      <x:c r="O561" s="9" t="str">
        <x:v>Build the listed neutral-axis scene and save the first frame.</x:v>
      </x:c>
      <x:c r="P561" s="9" t="str">
        <x:v>Independent held-out-composition scene. Source episode 298 supplies target recognition/manipulation under the trained prompt “Put the red block beside the green pen.”. The orthogonal start removes the opposite-side shortcut.</x:v>
      </x:c>
      <x:c r="Q561" s="9"/>
      <x:c r="R561" s="10" t="n">
        <x:v>4</x:v>
      </x:c>
      <x:c r="S561" s="10"/>
      <x:c r="T561" s="9"/>
      <x:c r="U561" s="9"/>
      <x:c r="V561" s="9"/>
      <x:c r="W561" s="9"/>
      <x:c r="X561" s="10"/>
      <x:c r="Y561" s="10"/>
      <x:c r="Z561" s="9"/>
      <x:c r="AA561" s="9"/>
      <x:c r="AB561" s="9"/>
      <x:c r="AC561" s="9" t="str">
        <x:v>right</x:v>
      </x:c>
      <x:c r="AD561" s="9" t="str">
        <x:v>red block</x:v>
      </x:c>
      <x:c r="AE561" s="9" t="str">
        <x:v>green pen</x:v>
      </x:c>
      <x:c r="AF561" s="9" t="str">
        <x:v>None</x:v>
      </x:c>
      <x:c r="AG561" s="9"/>
      <x:c r="AH561" s="9"/>
      <x:c r="AI561" s="11"/>
      <x:c r="AJ561" s="9"/>
      <x:c r="AK561" s="9" t="str">
        <x:v>Eval_Relational_Placement (1).xlsm</x:v>
      </x:c>
      <x:c r="AL561" s="9" t="str">
        <x:v>pi0.5 Results</x:v>
      </x:c>
      <x:c r="AM561" s="9" t="n">
        <x:v>111</x:v>
      </x:c>
      <x:c r="AN561" s="9" t="n">
        <x:v>111</x:v>
      </x:c>
    </x:row>
    <x:row r="562">
      <x:c r="A562" s="9" t="str">
        <x:v>Success</x:v>
      </x:c>
      <x:c r="B562" s="9" t="str">
        <x:v>Relational Placement</x:v>
      </x:c>
      <x:c r="C562" s="10" t="n">
        <x:v>110</x:v>
      </x:c>
      <x:c r="D562" s="9" t="str">
        <x:v>Place the juggling ball in front of the pink marker.</x:v>
      </x:c>
      <x:c r="E562" s="9" t="str">
        <x:v>juggling ball, pink marker, green pen</x:v>
      </x:c>
      <x:c r="F562" s="9" t="str">
        <x:v>juggling ball → 2–8 cm edge gap in front of pink marker; centroid direction within ±45°.</x:v>
      </x:c>
      <x:c r="G562" s="9"/>
      <x:c r="H562" s="9" t="str">
        <x:v>Cross-task-object directional reasoning</x:v>
      </x:c>
      <x:c r="I562" s="9" t="str">
        <x:v>RP-XT-CF01</x:v>
      </x:c>
      <x:c r="J562" s="9" t="str">
        <x:v>Four-way cross-task counterfactual: front/behind polarity × juggling-ball target/reference role</x:v>
      </x:c>
      <x:c r="K562" s="9"/>
      <x:c r="L562" s="9" t="str">
        <x:v>1100 (juggling-ball exposure); 204 (front relation)</x:v>
      </x:c>
      <x:c r="M562" s="9"/>
      <x:c r="N562" s="9"/>
      <x:c r="O562" s="9" t="str">
        <x:v>Build the listed neutral-axis scene and save the first frame.</x:v>
      </x:c>
      <x:c r="P562" s="9" t="str">
        <x:v>The juggling ball is globally familiar but absent from Relational Placement training. This exact-scene family crosses direction with its target role and contains no direct-name control.</x:v>
      </x:c>
      <x:c r="Q562" s="9"/>
      <x:c r="R562" s="10" t="n">
        <x:v>3</x:v>
      </x:c>
      <x:c r="S562" s="10"/>
      <x:c r="T562" s="9"/>
      <x:c r="U562" s="9"/>
      <x:c r="V562" s="9"/>
      <x:c r="W562" s="9"/>
      <x:c r="X562" s="10"/>
      <x:c r="Y562" s="10"/>
      <x:c r="Z562" s="9"/>
      <x:c r="AA562" s="9"/>
      <x:c r="AB562" s="9"/>
      <x:c r="AC562" s="9" t="str">
        <x:v>front</x:v>
      </x:c>
      <x:c r="AD562" s="9" t="str">
        <x:v>juggling ball</x:v>
      </x:c>
      <x:c r="AE562" s="9" t="str">
        <x:v>pink marker</x:v>
      </x:c>
      <x:c r="AF562" s="9" t="str">
        <x:v>Target</x:v>
      </x:c>
      <x:c r="AG562" s="9"/>
      <x:c r="AH562" s="9"/>
      <x:c r="AI562" s="11"/>
      <x:c r="AJ562" s="9"/>
      <x:c r="AK562" s="9" t="str">
        <x:v>Eval_Relational_Placement (1).xlsm</x:v>
      </x:c>
      <x:c r="AL562" s="9" t="str">
        <x:v>pi0.5 Results</x:v>
      </x:c>
      <x:c r="AM562" s="9" t="n">
        <x:v>112</x:v>
      </x:c>
      <x:c r="AN562" s="9" t="n">
        <x:v>112</x:v>
      </x:c>
    </x:row>
    <x:row r="563">
      <x:c r="A563" s="9" t="str">
        <x:v>Success</x:v>
      </x:c>
      <x:c r="B563" s="9" t="str">
        <x:v>Relational Placement</x:v>
      </x:c>
      <x:c r="C563" s="10" t="n">
        <x:v>111</x:v>
      </x:c>
      <x:c r="D563" s="9" t="str">
        <x:v>Place the juggling ball behind the pink marker.</x:v>
      </x:c>
      <x:c r="E563" s="9" t="str">
        <x:v>juggling ball, pink marker, green pen</x:v>
      </x:c>
      <x:c r="F563" s="9" t="str">
        <x:v>juggling ball → 2–8 cm edge gap behind pink marker; centroid direction within ±45°.</x:v>
      </x:c>
      <x:c r="G563" s="9" t="str">
        <x:v>behind and to the right</x:v>
      </x:c>
      <x:c r="H563" s="9" t="str">
        <x:v>Cross-task-object directional reasoning</x:v>
      </x:c>
      <x:c r="I563" s="9" t="str">
        <x:v>RP-XT-CF01</x:v>
      </x:c>
      <x:c r="J563" s="9" t="str">
        <x:v>Four-way cross-task counterfactual: front/behind polarity × juggling-ball target/reference role</x:v>
      </x:c>
      <x:c r="K563" s="9" t="n">
        <x:v>110</x:v>
      </x:c>
      <x:c r="L563" s="9" t="str">
        <x:v>1100 (juggling-ball exposure); 217 (behind relation)</x:v>
      </x:c>
      <x:c r="M563" s="9"/>
      <x:c r="N563" s="9"/>
      <x:c r="O563" s="9" t="str">
        <x:v>Reset every manipulated core object to its marked pose; preserve the exact scene and change only the instruction.</x:v>
      </x:c>
      <x:c r="P563" s="9" t="str">
        <x:v>The juggling ball is globally familiar but absent from Relational Placement training. This exact-scene family crosses direction with its target role and contains no direct-name control.</x:v>
      </x:c>
      <x:c r="Q563" s="9"/>
      <x:c r="R563" s="10" t="n">
        <x:v>3</x:v>
      </x:c>
      <x:c r="S563" s="10"/>
      <x:c r="T563" s="9"/>
      <x:c r="U563" s="9"/>
      <x:c r="V563" s="9"/>
      <x:c r="W563" s="9"/>
      <x:c r="X563" s="10"/>
      <x:c r="Y563" s="10"/>
      <x:c r="Z563" s="9"/>
      <x:c r="AA563" s="9"/>
      <x:c r="AB563" s="9"/>
      <x:c r="AC563" s="9" t="str">
        <x:v>behind</x:v>
      </x:c>
      <x:c r="AD563" s="9" t="str">
        <x:v>juggling ball</x:v>
      </x:c>
      <x:c r="AE563" s="9" t="str">
        <x:v>pink marker</x:v>
      </x:c>
      <x:c r="AF563" s="9" t="str">
        <x:v>Target</x:v>
      </x:c>
      <x:c r="AG563" s="9"/>
      <x:c r="AH563" s="9"/>
      <x:c r="AI563" s="11"/>
      <x:c r="AJ563" s="9"/>
      <x:c r="AK563" s="9" t="str">
        <x:v>Eval_Relational_Placement (1).xlsm</x:v>
      </x:c>
      <x:c r="AL563" s="9" t="str">
        <x:v>pi0.5 Results</x:v>
      </x:c>
      <x:c r="AM563" s="9" t="n">
        <x:v>113</x:v>
      </x:c>
      <x:c r="AN563" s="9" t="n">
        <x:v>113</x:v>
      </x:c>
    </x:row>
    <x:row r="564">
      <x:c r="A564" s="9" t="str">
        <x:v>Failure</x:v>
      </x:c>
      <x:c r="B564" s="9" t="str">
        <x:v>Relational Placement</x:v>
      </x:c>
      <x:c r="C564" s="10" t="n">
        <x:v>112</x:v>
      </x:c>
      <x:c r="D564" s="9" t="str">
        <x:v>Place the pink marker in front of the juggling ball.</x:v>
      </x:c>
      <x:c r="E564" s="9" t="str">
        <x:v>juggling ball, pink marker, green pen</x:v>
      </x:c>
      <x:c r="F564" s="9" t="str">
        <x:v>pink marker → 2–8 cm edge gap in front of juggling ball; centroid direction within ±45°.</x:v>
      </x:c>
      <x:c r="G564" s="9" t="str">
        <x:v>placed on the left; hesitation before movement</x:v>
      </x:c>
      <x:c r="H564" s="9" t="str">
        <x:v>Cross-task-object directional reasoning</x:v>
      </x:c>
      <x:c r="I564" s="9" t="str">
        <x:v>RP-XT-CF01</x:v>
      </x:c>
      <x:c r="J564" s="9" t="str">
        <x:v>Four-way cross-task counterfactual: front/behind polarity × juggling-ball target/reference role</x:v>
      </x:c>
      <x:c r="K564" s="9" t="n">
        <x:v>110</x:v>
      </x:c>
      <x:c r="L564" s="9" t="str">
        <x:v>1100 (juggling-ball exposure); 305 (front relation with pink marker as target)</x:v>
      </x:c>
      <x:c r="M564" s="9"/>
      <x:c r="N564" s="9"/>
      <x:c r="O564" s="9" t="str">
        <x:v>Reset every manipulated core object to its marked pose; preserve the exact scene and change only the instruction.</x:v>
      </x:c>
      <x:c r="P564" s="9" t="str">
        <x:v>The juggling ball is globally familiar but absent from Relational Placement training. This exact-scene family crosses direction with its reference role and contains no direct-name control.</x:v>
      </x:c>
      <x:c r="Q564" s="9"/>
      <x:c r="R564" s="10" t="n">
        <x:v>3</x:v>
      </x:c>
      <x:c r="S564" s="10"/>
      <x:c r="T564" s="9"/>
      <x:c r="U564" s="9"/>
      <x:c r="V564" s="9"/>
      <x:c r="W564" s="9"/>
      <x:c r="X564" s="10"/>
      <x:c r="Y564" s="10"/>
      <x:c r="Z564" s="9"/>
      <x:c r="AA564" s="9"/>
      <x:c r="AB564" s="9"/>
      <x:c r="AC564" s="9" t="str">
        <x:v>front</x:v>
      </x:c>
      <x:c r="AD564" s="9" t="str">
        <x:v>pink marker</x:v>
      </x:c>
      <x:c r="AE564" s="9" t="str">
        <x:v>juggling ball</x:v>
      </x:c>
      <x:c r="AF564" s="9" t="str">
        <x:v>Reference</x:v>
      </x:c>
      <x:c r="AG564" s="9"/>
      <x:c r="AH564" s="9"/>
      <x:c r="AI564" s="11"/>
      <x:c r="AJ564" s="9"/>
      <x:c r="AK564" s="9" t="str">
        <x:v>Eval_Relational_Placement (1).xlsm</x:v>
      </x:c>
      <x:c r="AL564" s="9" t="str">
        <x:v>pi0.5 Results</x:v>
      </x:c>
      <x:c r="AM564" s="9" t="n">
        <x:v>114</x:v>
      </x:c>
      <x:c r="AN564" s="9" t="n">
        <x:v>114</x:v>
      </x:c>
    </x:row>
    <x:row r="565">
      <x:c r="A565" s="9" t="str">
        <x:v>Failure</x:v>
      </x:c>
      <x:c r="B565" s="9" t="str">
        <x:v>Relational Placement</x:v>
      </x:c>
      <x:c r="C565" s="10" t="n">
        <x:v>113</x:v>
      </x:c>
      <x:c r="D565" s="9" t="str">
        <x:v>Place the pink marker behind the juggling ball.</x:v>
      </x:c>
      <x:c r="E565" s="9" t="str">
        <x:v>juggling ball, pink marker, green pen</x:v>
      </x:c>
      <x:c r="F565" s="9" t="str">
        <x:v>pink marker → 2–8 cm edge gap behind juggling ball; centroid direction within ±45°.</x:v>
      </x:c>
      <x:c r="G565" s="9" t="str">
        <x:v>hesitation before movement. placed in back, but it rolled off the ball to the right.</x:v>
      </x:c>
      <x:c r="H565" s="9" t="str">
        <x:v>Cross-task-object directional reasoning</x:v>
      </x:c>
      <x:c r="I565" s="9" t="str">
        <x:v>RP-XT-CF01</x:v>
      </x:c>
      <x:c r="J565" s="9" t="str">
        <x:v>Four-way cross-task counterfactual: front/behind polarity × juggling-ball target/reference role</x:v>
      </x:c>
      <x:c r="K565" s="9" t="n">
        <x:v>110</x:v>
      </x:c>
      <x:c r="L565" s="9" t="str">
        <x:v>1100 (juggling-ball exposure); 317 (behind relation with pink marker as target)</x:v>
      </x:c>
      <x:c r="M565" s="9"/>
      <x:c r="N565" s="9"/>
      <x:c r="O565" s="9" t="str">
        <x:v>Reset every manipulated core object to its marked pose; preserve the exact scene and change only the instruction.</x:v>
      </x:c>
      <x:c r="P565" s="9" t="str">
        <x:v>The juggling ball is globally familiar but absent from Relational Placement training. This exact-scene family crosses direction with its reference role and contains no direct-name control.</x:v>
      </x:c>
      <x:c r="Q565" s="9"/>
      <x:c r="R565" s="10" t="n">
        <x:v>3</x:v>
      </x:c>
      <x:c r="S565" s="10"/>
      <x:c r="T565" s="9"/>
      <x:c r="U565" s="9"/>
      <x:c r="V565" s="9"/>
      <x:c r="W565" s="9"/>
      <x:c r="X565" s="10"/>
      <x:c r="Y565" s="10"/>
      <x:c r="Z565" s="9"/>
      <x:c r="AA565" s="9"/>
      <x:c r="AB565" s="9"/>
      <x:c r="AC565" s="9" t="str">
        <x:v>behind</x:v>
      </x:c>
      <x:c r="AD565" s="9" t="str">
        <x:v>pink marker</x:v>
      </x:c>
      <x:c r="AE565" s="9" t="str">
        <x:v>juggling ball</x:v>
      </x:c>
      <x:c r="AF565" s="9" t="str">
        <x:v>Reference</x:v>
      </x:c>
      <x:c r="AG565" s="9"/>
      <x:c r="AH565" s="9"/>
      <x:c r="AI565" s="11"/>
      <x:c r="AJ565" s="9"/>
      <x:c r="AK565" s="9" t="str">
        <x:v>Eval_Relational_Placement (1).xlsm</x:v>
      </x:c>
      <x:c r="AL565" s="9" t="str">
        <x:v>pi0.5 Results</x:v>
      </x:c>
      <x:c r="AM565" s="9" t="n">
        <x:v>115</x:v>
      </x:c>
      <x:c r="AN565" s="9" t="n">
        <x:v>115</x:v>
      </x:c>
    </x:row>
    <x:row r="566">
      <x:c r="A566" s="9" t="str">
        <x:v>Failure</x:v>
      </x:c>
      <x:c r="B566" s="9" t="str">
        <x:v>Relational Placement</x:v>
      </x:c>
      <x:c r="C566" s="10" t="n">
        <x:v>114</x:v>
      </x:c>
      <x:c r="D566" s="9" t="str">
        <x:v>Place the juggling ball in front of the blue block.</x:v>
      </x:c>
      <x:c r="E566" s="9" t="str">
        <x:v>juggling ball, blue block, red block, pink marker</x:v>
      </x:c>
      <x:c r="F566" s="9" t="str">
        <x:v>juggling ball → 2–8 cm edge gap in front of blue block; centroid direction within ±45°.</x:v>
      </x:c>
      <x:c r="G566" s="9" t="str">
        <x:v>plcaed left</x:v>
      </x:c>
      <x:c r="H566" s="9" t="str">
        <x:v>Cross-task-object directional reasoning</x:v>
      </x:c>
      <x:c r="I566" s="9" t="str">
        <x:v>RP-XT-CF02</x:v>
      </x:c>
      <x:c r="J566" s="9" t="str">
        <x:v>Four-way cross-task counterfactual: front/behind polarity × juggling-ball target/reference role</x:v>
      </x:c>
      <x:c r="K566" s="9"/>
      <x:c r="L566" s="9" t="str">
        <x:v>1101 (juggling-ball exposure); 208 (front relation)</x:v>
      </x:c>
      <x:c r="M566" s="9"/>
      <x:c r="N566" s="9"/>
      <x:c r="O566" s="9" t="str">
        <x:v>Build the listed neutral-axis scene and save the first frame.</x:v>
      </x:c>
      <x:c r="P566" s="9" t="str">
        <x:v>The juggling ball is globally familiar but absent from Relational Placement training. This exact-scene family crosses direction with its target role and contains no direct-name control.</x:v>
      </x:c>
      <x:c r="Q566" s="9"/>
      <x:c r="R566" s="10" t="n">
        <x:v>4</x:v>
      </x:c>
      <x:c r="S566" s="10"/>
      <x:c r="T566" s="9"/>
      <x:c r="U566" s="9"/>
      <x:c r="V566" s="9"/>
      <x:c r="W566" s="9"/>
      <x:c r="X566" s="10"/>
      <x:c r="Y566" s="10"/>
      <x:c r="Z566" s="9"/>
      <x:c r="AA566" s="9"/>
      <x:c r="AB566" s="9"/>
      <x:c r="AC566" s="9" t="str">
        <x:v>front</x:v>
      </x:c>
      <x:c r="AD566" s="9" t="str">
        <x:v>juggling ball</x:v>
      </x:c>
      <x:c r="AE566" s="9" t="str">
        <x:v>blue block</x:v>
      </x:c>
      <x:c r="AF566" s="9" t="str">
        <x:v>Target</x:v>
      </x:c>
      <x:c r="AG566" s="9"/>
      <x:c r="AH566" s="9"/>
      <x:c r="AI566" s="11"/>
      <x:c r="AJ566" s="9"/>
      <x:c r="AK566" s="9" t="str">
        <x:v>Eval_Relational_Placement (1).xlsm</x:v>
      </x:c>
      <x:c r="AL566" s="9" t="str">
        <x:v>pi0.5 Results</x:v>
      </x:c>
      <x:c r="AM566" s="9" t="n">
        <x:v>116</x:v>
      </x:c>
      <x:c r="AN566" s="9" t="n">
        <x:v>116</x:v>
      </x:c>
    </x:row>
    <x:row r="567">
      <x:c r="A567" s="9" t="str">
        <x:v>Success</x:v>
      </x:c>
      <x:c r="B567" s="9" t="str">
        <x:v>Relational Placement</x:v>
      </x:c>
      <x:c r="C567" s="10" t="n">
        <x:v>115</x:v>
      </x:c>
      <x:c r="D567" s="9" t="str">
        <x:v>Place the juggling ball behind the blue block.</x:v>
      </x:c>
      <x:c r="E567" s="9" t="str">
        <x:v>juggling ball, blue block, red block, pink marker</x:v>
      </x:c>
      <x:c r="F567" s="9" t="str">
        <x:v>juggling ball → 2–8 cm edge gap behind blue block; centroid direction within ±45°.</x:v>
      </x:c>
      <x:c r="G567" s="9"/>
      <x:c r="H567" s="9" t="str">
        <x:v>Cross-task-object directional reasoning</x:v>
      </x:c>
      <x:c r="I567" s="9" t="str">
        <x:v>RP-XT-CF02</x:v>
      </x:c>
      <x:c r="J567" s="9" t="str">
        <x:v>Four-way cross-task counterfactual: front/behind polarity × juggling-ball target/reference role</x:v>
      </x:c>
      <x:c r="K567" s="9" t="n">
        <x:v>114</x:v>
      </x:c>
      <x:c r="L567" s="9" t="str">
        <x:v>1101 (juggling-ball exposure); 221 (behind relation)</x:v>
      </x:c>
      <x:c r="M567" s="9"/>
      <x:c r="N567" s="9"/>
      <x:c r="O567" s="9" t="str">
        <x:v>Reset every manipulated core object to its marked pose; preserve the exact scene and change only the instruction.</x:v>
      </x:c>
      <x:c r="P567" s="9" t="str">
        <x:v>The juggling ball is globally familiar but absent from Relational Placement training. This exact-scene family crosses direction with its target role and contains no direct-name control.</x:v>
      </x:c>
      <x:c r="Q567" s="9"/>
      <x:c r="R567" s="10" t="n">
        <x:v>4</x:v>
      </x:c>
      <x:c r="S567" s="10"/>
      <x:c r="T567" s="9"/>
      <x:c r="U567" s="9"/>
      <x:c r="V567" s="9"/>
      <x:c r="W567" s="9"/>
      <x:c r="X567" s="10"/>
      <x:c r="Y567" s="10"/>
      <x:c r="Z567" s="9"/>
      <x:c r="AA567" s="9"/>
      <x:c r="AB567" s="9"/>
      <x:c r="AC567" s="9" t="str">
        <x:v>behind</x:v>
      </x:c>
      <x:c r="AD567" s="9" t="str">
        <x:v>juggling ball</x:v>
      </x:c>
      <x:c r="AE567" s="9" t="str">
        <x:v>blue block</x:v>
      </x:c>
      <x:c r="AF567" s="9" t="str">
        <x:v>Target</x:v>
      </x:c>
      <x:c r="AG567" s="9"/>
      <x:c r="AH567" s="9"/>
      <x:c r="AI567" s="11"/>
      <x:c r="AJ567" s="9"/>
      <x:c r="AK567" s="9" t="str">
        <x:v>Eval_Relational_Placement (1).xlsm</x:v>
      </x:c>
      <x:c r="AL567" s="9" t="str">
        <x:v>pi0.5 Results</x:v>
      </x:c>
      <x:c r="AM567" s="9" t="n">
        <x:v>117</x:v>
      </x:c>
      <x:c r="AN567" s="9" t="n">
        <x:v>117</x:v>
      </x:c>
    </x:row>
    <x:row r="568">
      <x:c r="A568" s="9" t="str">
        <x:v>Success</x:v>
      </x:c>
      <x:c r="B568" s="9" t="str">
        <x:v>Relational Placement</x:v>
      </x:c>
      <x:c r="C568" s="10" t="n">
        <x:v>116</x:v>
      </x:c>
      <x:c r="D568" s="9" t="str">
        <x:v>Place the blue block in front of the juggling ball.</x:v>
      </x:c>
      <x:c r="E568" s="9" t="str">
        <x:v>juggling ball, blue block, red block, pink marker</x:v>
      </x:c>
      <x:c r="F568" s="9" t="str">
        <x:v>blue block → 2–8 cm edge gap in front of juggling ball; centroid direction within ±45°.</x:v>
      </x:c>
      <x:c r="G568" s="9" t="str">
        <x:v>front right, but I'll count it</x:v>
      </x:c>
      <x:c r="H568" s="9" t="str">
        <x:v>Cross-task-object directional reasoning</x:v>
      </x:c>
      <x:c r="I568" s="9" t="str">
        <x:v>RP-XT-CF02</x:v>
      </x:c>
      <x:c r="J568" s="9" t="str">
        <x:v>Four-way cross-task counterfactual: front/behind polarity × juggling-ball target/reference role</x:v>
      </x:c>
      <x:c r="K568" s="9" t="n">
        <x:v>114</x:v>
      </x:c>
      <x:c r="L568" s="9" t="str">
        <x:v>1101 (juggling-ball exposure); 350 (front relation with blue block as target)</x:v>
      </x:c>
      <x:c r="M568" s="9"/>
      <x:c r="N568" s="9"/>
      <x:c r="O568" s="9" t="str">
        <x:v>Reset every manipulated core object to its marked pose; preserve the exact scene and change only the instruction.</x:v>
      </x:c>
      <x:c r="P568" s="9" t="str">
        <x:v>The juggling ball is globally familiar but absent from Relational Placement training. This exact-scene family crosses direction with its reference role and contains no direct-name control.</x:v>
      </x:c>
      <x:c r="Q568" s="9"/>
      <x:c r="R568" s="10" t="n">
        <x:v>4</x:v>
      </x:c>
      <x:c r="S568" s="10"/>
      <x:c r="T568" s="9"/>
      <x:c r="U568" s="9"/>
      <x:c r="V568" s="9"/>
      <x:c r="W568" s="9"/>
      <x:c r="X568" s="10"/>
      <x:c r="Y568" s="10"/>
      <x:c r="Z568" s="9"/>
      <x:c r="AA568" s="9"/>
      <x:c r="AB568" s="9"/>
      <x:c r="AC568" s="9" t="str">
        <x:v>front</x:v>
      </x:c>
      <x:c r="AD568" s="9" t="str">
        <x:v>blue block</x:v>
      </x:c>
      <x:c r="AE568" s="9" t="str">
        <x:v>juggling ball</x:v>
      </x:c>
      <x:c r="AF568" s="9" t="str">
        <x:v>Reference</x:v>
      </x:c>
      <x:c r="AG568" s="9"/>
      <x:c r="AH568" s="9"/>
      <x:c r="AI568" s="11"/>
      <x:c r="AJ568" s="9"/>
      <x:c r="AK568" s="9" t="str">
        <x:v>Eval_Relational_Placement (1).xlsm</x:v>
      </x:c>
      <x:c r="AL568" s="9" t="str">
        <x:v>pi0.5 Results</x:v>
      </x:c>
      <x:c r="AM568" s="9" t="n">
        <x:v>118</x:v>
      </x:c>
      <x:c r="AN568" s="9" t="n">
        <x:v>118</x:v>
      </x:c>
    </x:row>
    <x:row r="569">
      <x:c r="A569" s="9" t="str">
        <x:v>Success</x:v>
      </x:c>
      <x:c r="B569" s="9" t="str">
        <x:v>Relational Placement</x:v>
      </x:c>
      <x:c r="C569" s="10" t="n">
        <x:v>117</x:v>
      </x:c>
      <x:c r="D569" s="9" t="str">
        <x:v>Place the blue block behind the juggling ball.</x:v>
      </x:c>
      <x:c r="E569" s="9" t="str">
        <x:v>juggling ball, blue block, red block, pink marker</x:v>
      </x:c>
      <x:c r="F569" s="9" t="str">
        <x:v>blue block → 2–8 cm edge gap behind juggling ball; centroid direction within ±45°.</x:v>
      </x:c>
      <x:c r="G569" s="9"/>
      <x:c r="H569" s="9" t="str">
        <x:v>Cross-task-object directional reasoning</x:v>
      </x:c>
      <x:c r="I569" s="9" t="str">
        <x:v>RP-XT-CF02</x:v>
      </x:c>
      <x:c r="J569" s="9" t="str">
        <x:v>Four-way cross-task counterfactual: front/behind polarity × juggling-ball target/reference role</x:v>
      </x:c>
      <x:c r="K569" s="9" t="n">
        <x:v>114</x:v>
      </x:c>
      <x:c r="L569" s="9" t="str">
        <x:v>1101 (juggling-ball exposure); 362 (behind relation with blue block as target)</x:v>
      </x:c>
      <x:c r="M569" s="9"/>
      <x:c r="N569" s="9"/>
      <x:c r="O569" s="9" t="str">
        <x:v>Reset every manipulated core object to its marked pose; preserve the exact scene and change only the instruction.</x:v>
      </x:c>
      <x:c r="P569" s="9" t="str">
        <x:v>The juggling ball is globally familiar but absent from Relational Placement training. This exact-scene family crosses direction with its reference role and contains no direct-name control.</x:v>
      </x:c>
      <x:c r="Q569" s="9"/>
      <x:c r="R569" s="10" t="n">
        <x:v>4</x:v>
      </x:c>
      <x:c r="S569" s="10"/>
      <x:c r="T569" s="9"/>
      <x:c r="U569" s="9"/>
      <x:c r="V569" s="9"/>
      <x:c r="W569" s="9"/>
      <x:c r="X569" s="10"/>
      <x:c r="Y569" s="10"/>
      <x:c r="Z569" s="9"/>
      <x:c r="AA569" s="9"/>
      <x:c r="AB569" s="9"/>
      <x:c r="AC569" s="9" t="str">
        <x:v>behind</x:v>
      </x:c>
      <x:c r="AD569" s="9" t="str">
        <x:v>blue block</x:v>
      </x:c>
      <x:c r="AE569" s="9" t="str">
        <x:v>juggling ball</x:v>
      </x:c>
      <x:c r="AF569" s="9" t="str">
        <x:v>Reference</x:v>
      </x:c>
      <x:c r="AG569" s="9"/>
      <x:c r="AH569" s="9"/>
      <x:c r="AI569" s="11"/>
      <x:c r="AJ569" s="9"/>
      <x:c r="AK569" s="9" t="str">
        <x:v>Eval_Relational_Placement (1).xlsm</x:v>
      </x:c>
      <x:c r="AL569" s="9" t="str">
        <x:v>pi0.5 Results</x:v>
      </x:c>
      <x:c r="AM569" s="9" t="n">
        <x:v>119</x:v>
      </x:c>
      <x:c r="AN569" s="9" t="n">
        <x:v>119</x:v>
      </x:c>
    </x:row>
    <x:row r="570">
      <x:c r="A570" s="9" t="str">
        <x:v>Success</x:v>
      </x:c>
      <x:c r="B570" s="9" t="str">
        <x:v>Relational Placement</x:v>
      </x:c>
      <x:c r="C570" s="10" t="n">
        <x:v>118</x:v>
      </x:c>
      <x:c r="D570" s="9" t="str">
        <x:v>Place the juggling ball to the left of the green pen.</x:v>
      </x:c>
      <x:c r="E570" s="9" t="str">
        <x:v>juggling ball, green pen, blue block</x:v>
      </x:c>
      <x:c r="F570" s="9" t="str">
        <x:v>juggling ball → 2–8 cm edge gap to the left of green pen; centroid direction within ±45°.</x:v>
      </x:c>
      <x:c r="G570" s="9"/>
      <x:c r="H570" s="9" t="str">
        <x:v>Cross-task-object directional reasoning</x:v>
      </x:c>
      <x:c r="I570" s="9" t="str">
        <x:v>RP-XT-CF03</x:v>
      </x:c>
      <x:c r="J570" s="9" t="str">
        <x:v>Four-way cross-task counterfactual: left/right polarity × juggling-ball target/reference role</x:v>
      </x:c>
      <x:c r="K570" s="9"/>
      <x:c r="L570" s="9" t="str">
        <x:v>1102 (juggling-ball exposure); 229 (left relation)</x:v>
      </x:c>
      <x:c r="M570" s="9"/>
      <x:c r="N570" s="9"/>
      <x:c r="O570" s="9" t="str">
        <x:v>Build the listed neutral-axis scene and save the first frame.</x:v>
      </x:c>
      <x:c r="P570" s="9" t="str">
        <x:v>The juggling ball is globally familiar but absent from Relational Placement training. This exact-scene family crosses direction with its target role and contains no direct-name control.</x:v>
      </x:c>
      <x:c r="Q570" s="9"/>
      <x:c r="R570" s="10" t="n">
        <x:v>3</x:v>
      </x:c>
      <x:c r="S570" s="10"/>
      <x:c r="T570" s="9"/>
      <x:c r="U570" s="9"/>
      <x:c r="V570" s="9"/>
      <x:c r="W570" s="9"/>
      <x:c r="X570" s="10"/>
      <x:c r="Y570" s="10"/>
      <x:c r="Z570" s="9"/>
      <x:c r="AA570" s="9"/>
      <x:c r="AB570" s="9"/>
      <x:c r="AC570" s="9" t="str">
        <x:v>left</x:v>
      </x:c>
      <x:c r="AD570" s="9" t="str">
        <x:v>juggling ball</x:v>
      </x:c>
      <x:c r="AE570" s="9" t="str">
        <x:v>green pen</x:v>
      </x:c>
      <x:c r="AF570" s="9" t="str">
        <x:v>Target</x:v>
      </x:c>
      <x:c r="AG570" s="9"/>
      <x:c r="AH570" s="9"/>
      <x:c r="AI570" s="11"/>
      <x:c r="AJ570" s="9"/>
      <x:c r="AK570" s="9" t="str">
        <x:v>Eval_Relational_Placement (1).xlsm</x:v>
      </x:c>
      <x:c r="AL570" s="9" t="str">
        <x:v>pi0.5 Results</x:v>
      </x:c>
      <x:c r="AM570" s="9" t="n">
        <x:v>120</x:v>
      </x:c>
      <x:c r="AN570" s="9" t="n">
        <x:v>120</x:v>
      </x:c>
    </x:row>
    <x:row r="571">
      <x:c r="A571" s="9" t="str">
        <x:v>Success</x:v>
      </x:c>
      <x:c r="B571" s="9" t="str">
        <x:v>Relational Placement</x:v>
      </x:c>
      <x:c r="C571" s="10" t="n">
        <x:v>119</x:v>
      </x:c>
      <x:c r="D571" s="9" t="str">
        <x:v>Place the juggling ball to the right of the green pen.</x:v>
      </x:c>
      <x:c r="E571" s="9" t="str">
        <x:v>juggling ball, green pen, blue block</x:v>
      </x:c>
      <x:c r="F571" s="9" t="str">
        <x:v>juggling ball → 2–8 cm edge gap to the right of green pen; centroid direction within ±45°.</x:v>
      </x:c>
      <x:c r="G571" s="9"/>
      <x:c r="H571" s="9" t="str">
        <x:v>Cross-task-object directional reasoning</x:v>
      </x:c>
      <x:c r="I571" s="9" t="str">
        <x:v>RP-XT-CF03</x:v>
      </x:c>
      <x:c r="J571" s="9" t="str">
        <x:v>Four-way cross-task counterfactual: left/right polarity × juggling-ball target/reference role</x:v>
      </x:c>
      <x:c r="K571" s="9" t="n">
        <x:v>118</x:v>
      </x:c>
      <x:c r="L571" s="9" t="str">
        <x:v>1102 (juggling-ball exposure); 243 (right relation)</x:v>
      </x:c>
      <x:c r="M571" s="9"/>
      <x:c r="N571" s="9"/>
      <x:c r="O571" s="9" t="str">
        <x:v>Reset every manipulated core object to its marked pose; preserve the exact scene and change only the instruction.</x:v>
      </x:c>
      <x:c r="P571" s="9" t="str">
        <x:v>The juggling ball is globally familiar but absent from Relational Placement training. This exact-scene family crosses direction with its target role and contains no direct-name control.</x:v>
      </x:c>
      <x:c r="Q571" s="9"/>
      <x:c r="R571" s="10" t="n">
        <x:v>3</x:v>
      </x:c>
      <x:c r="S571" s="10"/>
      <x:c r="T571" s="9"/>
      <x:c r="U571" s="9"/>
      <x:c r="V571" s="9"/>
      <x:c r="W571" s="9"/>
      <x:c r="X571" s="10"/>
      <x:c r="Y571" s="10"/>
      <x:c r="Z571" s="9"/>
      <x:c r="AA571" s="9"/>
      <x:c r="AB571" s="9"/>
      <x:c r="AC571" s="9" t="str">
        <x:v>right</x:v>
      </x:c>
      <x:c r="AD571" s="9" t="str">
        <x:v>juggling ball</x:v>
      </x:c>
      <x:c r="AE571" s="9" t="str">
        <x:v>green pen</x:v>
      </x:c>
      <x:c r="AF571" s="9" t="str">
        <x:v>Target</x:v>
      </x:c>
      <x:c r="AG571" s="9"/>
      <x:c r="AH571" s="9"/>
      <x:c r="AI571" s="11"/>
      <x:c r="AJ571" s="9"/>
      <x:c r="AK571" s="9" t="str">
        <x:v>Eval_Relational_Placement (1).xlsm</x:v>
      </x:c>
      <x:c r="AL571" s="9" t="str">
        <x:v>pi0.5 Results</x:v>
      </x:c>
      <x:c r="AM571" s="9" t="n">
        <x:v>121</x:v>
      </x:c>
      <x:c r="AN571" s="9" t="n">
        <x:v>121</x:v>
      </x:c>
    </x:row>
    <x:row r="572">
      <x:c r="A572" s="9" t="str">
        <x:v>Failure</x:v>
      </x:c>
      <x:c r="B572" s="9" t="str">
        <x:v>Relational Placement</x:v>
      </x:c>
      <x:c r="C572" s="10" t="n">
        <x:v>120</x:v>
      </x:c>
      <x:c r="D572" s="9" t="str">
        <x:v>Place the green pen to the left of the juggling ball.</x:v>
      </x:c>
      <x:c r="E572" s="9" t="str">
        <x:v>juggling ball, green pen, blue block</x:v>
      </x:c>
      <x:c r="F572" s="9" t="str">
        <x:v>green pen → 2–8 cm edge gap to the left of juggling ball; centroid direction within ±45°.</x:v>
      </x:c>
      <x:c r="G572" s="9" t="str">
        <x:v>placed to the front</x:v>
      </x:c>
      <x:c r="H572" s="9" t="str">
        <x:v>Cross-task-object directional reasoning</x:v>
      </x:c>
      <x:c r="I572" s="9" t="str">
        <x:v>RP-XT-CF03</x:v>
      </x:c>
      <x:c r="J572" s="9" t="str">
        <x:v>Four-way cross-task counterfactual: left/right polarity × juggling-ball target/reference role</x:v>
      </x:c>
      <x:c r="K572" s="9" t="n">
        <x:v>118</x:v>
      </x:c>
      <x:c r="L572" s="9" t="str">
        <x:v>1102 (juggling-ball exposure); 229 (left relation with green pen as target)</x:v>
      </x:c>
      <x:c r="M572" s="9"/>
      <x:c r="N572" s="9"/>
      <x:c r="O572" s="9" t="str">
        <x:v>Reset every manipulated core object to its marked pose; preserve the exact scene and change only the instruction.</x:v>
      </x:c>
      <x:c r="P572" s="9" t="str">
        <x:v>The juggling ball is globally familiar but absent from Relational Placement training. This exact-scene family crosses direction with its reference role and contains no direct-name control.</x:v>
      </x:c>
      <x:c r="Q572" s="9"/>
      <x:c r="R572" s="10" t="n">
        <x:v>3</x:v>
      </x:c>
      <x:c r="S572" s="10"/>
      <x:c r="T572" s="9"/>
      <x:c r="U572" s="9"/>
      <x:c r="V572" s="9"/>
      <x:c r="W572" s="9"/>
      <x:c r="X572" s="10"/>
      <x:c r="Y572" s="10"/>
      <x:c r="Z572" s="9"/>
      <x:c r="AA572" s="9"/>
      <x:c r="AB572" s="9"/>
      <x:c r="AC572" s="9" t="str">
        <x:v>left</x:v>
      </x:c>
      <x:c r="AD572" s="9" t="str">
        <x:v>green pen</x:v>
      </x:c>
      <x:c r="AE572" s="9" t="str">
        <x:v>juggling ball</x:v>
      </x:c>
      <x:c r="AF572" s="9" t="str">
        <x:v>Reference</x:v>
      </x:c>
      <x:c r="AG572" s="9"/>
      <x:c r="AH572" s="9"/>
      <x:c r="AI572" s="11"/>
      <x:c r="AJ572" s="9"/>
      <x:c r="AK572" s="9" t="str">
        <x:v>Eval_Relational_Placement (1).xlsm</x:v>
      </x:c>
      <x:c r="AL572" s="9" t="str">
        <x:v>pi0.5 Results</x:v>
      </x:c>
      <x:c r="AM572" s="9" t="n">
        <x:v>122</x:v>
      </x:c>
      <x:c r="AN572" s="9" t="n">
        <x:v>122</x:v>
      </x:c>
    </x:row>
    <x:row r="573">
      <x:c r="A573" s="9" t="str">
        <x:v>Failure</x:v>
      </x:c>
      <x:c r="B573" s="9" t="str">
        <x:v>Relational Placement</x:v>
      </x:c>
      <x:c r="C573" s="10" t="n">
        <x:v>121</x:v>
      </x:c>
      <x:c r="D573" s="9" t="str">
        <x:v>Place the green pen to the right of the juggling ball.</x:v>
      </x:c>
      <x:c r="E573" s="9" t="str">
        <x:v>juggling ball, green pen, blue block</x:v>
      </x:c>
      <x:c r="F573" s="9" t="str">
        <x:v>green pen → 2–8 cm edge gap to the right of juggling ball; centroid direction within ±45°.</x:v>
      </x:c>
      <x:c r="G573" s="9" t="str">
        <x:v>placed to the front</x:v>
      </x:c>
      <x:c r="H573" s="9" t="str">
        <x:v>Cross-task-object directional reasoning</x:v>
      </x:c>
      <x:c r="I573" s="9" t="str">
        <x:v>RP-XT-CF03</x:v>
      </x:c>
      <x:c r="J573" s="9" t="str">
        <x:v>Four-way cross-task counterfactual: left/right polarity × juggling-ball target/reference role</x:v>
      </x:c>
      <x:c r="K573" s="9" t="n">
        <x:v>118</x:v>
      </x:c>
      <x:c r="L573" s="9" t="str">
        <x:v>1102 (juggling-ball exposure); 243 (right relation with green pen as target)</x:v>
      </x:c>
      <x:c r="M573" s="9"/>
      <x:c r="N573" s="9"/>
      <x:c r="O573" s="9" t="str">
        <x:v>Reset every manipulated core object to its marked pose; preserve the exact scene and change only the instruction.</x:v>
      </x:c>
      <x:c r="P573" s="9" t="str">
        <x:v>The juggling ball is globally familiar but absent from Relational Placement training. This exact-scene family crosses direction with its reference role and contains no direct-name control.</x:v>
      </x:c>
      <x:c r="Q573" s="9"/>
      <x:c r="R573" s="10" t="n">
        <x:v>3</x:v>
      </x:c>
      <x:c r="S573" s="10"/>
      <x:c r="T573" s="9"/>
      <x:c r="U573" s="9"/>
      <x:c r="V573" s="9"/>
      <x:c r="W573" s="9"/>
      <x:c r="X573" s="10"/>
      <x:c r="Y573" s="10"/>
      <x:c r="Z573" s="9"/>
      <x:c r="AA573" s="9"/>
      <x:c r="AB573" s="9"/>
      <x:c r="AC573" s="9" t="str">
        <x:v>right</x:v>
      </x:c>
      <x:c r="AD573" s="9" t="str">
        <x:v>green pen</x:v>
      </x:c>
      <x:c r="AE573" s="9" t="str">
        <x:v>juggling ball</x:v>
      </x:c>
      <x:c r="AF573" s="9" t="str">
        <x:v>Reference</x:v>
      </x:c>
      <x:c r="AG573" s="9"/>
      <x:c r="AH573" s="9"/>
      <x:c r="AI573" s="11"/>
      <x:c r="AJ573" s="9"/>
      <x:c r="AK573" s="9" t="str">
        <x:v>Eval_Relational_Placement (1).xlsm</x:v>
      </x:c>
      <x:c r="AL573" s="9" t="str">
        <x:v>pi0.5 Results</x:v>
      </x:c>
      <x:c r="AM573" s="9" t="n">
        <x:v>123</x:v>
      </x:c>
      <x:c r="AN573" s="9" t="n">
        <x:v>123</x:v>
      </x:c>
    </x:row>
    <x:row r="574">
      <x:c r="A574" s="9" t="str">
        <x:v>Failure</x:v>
      </x:c>
      <x:c r="B574" s="9" t="str">
        <x:v>Relational Placement</x:v>
      </x:c>
      <x:c r="C574" s="10" t="n">
        <x:v>122</x:v>
      </x:c>
      <x:c r="D574" s="9" t="str">
        <x:v>Place the juggling ball to the left of the red block.</x:v>
      </x:c>
      <x:c r="E574" s="9" t="str">
        <x:v>juggling ball, red block, pink marker, blue block</x:v>
      </x:c>
      <x:c r="F574" s="9" t="str">
        <x:v>juggling ball → 2–8 cm edge gap to the left of red block; centroid direction within ±45°.</x:v>
      </x:c>
      <x:c r="G574" s="9" t="str">
        <x:v>placed ball right on top of the block</x:v>
      </x:c>
      <x:c r="H574" s="9" t="str">
        <x:v>Cross-task-object directional reasoning</x:v>
      </x:c>
      <x:c r="I574" s="9" t="str">
        <x:v>RP-XT-CF04</x:v>
      </x:c>
      <x:c r="J574" s="9" t="str">
        <x:v>Four-way cross-task counterfactual: left/right polarity × juggling-ball target/reference role</x:v>
      </x:c>
      <x:c r="K574" s="9"/>
      <x:c r="L574" s="9" t="str">
        <x:v>1103 (juggling-ball exposure); 275 (left relation)</x:v>
      </x:c>
      <x:c r="M574" s="9"/>
      <x:c r="N574" s="9"/>
      <x:c r="O574" s="9" t="str">
        <x:v>Build the listed neutral-axis scene and save the first frame.</x:v>
      </x:c>
      <x:c r="P574" s="9" t="str">
        <x:v>The juggling ball is globally familiar but absent from Relational Placement training. This exact-scene family crosses direction with its target role and contains no direct-name control.</x:v>
      </x:c>
      <x:c r="Q574" s="9"/>
      <x:c r="R574" s="10" t="n">
        <x:v>4</x:v>
      </x:c>
      <x:c r="S574" s="10"/>
      <x:c r="T574" s="9"/>
      <x:c r="U574" s="9"/>
      <x:c r="V574" s="9"/>
      <x:c r="W574" s="9"/>
      <x:c r="X574" s="10"/>
      <x:c r="Y574" s="10"/>
      <x:c r="Z574" s="9"/>
      <x:c r="AA574" s="9"/>
      <x:c r="AB574" s="9"/>
      <x:c r="AC574" s="9" t="str">
        <x:v>left</x:v>
      </x:c>
      <x:c r="AD574" s="9" t="str">
        <x:v>juggling ball</x:v>
      </x:c>
      <x:c r="AE574" s="9" t="str">
        <x:v>red block</x:v>
      </x:c>
      <x:c r="AF574" s="9" t="str">
        <x:v>Target</x:v>
      </x:c>
      <x:c r="AG574" s="9"/>
      <x:c r="AH574" s="9"/>
      <x:c r="AI574" s="11"/>
      <x:c r="AJ574" s="9"/>
      <x:c r="AK574" s="9" t="str">
        <x:v>Eval_Relational_Placement (1).xlsm</x:v>
      </x:c>
      <x:c r="AL574" s="9" t="str">
        <x:v>pi0.5 Results</x:v>
      </x:c>
      <x:c r="AM574" s="9" t="n">
        <x:v>124</x:v>
      </x:c>
      <x:c r="AN574" s="9" t="n">
        <x:v>124</x:v>
      </x:c>
    </x:row>
    <x:row r="575">
      <x:c r="A575" s="9" t="str">
        <x:v>Success</x:v>
      </x:c>
      <x:c r="B575" s="9" t="str">
        <x:v>Relational Placement</x:v>
      </x:c>
      <x:c r="C575" s="10" t="n">
        <x:v>123</x:v>
      </x:c>
      <x:c r="D575" s="9" t="str">
        <x:v>Place the juggling ball to the right of the red block.</x:v>
      </x:c>
      <x:c r="E575" s="9" t="str">
        <x:v>juggling ball, red block, pink marker, blue block</x:v>
      </x:c>
      <x:c r="F575" s="9" t="str">
        <x:v>juggling ball → 2–8 cm edge gap to the right of red block; centroid direction within ±45°.</x:v>
      </x:c>
      <x:c r="G575" s="9" t="str">
        <x:v>put on top and rolled to the right</x:v>
      </x:c>
      <x:c r="H575" s="9" t="str">
        <x:v>Cross-task-object directional reasoning</x:v>
      </x:c>
      <x:c r="I575" s="9" t="str">
        <x:v>RP-XT-CF04</x:v>
      </x:c>
      <x:c r="J575" s="9" t="str">
        <x:v>Four-way cross-task counterfactual: left/right polarity × juggling-ball target/reference role</x:v>
      </x:c>
      <x:c r="K575" s="9" t="n">
        <x:v>122</x:v>
      </x:c>
      <x:c r="L575" s="9" t="str">
        <x:v>1103 (juggling-ball exposure); 287 (right relation)</x:v>
      </x:c>
      <x:c r="M575" s="9"/>
      <x:c r="N575" s="9"/>
      <x:c r="O575" s="9" t="str">
        <x:v>Reset every manipulated core object to its marked pose; preserve the exact scene and change only the instruction.</x:v>
      </x:c>
      <x:c r="P575" s="9" t="str">
        <x:v>The juggling ball is globally familiar but absent from Relational Placement training. This exact-scene family crosses direction with its target role and contains no direct-name control.</x:v>
      </x:c>
      <x:c r="Q575" s="9"/>
      <x:c r="R575" s="10" t="n">
        <x:v>4</x:v>
      </x:c>
      <x:c r="S575" s="10"/>
      <x:c r="T575" s="9"/>
      <x:c r="U575" s="9"/>
      <x:c r="V575" s="9"/>
      <x:c r="W575" s="9"/>
      <x:c r="X575" s="10"/>
      <x:c r="Y575" s="10"/>
      <x:c r="Z575" s="9"/>
      <x:c r="AA575" s="9"/>
      <x:c r="AB575" s="9"/>
      <x:c r="AC575" s="9" t="str">
        <x:v>right</x:v>
      </x:c>
      <x:c r="AD575" s="9" t="str">
        <x:v>juggling ball</x:v>
      </x:c>
      <x:c r="AE575" s="9" t="str">
        <x:v>red block</x:v>
      </x:c>
      <x:c r="AF575" s="9" t="str">
        <x:v>Target</x:v>
      </x:c>
      <x:c r="AG575" s="9"/>
      <x:c r="AH575" s="9"/>
      <x:c r="AI575" s="11"/>
      <x:c r="AJ575" s="9"/>
      <x:c r="AK575" s="9" t="str">
        <x:v>Eval_Relational_Placement (1).xlsm</x:v>
      </x:c>
      <x:c r="AL575" s="9" t="str">
        <x:v>pi0.5 Results</x:v>
      </x:c>
      <x:c r="AM575" s="9" t="n">
        <x:v>125</x:v>
      </x:c>
      <x:c r="AN575" s="9" t="n">
        <x:v>125</x:v>
      </x:c>
    </x:row>
    <x:row r="576">
      <x:c r="A576" s="9" t="str">
        <x:v>Failure</x:v>
      </x:c>
      <x:c r="B576" s="9" t="str">
        <x:v>Relational Placement</x:v>
      </x:c>
      <x:c r="C576" s="10" t="n">
        <x:v>124</x:v>
      </x:c>
      <x:c r="D576" s="9" t="str">
        <x:v>Place the red block to the left of the juggling ball.</x:v>
      </x:c>
      <x:c r="E576" s="9" t="str">
        <x:v>juggling ball, red block, pink marker, blue block</x:v>
      </x:c>
      <x:c r="F576" s="9" t="str">
        <x:v>red block → 2–8 cm edge gap to the left of juggling ball; centroid direction within ±45°.</x:v>
      </x:c>
      <x:c r="G576" s="9" t="str">
        <x:v>placed to the back</x:v>
      </x:c>
      <x:c r="H576" s="9" t="str">
        <x:v>Cross-task-object directional reasoning</x:v>
      </x:c>
      <x:c r="I576" s="9" t="str">
        <x:v>RP-XT-CF04</x:v>
      </x:c>
      <x:c r="J576" s="9" t="str">
        <x:v>Four-way cross-task counterfactual: left/right polarity × juggling-ball target/reference role</x:v>
      </x:c>
      <x:c r="K576" s="9" t="n">
        <x:v>122</x:v>
      </x:c>
      <x:c r="L576" s="9" t="str">
        <x:v>1103 (juggling-ball exposure); 275 (left relation with red block as target)</x:v>
      </x:c>
      <x:c r="M576" s="9"/>
      <x:c r="N576" s="9"/>
      <x:c r="O576" s="9" t="str">
        <x:v>Reset every manipulated core object to its marked pose; preserve the exact scene and change only the instruction.</x:v>
      </x:c>
      <x:c r="P576" s="9" t="str">
        <x:v>The juggling ball is globally familiar but absent from Relational Placement training. This exact-scene family crosses direction with its reference role and contains no direct-name control.</x:v>
      </x:c>
      <x:c r="Q576" s="9"/>
      <x:c r="R576" s="10" t="n">
        <x:v>4</x:v>
      </x:c>
      <x:c r="S576" s="10"/>
      <x:c r="T576" s="9"/>
      <x:c r="U576" s="9"/>
      <x:c r="V576" s="9"/>
      <x:c r="W576" s="9"/>
      <x:c r="X576" s="10"/>
      <x:c r="Y576" s="10"/>
      <x:c r="Z576" s="9"/>
      <x:c r="AA576" s="9"/>
      <x:c r="AB576" s="9"/>
      <x:c r="AC576" s="9" t="str">
        <x:v>left</x:v>
      </x:c>
      <x:c r="AD576" s="9" t="str">
        <x:v>red block</x:v>
      </x:c>
      <x:c r="AE576" s="9" t="str">
        <x:v>juggling ball</x:v>
      </x:c>
      <x:c r="AF576" s="9" t="str">
        <x:v>Reference</x:v>
      </x:c>
      <x:c r="AG576" s="9"/>
      <x:c r="AH576" s="9"/>
      <x:c r="AI576" s="11"/>
      <x:c r="AJ576" s="9"/>
      <x:c r="AK576" s="9" t="str">
        <x:v>Eval_Relational_Placement (1).xlsm</x:v>
      </x:c>
      <x:c r="AL576" s="9" t="str">
        <x:v>pi0.5 Results</x:v>
      </x:c>
      <x:c r="AM576" s="9" t="n">
        <x:v>126</x:v>
      </x:c>
      <x:c r="AN576" s="9" t="n">
        <x:v>126</x:v>
      </x:c>
    </x:row>
    <x:row r="577">
      <x:c r="A577" s="9" t="str">
        <x:v>Failure</x:v>
      </x:c>
      <x:c r="B577" s="9" t="str">
        <x:v>Relational Placement</x:v>
      </x:c>
      <x:c r="C577" s="10" t="n">
        <x:v>125</x:v>
      </x:c>
      <x:c r="D577" s="9" t="str">
        <x:v>Place the red block to the right of the juggling ball.</x:v>
      </x:c>
      <x:c r="E577" s="9" t="str">
        <x:v>juggling ball, red block, pink marker, blue block</x:v>
      </x:c>
      <x:c r="F577" s="9" t="str">
        <x:v>red block → 2–8 cm edge gap to the right of juggling ball; centroid direction within ±45°.</x:v>
      </x:c>
      <x:c r="G577" s="9" t="str">
        <x:v>placed on top and rolled to the back</x:v>
      </x:c>
      <x:c r="H577" s="9" t="str">
        <x:v>Cross-task-object directional reasoning</x:v>
      </x:c>
      <x:c r="I577" s="9" t="str">
        <x:v>RP-XT-CF04</x:v>
      </x:c>
      <x:c r="J577" s="9" t="str">
        <x:v>Four-way cross-task counterfactual: left/right polarity × juggling-ball target/reference role</x:v>
      </x:c>
      <x:c r="K577" s="9" t="n">
        <x:v>122</x:v>
      </x:c>
      <x:c r="L577" s="9" t="str">
        <x:v>1103 (juggling-ball exposure); 287 (right relation with red block as target)</x:v>
      </x:c>
      <x:c r="M577" s="9"/>
      <x:c r="N577" s="9"/>
      <x:c r="O577" s="9" t="str">
        <x:v>Reset every manipulated core object to its marked pose; preserve the exact scene and change only the instruction.</x:v>
      </x:c>
      <x:c r="P577" s="9" t="str">
        <x:v>The juggling ball is globally familiar but absent from Relational Placement training. This exact-scene family crosses direction with its reference role and contains no direct-name control.</x:v>
      </x:c>
      <x:c r="Q577" s="9"/>
      <x:c r="R577" s="10" t="n">
        <x:v>4</x:v>
      </x:c>
      <x:c r="S577" s="10"/>
      <x:c r="T577" s="9"/>
      <x:c r="U577" s="9"/>
      <x:c r="V577" s="9"/>
      <x:c r="W577" s="9"/>
      <x:c r="X577" s="10"/>
      <x:c r="Y577" s="10"/>
      <x:c r="Z577" s="9"/>
      <x:c r="AA577" s="9"/>
      <x:c r="AB577" s="9"/>
      <x:c r="AC577" s="9" t="str">
        <x:v>right</x:v>
      </x:c>
      <x:c r="AD577" s="9" t="str">
        <x:v>red block</x:v>
      </x:c>
      <x:c r="AE577" s="9" t="str">
        <x:v>juggling ball</x:v>
      </x:c>
      <x:c r="AF577" s="9" t="str">
        <x:v>Reference</x:v>
      </x:c>
      <x:c r="AG577" s="9"/>
      <x:c r="AH577" s="9"/>
      <x:c r="AI577" s="11"/>
      <x:c r="AJ577" s="9"/>
      <x:c r="AK577" s="9" t="str">
        <x:v>Eval_Relational_Placement (1).xlsm</x:v>
      </x:c>
      <x:c r="AL577" s="9" t="str">
        <x:v>pi0.5 Results</x:v>
      </x:c>
      <x:c r="AM577" s="9" t="n">
        <x:v>127</x:v>
      </x:c>
      <x:c r="AN577" s="9" t="n">
        <x:v>127</x:v>
      </x:c>
    </x:row>
    <x:row r="578">
      <x:c r="A578" s="9" t="str">
        <x:v>Success</x:v>
      </x:c>
      <x:c r="B578" s="9" t="str">
        <x:v>Relational Placement</x:v>
      </x:c>
      <x:c r="C578" s="10" t="n">
        <x:v>126</x:v>
      </x:c>
      <x:c r="D578" s="9" t="str">
        <x:v>Place the juggling ball in front of the red block.</x:v>
      </x:c>
      <x:c r="E578" s="9" t="str">
        <x:v>juggling ball, red block, green pen, blue block</x:v>
      </x:c>
      <x:c r="F578" s="9" t="str">
        <x:v>juggling ball → 2–8 cm edge gap in front of red block; centroid direction within ±45°.</x:v>
      </x:c>
      <x:c r="G578" s="9"/>
      <x:c r="H578" s="9" t="str">
        <x:v>Cross-task-object directional reasoning</x:v>
      </x:c>
      <x:c r="I578" s="9" t="str">
        <x:v>RP-XT-CF05</x:v>
      </x:c>
      <x:c r="J578" s="9" t="str">
        <x:v>Four-prompt mixed-axis cross-task counterfactual with two juggling-ball targets and two references</x:v>
      </x:c>
      <x:c r="K578" s="9"/>
      <x:c r="L578" s="9" t="str">
        <x:v>1104 (juggling-ball exposure); 254 (front relation)</x:v>
      </x:c>
      <x:c r="M578" s="9"/>
      <x:c r="N578" s="9"/>
      <x:c r="O578" s="9" t="str">
        <x:v>Build the listed neutral-axis scene and save the first frame.</x:v>
      </x:c>
      <x:c r="P578" s="9" t="str">
        <x:v>The juggling ball is globally familiar but absent from Relational Placement training. This exact-scene family crosses direction with its target role and contains no direct-name control.</x:v>
      </x:c>
      <x:c r="Q578" s="9"/>
      <x:c r="R578" s="10" t="n">
        <x:v>4</x:v>
      </x:c>
      <x:c r="S578" s="10"/>
      <x:c r="T578" s="9"/>
      <x:c r="U578" s="9"/>
      <x:c r="V578" s="9"/>
      <x:c r="W578" s="9"/>
      <x:c r="X578" s="10"/>
      <x:c r="Y578" s="10"/>
      <x:c r="Z578" s="9"/>
      <x:c r="AA578" s="9"/>
      <x:c r="AB578" s="9"/>
      <x:c r="AC578" s="9" t="str">
        <x:v>front</x:v>
      </x:c>
      <x:c r="AD578" s="9" t="str">
        <x:v>juggling ball</x:v>
      </x:c>
      <x:c r="AE578" s="9" t="str">
        <x:v>red block</x:v>
      </x:c>
      <x:c r="AF578" s="9" t="str">
        <x:v>Target</x:v>
      </x:c>
      <x:c r="AG578" s="9"/>
      <x:c r="AH578" s="9"/>
      <x:c r="AI578" s="11"/>
      <x:c r="AJ578" s="9"/>
      <x:c r="AK578" s="9" t="str">
        <x:v>Eval_Relational_Placement (1).xlsm</x:v>
      </x:c>
      <x:c r="AL578" s="9" t="str">
        <x:v>pi0.5 Results</x:v>
      </x:c>
      <x:c r="AM578" s="9" t="n">
        <x:v>128</x:v>
      </x:c>
      <x:c r="AN578" s="9" t="n">
        <x:v>128</x:v>
      </x:c>
    </x:row>
    <x:row r="579">
      <x:c r="A579" s="9" t="str">
        <x:v>Success</x:v>
      </x:c>
      <x:c r="B579" s="9" t="str">
        <x:v>Relational Placement</x:v>
      </x:c>
      <x:c r="C579" s="10" t="n">
        <x:v>127</x:v>
      </x:c>
      <x:c r="D579" s="9" t="str">
        <x:v>Place the red block behind the juggling ball.</x:v>
      </x:c>
      <x:c r="E579" s="9" t="str">
        <x:v>juggling ball, red block, green pen, blue block</x:v>
      </x:c>
      <x:c r="F579" s="9" t="str">
        <x:v>red block → 2–8 cm edge gap behind juggling ball; centroid direction within ±45°.</x:v>
      </x:c>
      <x:c r="G579" s="9"/>
      <x:c r="H579" s="9" t="str">
        <x:v>Cross-task-object directional reasoning</x:v>
      </x:c>
      <x:c r="I579" s="9" t="str">
        <x:v>RP-XT-CF05</x:v>
      </x:c>
      <x:c r="J579" s="9" t="str">
        <x:v>Four-prompt mixed-axis cross-task counterfactual with two juggling-ball targets and two references</x:v>
      </x:c>
      <x:c r="K579" s="9" t="n">
        <x:v>126</x:v>
      </x:c>
      <x:c r="L579" s="9" t="str">
        <x:v>1104 (juggling-ball exposure); 270 (behind relation with red block as target)</x:v>
      </x:c>
      <x:c r="M579" s="9"/>
      <x:c r="N579" s="9"/>
      <x:c r="O579" s="9" t="str">
        <x:v>Reset every manipulated core object to its marked pose; preserve the exact scene and change only the instruction.</x:v>
      </x:c>
      <x:c r="P579" s="9" t="str">
        <x:v>The juggling ball is globally familiar but absent from Relational Placement training. This exact-scene family crosses direction with its reference role and contains no direct-name control.</x:v>
      </x:c>
      <x:c r="Q579" s="9"/>
      <x:c r="R579" s="10" t="n">
        <x:v>4</x:v>
      </x:c>
      <x:c r="S579" s="10"/>
      <x:c r="T579" s="9"/>
      <x:c r="U579" s="9"/>
      <x:c r="V579" s="9"/>
      <x:c r="W579" s="9"/>
      <x:c r="X579" s="10"/>
      <x:c r="Y579" s="10"/>
      <x:c r="Z579" s="9"/>
      <x:c r="AA579" s="9"/>
      <x:c r="AB579" s="9"/>
      <x:c r="AC579" s="9" t="str">
        <x:v>behind</x:v>
      </x:c>
      <x:c r="AD579" s="9" t="str">
        <x:v>red block</x:v>
      </x:c>
      <x:c r="AE579" s="9" t="str">
        <x:v>juggling ball</x:v>
      </x:c>
      <x:c r="AF579" s="9" t="str">
        <x:v>Reference</x:v>
      </x:c>
      <x:c r="AG579" s="9"/>
      <x:c r="AH579" s="9"/>
      <x:c r="AI579" s="11"/>
      <x:c r="AJ579" s="9"/>
      <x:c r="AK579" s="9" t="str">
        <x:v>Eval_Relational_Placement (1).xlsm</x:v>
      </x:c>
      <x:c r="AL579" s="9" t="str">
        <x:v>pi0.5 Results</x:v>
      </x:c>
      <x:c r="AM579" s="9" t="n">
        <x:v>129</x:v>
      </x:c>
      <x:c r="AN579" s="9" t="n">
        <x:v>129</x:v>
      </x:c>
    </x:row>
    <x:row r="580">
      <x:c r="A580" s="9" t="str">
        <x:v>Failure</x:v>
      </x:c>
      <x:c r="B580" s="9" t="str">
        <x:v>Relational Placement</x:v>
      </x:c>
      <x:c r="C580" s="10" t="n">
        <x:v>128</x:v>
      </x:c>
      <x:c r="D580" s="9" t="str">
        <x:v>Place the juggling ball to the left of the green pen.</x:v>
      </x:c>
      <x:c r="E580" s="9" t="str">
        <x:v>juggling ball, red block, green pen, blue block</x:v>
      </x:c>
      <x:c r="F580" s="9" t="str">
        <x:v>juggling ball → 2–8 cm edge gap to the left of green pen; centroid direction within ±45°.</x:v>
      </x:c>
      <x:c r="G580" s="9" t="str">
        <x:v>placed on top of pen and rolled to the right</x:v>
      </x:c>
      <x:c r="H580" s="9" t="str">
        <x:v>Cross-task-object directional reasoning</x:v>
      </x:c>
      <x:c r="I580" s="9" t="str">
        <x:v>RP-XT-CF05</x:v>
      </x:c>
      <x:c r="J580" s="9" t="str">
        <x:v>Four-prompt mixed-axis cross-task counterfactual with two juggling-ball targets and two references</x:v>
      </x:c>
      <x:c r="K580" s="9" t="n">
        <x:v>126</x:v>
      </x:c>
      <x:c r="L580" s="9" t="str">
        <x:v>1104 (juggling-ball exposure); 229 (left relation)</x:v>
      </x:c>
      <x:c r="M580" s="9"/>
      <x:c r="N580" s="9"/>
      <x:c r="O580" s="9" t="str">
        <x:v>Reset every manipulated core object to its marked pose; preserve the exact scene and change only the instruction.</x:v>
      </x:c>
      <x:c r="P580" s="9" t="str">
        <x:v>The juggling ball is globally familiar but absent from Relational Placement training. This exact-scene family crosses direction with its target role and contains no direct-name control.</x:v>
      </x:c>
      <x:c r="Q580" s="9"/>
      <x:c r="R580" s="10" t="n">
        <x:v>4</x:v>
      </x:c>
      <x:c r="S580" s="10"/>
      <x:c r="T580" s="9"/>
      <x:c r="U580" s="9"/>
      <x:c r="V580" s="9"/>
      <x:c r="W580" s="9"/>
      <x:c r="X580" s="10"/>
      <x:c r="Y580" s="10"/>
      <x:c r="Z580" s="9"/>
      <x:c r="AA580" s="9"/>
      <x:c r="AB580" s="9"/>
      <x:c r="AC580" s="9" t="str">
        <x:v>left</x:v>
      </x:c>
      <x:c r="AD580" s="9" t="str">
        <x:v>juggling ball</x:v>
      </x:c>
      <x:c r="AE580" s="9" t="str">
        <x:v>green pen</x:v>
      </x:c>
      <x:c r="AF580" s="9" t="str">
        <x:v>Target</x:v>
      </x:c>
      <x:c r="AG580" s="9"/>
      <x:c r="AH580" s="9"/>
      <x:c r="AI580" s="11"/>
      <x:c r="AJ580" s="9"/>
      <x:c r="AK580" s="9" t="str">
        <x:v>Eval_Relational_Placement (1).xlsm</x:v>
      </x:c>
      <x:c r="AL580" s="9" t="str">
        <x:v>pi0.5 Results</x:v>
      </x:c>
      <x:c r="AM580" s="9" t="n">
        <x:v>130</x:v>
      </x:c>
      <x:c r="AN580" s="9" t="n">
        <x:v>130</x:v>
      </x:c>
    </x:row>
    <x:row r="581">
      <x:c r="A581" s="9" t="str">
        <x:v>Success</x:v>
      </x:c>
      <x:c r="B581" s="9" t="str">
        <x:v>Relational Placement</x:v>
      </x:c>
      <x:c r="C581" s="10" t="n">
        <x:v>129</x:v>
      </x:c>
      <x:c r="D581" s="9" t="str">
        <x:v>Place the green pen to the right of the juggling ball.</x:v>
      </x:c>
      <x:c r="E581" s="9" t="str">
        <x:v>juggling ball, red block, green pen, blue block</x:v>
      </x:c>
      <x:c r="F581" s="9" t="str">
        <x:v>green pen → 2–8 cm edge gap to the right of juggling ball; centroid direction within ±45°.</x:v>
      </x:c>
      <x:c r="G581" s="9"/>
      <x:c r="H581" s="9" t="str">
        <x:v>Cross-task-object directional reasoning</x:v>
      </x:c>
      <x:c r="I581" s="9" t="str">
        <x:v>RP-XT-CF05</x:v>
      </x:c>
      <x:c r="J581" s="9" t="str">
        <x:v>Four-prompt mixed-axis cross-task counterfactual with two juggling-ball targets and two references</x:v>
      </x:c>
      <x:c r="K581" s="9" t="n">
        <x:v>126</x:v>
      </x:c>
      <x:c r="L581" s="9" t="str">
        <x:v>1104 (juggling-ball exposure); 243 (right relation with green pen as target)</x:v>
      </x:c>
      <x:c r="M581" s="9"/>
      <x:c r="N581" s="9"/>
      <x:c r="O581" s="9" t="str">
        <x:v>Reset every manipulated core object to its marked pose; preserve the exact scene and change only the instruction.</x:v>
      </x:c>
      <x:c r="P581" s="9" t="str">
        <x:v>The juggling ball is globally familiar but absent from Relational Placement training. This exact-scene family crosses direction with its reference role and contains no direct-name control.</x:v>
      </x:c>
      <x:c r="Q581" s="9"/>
      <x:c r="R581" s="10" t="n">
        <x:v>4</x:v>
      </x:c>
      <x:c r="S581" s="10"/>
      <x:c r="T581" s="9"/>
      <x:c r="U581" s="9"/>
      <x:c r="V581" s="9"/>
      <x:c r="W581" s="9"/>
      <x:c r="X581" s="10"/>
      <x:c r="Y581" s="10"/>
      <x:c r="Z581" s="9"/>
      <x:c r="AA581" s="9"/>
      <x:c r="AB581" s="9"/>
      <x:c r="AC581" s="9" t="str">
        <x:v>right</x:v>
      </x:c>
      <x:c r="AD581" s="9" t="str">
        <x:v>green pen</x:v>
      </x:c>
      <x:c r="AE581" s="9" t="str">
        <x:v>juggling ball</x:v>
      </x:c>
      <x:c r="AF581" s="9" t="str">
        <x:v>Reference</x:v>
      </x:c>
      <x:c r="AG581" s="9"/>
      <x:c r="AH581" s="9"/>
      <x:c r="AI581" s="11"/>
      <x:c r="AJ581" s="9"/>
      <x:c r="AK581" s="9" t="str">
        <x:v>Eval_Relational_Placement (1).xlsm</x:v>
      </x:c>
      <x:c r="AL581" s="9" t="str">
        <x:v>pi0.5 Results</x:v>
      </x:c>
      <x:c r="AM581" s="9" t="n">
        <x:v>131</x:v>
      </x:c>
      <x:c r="AN581" s="9" t="n">
        <x:v>131</x:v>
      </x:c>
    </x:row>
    <x:row r="582">
      <x:c r="A582" s="9" t="str">
        <x:v>Success</x:v>
      </x:c>
      <x:c r="B582" s="9" t="str">
        <x:v>Relational Placement</x:v>
      </x:c>
      <x:c r="C582" s="10" t="n">
        <x:v>130</x:v>
      </x:c>
      <x:c r="D582" s="9" t="str">
        <x:v>Place the green pen to the left of the pink marker.</x:v>
      </x:c>
      <x:c r="E582" s="9" t="str">
        <x:v>green pen, pink marker, blue block</x:v>
      </x:c>
      <x:c r="F582" s="9" t="str">
        <x:v>NO MOVEMENT — requested relation is already satisfied at the start: green pen → 2–8 cm edge gap to the left of pink marker; centroid direction within ±45°.</x:v>
      </x:c>
      <x:c r="G582" s="9"/>
      <x:c r="H582" s="9" t="str">
        <x:v>Goal already satisfied / no movement</x:v>
      </x:c>
      <x:c r="I582" s="9" t="str">
        <x:v>RP-AG01</x:v>
      </x:c>
      <x:c r="J582" s="9" t="str">
        <x:v>In-distribution satisfied-state action-gating diagnostic</x:v>
      </x:c>
      <x:c r="K582" s="9"/>
      <x:c r="L582" s="9" t="str">
        <x:v>232</x:v>
      </x:c>
      <x:c r="M582" s="9"/>
      <x:c r="N582" s="9"/>
      <x:c r="O582" s="9" t="str">
        <x:v>Build the listed already-satisfied scene and save the first frame.</x:v>
      </x:c>
      <x:c r="P582" s="9" t="str">
        <x:v>Uses the ordinary explicitly trained prompt from episode 232. Its prompt-matched movement-required counterpart is in the same four-row family.</x:v>
      </x:c>
      <x:c r="Q582" s="9"/>
      <x:c r="R582" s="10" t="n">
        <x:v>3</x:v>
      </x:c>
      <x:c r="S582" s="10"/>
      <x:c r="T582" s="9"/>
      <x:c r="U582" s="9"/>
      <x:c r="V582" s="9"/>
      <x:c r="W582" s="9"/>
      <x:c r="X582" s="10"/>
      <x:c r="Y582" s="10"/>
      <x:c r="Z582" s="9"/>
      <x:c r="AA582" s="9"/>
      <x:c r="AB582" s="9"/>
      <x:c r="AC582" s="9" t="str">
        <x:v>left</x:v>
      </x:c>
      <x:c r="AD582" s="9" t="str">
        <x:v>green pen</x:v>
      </x:c>
      <x:c r="AE582" s="9" t="str">
        <x:v>pink marker</x:v>
      </x:c>
      <x:c r="AF582" s="9" t="str">
        <x:v>None</x:v>
      </x:c>
      <x:c r="AG582" s="9"/>
      <x:c r="AH582" s="9"/>
      <x:c r="AI582" s="11"/>
      <x:c r="AJ582" s="9"/>
      <x:c r="AK582" s="9" t="str">
        <x:v>Eval_Relational_Placement (1).xlsm</x:v>
      </x:c>
      <x:c r="AL582" s="9" t="str">
        <x:v>pi0.5 Results</x:v>
      </x:c>
      <x:c r="AM582" s="9" t="n">
        <x:v>132</x:v>
      </x:c>
      <x:c r="AN582" s="9" t="n">
        <x:v>132</x:v>
      </x:c>
    </x:row>
    <x:row r="583">
      <x:c r="A583" s="9" t="str">
        <x:v>Failure</x:v>
      </x:c>
      <x:c r="B583" s="9" t="str">
        <x:v>Relational Placement</x:v>
      </x:c>
      <x:c r="C583" s="10" t="n">
        <x:v>131</x:v>
      </x:c>
      <x:c r="D583" s="9" t="str">
        <x:v>Place the pink marker to the right of the green pen.</x:v>
      </x:c>
      <x:c r="E583" s="9" t="str">
        <x:v>green pen, pink marker, blue block</x:v>
      </x:c>
      <x:c r="F583" s="9" t="str">
        <x:v>NO MOVEMENT — requested relation is already satisfied at the start: pink marker → 2–8 cm edge gap to the right of green pen; centroid direction within ±45°.</x:v>
      </x:c>
      <x:c r="G583" s="9" t="str">
        <x:v>went for the pink marker, but didn't grab it</x:v>
      </x:c>
      <x:c r="H583" s="9" t="str">
        <x:v>Goal already satisfied / no movement</x:v>
      </x:c>
      <x:c r="I583" s="9" t="str">
        <x:v>RP-AG01</x:v>
      </x:c>
      <x:c r="J583" s="9" t="str">
        <x:v>In-distribution satisfied-state action-gating diagnostic</x:v>
      </x:c>
      <x:c r="K583" s="9" t="n">
        <x:v>130</x:v>
      </x:c>
      <x:c r="L583" s="9" t="str">
        <x:v>345</x:v>
      </x:c>
      <x:c r="M583" s="9"/>
      <x:c r="N583" s="9"/>
      <x:c r="O583" s="9" t="str">
        <x:v>Preserve the exact scene; change only the reciprocal target/reference instruction.</x:v>
      </x:c>
      <x:c r="P583" s="9" t="str">
        <x:v>Uses the reciprocal explicitly trained prompt from episode 345. Both rows in this state pair are simultaneously satisfied.</x:v>
      </x:c>
      <x:c r="Q583" s="9"/>
      <x:c r="R583" s="10" t="n">
        <x:v>3</x:v>
      </x:c>
      <x:c r="S583" s="10"/>
      <x:c r="T583" s="9"/>
      <x:c r="U583" s="9"/>
      <x:c r="V583" s="9"/>
      <x:c r="W583" s="9"/>
      <x:c r="X583" s="10"/>
      <x:c r="Y583" s="10"/>
      <x:c r="Z583" s="9"/>
      <x:c r="AA583" s="9"/>
      <x:c r="AB583" s="9"/>
      <x:c r="AC583" s="9" t="str">
        <x:v>right</x:v>
      </x:c>
      <x:c r="AD583" s="9" t="str">
        <x:v>pink marker</x:v>
      </x:c>
      <x:c r="AE583" s="9" t="str">
        <x:v>green pen</x:v>
      </x:c>
      <x:c r="AF583" s="9" t="str">
        <x:v>None</x:v>
      </x:c>
      <x:c r="AG583" s="9"/>
      <x:c r="AH583" s="9"/>
      <x:c r="AI583" s="11"/>
      <x:c r="AJ583" s="9"/>
      <x:c r="AK583" s="9" t="str">
        <x:v>Eval_Relational_Placement (1).xlsm</x:v>
      </x:c>
      <x:c r="AL583" s="9" t="str">
        <x:v>pi0.5 Results</x:v>
      </x:c>
      <x:c r="AM583" s="9" t="n">
        <x:v>133</x:v>
      </x:c>
      <x:c r="AN583" s="9" t="n">
        <x:v>133</x:v>
      </x:c>
    </x:row>
    <x:row r="584">
      <x:c r="A584" s="9" t="str">
        <x:v>Failure</x:v>
      </x:c>
      <x:c r="B584" s="9" t="str">
        <x:v>Relational Placement</x:v>
      </x:c>
      <x:c r="C584" s="10" t="n">
        <x:v>132</x:v>
      </x:c>
      <x:c r="D584" s="9" t="str">
        <x:v>Place the green pen to the left of the pink marker.</x:v>
      </x:c>
      <x:c r="E584" s="9" t="str">
        <x:v>green pen, pink marker, blue block</x:v>
      </x:c>
      <x:c r="F584" s="9" t="str">
        <x:v>green pen → 2–8 cm edge gap to the left of pink marker; centroid direction within ±45°.</x:v>
      </x:c>
      <x:c r="G584" s="9" t="str">
        <x:v>robot didn't move</x:v>
      </x:c>
      <x:c r="H584" s="9" t="str">
        <x:v>Violated-relation correction control</x:v>
      </x:c>
      <x:c r="I584" s="9" t="str">
        <x:v>RP-AG01</x:v>
      </x:c>
      <x:c r="J584" s="9" t="str">
        <x:v>Matched opposite-sector movement-required control</x:v>
      </x:c>
      <x:c r="K584" s="9"/>
      <x:c r="L584" s="9" t="str">
        <x:v>232</x:v>
      </x:c>
      <x:c r="M584" s="9"/>
      <x:c r="N584" s="9"/>
      <x:c r="O584" s="9" t="str">
        <x:v>Move only P1 to the listed opposite-sector violated 5 cm position; preserve P2, every distractor, and the camera/robot setup.</x:v>
      </x:c>
      <x:c r="P584" s="9" t="str">
        <x:v>Uses the ordinary explicitly trained prompt from episode 232. Its prompt-matched no-movement counterpart is in the same four-row family.</x:v>
      </x:c>
      <x:c r="Q584" s="9"/>
      <x:c r="R584" s="10" t="n">
        <x:v>3</x:v>
      </x:c>
      <x:c r="S584" s="10"/>
      <x:c r="T584" s="9"/>
      <x:c r="U584" s="9"/>
      <x:c r="V584" s="9"/>
      <x:c r="W584" s="9"/>
      <x:c r="X584" s="10"/>
      <x:c r="Y584" s="10"/>
      <x:c r="Z584" s="9"/>
      <x:c r="AA584" s="9"/>
      <x:c r="AB584" s="9"/>
      <x:c r="AC584" s="9" t="str">
        <x:v>left</x:v>
      </x:c>
      <x:c r="AD584" s="9" t="str">
        <x:v>green pen</x:v>
      </x:c>
      <x:c r="AE584" s="9" t="str">
        <x:v>pink marker</x:v>
      </x:c>
      <x:c r="AF584" s="9" t="str">
        <x:v>None</x:v>
      </x:c>
      <x:c r="AG584" s="9"/>
      <x:c r="AH584" s="9"/>
      <x:c r="AI584" s="11"/>
      <x:c r="AJ584" s="9"/>
      <x:c r="AK584" s="9" t="str">
        <x:v>Eval_Relational_Placement (1).xlsm</x:v>
      </x:c>
      <x:c r="AL584" s="9" t="str">
        <x:v>pi0.5 Results</x:v>
      </x:c>
      <x:c r="AM584" s="9" t="n">
        <x:v>134</x:v>
      </x:c>
      <x:c r="AN584" s="9" t="n">
        <x:v>134</x:v>
      </x:c>
    </x:row>
    <x:row r="585">
      <x:c r="A585" s="9" t="str">
        <x:v>Failure</x:v>
      </x:c>
      <x:c r="B585" s="9" t="str">
        <x:v>Relational Placement</x:v>
      </x:c>
      <x:c r="C585" s="10" t="n">
        <x:v>133</x:v>
      </x:c>
      <x:c r="D585" s="9" t="str">
        <x:v>Place the pink marker to the right of the green pen.</x:v>
      </x:c>
      <x:c r="E585" s="9" t="str">
        <x:v>green pen, pink marker, blue block</x:v>
      </x:c>
      <x:c r="F585" s="9" t="str">
        <x:v>pink marker → 2–8 cm edge gap to the right of green pen; centroid direction within ±45°.</x:v>
      </x:c>
      <x:c r="G585" s="9" t="str">
        <x:v>placed in front</x:v>
      </x:c>
      <x:c r="H585" s="9" t="str">
        <x:v>Violated-relation correction control</x:v>
      </x:c>
      <x:c r="I585" s="9" t="str">
        <x:v>RP-AG01</x:v>
      </x:c>
      <x:c r="J585" s="9" t="str">
        <x:v>Matched opposite-sector movement-required control</x:v>
      </x:c>
      <x:c r="K585" s="9" t="n">
        <x:v>132</x:v>
      </x:c>
      <x:c r="L585" s="9" t="str">
        <x:v>345</x:v>
      </x:c>
      <x:c r="M585" s="9"/>
      <x:c r="N585" s="9"/>
      <x:c r="O585" s="9" t="str">
        <x:v>Preserve the exact scene; change only the reciprocal target/reference instruction.</x:v>
      </x:c>
      <x:c r="P585" s="9" t="str">
        <x:v>Uses the reciprocal explicitly trained prompt from episode 345. Both rows in this state pair are simultaneously violated.</x:v>
      </x:c>
      <x:c r="Q585" s="9"/>
      <x:c r="R585" s="10" t="n">
        <x:v>3</x:v>
      </x:c>
      <x:c r="S585" s="10"/>
      <x:c r="T585" s="9"/>
      <x:c r="U585" s="9"/>
      <x:c r="V585" s="9"/>
      <x:c r="W585" s="9"/>
      <x:c r="X585" s="10"/>
      <x:c r="Y585" s="10"/>
      <x:c r="Z585" s="9"/>
      <x:c r="AA585" s="9"/>
      <x:c r="AB585" s="9"/>
      <x:c r="AC585" s="9" t="str">
        <x:v>right</x:v>
      </x:c>
      <x:c r="AD585" s="9" t="str">
        <x:v>pink marker</x:v>
      </x:c>
      <x:c r="AE585" s="9" t="str">
        <x:v>green pen</x:v>
      </x:c>
      <x:c r="AF585" s="9" t="str">
        <x:v>None</x:v>
      </x:c>
      <x:c r="AG585" s="9"/>
      <x:c r="AH585" s="9"/>
      <x:c r="AI585" s="11"/>
      <x:c r="AJ585" s="9"/>
      <x:c r="AK585" s="9" t="str">
        <x:v>Eval_Relational_Placement (1).xlsm</x:v>
      </x:c>
      <x:c r="AL585" s="9" t="str">
        <x:v>pi0.5 Results</x:v>
      </x:c>
      <x:c r="AM585" s="9" t="n">
        <x:v>135</x:v>
      </x:c>
      <x:c r="AN585" s="9" t="n">
        <x:v>135</x:v>
      </x:c>
    </x:row>
    <x:row r="586">
      <x:c r="A586" s="9" t="str">
        <x:v>Failure</x:v>
      </x:c>
      <x:c r="B586" s="9" t="str">
        <x:v>Relational Placement</x:v>
      </x:c>
      <x:c r="C586" s="10" t="n">
        <x:v>134</x:v>
      </x:c>
      <x:c r="D586" s="9" t="str">
        <x:v>Place the green pen to the right of the pink marker.</x:v>
      </x:c>
      <x:c r="E586" s="9" t="str">
        <x:v>green pen, pink marker, red block, blue block</x:v>
      </x:c>
      <x:c r="F586" s="9" t="str">
        <x:v>green pen → 2–8 cm edge gap to the right of pink marker; centroid direction within ±45°.</x:v>
      </x:c>
      <x:c r="G586" s="9" t="str">
        <x:v>went for the green pen twice, but didn't move it.</x:v>
      </x:c>
      <x:c r="H586" s="9" t="str">
        <x:v>Violated-relation correction control</x:v>
      </x:c>
      <x:c r="I586" s="9" t="str">
        <x:v>RP-AG02</x:v>
      </x:c>
      <x:c r="J586" s="9" t="str">
        <x:v>Matched opposite-sector movement-required control</x:v>
      </x:c>
      <x:c r="K586" s="9"/>
      <x:c r="L586" s="9" t="str">
        <x:v>244</x:v>
      </x:c>
      <x:c r="M586" s="9"/>
      <x:c r="N586" s="9"/>
      <x:c r="O586" s="9" t="str">
        <x:v>Build the listed opposite-sector violated scene and save the first frame.</x:v>
      </x:c>
      <x:c r="P586" s="9" t="str">
        <x:v>Uses the ordinary explicitly trained prompt from episode 244. Its prompt-matched no-movement counterpart is in the same four-row family.</x:v>
      </x:c>
      <x:c r="Q586" s="9"/>
      <x:c r="R586" s="10" t="n">
        <x:v>4</x:v>
      </x:c>
      <x:c r="S586" s="10"/>
      <x:c r="T586" s="9"/>
      <x:c r="U586" s="9"/>
      <x:c r="V586" s="9"/>
      <x:c r="W586" s="9"/>
      <x:c r="X586" s="10"/>
      <x:c r="Y586" s="10"/>
      <x:c r="Z586" s="9"/>
      <x:c r="AA586" s="9"/>
      <x:c r="AB586" s="9"/>
      <x:c r="AC586" s="9" t="str">
        <x:v>right</x:v>
      </x:c>
      <x:c r="AD586" s="9" t="str">
        <x:v>green pen</x:v>
      </x:c>
      <x:c r="AE586" s="9" t="str">
        <x:v>pink marker</x:v>
      </x:c>
      <x:c r="AF586" s="9" t="str">
        <x:v>None</x:v>
      </x:c>
      <x:c r="AG586" s="9"/>
      <x:c r="AH586" s="9"/>
      <x:c r="AI586" s="11"/>
      <x:c r="AJ586" s="9"/>
      <x:c r="AK586" s="9" t="str">
        <x:v>Eval_Relational_Placement (1).xlsm</x:v>
      </x:c>
      <x:c r="AL586" s="9" t="str">
        <x:v>pi0.5 Results</x:v>
      </x:c>
      <x:c r="AM586" s="9" t="n">
        <x:v>136</x:v>
      </x:c>
      <x:c r="AN586" s="9" t="n">
        <x:v>136</x:v>
      </x:c>
    </x:row>
    <x:row r="587">
      <x:c r="A587" s="9" t="str">
        <x:v>Failure</x:v>
      </x:c>
      <x:c r="B587" s="9" t="str">
        <x:v>Relational Placement</x:v>
      </x:c>
      <x:c r="C587" s="10" t="n">
        <x:v>135</x:v>
      </x:c>
      <x:c r="D587" s="9" t="str">
        <x:v>Place the pink marker to the left of the green pen.</x:v>
      </x:c>
      <x:c r="E587" s="9" t="str">
        <x:v>green pen, pink marker, red block, blue block</x:v>
      </x:c>
      <x:c r="F587" s="9" t="str">
        <x:v>pink marker → 2–8 cm edge gap to the left of green pen; centroid direction within ±45°.</x:v>
      </x:c>
      <x:c r="G587" s="9" t="str">
        <x:v>didn't move</x:v>
      </x:c>
      <x:c r="H587" s="9" t="str">
        <x:v>Violated-relation correction control</x:v>
      </x:c>
      <x:c r="I587" s="9" t="str">
        <x:v>RP-AG02</x:v>
      </x:c>
      <x:c r="J587" s="9" t="str">
        <x:v>Matched opposite-sector movement-required control</x:v>
      </x:c>
      <x:c r="K587" s="9" t="n">
        <x:v>134</x:v>
      </x:c>
      <x:c r="L587" s="9" t="str">
        <x:v>331</x:v>
      </x:c>
      <x:c r="M587" s="9"/>
      <x:c r="N587" s="9"/>
      <x:c r="O587" s="9" t="str">
        <x:v>Preserve the exact scene; change only the reciprocal target/reference instruction.</x:v>
      </x:c>
      <x:c r="P587" s="9" t="str">
        <x:v>Uses the reciprocal explicitly trained prompt from episode 331. Both rows in this state pair are simultaneously violated.</x:v>
      </x:c>
      <x:c r="Q587" s="9"/>
      <x:c r="R587" s="10" t="n">
        <x:v>4</x:v>
      </x:c>
      <x:c r="S587" s="10"/>
      <x:c r="T587" s="9"/>
      <x:c r="U587" s="9"/>
      <x:c r="V587" s="9"/>
      <x:c r="W587" s="9"/>
      <x:c r="X587" s="10"/>
      <x:c r="Y587" s="10"/>
      <x:c r="Z587" s="9"/>
      <x:c r="AA587" s="9"/>
      <x:c r="AB587" s="9"/>
      <x:c r="AC587" s="9" t="str">
        <x:v>left</x:v>
      </x:c>
      <x:c r="AD587" s="9" t="str">
        <x:v>pink marker</x:v>
      </x:c>
      <x:c r="AE587" s="9" t="str">
        <x:v>green pen</x:v>
      </x:c>
      <x:c r="AF587" s="9" t="str">
        <x:v>None</x:v>
      </x:c>
      <x:c r="AG587" s="9"/>
      <x:c r="AH587" s="9"/>
      <x:c r="AI587" s="11"/>
      <x:c r="AJ587" s="9"/>
      <x:c r="AK587" s="9" t="str">
        <x:v>Eval_Relational_Placement (1).xlsm</x:v>
      </x:c>
      <x:c r="AL587" s="9" t="str">
        <x:v>pi0.5 Results</x:v>
      </x:c>
      <x:c r="AM587" s="9" t="n">
        <x:v>137</x:v>
      </x:c>
      <x:c r="AN587" s="9" t="n">
        <x:v>137</x:v>
      </x:c>
    </x:row>
    <x:row r="588">
      <x:c r="A588" s="9" t="str">
        <x:v>Success</x:v>
      </x:c>
      <x:c r="B588" s="9" t="str">
        <x:v>Relational Placement</x:v>
      </x:c>
      <x:c r="C588" s="10" t="n">
        <x:v>136</x:v>
      </x:c>
      <x:c r="D588" s="9" t="str">
        <x:v>Place the green pen to the right of the pink marker.</x:v>
      </x:c>
      <x:c r="E588" s="9" t="str">
        <x:v>green pen, pink marker, red block, blue block</x:v>
      </x:c>
      <x:c r="F588" s="9" t="str">
        <x:v>NO MOVEMENT — requested relation is already satisfied at the start: green pen → 2–8 cm edge gap to the right of pink marker; centroid direction within ±45°.</x:v>
      </x:c>
      <x:c r="G588" s="9"/>
      <x:c r="H588" s="9" t="str">
        <x:v>Goal already satisfied / no movement</x:v>
      </x:c>
      <x:c r="I588" s="9" t="str">
        <x:v>RP-AG02</x:v>
      </x:c>
      <x:c r="J588" s="9" t="str">
        <x:v>In-distribution satisfied-state action-gating diagnostic</x:v>
      </x:c>
      <x:c r="K588" s="9"/>
      <x:c r="L588" s="9" t="str">
        <x:v>244</x:v>
      </x:c>
      <x:c r="M588" s="9"/>
      <x:c r="N588" s="9"/>
      <x:c r="O588" s="9" t="str">
        <x:v>Move only P1 to the listed already-satisfied 5 cm position; preserve P2, every distractor, and the camera/robot setup.</x:v>
      </x:c>
      <x:c r="P588" s="9" t="str">
        <x:v>Uses the ordinary explicitly trained prompt from episode 244. Its prompt-matched movement-required counterpart is in the same four-row family.</x:v>
      </x:c>
      <x:c r="Q588" s="9"/>
      <x:c r="R588" s="10" t="n">
        <x:v>4</x:v>
      </x:c>
      <x:c r="S588" s="10"/>
      <x:c r="T588" s="9"/>
      <x:c r="U588" s="9"/>
      <x:c r="V588" s="9"/>
      <x:c r="W588" s="9"/>
      <x:c r="X588" s="10"/>
      <x:c r="Y588" s="10"/>
      <x:c r="Z588" s="9"/>
      <x:c r="AA588" s="9"/>
      <x:c r="AB588" s="9"/>
      <x:c r="AC588" s="9" t="str">
        <x:v>right</x:v>
      </x:c>
      <x:c r="AD588" s="9" t="str">
        <x:v>green pen</x:v>
      </x:c>
      <x:c r="AE588" s="9" t="str">
        <x:v>pink marker</x:v>
      </x:c>
      <x:c r="AF588" s="9" t="str">
        <x:v>None</x:v>
      </x:c>
      <x:c r="AG588" s="9"/>
      <x:c r="AH588" s="9"/>
      <x:c r="AI588" s="11"/>
      <x:c r="AJ588" s="9"/>
      <x:c r="AK588" s="9" t="str">
        <x:v>Eval_Relational_Placement (1).xlsm</x:v>
      </x:c>
      <x:c r="AL588" s="9" t="str">
        <x:v>pi0.5 Results</x:v>
      </x:c>
      <x:c r="AM588" s="9" t="n">
        <x:v>138</x:v>
      </x:c>
      <x:c r="AN588" s="9" t="n">
        <x:v>138</x:v>
      </x:c>
    </x:row>
    <x:row r="589">
      <x:c r="A589" s="9" t="str">
        <x:v>Success</x:v>
      </x:c>
      <x:c r="B589" s="9" t="str">
        <x:v>Relational Placement</x:v>
      </x:c>
      <x:c r="C589" s="10" t="n">
        <x:v>137</x:v>
      </x:c>
      <x:c r="D589" s="9" t="str">
        <x:v>Place the pink marker to the left of the green pen.</x:v>
      </x:c>
      <x:c r="E589" s="9" t="str">
        <x:v>green pen, pink marker, red block, blue block</x:v>
      </x:c>
      <x:c r="F589" s="9" t="str">
        <x:v>NO MOVEMENT — requested relation is already satisfied at the start: pink marker → 2–8 cm edge gap to the left of green pen; centroid direction within ±45°.</x:v>
      </x:c>
      <x:c r="G589" s="9"/>
      <x:c r="H589" s="9" t="str">
        <x:v>Goal already satisfied / no movement</x:v>
      </x:c>
      <x:c r="I589" s="9" t="str">
        <x:v>RP-AG02</x:v>
      </x:c>
      <x:c r="J589" s="9" t="str">
        <x:v>In-distribution satisfied-state action-gating diagnostic</x:v>
      </x:c>
      <x:c r="K589" s="9" t="n">
        <x:v>136</x:v>
      </x:c>
      <x:c r="L589" s="9" t="str">
        <x:v>331</x:v>
      </x:c>
      <x:c r="M589" s="9"/>
      <x:c r="N589" s="9"/>
      <x:c r="O589" s="9" t="str">
        <x:v>Preserve the exact scene; change only the reciprocal target/reference instruction.</x:v>
      </x:c>
      <x:c r="P589" s="9" t="str">
        <x:v>Uses the reciprocal explicitly trained prompt from episode 331. Both rows in this state pair are simultaneously satisfied.</x:v>
      </x:c>
      <x:c r="Q589" s="9"/>
      <x:c r="R589" s="10" t="n">
        <x:v>4</x:v>
      </x:c>
      <x:c r="S589" s="10"/>
      <x:c r="T589" s="9"/>
      <x:c r="U589" s="9"/>
      <x:c r="V589" s="9"/>
      <x:c r="W589" s="9"/>
      <x:c r="X589" s="10"/>
      <x:c r="Y589" s="10"/>
      <x:c r="Z589" s="9"/>
      <x:c r="AA589" s="9"/>
      <x:c r="AB589" s="9"/>
      <x:c r="AC589" s="9" t="str">
        <x:v>left</x:v>
      </x:c>
      <x:c r="AD589" s="9" t="str">
        <x:v>pink marker</x:v>
      </x:c>
      <x:c r="AE589" s="9" t="str">
        <x:v>green pen</x:v>
      </x:c>
      <x:c r="AF589" s="9" t="str">
        <x:v>None</x:v>
      </x:c>
      <x:c r="AG589" s="9"/>
      <x:c r="AH589" s="9"/>
      <x:c r="AI589" s="11"/>
      <x:c r="AJ589" s="9"/>
      <x:c r="AK589" s="9" t="str">
        <x:v>Eval_Relational_Placement (1).xlsm</x:v>
      </x:c>
      <x:c r="AL589" s="9" t="str">
        <x:v>pi0.5 Results</x:v>
      </x:c>
      <x:c r="AM589" s="9" t="n">
        <x:v>139</x:v>
      </x:c>
      <x:c r="AN589" s="9" t="n">
        <x:v>139</x:v>
      </x:c>
    </x:row>
    <x:row r="590">
      <x:c r="A590" s="9" t="str">
        <x:v>Failure</x:v>
      </x:c>
      <x:c r="B590" s="9" t="str">
        <x:v>Relational Placement</x:v>
      </x:c>
      <x:c r="C590" s="10" t="n">
        <x:v>138</x:v>
      </x:c>
      <x:c r="D590" s="9" t="str">
        <x:v>Place the green pen to the left of the blue block.</x:v>
      </x:c>
      <x:c r="E590" s="9" t="str">
        <x:v>green pen, blue block, pink marker</x:v>
      </x:c>
      <x:c r="F590" s="9" t="str">
        <x:v>NO MOVEMENT — requested relation is already satisfied at the start: green pen → 2–8 cm edge gap to the left of blue block; centroid direction within ±45°.</x:v>
      </x:c>
      <x:c r="G590" s="9" t="str">
        <x:v>moved the green pen to the front of the blue block</x:v>
      </x:c>
      <x:c r="H590" s="9" t="str">
        <x:v>Goal already satisfied / no movement</x:v>
      </x:c>
      <x:c r="I590" s="9" t="str">
        <x:v>RP-AG03</x:v>
      </x:c>
      <x:c r="J590" s="9" t="str">
        <x:v>In-distribution satisfied-state action-gating diagnostic</x:v>
      </x:c>
      <x:c r="K590" s="9"/>
      <x:c r="L590" s="9" t="str">
        <x:v>236</x:v>
      </x:c>
      <x:c r="M590" s="9"/>
      <x:c r="N590" s="9"/>
      <x:c r="O590" s="9" t="str">
        <x:v>Build the listed already-satisfied scene and save the first frame.</x:v>
      </x:c>
      <x:c r="P590" s="9" t="str">
        <x:v>Uses the ordinary explicitly trained prompt from episode 236. Its prompt-matched movement-required counterpart is in the same four-row family.</x:v>
      </x:c>
      <x:c r="Q590" s="9"/>
      <x:c r="R590" s="10" t="n">
        <x:v>3</x:v>
      </x:c>
      <x:c r="S590" s="10"/>
      <x:c r="T590" s="9"/>
      <x:c r="U590" s="9"/>
      <x:c r="V590" s="9"/>
      <x:c r="W590" s="9"/>
      <x:c r="X590" s="10"/>
      <x:c r="Y590" s="10"/>
      <x:c r="Z590" s="9"/>
      <x:c r="AA590" s="9"/>
      <x:c r="AB590" s="9"/>
      <x:c r="AC590" s="9" t="str">
        <x:v>left</x:v>
      </x:c>
      <x:c r="AD590" s="9" t="str">
        <x:v>green pen</x:v>
      </x:c>
      <x:c r="AE590" s="9" t="str">
        <x:v>blue block</x:v>
      </x:c>
      <x:c r="AF590" s="9" t="str">
        <x:v>None</x:v>
      </x:c>
      <x:c r="AG590" s="9"/>
      <x:c r="AH590" s="9"/>
      <x:c r="AI590" s="11"/>
      <x:c r="AJ590" s="9"/>
      <x:c r="AK590" s="9" t="str">
        <x:v>Eval_Relational_Placement (1).xlsm</x:v>
      </x:c>
      <x:c r="AL590" s="9" t="str">
        <x:v>pi0.5 Results</x:v>
      </x:c>
      <x:c r="AM590" s="9" t="n">
        <x:v>140</x:v>
      </x:c>
      <x:c r="AN590" s="9" t="n">
        <x:v>140</x:v>
      </x:c>
    </x:row>
    <x:row r="591">
      <x:c r="A591" s="9" t="str">
        <x:v>Failure</x:v>
      </x:c>
      <x:c r="B591" s="9" t="str">
        <x:v>Relational Placement</x:v>
      </x:c>
      <x:c r="C591" s="10" t="n">
        <x:v>139</x:v>
      </x:c>
      <x:c r="D591" s="9" t="str">
        <x:v>Place the blue block to the right of the green pen.</x:v>
      </x:c>
      <x:c r="E591" s="9" t="str">
        <x:v>green pen, blue block, pink marker</x:v>
      </x:c>
      <x:c r="F591" s="9" t="str">
        <x:v>NO MOVEMENT — requested relation is already satisfied at the start: blue block → 2–8 cm edge gap to the right of green pen; centroid direction within ±45°.</x:v>
      </x:c>
      <x:c r="G591" s="9" t="str">
        <x:v>went to the blue block 5 times, and pushed it around a little bit. Still stayed on the right.</x:v>
      </x:c>
      <x:c r="H591" s="9" t="str">
        <x:v>Goal already satisfied / no movement</x:v>
      </x:c>
      <x:c r="I591" s="9" t="str">
        <x:v>RP-AG03</x:v>
      </x:c>
      <x:c r="J591" s="9" t="str">
        <x:v>In-distribution satisfied-state action-gating diagnostic</x:v>
      </x:c>
      <x:c r="K591" s="9" t="n">
        <x:v>138</x:v>
      </x:c>
      <x:c r="L591" s="9" t="str">
        <x:v>390</x:v>
      </x:c>
      <x:c r="M591" s="9"/>
      <x:c r="N591" s="9"/>
      <x:c r="O591" s="9" t="str">
        <x:v>Preserve the exact scene; change only the reciprocal target/reference instruction.</x:v>
      </x:c>
      <x:c r="P591" s="9" t="str">
        <x:v>Uses the reciprocal explicitly trained prompt from episode 390. Both rows in this state pair are simultaneously satisfied.</x:v>
      </x:c>
      <x:c r="Q591" s="9"/>
      <x:c r="R591" s="10" t="n">
        <x:v>3</x:v>
      </x:c>
      <x:c r="S591" s="10"/>
      <x:c r="T591" s="9"/>
      <x:c r="U591" s="9"/>
      <x:c r="V591" s="9"/>
      <x:c r="W591" s="9"/>
      <x:c r="X591" s="10"/>
      <x:c r="Y591" s="10"/>
      <x:c r="Z591" s="9"/>
      <x:c r="AA591" s="9"/>
      <x:c r="AB591" s="9"/>
      <x:c r="AC591" s="9" t="str">
        <x:v>right</x:v>
      </x:c>
      <x:c r="AD591" s="9" t="str">
        <x:v>blue block</x:v>
      </x:c>
      <x:c r="AE591" s="9" t="str">
        <x:v>green pen</x:v>
      </x:c>
      <x:c r="AF591" s="9" t="str">
        <x:v>None</x:v>
      </x:c>
      <x:c r="AG591" s="9"/>
      <x:c r="AH591" s="9"/>
      <x:c r="AI591" s="11"/>
      <x:c r="AJ591" s="9"/>
      <x:c r="AK591" s="9" t="str">
        <x:v>Eval_Relational_Placement (1).xlsm</x:v>
      </x:c>
      <x:c r="AL591" s="9" t="str">
        <x:v>pi0.5 Results</x:v>
      </x:c>
      <x:c r="AM591" s="9" t="n">
        <x:v>141</x:v>
      </x:c>
      <x:c r="AN591" s="9" t="n">
        <x:v>141</x:v>
      </x:c>
    </x:row>
    <x:row r="592">
      <x:c r="A592" s="9" t="str">
        <x:v>Failure</x:v>
      </x:c>
      <x:c r="B592" s="9" t="str">
        <x:v>Relational Placement</x:v>
      </x:c>
      <x:c r="C592" s="10" t="n">
        <x:v>140</x:v>
      </x:c>
      <x:c r="D592" s="9" t="str">
        <x:v>Place the green pen to the left of the blue block.</x:v>
      </x:c>
      <x:c r="E592" s="9" t="str">
        <x:v>green pen, blue block, pink marker</x:v>
      </x:c>
      <x:c r="F592" s="9" t="str">
        <x:v>green pen → 2–8 cm edge gap to the left of blue block; centroid direction within ±45°.</x:v>
      </x:c>
      <x:c r="G592" s="9" t="str">
        <x:v>didn't move</x:v>
      </x:c>
      <x:c r="H592" s="9" t="str">
        <x:v>Violated-relation correction control</x:v>
      </x:c>
      <x:c r="I592" s="9" t="str">
        <x:v>RP-AG03</x:v>
      </x:c>
      <x:c r="J592" s="9" t="str">
        <x:v>Matched opposite-sector movement-required control</x:v>
      </x:c>
      <x:c r="K592" s="9"/>
      <x:c r="L592" s="9" t="str">
        <x:v>236</x:v>
      </x:c>
      <x:c r="M592" s="9"/>
      <x:c r="N592" s="9"/>
      <x:c r="O592" s="9" t="str">
        <x:v>Move only P1 to the listed opposite-sector violated 5 cm position; preserve P2, every distractor, and the camera/robot setup.</x:v>
      </x:c>
      <x:c r="P592" s="9" t="str">
        <x:v>Uses the ordinary explicitly trained prompt from episode 236. Its prompt-matched no-movement counterpart is in the same four-row family.</x:v>
      </x:c>
      <x:c r="Q592" s="9"/>
      <x:c r="R592" s="10" t="n">
        <x:v>3</x:v>
      </x:c>
      <x:c r="S592" s="10"/>
      <x:c r="T592" s="9"/>
      <x:c r="U592" s="9"/>
      <x:c r="V592" s="9"/>
      <x:c r="W592" s="9"/>
      <x:c r="X592" s="10"/>
      <x:c r="Y592" s="10"/>
      <x:c r="Z592" s="9"/>
      <x:c r="AA592" s="9"/>
      <x:c r="AB592" s="9"/>
      <x:c r="AC592" s="9" t="str">
        <x:v>left</x:v>
      </x:c>
      <x:c r="AD592" s="9" t="str">
        <x:v>green pen</x:v>
      </x:c>
      <x:c r="AE592" s="9" t="str">
        <x:v>blue block</x:v>
      </x:c>
      <x:c r="AF592" s="9" t="str">
        <x:v>None</x:v>
      </x:c>
      <x:c r="AG592" s="9"/>
      <x:c r="AH592" s="9"/>
      <x:c r="AI592" s="11"/>
      <x:c r="AJ592" s="9"/>
      <x:c r="AK592" s="9" t="str">
        <x:v>Eval_Relational_Placement (1).xlsm</x:v>
      </x:c>
      <x:c r="AL592" s="9" t="str">
        <x:v>pi0.5 Results</x:v>
      </x:c>
      <x:c r="AM592" s="9" t="n">
        <x:v>142</x:v>
      </x:c>
      <x:c r="AN592" s="9" t="n">
        <x:v>142</x:v>
      </x:c>
    </x:row>
    <x:row r="593">
      <x:c r="A593" s="9" t="str">
        <x:v>Failure</x:v>
      </x:c>
      <x:c r="B593" s="9" t="str">
        <x:v>Relational Placement</x:v>
      </x:c>
      <x:c r="C593" s="10" t="n">
        <x:v>141</x:v>
      </x:c>
      <x:c r="D593" s="9" t="str">
        <x:v>Place the blue block to the right of the green pen.</x:v>
      </x:c>
      <x:c r="E593" s="9" t="str">
        <x:v>green pen, blue block, pink marker</x:v>
      </x:c>
      <x:c r="F593" s="9" t="str">
        <x:v>blue block → 2–8 cm edge gap to the right of green pen; centroid direction within ±45°.</x:v>
      </x:c>
      <x:c r="G593" s="9" t="str">
        <x:v>didn't move</x:v>
      </x:c>
      <x:c r="H593" s="9" t="str">
        <x:v>Violated-relation correction control</x:v>
      </x:c>
      <x:c r="I593" s="9" t="str">
        <x:v>RP-AG03</x:v>
      </x:c>
      <x:c r="J593" s="9" t="str">
        <x:v>Matched opposite-sector movement-required control</x:v>
      </x:c>
      <x:c r="K593" s="9" t="n">
        <x:v>140</x:v>
      </x:c>
      <x:c r="L593" s="9" t="str">
        <x:v>390</x:v>
      </x:c>
      <x:c r="M593" s="9"/>
      <x:c r="N593" s="9"/>
      <x:c r="O593" s="9" t="str">
        <x:v>Preserve the exact scene; change only the reciprocal target/reference instruction.</x:v>
      </x:c>
      <x:c r="P593" s="9" t="str">
        <x:v>Uses the reciprocal explicitly trained prompt from episode 390. Both rows in this state pair are simultaneously violated.</x:v>
      </x:c>
      <x:c r="Q593" s="9"/>
      <x:c r="R593" s="10" t="n">
        <x:v>3</x:v>
      </x:c>
      <x:c r="S593" s="10"/>
      <x:c r="T593" s="9"/>
      <x:c r="U593" s="9"/>
      <x:c r="V593" s="9"/>
      <x:c r="W593" s="9"/>
      <x:c r="X593" s="10"/>
      <x:c r="Y593" s="10"/>
      <x:c r="Z593" s="9"/>
      <x:c r="AA593" s="9"/>
      <x:c r="AB593" s="9"/>
      <x:c r="AC593" s="9" t="str">
        <x:v>right</x:v>
      </x:c>
      <x:c r="AD593" s="9" t="str">
        <x:v>blue block</x:v>
      </x:c>
      <x:c r="AE593" s="9" t="str">
        <x:v>green pen</x:v>
      </x:c>
      <x:c r="AF593" s="9" t="str">
        <x:v>None</x:v>
      </x:c>
      <x:c r="AG593" s="9"/>
      <x:c r="AH593" s="9"/>
      <x:c r="AI593" s="11"/>
      <x:c r="AJ593" s="9"/>
      <x:c r="AK593" s="9" t="str">
        <x:v>Eval_Relational_Placement (1).xlsm</x:v>
      </x:c>
      <x:c r="AL593" s="9" t="str">
        <x:v>pi0.5 Results</x:v>
      </x:c>
      <x:c r="AM593" s="9" t="n">
        <x:v>143</x:v>
      </x:c>
      <x:c r="AN593" s="9" t="n">
        <x:v>143</x:v>
      </x:c>
    </x:row>
    <x:row r="594">
      <x:c r="A594" s="9" t="str">
        <x:v>Success</x:v>
      </x:c>
      <x:c r="B594" s="9" t="str">
        <x:v>Relational Placement</x:v>
      </x:c>
      <x:c r="C594" s="10" t="n">
        <x:v>142</x:v>
      </x:c>
      <x:c r="D594" s="9" t="str">
        <x:v>Place the red block to the right of the pink marker.</x:v>
      </x:c>
      <x:c r="E594" s="9" t="str">
        <x:v>red block, pink marker, green pen, blue block</x:v>
      </x:c>
      <x:c r="F594" s="9" t="str">
        <x:v>red block → 2–8 cm edge gap to the right of pink marker; centroid direction within ±45°.</x:v>
      </x:c>
      <x:c r="G594" s="9"/>
      <x:c r="H594" s="9" t="str">
        <x:v>Violated-relation correction control</x:v>
      </x:c>
      <x:c r="I594" s="9" t="str">
        <x:v>RP-AG04</x:v>
      </x:c>
      <x:c r="J594" s="9" t="str">
        <x:v>Matched opposite-sector movement-required control</x:v>
      </x:c>
      <x:c r="K594" s="9"/>
      <x:c r="L594" s="9" t="str">
        <x:v>289</x:v>
      </x:c>
      <x:c r="M594" s="9"/>
      <x:c r="N594" s="9"/>
      <x:c r="O594" s="9" t="str">
        <x:v>Build the listed opposite-sector violated scene and save the first frame.</x:v>
      </x:c>
      <x:c r="P594" s="9" t="str">
        <x:v>Uses the ordinary explicitly trained prompt from episode 289. Its prompt-matched no-movement counterpart is in the same four-row family.</x:v>
      </x:c>
      <x:c r="Q594" s="9"/>
      <x:c r="R594" s="10" t="n">
        <x:v>4</x:v>
      </x:c>
      <x:c r="S594" s="10"/>
      <x:c r="T594" s="9"/>
      <x:c r="U594" s="9"/>
      <x:c r="V594" s="9"/>
      <x:c r="W594" s="9"/>
      <x:c r="X594" s="10"/>
      <x:c r="Y594" s="10"/>
      <x:c r="Z594" s="9"/>
      <x:c r="AA594" s="9"/>
      <x:c r="AB594" s="9"/>
      <x:c r="AC594" s="9" t="str">
        <x:v>right</x:v>
      </x:c>
      <x:c r="AD594" s="9" t="str">
        <x:v>red block</x:v>
      </x:c>
      <x:c r="AE594" s="9" t="str">
        <x:v>pink marker</x:v>
      </x:c>
      <x:c r="AF594" s="9" t="str">
        <x:v>None</x:v>
      </x:c>
      <x:c r="AG594" s="9"/>
      <x:c r="AH594" s="9"/>
      <x:c r="AI594" s="11"/>
      <x:c r="AJ594" s="9"/>
      <x:c r="AK594" s="9" t="str">
        <x:v>Eval_Relational_Placement (1).xlsm</x:v>
      </x:c>
      <x:c r="AL594" s="9" t="str">
        <x:v>pi0.5 Results</x:v>
      </x:c>
      <x:c r="AM594" s="9" t="n">
        <x:v>144</x:v>
      </x:c>
      <x:c r="AN594" s="9" t="n">
        <x:v>144</x:v>
      </x:c>
    </x:row>
    <x:row r="595">
      <x:c r="A595" s="9" t="str">
        <x:v>Failure</x:v>
      </x:c>
      <x:c r="B595" s="9" t="str">
        <x:v>Relational Placement</x:v>
      </x:c>
      <x:c r="C595" s="10" t="n">
        <x:v>143</x:v>
      </x:c>
      <x:c r="D595" s="9" t="str">
        <x:v>Place the pink marker to the left of the red block.</x:v>
      </x:c>
      <x:c r="E595" s="9" t="str">
        <x:v>red block, pink marker, green pen, blue block</x:v>
      </x:c>
      <x:c r="F595" s="9" t="str">
        <x:v>pink marker → 2–8 cm edge gap to the left of red block; centroid direction within ±45°.</x:v>
      </x:c>
      <x:c r="G595" s="9" t="str">
        <x:v>didn't move</x:v>
      </x:c>
      <x:c r="H595" s="9" t="str">
        <x:v>Violated-relation correction control</x:v>
      </x:c>
      <x:c r="I595" s="9" t="str">
        <x:v>RP-AG04</x:v>
      </x:c>
      <x:c r="J595" s="9" t="str">
        <x:v>Matched opposite-sector movement-required control</x:v>
      </x:c>
      <x:c r="K595" s="9" t="n">
        <x:v>142</x:v>
      </x:c>
      <x:c r="L595" s="9" t="str">
        <x:v>335</x:v>
      </x:c>
      <x:c r="M595" s="9"/>
      <x:c r="N595" s="9"/>
      <x:c r="O595" s="9" t="str">
        <x:v>Preserve the exact scene; change only the reciprocal target/reference instruction.</x:v>
      </x:c>
      <x:c r="P595" s="9" t="str">
        <x:v>Uses the reciprocal explicitly trained prompt from episode 335. Both rows in this state pair are simultaneously violated.</x:v>
      </x:c>
      <x:c r="Q595" s="9"/>
      <x:c r="R595" s="10" t="n">
        <x:v>4</x:v>
      </x:c>
      <x:c r="S595" s="10"/>
      <x:c r="T595" s="9"/>
      <x:c r="U595" s="9"/>
      <x:c r="V595" s="9"/>
      <x:c r="W595" s="9"/>
      <x:c r="X595" s="10"/>
      <x:c r="Y595" s="10"/>
      <x:c r="Z595" s="9"/>
      <x:c r="AA595" s="9"/>
      <x:c r="AB595" s="9"/>
      <x:c r="AC595" s="9" t="str">
        <x:v>left</x:v>
      </x:c>
      <x:c r="AD595" s="9" t="str">
        <x:v>pink marker</x:v>
      </x:c>
      <x:c r="AE595" s="9" t="str">
        <x:v>red block</x:v>
      </x:c>
      <x:c r="AF595" s="9" t="str">
        <x:v>None</x:v>
      </x:c>
      <x:c r="AG595" s="9"/>
      <x:c r="AH595" s="9"/>
      <x:c r="AI595" s="11"/>
      <x:c r="AJ595" s="9"/>
      <x:c r="AK595" s="9" t="str">
        <x:v>Eval_Relational_Placement (1).xlsm</x:v>
      </x:c>
      <x:c r="AL595" s="9" t="str">
        <x:v>pi0.5 Results</x:v>
      </x:c>
      <x:c r="AM595" s="9" t="n">
        <x:v>145</x:v>
      </x:c>
      <x:c r="AN595" s="9" t="n">
        <x:v>145</x:v>
      </x:c>
    </x:row>
    <x:row r="596">
      <x:c r="A596" s="9" t="str">
        <x:v>Success</x:v>
      </x:c>
      <x:c r="B596" s="9" t="str">
        <x:v>Relational Placement</x:v>
      </x:c>
      <x:c r="C596" s="10" t="n">
        <x:v>144</x:v>
      </x:c>
      <x:c r="D596" s="9" t="str">
        <x:v>Place the red block to the right of the pink marker.</x:v>
      </x:c>
      <x:c r="E596" s="9" t="str">
        <x:v>red block, pink marker, green pen, blue block</x:v>
      </x:c>
      <x:c r="F596" s="9" t="str">
        <x:v>NO MOVEMENT — requested relation is already satisfied at the start: red block → 2–8 cm edge gap to the right of pink marker; centroid direction within ±45°.</x:v>
      </x:c>
      <x:c r="G596" s="9"/>
      <x:c r="H596" s="9" t="str">
        <x:v>Goal already satisfied / no movement</x:v>
      </x:c>
      <x:c r="I596" s="9" t="str">
        <x:v>RP-AG04</x:v>
      </x:c>
      <x:c r="J596" s="9" t="str">
        <x:v>In-distribution satisfied-state action-gating diagnostic</x:v>
      </x:c>
      <x:c r="K596" s="9"/>
      <x:c r="L596" s="9" t="str">
        <x:v>289</x:v>
      </x:c>
      <x:c r="M596" s="9"/>
      <x:c r="N596" s="9"/>
      <x:c r="O596" s="9" t="str">
        <x:v>Move only P1 to the listed already-satisfied 5 cm position; preserve P2, every distractor, and the camera/robot setup.</x:v>
      </x:c>
      <x:c r="P596" s="9" t="str">
        <x:v>Uses the ordinary explicitly trained prompt from episode 289. Its prompt-matched movement-required counterpart is in the same four-row family.</x:v>
      </x:c>
      <x:c r="Q596" s="9"/>
      <x:c r="R596" s="10" t="n">
        <x:v>4</x:v>
      </x:c>
      <x:c r="S596" s="10"/>
      <x:c r="T596" s="9"/>
      <x:c r="U596" s="9"/>
      <x:c r="V596" s="9"/>
      <x:c r="W596" s="9"/>
      <x:c r="X596" s="10"/>
      <x:c r="Y596" s="10"/>
      <x:c r="Z596" s="9"/>
      <x:c r="AA596" s="9"/>
      <x:c r="AB596" s="9"/>
      <x:c r="AC596" s="9" t="str">
        <x:v>right</x:v>
      </x:c>
      <x:c r="AD596" s="9" t="str">
        <x:v>red block</x:v>
      </x:c>
      <x:c r="AE596" s="9" t="str">
        <x:v>pink marker</x:v>
      </x:c>
      <x:c r="AF596" s="9" t="str">
        <x:v>None</x:v>
      </x:c>
      <x:c r="AG596" s="9"/>
      <x:c r="AH596" s="9"/>
      <x:c r="AI596" s="11"/>
      <x:c r="AJ596" s="9"/>
      <x:c r="AK596" s="9" t="str">
        <x:v>Eval_Relational_Placement (1).xlsm</x:v>
      </x:c>
      <x:c r="AL596" s="9" t="str">
        <x:v>pi0.5 Results</x:v>
      </x:c>
      <x:c r="AM596" s="9" t="n">
        <x:v>146</x:v>
      </x:c>
      <x:c r="AN596" s="9" t="n">
        <x:v>146</x:v>
      </x:c>
    </x:row>
    <x:row r="597">
      <x:c r="A597" s="9" t="str">
        <x:v>Success</x:v>
      </x:c>
      <x:c r="B597" s="9" t="str">
        <x:v>Relational Placement</x:v>
      </x:c>
      <x:c r="C597" s="10" t="n">
        <x:v>145</x:v>
      </x:c>
      <x:c r="D597" s="9" t="str">
        <x:v>Place the pink marker to the left of the red block.</x:v>
      </x:c>
      <x:c r="E597" s="9" t="str">
        <x:v>red block, pink marker, green pen, blue block</x:v>
      </x:c>
      <x:c r="F597" s="9" t="str">
        <x:v>NO MOVEMENT — requested relation is already satisfied at the start: pink marker → 2–8 cm edge gap to the left of red block; centroid direction within ±45°.</x:v>
      </x:c>
      <x:c r="G597" s="9"/>
      <x:c r="H597" s="9" t="str">
        <x:v>Goal already satisfied / no movement</x:v>
      </x:c>
      <x:c r="I597" s="9" t="str">
        <x:v>RP-AG04</x:v>
      </x:c>
      <x:c r="J597" s="9" t="str">
        <x:v>In-distribution satisfied-state action-gating diagnostic</x:v>
      </x:c>
      <x:c r="K597" s="9" t="n">
        <x:v>144</x:v>
      </x:c>
      <x:c r="L597" s="9" t="str">
        <x:v>335</x:v>
      </x:c>
      <x:c r="M597" s="9"/>
      <x:c r="N597" s="9"/>
      <x:c r="O597" s="9" t="str">
        <x:v>Preserve the exact scene; change only the reciprocal target/reference instruction.</x:v>
      </x:c>
      <x:c r="P597" s="9" t="str">
        <x:v>Uses the reciprocal explicitly trained prompt from episode 335. Both rows in this state pair are simultaneously satisfied.</x:v>
      </x:c>
      <x:c r="Q597" s="9"/>
      <x:c r="R597" s="10" t="n">
        <x:v>4</x:v>
      </x:c>
      <x:c r="S597" s="10"/>
      <x:c r="T597" s="9"/>
      <x:c r="U597" s="9"/>
      <x:c r="V597" s="9"/>
      <x:c r="W597" s="9"/>
      <x:c r="X597" s="10"/>
      <x:c r="Y597" s="10"/>
      <x:c r="Z597" s="9"/>
      <x:c r="AA597" s="9"/>
      <x:c r="AB597" s="9"/>
      <x:c r="AC597" s="9" t="str">
        <x:v>left</x:v>
      </x:c>
      <x:c r="AD597" s="9" t="str">
        <x:v>pink marker</x:v>
      </x:c>
      <x:c r="AE597" s="9" t="str">
        <x:v>red block</x:v>
      </x:c>
      <x:c r="AF597" s="9" t="str">
        <x:v>None</x:v>
      </x:c>
      <x:c r="AG597" s="9"/>
      <x:c r="AH597" s="9"/>
      <x:c r="AI597" s="11"/>
      <x:c r="AJ597" s="9"/>
      <x:c r="AK597" s="9" t="str">
        <x:v>Eval_Relational_Placement (1).xlsm</x:v>
      </x:c>
      <x:c r="AL597" s="9" t="str">
        <x:v>pi0.5 Results</x:v>
      </x:c>
      <x:c r="AM597" s="9" t="n">
        <x:v>147</x:v>
      </x:c>
      <x:c r="AN597" s="9" t="n">
        <x:v>147</x:v>
      </x:c>
    </x:row>
    <x:row r="598">
      <x:c r="A598" s="9" t="str">
        <x:v>Success</x:v>
      </x:c>
      <x:c r="B598" s="9" t="str">
        <x:v>Relational Placement</x:v>
      </x:c>
      <x:c r="C598" s="10" t="n">
        <x:v>146</x:v>
      </x:c>
      <x:c r="D598" s="9" t="str">
        <x:v>Place the red block to the left of the blue block.</x:v>
      </x:c>
      <x:c r="E598" s="9" t="str">
        <x:v>red block, blue block, pink marker</x:v>
      </x:c>
      <x:c r="F598" s="9" t="str">
        <x:v>NO MOVEMENT — requested relation is already satisfied at the start: red block → 2–8 cm edge gap to the left of blue block; centroid direction within ±45°.</x:v>
      </x:c>
      <x:c r="G598" s="9"/>
      <x:c r="H598" s="9" t="str">
        <x:v>Goal already satisfied / no movement</x:v>
      </x:c>
      <x:c r="I598" s="9" t="str">
        <x:v>RP-AG05</x:v>
      </x:c>
      <x:c r="J598" s="9" t="str">
        <x:v>In-distribution satisfied-state action-gating diagnostic</x:v>
      </x:c>
      <x:c r="K598" s="9"/>
      <x:c r="L598" s="9" t="str">
        <x:v>282</x:v>
      </x:c>
      <x:c r="M598" s="9"/>
      <x:c r="N598" s="9"/>
      <x:c r="O598" s="9" t="str">
        <x:v>Build the listed already-satisfied scene and save the first frame.</x:v>
      </x:c>
      <x:c r="P598" s="9" t="str">
        <x:v>Uses the ordinary explicitly trained prompt from episode 282. Its prompt-matched movement-required counterpart is in the same four-row family.</x:v>
      </x:c>
      <x:c r="Q598" s="9"/>
      <x:c r="R598" s="10" t="n">
        <x:v>3</x:v>
      </x:c>
      <x:c r="S598" s="10"/>
      <x:c r="T598" s="9"/>
      <x:c r="U598" s="9"/>
      <x:c r="V598" s="9"/>
      <x:c r="W598" s="9"/>
      <x:c r="X598" s="10"/>
      <x:c r="Y598" s="10"/>
      <x:c r="Z598" s="9"/>
      <x:c r="AA598" s="9"/>
      <x:c r="AB598" s="9"/>
      <x:c r="AC598" s="9" t="str">
        <x:v>left</x:v>
      </x:c>
      <x:c r="AD598" s="9" t="str">
        <x:v>red block</x:v>
      </x:c>
      <x:c r="AE598" s="9" t="str">
        <x:v>blue block</x:v>
      </x:c>
      <x:c r="AF598" s="9" t="str">
        <x:v>None</x:v>
      </x:c>
      <x:c r="AG598" s="9"/>
      <x:c r="AH598" s="9"/>
      <x:c r="AI598" s="11"/>
      <x:c r="AJ598" s="9"/>
      <x:c r="AK598" s="9" t="str">
        <x:v>Eval_Relational_Placement (1).xlsm</x:v>
      </x:c>
      <x:c r="AL598" s="9" t="str">
        <x:v>pi0.5 Results</x:v>
      </x:c>
      <x:c r="AM598" s="9" t="n">
        <x:v>148</x:v>
      </x:c>
      <x:c r="AN598" s="9" t="n">
        <x:v>148</x:v>
      </x:c>
    </x:row>
    <x:row r="599">
      <x:c r="A599" s="9" t="str">
        <x:v>Success</x:v>
      </x:c>
      <x:c r="B599" s="9" t="str">
        <x:v>Relational Placement</x:v>
      </x:c>
      <x:c r="C599" s="10" t="n">
        <x:v>147</x:v>
      </x:c>
      <x:c r="D599" s="9" t="str">
        <x:v>Place the blue block to the right of the red block.</x:v>
      </x:c>
      <x:c r="E599" s="9" t="str">
        <x:v>red block, blue block, pink marker</x:v>
      </x:c>
      <x:c r="F599" s="9" t="str">
        <x:v>NO MOVEMENT — requested relation is already satisfied at the start: blue block → 2–8 cm edge gap to the right of red block; centroid direction within ±45°.</x:v>
      </x:c>
      <x:c r="G599" s="9"/>
      <x:c r="H599" s="9" t="str">
        <x:v>Goal already satisfied / no movement</x:v>
      </x:c>
      <x:c r="I599" s="9" t="str">
        <x:v>RP-AG05</x:v>
      </x:c>
      <x:c r="J599" s="9" t="str">
        <x:v>In-distribution satisfied-state action-gating diagnostic</x:v>
      </x:c>
      <x:c r="K599" s="9" t="n">
        <x:v>146</x:v>
      </x:c>
      <x:c r="L599" s="9" t="str">
        <x:v>395</x:v>
      </x:c>
      <x:c r="M599" s="9"/>
      <x:c r="N599" s="9"/>
      <x:c r="O599" s="9" t="str">
        <x:v>Preserve the exact scene; change only the reciprocal target/reference instruction.</x:v>
      </x:c>
      <x:c r="P599" s="9" t="str">
        <x:v>Uses the reciprocal explicitly trained prompt from episode 395. Both rows in this state pair are simultaneously satisfied.</x:v>
      </x:c>
      <x:c r="Q599" s="9"/>
      <x:c r="R599" s="10" t="n">
        <x:v>3</x:v>
      </x:c>
      <x:c r="S599" s="10"/>
      <x:c r="T599" s="9"/>
      <x:c r="U599" s="9"/>
      <x:c r="V599" s="9"/>
      <x:c r="W599" s="9"/>
      <x:c r="X599" s="10"/>
      <x:c r="Y599" s="10"/>
      <x:c r="Z599" s="9"/>
      <x:c r="AA599" s="9"/>
      <x:c r="AB599" s="9"/>
      <x:c r="AC599" s="9" t="str">
        <x:v>right</x:v>
      </x:c>
      <x:c r="AD599" s="9" t="str">
        <x:v>blue block</x:v>
      </x:c>
      <x:c r="AE599" s="9" t="str">
        <x:v>red block</x:v>
      </x:c>
      <x:c r="AF599" s="9" t="str">
        <x:v>None</x:v>
      </x:c>
      <x:c r="AG599" s="9"/>
      <x:c r="AH599" s="9"/>
      <x:c r="AI599" s="11"/>
      <x:c r="AJ599" s="9"/>
      <x:c r="AK599" s="9" t="str">
        <x:v>Eval_Relational_Placement (1).xlsm</x:v>
      </x:c>
      <x:c r="AL599" s="9" t="str">
        <x:v>pi0.5 Results</x:v>
      </x:c>
      <x:c r="AM599" s="9" t="n">
        <x:v>149</x:v>
      </x:c>
      <x:c r="AN599" s="9" t="n">
        <x:v>149</x:v>
      </x:c>
    </x:row>
    <x:row r="600">
      <x:c r="A600" s="9" t="str">
        <x:v>Failure</x:v>
      </x:c>
      <x:c r="B600" s="9" t="str">
        <x:v>Relational Placement</x:v>
      </x:c>
      <x:c r="C600" s="10" t="n">
        <x:v>148</x:v>
      </x:c>
      <x:c r="D600" s="9" t="str">
        <x:v>Place the red block to the left of the blue block.</x:v>
      </x:c>
      <x:c r="E600" s="9" t="str">
        <x:v>red block, blue block, pink marker</x:v>
      </x:c>
      <x:c r="F600" s="9" t="str">
        <x:v>red block → 2–8 cm edge gap to the left of blue block; centroid direction within ±45°.</x:v>
      </x:c>
      <x:c r="G600" s="9" t="str">
        <x:v>didn't move</x:v>
      </x:c>
      <x:c r="H600" s="9" t="str">
        <x:v>Violated-relation correction control</x:v>
      </x:c>
      <x:c r="I600" s="9" t="str">
        <x:v>RP-AG05</x:v>
      </x:c>
      <x:c r="J600" s="9" t="str">
        <x:v>Matched opposite-sector movement-required control</x:v>
      </x:c>
      <x:c r="K600" s="9"/>
      <x:c r="L600" s="9" t="str">
        <x:v>282</x:v>
      </x:c>
      <x:c r="M600" s="9"/>
      <x:c r="N600" s="9"/>
      <x:c r="O600" s="9" t="str">
        <x:v>Move only P1 to the listed opposite-sector violated 5 cm position; preserve P2, every distractor, and the camera/robot setup.</x:v>
      </x:c>
      <x:c r="P600" s="9" t="str">
        <x:v>Uses the ordinary explicitly trained prompt from episode 282. Its prompt-matched no-movement counterpart is in the same four-row family.</x:v>
      </x:c>
      <x:c r="Q600" s="9"/>
      <x:c r="R600" s="10" t="n">
        <x:v>3</x:v>
      </x:c>
      <x:c r="S600" s="10"/>
      <x:c r="T600" s="9"/>
      <x:c r="U600" s="9"/>
      <x:c r="V600" s="9"/>
      <x:c r="W600" s="9"/>
      <x:c r="X600" s="10"/>
      <x:c r="Y600" s="10"/>
      <x:c r="Z600" s="9"/>
      <x:c r="AA600" s="9"/>
      <x:c r="AB600" s="9"/>
      <x:c r="AC600" s="9" t="str">
        <x:v>left</x:v>
      </x:c>
      <x:c r="AD600" s="9" t="str">
        <x:v>red block</x:v>
      </x:c>
      <x:c r="AE600" s="9" t="str">
        <x:v>blue block</x:v>
      </x:c>
      <x:c r="AF600" s="9" t="str">
        <x:v>None</x:v>
      </x:c>
      <x:c r="AG600" s="9"/>
      <x:c r="AH600" s="9"/>
      <x:c r="AI600" s="11"/>
      <x:c r="AJ600" s="9"/>
      <x:c r="AK600" s="9" t="str">
        <x:v>Eval_Relational_Placement (1).xlsm</x:v>
      </x:c>
      <x:c r="AL600" s="9" t="str">
        <x:v>pi0.5 Results</x:v>
      </x:c>
      <x:c r="AM600" s="9" t="n">
        <x:v>150</x:v>
      </x:c>
      <x:c r="AN600" s="9" t="n">
        <x:v>150</x:v>
      </x:c>
    </x:row>
    <x:row r="601">
      <x:c r="A601" s="9" t="str">
        <x:v>Failure</x:v>
      </x:c>
      <x:c r="B601" s="9" t="str">
        <x:v>Relational Placement</x:v>
      </x:c>
      <x:c r="C601" s="10" t="n">
        <x:v>149</x:v>
      </x:c>
      <x:c r="D601" s="9" t="str">
        <x:v>Place the blue block to the right of the red block.</x:v>
      </x:c>
      <x:c r="E601" s="9" t="str">
        <x:v>red block, blue block, pink marker</x:v>
      </x:c>
      <x:c r="F601" s="9" t="str">
        <x:v>blue block → 2–8 cm edge gap to the right of red block; centroid direction within ±45°.</x:v>
      </x:c>
      <x:c r="G601" s="9" t="str">
        <x:v>didn't move</x:v>
      </x:c>
      <x:c r="H601" s="9" t="str">
        <x:v>Violated-relation correction control</x:v>
      </x:c>
      <x:c r="I601" s="9" t="str">
        <x:v>RP-AG05</x:v>
      </x:c>
      <x:c r="J601" s="9" t="str">
        <x:v>Matched opposite-sector movement-required control</x:v>
      </x:c>
      <x:c r="K601" s="9" t="n">
        <x:v>148</x:v>
      </x:c>
      <x:c r="L601" s="9" t="str">
        <x:v>395</x:v>
      </x:c>
      <x:c r="M601" s="9"/>
      <x:c r="N601" s="9"/>
      <x:c r="O601" s="9" t="str">
        <x:v>Preserve the exact scene; change only the reciprocal target/reference instruction.</x:v>
      </x:c>
      <x:c r="P601" s="9" t="str">
        <x:v>Uses the reciprocal explicitly trained prompt from episode 395. Both rows in this state pair are simultaneously violated.</x:v>
      </x:c>
      <x:c r="Q601" s="9"/>
      <x:c r="R601" s="10" t="n">
        <x:v>3</x:v>
      </x:c>
      <x:c r="S601" s="10"/>
      <x:c r="T601" s="9"/>
      <x:c r="U601" s="9"/>
      <x:c r="V601" s="9"/>
      <x:c r="W601" s="9"/>
      <x:c r="X601" s="10"/>
      <x:c r="Y601" s="10"/>
      <x:c r="Z601" s="9"/>
      <x:c r="AA601" s="9"/>
      <x:c r="AB601" s="9"/>
      <x:c r="AC601" s="9" t="str">
        <x:v>right</x:v>
      </x:c>
      <x:c r="AD601" s="9" t="str">
        <x:v>blue block</x:v>
      </x:c>
      <x:c r="AE601" s="9" t="str">
        <x:v>red block</x:v>
      </x:c>
      <x:c r="AF601" s="9" t="str">
        <x:v>None</x:v>
      </x:c>
      <x:c r="AG601" s="9"/>
      <x:c r="AH601" s="9"/>
      <x:c r="AI601" s="11"/>
      <x:c r="AJ601" s="9"/>
      <x:c r="AK601" s="9" t="str">
        <x:v>Eval_Relational_Placement (1).xlsm</x:v>
      </x:c>
      <x:c r="AL601" s="9" t="str">
        <x:v>pi0.5 Results</x:v>
      </x:c>
      <x:c r="AM601" s="9" t="n">
        <x:v>151</x:v>
      </x:c>
      <x:c r="AN601" s="9" t="n">
        <x:v>151</x:v>
      </x:c>
    </x:row>
    <x:row r="602">
      <x:c r="A602" s="9" t="str">
        <x:v>Failure</x:v>
      </x:c>
      <x:c r="B602" s="9" t="str">
        <x:v>Relational Placement</x:v>
      </x:c>
      <x:c r="C602" s="10" t="n">
        <x:v>150</x:v>
      </x:c>
      <x:c r="D602" s="9" t="str">
        <x:v>Put the green pen on the table in front of the pink marker.</x:v>
      </x:c>
      <x:c r="E602" s="9" t="str">
        <x:v>green pen, pink marker, red block, blue block</x:v>
      </x:c>
      <x:c r="F602" s="9" t="str">
        <x:v>green pen → 2–8 cm edge gap in front of pink marker; centroid direction within ±45°.</x:v>
      </x:c>
      <x:c r="G602" s="9" t="str">
        <x:v>didn't move</x:v>
      </x:c>
      <x:c r="H602" s="9" t="str">
        <x:v>Violated-relation correction control</x:v>
      </x:c>
      <x:c r="I602" s="9" t="str">
        <x:v>RP-AG06</x:v>
      </x:c>
      <x:c r="J602" s="9" t="str">
        <x:v>Matched opposite-sector movement-required control</x:v>
      </x:c>
      <x:c r="K602" s="9"/>
      <x:c r="L602" s="9" t="str">
        <x:v>206</x:v>
      </x:c>
      <x:c r="M602" s="9"/>
      <x:c r="N602" s="9"/>
      <x:c r="O602" s="9" t="str">
        <x:v>Build the listed opposite-sector violated scene and save the first frame.</x:v>
      </x:c>
      <x:c r="P602" s="9" t="str">
        <x:v>Uses the ordinary explicitly trained prompt from episode 206. Its prompt-matched no-movement counterpart is in the same four-row family.</x:v>
      </x:c>
      <x:c r="Q602" s="9"/>
      <x:c r="R602" s="10" t="n">
        <x:v>4</x:v>
      </x:c>
      <x:c r="S602" s="10"/>
      <x:c r="T602" s="9"/>
      <x:c r="U602" s="9"/>
      <x:c r="V602" s="9"/>
      <x:c r="W602" s="9"/>
      <x:c r="X602" s="10"/>
      <x:c r="Y602" s="10"/>
      <x:c r="Z602" s="9"/>
      <x:c r="AA602" s="9"/>
      <x:c r="AB602" s="9"/>
      <x:c r="AC602" s="9" t="str">
        <x:v>front</x:v>
      </x:c>
      <x:c r="AD602" s="9" t="str">
        <x:v>green pen</x:v>
      </x:c>
      <x:c r="AE602" s="9" t="str">
        <x:v>pink marker</x:v>
      </x:c>
      <x:c r="AF602" s="9" t="str">
        <x:v>None</x:v>
      </x:c>
      <x:c r="AG602" s="9"/>
      <x:c r="AH602" s="9"/>
      <x:c r="AI602" s="11"/>
      <x:c r="AJ602" s="9"/>
      <x:c r="AK602" s="9" t="str">
        <x:v>Eval_Relational_Placement (1).xlsm</x:v>
      </x:c>
      <x:c r="AL602" s="9" t="str">
        <x:v>pi0.5 Results</x:v>
      </x:c>
      <x:c r="AM602" s="9" t="n">
        <x:v>152</x:v>
      </x:c>
      <x:c r="AN602" s="9" t="n">
        <x:v>152</x:v>
      </x:c>
    </x:row>
    <x:row r="603">
      <x:c r="A603" s="9" t="str">
        <x:v>Failure</x:v>
      </x:c>
      <x:c r="B603" s="9" t="str">
        <x:v>Relational Placement</x:v>
      </x:c>
      <x:c r="C603" s="10" t="n">
        <x:v>151</x:v>
      </x:c>
      <x:c r="D603" s="9" t="str">
        <x:v>Move the pink marker to the back of the green pen.</x:v>
      </x:c>
      <x:c r="E603" s="9" t="str">
        <x:v>green pen, pink marker, red block, blue block</x:v>
      </x:c>
      <x:c r="F603" s="9" t="str">
        <x:v>pink marker → 2–8 cm edge gap behind green pen; centroid direction within ±45°.</x:v>
      </x:c>
      <x:c r="G603" s="9" t="str">
        <x:v>went for pink marker twice but didn't move it</x:v>
      </x:c>
      <x:c r="H603" s="9" t="str">
        <x:v>Violated-relation correction control</x:v>
      </x:c>
      <x:c r="I603" s="9" t="str">
        <x:v>RP-AG06</x:v>
      </x:c>
      <x:c r="J603" s="9" t="str">
        <x:v>Matched opposite-sector movement-required control</x:v>
      </x:c>
      <x:c r="K603" s="9" t="n">
        <x:v>150</x:v>
      </x:c>
      <x:c r="L603" s="9" t="str">
        <x:v>319</x:v>
      </x:c>
      <x:c r="M603" s="9"/>
      <x:c r="N603" s="9"/>
      <x:c r="O603" s="9" t="str">
        <x:v>Preserve the exact scene; change only the reciprocal target/reference instruction.</x:v>
      </x:c>
      <x:c r="P603" s="9" t="str">
        <x:v>Uses the reciprocal explicitly trained prompt from episode 319. Both rows in this state pair are simultaneously violated.</x:v>
      </x:c>
      <x:c r="Q603" s="9"/>
      <x:c r="R603" s="10" t="n">
        <x:v>4</x:v>
      </x:c>
      <x:c r="S603" s="10"/>
      <x:c r="T603" s="9"/>
      <x:c r="U603" s="9"/>
      <x:c r="V603" s="9"/>
      <x:c r="W603" s="9"/>
      <x:c r="X603" s="10"/>
      <x:c r="Y603" s="10"/>
      <x:c r="Z603" s="9"/>
      <x:c r="AA603" s="9"/>
      <x:c r="AB603" s="9"/>
      <x:c r="AC603" s="9" t="str">
        <x:v>behind</x:v>
      </x:c>
      <x:c r="AD603" s="9" t="str">
        <x:v>pink marker</x:v>
      </x:c>
      <x:c r="AE603" s="9" t="str">
        <x:v>green pen</x:v>
      </x:c>
      <x:c r="AF603" s="9" t="str">
        <x:v>None</x:v>
      </x:c>
      <x:c r="AG603" s="9"/>
      <x:c r="AH603" s="9"/>
      <x:c r="AI603" s="11"/>
      <x:c r="AJ603" s="9"/>
      <x:c r="AK603" s="9" t="str">
        <x:v>Eval_Relational_Placement (1).xlsm</x:v>
      </x:c>
      <x:c r="AL603" s="9" t="str">
        <x:v>pi0.5 Results</x:v>
      </x:c>
      <x:c r="AM603" s="9" t="n">
        <x:v>153</x:v>
      </x:c>
      <x:c r="AN603" s="9" t="n">
        <x:v>153</x:v>
      </x:c>
    </x:row>
    <x:row r="604">
      <x:c r="A604" s="9" t="str">
        <x:v>Success</x:v>
      </x:c>
      <x:c r="B604" s="9" t="str">
        <x:v>Relational Placement</x:v>
      </x:c>
      <x:c r="C604" s="10" t="n">
        <x:v>152</x:v>
      </x:c>
      <x:c r="D604" s="9" t="str">
        <x:v>Put the green pen on the table in front of the pink marker.</x:v>
      </x:c>
      <x:c r="E604" s="9" t="str">
        <x:v>green pen, pink marker, red block, blue block</x:v>
      </x:c>
      <x:c r="F604" s="9" t="str">
        <x:v>NO MOVEMENT — requested relation is already satisfied at the start: green pen → 2–8 cm edge gap in front of pink marker; centroid direction within ±45°.</x:v>
      </x:c>
      <x:c r="G604" s="9"/>
      <x:c r="H604" s="9" t="str">
        <x:v>Goal already satisfied / no movement</x:v>
      </x:c>
      <x:c r="I604" s="9" t="str">
        <x:v>RP-AG06</x:v>
      </x:c>
      <x:c r="J604" s="9" t="str">
        <x:v>In-distribution satisfied-state action-gating diagnostic</x:v>
      </x:c>
      <x:c r="K604" s="9"/>
      <x:c r="L604" s="9" t="str">
        <x:v>206</x:v>
      </x:c>
      <x:c r="M604" s="9"/>
      <x:c r="N604" s="9"/>
      <x:c r="O604" s="9" t="str">
        <x:v>Move only P1 to the listed already-satisfied 5 cm position; preserve P2, every distractor, and the camera/robot setup.</x:v>
      </x:c>
      <x:c r="P604" s="9" t="str">
        <x:v>Uses the ordinary explicitly trained prompt from episode 206. Its prompt-matched movement-required counterpart is in the same four-row family.</x:v>
      </x:c>
      <x:c r="Q604" s="9"/>
      <x:c r="R604" s="10" t="n">
        <x:v>4</x:v>
      </x:c>
      <x:c r="S604" s="10"/>
      <x:c r="T604" s="9"/>
      <x:c r="U604" s="9"/>
      <x:c r="V604" s="9"/>
      <x:c r="W604" s="9"/>
      <x:c r="X604" s="10"/>
      <x:c r="Y604" s="10"/>
      <x:c r="Z604" s="9"/>
      <x:c r="AA604" s="9"/>
      <x:c r="AB604" s="9"/>
      <x:c r="AC604" s="9" t="str">
        <x:v>front</x:v>
      </x:c>
      <x:c r="AD604" s="9" t="str">
        <x:v>green pen</x:v>
      </x:c>
      <x:c r="AE604" s="9" t="str">
        <x:v>pink marker</x:v>
      </x:c>
      <x:c r="AF604" s="9" t="str">
        <x:v>None</x:v>
      </x:c>
      <x:c r="AG604" s="9"/>
      <x:c r="AH604" s="9"/>
      <x:c r="AI604" s="11"/>
      <x:c r="AJ604" s="9"/>
      <x:c r="AK604" s="9" t="str">
        <x:v>Eval_Relational_Placement (1).xlsm</x:v>
      </x:c>
      <x:c r="AL604" s="9" t="str">
        <x:v>pi0.5 Results</x:v>
      </x:c>
      <x:c r="AM604" s="9" t="n">
        <x:v>154</x:v>
      </x:c>
      <x:c r="AN604" s="9" t="n">
        <x:v>154</x:v>
      </x:c>
    </x:row>
    <x:row r="605">
      <x:c r="A605" s="9" t="str">
        <x:v>Success</x:v>
      </x:c>
      <x:c r="B605" s="9" t="str">
        <x:v>Relational Placement</x:v>
      </x:c>
      <x:c r="C605" s="10" t="n">
        <x:v>153</x:v>
      </x:c>
      <x:c r="D605" s="9" t="str">
        <x:v>Move the pink marker to the back of the green pen.</x:v>
      </x:c>
      <x:c r="E605" s="9" t="str">
        <x:v>green pen, pink marker, red block, blue block</x:v>
      </x:c>
      <x:c r="F605" s="9" t="str">
        <x:v>NO MOVEMENT — requested relation is already satisfied at the start: pink marker → 2–8 cm edge gap behind green pen; centroid direction within ±45°.</x:v>
      </x:c>
      <x:c r="G605" s="9"/>
      <x:c r="H605" s="9" t="str">
        <x:v>Goal already satisfied / no movement</x:v>
      </x:c>
      <x:c r="I605" s="9" t="str">
        <x:v>RP-AG06</x:v>
      </x:c>
      <x:c r="J605" s="9" t="str">
        <x:v>In-distribution satisfied-state action-gating diagnostic</x:v>
      </x:c>
      <x:c r="K605" s="9" t="n">
        <x:v>152</x:v>
      </x:c>
      <x:c r="L605" s="9" t="str">
        <x:v>319</x:v>
      </x:c>
      <x:c r="M605" s="9"/>
      <x:c r="N605" s="9"/>
      <x:c r="O605" s="9" t="str">
        <x:v>Preserve the exact scene; change only the reciprocal target/reference instruction.</x:v>
      </x:c>
      <x:c r="P605" s="9" t="str">
        <x:v>Uses the reciprocal explicitly trained prompt from episode 319. Both rows in this state pair are simultaneously satisfied.</x:v>
      </x:c>
      <x:c r="Q605" s="9"/>
      <x:c r="R605" s="10" t="n">
        <x:v>4</x:v>
      </x:c>
      <x:c r="S605" s="10"/>
      <x:c r="T605" s="9"/>
      <x:c r="U605" s="9"/>
      <x:c r="V605" s="9"/>
      <x:c r="W605" s="9"/>
      <x:c r="X605" s="10"/>
      <x:c r="Y605" s="10"/>
      <x:c r="Z605" s="9"/>
      <x:c r="AA605" s="9"/>
      <x:c r="AB605" s="9"/>
      <x:c r="AC605" s="9" t="str">
        <x:v>behind</x:v>
      </x:c>
      <x:c r="AD605" s="9" t="str">
        <x:v>pink marker</x:v>
      </x:c>
      <x:c r="AE605" s="9" t="str">
        <x:v>green pen</x:v>
      </x:c>
      <x:c r="AF605" s="9" t="str">
        <x:v>None</x:v>
      </x:c>
      <x:c r="AG605" s="9"/>
      <x:c r="AH605" s="9"/>
      <x:c r="AI605" s="11"/>
      <x:c r="AJ605" s="9"/>
      <x:c r="AK605" s="9" t="str">
        <x:v>Eval_Relational_Placement (1).xlsm</x:v>
      </x:c>
      <x:c r="AL605" s="9" t="str">
        <x:v>pi0.5 Results</x:v>
      </x:c>
      <x:c r="AM605" s="9" t="n">
        <x:v>155</x:v>
      </x:c>
      <x:c r="AN605" s="9" t="n">
        <x:v>155</x:v>
      </x:c>
    </x:row>
    <x:row r="606">
      <x:c r="A606" s="9" t="str">
        <x:v>Success</x:v>
      </x:c>
      <x:c r="B606" s="9" t="str">
        <x:v>Relational Placement</x:v>
      </x:c>
      <x:c r="C606" s="10" t="n">
        <x:v>154</x:v>
      </x:c>
      <x:c r="D606" s="9" t="str">
        <x:v>Put the green pen on the table behind the blue block.</x:v>
      </x:c>
      <x:c r="E606" s="9" t="str">
        <x:v>green pen, blue block, pink marker</x:v>
      </x:c>
      <x:c r="F606" s="9" t="str">
        <x:v>NO MOVEMENT — requested relation is already satisfied at the start: green pen → 2–8 cm edge gap behind blue block; centroid direction within ±45°.</x:v>
      </x:c>
      <x:c r="G606" s="9"/>
      <x:c r="H606" s="9" t="str">
        <x:v>Goal already satisfied / no movement</x:v>
      </x:c>
      <x:c r="I606" s="9" t="str">
        <x:v>RP-AG07</x:v>
      </x:c>
      <x:c r="J606" s="9" t="str">
        <x:v>In-distribution satisfied-state action-gating diagnostic</x:v>
      </x:c>
      <x:c r="K606" s="9"/>
      <x:c r="L606" s="9" t="str">
        <x:v>224</x:v>
      </x:c>
      <x:c r="M606" s="9"/>
      <x:c r="N606" s="9"/>
      <x:c r="O606" s="9" t="str">
        <x:v>Build the listed already-satisfied scene and save the first frame.</x:v>
      </x:c>
      <x:c r="P606" s="9" t="str">
        <x:v>Uses the ordinary explicitly trained prompt from episode 224. Its prompt-matched movement-required counterpart is in the same four-row family.</x:v>
      </x:c>
      <x:c r="Q606" s="9"/>
      <x:c r="R606" s="10" t="n">
        <x:v>3</x:v>
      </x:c>
      <x:c r="S606" s="10"/>
      <x:c r="T606" s="9"/>
      <x:c r="U606" s="9"/>
      <x:c r="V606" s="9"/>
      <x:c r="W606" s="9"/>
      <x:c r="X606" s="10"/>
      <x:c r="Y606" s="10"/>
      <x:c r="Z606" s="9"/>
      <x:c r="AA606" s="9"/>
      <x:c r="AB606" s="9"/>
      <x:c r="AC606" s="9" t="str">
        <x:v>behind</x:v>
      </x:c>
      <x:c r="AD606" s="9" t="str">
        <x:v>green pen</x:v>
      </x:c>
      <x:c r="AE606" s="9" t="str">
        <x:v>blue block</x:v>
      </x:c>
      <x:c r="AF606" s="9" t="str">
        <x:v>None</x:v>
      </x:c>
      <x:c r="AG606" s="9"/>
      <x:c r="AH606" s="9"/>
      <x:c r="AI606" s="11"/>
      <x:c r="AJ606" s="9"/>
      <x:c r="AK606" s="9" t="str">
        <x:v>Eval_Relational_Placement (1).xlsm</x:v>
      </x:c>
      <x:c r="AL606" s="9" t="str">
        <x:v>pi0.5 Results</x:v>
      </x:c>
      <x:c r="AM606" s="9" t="n">
        <x:v>156</x:v>
      </x:c>
      <x:c r="AN606" s="9" t="n">
        <x:v>156</x:v>
      </x:c>
    </x:row>
    <x:row r="607">
      <x:c r="A607" s="9" t="str">
        <x:v>Success</x:v>
      </x:c>
      <x:c r="B607" s="9" t="str">
        <x:v>Relational Placement</x:v>
      </x:c>
      <x:c r="C607" s="10" t="n">
        <x:v>155</x:v>
      </x:c>
      <x:c r="D607" s="9" t="str">
        <x:v>Move the blue block to the front of the green pen.</x:v>
      </x:c>
      <x:c r="E607" s="9" t="str">
        <x:v>green pen, blue block, pink marker</x:v>
      </x:c>
      <x:c r="F607" s="9" t="str">
        <x:v>NO MOVEMENT — requested relation is already satisfied at the start: blue block → 2–8 cm edge gap in front of green pen; centroid direction within ±45°.</x:v>
      </x:c>
      <x:c r="G607" s="9"/>
      <x:c r="H607" s="9" t="str">
        <x:v>Goal already satisfied / no movement</x:v>
      </x:c>
      <x:c r="I607" s="9" t="str">
        <x:v>RP-AG07</x:v>
      </x:c>
      <x:c r="J607" s="9" t="str">
        <x:v>In-distribution satisfied-state action-gating diagnostic</x:v>
      </x:c>
      <x:c r="K607" s="9" t="n">
        <x:v>154</x:v>
      </x:c>
      <x:c r="L607" s="9" t="str">
        <x:v>353</x:v>
      </x:c>
      <x:c r="M607" s="9"/>
      <x:c r="N607" s="9"/>
      <x:c r="O607" s="9" t="str">
        <x:v>Preserve the exact scene; change only the reciprocal target/reference instruction.</x:v>
      </x:c>
      <x:c r="P607" s="9" t="str">
        <x:v>Uses the reciprocal explicitly trained prompt from episode 353. Both rows in this state pair are simultaneously satisfied.</x:v>
      </x:c>
      <x:c r="Q607" s="9"/>
      <x:c r="R607" s="10" t="n">
        <x:v>3</x:v>
      </x:c>
      <x:c r="S607" s="10"/>
      <x:c r="T607" s="9"/>
      <x:c r="U607" s="9"/>
      <x:c r="V607" s="9"/>
      <x:c r="W607" s="9"/>
      <x:c r="X607" s="10"/>
      <x:c r="Y607" s="10"/>
      <x:c r="Z607" s="9"/>
      <x:c r="AA607" s="9"/>
      <x:c r="AB607" s="9"/>
      <x:c r="AC607" s="9" t="str">
        <x:v>front</x:v>
      </x:c>
      <x:c r="AD607" s="9" t="str">
        <x:v>blue block</x:v>
      </x:c>
      <x:c r="AE607" s="9" t="str">
        <x:v>green pen</x:v>
      </x:c>
      <x:c r="AF607" s="9" t="str">
        <x:v>None</x:v>
      </x:c>
      <x:c r="AG607" s="9"/>
      <x:c r="AH607" s="9"/>
      <x:c r="AI607" s="11"/>
      <x:c r="AJ607" s="9"/>
      <x:c r="AK607" s="9" t="str">
        <x:v>Eval_Relational_Placement (1).xlsm</x:v>
      </x:c>
      <x:c r="AL607" s="9" t="str">
        <x:v>pi0.5 Results</x:v>
      </x:c>
      <x:c r="AM607" s="9" t="n">
        <x:v>157</x:v>
      </x:c>
      <x:c r="AN607" s="9" t="n">
        <x:v>157</x:v>
      </x:c>
    </x:row>
    <x:row r="608">
      <x:c r="A608" s="9" t="str">
        <x:v>Failure</x:v>
      </x:c>
      <x:c r="B608" s="9" t="str">
        <x:v>Relational Placement</x:v>
      </x:c>
      <x:c r="C608" s="10" t="n">
        <x:v>156</x:v>
      </x:c>
      <x:c r="D608" s="9" t="str">
        <x:v>Put the green pen on the table behind the blue block.</x:v>
      </x:c>
      <x:c r="E608" s="9" t="str">
        <x:v>green pen, blue block, pink marker</x:v>
      </x:c>
      <x:c r="F608" s="9" t="str">
        <x:v>green pen → 2–8 cm edge gap behind blue block; centroid direction within ±45°.</x:v>
      </x:c>
      <x:c r="G608" s="9" t="str">
        <x:v>didn't move</x:v>
      </x:c>
      <x:c r="H608" s="9" t="str">
        <x:v>Violated-relation correction control</x:v>
      </x:c>
      <x:c r="I608" s="9" t="str">
        <x:v>RP-AG07</x:v>
      </x:c>
      <x:c r="J608" s="9" t="str">
        <x:v>Matched opposite-sector movement-required control</x:v>
      </x:c>
      <x:c r="K608" s="9"/>
      <x:c r="L608" s="9" t="str">
        <x:v>224</x:v>
      </x:c>
      <x:c r="M608" s="9"/>
      <x:c r="N608" s="9"/>
      <x:c r="O608" s="9" t="str">
        <x:v>Move only P1 to the listed opposite-sector violated 5 cm position; preserve P2, every distractor, and the camera/robot setup.</x:v>
      </x:c>
      <x:c r="P608" s="9" t="str">
        <x:v>Uses the ordinary explicitly trained prompt from episode 224. Its prompt-matched no-movement counterpart is in the same four-row family.</x:v>
      </x:c>
      <x:c r="Q608" s="9"/>
      <x:c r="R608" s="10" t="n">
        <x:v>3</x:v>
      </x:c>
      <x:c r="S608" s="10"/>
      <x:c r="T608" s="9"/>
      <x:c r="U608" s="9"/>
      <x:c r="V608" s="9"/>
      <x:c r="W608" s="9"/>
      <x:c r="X608" s="10"/>
      <x:c r="Y608" s="10"/>
      <x:c r="Z608" s="9"/>
      <x:c r="AA608" s="9"/>
      <x:c r="AB608" s="9"/>
      <x:c r="AC608" s="9" t="str">
        <x:v>behind</x:v>
      </x:c>
      <x:c r="AD608" s="9" t="str">
        <x:v>green pen</x:v>
      </x:c>
      <x:c r="AE608" s="9" t="str">
        <x:v>blue block</x:v>
      </x:c>
      <x:c r="AF608" s="9" t="str">
        <x:v>None</x:v>
      </x:c>
      <x:c r="AG608" s="9"/>
      <x:c r="AH608" s="9"/>
      <x:c r="AI608" s="11"/>
      <x:c r="AJ608" s="9"/>
      <x:c r="AK608" s="9" t="str">
        <x:v>Eval_Relational_Placement (1).xlsm</x:v>
      </x:c>
      <x:c r="AL608" s="9" t="str">
        <x:v>pi0.5 Results</x:v>
      </x:c>
      <x:c r="AM608" s="9" t="n">
        <x:v>158</x:v>
      </x:c>
      <x:c r="AN608" s="9" t="n">
        <x:v>158</x:v>
      </x:c>
    </x:row>
    <x:row r="609">
      <x:c r="A609" s="9" t="str">
        <x:v>Success</x:v>
      </x:c>
      <x:c r="B609" s="9" t="str">
        <x:v>Relational Placement</x:v>
      </x:c>
      <x:c r="C609" s="10" t="n">
        <x:v>157</x:v>
      </x:c>
      <x:c r="D609" s="9" t="str">
        <x:v>Move the blue block to the front of the green pen.</x:v>
      </x:c>
      <x:c r="E609" s="9" t="str">
        <x:v>green pen, blue block, pink marker</x:v>
      </x:c>
      <x:c r="F609" s="9" t="str">
        <x:v>blue block → 2–8 cm edge gap in front of green pen; centroid direction within ±45°.</x:v>
      </x:c>
      <x:c r="G609" s="9" t="str">
        <x:v>very interesting rollout. Put it in front once, but no that close. went home and then back to put it closer</x:v>
      </x:c>
      <x:c r="H609" s="9" t="str">
        <x:v>Violated-relation correction control</x:v>
      </x:c>
      <x:c r="I609" s="9" t="str">
        <x:v>RP-AG07</x:v>
      </x:c>
      <x:c r="J609" s="9" t="str">
        <x:v>Matched opposite-sector movement-required control</x:v>
      </x:c>
      <x:c r="K609" s="9" t="n">
        <x:v>156</x:v>
      </x:c>
      <x:c r="L609" s="9" t="str">
        <x:v>353</x:v>
      </x:c>
      <x:c r="M609" s="9"/>
      <x:c r="N609" s="9"/>
      <x:c r="O609" s="9" t="str">
        <x:v>Preserve the exact scene; change only the reciprocal target/reference instruction.</x:v>
      </x:c>
      <x:c r="P609" s="9" t="str">
        <x:v>Uses the reciprocal explicitly trained prompt from episode 353. Both rows in this state pair are simultaneously violated.</x:v>
      </x:c>
      <x:c r="Q609" s="9"/>
      <x:c r="R609" s="10" t="n">
        <x:v>3</x:v>
      </x:c>
      <x:c r="S609" s="10"/>
      <x:c r="T609" s="9"/>
      <x:c r="U609" s="9"/>
      <x:c r="V609" s="9"/>
      <x:c r="W609" s="9"/>
      <x:c r="X609" s="10"/>
      <x:c r="Y609" s="10"/>
      <x:c r="Z609" s="9"/>
      <x:c r="AA609" s="9"/>
      <x:c r="AB609" s="9"/>
      <x:c r="AC609" s="9" t="str">
        <x:v>front</x:v>
      </x:c>
      <x:c r="AD609" s="9" t="str">
        <x:v>blue block</x:v>
      </x:c>
      <x:c r="AE609" s="9" t="str">
        <x:v>green pen</x:v>
      </x:c>
      <x:c r="AF609" s="9" t="str">
        <x:v>None</x:v>
      </x:c>
      <x:c r="AG609" s="9"/>
      <x:c r="AH609" s="9"/>
      <x:c r="AI609" s="11"/>
      <x:c r="AJ609" s="9"/>
      <x:c r="AK609" s="9" t="str">
        <x:v>Eval_Relational_Placement (1).xlsm</x:v>
      </x:c>
      <x:c r="AL609" s="9" t="str">
        <x:v>pi0.5 Results</x:v>
      </x:c>
      <x:c r="AM609" s="9" t="n">
        <x:v>159</x:v>
      </x:c>
      <x:c r="AN609" s="9" t="n">
        <x:v>159</x:v>
      </x:c>
    </x:row>
    <x:row r="610">
      <x:c r="A610" s="9" t="str">
        <x:v>Success</x:v>
      </x:c>
      <x:c r="B610" s="9" t="str">
        <x:v>Relational Placement</x:v>
      </x:c>
      <x:c r="C610" s="10" t="n">
        <x:v>158</x:v>
      </x:c>
      <x:c r="D610" s="9" t="str">
        <x:v>Move the red block to the front of the pink marker.</x:v>
      </x:c>
      <x:c r="E610" s="9" t="str">
        <x:v>red block, pink marker, green pen, blue block</x:v>
      </x:c>
      <x:c r="F610" s="9" t="str">
        <x:v>red block → 2–8 cm edge gap in front of pink marker; centroid direction within ±45°.</x:v>
      </x:c>
      <x:c r="G610" s="9"/>
      <x:c r="H610" s="9" t="str">
        <x:v>Violated-relation correction control</x:v>
      </x:c>
      <x:c r="I610" s="9" t="str">
        <x:v>RP-AG08</x:v>
      </x:c>
      <x:c r="J610" s="9" t="str">
        <x:v>Matched opposite-sector movement-required control</x:v>
      </x:c>
      <x:c r="K610" s="9"/>
      <x:c r="L610" s="9" t="str">
        <x:v>252</x:v>
      </x:c>
      <x:c r="M610" s="9"/>
      <x:c r="N610" s="9"/>
      <x:c r="O610" s="9" t="str">
        <x:v>Build the listed opposite-sector violated scene and save the first frame.</x:v>
      </x:c>
      <x:c r="P610" s="9" t="str">
        <x:v>Uses the ordinary explicitly trained prompt from episode 252. Its prompt-matched no-movement counterpart is in the same four-row family.</x:v>
      </x:c>
      <x:c r="Q610" s="9"/>
      <x:c r="R610" s="10" t="n">
        <x:v>4</x:v>
      </x:c>
      <x:c r="S610" s="10"/>
      <x:c r="T610" s="9"/>
      <x:c r="U610" s="9"/>
      <x:c r="V610" s="9"/>
      <x:c r="W610" s="9"/>
      <x:c r="X610" s="10"/>
      <x:c r="Y610" s="10"/>
      <x:c r="Z610" s="9"/>
      <x:c r="AA610" s="9"/>
      <x:c r="AB610" s="9"/>
      <x:c r="AC610" s="9" t="str">
        <x:v>front</x:v>
      </x:c>
      <x:c r="AD610" s="9" t="str">
        <x:v>red block</x:v>
      </x:c>
      <x:c r="AE610" s="9" t="str">
        <x:v>pink marker</x:v>
      </x:c>
      <x:c r="AF610" s="9" t="str">
        <x:v>None</x:v>
      </x:c>
      <x:c r="AG610" s="9"/>
      <x:c r="AH610" s="9"/>
      <x:c r="AI610" s="11"/>
      <x:c r="AJ610" s="9"/>
      <x:c r="AK610" s="9" t="str">
        <x:v>Eval_Relational_Placement (1).xlsm</x:v>
      </x:c>
      <x:c r="AL610" s="9" t="str">
        <x:v>pi0.5 Results</x:v>
      </x:c>
      <x:c r="AM610" s="9" t="n">
        <x:v>160</x:v>
      </x:c>
      <x:c r="AN610" s="9" t="n">
        <x:v>160</x:v>
      </x:c>
    </x:row>
    <x:row r="611">
      <x:c r="A611" s="9" t="str">
        <x:v>Failure</x:v>
      </x:c>
      <x:c r="B611" s="9" t="str">
        <x:v>Relational Placement</x:v>
      </x:c>
      <x:c r="C611" s="10" t="n">
        <x:v>159</x:v>
      </x:c>
      <x:c r="D611" s="9" t="str">
        <x:v>Put the pink marker on the table behind the red block.</x:v>
      </x:c>
      <x:c r="E611" s="9" t="str">
        <x:v>red block, pink marker, green pen, blue block</x:v>
      </x:c>
      <x:c r="F611" s="9" t="str">
        <x:v>pink marker → 2–8 cm edge gap behind red block; centroid direction within ±45°.</x:v>
      </x:c>
      <x:c r="G611" s="9" t="str">
        <x:v>didn't move</x:v>
      </x:c>
      <x:c r="H611" s="9" t="str">
        <x:v>Violated-relation correction control</x:v>
      </x:c>
      <x:c r="I611" s="9" t="str">
        <x:v>RP-AG08</x:v>
      </x:c>
      <x:c r="J611" s="9" t="str">
        <x:v>Matched opposite-sector movement-required control</x:v>
      </x:c>
      <x:c r="K611" s="9" t="n">
        <x:v>158</x:v>
      </x:c>
      <x:c r="L611" s="9" t="str">
        <x:v>323</x:v>
      </x:c>
      <x:c r="M611" s="9"/>
      <x:c r="N611" s="9"/>
      <x:c r="O611" s="9" t="str">
        <x:v>Preserve the exact scene; change only the reciprocal target/reference instruction.</x:v>
      </x:c>
      <x:c r="P611" s="9" t="str">
        <x:v>Uses the reciprocal explicitly trained prompt from episode 323. Both rows in this state pair are simultaneously violated.</x:v>
      </x:c>
      <x:c r="Q611" s="9"/>
      <x:c r="R611" s="10" t="n">
        <x:v>4</x:v>
      </x:c>
      <x:c r="S611" s="10"/>
      <x:c r="T611" s="9"/>
      <x:c r="U611" s="9"/>
      <x:c r="V611" s="9"/>
      <x:c r="W611" s="9"/>
      <x:c r="X611" s="10"/>
      <x:c r="Y611" s="10"/>
      <x:c r="Z611" s="9"/>
      <x:c r="AA611" s="9"/>
      <x:c r="AB611" s="9"/>
      <x:c r="AC611" s="9" t="str">
        <x:v>behind</x:v>
      </x:c>
      <x:c r="AD611" s="9" t="str">
        <x:v>pink marker</x:v>
      </x:c>
      <x:c r="AE611" s="9" t="str">
        <x:v>red block</x:v>
      </x:c>
      <x:c r="AF611" s="9" t="str">
        <x:v>None</x:v>
      </x:c>
      <x:c r="AG611" s="9"/>
      <x:c r="AH611" s="9"/>
      <x:c r="AI611" s="11"/>
      <x:c r="AJ611" s="9"/>
      <x:c r="AK611" s="9" t="str">
        <x:v>Eval_Relational_Placement (1).xlsm</x:v>
      </x:c>
      <x:c r="AL611" s="9" t="str">
        <x:v>pi0.5 Results</x:v>
      </x:c>
      <x:c r="AM611" s="9" t="n">
        <x:v>161</x:v>
      </x:c>
      <x:c r="AN611" s="9" t="n">
        <x:v>161</x:v>
      </x:c>
    </x:row>
    <x:row r="612">
      <x:c r="A612" s="9" t="str">
        <x:v>Success</x:v>
      </x:c>
      <x:c r="B612" s="9" t="str">
        <x:v>Relational Placement</x:v>
      </x:c>
      <x:c r="C612" s="10" t="n">
        <x:v>160</x:v>
      </x:c>
      <x:c r="D612" s="9" t="str">
        <x:v>Move the red block to the front of the pink marker.</x:v>
      </x:c>
      <x:c r="E612" s="9" t="str">
        <x:v>red block, pink marker, green pen, blue block</x:v>
      </x:c>
      <x:c r="F612" s="9" t="str">
        <x:v>NO MOVEMENT — requested relation is already satisfied at the start: red block → 2–8 cm edge gap in front of pink marker; centroid direction within ±45°.</x:v>
      </x:c>
      <x:c r="G612" s="9"/>
      <x:c r="H612" s="9" t="str">
        <x:v>Goal already satisfied / no movement</x:v>
      </x:c>
      <x:c r="I612" s="9" t="str">
        <x:v>RP-AG08</x:v>
      </x:c>
      <x:c r="J612" s="9" t="str">
        <x:v>In-distribution satisfied-state action-gating diagnostic</x:v>
      </x:c>
      <x:c r="K612" s="9"/>
      <x:c r="L612" s="9" t="str">
        <x:v>252</x:v>
      </x:c>
      <x:c r="M612" s="9"/>
      <x:c r="N612" s="9"/>
      <x:c r="O612" s="9" t="str">
        <x:v>Move only P1 to the listed already-satisfied 5 cm position; preserve P2, every distractor, and the camera/robot setup.</x:v>
      </x:c>
      <x:c r="P612" s="9" t="str">
        <x:v>Uses the ordinary explicitly trained prompt from episode 252. Its prompt-matched movement-required counterpart is in the same four-row family.</x:v>
      </x:c>
      <x:c r="Q612" s="9"/>
      <x:c r="R612" s="10" t="n">
        <x:v>4</x:v>
      </x:c>
      <x:c r="S612" s="10"/>
      <x:c r="T612" s="9"/>
      <x:c r="U612" s="9"/>
      <x:c r="V612" s="9"/>
      <x:c r="W612" s="9"/>
      <x:c r="X612" s="10"/>
      <x:c r="Y612" s="10"/>
      <x:c r="Z612" s="9"/>
      <x:c r="AA612" s="9"/>
      <x:c r="AB612" s="9"/>
      <x:c r="AC612" s="9" t="str">
        <x:v>front</x:v>
      </x:c>
      <x:c r="AD612" s="9" t="str">
        <x:v>red block</x:v>
      </x:c>
      <x:c r="AE612" s="9" t="str">
        <x:v>pink marker</x:v>
      </x:c>
      <x:c r="AF612" s="9" t="str">
        <x:v>None</x:v>
      </x:c>
      <x:c r="AG612" s="9"/>
      <x:c r="AH612" s="9"/>
      <x:c r="AI612" s="11"/>
      <x:c r="AJ612" s="9"/>
      <x:c r="AK612" s="9" t="str">
        <x:v>Eval_Relational_Placement (1).xlsm</x:v>
      </x:c>
      <x:c r="AL612" s="9" t="str">
        <x:v>pi0.5 Results</x:v>
      </x:c>
      <x:c r="AM612" s="9" t="n">
        <x:v>162</x:v>
      </x:c>
      <x:c r="AN612" s="9" t="n">
        <x:v>162</x:v>
      </x:c>
    </x:row>
    <x:row r="613">
      <x:c r="A613" s="9" t="str">
        <x:v>Failure</x:v>
      </x:c>
      <x:c r="B613" s="9" t="str">
        <x:v>Relational Placement</x:v>
      </x:c>
      <x:c r="C613" s="10" t="n">
        <x:v>161</x:v>
      </x:c>
      <x:c r="D613" s="9" t="str">
        <x:v>Put the pink marker on the table behind the red block.</x:v>
      </x:c>
      <x:c r="E613" s="9" t="str">
        <x:v>red block, pink marker, green pen, blue block</x:v>
      </x:c>
      <x:c r="F613" s="9" t="str">
        <x:v>NO MOVEMENT — requested relation is already satisfied at the start: pink marker → 2–8 cm edge gap behind red block; centroid direction within ±45°.</x:v>
      </x:c>
      <x:c r="G613" s="9" t="str">
        <x:v>moved to the pink marker 2 times</x:v>
      </x:c>
      <x:c r="H613" s="9" t="str">
        <x:v>Goal already satisfied / no movement</x:v>
      </x:c>
      <x:c r="I613" s="9" t="str">
        <x:v>RP-AG08</x:v>
      </x:c>
      <x:c r="J613" s="9" t="str">
        <x:v>In-distribution satisfied-state action-gating diagnostic</x:v>
      </x:c>
      <x:c r="K613" s="9" t="n">
        <x:v>160</x:v>
      </x:c>
      <x:c r="L613" s="9" t="str">
        <x:v>323</x:v>
      </x:c>
      <x:c r="M613" s="9"/>
      <x:c r="N613" s="9"/>
      <x:c r="O613" s="9" t="str">
        <x:v>Preserve the exact scene; change only the reciprocal target/reference instruction.</x:v>
      </x:c>
      <x:c r="P613" s="9" t="str">
        <x:v>Uses the reciprocal explicitly trained prompt from episode 323. Both rows in this state pair are simultaneously satisfied.</x:v>
      </x:c>
      <x:c r="Q613" s="9"/>
      <x:c r="R613" s="10" t="n">
        <x:v>4</x:v>
      </x:c>
      <x:c r="S613" s="10"/>
      <x:c r="T613" s="9"/>
      <x:c r="U613" s="9"/>
      <x:c r="V613" s="9"/>
      <x:c r="W613" s="9"/>
      <x:c r="X613" s="10"/>
      <x:c r="Y613" s="10"/>
      <x:c r="Z613" s="9"/>
      <x:c r="AA613" s="9"/>
      <x:c r="AB613" s="9"/>
      <x:c r="AC613" s="9" t="str">
        <x:v>behind</x:v>
      </x:c>
      <x:c r="AD613" s="9" t="str">
        <x:v>pink marker</x:v>
      </x:c>
      <x:c r="AE613" s="9" t="str">
        <x:v>red block</x:v>
      </x:c>
      <x:c r="AF613" s="9" t="str">
        <x:v>None</x:v>
      </x:c>
      <x:c r="AG613" s="9"/>
      <x:c r="AH613" s="9"/>
      <x:c r="AI613" s="11"/>
      <x:c r="AJ613" s="9"/>
      <x:c r="AK613" s="9" t="str">
        <x:v>Eval_Relational_Placement (1).xlsm</x:v>
      </x:c>
      <x:c r="AL613" s="9" t="str">
        <x:v>pi0.5 Results</x:v>
      </x:c>
      <x:c r="AM613" s="9" t="n">
        <x:v>163</x:v>
      </x:c>
      <x:c r="AN613" s="9" t="n">
        <x:v>163</x:v>
      </x:c>
    </x:row>
    <x:row r="614">
      <x:c r="A614" s="9" t="str">
        <x:v>Success</x:v>
      </x:c>
      <x:c r="B614" s="9" t="str">
        <x:v>Relational Placement</x:v>
      </x:c>
      <x:c r="C614" s="10" t="n">
        <x:v>162</x:v>
      </x:c>
      <x:c r="D614" s="9" t="str">
        <x:v>Put the red block on the table behind the blue block.</x:v>
      </x:c>
      <x:c r="E614" s="9" t="str">
        <x:v>red block, blue block, pink marker</x:v>
      </x:c>
      <x:c r="F614" s="9" t="str">
        <x:v>NO MOVEMENT — requested relation is already satisfied at the start: red block → 2–8 cm edge gap behind blue block; centroid direction within ±45°.</x:v>
      </x:c>
      <x:c r="G614" s="9"/>
      <x:c r="H614" s="9" t="str">
        <x:v>Goal already satisfied / no movement</x:v>
      </x:c>
      <x:c r="I614" s="9" t="str">
        <x:v>RP-AG09</x:v>
      </x:c>
      <x:c r="J614" s="9" t="str">
        <x:v>In-distribution satisfied-state action-gating diagnostic</x:v>
      </x:c>
      <x:c r="K614" s="9"/>
      <x:c r="L614" s="9" t="str">
        <x:v>270</x:v>
      </x:c>
      <x:c r="M614" s="9"/>
      <x:c r="N614" s="9"/>
      <x:c r="O614" s="9" t="str">
        <x:v>Build the listed already-satisfied scene and save the first frame.</x:v>
      </x:c>
      <x:c r="P614" s="9" t="str">
        <x:v>Uses the ordinary explicitly trained prompt from episode 270. Its prompt-matched movement-required counterpart is in the same four-row family.</x:v>
      </x:c>
      <x:c r="Q614" s="9"/>
      <x:c r="R614" s="10" t="n">
        <x:v>3</x:v>
      </x:c>
      <x:c r="S614" s="10"/>
      <x:c r="T614" s="9"/>
      <x:c r="U614" s="9"/>
      <x:c r="V614" s="9"/>
      <x:c r="W614" s="9"/>
      <x:c r="X614" s="10"/>
      <x:c r="Y614" s="10"/>
      <x:c r="Z614" s="9"/>
      <x:c r="AA614" s="9"/>
      <x:c r="AB614" s="9"/>
      <x:c r="AC614" s="9" t="str">
        <x:v>behind</x:v>
      </x:c>
      <x:c r="AD614" s="9" t="str">
        <x:v>red block</x:v>
      </x:c>
      <x:c r="AE614" s="9" t="str">
        <x:v>blue block</x:v>
      </x:c>
      <x:c r="AF614" s="9" t="str">
        <x:v>None</x:v>
      </x:c>
      <x:c r="AG614" s="9"/>
      <x:c r="AH614" s="9"/>
      <x:c r="AI614" s="11"/>
      <x:c r="AJ614" s="9"/>
      <x:c r="AK614" s="9" t="str">
        <x:v>Eval_Relational_Placement (1).xlsm</x:v>
      </x:c>
      <x:c r="AL614" s="9" t="str">
        <x:v>pi0.5 Results</x:v>
      </x:c>
      <x:c r="AM614" s="9" t="n">
        <x:v>164</x:v>
      </x:c>
      <x:c r="AN614" s="9" t="n">
        <x:v>164</x:v>
      </x:c>
    </x:row>
    <x:row r="615">
      <x:c r="A615" s="9" t="str">
        <x:v>Success</x:v>
      </x:c>
      <x:c r="B615" s="9" t="str">
        <x:v>Relational Placement</x:v>
      </x:c>
      <x:c r="C615" s="10" t="n">
        <x:v>163</x:v>
      </x:c>
      <x:c r="D615" s="9" t="str">
        <x:v>Move the blue block to the front of the red block.</x:v>
      </x:c>
      <x:c r="E615" s="9" t="str">
        <x:v>red block, blue block, pink marker</x:v>
      </x:c>
      <x:c r="F615" s="9" t="str">
        <x:v>NO MOVEMENT — requested relation is already satisfied at the start: blue block → 2–8 cm edge gap in front of red block; centroid direction within ±45°.</x:v>
      </x:c>
      <x:c r="G615" s="9"/>
      <x:c r="H615" s="9" t="str">
        <x:v>Goal already satisfied / no movement</x:v>
      </x:c>
      <x:c r="I615" s="9" t="str">
        <x:v>RP-AG09</x:v>
      </x:c>
      <x:c r="J615" s="9" t="str">
        <x:v>In-distribution satisfied-state action-gating diagnostic</x:v>
      </x:c>
      <x:c r="K615" s="9" t="n">
        <x:v>162</x:v>
      </x:c>
      <x:c r="L615" s="9" t="str">
        <x:v>357</x:v>
      </x:c>
      <x:c r="M615" s="9"/>
      <x:c r="N615" s="9"/>
      <x:c r="O615" s="9" t="str">
        <x:v>Preserve the exact scene; change only the reciprocal target/reference instruction.</x:v>
      </x:c>
      <x:c r="P615" s="9" t="str">
        <x:v>Uses the reciprocal explicitly trained prompt from episode 357. Both rows in this state pair are simultaneously satisfied.</x:v>
      </x:c>
      <x:c r="Q615" s="9"/>
      <x:c r="R615" s="10" t="n">
        <x:v>3</x:v>
      </x:c>
      <x:c r="S615" s="10"/>
      <x:c r="T615" s="9"/>
      <x:c r="U615" s="9"/>
      <x:c r="V615" s="9"/>
      <x:c r="W615" s="9"/>
      <x:c r="X615" s="10"/>
      <x:c r="Y615" s="10"/>
      <x:c r="Z615" s="9"/>
      <x:c r="AA615" s="9"/>
      <x:c r="AB615" s="9"/>
      <x:c r="AC615" s="9" t="str">
        <x:v>front</x:v>
      </x:c>
      <x:c r="AD615" s="9" t="str">
        <x:v>blue block</x:v>
      </x:c>
      <x:c r="AE615" s="9" t="str">
        <x:v>red block</x:v>
      </x:c>
      <x:c r="AF615" s="9" t="str">
        <x:v>None</x:v>
      </x:c>
      <x:c r="AG615" s="9"/>
      <x:c r="AH615" s="9"/>
      <x:c r="AI615" s="11"/>
      <x:c r="AJ615" s="9"/>
      <x:c r="AK615" s="9" t="str">
        <x:v>Eval_Relational_Placement (1).xlsm</x:v>
      </x:c>
      <x:c r="AL615" s="9" t="str">
        <x:v>pi0.5 Results</x:v>
      </x:c>
      <x:c r="AM615" s="9" t="n">
        <x:v>165</x:v>
      </x:c>
      <x:c r="AN615" s="9" t="n">
        <x:v>165</x:v>
      </x:c>
    </x:row>
    <x:row r="616">
      <x:c r="A616" s="9" t="str">
        <x:v>Failure</x:v>
      </x:c>
      <x:c r="B616" s="9" t="str">
        <x:v>Relational Placement</x:v>
      </x:c>
      <x:c r="C616" s="10" t="n">
        <x:v>164</x:v>
      </x:c>
      <x:c r="D616" s="9" t="str">
        <x:v>Put the red block on the table behind the blue block.</x:v>
      </x:c>
      <x:c r="E616" s="9" t="str">
        <x:v>red block, blue block, pink marker</x:v>
      </x:c>
      <x:c r="F616" s="9" t="str">
        <x:v>red block → 2–8 cm edge gap behind blue block; centroid direction within ±45°.</x:v>
      </x:c>
      <x:c r="G616" s="9" t="str">
        <x:v>didn't move</x:v>
      </x:c>
      <x:c r="H616" s="9" t="str">
        <x:v>Violated-relation correction control</x:v>
      </x:c>
      <x:c r="I616" s="9" t="str">
        <x:v>RP-AG09</x:v>
      </x:c>
      <x:c r="J616" s="9" t="str">
        <x:v>Matched opposite-sector movement-required control</x:v>
      </x:c>
      <x:c r="K616" s="9"/>
      <x:c r="L616" s="9" t="str">
        <x:v>270</x:v>
      </x:c>
      <x:c r="M616" s="9"/>
      <x:c r="N616" s="9"/>
      <x:c r="O616" s="9" t="str">
        <x:v>Move only P1 to the listed opposite-sector violated 5 cm position; preserve P2, every distractor, and the camera/robot setup.</x:v>
      </x:c>
      <x:c r="P616" s="9" t="str">
        <x:v>Uses the ordinary explicitly trained prompt from episode 270. Its prompt-matched no-movement counterpart is in the same four-row family.</x:v>
      </x:c>
      <x:c r="Q616" s="9"/>
      <x:c r="R616" s="10" t="n">
        <x:v>3</x:v>
      </x:c>
      <x:c r="S616" s="10"/>
      <x:c r="T616" s="9"/>
      <x:c r="U616" s="9"/>
      <x:c r="V616" s="9"/>
      <x:c r="W616" s="9"/>
      <x:c r="X616" s="10"/>
      <x:c r="Y616" s="10"/>
      <x:c r="Z616" s="9"/>
      <x:c r="AA616" s="9"/>
      <x:c r="AB616" s="9"/>
      <x:c r="AC616" s="9" t="str">
        <x:v>behind</x:v>
      </x:c>
      <x:c r="AD616" s="9" t="str">
        <x:v>red block</x:v>
      </x:c>
      <x:c r="AE616" s="9" t="str">
        <x:v>blue block</x:v>
      </x:c>
      <x:c r="AF616" s="9" t="str">
        <x:v>None</x:v>
      </x:c>
      <x:c r="AG616" s="9"/>
      <x:c r="AH616" s="9"/>
      <x:c r="AI616" s="11"/>
      <x:c r="AJ616" s="9"/>
      <x:c r="AK616" s="9" t="str">
        <x:v>Eval_Relational_Placement (1).xlsm</x:v>
      </x:c>
      <x:c r="AL616" s="9" t="str">
        <x:v>pi0.5 Results</x:v>
      </x:c>
      <x:c r="AM616" s="9" t="n">
        <x:v>166</x:v>
      </x:c>
      <x:c r="AN616" s="9" t="n">
        <x:v>166</x:v>
      </x:c>
    </x:row>
    <x:row r="617">
      <x:c r="A617" s="9" t="str">
        <x:v>Failure</x:v>
      </x:c>
      <x:c r="B617" s="9" t="str">
        <x:v>Relational Placement</x:v>
      </x:c>
      <x:c r="C617" s="10" t="n">
        <x:v>165</x:v>
      </x:c>
      <x:c r="D617" s="9" t="str">
        <x:v>Move the blue block to the front of the red block.</x:v>
      </x:c>
      <x:c r="E617" s="9" t="str">
        <x:v>red block, blue block, pink marker</x:v>
      </x:c>
      <x:c r="F617" s="9" t="str">
        <x:v>blue block → 2–8 cm edge gap in front of red block; centroid direction within ±45°.</x:v>
      </x:c>
      <x:c r="G617" s="9"/>
      <x:c r="H617" s="9" t="str">
        <x:v>Violated-relation correction control</x:v>
      </x:c>
      <x:c r="I617" s="9" t="str">
        <x:v>RP-AG09</x:v>
      </x:c>
      <x:c r="J617" s="9" t="str">
        <x:v>Matched opposite-sector movement-required control</x:v>
      </x:c>
      <x:c r="K617" s="9" t="n">
        <x:v>164</x:v>
      </x:c>
      <x:c r="L617" s="9" t="str">
        <x:v>357</x:v>
      </x:c>
      <x:c r="M617" s="9"/>
      <x:c r="N617" s="9"/>
      <x:c r="O617" s="9" t="str">
        <x:v>Preserve the exact scene; change only the reciprocal target/reference instruction.</x:v>
      </x:c>
      <x:c r="P617" s="9" t="str">
        <x:v>Uses the reciprocal explicitly trained prompt from episode 357. Both rows in this state pair are simultaneously violated.</x:v>
      </x:c>
      <x:c r="Q617" s="9"/>
      <x:c r="R617" s="10" t="n">
        <x:v>3</x:v>
      </x:c>
      <x:c r="S617" s="10"/>
      <x:c r="T617" s="9"/>
      <x:c r="U617" s="9"/>
      <x:c r="V617" s="9"/>
      <x:c r="W617" s="9"/>
      <x:c r="X617" s="10"/>
      <x:c r="Y617" s="10"/>
      <x:c r="Z617" s="9"/>
      <x:c r="AA617" s="9"/>
      <x:c r="AB617" s="9"/>
      <x:c r="AC617" s="9" t="str">
        <x:v>front</x:v>
      </x:c>
      <x:c r="AD617" s="9" t="str">
        <x:v>blue block</x:v>
      </x:c>
      <x:c r="AE617" s="9" t="str">
        <x:v>red block</x:v>
      </x:c>
      <x:c r="AF617" s="9" t="str">
        <x:v>None</x:v>
      </x:c>
      <x:c r="AG617" s="9"/>
      <x:c r="AH617" s="9"/>
      <x:c r="AI617" s="11"/>
      <x:c r="AJ617" s="9"/>
      <x:c r="AK617" s="9" t="str">
        <x:v>Eval_Relational_Placement (1).xlsm</x:v>
      </x:c>
      <x:c r="AL617" s="9" t="str">
        <x:v>pi0.5 Results</x:v>
      </x:c>
      <x:c r="AM617" s="9" t="n">
        <x:v>167</x:v>
      </x:c>
      <x:c r="AN617" s="9" t="n">
        <x:v>167</x:v>
      </x:c>
    </x:row>
    <x:row r="618">
      <x:c r="A618" s="9" t="str">
        <x:v>Failure</x:v>
      </x:c>
      <x:c r="B618" s="9" t="str">
        <x:v>Relational Placement</x:v>
      </x:c>
      <x:c r="C618" s="10" t="n">
        <x:v>166</x:v>
      </x:c>
      <x:c r="D618" s="9" t="str">
        <x:v>Place the red block in front of the blue block.</x:v>
      </x:c>
      <x:c r="E618" s="9" t="str">
        <x:v>red block, blue block, green pen, pink marker</x:v>
      </x:c>
      <x:c r="F618" s="9" t="str">
        <x:v>red block → 2–8 cm edge gap in front of blue block; centroid direction within ±45°.</x:v>
      </x:c>
      <x:c r="G618" s="9" t="str">
        <x:v>didn't move</x:v>
      </x:c>
      <x:c r="H618" s="9" t="str">
        <x:v>Violated-relation correction control</x:v>
      </x:c>
      <x:c r="I618" s="9" t="str">
        <x:v>RP-AG10</x:v>
      </x:c>
      <x:c r="J618" s="9" t="str">
        <x:v>Matched opposite-sector movement-required control</x:v>
      </x:c>
      <x:c r="K618" s="9"/>
      <x:c r="L618" s="9" t="str">
        <x:v>256</x:v>
      </x:c>
      <x:c r="M618" s="9"/>
      <x:c r="N618" s="9"/>
      <x:c r="O618" s="9" t="str">
        <x:v>Build the listed opposite-sector violated scene and save the first frame.</x:v>
      </x:c>
      <x:c r="P618" s="9" t="str">
        <x:v>Uses the ordinary explicitly trained prompt from episode 256. Its prompt-matched no-movement counterpart is in the same four-row family.</x:v>
      </x:c>
      <x:c r="Q618" s="9"/>
      <x:c r="R618" s="10" t="n">
        <x:v>4</x:v>
      </x:c>
      <x:c r="S618" s="10"/>
      <x:c r="T618" s="9"/>
      <x:c r="U618" s="9"/>
      <x:c r="V618" s="9"/>
      <x:c r="W618" s="9"/>
      <x:c r="X618" s="10"/>
      <x:c r="Y618" s="10"/>
      <x:c r="Z618" s="9"/>
      <x:c r="AA618" s="9"/>
      <x:c r="AB618" s="9"/>
      <x:c r="AC618" s="9" t="str">
        <x:v>front</x:v>
      </x:c>
      <x:c r="AD618" s="9" t="str">
        <x:v>red block</x:v>
      </x:c>
      <x:c r="AE618" s="9" t="str">
        <x:v>blue block</x:v>
      </x:c>
      <x:c r="AF618" s="9" t="str">
        <x:v>None</x:v>
      </x:c>
      <x:c r="AG618" s="9"/>
      <x:c r="AH618" s="9"/>
      <x:c r="AI618" s="11"/>
      <x:c r="AJ618" s="9"/>
      <x:c r="AK618" s="9" t="str">
        <x:v>Eval_Relational_Placement (1).xlsm</x:v>
      </x:c>
      <x:c r="AL618" s="9" t="str">
        <x:v>pi0.5 Results</x:v>
      </x:c>
      <x:c r="AM618" s="9" t="n">
        <x:v>168</x:v>
      </x:c>
      <x:c r="AN618" s="9" t="n">
        <x:v>168</x:v>
      </x:c>
    </x:row>
    <x:row r="619">
      <x:c r="A619" s="9" t="str">
        <x:v>Failure</x:v>
      </x:c>
      <x:c r="B619" s="9" t="str">
        <x:v>Relational Placement</x:v>
      </x:c>
      <x:c r="C619" s="10" t="n">
        <x:v>167</x:v>
      </x:c>
      <x:c r="D619" s="9" t="str">
        <x:v>Put the blue block on the table behind the red block.</x:v>
      </x:c>
      <x:c r="E619" s="9" t="str">
        <x:v>red block, blue block, green pen, pink marker</x:v>
      </x:c>
      <x:c r="F619" s="9" t="str">
        <x:v>blue block → 2–8 cm edge gap behind red block; centroid direction within ±45°.</x:v>
      </x:c>
      <x:c r="G619" s="9"/>
      <x:c r="H619" s="9" t="str">
        <x:v>Violated-relation correction control</x:v>
      </x:c>
      <x:c r="I619" s="9" t="str">
        <x:v>RP-AG10</x:v>
      </x:c>
      <x:c r="J619" s="9" t="str">
        <x:v>Matched opposite-sector movement-required control</x:v>
      </x:c>
      <x:c r="K619" s="9" t="n">
        <x:v>166</x:v>
      </x:c>
      <x:c r="L619" s="9" t="str">
        <x:v>369</x:v>
      </x:c>
      <x:c r="M619" s="9"/>
      <x:c r="N619" s="9"/>
      <x:c r="O619" s="9" t="str">
        <x:v>Preserve the exact scene; change only the reciprocal target/reference instruction.</x:v>
      </x:c>
      <x:c r="P619" s="9" t="str">
        <x:v>Uses the reciprocal explicitly trained prompt from episode 369. Both rows in this state pair are simultaneously violated.</x:v>
      </x:c>
      <x:c r="Q619" s="9"/>
      <x:c r="R619" s="10" t="n">
        <x:v>4</x:v>
      </x:c>
      <x:c r="S619" s="10"/>
      <x:c r="T619" s="9"/>
      <x:c r="U619" s="9"/>
      <x:c r="V619" s="9"/>
      <x:c r="W619" s="9"/>
      <x:c r="X619" s="10"/>
      <x:c r="Y619" s="10"/>
      <x:c r="Z619" s="9"/>
      <x:c r="AA619" s="9"/>
      <x:c r="AB619" s="9"/>
      <x:c r="AC619" s="9" t="str">
        <x:v>behind</x:v>
      </x:c>
      <x:c r="AD619" s="9" t="str">
        <x:v>blue block</x:v>
      </x:c>
      <x:c r="AE619" s="9" t="str">
        <x:v>red block</x:v>
      </x:c>
      <x:c r="AF619" s="9" t="str">
        <x:v>None</x:v>
      </x:c>
      <x:c r="AG619" s="9"/>
      <x:c r="AH619" s="9"/>
      <x:c r="AI619" s="11"/>
      <x:c r="AJ619" s="9"/>
      <x:c r="AK619" s="9" t="str">
        <x:v>Eval_Relational_Placement (1).xlsm</x:v>
      </x:c>
      <x:c r="AL619" s="9" t="str">
        <x:v>pi0.5 Results</x:v>
      </x:c>
      <x:c r="AM619" s="9" t="n">
        <x:v>169</x:v>
      </x:c>
      <x:c r="AN619" s="9" t="n">
        <x:v>169</x:v>
      </x:c>
    </x:row>
    <x:row r="620">
      <x:c r="A620" s="9" t="str">
        <x:v>Success</x:v>
      </x:c>
      <x:c r="B620" s="9" t="str">
        <x:v>Relational Placement</x:v>
      </x:c>
      <x:c r="C620" s="10" t="n">
        <x:v>168</x:v>
      </x:c>
      <x:c r="D620" s="9" t="str">
        <x:v>Place the red block in front of the blue block.</x:v>
      </x:c>
      <x:c r="E620" s="9" t="str">
        <x:v>red block, blue block, green pen, pink marker</x:v>
      </x:c>
      <x:c r="F620" s="9" t="str">
        <x:v>NO MOVEMENT — requested relation is already satisfied at the start: red block → 2–8 cm edge gap in front of blue block; centroid direction within ±45°.</x:v>
      </x:c>
      <x:c r="G620" s="9"/>
      <x:c r="H620" s="9" t="str">
        <x:v>Goal already satisfied / no movement</x:v>
      </x:c>
      <x:c r="I620" s="9" t="str">
        <x:v>RP-AG10</x:v>
      </x:c>
      <x:c r="J620" s="9" t="str">
        <x:v>In-distribution satisfied-state action-gating diagnostic</x:v>
      </x:c>
      <x:c r="K620" s="9"/>
      <x:c r="L620" s="9" t="str">
        <x:v>256</x:v>
      </x:c>
      <x:c r="M620" s="9"/>
      <x:c r="N620" s="9"/>
      <x:c r="O620" s="9" t="str">
        <x:v>Move only P1 to the listed already-satisfied 5 cm position; preserve P2, every distractor, and the camera/robot setup.</x:v>
      </x:c>
      <x:c r="P620" s="9" t="str">
        <x:v>Uses the ordinary explicitly trained prompt from episode 256. Its prompt-matched movement-required counterpart is in the same four-row family.</x:v>
      </x:c>
      <x:c r="Q620" s="9"/>
      <x:c r="R620" s="10" t="n">
        <x:v>4</x:v>
      </x:c>
      <x:c r="S620" s="10"/>
      <x:c r="T620" s="9"/>
      <x:c r="U620" s="9"/>
      <x:c r="V620" s="9"/>
      <x:c r="W620" s="9"/>
      <x:c r="X620" s="10"/>
      <x:c r="Y620" s="10"/>
      <x:c r="Z620" s="9"/>
      <x:c r="AA620" s="9"/>
      <x:c r="AB620" s="9"/>
      <x:c r="AC620" s="9" t="str">
        <x:v>front</x:v>
      </x:c>
      <x:c r="AD620" s="9" t="str">
        <x:v>red block</x:v>
      </x:c>
      <x:c r="AE620" s="9" t="str">
        <x:v>blue block</x:v>
      </x:c>
      <x:c r="AF620" s="9" t="str">
        <x:v>None</x:v>
      </x:c>
      <x:c r="AG620" s="9"/>
      <x:c r="AH620" s="9"/>
      <x:c r="AI620" s="11"/>
      <x:c r="AJ620" s="9"/>
      <x:c r="AK620" s="9" t="str">
        <x:v>Eval_Relational_Placement (1).xlsm</x:v>
      </x:c>
      <x:c r="AL620" s="9" t="str">
        <x:v>pi0.5 Results</x:v>
      </x:c>
      <x:c r="AM620" s="9" t="n">
        <x:v>170</x:v>
      </x:c>
      <x:c r="AN620" s="9" t="n">
        <x:v>170</x:v>
      </x:c>
    </x:row>
    <x:row r="621">
      <x:c r="A621" s="9" t="str">
        <x:v>Success</x:v>
      </x:c>
      <x:c r="B621" s="9" t="str">
        <x:v>Relational Placement</x:v>
      </x:c>
      <x:c r="C621" s="10" t="n">
        <x:v>169</x:v>
      </x:c>
      <x:c r="D621" s="9" t="str">
        <x:v>Put the blue block on the table behind the red block.</x:v>
      </x:c>
      <x:c r="E621" s="9" t="str">
        <x:v>red block, blue block, green pen, pink marker</x:v>
      </x:c>
      <x:c r="F621" s="9" t="str">
        <x:v>NO MOVEMENT — requested relation is already satisfied at the start: blue block → 2–8 cm edge gap behind red block; centroid direction within ±45°.</x:v>
      </x:c>
      <x:c r="G621" s="9"/>
      <x:c r="H621" s="9" t="str">
        <x:v>Goal already satisfied / no movement</x:v>
      </x:c>
      <x:c r="I621" s="9" t="str">
        <x:v>RP-AG10</x:v>
      </x:c>
      <x:c r="J621" s="9" t="str">
        <x:v>In-distribution satisfied-state action-gating diagnostic</x:v>
      </x:c>
      <x:c r="K621" s="9" t="n">
        <x:v>168</x:v>
      </x:c>
      <x:c r="L621" s="9" t="str">
        <x:v>369</x:v>
      </x:c>
      <x:c r="M621" s="9"/>
      <x:c r="N621" s="9"/>
      <x:c r="O621" s="9" t="str">
        <x:v>Preserve the exact scene; change only the reciprocal target/reference instruction.</x:v>
      </x:c>
      <x:c r="P621" s="9" t="str">
        <x:v>Uses the reciprocal explicitly trained prompt from episode 369. Both rows in this state pair are simultaneously satisfied.</x:v>
      </x:c>
      <x:c r="Q621" s="9"/>
      <x:c r="R621" s="10" t="n">
        <x:v>4</x:v>
      </x:c>
      <x:c r="S621" s="10"/>
      <x:c r="T621" s="9"/>
      <x:c r="U621" s="9"/>
      <x:c r="V621" s="9"/>
      <x:c r="W621" s="9"/>
      <x:c r="X621" s="10"/>
      <x:c r="Y621" s="10"/>
      <x:c r="Z621" s="9"/>
      <x:c r="AA621" s="9"/>
      <x:c r="AB621" s="9"/>
      <x:c r="AC621" s="9" t="str">
        <x:v>behind</x:v>
      </x:c>
      <x:c r="AD621" s="9" t="str">
        <x:v>blue block</x:v>
      </x:c>
      <x:c r="AE621" s="9" t="str">
        <x:v>red block</x:v>
      </x:c>
      <x:c r="AF621" s="9" t="str">
        <x:v>None</x:v>
      </x:c>
      <x:c r="AG621" s="9"/>
      <x:c r="AH621" s="9"/>
      <x:c r="AI621" s="11"/>
      <x:c r="AJ621" s="9"/>
      <x:c r="AK621" s="9" t="str">
        <x:v>Eval_Relational_Placement (1).xlsm</x:v>
      </x:c>
      <x:c r="AL621" s="9" t="str">
        <x:v>pi0.5 Results</x:v>
      </x:c>
      <x:c r="AM621" s="9" t="n">
        <x:v>171</x:v>
      </x:c>
      <x:c r="AN621" s="9" t="n">
        <x:v>171</x:v>
      </x:c>
    </x:row>
    <x:row r="622">
      <x:c r="A622" s="9" t="str">
        <x:v>Success</x:v>
      </x:c>
      <x:c r="B622" s="9" t="str">
        <x:v>Referential Disambiguation</x:v>
      </x:c>
      <x:c r="C622" s="10" t="n">
        <x:v>0</x:v>
      </x:c>
      <x:c r="D622" s="9" t="str">
        <x:v>Move the crushed soda can lying between the green pencil sharpener and the green pen into the bowl.</x:v>
      </x:c>
      <x:c r="E622" s="9" t="str">
        <x:v>crushed Coke can; crushed Pepsi can; green pencil sharpener; green pen</x:v>
      </x:c>
      <x:c r="F622" s="9" t="str">
        <x:v>crushed Coke can</x:v>
      </x:c>
      <x:c r="G622" s="9"/>
      <x:c r="H622" s="9" t="str">
        <x:v>In-distribution concept baseline</x:v>
      </x:c>
      <x:c r="I622" s="9" t="str">
        <x:v>RD-ID01</x:v>
      </x:c>
      <x:c r="J622" s="9" t="str">
        <x:v>Exact training-supported relation × candidate-category baseline</x:v>
      </x:c>
      <x:c r="K622" s="9"/>
      <x:c r="L622" s="9" t="str">
        <x:v>430</x:v>
      </x:c>
      <x:c r="M622" s="9" t="str">
        <x:v>Exact manifest cell: prompt, relation × candidate-category combination, target identity, and object membership are explicitly represented in training; physical positions are manually recreated with a clear margin.</x:v>
      </x:c>
      <x:c r="N622" s="9" t="n">
        <x:v>1</x:v>
      </x:c>
      <x:c r="O622" s="9" t="str">
        <x:v>Place the 4 listed objects. Arrange Expected Target as the unique answer to the prompt; keep the bowl empty.</x:v>
      </x:c>
      <x:c r="P622" s="9" t="str">
        <x:v>The relation, candidate category, target identity, and object membership occur together in the cited training episode.</x:v>
      </x:c>
      <x:c r="Q622" s="9"/>
      <x:c r="R622" s="10" t="n">
        <x:v>4</x:v>
      </x:c>
      <x:c r="S622" s="10" t="n">
        <x:v>1</x:v>
      </x:c>
      <x:c r="T622" s="9" t="str">
        <x:v>Empty</x:v>
      </x:c>
      <x:c r="U622" s="9"/>
      <x:c r="V622" s="9"/>
      <x:c r="W622" s="9"/>
      <x:c r="X622" s="10"/>
      <x:c r="Y622" s="10"/>
      <x:c r="Z622" s="9"/>
      <x:c r="AA622" s="9"/>
      <x:c r="AB622" s="9" t="str">
        <x:v>between</x:v>
      </x:c>
      <x:c r="AC622" s="9"/>
      <x:c r="AD622" s="9"/>
      <x:c r="AE622" s="9"/>
      <x:c r="AF622" s="9"/>
      <x:c r="AG622" s="9" t="str">
        <x:v>crushed soda can</x:v>
      </x:c>
      <x:c r="AH622" s="9"/>
      <x:c r="AI622" s="11"/>
      <x:c r="AJ622" s="9"/>
      <x:c r="AK622" s="9" t="str">
        <x:v>Eval_Referential_Disambiguation.xlsm</x:v>
      </x:c>
      <x:c r="AL622" s="9" t="str">
        <x:v>pi0.5 Results</x:v>
      </x:c>
      <x:c r="AM622" s="9" t="n">
        <x:v>2</x:v>
      </x:c>
      <x:c r="AN622" s="9" t="n">
        <x:v>2</x:v>
      </x:c>
    </x:row>
    <x:row r="623">
      <x:c r="A623" s="9" t="str">
        <x:v>Success</x:v>
      </x:c>
      <x:c r="B623" s="9" t="str">
        <x:v>Referential Disambiguation</x:v>
      </x:c>
      <x:c r="C623" s="10" t="n">
        <x:v>1</x:v>
      </x:c>
      <x:c r="D623" s="9" t="str">
        <x:v>Pick up the crushed soda can positioned between the airplane toy with propellers and the green pen, then place it in the bowl.</x:v>
      </x:c>
      <x:c r="E623" s="9" t="str">
        <x:v>crushed Coke can; crushed Pepsi can; airplane toy with propellers; green pen; green pencil sharpener</x:v>
      </x:c>
      <x:c r="F623" s="9" t="str">
        <x:v>crushed Coke can</x:v>
      </x:c>
      <x:c r="G623" s="9"/>
      <x:c r="H623" s="9" t="str">
        <x:v>In-distribution concept baseline</x:v>
      </x:c>
      <x:c r="I623" s="9" t="str">
        <x:v>RD-ID02</x:v>
      </x:c>
      <x:c r="J623" s="9" t="str">
        <x:v>Exact training-supported relation × candidate-category baseline</x:v>
      </x:c>
      <x:c r="K623" s="9"/>
      <x:c r="L623" s="9" t="str">
        <x:v>432</x:v>
      </x:c>
      <x:c r="M623" s="9" t="str">
        <x:v>Exact manifest cell: prompt, relation × candidate-category combination, target identity, and object membership are explicitly represented in training; physical positions are manually recreated with a clear margin.</x:v>
      </x:c>
      <x:c r="N623" s="9" t="n">
        <x:v>1</x:v>
      </x:c>
      <x:c r="O623" s="9" t="str">
        <x:v>Place the 5 listed objects. Arrange Expected Target as the unique answer to the prompt; keep the bowl empty.</x:v>
      </x:c>
      <x:c r="P623" s="9" t="str">
        <x:v>The relation, candidate category, target identity, and object membership occur together in the cited training episode.</x:v>
      </x:c>
      <x:c r="Q623" s="9"/>
      <x:c r="R623" s="10" t="n">
        <x:v>5</x:v>
      </x:c>
      <x:c r="S623" s="10" t="n">
        <x:v>1</x:v>
      </x:c>
      <x:c r="T623" s="9" t="str">
        <x:v>Empty</x:v>
      </x:c>
      <x:c r="U623" s="9"/>
      <x:c r="V623" s="9"/>
      <x:c r="W623" s="9"/>
      <x:c r="X623" s="10"/>
      <x:c r="Y623" s="10"/>
      <x:c r="Z623" s="9"/>
      <x:c r="AA623" s="9"/>
      <x:c r="AB623" s="9" t="str">
        <x:v>between</x:v>
      </x:c>
      <x:c r="AC623" s="9"/>
      <x:c r="AD623" s="9"/>
      <x:c r="AE623" s="9"/>
      <x:c r="AF623" s="9"/>
      <x:c r="AG623" s="9" t="str">
        <x:v>crushed soda can</x:v>
      </x:c>
      <x:c r="AH623" s="9"/>
      <x:c r="AI623" s="11"/>
      <x:c r="AJ623" s="9"/>
      <x:c r="AK623" s="9" t="str">
        <x:v>Eval_Referential_Disambiguation.xlsm</x:v>
      </x:c>
      <x:c r="AL623" s="9" t="str">
        <x:v>pi0.5 Results</x:v>
      </x:c>
      <x:c r="AM623" s="9" t="n">
        <x:v>3</x:v>
      </x:c>
      <x:c r="AN623" s="9" t="n">
        <x:v>3</x:v>
      </x:c>
    </x:row>
    <x:row r="624">
      <x:c r="A624" s="9" t="str">
        <x:v>Success</x:v>
      </x:c>
      <x:c r="B624" s="9" t="str">
        <x:v>Referential Disambiguation</x:v>
      </x:c>
      <x:c r="C624" s="10" t="n">
        <x:v>2</x:v>
      </x:c>
      <x:c r="D624" s="9" t="str">
        <x:v>Pick up the crushed soda can positioned between the airplane toy with propellers and the green pencil sharpener, then place it in the bowl.</x:v>
      </x:c>
      <x:c r="E624" s="9" t="str">
        <x:v>crushed Coke can; crushed Pepsi can; airplane toy with propellers; green pencil sharpener</x:v>
      </x:c>
      <x:c r="F624" s="9" t="str">
        <x:v>crushed Coke can</x:v>
      </x:c>
      <x:c r="G624" s="9"/>
      <x:c r="H624" s="9" t="str">
        <x:v>In-distribution concept baseline</x:v>
      </x:c>
      <x:c r="I624" s="9" t="str">
        <x:v>RD-ID03</x:v>
      </x:c>
      <x:c r="J624" s="9" t="str">
        <x:v>Exact training-supported relation × candidate-category baseline</x:v>
      </x:c>
      <x:c r="K624" s="9"/>
      <x:c r="L624" s="9" t="str">
        <x:v>431</x:v>
      </x:c>
      <x:c r="M624" s="9" t="str">
        <x:v>Exact manifest cell: prompt, relation × candidate-category combination, target identity, and object membership are explicitly represented in training; physical positions are manually recreated with a clear margin.</x:v>
      </x:c>
      <x:c r="N624" s="9" t="n">
        <x:v>1</x:v>
      </x:c>
      <x:c r="O624" s="9" t="str">
        <x:v>Place the 4 listed objects. Arrange Expected Target as the unique answer to the prompt; keep the bowl empty.</x:v>
      </x:c>
      <x:c r="P624" s="9" t="str">
        <x:v>The relation, candidate category, target identity, and object membership occur together in the cited training episode.</x:v>
      </x:c>
      <x:c r="Q624" s="9"/>
      <x:c r="R624" s="10" t="n">
        <x:v>4</x:v>
      </x:c>
      <x:c r="S624" s="10" t="n">
        <x:v>1</x:v>
      </x:c>
      <x:c r="T624" s="9" t="str">
        <x:v>Empty</x:v>
      </x:c>
      <x:c r="U624" s="9"/>
      <x:c r="V624" s="9"/>
      <x:c r="W624" s="9"/>
      <x:c r="X624" s="10"/>
      <x:c r="Y624" s="10"/>
      <x:c r="Z624" s="9"/>
      <x:c r="AA624" s="9"/>
      <x:c r="AB624" s="9" t="str">
        <x:v>between</x:v>
      </x:c>
      <x:c r="AC624" s="9"/>
      <x:c r="AD624" s="9"/>
      <x:c r="AE624" s="9"/>
      <x:c r="AF624" s="9"/>
      <x:c r="AG624" s="9" t="str">
        <x:v>crushed soda can</x:v>
      </x:c>
      <x:c r="AH624" s="9"/>
      <x:c r="AI624" s="11"/>
      <x:c r="AJ624" s="9"/>
      <x:c r="AK624" s="9" t="str">
        <x:v>Eval_Referential_Disambiguation.xlsm</x:v>
      </x:c>
      <x:c r="AL624" s="9" t="str">
        <x:v>pi0.5 Results</x:v>
      </x:c>
      <x:c r="AM624" s="9" t="n">
        <x:v>4</x:v>
      </x:c>
      <x:c r="AN624" s="9" t="n">
        <x:v>4</x:v>
      </x:c>
    </x:row>
    <x:row r="625">
      <x:c r="A625" s="9" t="str">
        <x:v>Success</x:v>
      </x:c>
      <x:c r="B625" s="9" t="str">
        <x:v>Referential Disambiguation</x:v>
      </x:c>
      <x:c r="C625" s="10" t="n">
        <x:v>3</x:v>
      </x:c>
      <x:c r="D625" s="9" t="str">
        <x:v>Pick up the crushed soda can furthest from the green pen and place it in the bowl.</x:v>
      </x:c>
      <x:c r="E625" s="9" t="str">
        <x:v>crushed Coke can; crushed Pepsi can; green pen</x:v>
      </x:c>
      <x:c r="F625" s="9" t="str">
        <x:v>crushed Pepsi can</x:v>
      </x:c>
      <x:c r="G625" s="9"/>
      <x:c r="H625" s="9" t="str">
        <x:v>In-distribution concept baseline</x:v>
      </x:c>
      <x:c r="I625" s="9" t="str">
        <x:v>RD-ID04</x:v>
      </x:c>
      <x:c r="J625" s="9" t="str">
        <x:v>Exact training-supported relation × candidate-category baseline</x:v>
      </x:c>
      <x:c r="K625" s="9"/>
      <x:c r="L625" s="9" t="str">
        <x:v>415</x:v>
      </x:c>
      <x:c r="M625" s="9" t="str">
        <x:v>Exact manifest cell: prompt, relation × candidate-category combination, target identity, and object membership are explicitly represented in training; physical positions are manually recreated with a clear margin.</x:v>
      </x:c>
      <x:c r="N625" s="9" t="n">
        <x:v>1</x:v>
      </x:c>
      <x:c r="O625" s="9" t="str">
        <x:v>Place the 3 listed objects. Arrange Expected Target as the unique answer to the prompt; keep the bowl empty.</x:v>
      </x:c>
      <x:c r="P625" s="9" t="str">
        <x:v>The relation, candidate category, target identity, and object membership occur together in the cited training episode.</x:v>
      </x:c>
      <x:c r="Q625" s="9"/>
      <x:c r="R625" s="10" t="n">
        <x:v>3</x:v>
      </x:c>
      <x:c r="S625" s="10" t="n">
        <x:v>1</x:v>
      </x:c>
      <x:c r="T625" s="9" t="str">
        <x:v>Empty</x:v>
      </x:c>
      <x:c r="U625" s="9"/>
      <x:c r="V625" s="9"/>
      <x:c r="W625" s="9"/>
      <x:c r="X625" s="10"/>
      <x:c r="Y625" s="10"/>
      <x:c r="Z625" s="9"/>
      <x:c r="AA625" s="9"/>
      <x:c r="AB625" s="9" t="str">
        <x:v>furthest</x:v>
      </x:c>
      <x:c r="AC625" s="9"/>
      <x:c r="AD625" s="9"/>
      <x:c r="AE625" s="9"/>
      <x:c r="AF625" s="9"/>
      <x:c r="AG625" s="9" t="str">
        <x:v>crushed soda can</x:v>
      </x:c>
      <x:c r="AH625" s="9"/>
      <x:c r="AI625" s="11"/>
      <x:c r="AJ625" s="9"/>
      <x:c r="AK625" s="9" t="str">
        <x:v>Eval_Referential_Disambiguation.xlsm</x:v>
      </x:c>
      <x:c r="AL625" s="9" t="str">
        <x:v>pi0.5 Results</x:v>
      </x:c>
      <x:c r="AM625" s="9" t="n">
        <x:v>5</x:v>
      </x:c>
      <x:c r="AN625" s="9" t="n">
        <x:v>5</x:v>
      </x:c>
    </x:row>
    <x:row r="626">
      <x:c r="A626" s="9" t="str">
        <x:v>Failure</x:v>
      </x:c>
      <x:c r="B626" s="9" t="str">
        <x:v>Referential Disambiguation</x:v>
      </x:c>
      <x:c r="C626" s="10" t="n">
        <x:v>4</x:v>
      </x:c>
      <x:c r="D626" s="9" t="str">
        <x:v>Pick up the crushed soda can furthest from the yellow pen and place it in the bowl.</x:v>
      </x:c>
      <x:c r="E626" s="9" t="str">
        <x:v>crushed Coke can; crushed Pepsi can; yellow pen; airplane toy with propellers</x:v>
      </x:c>
      <x:c r="F626" s="9" t="str">
        <x:v>crushed Coke can</x:v>
      </x:c>
      <x:c r="G626" s="9" t="str">
        <x:v>picked pepsi can</x:v>
      </x:c>
      <x:c r="H626" s="9" t="str">
        <x:v>In-distribution concept baseline</x:v>
      </x:c>
      <x:c r="I626" s="9" t="str">
        <x:v>RD-ID05</x:v>
      </x:c>
      <x:c r="J626" s="9" t="str">
        <x:v>Exact training-supported relation × candidate-category baseline</x:v>
      </x:c>
      <x:c r="K626" s="9"/>
      <x:c r="L626" s="9" t="str">
        <x:v>416</x:v>
      </x:c>
      <x:c r="M626" s="9" t="str">
        <x:v>Exact manifest cell: prompt, relation × candidate-category combination, target identity, and object membership are explicitly represented in training; physical positions are manually recreated with a clear margin.</x:v>
      </x:c>
      <x:c r="N626" s="9" t="n">
        <x:v>1</x:v>
      </x:c>
      <x:c r="O626" s="9" t="str">
        <x:v>Place the 4 listed objects. Arrange Expected Target as the unique answer to the prompt; keep the bowl empty.</x:v>
      </x:c>
      <x:c r="P626" s="9" t="str">
        <x:v>The relation, candidate category, target identity, and object membership occur together in the cited training episode.</x:v>
      </x:c>
      <x:c r="Q626" s="9"/>
      <x:c r="R626" s="10" t="n">
        <x:v>4</x:v>
      </x:c>
      <x:c r="S626" s="10" t="n">
        <x:v>1</x:v>
      </x:c>
      <x:c r="T626" s="9" t="str">
        <x:v>Empty</x:v>
      </x:c>
      <x:c r="U626" s="9"/>
      <x:c r="V626" s="9"/>
      <x:c r="W626" s="9"/>
      <x:c r="X626" s="10"/>
      <x:c r="Y626" s="10"/>
      <x:c r="Z626" s="9"/>
      <x:c r="AA626" s="9"/>
      <x:c r="AB626" s="9" t="str">
        <x:v>furthest</x:v>
      </x:c>
      <x:c r="AC626" s="9"/>
      <x:c r="AD626" s="9"/>
      <x:c r="AE626" s="9"/>
      <x:c r="AF626" s="9"/>
      <x:c r="AG626" s="9" t="str">
        <x:v>crushed soda can</x:v>
      </x:c>
      <x:c r="AH626" s="9"/>
      <x:c r="AI626" s="11"/>
      <x:c r="AJ626" s="9"/>
      <x:c r="AK626" s="9" t="str">
        <x:v>Eval_Referential_Disambiguation.xlsm</x:v>
      </x:c>
      <x:c r="AL626" s="9" t="str">
        <x:v>pi0.5 Results</x:v>
      </x:c>
      <x:c r="AM626" s="9" t="n">
        <x:v>6</x:v>
      </x:c>
      <x:c r="AN626" s="9" t="n">
        <x:v>6</x:v>
      </x:c>
    </x:row>
    <x:row r="627">
      <x:c r="A627" s="9" t="str">
        <x:v>Success</x:v>
      </x:c>
      <x:c r="B627" s="9" t="str">
        <x:v>Referential Disambiguation</x:v>
      </x:c>
      <x:c r="C627" s="10" t="n">
        <x:v>5</x:v>
      </x:c>
      <x:c r="D627" s="9" t="str">
        <x:v>Pick up the pencil sharpener nearest to the crushed Coke can and place it in the bowl.</x:v>
      </x:c>
      <x:c r="E627" s="9" t="str">
        <x:v>green pencil sharpener; red pencil sharpener; crushed Coke can</x:v>
      </x:c>
      <x:c r="F627" s="9" t="str">
        <x:v>green pencil sharpener</x:v>
      </x:c>
      <x:c r="G627" s="9"/>
      <x:c r="H627" s="9" t="str">
        <x:v>In-distribution concept baseline</x:v>
      </x:c>
      <x:c r="I627" s="9" t="str">
        <x:v>RD-ID06</x:v>
      </x:c>
      <x:c r="J627" s="9" t="str">
        <x:v>Exact training-supported relation × candidate-category baseline</x:v>
      </x:c>
      <x:c r="K627" s="9"/>
      <x:c r="L627" s="9" t="str">
        <x:v>450</x:v>
      </x:c>
      <x:c r="M627" s="9" t="str">
        <x:v>Exact manifest cell: prompt, relation × candidate-category combination, target identity, and object membership are explicitly represented in training; physical positions are manually recreated with a clear margin.</x:v>
      </x:c>
      <x:c r="N627" s="9" t="n">
        <x:v>1</x:v>
      </x:c>
      <x:c r="O627" s="9" t="str">
        <x:v>Place the 3 listed objects. Arrange Expected Target as the unique answer to the prompt; keep the bowl empty.</x:v>
      </x:c>
      <x:c r="P627" s="9" t="str">
        <x:v>The relation, candidate category, target identity, and object membership occur together in the cited training episode.</x:v>
      </x:c>
      <x:c r="Q627" s="9"/>
      <x:c r="R627" s="10" t="n">
        <x:v>3</x:v>
      </x:c>
      <x:c r="S627" s="10" t="n">
        <x:v>1</x:v>
      </x:c>
      <x:c r="T627" s="9" t="str">
        <x:v>Empty</x:v>
      </x:c>
      <x:c r="U627" s="9"/>
      <x:c r="V627" s="9"/>
      <x:c r="W627" s="9"/>
      <x:c r="X627" s="10"/>
      <x:c r="Y627" s="10"/>
      <x:c r="Z627" s="9"/>
      <x:c r="AA627" s="9"/>
      <x:c r="AB627" s="9" t="str">
        <x:v>closest</x:v>
      </x:c>
      <x:c r="AC627" s="9"/>
      <x:c r="AD627" s="9"/>
      <x:c r="AE627" s="9"/>
      <x:c r="AF627" s="9"/>
      <x:c r="AG627" s="9" t="str">
        <x:v>pencil sharpener</x:v>
      </x:c>
      <x:c r="AH627" s="9"/>
      <x:c r="AI627" s="11"/>
      <x:c r="AJ627" s="9"/>
      <x:c r="AK627" s="9" t="str">
        <x:v>Eval_Referential_Disambiguation.xlsm</x:v>
      </x:c>
      <x:c r="AL627" s="9" t="str">
        <x:v>pi0.5 Results</x:v>
      </x:c>
      <x:c r="AM627" s="9" t="n">
        <x:v>7</x:v>
      </x:c>
      <x:c r="AN627" s="9" t="n">
        <x:v>7</x:v>
      </x:c>
    </x:row>
    <x:row r="628">
      <x:c r="A628" s="9" t="str">
        <x:v>Success</x:v>
      </x:c>
      <x:c r="B628" s="9" t="str">
        <x:v>Referential Disambiguation</x:v>
      </x:c>
      <x:c r="C628" s="10" t="n">
        <x:v>6</x:v>
      </x:c>
      <x:c r="D628" s="9" t="str">
        <x:v>Move the pencil sharpener that is closest to the crushed Pepsi can into the bowl.</x:v>
      </x:c>
      <x:c r="E628" s="9" t="str">
        <x:v>green pencil sharpener; red pencil sharpener; crushed Pepsi can; airplane toy with propellers</x:v>
      </x:c>
      <x:c r="F628" s="9" t="str">
        <x:v>red pencil sharpener</x:v>
      </x:c>
      <x:c r="G628" s="9"/>
      <x:c r="H628" s="9" t="str">
        <x:v>In-distribution concept baseline</x:v>
      </x:c>
      <x:c r="I628" s="9" t="str">
        <x:v>RD-ID07</x:v>
      </x:c>
      <x:c r="J628" s="9" t="str">
        <x:v>Exact training-supported relation × candidate-category baseline</x:v>
      </x:c>
      <x:c r="K628" s="9"/>
      <x:c r="L628" s="9" t="str">
        <x:v>451</x:v>
      </x:c>
      <x:c r="M628" s="9" t="str">
        <x:v>Exact manifest cell: prompt, relation × candidate-category combination, target identity, and object membership are explicitly represented in training; physical positions are manually recreated with a clear margin.</x:v>
      </x:c>
      <x:c r="N628" s="9" t="n">
        <x:v>1</x:v>
      </x:c>
      <x:c r="O628" s="9" t="str">
        <x:v>Place the 4 listed objects. Arrange Expected Target as the unique answer to the prompt; keep the bowl empty.</x:v>
      </x:c>
      <x:c r="P628" s="9" t="str">
        <x:v>The relation, candidate category, target identity, and object membership occur together in the cited training episode.</x:v>
      </x:c>
      <x:c r="Q628" s="9"/>
      <x:c r="R628" s="10" t="n">
        <x:v>4</x:v>
      </x:c>
      <x:c r="S628" s="10" t="n">
        <x:v>1</x:v>
      </x:c>
      <x:c r="T628" s="9" t="str">
        <x:v>Empty</x:v>
      </x:c>
      <x:c r="U628" s="9"/>
      <x:c r="V628" s="9"/>
      <x:c r="W628" s="9"/>
      <x:c r="X628" s="10"/>
      <x:c r="Y628" s="10"/>
      <x:c r="Z628" s="9"/>
      <x:c r="AA628" s="9"/>
      <x:c r="AB628" s="9" t="str">
        <x:v>closest</x:v>
      </x:c>
      <x:c r="AC628" s="9"/>
      <x:c r="AD628" s="9"/>
      <x:c r="AE628" s="9"/>
      <x:c r="AF628" s="9"/>
      <x:c r="AG628" s="9" t="str">
        <x:v>pencil sharpener</x:v>
      </x:c>
      <x:c r="AH628" s="9"/>
      <x:c r="AI628" s="11"/>
      <x:c r="AJ628" s="9"/>
      <x:c r="AK628" s="9" t="str">
        <x:v>Eval_Referential_Disambiguation.xlsm</x:v>
      </x:c>
      <x:c r="AL628" s="9" t="str">
        <x:v>pi0.5 Results</x:v>
      </x:c>
      <x:c r="AM628" s="9" t="n">
        <x:v>8</x:v>
      </x:c>
      <x:c r="AN628" s="9" t="n">
        <x:v>8</x:v>
      </x:c>
    </x:row>
    <x:row r="629">
      <x:c r="A629" s="9" t="str">
        <x:v>Success</x:v>
      </x:c>
      <x:c r="B629" s="9" t="str">
        <x:v>Referential Disambiguation</x:v>
      </x:c>
      <x:c r="C629" s="10" t="n">
        <x:v>7</x:v>
      </x:c>
      <x:c r="D629" s="9" t="str">
        <x:v>Move the pencil sharpener that is closest to the green pen into the bowl.</x:v>
      </x:c>
      <x:c r="E629" s="9" t="str">
        <x:v>green pencil sharpener; red pencil sharpener; green pen</x:v>
      </x:c>
      <x:c r="F629" s="9" t="str">
        <x:v>green pencil sharpener</x:v>
      </x:c>
      <x:c r="G629" s="9"/>
      <x:c r="H629" s="9" t="str">
        <x:v>In-distribution concept baseline</x:v>
      </x:c>
      <x:c r="I629" s="9" t="str">
        <x:v>RD-ID08</x:v>
      </x:c>
      <x:c r="J629" s="9" t="str">
        <x:v>Exact training-supported relation × candidate-category baseline</x:v>
      </x:c>
      <x:c r="K629" s="9"/>
      <x:c r="L629" s="9" t="str">
        <x:v>452</x:v>
      </x:c>
      <x:c r="M629" s="9" t="str">
        <x:v>Exact manifest cell: prompt, relation × candidate-category combination, target identity, and object membership are explicitly represented in training; physical positions are manually recreated with a clear margin.</x:v>
      </x:c>
      <x:c r="N629" s="9" t="n">
        <x:v>1</x:v>
      </x:c>
      <x:c r="O629" s="9" t="str">
        <x:v>Place the 3 listed objects. Arrange Expected Target as the unique answer to the prompt; keep the bowl empty.</x:v>
      </x:c>
      <x:c r="P629" s="9" t="str">
        <x:v>The relation, candidate category, target identity, and object membership occur together in the cited training episode.</x:v>
      </x:c>
      <x:c r="Q629" s="9"/>
      <x:c r="R629" s="10" t="n">
        <x:v>3</x:v>
      </x:c>
      <x:c r="S629" s="10" t="n">
        <x:v>1</x:v>
      </x:c>
      <x:c r="T629" s="9" t="str">
        <x:v>Empty</x:v>
      </x:c>
      <x:c r="U629" s="9"/>
      <x:c r="V629" s="9"/>
      <x:c r="W629" s="9"/>
      <x:c r="X629" s="10"/>
      <x:c r="Y629" s="10"/>
      <x:c r="Z629" s="9"/>
      <x:c r="AA629" s="9"/>
      <x:c r="AB629" s="9" t="str">
        <x:v>closest</x:v>
      </x:c>
      <x:c r="AC629" s="9"/>
      <x:c r="AD629" s="9"/>
      <x:c r="AE629" s="9"/>
      <x:c r="AF629" s="9"/>
      <x:c r="AG629" s="9" t="str">
        <x:v>pencil sharpener</x:v>
      </x:c>
      <x:c r="AH629" s="9"/>
      <x:c r="AI629" s="11"/>
      <x:c r="AJ629" s="9"/>
      <x:c r="AK629" s="9" t="str">
        <x:v>Eval_Referential_Disambiguation.xlsm</x:v>
      </x:c>
      <x:c r="AL629" s="9" t="str">
        <x:v>pi0.5 Results</x:v>
      </x:c>
      <x:c r="AM629" s="9" t="n">
        <x:v>9</x:v>
      </x:c>
      <x:c r="AN629" s="9" t="n">
        <x:v>9</x:v>
      </x:c>
    </x:row>
    <x:row r="630">
      <x:c r="A630" s="9" t="str">
        <x:v>Success</x:v>
      </x:c>
      <x:c r="B630" s="9" t="str">
        <x:v>Referential Disambiguation</x:v>
      </x:c>
      <x:c r="C630" s="10" t="n">
        <x:v>8</x:v>
      </x:c>
      <x:c r="D630" s="9" t="str">
        <x:v>Pick up the pencil sharpener furthest from the yellow pen and place it in the bowl.</x:v>
      </x:c>
      <x:c r="E630" s="9" t="str">
        <x:v>green pencil sharpener; red pencil sharpener; yellow pen; airplane toy without propellers</x:v>
      </x:c>
      <x:c r="F630" s="9" t="str">
        <x:v>green pencil sharpener</x:v>
      </x:c>
      <x:c r="G630" s="9"/>
      <x:c r="H630" s="9" t="str">
        <x:v>In-distribution concept baseline</x:v>
      </x:c>
      <x:c r="I630" s="9" t="str">
        <x:v>RD-ID09</x:v>
      </x:c>
      <x:c r="J630" s="9" t="str">
        <x:v>Exact training-supported relation × candidate-category baseline</x:v>
      </x:c>
      <x:c r="K630" s="9"/>
      <x:c r="L630" s="9" t="str">
        <x:v>466</x:v>
      </x:c>
      <x:c r="M630" s="9" t="str">
        <x:v>Exact manifest cell: prompt, relation × candidate-category combination, target identity, and object membership are explicitly represented in training; physical positions are manually recreated with a clear margin.</x:v>
      </x:c>
      <x:c r="N630" s="9" t="n">
        <x:v>1</x:v>
      </x:c>
      <x:c r="O630" s="9" t="str">
        <x:v>Place the 4 listed objects. Arrange Expected Target as the unique answer to the prompt; keep the bowl empty.</x:v>
      </x:c>
      <x:c r="P630" s="9" t="str">
        <x:v>The relation, candidate category, target identity, and object membership occur together in the cited training episode.</x:v>
      </x:c>
      <x:c r="Q630" s="9"/>
      <x:c r="R630" s="10" t="n">
        <x:v>4</x:v>
      </x:c>
      <x:c r="S630" s="10" t="n">
        <x:v>1</x:v>
      </x:c>
      <x:c r="T630" s="9" t="str">
        <x:v>Empty</x:v>
      </x:c>
      <x:c r="U630" s="9"/>
      <x:c r="V630" s="9"/>
      <x:c r="W630" s="9"/>
      <x:c r="X630" s="10"/>
      <x:c r="Y630" s="10"/>
      <x:c r="Z630" s="9"/>
      <x:c r="AA630" s="9"/>
      <x:c r="AB630" s="9" t="str">
        <x:v>furthest</x:v>
      </x:c>
      <x:c r="AC630" s="9"/>
      <x:c r="AD630" s="9"/>
      <x:c r="AE630" s="9"/>
      <x:c r="AF630" s="9"/>
      <x:c r="AG630" s="9" t="str">
        <x:v>pencil sharpener</x:v>
      </x:c>
      <x:c r="AH630" s="9"/>
      <x:c r="AI630" s="11"/>
      <x:c r="AJ630" s="9"/>
      <x:c r="AK630" s="9" t="str">
        <x:v>Eval_Referential_Disambiguation.xlsm</x:v>
      </x:c>
      <x:c r="AL630" s="9" t="str">
        <x:v>pi0.5 Results</x:v>
      </x:c>
      <x:c r="AM630" s="9" t="n">
        <x:v>10</x:v>
      </x:c>
      <x:c r="AN630" s="9" t="n">
        <x:v>10</x:v>
      </x:c>
    </x:row>
    <x:row r="631">
      <x:c r="A631" s="9" t="str">
        <x:v>Failure</x:v>
      </x:c>
      <x:c r="B631" s="9" t="str">
        <x:v>Referential Disambiguation</x:v>
      </x:c>
      <x:c r="C631" s="10" t="n">
        <x:v>9</x:v>
      </x:c>
      <x:c r="D631" s="9" t="str">
        <x:v>Pick up the pencil sharpener furthest from the green pen and place it in the bowl.</x:v>
      </x:c>
      <x:c r="E631" s="9" t="str">
        <x:v>green pencil sharpener; red pencil sharpener; green pen</x:v>
      </x:c>
      <x:c r="F631" s="9" t="str">
        <x:v>red pencil sharpener</x:v>
      </x:c>
      <x:c r="G631" s="9" t="str">
        <x:v>picked one closest</x:v>
      </x:c>
      <x:c r="H631" s="9" t="str">
        <x:v>In-distribution concept baseline</x:v>
      </x:c>
      <x:c r="I631" s="9" t="str">
        <x:v>RD-ID10</x:v>
      </x:c>
      <x:c r="J631" s="9" t="str">
        <x:v>Exact training-supported relation × candidate-category baseline</x:v>
      </x:c>
      <x:c r="K631" s="9"/>
      <x:c r="L631" s="9" t="str">
        <x:v>465</x:v>
      </x:c>
      <x:c r="M631" s="9" t="str">
        <x:v>Exact manifest cell: prompt, relation × candidate-category combination, target identity, and object membership are explicitly represented in training; physical positions are manually recreated with a clear margin.</x:v>
      </x:c>
      <x:c r="N631" s="9" t="n">
        <x:v>1</x:v>
      </x:c>
      <x:c r="O631" s="9" t="str">
        <x:v>Place the 3 listed objects. Arrange Expected Target as the unique answer to the prompt; keep the bowl empty.</x:v>
      </x:c>
      <x:c r="P631" s="9" t="str">
        <x:v>The relation, candidate category, target identity, and object membership occur together in the cited training episode.</x:v>
      </x:c>
      <x:c r="Q631" s="9"/>
      <x:c r="R631" s="10" t="n">
        <x:v>3</x:v>
      </x:c>
      <x:c r="S631" s="10" t="n">
        <x:v>1</x:v>
      </x:c>
      <x:c r="T631" s="9" t="str">
        <x:v>Empty</x:v>
      </x:c>
      <x:c r="U631" s="9"/>
      <x:c r="V631" s="9"/>
      <x:c r="W631" s="9"/>
      <x:c r="X631" s="10"/>
      <x:c r="Y631" s="10"/>
      <x:c r="Z631" s="9"/>
      <x:c r="AA631" s="9"/>
      <x:c r="AB631" s="9" t="str">
        <x:v>furthest</x:v>
      </x:c>
      <x:c r="AC631" s="9"/>
      <x:c r="AD631" s="9"/>
      <x:c r="AE631" s="9"/>
      <x:c r="AF631" s="9"/>
      <x:c r="AG631" s="9" t="str">
        <x:v>pencil sharpener</x:v>
      </x:c>
      <x:c r="AH631" s="9"/>
      <x:c r="AI631" s="11"/>
      <x:c r="AJ631" s="9"/>
      <x:c r="AK631" s="9" t="str">
        <x:v>Eval_Referential_Disambiguation.xlsm</x:v>
      </x:c>
      <x:c r="AL631" s="9" t="str">
        <x:v>pi0.5 Results</x:v>
      </x:c>
      <x:c r="AM631" s="9" t="n">
        <x:v>11</x:v>
      </x:c>
      <x:c r="AN631" s="9" t="n">
        <x:v>11</x:v>
      </x:c>
    </x:row>
    <x:row r="632">
      <x:c r="A632" s="9" t="str">
        <x:v>Success</x:v>
      </x:c>
      <x:c r="B632" s="9" t="str">
        <x:v>Referential Disambiguation</x:v>
      </x:c>
      <x:c r="C632" s="10" t="n">
        <x:v>10</x:v>
      </x:c>
      <x:c r="D632" s="9" t="str">
        <x:v>Put the airplane toy closest to the green pencil sharpener in the bowl.</x:v>
      </x:c>
      <x:c r="E632" s="9" t="str">
        <x:v>airplane toy with propellers; airplane toy without propellers; green pencil sharpener; red pencil sharpener</x:v>
      </x:c>
      <x:c r="F632" s="9" t="str">
        <x:v>airplane toy with propellers</x:v>
      </x:c>
      <x:c r="G632" s="9"/>
      <x:c r="H632" s="9" t="str">
        <x:v>In-distribution concept baseline</x:v>
      </x:c>
      <x:c r="I632" s="9" t="str">
        <x:v>RD-ID11</x:v>
      </x:c>
      <x:c r="J632" s="9" t="str">
        <x:v>Exact training-supported relation × candidate-category baseline</x:v>
      </x:c>
      <x:c r="K632" s="9"/>
      <x:c r="L632" s="9" t="str">
        <x:v>564</x:v>
      </x:c>
      <x:c r="M632" s="9" t="str">
        <x:v>Exact manifest cell: prompt, relation × candidate-category combination, target identity, and object membership are explicitly represented in training; physical positions are manually recreated with a clear margin.</x:v>
      </x:c>
      <x:c r="N632" s="9" t="n">
        <x:v>1</x:v>
      </x:c>
      <x:c r="O632" s="9" t="str">
        <x:v>Place the 4 listed objects. Arrange Expected Target as the unique answer to the prompt; keep the bowl empty.</x:v>
      </x:c>
      <x:c r="P632" s="9" t="str">
        <x:v>The relation, candidate category, target identity, and object membership occur together in the cited training episode.</x:v>
      </x:c>
      <x:c r="Q632" s="9"/>
      <x:c r="R632" s="10" t="n">
        <x:v>4</x:v>
      </x:c>
      <x:c r="S632" s="10" t="n">
        <x:v>1</x:v>
      </x:c>
      <x:c r="T632" s="9" t="str">
        <x:v>Empty</x:v>
      </x:c>
      <x:c r="U632" s="9"/>
      <x:c r="V632" s="9"/>
      <x:c r="W632" s="9"/>
      <x:c r="X632" s="10"/>
      <x:c r="Y632" s="10"/>
      <x:c r="Z632" s="9"/>
      <x:c r="AA632" s="9"/>
      <x:c r="AB632" s="9" t="str">
        <x:v>closest</x:v>
      </x:c>
      <x:c r="AC632" s="9"/>
      <x:c r="AD632" s="9"/>
      <x:c r="AE632" s="9"/>
      <x:c r="AF632" s="9"/>
      <x:c r="AG632" s="9" t="str">
        <x:v>airplane toy</x:v>
      </x:c>
      <x:c r="AH632" s="9"/>
      <x:c r="AI632" s="11"/>
      <x:c r="AJ632" s="9"/>
      <x:c r="AK632" s="9" t="str">
        <x:v>Eval_Referential_Disambiguation.xlsm</x:v>
      </x:c>
      <x:c r="AL632" s="9" t="str">
        <x:v>pi0.5 Results</x:v>
      </x:c>
      <x:c r="AM632" s="9" t="n">
        <x:v>12</x:v>
      </x:c>
      <x:c r="AN632" s="9" t="n">
        <x:v>12</x:v>
      </x:c>
    </x:row>
    <x:row r="633">
      <x:c r="A633" s="9" t="str">
        <x:v>Success</x:v>
      </x:c>
      <x:c r="B633" s="9" t="str">
        <x:v>Referential Disambiguation</x:v>
      </x:c>
      <x:c r="C633" s="10" t="n">
        <x:v>11</x:v>
      </x:c>
      <x:c r="D633" s="9" t="str">
        <x:v>Put the airplane toy closest to the green pen in the bowl.</x:v>
      </x:c>
      <x:c r="E633" s="9" t="str">
        <x:v>airplane toy with propellers; airplane toy without propellers; green pen</x:v>
      </x:c>
      <x:c r="F633" s="9" t="str">
        <x:v>airplane toy with propellers</x:v>
      </x:c>
      <x:c r="G633" s="9"/>
      <x:c r="H633" s="9" t="str">
        <x:v>In-distribution concept baseline</x:v>
      </x:c>
      <x:c r="I633" s="9" t="str">
        <x:v>RD-ID12</x:v>
      </x:c>
      <x:c r="J633" s="9" t="str">
        <x:v>Exact training-supported relation × candidate-category baseline</x:v>
      </x:c>
      <x:c r="K633" s="9"/>
      <x:c r="L633" s="9" t="str">
        <x:v>550</x:v>
      </x:c>
      <x:c r="M633" s="9" t="str">
        <x:v>Exact manifest cell: prompt, relation × candidate-category combination, target identity, and object membership are explicitly represented in training; physical positions are manually recreated with a clear margin.</x:v>
      </x:c>
      <x:c r="N633" s="9" t="n">
        <x:v>1</x:v>
      </x:c>
      <x:c r="O633" s="9" t="str">
        <x:v>Place the 3 listed objects. Arrange Expected Target as the unique answer to the prompt; keep the bowl empty.</x:v>
      </x:c>
      <x:c r="P633" s="9" t="str">
        <x:v>The relation, candidate category, target identity, and object membership occur together in the cited training episode.</x:v>
      </x:c>
      <x:c r="Q633" s="9"/>
      <x:c r="R633" s="10" t="n">
        <x:v>3</x:v>
      </x:c>
      <x:c r="S633" s="10" t="n">
        <x:v>1</x:v>
      </x:c>
      <x:c r="T633" s="9" t="str">
        <x:v>Empty</x:v>
      </x:c>
      <x:c r="U633" s="9"/>
      <x:c r="V633" s="9"/>
      <x:c r="W633" s="9"/>
      <x:c r="X633" s="10"/>
      <x:c r="Y633" s="10"/>
      <x:c r="Z633" s="9"/>
      <x:c r="AA633" s="9"/>
      <x:c r="AB633" s="9" t="str">
        <x:v>closest</x:v>
      </x:c>
      <x:c r="AC633" s="9"/>
      <x:c r="AD633" s="9"/>
      <x:c r="AE633" s="9"/>
      <x:c r="AF633" s="9"/>
      <x:c r="AG633" s="9" t="str">
        <x:v>airplane toy</x:v>
      </x:c>
      <x:c r="AH633" s="9"/>
      <x:c r="AI633" s="11"/>
      <x:c r="AJ633" s="9"/>
      <x:c r="AK633" s="9" t="str">
        <x:v>Eval_Referential_Disambiguation.xlsm</x:v>
      </x:c>
      <x:c r="AL633" s="9" t="str">
        <x:v>pi0.5 Results</x:v>
      </x:c>
      <x:c r="AM633" s="9" t="n">
        <x:v>13</x:v>
      </x:c>
      <x:c r="AN633" s="9" t="n">
        <x:v>13</x:v>
      </x:c>
    </x:row>
    <x:row r="634">
      <x:c r="A634" s="9" t="str">
        <x:v>Failure</x:v>
      </x:c>
      <x:c r="B634" s="9" t="str">
        <x:v>Referential Disambiguation</x:v>
      </x:c>
      <x:c r="C634" s="10" t="n">
        <x:v>12</x:v>
      </x:c>
      <x:c r="D634" s="9" t="str">
        <x:v>Move the airplane toy lying between the crushed Coke can and the green pencil sharpener into the bowl.</x:v>
      </x:c>
      <x:c r="E634" s="9" t="str">
        <x:v>airplane toy with propellers; airplane toy without propellers; crushed Coke can; green pencil sharpener; red pencil sharpener</x:v>
      </x:c>
      <x:c r="F634" s="9" t="str">
        <x:v>airplane toy with propellers</x:v>
      </x:c>
      <x:c r="G634" s="9" t="str">
        <x:v>picked aiplanetoy between the pencil sharpeners</x:v>
      </x:c>
      <x:c r="H634" s="9" t="str">
        <x:v>In-distribution concept baseline</x:v>
      </x:c>
      <x:c r="I634" s="9" t="str">
        <x:v>RD-ID13</x:v>
      </x:c>
      <x:c r="J634" s="9" t="str">
        <x:v>Exact training-supported relation × candidate-category baseline</x:v>
      </x:c>
      <x:c r="K634" s="9"/>
      <x:c r="L634" s="9" t="str">
        <x:v>587</x:v>
      </x:c>
      <x:c r="M634" s="9" t="str">
        <x:v>Exact manifest cell: prompt, relation × candidate-category combination, target identity, and object membership are explicitly represented in training; physical positions are manually recreated with a clear margin.</x:v>
      </x:c>
      <x:c r="N634" s="9" t="n">
        <x:v>1</x:v>
      </x:c>
      <x:c r="O634" s="9" t="str">
        <x:v>Place the 5 listed objects. Arrange Expected Target as the unique answer to the prompt; keep the bowl empty.</x:v>
      </x:c>
      <x:c r="P634" s="9" t="str">
        <x:v>The relation, candidate category, target identity, and object membership occur together in the cited training episode.</x:v>
      </x:c>
      <x:c r="Q634" s="9"/>
      <x:c r="R634" s="10" t="n">
        <x:v>5</x:v>
      </x:c>
      <x:c r="S634" s="10" t="n">
        <x:v>1</x:v>
      </x:c>
      <x:c r="T634" s="9" t="str">
        <x:v>Empty</x:v>
      </x:c>
      <x:c r="U634" s="9"/>
      <x:c r="V634" s="9"/>
      <x:c r="W634" s="9"/>
      <x:c r="X634" s="10"/>
      <x:c r="Y634" s="10"/>
      <x:c r="Z634" s="9"/>
      <x:c r="AA634" s="9"/>
      <x:c r="AB634" s="9" t="str">
        <x:v>between</x:v>
      </x:c>
      <x:c r="AC634" s="9"/>
      <x:c r="AD634" s="9"/>
      <x:c r="AE634" s="9"/>
      <x:c r="AF634" s="9"/>
      <x:c r="AG634" s="9" t="str">
        <x:v>airplane toy</x:v>
      </x:c>
      <x:c r="AH634" s="9"/>
      <x:c r="AI634" s="11"/>
      <x:c r="AJ634" s="9"/>
      <x:c r="AK634" s="9" t="str">
        <x:v>Eval_Referential_Disambiguation.xlsm</x:v>
      </x:c>
      <x:c r="AL634" s="9" t="str">
        <x:v>pi0.5 Results</x:v>
      </x:c>
      <x:c r="AM634" s="9" t="n">
        <x:v>14</x:v>
      </x:c>
      <x:c r="AN634" s="9" t="n">
        <x:v>14</x:v>
      </x:c>
    </x:row>
    <x:row r="635">
      <x:c r="A635" s="9" t="str">
        <x:v>Success</x:v>
      </x:c>
      <x:c r="B635" s="9" t="str">
        <x:v>Referential Disambiguation</x:v>
      </x:c>
      <x:c r="C635" s="10" t="n">
        <x:v>13</x:v>
      </x:c>
      <x:c r="D635" s="9" t="str">
        <x:v>Put the airplane toy between the crushed Coke can and the green pen in the bowl.</x:v>
      </x:c>
      <x:c r="E635" s="9" t="str">
        <x:v>airplane toy with propellers; airplane toy without propellers; crushed Coke can; green pen</x:v>
      </x:c>
      <x:c r="F635" s="9" t="str">
        <x:v>airplane toy without propellers</x:v>
      </x:c>
      <x:c r="G635" s="9" t="str">
        <x:v>reasoning failure. went for the plane toy not between, dropped it, and during recovery, went for the correct one and got. failure for reasoning though.</x:v>
      </x:c>
      <x:c r="H635" s="9" t="str">
        <x:v>In-distribution concept baseline</x:v>
      </x:c>
      <x:c r="I635" s="9" t="str">
        <x:v>RD-ID14</x:v>
      </x:c>
      <x:c r="J635" s="9" t="str">
        <x:v>Exact training-supported relation × candidate-category baseline</x:v>
      </x:c>
      <x:c r="K635" s="9"/>
      <x:c r="L635" s="9" t="str">
        <x:v>586</x:v>
      </x:c>
      <x:c r="M635" s="9" t="str">
        <x:v>Exact manifest cell: prompt, relation × candidate-category combination, target identity, and object membership are explicitly represented in training; physical positions are manually recreated with a clear margin.</x:v>
      </x:c>
      <x:c r="N635" s="9" t="n">
        <x:v>1</x:v>
      </x:c>
      <x:c r="O635" s="9" t="str">
        <x:v>Place the 4 listed objects. Arrange Expected Target as the unique answer to the prompt; keep the bowl empty.</x:v>
      </x:c>
      <x:c r="P635" s="9" t="str">
        <x:v>The relation, candidate category, target identity, and object membership occur together in the cited training episode.</x:v>
      </x:c>
      <x:c r="Q635" s="9"/>
      <x:c r="R635" s="10" t="n">
        <x:v>4</x:v>
      </x:c>
      <x:c r="S635" s="10" t="n">
        <x:v>1</x:v>
      </x:c>
      <x:c r="T635" s="9" t="str">
        <x:v>Empty</x:v>
      </x:c>
      <x:c r="U635" s="9"/>
      <x:c r="V635" s="9"/>
      <x:c r="W635" s="9"/>
      <x:c r="X635" s="10"/>
      <x:c r="Y635" s="10"/>
      <x:c r="Z635" s="9"/>
      <x:c r="AA635" s="9"/>
      <x:c r="AB635" s="9" t="str">
        <x:v>between</x:v>
      </x:c>
      <x:c r="AC635" s="9"/>
      <x:c r="AD635" s="9"/>
      <x:c r="AE635" s="9"/>
      <x:c r="AF635" s="9"/>
      <x:c r="AG635" s="9" t="str">
        <x:v>airplane toy</x:v>
      </x:c>
      <x:c r="AH635" s="9"/>
      <x:c r="AI635" s="11"/>
      <x:c r="AJ635" s="9"/>
      <x:c r="AK635" s="9" t="str">
        <x:v>Eval_Referential_Disambiguation.xlsm</x:v>
      </x:c>
      <x:c r="AL635" s="9" t="str">
        <x:v>pi0.5 Results</x:v>
      </x:c>
      <x:c r="AM635" s="9" t="n">
        <x:v>15</x:v>
      </x:c>
      <x:c r="AN635" s="9" t="n">
        <x:v>15</x:v>
      </x:c>
    </x:row>
    <x:row r="636">
      <x:c r="A636" s="9" t="str">
        <x:v>Success</x:v>
      </x:c>
      <x:c r="B636" s="9" t="str">
        <x:v>Referential Disambiguation</x:v>
      </x:c>
      <x:c r="C636" s="10" t="n">
        <x:v>14</x:v>
      </x:c>
      <x:c r="D636" s="9" t="str">
        <x:v>Pick up the airplane toy positioned between the yellow pen and the crushed Coke can, then place it in the bowl.</x:v>
      </x:c>
      <x:c r="E636" s="9" t="str">
        <x:v>airplane toy with propellers; airplane toy without propellers; yellow pen; crushed Coke can; crushed Pepsi can</x:v>
      </x:c>
      <x:c r="F636" s="9" t="str">
        <x:v>airplane toy with propellers</x:v>
      </x:c>
      <x:c r="G636" s="9"/>
      <x:c r="H636" s="9" t="str">
        <x:v>In-distribution concept baseline</x:v>
      </x:c>
      <x:c r="I636" s="9" t="str">
        <x:v>RD-ID15</x:v>
      </x:c>
      <x:c r="J636" s="9" t="str">
        <x:v>Exact training-supported relation × candidate-category baseline</x:v>
      </x:c>
      <x:c r="K636" s="9"/>
      <x:c r="L636" s="9" t="str">
        <x:v>589</x:v>
      </x:c>
      <x:c r="M636" s="9" t="str">
        <x:v>Exact manifest cell: prompt, relation × candidate-category combination, target identity, and object membership are explicitly represented in training; physical positions are manually recreated with a clear margin.</x:v>
      </x:c>
      <x:c r="N636" s="9" t="n">
        <x:v>1</x:v>
      </x:c>
      <x:c r="O636" s="9" t="str">
        <x:v>Place the 5 listed objects. Arrange Expected Target as the unique answer to the prompt; keep the bowl empty.</x:v>
      </x:c>
      <x:c r="P636" s="9" t="str">
        <x:v>The relation, candidate category, target identity, and object membership occur together in the cited training episode.</x:v>
      </x:c>
      <x:c r="Q636" s="9"/>
      <x:c r="R636" s="10" t="n">
        <x:v>5</x:v>
      </x:c>
      <x:c r="S636" s="10" t="n">
        <x:v>1</x:v>
      </x:c>
      <x:c r="T636" s="9" t="str">
        <x:v>Empty</x:v>
      </x:c>
      <x:c r="U636" s="9"/>
      <x:c r="V636" s="9"/>
      <x:c r="W636" s="9"/>
      <x:c r="X636" s="10"/>
      <x:c r="Y636" s="10"/>
      <x:c r="Z636" s="9"/>
      <x:c r="AA636" s="9"/>
      <x:c r="AB636" s="9" t="str">
        <x:v>between</x:v>
      </x:c>
      <x:c r="AC636" s="9"/>
      <x:c r="AD636" s="9"/>
      <x:c r="AE636" s="9"/>
      <x:c r="AF636" s="9"/>
      <x:c r="AG636" s="9" t="str">
        <x:v>airplane toy</x:v>
      </x:c>
      <x:c r="AH636" s="9"/>
      <x:c r="AI636" s="11"/>
      <x:c r="AJ636" s="9"/>
      <x:c r="AK636" s="9" t="str">
        <x:v>Eval_Referential_Disambiguation.xlsm</x:v>
      </x:c>
      <x:c r="AL636" s="9" t="str">
        <x:v>pi0.5 Results</x:v>
      </x:c>
      <x:c r="AM636" s="9" t="n">
        <x:v>16</x:v>
      </x:c>
      <x:c r="AN636" s="9" t="n">
        <x:v>16</x:v>
      </x:c>
    </x:row>
    <x:row r="637">
      <x:c r="A637" s="9" t="str">
        <x:v>Success</x:v>
      </x:c>
      <x:c r="B637" s="9" t="str">
        <x:v>Referential Disambiguation</x:v>
      </x:c>
      <x:c r="C637" s="10" t="n">
        <x:v>15</x:v>
      </x:c>
      <x:c r="D637" s="9" t="str">
        <x:v>Put the pen closest to the crushed Coke can in the bowl.</x:v>
      </x:c>
      <x:c r="E637" s="9" t="str">
        <x:v>green pen; yellow pen; crushed Coke can; crushed Pepsi can</x:v>
      </x:c>
      <x:c r="F637" s="9" t="str">
        <x:v>green pen</x:v>
      </x:c>
      <x:c r="G637" s="9"/>
      <x:c r="H637" s="9" t="str">
        <x:v>In-distribution concept baseline</x:v>
      </x:c>
      <x:c r="I637" s="9" t="str">
        <x:v>RD-ID16</x:v>
      </x:c>
      <x:c r="J637" s="9" t="str">
        <x:v>Exact training-supported relation × candidate-category baseline</x:v>
      </x:c>
      <x:c r="K637" s="9"/>
      <x:c r="L637" s="9" t="str">
        <x:v>514</x:v>
      </x:c>
      <x:c r="M637" s="9" t="str">
        <x:v>Exact manifest cell: prompt, relation × candidate-category combination, target identity, and object membership are explicitly represented in training; physical positions are manually recreated with a clear margin.</x:v>
      </x:c>
      <x:c r="N637" s="9" t="n">
        <x:v>1</x:v>
      </x:c>
      <x:c r="O637" s="9" t="str">
        <x:v>Place the 4 listed objects. Arrange Expected Target as the unique answer to the prompt; keep the bowl empty.</x:v>
      </x:c>
      <x:c r="P637" s="9" t="str">
        <x:v>The relation, candidate category, target identity, and object membership occur together in the cited training episode.</x:v>
      </x:c>
      <x:c r="Q637" s="9"/>
      <x:c r="R637" s="10" t="n">
        <x:v>4</x:v>
      </x:c>
      <x:c r="S637" s="10" t="n">
        <x:v>1</x:v>
      </x:c>
      <x:c r="T637" s="9" t="str">
        <x:v>Empty</x:v>
      </x:c>
      <x:c r="U637" s="9"/>
      <x:c r="V637" s="9"/>
      <x:c r="W637" s="9"/>
      <x:c r="X637" s="10"/>
      <x:c r="Y637" s="10"/>
      <x:c r="Z637" s="9"/>
      <x:c r="AA637" s="9"/>
      <x:c r="AB637" s="9" t="str">
        <x:v>closest</x:v>
      </x:c>
      <x:c r="AC637" s="9"/>
      <x:c r="AD637" s="9"/>
      <x:c r="AE637" s="9"/>
      <x:c r="AF637" s="9"/>
      <x:c r="AG637" s="9" t="str">
        <x:v>pen</x:v>
      </x:c>
      <x:c r="AH637" s="9"/>
      <x:c r="AI637" s="11"/>
      <x:c r="AJ637" s="9"/>
      <x:c r="AK637" s="9" t="str">
        <x:v>Eval_Referential_Disambiguation.xlsm</x:v>
      </x:c>
      <x:c r="AL637" s="9" t="str">
        <x:v>pi0.5 Results</x:v>
      </x:c>
      <x:c r="AM637" s="9" t="n">
        <x:v>17</x:v>
      </x:c>
      <x:c r="AN637" s="9" t="n">
        <x:v>17</x:v>
      </x:c>
    </x:row>
    <x:row r="638">
      <x:c r="A638" s="9" t="str">
        <x:v>Success</x:v>
      </x:c>
      <x:c r="B638" s="9" t="str">
        <x:v>Referential Disambiguation</x:v>
      </x:c>
      <x:c r="C638" s="10" t="n">
        <x:v>16</x:v>
      </x:c>
      <x:c r="D638" s="9" t="str">
        <x:v>Put the pen closest to the red pencil sharpener in the bowl.</x:v>
      </x:c>
      <x:c r="E638" s="9" t="str">
        <x:v>green pen; yellow pen; red pencil sharpener; airplane toy without propellers</x:v>
      </x:c>
      <x:c r="F638" s="9" t="str">
        <x:v>yellow pen</x:v>
      </x:c>
      <x:c r="G638" s="9"/>
      <x:c r="H638" s="9" t="str">
        <x:v>In-distribution concept baseline</x:v>
      </x:c>
      <x:c r="I638" s="9" t="str">
        <x:v>RD-ID17</x:v>
      </x:c>
      <x:c r="J638" s="9" t="str">
        <x:v>Exact training-supported relation × candidate-category baseline</x:v>
      </x:c>
      <x:c r="K638" s="9"/>
      <x:c r="L638" s="9" t="str">
        <x:v>501</x:v>
      </x:c>
      <x:c r="M638" s="9" t="str">
        <x:v>Exact manifest cell: prompt, relation × candidate-category combination, target identity, and object membership are explicitly represented in training; physical positions are manually recreated with a clear margin.</x:v>
      </x:c>
      <x:c r="N638" s="9" t="n">
        <x:v>1</x:v>
      </x:c>
      <x:c r="O638" s="9" t="str">
        <x:v>Place the 4 listed objects. Arrange Expected Target as the unique answer to the prompt; keep the bowl empty.</x:v>
      </x:c>
      <x:c r="P638" s="9" t="str">
        <x:v>The relation, candidate category, target identity, and object membership occur together in the cited training episode.</x:v>
      </x:c>
      <x:c r="Q638" s="9"/>
      <x:c r="R638" s="10" t="n">
        <x:v>4</x:v>
      </x:c>
      <x:c r="S638" s="10" t="n">
        <x:v>1</x:v>
      </x:c>
      <x:c r="T638" s="9" t="str">
        <x:v>Empty</x:v>
      </x:c>
      <x:c r="U638" s="9"/>
      <x:c r="V638" s="9"/>
      <x:c r="W638" s="9"/>
      <x:c r="X638" s="10"/>
      <x:c r="Y638" s="10"/>
      <x:c r="Z638" s="9"/>
      <x:c r="AA638" s="9"/>
      <x:c r="AB638" s="9" t="str">
        <x:v>closest</x:v>
      </x:c>
      <x:c r="AC638" s="9"/>
      <x:c r="AD638" s="9"/>
      <x:c r="AE638" s="9"/>
      <x:c r="AF638" s="9"/>
      <x:c r="AG638" s="9" t="str">
        <x:v>pen</x:v>
      </x:c>
      <x:c r="AH638" s="9"/>
      <x:c r="AI638" s="11"/>
      <x:c r="AJ638" s="9"/>
      <x:c r="AK638" s="9" t="str">
        <x:v>Eval_Referential_Disambiguation.xlsm</x:v>
      </x:c>
      <x:c r="AL638" s="9" t="str">
        <x:v>pi0.5 Results</x:v>
      </x:c>
      <x:c r="AM638" s="9" t="n">
        <x:v>18</x:v>
      </x:c>
      <x:c r="AN638" s="9" t="n">
        <x:v>18</x:v>
      </x:c>
    </x:row>
    <x:row r="639">
      <x:c r="A639" s="9" t="str">
        <x:v>Success</x:v>
      </x:c>
      <x:c r="B639" s="9" t="str">
        <x:v>Referential Disambiguation</x:v>
      </x:c>
      <x:c r="C639" s="10" t="n">
        <x:v>17</x:v>
      </x:c>
      <x:c r="D639" s="9" t="str">
        <x:v>Pick up the pen furthest from the crushed Coke can and place it in the bowl.</x:v>
      </x:c>
      <x:c r="E639" s="9" t="str">
        <x:v>green pen; yellow pen; crushed Coke can</x:v>
      </x:c>
      <x:c r="F639" s="9" t="str">
        <x:v>yellow pen</x:v>
      </x:c>
      <x:c r="G639" s="9"/>
      <x:c r="H639" s="9" t="str">
        <x:v>In-distribution concept baseline</x:v>
      </x:c>
      <x:c r="I639" s="9" t="str">
        <x:v>RD-ID18</x:v>
      </x:c>
      <x:c r="J639" s="9" t="str">
        <x:v>Exact training-supported relation × candidate-category baseline</x:v>
      </x:c>
      <x:c r="K639" s="9"/>
      <x:c r="L639" s="9" t="str">
        <x:v>515</x:v>
      </x:c>
      <x:c r="M639" s="9" t="str">
        <x:v>Exact manifest cell: prompt, relation × candidate-category combination, target identity, and object membership are explicitly represented in training; physical positions are manually recreated with a clear margin.</x:v>
      </x:c>
      <x:c r="N639" s="9" t="n">
        <x:v>1</x:v>
      </x:c>
      <x:c r="O639" s="9" t="str">
        <x:v>Place the 3 listed objects. Arrange Expected Target as the unique answer to the prompt; keep the bowl empty.</x:v>
      </x:c>
      <x:c r="P639" s="9" t="str">
        <x:v>The relation, candidate category, target identity, and object membership occur together in the cited training episode.</x:v>
      </x:c>
      <x:c r="Q639" s="9"/>
      <x:c r="R639" s="10" t="n">
        <x:v>3</x:v>
      </x:c>
      <x:c r="S639" s="10" t="n">
        <x:v>1</x:v>
      </x:c>
      <x:c r="T639" s="9" t="str">
        <x:v>Empty</x:v>
      </x:c>
      <x:c r="U639" s="9"/>
      <x:c r="V639" s="9"/>
      <x:c r="W639" s="9"/>
      <x:c r="X639" s="10"/>
      <x:c r="Y639" s="10"/>
      <x:c r="Z639" s="9"/>
      <x:c r="AA639" s="9"/>
      <x:c r="AB639" s="9" t="str">
        <x:v>furthest</x:v>
      </x:c>
      <x:c r="AC639" s="9"/>
      <x:c r="AD639" s="9"/>
      <x:c r="AE639" s="9"/>
      <x:c r="AF639" s="9"/>
      <x:c r="AG639" s="9" t="str">
        <x:v>pen</x:v>
      </x:c>
      <x:c r="AH639" s="9"/>
      <x:c r="AI639" s="11"/>
      <x:c r="AJ639" s="9"/>
      <x:c r="AK639" s="9" t="str">
        <x:v>Eval_Referential_Disambiguation.xlsm</x:v>
      </x:c>
      <x:c r="AL639" s="9" t="str">
        <x:v>pi0.5 Results</x:v>
      </x:c>
      <x:c r="AM639" s="9" t="n">
        <x:v>19</x:v>
      </x:c>
      <x:c r="AN639" s="9" t="n">
        <x:v>19</x:v>
      </x:c>
    </x:row>
    <x:row r="640">
      <x:c r="A640" s="9" t="str">
        <x:v>Failure</x:v>
      </x:c>
      <x:c r="B640" s="9" t="str">
        <x:v>Referential Disambiguation</x:v>
      </x:c>
      <x:c r="C640" s="10" t="n">
        <x:v>18</x:v>
      </x:c>
      <x:c r="D640" s="9" t="str">
        <x:v>Pick up the pen furthest from the crushed Pepsi can and place it in the bowl.</x:v>
      </x:c>
      <x:c r="E640" s="9" t="str">
        <x:v>green pen; yellow pen; crushed Pepsi can; green pencil sharpener</x:v>
      </x:c>
      <x:c r="F640" s="9" t="str">
        <x:v>green pen</x:v>
      </x:c>
      <x:c r="G640" s="9" t="str">
        <x:v>picked pen closest</x:v>
      </x:c>
      <x:c r="H640" s="9" t="str">
        <x:v>In-distribution concept baseline</x:v>
      </x:c>
      <x:c r="I640" s="9" t="str">
        <x:v>RD-ID19</x:v>
      </x:c>
      <x:c r="J640" s="9" t="str">
        <x:v>Exact training-supported relation × candidate-category baseline</x:v>
      </x:c>
      <x:c r="K640" s="9"/>
      <x:c r="L640" s="9" t="str">
        <x:v>516</x:v>
      </x:c>
      <x:c r="M640" s="9" t="str">
        <x:v>Exact manifest cell: prompt, relation × candidate-category combination, target identity, and object membership are explicitly represented in training; physical positions are manually recreated with a clear margin.</x:v>
      </x:c>
      <x:c r="N640" s="9" t="n">
        <x:v>1</x:v>
      </x:c>
      <x:c r="O640" s="9" t="str">
        <x:v>Place the 4 listed objects. Arrange Expected Target as the unique answer to the prompt; keep the bowl empty.</x:v>
      </x:c>
      <x:c r="P640" s="9" t="str">
        <x:v>The relation, candidate category, target identity, and object membership occur together in the cited training episode.</x:v>
      </x:c>
      <x:c r="Q640" s="9"/>
      <x:c r="R640" s="10" t="n">
        <x:v>4</x:v>
      </x:c>
      <x:c r="S640" s="10" t="n">
        <x:v>1</x:v>
      </x:c>
      <x:c r="T640" s="9" t="str">
        <x:v>Empty</x:v>
      </x:c>
      <x:c r="U640" s="9"/>
      <x:c r="V640" s="9"/>
      <x:c r="W640" s="9"/>
      <x:c r="X640" s="10"/>
      <x:c r="Y640" s="10"/>
      <x:c r="Z640" s="9"/>
      <x:c r="AA640" s="9"/>
      <x:c r="AB640" s="9" t="str">
        <x:v>furthest</x:v>
      </x:c>
      <x:c r="AC640" s="9"/>
      <x:c r="AD640" s="9"/>
      <x:c r="AE640" s="9"/>
      <x:c r="AF640" s="9"/>
      <x:c r="AG640" s="9" t="str">
        <x:v>pen</x:v>
      </x:c>
      <x:c r="AH640" s="9"/>
      <x:c r="AI640" s="11"/>
      <x:c r="AJ640" s="9"/>
      <x:c r="AK640" s="9" t="str">
        <x:v>Eval_Referential_Disambiguation.xlsm</x:v>
      </x:c>
      <x:c r="AL640" s="9" t="str">
        <x:v>pi0.5 Results</x:v>
      </x:c>
      <x:c r="AM640" s="9" t="n">
        <x:v>20</x:v>
      </x:c>
      <x:c r="AN640" s="9" t="n">
        <x:v>20</x:v>
      </x:c>
    </x:row>
    <x:row r="641">
      <x:c r="A641" s="9" t="str">
        <x:v>Success</x:v>
      </x:c>
      <x:c r="B641" s="9" t="str">
        <x:v>Referential Disambiguation</x:v>
      </x:c>
      <x:c r="C641" s="10" t="n">
        <x:v>19</x:v>
      </x:c>
      <x:c r="D641" s="9" t="str">
        <x:v>Pick up the pen furthest from the airplane toy with propellers and place it in the bowl.</x:v>
      </x:c>
      <x:c r="E641" s="9" t="str">
        <x:v>green pen; yellow pen; airplane toy with propellers</x:v>
      </x:c>
      <x:c r="F641" s="9" t="str">
        <x:v>yellow pen</x:v>
      </x:c>
      <x:c r="G641" s="9"/>
      <x:c r="H641" s="9" t="str">
        <x:v>In-distribution concept baseline</x:v>
      </x:c>
      <x:c r="I641" s="9" t="str">
        <x:v>RD-ID20</x:v>
      </x:c>
      <x:c r="J641" s="9" t="str">
        <x:v>Exact training-supported relation × candidate-category baseline</x:v>
      </x:c>
      <x:c r="K641" s="9"/>
      <x:c r="L641" s="9" t="str">
        <x:v>517</x:v>
      </x:c>
      <x:c r="M641" s="9" t="str">
        <x:v>Exact manifest cell: prompt, relation × candidate-category combination, target identity, and object membership are explicitly represented in training; physical positions are manually recreated with a clear margin.</x:v>
      </x:c>
      <x:c r="N641" s="9" t="n">
        <x:v>1</x:v>
      </x:c>
      <x:c r="O641" s="9" t="str">
        <x:v>Place the 3 listed objects. Arrange Expected Target as the unique answer to the prompt; keep the bowl empty.</x:v>
      </x:c>
      <x:c r="P641" s="9" t="str">
        <x:v>The relation, candidate category, target identity, and object membership occur together in the cited training episode.</x:v>
      </x:c>
      <x:c r="Q641" s="9"/>
      <x:c r="R641" s="10" t="n">
        <x:v>3</x:v>
      </x:c>
      <x:c r="S641" s="10" t="n">
        <x:v>1</x:v>
      </x:c>
      <x:c r="T641" s="9" t="str">
        <x:v>Empty</x:v>
      </x:c>
      <x:c r="U641" s="9"/>
      <x:c r="V641" s="9"/>
      <x:c r="W641" s="9"/>
      <x:c r="X641" s="10"/>
      <x:c r="Y641" s="10"/>
      <x:c r="Z641" s="9"/>
      <x:c r="AA641" s="9"/>
      <x:c r="AB641" s="9" t="str">
        <x:v>furthest</x:v>
      </x:c>
      <x:c r="AC641" s="9"/>
      <x:c r="AD641" s="9"/>
      <x:c r="AE641" s="9"/>
      <x:c r="AF641" s="9"/>
      <x:c r="AG641" s="9" t="str">
        <x:v>pen</x:v>
      </x:c>
      <x:c r="AH641" s="9"/>
      <x:c r="AI641" s="11"/>
      <x:c r="AJ641" s="9"/>
      <x:c r="AK641" s="9" t="str">
        <x:v>Eval_Referential_Disambiguation.xlsm</x:v>
      </x:c>
      <x:c r="AL641" s="9" t="str">
        <x:v>pi0.5 Results</x:v>
      </x:c>
      <x:c r="AM641" s="9" t="n">
        <x:v>21</x:v>
      </x:c>
      <x:c r="AN641" s="9" t="n">
        <x:v>21</x:v>
      </x:c>
    </x:row>
    <x:row r="642">
      <x:c r="A642" s="9" t="str">
        <x:v>Failure</x:v>
      </x:c>
      <x:c r="B642" s="9" t="str">
        <x:v>Referential Disambiguation</x:v>
      </x:c>
      <x:c r="C642" s="10" t="n">
        <x:v>20</x:v>
      </x:c>
      <x:c r="D642" s="9" t="str">
        <x:v>Pick up the airplane toy furthest from the green pen and place it in the bowl.</x:v>
      </x:c>
      <x:c r="E642" s="9" t="str">
        <x:v>airplane toy with propellers; airplane toy without propellers; green pen</x:v>
      </x:c>
      <x:c r="F642" s="9" t="str">
        <x:v>airplane toy with propellers</x:v>
      </x:c>
      <x:c r="G642" s="9" t="str">
        <x:v>picked the closest one</x:v>
      </x:c>
      <x:c r="H642" s="9" t="str">
        <x:v>Concept/compositional transfer</x:v>
      </x:c>
      <x:c r="I642" s="9" t="str">
        <x:v>RD-CT01</x:v>
      </x:c>
      <x:c r="J642" s="9" t="str">
        <x:v>Primary held-out relation × candidate-category composition — Pick up</x:v>
      </x:c>
      <x:c r="K642" s="9"/>
      <x:c r="L642" s="9" t="str">
        <x:v>566</x:v>
      </x:c>
      <x:c r="M642" s="9" t="str">
        <x:v>Masked source trajectory: the target identity and physical manipulation are trained under a direct-name prompt, while this relation × candidate-category composition is intentionally absent.</x:v>
      </x:c>
      <x:c r="N642" s="9" t="n">
        <x:v>2</x:v>
      </x:c>
      <x:c r="O642" s="9" t="str">
        <x:v>Place the listed objects. Arrange Expected Target as the unique answer to the prompt; keep the bowl empty and save a reference image.</x:v>
      </x:c>
      <x:c r="P642" s="9" t="str">
        <x:v>Both candidates are present. The held-out relation is the only information that identifies the target.</x:v>
      </x:c>
      <x:c r="Q642" s="9"/>
      <x:c r="R642" s="10" t="n">
        <x:v>3</x:v>
      </x:c>
      <x:c r="S642" s="10" t="n">
        <x:v>1</x:v>
      </x:c>
      <x:c r="T642" s="9" t="str">
        <x:v>Empty</x:v>
      </x:c>
      <x:c r="U642" s="9"/>
      <x:c r="V642" s="9"/>
      <x:c r="W642" s="9"/>
      <x:c r="X642" s="10"/>
      <x:c r="Y642" s="10"/>
      <x:c r="Z642" s="9"/>
      <x:c r="AA642" s="9"/>
      <x:c r="AB642" s="9" t="str">
        <x:v>furthest</x:v>
      </x:c>
      <x:c r="AC642" s="9"/>
      <x:c r="AD642" s="9"/>
      <x:c r="AE642" s="9"/>
      <x:c r="AF642" s="9"/>
      <x:c r="AG642" s="9" t="str">
        <x:v>airplane toy</x:v>
      </x:c>
      <x:c r="AH642" s="9"/>
      <x:c r="AI642" s="11"/>
      <x:c r="AJ642" s="9"/>
      <x:c r="AK642" s="9" t="str">
        <x:v>Eval_Referential_Disambiguation.xlsm</x:v>
      </x:c>
      <x:c r="AL642" s="9" t="str">
        <x:v>pi0.5 Results</x:v>
      </x:c>
      <x:c r="AM642" s="9" t="n">
        <x:v>22</x:v>
      </x:c>
      <x:c r="AN642" s="9" t="n">
        <x:v>22</x:v>
      </x:c>
    </x:row>
    <x:row r="643">
      <x:c r="A643" s="9" t="str">
        <x:v>Failure</x:v>
      </x:c>
      <x:c r="B643" s="9" t="str">
        <x:v>Referential Disambiguation</x:v>
      </x:c>
      <x:c r="C643" s="10" t="n">
        <x:v>21</x:v>
      </x:c>
      <x:c r="D643" s="9" t="str">
        <x:v>Put the airplane toy with propellers in the bowl.</x:v>
      </x:c>
      <x:c r="E643" s="9" t="str">
        <x:v>airplane toy with propellers; airplane toy without propellers; green pen</x:v>
      </x:c>
      <x:c r="F643" s="9" t="str">
        <x:v>airplane toy with propellers</x:v>
      </x:c>
      <x:c r="G643" s="9" t="str">
        <x:v>picked airplane without propellors</x:v>
      </x:c>
      <x:c r="H643" s="9" t="str">
        <x:v>Matched manipulation control</x:v>
      </x:c>
      <x:c r="I643" s="9" t="str">
        <x:v>RD-CT01</x:v>
      </x:c>
      <x:c r="J643" s="9" t="str">
        <x:v>Exact-scene direct-identity manipulation control</x:v>
      </x:c>
      <x:c r="K643" s="9" t="n">
        <x:v>20</x:v>
      </x:c>
      <x:c r="L643" s="9" t="str">
        <x:v>566</x:v>
      </x:c>
      <x:c r="M643" s="9" t="str">
        <x:v>Exact masked-cell training prompt for the same target identity. The evaluation scene and physical endpoint are identical to the paired transfer row.</x:v>
      </x:c>
      <x:c r="N643" s="9" t="n">
        <x:v>2</x:v>
      </x:c>
      <x:c r="O643" s="9" t="str">
        <x:v>Reset the moved object exactly; preserve the scene; change only the instruction.</x:v>
      </x:c>
      <x:c r="P643" s="9" t="str">
        <x:v>Controls recognition and manipulation of the same target without requiring referential reasoning.</x:v>
      </x:c>
      <x:c r="Q643" s="9"/>
      <x:c r="R643" s="10" t="n">
        <x:v>3</x:v>
      </x:c>
      <x:c r="S643" s="10" t="n">
        <x:v>1</x:v>
      </x:c>
      <x:c r="T643" s="9" t="str">
        <x:v>Empty</x:v>
      </x:c>
      <x:c r="U643" s="9"/>
      <x:c r="V643" s="9"/>
      <x:c r="W643" s="9"/>
      <x:c r="X643" s="10"/>
      <x:c r="Y643" s="10"/>
      <x:c r="Z643" s="9"/>
      <x:c r="AA643" s="9"/>
      <x:c r="AB643" s="9" t="str">
        <x:v>direct name</x:v>
      </x:c>
      <x:c r="AC643" s="9"/>
      <x:c r="AD643" s="9"/>
      <x:c r="AE643" s="9"/>
      <x:c r="AF643" s="9"/>
      <x:c r="AG643" s="9" t="str">
        <x:v>airplane toy</x:v>
      </x:c>
      <x:c r="AH643" s="9"/>
      <x:c r="AI643" s="11"/>
      <x:c r="AJ643" s="9"/>
      <x:c r="AK643" s="9" t="str">
        <x:v>Eval_Referential_Disambiguation.xlsm</x:v>
      </x:c>
      <x:c r="AL643" s="9" t="str">
        <x:v>pi0.5 Results</x:v>
      </x:c>
      <x:c r="AM643" s="9" t="n">
        <x:v>23</x:v>
      </x:c>
      <x:c r="AN643" s="9" t="n">
        <x:v>23</x:v>
      </x:c>
    </x:row>
    <x:row r="644">
      <x:c r="A644" s="9" t="str">
        <x:v>Failure</x:v>
      </x:c>
      <x:c r="B644" s="9" t="str">
        <x:v>Referential Disambiguation</x:v>
      </x:c>
      <x:c r="C644" s="10" t="n">
        <x:v>22</x:v>
      </x:c>
      <x:c r="D644" s="9" t="str">
        <x:v>Choose the airplane toy farthest from the green pen and put it in the bowl.</x:v>
      </x:c>
      <x:c r="E644" s="9" t="str">
        <x:v>airplane toy with propellers; airplane toy without propellers; green pen</x:v>
      </x:c>
      <x:c r="F644" s="9" t="str">
        <x:v>airplane toy with propellers</x:v>
      </x:c>
      <x:c r="G644" s="9" t="str">
        <x:v>went for closest one and couldn't grasp it. failed reasoning and grasping</x:v>
      </x:c>
      <x:c r="H644" s="9" t="str">
        <x:v>Language robustness</x:v>
      </x:c>
      <x:c r="I644" s="9" t="str">
        <x:v>RD-CT01</x:v>
      </x:c>
      <x:c r="J644" s="9" t="str">
        <x:v>Primary compositional-transfer prompt paraphrase</x:v>
      </x:c>
      <x:c r="K644" s="9" t="n">
        <x:v>20</x:v>
      </x:c>
      <x:c r="L644" s="9" t="str">
        <x:v>566</x:v>
      </x:c>
      <x:c r="M644" s="9" t="str">
        <x:v>Exact canonical transfer scene and masked trajectory reference; only the instruction wording changes. This remains a separate language diagnostic.</x:v>
      </x:c>
      <x:c r="N644" s="9" t="n">
        <x:v>2</x:v>
      </x:c>
      <x:c r="O644" s="9" t="str">
        <x:v>Reset the moved object exactly; preserve the scene; change only the wording.</x:v>
      </x:c>
      <x:c r="P644" s="9" t="str">
        <x:v>One of 10 exact-scene paraphrases of canonical transfer trials.</x:v>
      </x:c>
      <x:c r="Q644" s="9"/>
      <x:c r="R644" s="10" t="n">
        <x:v>3</x:v>
      </x:c>
      <x:c r="S644" s="10" t="n">
        <x:v>1</x:v>
      </x:c>
      <x:c r="T644" s="9" t="str">
        <x:v>Empty</x:v>
      </x:c>
      <x:c r="U644" s="9"/>
      <x:c r="V644" s="9"/>
      <x:c r="W644" s="9"/>
      <x:c r="X644" s="10"/>
      <x:c r="Y644" s="10"/>
      <x:c r="Z644" s="9"/>
      <x:c r="AA644" s="9"/>
      <x:c r="AB644" s="9" t="str">
        <x:v>furthest</x:v>
      </x:c>
      <x:c r="AC644" s="9"/>
      <x:c r="AD644" s="9"/>
      <x:c r="AE644" s="9"/>
      <x:c r="AF644" s="9"/>
      <x:c r="AG644" s="9" t="str">
        <x:v>airplane toy</x:v>
      </x:c>
      <x:c r="AH644" s="9"/>
      <x:c r="AI644" s="11"/>
      <x:c r="AJ644" s="9"/>
      <x:c r="AK644" s="9" t="str">
        <x:v>Eval_Referential_Disambiguation.xlsm</x:v>
      </x:c>
      <x:c r="AL644" s="9" t="str">
        <x:v>pi0.5 Results</x:v>
      </x:c>
      <x:c r="AM644" s="9" t="n">
        <x:v>24</x:v>
      </x:c>
      <x:c r="AN644" s="9" t="n">
        <x:v>24</x:v>
      </x:c>
    </x:row>
    <x:row r="645">
      <x:c r="A645" s="9" t="str">
        <x:v>Failure</x:v>
      </x:c>
      <x:c r="B645" s="9" t="str">
        <x:v>Referential Disambiguation</x:v>
      </x:c>
      <x:c r="C645" s="10" t="n">
        <x:v>23</x:v>
      </x:c>
      <x:c r="D645" s="9" t="str">
        <x:v>Take the airplane toy with propellers and set it in the bowl.</x:v>
      </x:c>
      <x:c r="E645" s="9" t="str">
        <x:v>airplane toy with propellers; airplane toy without propellers; green pen</x:v>
      </x:c>
      <x:c r="F645" s="9" t="str">
        <x:v>airplane toy with propellers</x:v>
      </x:c>
      <x:c r="G645" s="9" t="str">
        <x:v>picked non-propellor plane</x:v>
      </x:c>
      <x:c r="H645" s="9" t="str">
        <x:v>Language robustness</x:v>
      </x:c>
      <x:c r="I645" s="9" t="str">
        <x:v>RD-CT01</x:v>
      </x:c>
      <x:c r="J645" s="9" t="str">
        <x:v>Matched-control direct-name prompt paraphrase</x:v>
      </x:c>
      <x:c r="K645" s="9" t="n">
        <x:v>21</x:v>
      </x:c>
      <x:c r="L645" s="9" t="str">
        <x:v>566</x:v>
      </x:c>
      <x:c r="M645" s="9" t="str">
        <x:v>Exact matched-control scene and target; only the direct-name instruction wording changes.</x:v>
      </x:c>
      <x:c r="N645" s="9" t="n">
        <x:v>2</x:v>
      </x:c>
      <x:c r="O645" s="9" t="str">
        <x:v>Reset the moved object exactly; preserve the scene; change only the wording.</x:v>
      </x:c>
      <x:c r="P645" s="9" t="str">
        <x:v>One of 10 exact-scene paraphrases of matched manipulation controls.</x:v>
      </x:c>
      <x:c r="Q645" s="9"/>
      <x:c r="R645" s="10" t="n">
        <x:v>3</x:v>
      </x:c>
      <x:c r="S645" s="10" t="n">
        <x:v>1</x:v>
      </x:c>
      <x:c r="T645" s="9" t="str">
        <x:v>Empty</x:v>
      </x:c>
      <x:c r="U645" s="9"/>
      <x:c r="V645" s="9"/>
      <x:c r="W645" s="9"/>
      <x:c r="X645" s="10"/>
      <x:c r="Y645" s="10"/>
      <x:c r="Z645" s="9"/>
      <x:c r="AA645" s="9"/>
      <x:c r="AB645" s="9" t="str">
        <x:v>direct-name paraphrase</x:v>
      </x:c>
      <x:c r="AC645" s="9"/>
      <x:c r="AD645" s="9"/>
      <x:c r="AE645" s="9"/>
      <x:c r="AF645" s="9"/>
      <x:c r="AG645" s="9" t="str">
        <x:v>airplane toy</x:v>
      </x:c>
      <x:c r="AH645" s="9"/>
      <x:c r="AI645" s="11"/>
      <x:c r="AJ645" s="9"/>
      <x:c r="AK645" s="9" t="str">
        <x:v>Eval_Referential_Disambiguation.xlsm</x:v>
      </x:c>
      <x:c r="AL645" s="9" t="str">
        <x:v>pi0.5 Results</x:v>
      </x:c>
      <x:c r="AM645" s="9" t="n">
        <x:v>25</x:v>
      </x:c>
      <x:c r="AN645" s="9" t="n">
        <x:v>25</x:v>
      </x:c>
    </x:row>
    <x:row r="646">
      <x:c r="A646" s="9" t="str">
        <x:v>Failure</x:v>
      </x:c>
      <x:c r="B646" s="9" t="str">
        <x:v>Referential Disambiguation</x:v>
      </x:c>
      <x:c r="C646" s="10" t="n">
        <x:v>24</x:v>
      </x:c>
      <x:c r="D646" s="9" t="str">
        <x:v>Pick up the crushed soda can closest to the green pen and place it in the bowl.</x:v>
      </x:c>
      <x:c r="E646" s="9" t="str">
        <x:v>crushed Coke can; crushed Pepsi can; green pen</x:v>
      </x:c>
      <x:c r="F646" s="9" t="str">
        <x:v>crushed Coke can</x:v>
      </x:c>
      <x:c r="G646" s="9" t="str">
        <x:v>picked soda can furthest from green pen</x:v>
      </x:c>
      <x:c r="H646" s="9" t="str">
        <x:v>Concept/compositional transfer</x:v>
      </x:c>
      <x:c r="I646" s="9" t="str">
        <x:v>RD-CT02</x:v>
      </x:c>
      <x:c r="J646" s="9" t="str">
        <x:v>Primary held-out relation × candidate-category composition — Pick up</x:v>
      </x:c>
      <x:c r="K646" s="9"/>
      <x:c r="L646" s="9" t="str">
        <x:v>400</x:v>
      </x:c>
      <x:c r="M646" s="9" t="str">
        <x:v>Masked source trajectory: the target identity and physical manipulation are trained under a direct-name prompt, while this relation × candidate-category composition is intentionally absent.</x:v>
      </x:c>
      <x:c r="N646" s="9" t="n">
        <x:v>2</x:v>
      </x:c>
      <x:c r="O646" s="9" t="str">
        <x:v>Place the listed objects. Arrange Expected Target as the unique answer to the prompt; keep the bowl empty and save a reference image.</x:v>
      </x:c>
      <x:c r="P646" s="9" t="str">
        <x:v>Both candidates are present. The held-out relation is the only information that identifies the target.</x:v>
      </x:c>
      <x:c r="Q646" s="9"/>
      <x:c r="R646" s="10" t="n">
        <x:v>3</x:v>
      </x:c>
      <x:c r="S646" s="10" t="n">
        <x:v>1</x:v>
      </x:c>
      <x:c r="T646" s="9" t="str">
        <x:v>Empty</x:v>
      </x:c>
      <x:c r="U646" s="9"/>
      <x:c r="V646" s="9"/>
      <x:c r="W646" s="9"/>
      <x:c r="X646" s="10"/>
      <x:c r="Y646" s="10"/>
      <x:c r="Z646" s="9"/>
      <x:c r="AA646" s="9"/>
      <x:c r="AB646" s="9" t="str">
        <x:v>closest</x:v>
      </x:c>
      <x:c r="AC646" s="9"/>
      <x:c r="AD646" s="9"/>
      <x:c r="AE646" s="9"/>
      <x:c r="AF646" s="9"/>
      <x:c r="AG646" s="9" t="str">
        <x:v>crushed soda can</x:v>
      </x:c>
      <x:c r="AH646" s="9"/>
      <x:c r="AI646" s="11"/>
      <x:c r="AJ646" s="9"/>
      <x:c r="AK646" s="9" t="str">
        <x:v>Eval_Referential_Disambiguation.xlsm</x:v>
      </x:c>
      <x:c r="AL646" s="9" t="str">
        <x:v>pi0.5 Results</x:v>
      </x:c>
      <x:c r="AM646" s="9" t="n">
        <x:v>26</x:v>
      </x:c>
      <x:c r="AN646" s="9" t="n">
        <x:v>26</x:v>
      </x:c>
    </x:row>
    <x:row r="647">
      <x:c r="A647" s="9" t="str">
        <x:v>Success</x:v>
      </x:c>
      <x:c r="B647" s="9" t="str">
        <x:v>Referential Disambiguation</x:v>
      </x:c>
      <x:c r="C647" s="10" t="n">
        <x:v>25</x:v>
      </x:c>
      <x:c r="D647" s="9" t="str">
        <x:v>Put the crushed Coke can in the bowl.</x:v>
      </x:c>
      <x:c r="E647" s="9" t="str">
        <x:v>crushed Coke can; crushed Pepsi can; green pen</x:v>
      </x:c>
      <x:c r="F647" s="9" t="str">
        <x:v>crushed Coke can</x:v>
      </x:c>
      <x:c r="G647" s="9"/>
      <x:c r="H647" s="9" t="str">
        <x:v>Matched manipulation control</x:v>
      </x:c>
      <x:c r="I647" s="9" t="str">
        <x:v>RD-CT02</x:v>
      </x:c>
      <x:c r="J647" s="9" t="str">
        <x:v>Exact-scene direct-identity manipulation control</x:v>
      </x:c>
      <x:c r="K647" s="9" t="n">
        <x:v>24</x:v>
      </x:c>
      <x:c r="L647" s="9" t="str">
        <x:v>400</x:v>
      </x:c>
      <x:c r="M647" s="9" t="str">
        <x:v>Exact masked-cell training prompt for the same target identity. The evaluation scene and physical endpoint are identical to the paired transfer row.</x:v>
      </x:c>
      <x:c r="N647" s="9" t="n">
        <x:v>2</x:v>
      </x:c>
      <x:c r="O647" s="9" t="str">
        <x:v>Reset the moved object exactly; preserve the scene; change only the instruction.</x:v>
      </x:c>
      <x:c r="P647" s="9" t="str">
        <x:v>Controls recognition and manipulation of the same target without requiring referential reasoning.</x:v>
      </x:c>
      <x:c r="Q647" s="9"/>
      <x:c r="R647" s="10" t="n">
        <x:v>3</x:v>
      </x:c>
      <x:c r="S647" s="10" t="n">
        <x:v>1</x:v>
      </x:c>
      <x:c r="T647" s="9" t="str">
        <x:v>Empty</x:v>
      </x:c>
      <x:c r="U647" s="9"/>
      <x:c r="V647" s="9"/>
      <x:c r="W647" s="9"/>
      <x:c r="X647" s="10"/>
      <x:c r="Y647" s="10"/>
      <x:c r="Z647" s="9"/>
      <x:c r="AA647" s="9"/>
      <x:c r="AB647" s="9" t="str">
        <x:v>direct name</x:v>
      </x:c>
      <x:c r="AC647" s="9"/>
      <x:c r="AD647" s="9"/>
      <x:c r="AE647" s="9"/>
      <x:c r="AF647" s="9"/>
      <x:c r="AG647" s="9" t="str">
        <x:v>crushed soda can</x:v>
      </x:c>
      <x:c r="AH647" s="9"/>
      <x:c r="AI647" s="11"/>
      <x:c r="AJ647" s="9"/>
      <x:c r="AK647" s="9" t="str">
        <x:v>Eval_Referential_Disambiguation.xlsm</x:v>
      </x:c>
      <x:c r="AL647" s="9" t="str">
        <x:v>pi0.5 Results</x:v>
      </x:c>
      <x:c r="AM647" s="9" t="n">
        <x:v>27</x:v>
      </x:c>
      <x:c r="AN647" s="9" t="n">
        <x:v>27</x:v>
      </x:c>
    </x:row>
    <x:row r="648">
      <x:c r="A648" s="9" t="str">
        <x:v>Failure</x:v>
      </x:c>
      <x:c r="B648" s="9" t="str">
        <x:v>Referential Disambiguation</x:v>
      </x:c>
      <x:c r="C648" s="10" t="n">
        <x:v>26</x:v>
      </x:c>
      <x:c r="D648" s="9" t="str">
        <x:v>Choose the crushed soda can nearest to the green pen and put it in the bowl.</x:v>
      </x:c>
      <x:c r="E648" s="9" t="str">
        <x:v>crushed Coke can; crushed Pepsi can; green pen</x:v>
      </x:c>
      <x:c r="F648" s="9" t="str">
        <x:v>crushed Coke can</x:v>
      </x:c>
      <x:c r="G648" s="9"/>
      <x:c r="H648" s="9" t="str">
        <x:v>Language robustness</x:v>
      </x:c>
      <x:c r="I648" s="9" t="str">
        <x:v>RD-CT02</x:v>
      </x:c>
      <x:c r="J648" s="9" t="str">
        <x:v>Primary compositional-transfer prompt paraphrase</x:v>
      </x:c>
      <x:c r="K648" s="9" t="n">
        <x:v>24</x:v>
      </x:c>
      <x:c r="L648" s="9" t="str">
        <x:v>400</x:v>
      </x:c>
      <x:c r="M648" s="9" t="str">
        <x:v>Exact canonical transfer scene and masked trajectory reference; only the instruction wording changes. This remains a separate language diagnostic.</x:v>
      </x:c>
      <x:c r="N648" s="9" t="n">
        <x:v>2</x:v>
      </x:c>
      <x:c r="O648" s="9" t="str">
        <x:v>Reset the moved object exactly; preserve the scene; change only the wording.</x:v>
      </x:c>
      <x:c r="P648" s="9" t="str">
        <x:v>One of 10 exact-scene paraphrases of canonical transfer trials.</x:v>
      </x:c>
      <x:c r="Q648" s="9"/>
      <x:c r="R648" s="10" t="n">
        <x:v>3</x:v>
      </x:c>
      <x:c r="S648" s="10" t="n">
        <x:v>1</x:v>
      </x:c>
      <x:c r="T648" s="9" t="str">
        <x:v>Empty</x:v>
      </x:c>
      <x:c r="U648" s="9"/>
      <x:c r="V648" s="9"/>
      <x:c r="W648" s="9"/>
      <x:c r="X648" s="10"/>
      <x:c r="Y648" s="10"/>
      <x:c r="Z648" s="9"/>
      <x:c r="AA648" s="9"/>
      <x:c r="AB648" s="9" t="str">
        <x:v>closest</x:v>
      </x:c>
      <x:c r="AC648" s="9"/>
      <x:c r="AD648" s="9"/>
      <x:c r="AE648" s="9"/>
      <x:c r="AF648" s="9"/>
      <x:c r="AG648" s="9" t="str">
        <x:v>crushed soda can</x:v>
      </x:c>
      <x:c r="AH648" s="9"/>
      <x:c r="AI648" s="11"/>
      <x:c r="AJ648" s="9"/>
      <x:c r="AK648" s="9" t="str">
        <x:v>Eval_Referential_Disambiguation.xlsm</x:v>
      </x:c>
      <x:c r="AL648" s="9" t="str">
        <x:v>pi0.5 Results</x:v>
      </x:c>
      <x:c r="AM648" s="9" t="n">
        <x:v>28</x:v>
      </x:c>
      <x:c r="AN648" s="9" t="n">
        <x:v>28</x:v>
      </x:c>
    </x:row>
    <x:row r="649">
      <x:c r="A649" s="9" t="str">
        <x:v>Failure</x:v>
      </x:c>
      <x:c r="B649" s="9" t="str">
        <x:v>Referential Disambiguation</x:v>
      </x:c>
      <x:c r="C649" s="10" t="n">
        <x:v>27</x:v>
      </x:c>
      <x:c r="D649" s="9" t="str">
        <x:v>Take the crushed Coke can and set it in the bowl.</x:v>
      </x:c>
      <x:c r="E649" s="9" t="str">
        <x:v>crushed Coke can; crushed Pepsi can; green pen</x:v>
      </x:c>
      <x:c r="F649" s="9" t="str">
        <x:v>crushed Coke can</x:v>
      </x:c>
      <x:c r="G649" s="9" t="str">
        <x:v>picked the crushed pepsi can </x:v>
      </x:c>
      <x:c r="H649" s="9" t="str">
        <x:v>Language robustness</x:v>
      </x:c>
      <x:c r="I649" s="9" t="str">
        <x:v>RD-CT02</x:v>
      </x:c>
      <x:c r="J649" s="9" t="str">
        <x:v>Matched-control direct-name prompt paraphrase</x:v>
      </x:c>
      <x:c r="K649" s="9" t="n">
        <x:v>25</x:v>
      </x:c>
      <x:c r="L649" s="9" t="str">
        <x:v>400</x:v>
      </x:c>
      <x:c r="M649" s="9" t="str">
        <x:v>Exact matched-control scene and target; only the direct-name instruction wording changes.</x:v>
      </x:c>
      <x:c r="N649" s="9" t="n">
        <x:v>2</x:v>
      </x:c>
      <x:c r="O649" s="9" t="str">
        <x:v>Reset the moved object exactly; preserve the scene; change only the wording.</x:v>
      </x:c>
      <x:c r="P649" s="9" t="str">
        <x:v>One of 10 exact-scene paraphrases of matched manipulation controls.</x:v>
      </x:c>
      <x:c r="Q649" s="9"/>
      <x:c r="R649" s="10" t="n">
        <x:v>3</x:v>
      </x:c>
      <x:c r="S649" s="10" t="n">
        <x:v>1</x:v>
      </x:c>
      <x:c r="T649" s="9" t="str">
        <x:v>Empty</x:v>
      </x:c>
      <x:c r="U649" s="9"/>
      <x:c r="V649" s="9"/>
      <x:c r="W649" s="9"/>
      <x:c r="X649" s="10"/>
      <x:c r="Y649" s="10"/>
      <x:c r="Z649" s="9"/>
      <x:c r="AA649" s="9"/>
      <x:c r="AB649" s="9" t="str">
        <x:v>direct-name paraphrase</x:v>
      </x:c>
      <x:c r="AC649" s="9"/>
      <x:c r="AD649" s="9"/>
      <x:c r="AE649" s="9"/>
      <x:c r="AF649" s="9"/>
      <x:c r="AG649" s="9" t="str">
        <x:v>crushed soda can</x:v>
      </x:c>
      <x:c r="AH649" s="9"/>
      <x:c r="AI649" s="11"/>
      <x:c r="AJ649" s="9"/>
      <x:c r="AK649" s="9" t="str">
        <x:v>Eval_Referential_Disambiguation.xlsm</x:v>
      </x:c>
      <x:c r="AL649" s="9" t="str">
        <x:v>pi0.5 Results</x:v>
      </x:c>
      <x:c r="AM649" s="9" t="n">
        <x:v>29</x:v>
      </x:c>
      <x:c r="AN649" s="9" t="n">
        <x:v>29</x:v>
      </x:c>
    </x:row>
    <x:row r="650">
      <x:c r="A650" s="9" t="str">
        <x:v>Success</x:v>
      </x:c>
      <x:c r="B650" s="9" t="str">
        <x:v>Referential Disambiguation</x:v>
      </x:c>
      <x:c r="C650" s="10" t="n">
        <x:v>28</x:v>
      </x:c>
      <x:c r="D650" s="9" t="str">
        <x:v>Pick up the pencil sharpener between the green pen and the crushed Coke can and place it in the bowl.</x:v>
      </x:c>
      <x:c r="E650" s="9" t="str">
        <x:v>green pencil sharpener; red pencil sharpener; green pen; crushed Coke can</x:v>
      </x:c>
      <x:c r="F650" s="9" t="str">
        <x:v>green pencil sharpener</x:v>
      </x:c>
      <x:c r="G650" s="9"/>
      <x:c r="H650" s="9" t="str">
        <x:v>Concept/compositional transfer</x:v>
      </x:c>
      <x:c r="I650" s="9" t="str">
        <x:v>RD-CT03</x:v>
      </x:c>
      <x:c r="J650" s="9" t="str">
        <x:v>Primary held-out relation × candidate-category composition — Pick up</x:v>
      </x:c>
      <x:c r="K650" s="9"/>
      <x:c r="L650" s="9" t="str">
        <x:v>482</x:v>
      </x:c>
      <x:c r="M650" s="9" t="str">
        <x:v>Masked source trajectory: the target identity and physical manipulation are trained under a direct-name prompt, while this relation × candidate-category composition is intentionally absent.</x:v>
      </x:c>
      <x:c r="N650" s="9" t="n">
        <x:v>2</x:v>
      </x:c>
      <x:c r="O650" s="9" t="str">
        <x:v>Place the listed objects. Arrange Expected Target as the unique answer to the prompt; keep the bowl empty and save a reference image.</x:v>
      </x:c>
      <x:c r="P650" s="9" t="str">
        <x:v>Both candidates are present. The held-out relation is the only information that identifies the target.</x:v>
      </x:c>
      <x:c r="Q650" s="9"/>
      <x:c r="R650" s="10" t="n">
        <x:v>4</x:v>
      </x:c>
      <x:c r="S650" s="10" t="n">
        <x:v>1</x:v>
      </x:c>
      <x:c r="T650" s="9" t="str">
        <x:v>Empty</x:v>
      </x:c>
      <x:c r="U650" s="9"/>
      <x:c r="V650" s="9"/>
      <x:c r="W650" s="9"/>
      <x:c r="X650" s="10"/>
      <x:c r="Y650" s="10"/>
      <x:c r="Z650" s="9"/>
      <x:c r="AA650" s="9"/>
      <x:c r="AB650" s="9" t="str">
        <x:v>between</x:v>
      </x:c>
      <x:c r="AC650" s="9"/>
      <x:c r="AD650" s="9"/>
      <x:c r="AE650" s="9"/>
      <x:c r="AF650" s="9"/>
      <x:c r="AG650" s="9" t="str">
        <x:v>pencil sharpener</x:v>
      </x:c>
      <x:c r="AH650" s="9"/>
      <x:c r="AI650" s="11"/>
      <x:c r="AJ650" s="9"/>
      <x:c r="AK650" s="9" t="str">
        <x:v>Eval_Referential_Disambiguation.xlsm</x:v>
      </x:c>
      <x:c r="AL650" s="9" t="str">
        <x:v>pi0.5 Results</x:v>
      </x:c>
      <x:c r="AM650" s="9" t="n">
        <x:v>30</x:v>
      </x:c>
      <x:c r="AN650" s="9" t="n">
        <x:v>30</x:v>
      </x:c>
    </x:row>
    <x:row r="651">
      <x:c r="A651" s="9" t="str">
        <x:v>Success</x:v>
      </x:c>
      <x:c r="B651" s="9" t="str">
        <x:v>Referential Disambiguation</x:v>
      </x:c>
      <x:c r="C651" s="10" t="n">
        <x:v>29</x:v>
      </x:c>
      <x:c r="D651" s="9" t="str">
        <x:v>Pick up the green pencil sharpener and place it in the bowl.</x:v>
      </x:c>
      <x:c r="E651" s="9" t="str">
        <x:v>green pencil sharpener; red pencil sharpener; green pen; crushed Coke can</x:v>
      </x:c>
      <x:c r="F651" s="9" t="str">
        <x:v>green pencil sharpener</x:v>
      </x:c>
      <x:c r="G651" s="9"/>
      <x:c r="H651" s="9" t="str">
        <x:v>Matched manipulation control</x:v>
      </x:c>
      <x:c r="I651" s="9" t="str">
        <x:v>RD-CT03</x:v>
      </x:c>
      <x:c r="J651" s="9" t="str">
        <x:v>Exact-scene direct-identity manipulation control</x:v>
      </x:c>
      <x:c r="K651" s="9" t="n">
        <x:v>28</x:v>
      </x:c>
      <x:c r="L651" s="9" t="str">
        <x:v>482</x:v>
      </x:c>
      <x:c r="M651" s="9" t="str">
        <x:v>Exact masked-cell training prompt for the same target identity. The evaluation scene and physical endpoint are identical to the paired transfer row.</x:v>
      </x:c>
      <x:c r="N651" s="9" t="n">
        <x:v>2</x:v>
      </x:c>
      <x:c r="O651" s="9" t="str">
        <x:v>Reset the moved object exactly; preserve the scene; change only the instruction.</x:v>
      </x:c>
      <x:c r="P651" s="9" t="str">
        <x:v>Controls recognition and manipulation of the same target without requiring referential reasoning.</x:v>
      </x:c>
      <x:c r="Q651" s="9"/>
      <x:c r="R651" s="10" t="n">
        <x:v>4</x:v>
      </x:c>
      <x:c r="S651" s="10" t="n">
        <x:v>1</x:v>
      </x:c>
      <x:c r="T651" s="9" t="str">
        <x:v>Empty</x:v>
      </x:c>
      <x:c r="U651" s="9"/>
      <x:c r="V651" s="9"/>
      <x:c r="W651" s="9"/>
      <x:c r="X651" s="10"/>
      <x:c r="Y651" s="10"/>
      <x:c r="Z651" s="9"/>
      <x:c r="AA651" s="9"/>
      <x:c r="AB651" s="9" t="str">
        <x:v>direct name</x:v>
      </x:c>
      <x:c r="AC651" s="9"/>
      <x:c r="AD651" s="9"/>
      <x:c r="AE651" s="9"/>
      <x:c r="AF651" s="9"/>
      <x:c r="AG651" s="9" t="str">
        <x:v>pencil sharpener</x:v>
      </x:c>
      <x:c r="AH651" s="9"/>
      <x:c r="AI651" s="11"/>
      <x:c r="AJ651" s="9"/>
      <x:c r="AK651" s="9" t="str">
        <x:v>Eval_Referential_Disambiguation.xlsm</x:v>
      </x:c>
      <x:c r="AL651" s="9" t="str">
        <x:v>pi0.5 Results</x:v>
      </x:c>
      <x:c r="AM651" s="9" t="n">
        <x:v>31</x:v>
      </x:c>
      <x:c r="AN651" s="9" t="n">
        <x:v>31</x:v>
      </x:c>
    </x:row>
    <x:row r="652">
      <x:c r="A652" s="9" t="str">
        <x:v>Success</x:v>
      </x:c>
      <x:c r="B652" s="9" t="str">
        <x:v>Referential Disambiguation</x:v>
      </x:c>
      <x:c r="C652" s="10" t="n">
        <x:v>30</x:v>
      </x:c>
      <x:c r="D652" s="9" t="str">
        <x:v>Choose the pencil sharpener located in the middle of the green pen and the crushed Coke can, then put it in the bowl.</x:v>
      </x:c>
      <x:c r="E652" s="9" t="str">
        <x:v>green pencil sharpener; red pencil sharpener; green pen; crushed Coke can</x:v>
      </x:c>
      <x:c r="F652" s="9" t="str">
        <x:v>green pencil sharpener</x:v>
      </x:c>
      <x:c r="G652" s="9"/>
      <x:c r="H652" s="9" t="str">
        <x:v>Language robustness</x:v>
      </x:c>
      <x:c r="I652" s="9" t="str">
        <x:v>RD-CT03</x:v>
      </x:c>
      <x:c r="J652" s="9" t="str">
        <x:v>Primary compositional-transfer prompt paraphrase</x:v>
      </x:c>
      <x:c r="K652" s="9" t="n">
        <x:v>28</x:v>
      </x:c>
      <x:c r="L652" s="9" t="str">
        <x:v>482</x:v>
      </x:c>
      <x:c r="M652" s="9" t="str">
        <x:v>Exact canonical transfer scene and masked trajectory reference; only the instruction wording changes. This remains a separate language diagnostic.</x:v>
      </x:c>
      <x:c r="N652" s="9" t="n">
        <x:v>2</x:v>
      </x:c>
      <x:c r="O652" s="9" t="str">
        <x:v>Reset the moved object exactly; preserve the scene; change only the wording.</x:v>
      </x:c>
      <x:c r="P652" s="9" t="str">
        <x:v>One of 10 exact-scene paraphrases of canonical transfer trials.</x:v>
      </x:c>
      <x:c r="Q652" s="9"/>
      <x:c r="R652" s="10" t="n">
        <x:v>4</x:v>
      </x:c>
      <x:c r="S652" s="10" t="n">
        <x:v>1</x:v>
      </x:c>
      <x:c r="T652" s="9" t="str">
        <x:v>Empty</x:v>
      </x:c>
      <x:c r="U652" s="9"/>
      <x:c r="V652" s="9"/>
      <x:c r="W652" s="9"/>
      <x:c r="X652" s="10"/>
      <x:c r="Y652" s="10"/>
      <x:c r="Z652" s="9"/>
      <x:c r="AA652" s="9"/>
      <x:c r="AB652" s="9" t="str">
        <x:v>between</x:v>
      </x:c>
      <x:c r="AC652" s="9"/>
      <x:c r="AD652" s="9"/>
      <x:c r="AE652" s="9"/>
      <x:c r="AF652" s="9"/>
      <x:c r="AG652" s="9" t="str">
        <x:v>pencil sharpener</x:v>
      </x:c>
      <x:c r="AH652" s="9"/>
      <x:c r="AI652" s="11"/>
      <x:c r="AJ652" s="9"/>
      <x:c r="AK652" s="9" t="str">
        <x:v>Eval_Referential_Disambiguation.xlsm</x:v>
      </x:c>
      <x:c r="AL652" s="9" t="str">
        <x:v>pi0.5 Results</x:v>
      </x:c>
      <x:c r="AM652" s="9" t="n">
        <x:v>32</x:v>
      </x:c>
      <x:c r="AN652" s="9" t="n">
        <x:v>32</x:v>
      </x:c>
    </x:row>
    <x:row r="653">
      <x:c r="A653" s="9" t="str">
        <x:v>Success</x:v>
      </x:c>
      <x:c r="B653" s="9" t="str">
        <x:v>Referential Disambiguation</x:v>
      </x:c>
      <x:c r="C653" s="10" t="n">
        <x:v>31</x:v>
      </x:c>
      <x:c r="D653" s="9" t="str">
        <x:v>Take the green pencil sharpener and set it in the bowl.</x:v>
      </x:c>
      <x:c r="E653" s="9" t="str">
        <x:v>green pencil sharpener; red pencil sharpener; green pen; crushed Coke can</x:v>
      </x:c>
      <x:c r="F653" s="9" t="str">
        <x:v>green pencil sharpener</x:v>
      </x:c>
      <x:c r="G653" s="9"/>
      <x:c r="H653" s="9" t="str">
        <x:v>Language robustness</x:v>
      </x:c>
      <x:c r="I653" s="9" t="str">
        <x:v>RD-CT03</x:v>
      </x:c>
      <x:c r="J653" s="9" t="str">
        <x:v>Matched-control direct-name prompt paraphrase</x:v>
      </x:c>
      <x:c r="K653" s="9" t="n">
        <x:v>29</x:v>
      </x:c>
      <x:c r="L653" s="9" t="str">
        <x:v>482</x:v>
      </x:c>
      <x:c r="M653" s="9" t="str">
        <x:v>Exact matched-control scene and target; only the direct-name instruction wording changes.</x:v>
      </x:c>
      <x:c r="N653" s="9" t="n">
        <x:v>2</x:v>
      </x:c>
      <x:c r="O653" s="9" t="str">
        <x:v>Reset the moved object exactly; preserve the scene; change only the wording.</x:v>
      </x:c>
      <x:c r="P653" s="9" t="str">
        <x:v>One of 10 exact-scene paraphrases of matched manipulation controls.</x:v>
      </x:c>
      <x:c r="Q653" s="9"/>
      <x:c r="R653" s="10" t="n">
        <x:v>4</x:v>
      </x:c>
      <x:c r="S653" s="10" t="n">
        <x:v>1</x:v>
      </x:c>
      <x:c r="T653" s="9" t="str">
        <x:v>Empty</x:v>
      </x:c>
      <x:c r="U653" s="9"/>
      <x:c r="V653" s="9"/>
      <x:c r="W653" s="9"/>
      <x:c r="X653" s="10"/>
      <x:c r="Y653" s="10"/>
      <x:c r="Z653" s="9"/>
      <x:c r="AA653" s="9"/>
      <x:c r="AB653" s="9" t="str">
        <x:v>direct-name paraphrase</x:v>
      </x:c>
      <x:c r="AC653" s="9"/>
      <x:c r="AD653" s="9"/>
      <x:c r="AE653" s="9"/>
      <x:c r="AF653" s="9"/>
      <x:c r="AG653" s="9" t="str">
        <x:v>pencil sharpener</x:v>
      </x:c>
      <x:c r="AH653" s="9"/>
      <x:c r="AI653" s="11"/>
      <x:c r="AJ653" s="9"/>
      <x:c r="AK653" s="9" t="str">
        <x:v>Eval_Referential_Disambiguation.xlsm</x:v>
      </x:c>
      <x:c r="AL653" s="9" t="str">
        <x:v>pi0.5 Results</x:v>
      </x:c>
      <x:c r="AM653" s="9" t="n">
        <x:v>33</x:v>
      </x:c>
      <x:c r="AN653" s="9" t="n">
        <x:v>33</x:v>
      </x:c>
    </x:row>
    <x:row r="654">
      <x:c r="A654" s="9" t="str">
        <x:v>Success</x:v>
      </x:c>
      <x:c r="B654" s="9" t="str">
        <x:v>Referential Disambiguation</x:v>
      </x:c>
      <x:c r="C654" s="10" t="n">
        <x:v>32</x:v>
      </x:c>
      <x:c r="D654" s="9" t="str">
        <x:v>Put the airplane toy furthest from the crushed Coke can in the bowl.</x:v>
      </x:c>
      <x:c r="E654" s="9" t="str">
        <x:v>airplane toy with propellers; airplane toy without propellers; crushed Coke can; green pen</x:v>
      </x:c>
      <x:c r="F654" s="9" t="str">
        <x:v>airplane toy with propellers</x:v>
      </x:c>
      <x:c r="G654" s="9"/>
      <x:c r="H654" s="9" t="str">
        <x:v>Concept/compositional transfer</x:v>
      </x:c>
      <x:c r="I654" s="9" t="str">
        <x:v>RD-CT04</x:v>
      </x:c>
      <x:c r="J654" s="9" t="str">
        <x:v>Primary held-out relation × candidate-category composition — Put</x:v>
      </x:c>
      <x:c r="K654" s="9"/>
      <x:c r="L654" s="9" t="str">
        <x:v>568</x:v>
      </x:c>
      <x:c r="M654" s="9" t="str">
        <x:v>Masked source trajectory: the target identity and physical manipulation are trained under a direct-name prompt, while this relation × candidate-category composition is intentionally absent.</x:v>
      </x:c>
      <x:c r="N654" s="9" t="n">
        <x:v>2</x:v>
      </x:c>
      <x:c r="O654" s="9" t="str">
        <x:v>Place the listed objects. Arrange Expected Target as the unique answer to the prompt; keep the bowl empty and save a reference image.</x:v>
      </x:c>
      <x:c r="P654" s="9" t="str">
        <x:v>Both candidates are present. The held-out relation is the only information that identifies the target.</x:v>
      </x:c>
      <x:c r="Q654" s="9"/>
      <x:c r="R654" s="10" t="n">
        <x:v>4</x:v>
      </x:c>
      <x:c r="S654" s="10" t="n">
        <x:v>1</x:v>
      </x:c>
      <x:c r="T654" s="9" t="str">
        <x:v>Empty</x:v>
      </x:c>
      <x:c r="U654" s="9"/>
      <x:c r="V654" s="9"/>
      <x:c r="W654" s="9"/>
      <x:c r="X654" s="10"/>
      <x:c r="Y654" s="10"/>
      <x:c r="Z654" s="9"/>
      <x:c r="AA654" s="9"/>
      <x:c r="AB654" s="9" t="str">
        <x:v>furthest</x:v>
      </x:c>
      <x:c r="AC654" s="9"/>
      <x:c r="AD654" s="9"/>
      <x:c r="AE654" s="9"/>
      <x:c r="AF654" s="9"/>
      <x:c r="AG654" s="9" t="str">
        <x:v>airplane toy</x:v>
      </x:c>
      <x:c r="AH654" s="9"/>
      <x:c r="AI654" s="11"/>
      <x:c r="AJ654" s="9"/>
      <x:c r="AK654" s="9" t="str">
        <x:v>Eval_Referential_Disambiguation.xlsm</x:v>
      </x:c>
      <x:c r="AL654" s="9" t="str">
        <x:v>pi0.5 Results</x:v>
      </x:c>
      <x:c r="AM654" s="9" t="n">
        <x:v>34</x:v>
      </x:c>
      <x:c r="AN654" s="9" t="n">
        <x:v>34</x:v>
      </x:c>
    </x:row>
    <x:row r="655">
      <x:c r="A655" s="9" t="str">
        <x:v>Success</x:v>
      </x:c>
      <x:c r="B655" s="9" t="str">
        <x:v>Referential Disambiguation</x:v>
      </x:c>
      <x:c r="C655" s="10" t="n">
        <x:v>33</x:v>
      </x:c>
      <x:c r="D655" s="9" t="str">
        <x:v>Move the airplane toy with propellers into the bowl.</x:v>
      </x:c>
      <x:c r="E655" s="9" t="str">
        <x:v>airplane toy with propellers; airplane toy without propellers; crushed Coke can; green pen</x:v>
      </x:c>
      <x:c r="F655" s="9" t="str">
        <x:v>airplane toy with propellers</x:v>
      </x:c>
      <x:c r="G655" s="9"/>
      <x:c r="H655" s="9" t="str">
        <x:v>Matched manipulation control</x:v>
      </x:c>
      <x:c r="I655" s="9" t="str">
        <x:v>RD-CT04</x:v>
      </x:c>
      <x:c r="J655" s="9" t="str">
        <x:v>Exact-scene direct-identity manipulation control</x:v>
      </x:c>
      <x:c r="K655" s="9" t="n">
        <x:v>32</x:v>
      </x:c>
      <x:c r="L655" s="9" t="str">
        <x:v>568</x:v>
      </x:c>
      <x:c r="M655" s="9" t="str">
        <x:v>Exact masked-cell training prompt for the same target identity. The evaluation scene and physical endpoint are identical to the paired transfer row.</x:v>
      </x:c>
      <x:c r="N655" s="9" t="n">
        <x:v>2</x:v>
      </x:c>
      <x:c r="O655" s="9" t="str">
        <x:v>Reset the moved object exactly; preserve the scene; change only the instruction.</x:v>
      </x:c>
      <x:c r="P655" s="9" t="str">
        <x:v>Controls recognition and manipulation of the same target without requiring referential reasoning.</x:v>
      </x:c>
      <x:c r="Q655" s="9"/>
      <x:c r="R655" s="10" t="n">
        <x:v>4</x:v>
      </x:c>
      <x:c r="S655" s="10" t="n">
        <x:v>1</x:v>
      </x:c>
      <x:c r="T655" s="9" t="str">
        <x:v>Empty</x:v>
      </x:c>
      <x:c r="U655" s="9"/>
      <x:c r="V655" s="9"/>
      <x:c r="W655" s="9"/>
      <x:c r="X655" s="10"/>
      <x:c r="Y655" s="10"/>
      <x:c r="Z655" s="9"/>
      <x:c r="AA655" s="9"/>
      <x:c r="AB655" s="9" t="str">
        <x:v>direct name</x:v>
      </x:c>
      <x:c r="AC655" s="9"/>
      <x:c r="AD655" s="9"/>
      <x:c r="AE655" s="9"/>
      <x:c r="AF655" s="9"/>
      <x:c r="AG655" s="9" t="str">
        <x:v>airplane toy</x:v>
      </x:c>
      <x:c r="AH655" s="9"/>
      <x:c r="AI655" s="11"/>
      <x:c r="AJ655" s="9"/>
      <x:c r="AK655" s="9" t="str">
        <x:v>Eval_Referential_Disambiguation.xlsm</x:v>
      </x:c>
      <x:c r="AL655" s="9" t="str">
        <x:v>pi0.5 Results</x:v>
      </x:c>
      <x:c r="AM655" s="9" t="n">
        <x:v>35</x:v>
      </x:c>
      <x:c r="AN655" s="9" t="n">
        <x:v>35</x:v>
      </x:c>
    </x:row>
    <x:row r="656">
      <x:c r="A656" s="9" t="str">
        <x:v>Success</x:v>
      </x:c>
      <x:c r="B656" s="9" t="str">
        <x:v>Referential Disambiguation</x:v>
      </x:c>
      <x:c r="C656" s="10" t="n">
        <x:v>34</x:v>
      </x:c>
      <x:c r="D656" s="9" t="str">
        <x:v>Place the airplane toy with the greatest distance from the crushed Coke can in the bowl.</x:v>
      </x:c>
      <x:c r="E656" s="9" t="str">
        <x:v>airplane toy with propellers; airplane toy without propellers; crushed Coke can; green pen</x:v>
      </x:c>
      <x:c r="F656" s="9" t="str">
        <x:v>airplane toy with propellers</x:v>
      </x:c>
      <x:c r="G656" s="9"/>
      <x:c r="H656" s="9" t="str">
        <x:v>Language robustness</x:v>
      </x:c>
      <x:c r="I656" s="9" t="str">
        <x:v>RD-CT04</x:v>
      </x:c>
      <x:c r="J656" s="9" t="str">
        <x:v>Primary compositional-transfer prompt paraphrase</x:v>
      </x:c>
      <x:c r="K656" s="9" t="n">
        <x:v>32</x:v>
      </x:c>
      <x:c r="L656" s="9" t="str">
        <x:v>568</x:v>
      </x:c>
      <x:c r="M656" s="9" t="str">
        <x:v>Exact canonical transfer scene and masked trajectory reference; only the instruction wording changes. This remains a separate language diagnostic.</x:v>
      </x:c>
      <x:c r="N656" s="9" t="n">
        <x:v>2</x:v>
      </x:c>
      <x:c r="O656" s="9" t="str">
        <x:v>Reset the moved object exactly; preserve the scene; change only the wording.</x:v>
      </x:c>
      <x:c r="P656" s="9" t="str">
        <x:v>One of 10 exact-scene paraphrases of canonical transfer trials.</x:v>
      </x:c>
      <x:c r="Q656" s="9"/>
      <x:c r="R656" s="10" t="n">
        <x:v>4</x:v>
      </x:c>
      <x:c r="S656" s="10" t="n">
        <x:v>1</x:v>
      </x:c>
      <x:c r="T656" s="9" t="str">
        <x:v>Empty</x:v>
      </x:c>
      <x:c r="U656" s="9"/>
      <x:c r="V656" s="9"/>
      <x:c r="W656" s="9"/>
      <x:c r="X656" s="10"/>
      <x:c r="Y656" s="10"/>
      <x:c r="Z656" s="9"/>
      <x:c r="AA656" s="9"/>
      <x:c r="AB656" s="9" t="str">
        <x:v>furthest</x:v>
      </x:c>
      <x:c r="AC656" s="9"/>
      <x:c r="AD656" s="9"/>
      <x:c r="AE656" s="9"/>
      <x:c r="AF656" s="9"/>
      <x:c r="AG656" s="9" t="str">
        <x:v>airplane toy</x:v>
      </x:c>
      <x:c r="AH656" s="9"/>
      <x:c r="AI656" s="11"/>
      <x:c r="AJ656" s="9"/>
      <x:c r="AK656" s="9" t="str">
        <x:v>Eval_Referential_Disambiguation.xlsm</x:v>
      </x:c>
      <x:c r="AL656" s="9" t="str">
        <x:v>pi0.5 Results</x:v>
      </x:c>
      <x:c r="AM656" s="9" t="n">
        <x:v>36</x:v>
      </x:c>
      <x:c r="AN656" s="9" t="n">
        <x:v>36</x:v>
      </x:c>
    </x:row>
    <x:row r="657">
      <x:c r="A657" s="9" t="str">
        <x:v>Success</x:v>
      </x:c>
      <x:c r="B657" s="9" t="str">
        <x:v>Referential Disambiguation</x:v>
      </x:c>
      <x:c r="C657" s="10" t="n">
        <x:v>35</x:v>
      </x:c>
      <x:c r="D657" s="9" t="str">
        <x:v>Transfer the airplane toy with propellers into the bowl.</x:v>
      </x:c>
      <x:c r="E657" s="9" t="str">
        <x:v>airplane toy with propellers; airplane toy without propellers; crushed Coke can; green pen</x:v>
      </x:c>
      <x:c r="F657" s="9" t="str">
        <x:v>airplane toy with propellers</x:v>
      </x:c>
      <x:c r="G657" s="9"/>
      <x:c r="H657" s="9" t="str">
        <x:v>Language robustness</x:v>
      </x:c>
      <x:c r="I657" s="9" t="str">
        <x:v>RD-CT04</x:v>
      </x:c>
      <x:c r="J657" s="9" t="str">
        <x:v>Matched-control direct-name prompt paraphrase</x:v>
      </x:c>
      <x:c r="K657" s="9" t="n">
        <x:v>33</x:v>
      </x:c>
      <x:c r="L657" s="9" t="str">
        <x:v>568</x:v>
      </x:c>
      <x:c r="M657" s="9" t="str">
        <x:v>Exact matched-control scene and target; only the direct-name instruction wording changes.</x:v>
      </x:c>
      <x:c r="N657" s="9" t="n">
        <x:v>2</x:v>
      </x:c>
      <x:c r="O657" s="9" t="str">
        <x:v>Reset the moved object exactly; preserve the scene; change only the wording.</x:v>
      </x:c>
      <x:c r="P657" s="9" t="str">
        <x:v>One of 10 exact-scene paraphrases of matched manipulation controls.</x:v>
      </x:c>
      <x:c r="Q657" s="9"/>
      <x:c r="R657" s="10" t="n">
        <x:v>4</x:v>
      </x:c>
      <x:c r="S657" s="10" t="n">
        <x:v>1</x:v>
      </x:c>
      <x:c r="T657" s="9" t="str">
        <x:v>Empty</x:v>
      </x:c>
      <x:c r="U657" s="9"/>
      <x:c r="V657" s="9"/>
      <x:c r="W657" s="9"/>
      <x:c r="X657" s="10"/>
      <x:c r="Y657" s="10"/>
      <x:c r="Z657" s="9"/>
      <x:c r="AA657" s="9"/>
      <x:c r="AB657" s="9" t="str">
        <x:v>direct-name paraphrase</x:v>
      </x:c>
      <x:c r="AC657" s="9"/>
      <x:c r="AD657" s="9"/>
      <x:c r="AE657" s="9"/>
      <x:c r="AF657" s="9"/>
      <x:c r="AG657" s="9" t="str">
        <x:v>airplane toy</x:v>
      </x:c>
      <x:c r="AH657" s="9"/>
      <x:c r="AI657" s="11"/>
      <x:c r="AJ657" s="9"/>
      <x:c r="AK657" s="9" t="str">
        <x:v>Eval_Referential_Disambiguation.xlsm</x:v>
      </x:c>
      <x:c r="AL657" s="9" t="str">
        <x:v>pi0.5 Results</x:v>
      </x:c>
      <x:c r="AM657" s="9" t="n">
        <x:v>37</x:v>
      </x:c>
      <x:c r="AN657" s="9" t="n">
        <x:v>37</x:v>
      </x:c>
    </x:row>
    <x:row r="658">
      <x:c r="A658" s="9" t="str">
        <x:v>Failure</x:v>
      </x:c>
      <x:c r="B658" s="9" t="str">
        <x:v>Referential Disambiguation</x:v>
      </x:c>
      <x:c r="C658" s="10" t="n">
        <x:v>36</x:v>
      </x:c>
      <x:c r="D658" s="9" t="str">
        <x:v>Put the crushed soda can closest to the airplane toy with propellers in the bowl.</x:v>
      </x:c>
      <x:c r="E658" s="9" t="str">
        <x:v>crushed Coke can; crushed Pepsi can; airplane toy with propellers; green pencil sharpener</x:v>
      </x:c>
      <x:c r="F658" s="9" t="str">
        <x:v>crushed Coke can</x:v>
      </x:c>
      <x:c r="G658" s="9" t="str">
        <x:v>picked pepsi can; furthest from ariplane toy</x:v>
      </x:c>
      <x:c r="H658" s="9" t="str">
        <x:v>Concept/compositional transfer</x:v>
      </x:c>
      <x:c r="I658" s="9" t="str">
        <x:v>RD-CT05</x:v>
      </x:c>
      <x:c r="J658" s="9" t="str">
        <x:v>Primary held-out relation × candidate-category composition — Put</x:v>
      </x:c>
      <x:c r="K658" s="9"/>
      <x:c r="L658" s="9" t="str">
        <x:v>402</x:v>
      </x:c>
      <x:c r="M658" s="9" t="str">
        <x:v>Masked source trajectory: the target identity and physical manipulation are trained under a direct-name prompt, while this relation × candidate-category composition is intentionally absent.</x:v>
      </x:c>
      <x:c r="N658" s="9" t="n">
        <x:v>2</x:v>
      </x:c>
      <x:c r="O658" s="9" t="str">
        <x:v>Place the listed objects. Arrange Expected Target as the unique answer to the prompt; keep the bowl empty and save a reference image.</x:v>
      </x:c>
      <x:c r="P658" s="9" t="str">
        <x:v>Both candidates are present. The held-out relation is the only information that identifies the target.</x:v>
      </x:c>
      <x:c r="Q658" s="9"/>
      <x:c r="R658" s="10" t="n">
        <x:v>4</x:v>
      </x:c>
      <x:c r="S658" s="10" t="n">
        <x:v>1</x:v>
      </x:c>
      <x:c r="T658" s="9" t="str">
        <x:v>Empty</x:v>
      </x:c>
      <x:c r="U658" s="9"/>
      <x:c r="V658" s="9"/>
      <x:c r="W658" s="9"/>
      <x:c r="X658" s="10"/>
      <x:c r="Y658" s="10"/>
      <x:c r="Z658" s="9"/>
      <x:c r="AA658" s="9"/>
      <x:c r="AB658" s="9" t="str">
        <x:v>closest</x:v>
      </x:c>
      <x:c r="AC658" s="9"/>
      <x:c r="AD658" s="9"/>
      <x:c r="AE658" s="9"/>
      <x:c r="AF658" s="9"/>
      <x:c r="AG658" s="9" t="str">
        <x:v>crushed soda can</x:v>
      </x:c>
      <x:c r="AH658" s="9"/>
      <x:c r="AI658" s="11"/>
      <x:c r="AJ658" s="9"/>
      <x:c r="AK658" s="9" t="str">
        <x:v>Eval_Referential_Disambiguation.xlsm</x:v>
      </x:c>
      <x:c r="AL658" s="9" t="str">
        <x:v>pi0.5 Results</x:v>
      </x:c>
      <x:c r="AM658" s="9" t="n">
        <x:v>38</x:v>
      </x:c>
      <x:c r="AN658" s="9" t="n">
        <x:v>38</x:v>
      </x:c>
    </x:row>
    <x:row r="659">
      <x:c r="A659" s="9" t="str">
        <x:v>Failure</x:v>
      </x:c>
      <x:c r="B659" s="9" t="str">
        <x:v>Referential Disambiguation</x:v>
      </x:c>
      <x:c r="C659" s="10" t="n">
        <x:v>37</x:v>
      </x:c>
      <x:c r="D659" s="9" t="str">
        <x:v>Move the crushed Coke can into the bowl.</x:v>
      </x:c>
      <x:c r="E659" s="9" t="str">
        <x:v>crushed Coke can; crushed Pepsi can; airplane toy with propellers; green pencil sharpener</x:v>
      </x:c>
      <x:c r="F659" s="9" t="str">
        <x:v>crushed Coke can</x:v>
      </x:c>
      <x:c r="G659" s="9" t="str">
        <x:v>went for the coke can, but couldn't grasp it. Reasoning succeeded</x:v>
      </x:c>
      <x:c r="H659" s="9" t="str">
        <x:v>Matched manipulation control</x:v>
      </x:c>
      <x:c r="I659" s="9" t="str">
        <x:v>RD-CT05</x:v>
      </x:c>
      <x:c r="J659" s="9" t="str">
        <x:v>Exact-scene direct-identity manipulation control</x:v>
      </x:c>
      <x:c r="K659" s="9" t="n">
        <x:v>36</x:v>
      </x:c>
      <x:c r="L659" s="9" t="str">
        <x:v>402</x:v>
      </x:c>
      <x:c r="M659" s="9" t="str">
        <x:v>Exact masked-cell training prompt for the same target identity. The evaluation scene and physical endpoint are identical to the paired transfer row.</x:v>
      </x:c>
      <x:c r="N659" s="9" t="n">
        <x:v>2</x:v>
      </x:c>
      <x:c r="O659" s="9" t="str">
        <x:v>Reset the moved object exactly; preserve the scene; change only the instruction.</x:v>
      </x:c>
      <x:c r="P659" s="9" t="str">
        <x:v>Controls recognition and manipulation of the same target without requiring referential reasoning.</x:v>
      </x:c>
      <x:c r="Q659" s="9"/>
      <x:c r="R659" s="10" t="n">
        <x:v>4</x:v>
      </x:c>
      <x:c r="S659" s="10" t="n">
        <x:v>1</x:v>
      </x:c>
      <x:c r="T659" s="9" t="str">
        <x:v>Empty</x:v>
      </x:c>
      <x:c r="U659" s="9"/>
      <x:c r="V659" s="9"/>
      <x:c r="W659" s="9"/>
      <x:c r="X659" s="10"/>
      <x:c r="Y659" s="10"/>
      <x:c r="Z659" s="9"/>
      <x:c r="AA659" s="9"/>
      <x:c r="AB659" s="9" t="str">
        <x:v>direct name</x:v>
      </x:c>
      <x:c r="AC659" s="9"/>
      <x:c r="AD659" s="9"/>
      <x:c r="AE659" s="9"/>
      <x:c r="AF659" s="9"/>
      <x:c r="AG659" s="9" t="str">
        <x:v>crushed soda can</x:v>
      </x:c>
      <x:c r="AH659" s="9"/>
      <x:c r="AI659" s="11"/>
      <x:c r="AJ659" s="9"/>
      <x:c r="AK659" s="9" t="str">
        <x:v>Eval_Referential_Disambiguation.xlsm</x:v>
      </x:c>
      <x:c r="AL659" s="9" t="str">
        <x:v>pi0.5 Results</x:v>
      </x:c>
      <x:c r="AM659" s="9" t="n">
        <x:v>39</x:v>
      </x:c>
      <x:c r="AN659" s="9" t="n">
        <x:v>39</x:v>
      </x:c>
    </x:row>
    <x:row r="660">
      <x:c r="A660" s="9" t="str">
        <x:v>Success</x:v>
      </x:c>
      <x:c r="B660" s="9" t="str">
        <x:v>Referential Disambiguation</x:v>
      </x:c>
      <x:c r="C660" s="10" t="n">
        <x:v>38</x:v>
      </x:c>
      <x:c r="D660" s="9" t="str">
        <x:v>Place the crushed soda can with the shortest distance to the airplane toy with propellers in the bowl.</x:v>
      </x:c>
      <x:c r="E660" s="9" t="str">
        <x:v>crushed Coke can; crushed Pepsi can; airplane toy with propellers; green pencil sharpener</x:v>
      </x:c>
      <x:c r="F660" s="9" t="str">
        <x:v>crushed Coke can</x:v>
      </x:c>
      <x:c r="G660" s="9" t="str">
        <x:v>failed reasoning. went for pepsi can, knocked it out of range, then got the coke can. </x:v>
      </x:c>
      <x:c r="H660" s="9" t="str">
        <x:v>Language robustness</x:v>
      </x:c>
      <x:c r="I660" s="9" t="str">
        <x:v>RD-CT05</x:v>
      </x:c>
      <x:c r="J660" s="9" t="str">
        <x:v>Primary compositional-transfer prompt paraphrase</x:v>
      </x:c>
      <x:c r="K660" s="9" t="n">
        <x:v>36</x:v>
      </x:c>
      <x:c r="L660" s="9" t="str">
        <x:v>402</x:v>
      </x:c>
      <x:c r="M660" s="9" t="str">
        <x:v>Exact canonical transfer scene and masked trajectory reference; only the instruction wording changes. This remains a separate language diagnostic.</x:v>
      </x:c>
      <x:c r="N660" s="9" t="n">
        <x:v>2</x:v>
      </x:c>
      <x:c r="O660" s="9" t="str">
        <x:v>Reset the moved object exactly; preserve the scene; change only the wording.</x:v>
      </x:c>
      <x:c r="P660" s="9" t="str">
        <x:v>One of 10 exact-scene paraphrases of canonical transfer trials.</x:v>
      </x:c>
      <x:c r="Q660" s="9"/>
      <x:c r="R660" s="10" t="n">
        <x:v>4</x:v>
      </x:c>
      <x:c r="S660" s="10" t="n">
        <x:v>1</x:v>
      </x:c>
      <x:c r="T660" s="9" t="str">
        <x:v>Empty</x:v>
      </x:c>
      <x:c r="U660" s="9"/>
      <x:c r="V660" s="9"/>
      <x:c r="W660" s="9"/>
      <x:c r="X660" s="10"/>
      <x:c r="Y660" s="10"/>
      <x:c r="Z660" s="9"/>
      <x:c r="AA660" s="9"/>
      <x:c r="AB660" s="9" t="str">
        <x:v>closest</x:v>
      </x:c>
      <x:c r="AC660" s="9"/>
      <x:c r="AD660" s="9"/>
      <x:c r="AE660" s="9"/>
      <x:c r="AF660" s="9"/>
      <x:c r="AG660" s="9" t="str">
        <x:v>crushed soda can</x:v>
      </x:c>
      <x:c r="AH660" s="9"/>
      <x:c r="AI660" s="11"/>
      <x:c r="AJ660" s="9"/>
      <x:c r="AK660" s="9" t="str">
        <x:v>Eval_Referential_Disambiguation.xlsm</x:v>
      </x:c>
      <x:c r="AL660" s="9" t="str">
        <x:v>pi0.5 Results</x:v>
      </x:c>
      <x:c r="AM660" s="9" t="n">
        <x:v>40</x:v>
      </x:c>
      <x:c r="AN660" s="9" t="n">
        <x:v>40</x:v>
      </x:c>
    </x:row>
    <x:row r="661">
      <x:c r="A661" s="9" t="str">
        <x:v>Success</x:v>
      </x:c>
      <x:c r="B661" s="9" t="str">
        <x:v>Referential Disambiguation</x:v>
      </x:c>
      <x:c r="C661" s="10" t="n">
        <x:v>39</x:v>
      </x:c>
      <x:c r="D661" s="9" t="str">
        <x:v>Transfer the crushed Coke can into the bowl.</x:v>
      </x:c>
      <x:c r="E661" s="9" t="str">
        <x:v>crushed Coke can; crushed Pepsi can; airplane toy with propellers; green pencil sharpener</x:v>
      </x:c>
      <x:c r="F661" s="9" t="str">
        <x:v>crushed Coke can</x:v>
      </x:c>
      <x:c r="G661" s="9"/>
      <x:c r="H661" s="9" t="str">
        <x:v>Language robustness</x:v>
      </x:c>
      <x:c r="I661" s="9" t="str">
        <x:v>RD-CT05</x:v>
      </x:c>
      <x:c r="J661" s="9" t="str">
        <x:v>Matched-control direct-name prompt paraphrase</x:v>
      </x:c>
      <x:c r="K661" s="9" t="n">
        <x:v>37</x:v>
      </x:c>
      <x:c r="L661" s="9" t="str">
        <x:v>402</x:v>
      </x:c>
      <x:c r="M661" s="9" t="str">
        <x:v>Exact matched-control scene and target; only the direct-name instruction wording changes.</x:v>
      </x:c>
      <x:c r="N661" s="9" t="n">
        <x:v>2</x:v>
      </x:c>
      <x:c r="O661" s="9" t="str">
        <x:v>Reset the moved object exactly; preserve the scene; change only the wording.</x:v>
      </x:c>
      <x:c r="P661" s="9" t="str">
        <x:v>One of 10 exact-scene paraphrases of matched manipulation controls.</x:v>
      </x:c>
      <x:c r="Q661" s="9"/>
      <x:c r="R661" s="10" t="n">
        <x:v>4</x:v>
      </x:c>
      <x:c r="S661" s="10" t="n">
        <x:v>1</x:v>
      </x:c>
      <x:c r="T661" s="9" t="str">
        <x:v>Empty</x:v>
      </x:c>
      <x:c r="U661" s="9"/>
      <x:c r="V661" s="9"/>
      <x:c r="W661" s="9"/>
      <x:c r="X661" s="10"/>
      <x:c r="Y661" s="10"/>
      <x:c r="Z661" s="9"/>
      <x:c r="AA661" s="9"/>
      <x:c r="AB661" s="9" t="str">
        <x:v>direct-name paraphrase</x:v>
      </x:c>
      <x:c r="AC661" s="9"/>
      <x:c r="AD661" s="9"/>
      <x:c r="AE661" s="9"/>
      <x:c r="AF661" s="9"/>
      <x:c r="AG661" s="9" t="str">
        <x:v>crushed soda can</x:v>
      </x:c>
      <x:c r="AH661" s="9"/>
      <x:c r="AI661" s="11"/>
      <x:c r="AJ661" s="9"/>
      <x:c r="AK661" s="9" t="str">
        <x:v>Eval_Referential_Disambiguation.xlsm</x:v>
      </x:c>
      <x:c r="AL661" s="9" t="str">
        <x:v>pi0.5 Results</x:v>
      </x:c>
      <x:c r="AM661" s="9" t="n">
        <x:v>41</x:v>
      </x:c>
      <x:c r="AN661" s="9" t="n">
        <x:v>41</x:v>
      </x:c>
    </x:row>
    <x:row r="662">
      <x:c r="A662" s="9" t="str">
        <x:v>Failure</x:v>
      </x:c>
      <x:c r="B662" s="9" t="str">
        <x:v>Referential Disambiguation</x:v>
      </x:c>
      <x:c r="C662" s="10" t="n">
        <x:v>40</x:v>
      </x:c>
      <x:c r="D662" s="9" t="str">
        <x:v>Put the pencil sharpener between the airplane toy with propellers and the yellow pen in the bowl.</x:v>
      </x:c>
      <x:c r="E662" s="9" t="str">
        <x:v>green pencil sharpener; red pencil sharpener; airplane toy with propellers; yellow pen; airplane toy without propellers</x:v>
      </x:c>
      <x:c r="F662" s="9" t="str">
        <x:v>green pencil sharpener</x:v>
      </x:c>
      <x:c r="G662" s="9" t="str">
        <x:v>picked the sharpener between the yellow pen and airplane toy without propellors</x:v>
      </x:c>
      <x:c r="H662" s="9" t="str">
        <x:v>Concept/compositional transfer</x:v>
      </x:c>
      <x:c r="I662" s="9" t="str">
        <x:v>RD-CT06</x:v>
      </x:c>
      <x:c r="J662" s="9" t="str">
        <x:v>Primary held-out relation × candidate-category composition — Put</x:v>
      </x:c>
      <x:c r="K662" s="9"/>
      <x:c r="L662" s="9" t="str">
        <x:v>483</x:v>
      </x:c>
      <x:c r="M662" s="9" t="str">
        <x:v>Masked source trajectory: the target identity and physical manipulation are trained under a direct-name prompt, while this relation × candidate-category composition is intentionally absent.</x:v>
      </x:c>
      <x:c r="N662" s="9" t="n">
        <x:v>2</x:v>
      </x:c>
      <x:c r="O662" s="9" t="str">
        <x:v>Place the listed objects. Arrange Expected Target as the unique answer to the prompt; keep the bowl empty and save a reference image.</x:v>
      </x:c>
      <x:c r="P662" s="9" t="str">
        <x:v>Both candidates are present. The held-out relation is the only information that identifies the target.</x:v>
      </x:c>
      <x:c r="Q662" s="9"/>
      <x:c r="R662" s="10" t="n">
        <x:v>5</x:v>
      </x:c>
      <x:c r="S662" s="10" t="n">
        <x:v>1</x:v>
      </x:c>
      <x:c r="T662" s="9" t="str">
        <x:v>Empty</x:v>
      </x:c>
      <x:c r="U662" s="9"/>
      <x:c r="V662" s="9"/>
      <x:c r="W662" s="9"/>
      <x:c r="X662" s="10"/>
      <x:c r="Y662" s="10"/>
      <x:c r="Z662" s="9"/>
      <x:c r="AA662" s="9"/>
      <x:c r="AB662" s="9" t="str">
        <x:v>between</x:v>
      </x:c>
      <x:c r="AC662" s="9"/>
      <x:c r="AD662" s="9"/>
      <x:c r="AE662" s="9"/>
      <x:c r="AF662" s="9"/>
      <x:c r="AG662" s="9" t="str">
        <x:v>pencil sharpener</x:v>
      </x:c>
      <x:c r="AH662" s="9"/>
      <x:c r="AI662" s="11"/>
      <x:c r="AJ662" s="9"/>
      <x:c r="AK662" s="9" t="str">
        <x:v>Eval_Referential_Disambiguation.xlsm</x:v>
      </x:c>
      <x:c r="AL662" s="9" t="str">
        <x:v>pi0.5 Results</x:v>
      </x:c>
      <x:c r="AM662" s="9" t="n">
        <x:v>42</x:v>
      </x:c>
      <x:c r="AN662" s="9" t="n">
        <x:v>42</x:v>
      </x:c>
    </x:row>
    <x:row r="663">
      <x:c r="A663" s="9" t="str">
        <x:v>Success</x:v>
      </x:c>
      <x:c r="B663" s="9" t="str">
        <x:v>Referential Disambiguation</x:v>
      </x:c>
      <x:c r="C663" s="10" t="n">
        <x:v>41</x:v>
      </x:c>
      <x:c r="D663" s="9" t="str">
        <x:v>Move the green pencil sharpener into the bowl.</x:v>
      </x:c>
      <x:c r="E663" s="9" t="str">
        <x:v>green pencil sharpener; red pencil sharpener; airplane toy with propellers; yellow pen; airplane toy without propellers</x:v>
      </x:c>
      <x:c r="F663" s="9" t="str">
        <x:v>green pencil sharpener</x:v>
      </x:c>
      <x:c r="G663" s="9"/>
      <x:c r="H663" s="9" t="str">
        <x:v>Matched manipulation control</x:v>
      </x:c>
      <x:c r="I663" s="9" t="str">
        <x:v>RD-CT06</x:v>
      </x:c>
      <x:c r="J663" s="9" t="str">
        <x:v>Exact-scene direct-identity manipulation control</x:v>
      </x:c>
      <x:c r="K663" s="9" t="n">
        <x:v>40</x:v>
      </x:c>
      <x:c r="L663" s="9" t="str">
        <x:v>483</x:v>
      </x:c>
      <x:c r="M663" s="9" t="str">
        <x:v>Exact masked-cell training prompt for the same target identity. The evaluation scene and physical endpoint are identical to the paired transfer row.</x:v>
      </x:c>
      <x:c r="N663" s="9" t="n">
        <x:v>2</x:v>
      </x:c>
      <x:c r="O663" s="9" t="str">
        <x:v>Reset the moved object exactly; preserve the scene; change only the instruction.</x:v>
      </x:c>
      <x:c r="P663" s="9" t="str">
        <x:v>Controls recognition and manipulation of the same target without requiring referential reasoning.</x:v>
      </x:c>
      <x:c r="Q663" s="9"/>
      <x:c r="R663" s="10" t="n">
        <x:v>5</x:v>
      </x:c>
      <x:c r="S663" s="10" t="n">
        <x:v>1</x:v>
      </x:c>
      <x:c r="T663" s="9" t="str">
        <x:v>Empty</x:v>
      </x:c>
      <x:c r="U663" s="9"/>
      <x:c r="V663" s="9"/>
      <x:c r="W663" s="9"/>
      <x:c r="X663" s="10"/>
      <x:c r="Y663" s="10"/>
      <x:c r="Z663" s="9"/>
      <x:c r="AA663" s="9"/>
      <x:c r="AB663" s="9" t="str">
        <x:v>direct name</x:v>
      </x:c>
      <x:c r="AC663" s="9"/>
      <x:c r="AD663" s="9"/>
      <x:c r="AE663" s="9"/>
      <x:c r="AF663" s="9"/>
      <x:c r="AG663" s="9" t="str">
        <x:v>pencil sharpener</x:v>
      </x:c>
      <x:c r="AH663" s="9"/>
      <x:c r="AI663" s="11"/>
      <x:c r="AJ663" s="9"/>
      <x:c r="AK663" s="9" t="str">
        <x:v>Eval_Referential_Disambiguation.xlsm</x:v>
      </x:c>
      <x:c r="AL663" s="9" t="str">
        <x:v>pi0.5 Results</x:v>
      </x:c>
      <x:c r="AM663" s="9" t="n">
        <x:v>43</x:v>
      </x:c>
      <x:c r="AN663" s="9" t="n">
        <x:v>43</x:v>
      </x:c>
    </x:row>
    <x:row r="664">
      <x:c r="A664" s="9" t="str">
        <x:v>Failure</x:v>
      </x:c>
      <x:c r="B664" s="9" t="str">
        <x:v>Referential Disambiguation</x:v>
      </x:c>
      <x:c r="C664" s="10" t="n">
        <x:v>42</x:v>
      </x:c>
      <x:c r="D664" s="9" t="str">
        <x:v>Place the pencil sharpener sitting between the airplane toy with propellers and the yellow pen in the bowl.</x:v>
      </x:c>
      <x:c r="E664" s="9" t="str">
        <x:v>green pencil sharpener; red pencil sharpener; airplane toy with propellers; yellow pen; airplane toy without propellers</x:v>
      </x:c>
      <x:c r="F664" s="9" t="str">
        <x:v>green pencil sharpener</x:v>
      </x:c>
      <x:c r="G664" s="9" t="str">
        <x:v>picked the sharpener between the yellow pen and airplane toy without propellors</x:v>
      </x:c>
      <x:c r="H664" s="9" t="str">
        <x:v>Language robustness</x:v>
      </x:c>
      <x:c r="I664" s="9" t="str">
        <x:v>RD-CT06</x:v>
      </x:c>
      <x:c r="J664" s="9" t="str">
        <x:v>Primary compositional-transfer prompt paraphrase</x:v>
      </x:c>
      <x:c r="K664" s="9" t="n">
        <x:v>40</x:v>
      </x:c>
      <x:c r="L664" s="9" t="str">
        <x:v>483</x:v>
      </x:c>
      <x:c r="M664" s="9" t="str">
        <x:v>Exact canonical transfer scene and masked trajectory reference; only the instruction wording changes. This remains a separate language diagnostic.</x:v>
      </x:c>
      <x:c r="N664" s="9" t="n">
        <x:v>2</x:v>
      </x:c>
      <x:c r="O664" s="9" t="str">
        <x:v>Reset the moved object exactly; preserve the scene; change only the wording.</x:v>
      </x:c>
      <x:c r="P664" s="9" t="str">
        <x:v>One of 10 exact-scene paraphrases of canonical transfer trials.</x:v>
      </x:c>
      <x:c r="Q664" s="9"/>
      <x:c r="R664" s="10" t="n">
        <x:v>5</x:v>
      </x:c>
      <x:c r="S664" s="10" t="n">
        <x:v>1</x:v>
      </x:c>
      <x:c r="T664" s="9" t="str">
        <x:v>Empty</x:v>
      </x:c>
      <x:c r="U664" s="9"/>
      <x:c r="V664" s="9"/>
      <x:c r="W664" s="9"/>
      <x:c r="X664" s="10"/>
      <x:c r="Y664" s="10"/>
      <x:c r="Z664" s="9"/>
      <x:c r="AA664" s="9"/>
      <x:c r="AB664" s="9" t="str">
        <x:v>between</x:v>
      </x:c>
      <x:c r="AC664" s="9"/>
      <x:c r="AD664" s="9"/>
      <x:c r="AE664" s="9"/>
      <x:c r="AF664" s="9"/>
      <x:c r="AG664" s="9" t="str">
        <x:v>pencil sharpener</x:v>
      </x:c>
      <x:c r="AH664" s="9"/>
      <x:c r="AI664" s="11"/>
      <x:c r="AJ664" s="9"/>
      <x:c r="AK664" s="9" t="str">
        <x:v>Eval_Referential_Disambiguation.xlsm</x:v>
      </x:c>
      <x:c r="AL664" s="9" t="str">
        <x:v>pi0.5 Results</x:v>
      </x:c>
      <x:c r="AM664" s="9" t="n">
        <x:v>44</x:v>
      </x:c>
      <x:c r="AN664" s="9" t="n">
        <x:v>44</x:v>
      </x:c>
    </x:row>
    <x:row r="665">
      <x:c r="A665" s="9" t="str">
        <x:v>Success</x:v>
      </x:c>
      <x:c r="B665" s="9" t="str">
        <x:v>Referential Disambiguation</x:v>
      </x:c>
      <x:c r="C665" s="10" t="n">
        <x:v>43</x:v>
      </x:c>
      <x:c r="D665" s="9" t="str">
        <x:v>Transfer the green pencil sharpener into the bowl.</x:v>
      </x:c>
      <x:c r="E665" s="9" t="str">
        <x:v>green pencil sharpener; red pencil sharpener; airplane toy with propellers; yellow pen; airplane toy without propellers</x:v>
      </x:c>
      <x:c r="F665" s="9" t="str">
        <x:v>green pencil sharpener</x:v>
      </x:c>
      <x:c r="G665" s="9"/>
      <x:c r="H665" s="9" t="str">
        <x:v>Language robustness</x:v>
      </x:c>
      <x:c r="I665" s="9" t="str">
        <x:v>RD-CT06</x:v>
      </x:c>
      <x:c r="J665" s="9" t="str">
        <x:v>Matched-control direct-name prompt paraphrase</x:v>
      </x:c>
      <x:c r="K665" s="9" t="n">
        <x:v>41</x:v>
      </x:c>
      <x:c r="L665" s="9" t="str">
        <x:v>483</x:v>
      </x:c>
      <x:c r="M665" s="9" t="str">
        <x:v>Exact matched-control scene and target; only the direct-name instruction wording changes.</x:v>
      </x:c>
      <x:c r="N665" s="9" t="n">
        <x:v>2</x:v>
      </x:c>
      <x:c r="O665" s="9" t="str">
        <x:v>Reset the moved object exactly; preserve the scene; change only the wording.</x:v>
      </x:c>
      <x:c r="P665" s="9" t="str">
        <x:v>One of 10 exact-scene paraphrases of matched manipulation controls.</x:v>
      </x:c>
      <x:c r="Q665" s="9"/>
      <x:c r="R665" s="10" t="n">
        <x:v>5</x:v>
      </x:c>
      <x:c r="S665" s="10" t="n">
        <x:v>1</x:v>
      </x:c>
      <x:c r="T665" s="9" t="str">
        <x:v>Empty</x:v>
      </x:c>
      <x:c r="U665" s="9"/>
      <x:c r="V665" s="9"/>
      <x:c r="W665" s="9"/>
      <x:c r="X665" s="10"/>
      <x:c r="Y665" s="10"/>
      <x:c r="Z665" s="9"/>
      <x:c r="AA665" s="9"/>
      <x:c r="AB665" s="9" t="str">
        <x:v>direct-name paraphrase</x:v>
      </x:c>
      <x:c r="AC665" s="9"/>
      <x:c r="AD665" s="9"/>
      <x:c r="AE665" s="9"/>
      <x:c r="AF665" s="9"/>
      <x:c r="AG665" s="9" t="str">
        <x:v>pencil sharpener</x:v>
      </x:c>
      <x:c r="AH665" s="9"/>
      <x:c r="AI665" s="11"/>
      <x:c r="AJ665" s="9"/>
      <x:c r="AK665" s="9" t="str">
        <x:v>Eval_Referential_Disambiguation.xlsm</x:v>
      </x:c>
      <x:c r="AL665" s="9" t="str">
        <x:v>pi0.5 Results</x:v>
      </x:c>
      <x:c r="AM665" s="9" t="n">
        <x:v>45</x:v>
      </x:c>
      <x:c r="AN665" s="9" t="n">
        <x:v>45</x:v>
      </x:c>
    </x:row>
    <x:row r="666">
      <x:c r="A666" s="9" t="str">
        <x:v>Failure</x:v>
      </x:c>
      <x:c r="B666" s="9" t="str">
        <x:v>Referential Disambiguation</x:v>
      </x:c>
      <x:c r="C666" s="10" t="n">
        <x:v>44</x:v>
      </x:c>
      <x:c r="D666" s="9" t="str">
        <x:v>Move the airplane toy furthest from the green pencil sharpener into the bowl.</x:v>
      </x:c>
      <x:c r="E666" s="9" t="str">
        <x:v>airplane toy with propellers; airplane toy without propellers; green pencil sharpener</x:v>
      </x:c>
      <x:c r="F666" s="9" t="str">
        <x:v>airplane toy without propellers</x:v>
      </x:c>
      <x:c r="G666" s="9" t="str">
        <x:v>picked the airplane toy closest</x:v>
      </x:c>
      <x:c r="H666" s="9" t="str">
        <x:v>Concept/compositional transfer</x:v>
      </x:c>
      <x:c r="I666" s="9" t="str">
        <x:v>RD-CT07</x:v>
      </x:c>
      <x:c r="J666" s="9" t="str">
        <x:v>Primary held-out relation × candidate-category composition — Move</x:v>
      </x:c>
      <x:c r="K666" s="9"/>
      <x:c r="L666" s="9" t="str">
        <x:v>565</x:v>
      </x:c>
      <x:c r="M666" s="9" t="str">
        <x:v>Masked source trajectory: the target identity and physical manipulation are trained under a direct-name prompt, while this relation × candidate-category composition is intentionally absent.</x:v>
      </x:c>
      <x:c r="N666" s="9" t="n">
        <x:v>2</x:v>
      </x:c>
      <x:c r="O666" s="9" t="str">
        <x:v>Place the listed objects. Arrange Expected Target as the unique answer to the prompt; keep the bowl empty and save a reference image.</x:v>
      </x:c>
      <x:c r="P666" s="9" t="str">
        <x:v>Both candidates are present. The held-out relation is the only information that identifies the target.</x:v>
      </x:c>
      <x:c r="Q666" s="9"/>
      <x:c r="R666" s="10" t="n">
        <x:v>3</x:v>
      </x:c>
      <x:c r="S666" s="10" t="n">
        <x:v>1</x:v>
      </x:c>
      <x:c r="T666" s="9" t="str">
        <x:v>Empty</x:v>
      </x:c>
      <x:c r="U666" s="9"/>
      <x:c r="V666" s="9"/>
      <x:c r="W666" s="9"/>
      <x:c r="X666" s="10"/>
      <x:c r="Y666" s="10"/>
      <x:c r="Z666" s="9"/>
      <x:c r="AA666" s="9"/>
      <x:c r="AB666" s="9" t="str">
        <x:v>furthest</x:v>
      </x:c>
      <x:c r="AC666" s="9"/>
      <x:c r="AD666" s="9"/>
      <x:c r="AE666" s="9"/>
      <x:c r="AF666" s="9"/>
      <x:c r="AG666" s="9" t="str">
        <x:v>airplane toy</x:v>
      </x:c>
      <x:c r="AH666" s="9"/>
      <x:c r="AI666" s="11"/>
      <x:c r="AJ666" s="9"/>
      <x:c r="AK666" s="9" t="str">
        <x:v>Eval_Referential_Disambiguation.xlsm</x:v>
      </x:c>
      <x:c r="AL666" s="9" t="str">
        <x:v>pi0.5 Results</x:v>
      </x:c>
      <x:c r="AM666" s="9" t="n">
        <x:v>46</x:v>
      </x:c>
      <x:c r="AN666" s="9" t="n">
        <x:v>46</x:v>
      </x:c>
    </x:row>
    <x:row r="667">
      <x:c r="A667" s="9" t="str">
        <x:v>Failure</x:v>
      </x:c>
      <x:c r="B667" s="9" t="str">
        <x:v>Referential Disambiguation</x:v>
      </x:c>
      <x:c r="C667" s="10" t="n">
        <x:v>45</x:v>
      </x:c>
      <x:c r="D667" s="9" t="str">
        <x:v>Pick up the airplane toy without propellers and place it in the bowl.</x:v>
      </x:c>
      <x:c r="E667" s="9" t="str">
        <x:v>airplane toy with propellers; airplane toy without propellers; green pencil sharpener</x:v>
      </x:c>
      <x:c r="F667" s="9" t="str">
        <x:v>airplane toy without propellers</x:v>
      </x:c>
      <x:c r="G667" s="9" t="str">
        <x:v>picked the propellor plane</x:v>
      </x:c>
      <x:c r="H667" s="9" t="str">
        <x:v>Matched manipulation control</x:v>
      </x:c>
      <x:c r="I667" s="9" t="str">
        <x:v>RD-CT07</x:v>
      </x:c>
      <x:c r="J667" s="9" t="str">
        <x:v>Exact-scene direct-identity manipulation control</x:v>
      </x:c>
      <x:c r="K667" s="9" t="n">
        <x:v>44</x:v>
      </x:c>
      <x:c r="L667" s="9" t="str">
        <x:v>565</x:v>
      </x:c>
      <x:c r="M667" s="9" t="str">
        <x:v>Exact masked-cell training prompt for the same target identity. The evaluation scene and physical endpoint are identical to the paired transfer row.</x:v>
      </x:c>
      <x:c r="N667" s="9" t="n">
        <x:v>2</x:v>
      </x:c>
      <x:c r="O667" s="9" t="str">
        <x:v>Reset the moved object exactly; preserve the scene; change only the instruction.</x:v>
      </x:c>
      <x:c r="P667" s="9" t="str">
        <x:v>Controls recognition and manipulation of the same target without requiring referential reasoning.</x:v>
      </x:c>
      <x:c r="Q667" s="9"/>
      <x:c r="R667" s="10" t="n">
        <x:v>3</x:v>
      </x:c>
      <x:c r="S667" s="10" t="n">
        <x:v>1</x:v>
      </x:c>
      <x:c r="T667" s="9" t="str">
        <x:v>Empty</x:v>
      </x:c>
      <x:c r="U667" s="9"/>
      <x:c r="V667" s="9"/>
      <x:c r="W667" s="9"/>
      <x:c r="X667" s="10"/>
      <x:c r="Y667" s="10"/>
      <x:c r="Z667" s="9"/>
      <x:c r="AA667" s="9"/>
      <x:c r="AB667" s="9" t="str">
        <x:v>direct name</x:v>
      </x:c>
      <x:c r="AC667" s="9"/>
      <x:c r="AD667" s="9"/>
      <x:c r="AE667" s="9"/>
      <x:c r="AF667" s="9"/>
      <x:c r="AG667" s="9" t="str">
        <x:v>airplane toy</x:v>
      </x:c>
      <x:c r="AH667" s="9"/>
      <x:c r="AI667" s="11"/>
      <x:c r="AJ667" s="9"/>
      <x:c r="AK667" s="9" t="str">
        <x:v>Eval_Referential_Disambiguation.xlsm</x:v>
      </x:c>
      <x:c r="AL667" s="9" t="str">
        <x:v>pi0.5 Results</x:v>
      </x:c>
      <x:c r="AM667" s="9" t="n">
        <x:v>47</x:v>
      </x:c>
      <x:c r="AN667" s="9" t="n">
        <x:v>47</x:v>
      </x:c>
    </x:row>
    <x:row r="668">
      <x:c r="A668" s="9" t="str">
        <x:v>Failure</x:v>
      </x:c>
      <x:c r="B668" s="9" t="str">
        <x:v>Referential Disambiguation</x:v>
      </x:c>
      <x:c r="C668" s="10" t="n">
        <x:v>46</x:v>
      </x:c>
      <x:c r="D668" s="9" t="str">
        <x:v>Move whichever airplane toy is most distant from the green pencil sharpener into the bowl.</x:v>
      </x:c>
      <x:c r="E668" s="9" t="str">
        <x:v>airplane toy with propellers; airplane toy without propellers; green pencil sharpener</x:v>
      </x:c>
      <x:c r="F668" s="9" t="str">
        <x:v>airplane toy without propellers</x:v>
      </x:c>
      <x:c r="G668" s="9" t="str">
        <x:v>picked the airplane toy closest</x:v>
      </x:c>
      <x:c r="H668" s="9" t="str">
        <x:v>Language robustness</x:v>
      </x:c>
      <x:c r="I668" s="9" t="str">
        <x:v>RD-CT07</x:v>
      </x:c>
      <x:c r="J668" s="9" t="str">
        <x:v>Primary compositional-transfer prompt paraphrase</x:v>
      </x:c>
      <x:c r="K668" s="9" t="n">
        <x:v>44</x:v>
      </x:c>
      <x:c r="L668" s="9" t="str">
        <x:v>565</x:v>
      </x:c>
      <x:c r="M668" s="9" t="str">
        <x:v>Exact canonical transfer scene and masked trajectory reference; only the instruction wording changes. This remains a separate language diagnostic.</x:v>
      </x:c>
      <x:c r="N668" s="9" t="n">
        <x:v>2</x:v>
      </x:c>
      <x:c r="O668" s="9" t="str">
        <x:v>Reset the moved object exactly; preserve the scene; change only the wording.</x:v>
      </x:c>
      <x:c r="P668" s="9" t="str">
        <x:v>One of 10 exact-scene paraphrases of canonical transfer trials.</x:v>
      </x:c>
      <x:c r="Q668" s="9"/>
      <x:c r="R668" s="10" t="n">
        <x:v>3</x:v>
      </x:c>
      <x:c r="S668" s="10" t="n">
        <x:v>1</x:v>
      </x:c>
      <x:c r="T668" s="9" t="str">
        <x:v>Empty</x:v>
      </x:c>
      <x:c r="U668" s="9"/>
      <x:c r="V668" s="9"/>
      <x:c r="W668" s="9"/>
      <x:c r="X668" s="10"/>
      <x:c r="Y668" s="10"/>
      <x:c r="Z668" s="9"/>
      <x:c r="AA668" s="9"/>
      <x:c r="AB668" s="9" t="str">
        <x:v>furthest</x:v>
      </x:c>
      <x:c r="AC668" s="9"/>
      <x:c r="AD668" s="9"/>
      <x:c r="AE668" s="9"/>
      <x:c r="AF668" s="9"/>
      <x:c r="AG668" s="9" t="str">
        <x:v>airplane toy</x:v>
      </x:c>
      <x:c r="AH668" s="9"/>
      <x:c r="AI668" s="11"/>
      <x:c r="AJ668" s="9"/>
      <x:c r="AK668" s="9" t="str">
        <x:v>Eval_Referential_Disambiguation.xlsm</x:v>
      </x:c>
      <x:c r="AL668" s="9" t="str">
        <x:v>pi0.5 Results</x:v>
      </x:c>
      <x:c r="AM668" s="9" t="n">
        <x:v>48</x:v>
      </x:c>
      <x:c r="AN668" s="9" t="n">
        <x:v>48</x:v>
      </x:c>
    </x:row>
    <x:row r="669">
      <x:c r="A669" s="9" t="str">
        <x:v>Failure</x:v>
      </x:c>
      <x:c r="B669" s="9" t="str">
        <x:v>Referential Disambiguation</x:v>
      </x:c>
      <x:c r="C669" s="10" t="n">
        <x:v>47</x:v>
      </x:c>
      <x:c r="D669" s="9" t="str">
        <x:v>Set the airplane toy without propellers inside the bowl.</x:v>
      </x:c>
      <x:c r="E669" s="9" t="str">
        <x:v>airplane toy with propellers; airplane toy without propellers; green pencil sharpener</x:v>
      </x:c>
      <x:c r="F669" s="9" t="str">
        <x:v>airplane toy without propellers</x:v>
      </x:c>
      <x:c r="G669" s="9"/>
      <x:c r="H669" s="9" t="str">
        <x:v>Language robustness</x:v>
      </x:c>
      <x:c r="I669" s="9" t="str">
        <x:v>RD-CT07</x:v>
      </x:c>
      <x:c r="J669" s="9" t="str">
        <x:v>Matched-control direct-name prompt paraphrase</x:v>
      </x:c>
      <x:c r="K669" s="9" t="n">
        <x:v>45</x:v>
      </x:c>
      <x:c r="L669" s="9" t="str">
        <x:v>565</x:v>
      </x:c>
      <x:c r="M669" s="9" t="str">
        <x:v>Exact matched-control scene and target; only the direct-name instruction wording changes.</x:v>
      </x:c>
      <x:c r="N669" s="9" t="n">
        <x:v>2</x:v>
      </x:c>
      <x:c r="O669" s="9" t="str">
        <x:v>Reset the moved object exactly; preserve the scene; change only the wording.</x:v>
      </x:c>
      <x:c r="P669" s="9" t="str">
        <x:v>One of 10 exact-scene paraphrases of matched manipulation controls.</x:v>
      </x:c>
      <x:c r="Q669" s="9"/>
      <x:c r="R669" s="10" t="n">
        <x:v>3</x:v>
      </x:c>
      <x:c r="S669" s="10" t="n">
        <x:v>1</x:v>
      </x:c>
      <x:c r="T669" s="9" t="str">
        <x:v>Empty</x:v>
      </x:c>
      <x:c r="U669" s="9"/>
      <x:c r="V669" s="9"/>
      <x:c r="W669" s="9"/>
      <x:c r="X669" s="10"/>
      <x:c r="Y669" s="10"/>
      <x:c r="Z669" s="9"/>
      <x:c r="AA669" s="9"/>
      <x:c r="AB669" s="9" t="str">
        <x:v>direct-name paraphrase</x:v>
      </x:c>
      <x:c r="AC669" s="9"/>
      <x:c r="AD669" s="9"/>
      <x:c r="AE669" s="9"/>
      <x:c r="AF669" s="9"/>
      <x:c r="AG669" s="9" t="str">
        <x:v>airplane toy</x:v>
      </x:c>
      <x:c r="AH669" s="9"/>
      <x:c r="AI669" s="11"/>
      <x:c r="AJ669" s="9"/>
      <x:c r="AK669" s="9" t="str">
        <x:v>Eval_Referential_Disambiguation.xlsm</x:v>
      </x:c>
      <x:c r="AL669" s="9" t="str">
        <x:v>pi0.5 Results</x:v>
      </x:c>
      <x:c r="AM669" s="9" t="n">
        <x:v>49</x:v>
      </x:c>
      <x:c r="AN669" s="9" t="n">
        <x:v>49</x:v>
      </x:c>
    </x:row>
    <x:row r="670">
      <x:c r="A670" s="9" t="str">
        <x:v>Success</x:v>
      </x:c>
      <x:c r="B670" s="9" t="str">
        <x:v>Referential Disambiguation</x:v>
      </x:c>
      <x:c r="C670" s="10" t="n">
        <x:v>48</x:v>
      </x:c>
      <x:c r="D670" s="9" t="str">
        <x:v>Move the crushed soda can closest to the green pencil sharpener into the bowl.</x:v>
      </x:c>
      <x:c r="E670" s="9" t="str">
        <x:v>crushed Coke can; crushed Pepsi can; green pencil sharpener</x:v>
      </x:c>
      <x:c r="F670" s="9" t="str">
        <x:v>crushed Pepsi can</x:v>
      </x:c>
      <x:c r="G670" s="9"/>
      <x:c r="H670" s="9" t="str">
        <x:v>Concept/compositional transfer</x:v>
      </x:c>
      <x:c r="I670" s="9" t="str">
        <x:v>RD-CT08</x:v>
      </x:c>
      <x:c r="J670" s="9" t="str">
        <x:v>Primary held-out relation × candidate-category composition — Move</x:v>
      </x:c>
      <x:c r="K670" s="9"/>
      <x:c r="L670" s="9" t="str">
        <x:v>401</x:v>
      </x:c>
      <x:c r="M670" s="9" t="str">
        <x:v>Masked source trajectory: the target identity and physical manipulation are trained under a direct-name prompt, while this relation × candidate-category composition is intentionally absent.</x:v>
      </x:c>
      <x:c r="N670" s="9" t="n">
        <x:v>2</x:v>
      </x:c>
      <x:c r="O670" s="9" t="str">
        <x:v>Place the listed objects. Arrange Expected Target as the unique answer to the prompt; keep the bowl empty and save a reference image.</x:v>
      </x:c>
      <x:c r="P670" s="9" t="str">
        <x:v>Both candidates are present. The held-out relation is the only information that identifies the target.</x:v>
      </x:c>
      <x:c r="Q670" s="9"/>
      <x:c r="R670" s="10" t="n">
        <x:v>3</x:v>
      </x:c>
      <x:c r="S670" s="10" t="n">
        <x:v>1</x:v>
      </x:c>
      <x:c r="T670" s="9" t="str">
        <x:v>Empty</x:v>
      </x:c>
      <x:c r="U670" s="9"/>
      <x:c r="V670" s="9"/>
      <x:c r="W670" s="9"/>
      <x:c r="X670" s="10"/>
      <x:c r="Y670" s="10"/>
      <x:c r="Z670" s="9"/>
      <x:c r="AA670" s="9"/>
      <x:c r="AB670" s="9" t="str">
        <x:v>closest</x:v>
      </x:c>
      <x:c r="AC670" s="9"/>
      <x:c r="AD670" s="9"/>
      <x:c r="AE670" s="9"/>
      <x:c r="AF670" s="9"/>
      <x:c r="AG670" s="9" t="str">
        <x:v>crushed soda can</x:v>
      </x:c>
      <x:c r="AH670" s="9"/>
      <x:c r="AI670" s="11"/>
      <x:c r="AJ670" s="9"/>
      <x:c r="AK670" s="9" t="str">
        <x:v>Eval_Referential_Disambiguation.xlsm</x:v>
      </x:c>
      <x:c r="AL670" s="9" t="str">
        <x:v>pi0.5 Results</x:v>
      </x:c>
      <x:c r="AM670" s="9" t="n">
        <x:v>50</x:v>
      </x:c>
      <x:c r="AN670" s="9" t="n">
        <x:v>50</x:v>
      </x:c>
    </x:row>
    <x:row r="671">
      <x:c r="A671" s="9" t="str">
        <x:v>Success</x:v>
      </x:c>
      <x:c r="B671" s="9" t="str">
        <x:v>Referential Disambiguation</x:v>
      </x:c>
      <x:c r="C671" s="10" t="n">
        <x:v>49</x:v>
      </x:c>
      <x:c r="D671" s="9" t="str">
        <x:v>Pick up the crushed Pepsi can and place it in the bowl.</x:v>
      </x:c>
      <x:c r="E671" s="9" t="str">
        <x:v>crushed Coke can; crushed Pepsi can; green pencil sharpener</x:v>
      </x:c>
      <x:c r="F671" s="9" t="str">
        <x:v>crushed Pepsi can</x:v>
      </x:c>
      <x:c r="G671" s="9"/>
      <x:c r="H671" s="9" t="str">
        <x:v>Matched manipulation control</x:v>
      </x:c>
      <x:c r="I671" s="9" t="str">
        <x:v>RD-CT08</x:v>
      </x:c>
      <x:c r="J671" s="9" t="str">
        <x:v>Exact-scene direct-identity manipulation control</x:v>
      </x:c>
      <x:c r="K671" s="9" t="n">
        <x:v>48</x:v>
      </x:c>
      <x:c r="L671" s="9" t="str">
        <x:v>401</x:v>
      </x:c>
      <x:c r="M671" s="9" t="str">
        <x:v>Exact masked-cell training prompt for the same target identity. The evaluation scene and physical endpoint are identical to the paired transfer row.</x:v>
      </x:c>
      <x:c r="N671" s="9" t="n">
        <x:v>2</x:v>
      </x:c>
      <x:c r="O671" s="9" t="str">
        <x:v>Reset the moved object exactly; preserve the scene; change only the instruction.</x:v>
      </x:c>
      <x:c r="P671" s="9" t="str">
        <x:v>Controls recognition and manipulation of the same target without requiring referential reasoning.</x:v>
      </x:c>
      <x:c r="Q671" s="9"/>
      <x:c r="R671" s="10" t="n">
        <x:v>3</x:v>
      </x:c>
      <x:c r="S671" s="10" t="n">
        <x:v>1</x:v>
      </x:c>
      <x:c r="T671" s="9" t="str">
        <x:v>Empty</x:v>
      </x:c>
      <x:c r="U671" s="9"/>
      <x:c r="V671" s="9"/>
      <x:c r="W671" s="9"/>
      <x:c r="X671" s="10"/>
      <x:c r="Y671" s="10"/>
      <x:c r="Z671" s="9"/>
      <x:c r="AA671" s="9"/>
      <x:c r="AB671" s="9" t="str">
        <x:v>direct name</x:v>
      </x:c>
      <x:c r="AC671" s="9"/>
      <x:c r="AD671" s="9"/>
      <x:c r="AE671" s="9"/>
      <x:c r="AF671" s="9"/>
      <x:c r="AG671" s="9" t="str">
        <x:v>crushed soda can</x:v>
      </x:c>
      <x:c r="AH671" s="9"/>
      <x:c r="AI671" s="11"/>
      <x:c r="AJ671" s="9"/>
      <x:c r="AK671" s="9" t="str">
        <x:v>Eval_Referential_Disambiguation.xlsm</x:v>
      </x:c>
      <x:c r="AL671" s="9" t="str">
        <x:v>pi0.5 Results</x:v>
      </x:c>
      <x:c r="AM671" s="9" t="n">
        <x:v>51</x:v>
      </x:c>
      <x:c r="AN671" s="9" t="n">
        <x:v>51</x:v>
      </x:c>
    </x:row>
    <x:row r="672">
      <x:c r="A672" s="9" t="str">
        <x:v>Success</x:v>
      </x:c>
      <x:c r="B672" s="9" t="str">
        <x:v>Referential Disambiguation</x:v>
      </x:c>
      <x:c r="C672" s="10" t="n">
        <x:v>50</x:v>
      </x:c>
      <x:c r="D672" s="9" t="str">
        <x:v>Move whichever crushed soda can is nearer to the green pencil sharpener into the bowl.</x:v>
      </x:c>
      <x:c r="E672" s="9" t="str">
        <x:v>crushed Coke can; crushed Pepsi can; green pencil sharpener</x:v>
      </x:c>
      <x:c r="F672" s="9" t="str">
        <x:v>crushed Pepsi can</x:v>
      </x:c>
      <x:c r="G672" s="9"/>
      <x:c r="H672" s="9" t="str">
        <x:v>Language robustness</x:v>
      </x:c>
      <x:c r="I672" s="9" t="str">
        <x:v>RD-CT08</x:v>
      </x:c>
      <x:c r="J672" s="9" t="str">
        <x:v>Primary compositional-transfer prompt paraphrase</x:v>
      </x:c>
      <x:c r="K672" s="9" t="n">
        <x:v>48</x:v>
      </x:c>
      <x:c r="L672" s="9" t="str">
        <x:v>401</x:v>
      </x:c>
      <x:c r="M672" s="9" t="str">
        <x:v>Exact canonical transfer scene and masked trajectory reference; only the instruction wording changes. This remains a separate language diagnostic.</x:v>
      </x:c>
      <x:c r="N672" s="9" t="n">
        <x:v>2</x:v>
      </x:c>
      <x:c r="O672" s="9" t="str">
        <x:v>Reset the moved object exactly; preserve the scene; change only the wording.</x:v>
      </x:c>
      <x:c r="P672" s="9" t="str">
        <x:v>One of 10 exact-scene paraphrases of canonical transfer trials.</x:v>
      </x:c>
      <x:c r="Q672" s="9"/>
      <x:c r="R672" s="10" t="n">
        <x:v>3</x:v>
      </x:c>
      <x:c r="S672" s="10" t="n">
        <x:v>1</x:v>
      </x:c>
      <x:c r="T672" s="9" t="str">
        <x:v>Empty</x:v>
      </x:c>
      <x:c r="U672" s="9"/>
      <x:c r="V672" s="9"/>
      <x:c r="W672" s="9"/>
      <x:c r="X672" s="10"/>
      <x:c r="Y672" s="10"/>
      <x:c r="Z672" s="9"/>
      <x:c r="AA672" s="9"/>
      <x:c r="AB672" s="9" t="str">
        <x:v>closest</x:v>
      </x:c>
      <x:c r="AC672" s="9"/>
      <x:c r="AD672" s="9"/>
      <x:c r="AE672" s="9"/>
      <x:c r="AF672" s="9"/>
      <x:c r="AG672" s="9" t="str">
        <x:v>crushed soda can</x:v>
      </x:c>
      <x:c r="AH672" s="9"/>
      <x:c r="AI672" s="11"/>
      <x:c r="AJ672" s="9"/>
      <x:c r="AK672" s="9" t="str">
        <x:v>Eval_Referential_Disambiguation.xlsm</x:v>
      </x:c>
      <x:c r="AL672" s="9" t="str">
        <x:v>pi0.5 Results</x:v>
      </x:c>
      <x:c r="AM672" s="9" t="n">
        <x:v>52</x:v>
      </x:c>
      <x:c r="AN672" s="9" t="n">
        <x:v>52</x:v>
      </x:c>
    </x:row>
    <x:row r="673">
      <x:c r="A673" s="9" t="str">
        <x:v>Success</x:v>
      </x:c>
      <x:c r="B673" s="9" t="str">
        <x:v>Referential Disambiguation</x:v>
      </x:c>
      <x:c r="C673" s="10" t="n">
        <x:v>51</x:v>
      </x:c>
      <x:c r="D673" s="9" t="str">
        <x:v>Set the crushed Pepsi can inside the bowl.</x:v>
      </x:c>
      <x:c r="E673" s="9" t="str">
        <x:v>crushed Coke can; crushed Pepsi can; green pencil sharpener</x:v>
      </x:c>
      <x:c r="F673" s="9" t="str">
        <x:v>crushed Pepsi can</x:v>
      </x:c>
      <x:c r="G673" s="9"/>
      <x:c r="H673" s="9" t="str">
        <x:v>Language robustness</x:v>
      </x:c>
      <x:c r="I673" s="9" t="str">
        <x:v>RD-CT08</x:v>
      </x:c>
      <x:c r="J673" s="9" t="str">
        <x:v>Matched-control direct-name prompt paraphrase</x:v>
      </x:c>
      <x:c r="K673" s="9" t="n">
        <x:v>49</x:v>
      </x:c>
      <x:c r="L673" s="9" t="str">
        <x:v>401</x:v>
      </x:c>
      <x:c r="M673" s="9" t="str">
        <x:v>Exact matched-control scene and target; only the direct-name instruction wording changes.</x:v>
      </x:c>
      <x:c r="N673" s="9" t="n">
        <x:v>2</x:v>
      </x:c>
      <x:c r="O673" s="9" t="str">
        <x:v>Reset the moved object exactly; preserve the scene; change only the wording.</x:v>
      </x:c>
      <x:c r="P673" s="9" t="str">
        <x:v>One of 10 exact-scene paraphrases of matched manipulation controls.</x:v>
      </x:c>
      <x:c r="Q673" s="9"/>
      <x:c r="R673" s="10" t="n">
        <x:v>3</x:v>
      </x:c>
      <x:c r="S673" s="10" t="n">
        <x:v>1</x:v>
      </x:c>
      <x:c r="T673" s="9" t="str">
        <x:v>Empty</x:v>
      </x:c>
      <x:c r="U673" s="9"/>
      <x:c r="V673" s="9"/>
      <x:c r="W673" s="9"/>
      <x:c r="X673" s="10"/>
      <x:c r="Y673" s="10"/>
      <x:c r="Z673" s="9"/>
      <x:c r="AA673" s="9"/>
      <x:c r="AB673" s="9" t="str">
        <x:v>direct-name paraphrase</x:v>
      </x:c>
      <x:c r="AC673" s="9"/>
      <x:c r="AD673" s="9"/>
      <x:c r="AE673" s="9"/>
      <x:c r="AF673" s="9"/>
      <x:c r="AG673" s="9" t="str">
        <x:v>crushed soda can</x:v>
      </x:c>
      <x:c r="AH673" s="9"/>
      <x:c r="AI673" s="11"/>
      <x:c r="AJ673" s="9"/>
      <x:c r="AK673" s="9" t="str">
        <x:v>Eval_Referential_Disambiguation.xlsm</x:v>
      </x:c>
      <x:c r="AL673" s="9" t="str">
        <x:v>pi0.5 Results</x:v>
      </x:c>
      <x:c r="AM673" s="9" t="n">
        <x:v>53</x:v>
      </x:c>
      <x:c r="AN673" s="9" t="n">
        <x:v>53</x:v>
      </x:c>
    </x:row>
    <x:row r="674">
      <x:c r="A674" s="9" t="str">
        <x:v>Success</x:v>
      </x:c>
      <x:c r="B674" s="9" t="str">
        <x:v>Referential Disambiguation</x:v>
      </x:c>
      <x:c r="C674" s="10" t="n">
        <x:v>52</x:v>
      </x:c>
      <x:c r="D674" s="9" t="str">
        <x:v>Move the pencil sharpener between the crushed Pepsi can and the airplane toy without propellers into the bowl.</x:v>
      </x:c>
      <x:c r="E674" s="9" t="str">
        <x:v>green pencil sharpener; red pencil sharpener; crushed Pepsi can; airplane toy without propellers</x:v>
      </x:c>
      <x:c r="F674" s="9" t="str">
        <x:v>red pencil sharpener</x:v>
      </x:c>
      <x:c r="G674" s="9"/>
      <x:c r="H674" s="9" t="str">
        <x:v>Concept/compositional transfer</x:v>
      </x:c>
      <x:c r="I674" s="9" t="str">
        <x:v>RD-CT09</x:v>
      </x:c>
      <x:c r="J674" s="9" t="str">
        <x:v>Primary held-out relation × candidate-category composition — Move</x:v>
      </x:c>
      <x:c r="K674" s="9"/>
      <x:c r="L674" s="9" t="str">
        <x:v>480</x:v>
      </x:c>
      <x:c r="M674" s="9" t="str">
        <x:v>Masked source trajectory: the target identity and physical manipulation are trained under a direct-name prompt, while this relation × candidate-category composition is intentionally absent.</x:v>
      </x:c>
      <x:c r="N674" s="9" t="n">
        <x:v>2</x:v>
      </x:c>
      <x:c r="O674" s="9" t="str">
        <x:v>Place the listed objects. Arrange Expected Target as the unique answer to the prompt; keep the bowl empty and save a reference image.</x:v>
      </x:c>
      <x:c r="P674" s="9" t="str">
        <x:v>Both candidates are present. The held-out relation is the only information that identifies the target.</x:v>
      </x:c>
      <x:c r="Q674" s="9"/>
      <x:c r="R674" s="10" t="n">
        <x:v>4</x:v>
      </x:c>
      <x:c r="S674" s="10" t="n">
        <x:v>1</x:v>
      </x:c>
      <x:c r="T674" s="9" t="str">
        <x:v>Empty</x:v>
      </x:c>
      <x:c r="U674" s="9"/>
      <x:c r="V674" s="9"/>
      <x:c r="W674" s="9"/>
      <x:c r="X674" s="10"/>
      <x:c r="Y674" s="10"/>
      <x:c r="Z674" s="9"/>
      <x:c r="AA674" s="9"/>
      <x:c r="AB674" s="9" t="str">
        <x:v>between</x:v>
      </x:c>
      <x:c r="AC674" s="9"/>
      <x:c r="AD674" s="9"/>
      <x:c r="AE674" s="9"/>
      <x:c r="AF674" s="9"/>
      <x:c r="AG674" s="9" t="str">
        <x:v>pencil sharpener</x:v>
      </x:c>
      <x:c r="AH674" s="9"/>
      <x:c r="AI674" s="11"/>
      <x:c r="AJ674" s="9"/>
      <x:c r="AK674" s="9" t="str">
        <x:v>Eval_Referential_Disambiguation.xlsm</x:v>
      </x:c>
      <x:c r="AL674" s="9" t="str">
        <x:v>pi0.5 Results</x:v>
      </x:c>
      <x:c r="AM674" s="9" t="n">
        <x:v>54</x:v>
      </x:c>
      <x:c r="AN674" s="9" t="n">
        <x:v>54</x:v>
      </x:c>
    </x:row>
    <x:row r="675">
      <x:c r="A675" s="9" t="str">
        <x:v>Success</x:v>
      </x:c>
      <x:c r="B675" s="9" t="str">
        <x:v>Referential Disambiguation</x:v>
      </x:c>
      <x:c r="C675" s="10" t="n">
        <x:v>53</x:v>
      </x:c>
      <x:c r="D675" s="9" t="str">
        <x:v>Move the red pencil sharpener into the bowl.</x:v>
      </x:c>
      <x:c r="E675" s="9" t="str">
        <x:v>green pencil sharpener; red pencil sharpener; crushed Pepsi can; airplane toy without propellers</x:v>
      </x:c>
      <x:c r="F675" s="9" t="str">
        <x:v>red pencil sharpener</x:v>
      </x:c>
      <x:c r="G675" s="9"/>
      <x:c r="H675" s="9" t="str">
        <x:v>Matched manipulation control</x:v>
      </x:c>
      <x:c r="I675" s="9" t="str">
        <x:v>RD-CT09</x:v>
      </x:c>
      <x:c r="J675" s="9" t="str">
        <x:v>Exact-scene direct-identity manipulation control</x:v>
      </x:c>
      <x:c r="K675" s="9" t="n">
        <x:v>52</x:v>
      </x:c>
      <x:c r="L675" s="9" t="str">
        <x:v>480</x:v>
      </x:c>
      <x:c r="M675" s="9" t="str">
        <x:v>Exact masked-cell training prompt for the same target identity. The evaluation scene and physical endpoint are identical to the paired transfer row.</x:v>
      </x:c>
      <x:c r="N675" s="9" t="n">
        <x:v>2</x:v>
      </x:c>
      <x:c r="O675" s="9" t="str">
        <x:v>Reset the moved object exactly; preserve the scene; change only the instruction.</x:v>
      </x:c>
      <x:c r="P675" s="9" t="str">
        <x:v>Controls recognition and manipulation of the same target without requiring referential reasoning.</x:v>
      </x:c>
      <x:c r="Q675" s="9"/>
      <x:c r="R675" s="10" t="n">
        <x:v>4</x:v>
      </x:c>
      <x:c r="S675" s="10" t="n">
        <x:v>1</x:v>
      </x:c>
      <x:c r="T675" s="9" t="str">
        <x:v>Empty</x:v>
      </x:c>
      <x:c r="U675" s="9"/>
      <x:c r="V675" s="9"/>
      <x:c r="W675" s="9"/>
      <x:c r="X675" s="10"/>
      <x:c r="Y675" s="10"/>
      <x:c r="Z675" s="9"/>
      <x:c r="AA675" s="9"/>
      <x:c r="AB675" s="9" t="str">
        <x:v>direct name</x:v>
      </x:c>
      <x:c r="AC675" s="9"/>
      <x:c r="AD675" s="9"/>
      <x:c r="AE675" s="9"/>
      <x:c r="AF675" s="9"/>
      <x:c r="AG675" s="9" t="str">
        <x:v>pencil sharpener</x:v>
      </x:c>
      <x:c r="AH675" s="9"/>
      <x:c r="AI675" s="11"/>
      <x:c r="AJ675" s="9"/>
      <x:c r="AK675" s="9" t="str">
        <x:v>Eval_Referential_Disambiguation.xlsm</x:v>
      </x:c>
      <x:c r="AL675" s="9" t="str">
        <x:v>pi0.5 Results</x:v>
      </x:c>
      <x:c r="AM675" s="9" t="n">
        <x:v>55</x:v>
      </x:c>
      <x:c r="AN675" s="9" t="n">
        <x:v>55</x:v>
      </x:c>
    </x:row>
    <x:row r="676">
      <x:c r="A676" s="9" t="str">
        <x:v>Success</x:v>
      </x:c>
      <x:c r="B676" s="9" t="str">
        <x:v>Referential Disambiguation</x:v>
      </x:c>
      <x:c r="C676" s="10" t="n">
        <x:v>54</x:v>
      </x:c>
      <x:c r="D676" s="9" t="str">
        <x:v>Move the pencil sharpener that lies on the segment joining the crushed Pepsi can and the airplane toy without propellers into the bowl.</x:v>
      </x:c>
      <x:c r="E676" s="9" t="str">
        <x:v>green pencil sharpener; red pencil sharpener; crushed Pepsi can; airplane toy without propellers</x:v>
      </x:c>
      <x:c r="F676" s="9" t="str">
        <x:v>red pencil sharpener</x:v>
      </x:c>
      <x:c r="G676" s="9"/>
      <x:c r="H676" s="9" t="str">
        <x:v>Language robustness</x:v>
      </x:c>
      <x:c r="I676" s="9" t="str">
        <x:v>RD-CT09</x:v>
      </x:c>
      <x:c r="J676" s="9" t="str">
        <x:v>Primary compositional-transfer prompt paraphrase</x:v>
      </x:c>
      <x:c r="K676" s="9" t="n">
        <x:v>52</x:v>
      </x:c>
      <x:c r="L676" s="9" t="str">
        <x:v>480</x:v>
      </x:c>
      <x:c r="M676" s="9" t="str">
        <x:v>Exact canonical transfer scene and masked trajectory reference; only the instruction wording changes. This remains a separate language diagnostic.</x:v>
      </x:c>
      <x:c r="N676" s="9" t="n">
        <x:v>2</x:v>
      </x:c>
      <x:c r="O676" s="9" t="str">
        <x:v>Reset the moved object exactly; preserve the scene; change only the wording.</x:v>
      </x:c>
      <x:c r="P676" s="9" t="str">
        <x:v>One of 10 exact-scene paraphrases of canonical transfer trials.</x:v>
      </x:c>
      <x:c r="Q676" s="9"/>
      <x:c r="R676" s="10" t="n">
        <x:v>4</x:v>
      </x:c>
      <x:c r="S676" s="10" t="n">
        <x:v>1</x:v>
      </x:c>
      <x:c r="T676" s="9" t="str">
        <x:v>Empty</x:v>
      </x:c>
      <x:c r="U676" s="9"/>
      <x:c r="V676" s="9"/>
      <x:c r="W676" s="9"/>
      <x:c r="X676" s="10"/>
      <x:c r="Y676" s="10"/>
      <x:c r="Z676" s="9"/>
      <x:c r="AA676" s="9"/>
      <x:c r="AB676" s="9" t="str">
        <x:v>between</x:v>
      </x:c>
      <x:c r="AC676" s="9"/>
      <x:c r="AD676" s="9"/>
      <x:c r="AE676" s="9"/>
      <x:c r="AF676" s="9"/>
      <x:c r="AG676" s="9" t="str">
        <x:v>pencil sharpener</x:v>
      </x:c>
      <x:c r="AH676" s="9"/>
      <x:c r="AI676" s="11"/>
      <x:c r="AJ676" s="9"/>
      <x:c r="AK676" s="9" t="str">
        <x:v>Eval_Referential_Disambiguation.xlsm</x:v>
      </x:c>
      <x:c r="AL676" s="9" t="str">
        <x:v>pi0.5 Results</x:v>
      </x:c>
      <x:c r="AM676" s="9" t="n">
        <x:v>56</x:v>
      </x:c>
      <x:c r="AN676" s="9" t="n">
        <x:v>56</x:v>
      </x:c>
    </x:row>
    <x:row r="677">
      <x:c r="A677" s="9" t="str">
        <x:v>Success</x:v>
      </x:c>
      <x:c r="B677" s="9" t="str">
        <x:v>Referential Disambiguation</x:v>
      </x:c>
      <x:c r="C677" s="10" t="n">
        <x:v>55</x:v>
      </x:c>
      <x:c r="D677" s="9" t="str">
        <x:v>Set the red pencil sharpener inside the bowl.</x:v>
      </x:c>
      <x:c r="E677" s="9" t="str">
        <x:v>green pencil sharpener; red pencil sharpener; crushed Pepsi can; airplane toy without propellers</x:v>
      </x:c>
      <x:c r="F677" s="9" t="str">
        <x:v>red pencil sharpener</x:v>
      </x:c>
      <x:c r="G677" s="9"/>
      <x:c r="H677" s="9" t="str">
        <x:v>Language robustness</x:v>
      </x:c>
      <x:c r="I677" s="9" t="str">
        <x:v>RD-CT09</x:v>
      </x:c>
      <x:c r="J677" s="9" t="str">
        <x:v>Matched-control direct-name prompt paraphrase</x:v>
      </x:c>
      <x:c r="K677" s="9" t="n">
        <x:v>53</x:v>
      </x:c>
      <x:c r="L677" s="9" t="str">
        <x:v>480</x:v>
      </x:c>
      <x:c r="M677" s="9" t="str">
        <x:v>Exact matched-control scene and target; only the direct-name instruction wording changes.</x:v>
      </x:c>
      <x:c r="N677" s="9" t="n">
        <x:v>2</x:v>
      </x:c>
      <x:c r="O677" s="9" t="str">
        <x:v>Reset the moved object exactly; preserve the scene; change only the wording.</x:v>
      </x:c>
      <x:c r="P677" s="9" t="str">
        <x:v>One of 10 exact-scene paraphrases of matched manipulation controls.</x:v>
      </x:c>
      <x:c r="Q677" s="9"/>
      <x:c r="R677" s="10" t="n">
        <x:v>4</x:v>
      </x:c>
      <x:c r="S677" s="10" t="n">
        <x:v>1</x:v>
      </x:c>
      <x:c r="T677" s="9" t="str">
        <x:v>Empty</x:v>
      </x:c>
      <x:c r="U677" s="9"/>
      <x:c r="V677" s="9"/>
      <x:c r="W677" s="9"/>
      <x:c r="X677" s="10"/>
      <x:c r="Y677" s="10"/>
      <x:c r="Z677" s="9"/>
      <x:c r="AA677" s="9"/>
      <x:c r="AB677" s="9" t="str">
        <x:v>direct-name paraphrase</x:v>
      </x:c>
      <x:c r="AC677" s="9"/>
      <x:c r="AD677" s="9"/>
      <x:c r="AE677" s="9"/>
      <x:c r="AF677" s="9"/>
      <x:c r="AG677" s="9" t="str">
        <x:v>pencil sharpener</x:v>
      </x:c>
      <x:c r="AH677" s="9"/>
      <x:c r="AI677" s="11"/>
      <x:c r="AJ677" s="9"/>
      <x:c r="AK677" s="9" t="str">
        <x:v>Eval_Referential_Disambiguation.xlsm</x:v>
      </x:c>
      <x:c r="AL677" s="9" t="str">
        <x:v>pi0.5 Results</x:v>
      </x:c>
      <x:c r="AM677" s="9" t="n">
        <x:v>57</x:v>
      </x:c>
      <x:c r="AN677" s="9" t="n">
        <x:v>57</x:v>
      </x:c>
    </x:row>
    <x:row r="678">
      <x:c r="A678" s="9" t="str">
        <x:v>Failure</x:v>
      </x:c>
      <x:c r="B678" s="9" t="str">
        <x:v>Referential Disambiguation</x:v>
      </x:c>
      <x:c r="C678" s="10" t="n">
        <x:v>56</x:v>
      </x:c>
      <x:c r="D678" s="9" t="str">
        <x:v>Pick up the airplane toy furthest from the yellow pen and place it in the bowl.</x:v>
      </x:c>
      <x:c r="E678" s="9" t="str">
        <x:v>airplane toy with propellers; airplane toy without propellers; yellow pen; green pen</x:v>
      </x:c>
      <x:c r="F678" s="9" t="str">
        <x:v>airplane toy without propellers</x:v>
      </x:c>
      <x:c r="G678" s="9" t="str">
        <x:v>successful reasoning, but failed grasping. </x:v>
      </x:c>
      <x:c r="H678" s="9" t="str">
        <x:v>Concept/compositional transfer</x:v>
      </x:c>
      <x:c r="I678" s="9" t="str">
        <x:v>RD-CT10</x:v>
      </x:c>
      <x:c r="J678" s="9" t="str">
        <x:v>Primary held-out relation × candidate-category composition — Pick up</x:v>
      </x:c>
      <x:c r="K678" s="9"/>
      <x:c r="L678" s="9" t="str">
        <x:v>567</x:v>
      </x:c>
      <x:c r="M678" s="9" t="str">
        <x:v>Masked source trajectory: the target identity and physical manipulation are trained under a direct-name prompt, while this relation × candidate-category composition is intentionally absent.</x:v>
      </x:c>
      <x:c r="N678" s="9" t="n">
        <x:v>2</x:v>
      </x:c>
      <x:c r="O678" s="9" t="str">
        <x:v>Place the listed objects. Arrange Expected Target as the unique answer to the prompt; keep the bowl empty and save a reference image.</x:v>
      </x:c>
      <x:c r="P678" s="9" t="str">
        <x:v>Both candidates are present. The held-out relation is the only information that identifies the target.</x:v>
      </x:c>
      <x:c r="Q678" s="9"/>
      <x:c r="R678" s="10" t="n">
        <x:v>4</x:v>
      </x:c>
      <x:c r="S678" s="10" t="n">
        <x:v>1</x:v>
      </x:c>
      <x:c r="T678" s="9" t="str">
        <x:v>Empty</x:v>
      </x:c>
      <x:c r="U678" s="9"/>
      <x:c r="V678" s="9"/>
      <x:c r="W678" s="9"/>
      <x:c r="X678" s="10"/>
      <x:c r="Y678" s="10"/>
      <x:c r="Z678" s="9"/>
      <x:c r="AA678" s="9"/>
      <x:c r="AB678" s="9" t="str">
        <x:v>furthest</x:v>
      </x:c>
      <x:c r="AC678" s="9"/>
      <x:c r="AD678" s="9"/>
      <x:c r="AE678" s="9"/>
      <x:c r="AF678" s="9"/>
      <x:c r="AG678" s="9" t="str">
        <x:v>airplane toy</x:v>
      </x:c>
      <x:c r="AH678" s="9"/>
      <x:c r="AI678" s="11"/>
      <x:c r="AJ678" s="9"/>
      <x:c r="AK678" s="9" t="str">
        <x:v>Eval_Referential_Disambiguation.xlsm</x:v>
      </x:c>
      <x:c r="AL678" s="9" t="str">
        <x:v>pi0.5 Results</x:v>
      </x:c>
      <x:c r="AM678" s="9" t="n">
        <x:v>58</x:v>
      </x:c>
      <x:c r="AN678" s="9" t="n">
        <x:v>58</x:v>
      </x:c>
    </x:row>
    <x:row r="679">
      <x:c r="A679" s="9" t="str">
        <x:v>Success</x:v>
      </x:c>
      <x:c r="B679" s="9" t="str">
        <x:v>Referential Disambiguation</x:v>
      </x:c>
      <x:c r="C679" s="10" t="n">
        <x:v>57</x:v>
      </x:c>
      <x:c r="D679" s="9" t="str">
        <x:v>Put the airplane toy without propellers in the bowl.</x:v>
      </x:c>
      <x:c r="E679" s="9" t="str">
        <x:v>airplane toy with propellers; airplane toy without propellers; yellow pen; green pen</x:v>
      </x:c>
      <x:c r="F679" s="9" t="str">
        <x:v>airplane toy without propellers</x:v>
      </x:c>
      <x:c r="G679" s="9"/>
      <x:c r="H679" s="9" t="str">
        <x:v>Matched manipulation control</x:v>
      </x:c>
      <x:c r="I679" s="9" t="str">
        <x:v>RD-CT10</x:v>
      </x:c>
      <x:c r="J679" s="9" t="str">
        <x:v>Exact-scene direct-identity manipulation control</x:v>
      </x:c>
      <x:c r="K679" s="9" t="n">
        <x:v>56</x:v>
      </x:c>
      <x:c r="L679" s="9" t="str">
        <x:v>567</x:v>
      </x:c>
      <x:c r="M679" s="9" t="str">
        <x:v>Exact masked-cell training prompt for the same target identity. The evaluation scene and physical endpoint are identical to the paired transfer row.</x:v>
      </x:c>
      <x:c r="N679" s="9" t="n">
        <x:v>2</x:v>
      </x:c>
      <x:c r="O679" s="9" t="str">
        <x:v>Reset the moved object exactly; preserve the scene; change only the instruction.</x:v>
      </x:c>
      <x:c r="P679" s="9" t="str">
        <x:v>Controls recognition and manipulation of the same target without requiring referential reasoning.</x:v>
      </x:c>
      <x:c r="Q679" s="9"/>
      <x:c r="R679" s="10" t="n">
        <x:v>4</x:v>
      </x:c>
      <x:c r="S679" s="10" t="n">
        <x:v>1</x:v>
      </x:c>
      <x:c r="T679" s="9" t="str">
        <x:v>Empty</x:v>
      </x:c>
      <x:c r="U679" s="9"/>
      <x:c r="V679" s="9"/>
      <x:c r="W679" s="9"/>
      <x:c r="X679" s="10"/>
      <x:c r="Y679" s="10"/>
      <x:c r="Z679" s="9"/>
      <x:c r="AA679" s="9"/>
      <x:c r="AB679" s="9" t="str">
        <x:v>direct name</x:v>
      </x:c>
      <x:c r="AC679" s="9"/>
      <x:c r="AD679" s="9"/>
      <x:c r="AE679" s="9"/>
      <x:c r="AF679" s="9"/>
      <x:c r="AG679" s="9" t="str">
        <x:v>airplane toy</x:v>
      </x:c>
      <x:c r="AH679" s="9"/>
      <x:c r="AI679" s="11"/>
      <x:c r="AJ679" s="9"/>
      <x:c r="AK679" s="9" t="str">
        <x:v>Eval_Referential_Disambiguation.xlsm</x:v>
      </x:c>
      <x:c r="AL679" s="9" t="str">
        <x:v>pi0.5 Results</x:v>
      </x:c>
      <x:c r="AM679" s="9" t="n">
        <x:v>59</x:v>
      </x:c>
      <x:c r="AN679" s="9" t="n">
        <x:v>59</x:v>
      </x:c>
    </x:row>
    <x:row r="680">
      <x:c r="A680" s="9" t="str">
        <x:v>Success</x:v>
      </x:c>
      <x:c r="B680" s="9" t="str">
        <x:v>Referential Disambiguation</x:v>
      </x:c>
      <x:c r="C680" s="10" t="n">
        <x:v>58</x:v>
      </x:c>
      <x:c r="D680" s="9" t="str">
        <x:v>Choose the airplane toy farthest from the yellow pen and put it in the bowl.</x:v>
      </x:c>
      <x:c r="E680" s="9" t="str">
        <x:v>airplane toy with propellers; airplane toy without propellers; yellow pen; green pen</x:v>
      </x:c>
      <x:c r="F680" s="9" t="str">
        <x:v>airplane toy without propellers</x:v>
      </x:c>
      <x:c r="G680" s="9"/>
      <x:c r="H680" s="9" t="str">
        <x:v>Language robustness</x:v>
      </x:c>
      <x:c r="I680" s="9" t="str">
        <x:v>RD-CT10</x:v>
      </x:c>
      <x:c r="J680" s="9" t="str">
        <x:v>Primary compositional-transfer prompt paraphrase</x:v>
      </x:c>
      <x:c r="K680" s="9" t="n">
        <x:v>56</x:v>
      </x:c>
      <x:c r="L680" s="9" t="str">
        <x:v>567</x:v>
      </x:c>
      <x:c r="M680" s="9" t="str">
        <x:v>Exact canonical transfer scene and masked trajectory reference; only the instruction wording changes. This remains a separate language diagnostic.</x:v>
      </x:c>
      <x:c r="N680" s="9" t="n">
        <x:v>2</x:v>
      </x:c>
      <x:c r="O680" s="9" t="str">
        <x:v>Reset the moved object exactly; preserve the scene; change only the wording.</x:v>
      </x:c>
      <x:c r="P680" s="9" t="str">
        <x:v>One of 10 exact-scene paraphrases of canonical transfer trials.</x:v>
      </x:c>
      <x:c r="Q680" s="9"/>
      <x:c r="R680" s="10" t="n">
        <x:v>4</x:v>
      </x:c>
      <x:c r="S680" s="10" t="n">
        <x:v>1</x:v>
      </x:c>
      <x:c r="T680" s="9" t="str">
        <x:v>Empty</x:v>
      </x:c>
      <x:c r="U680" s="9"/>
      <x:c r="V680" s="9"/>
      <x:c r="W680" s="9"/>
      <x:c r="X680" s="10"/>
      <x:c r="Y680" s="10"/>
      <x:c r="Z680" s="9"/>
      <x:c r="AA680" s="9"/>
      <x:c r="AB680" s="9" t="str">
        <x:v>furthest</x:v>
      </x:c>
      <x:c r="AC680" s="9"/>
      <x:c r="AD680" s="9"/>
      <x:c r="AE680" s="9"/>
      <x:c r="AF680" s="9"/>
      <x:c r="AG680" s="9" t="str">
        <x:v>airplane toy</x:v>
      </x:c>
      <x:c r="AH680" s="9"/>
      <x:c r="AI680" s="11"/>
      <x:c r="AJ680" s="9"/>
      <x:c r="AK680" s="9" t="str">
        <x:v>Eval_Referential_Disambiguation.xlsm</x:v>
      </x:c>
      <x:c r="AL680" s="9" t="str">
        <x:v>pi0.5 Results</x:v>
      </x:c>
      <x:c r="AM680" s="9" t="n">
        <x:v>60</x:v>
      </x:c>
      <x:c r="AN680" s="9" t="n">
        <x:v>60</x:v>
      </x:c>
    </x:row>
    <x:row r="681">
      <x:c r="A681" s="9" t="str">
        <x:v>Success</x:v>
      </x:c>
      <x:c r="B681" s="9" t="str">
        <x:v>Referential Disambiguation</x:v>
      </x:c>
      <x:c r="C681" s="10" t="n">
        <x:v>59</x:v>
      </x:c>
      <x:c r="D681" s="9" t="str">
        <x:v>Take the airplane toy without propellers and set it in the bowl.</x:v>
      </x:c>
      <x:c r="E681" s="9" t="str">
        <x:v>airplane toy with propellers; airplane toy without propellers; yellow pen; green pen</x:v>
      </x:c>
      <x:c r="F681" s="9" t="str">
        <x:v>airplane toy without propellers</x:v>
      </x:c>
      <x:c r="G681" s="9"/>
      <x:c r="H681" s="9" t="str">
        <x:v>Language robustness</x:v>
      </x:c>
      <x:c r="I681" s="9" t="str">
        <x:v>RD-CT10</x:v>
      </x:c>
      <x:c r="J681" s="9" t="str">
        <x:v>Matched-control direct-name prompt paraphrase</x:v>
      </x:c>
      <x:c r="K681" s="9" t="n">
        <x:v>57</x:v>
      </x:c>
      <x:c r="L681" s="9" t="str">
        <x:v>567</x:v>
      </x:c>
      <x:c r="M681" s="9" t="str">
        <x:v>Exact matched-control scene and target; only the direct-name instruction wording changes.</x:v>
      </x:c>
      <x:c r="N681" s="9" t="n">
        <x:v>2</x:v>
      </x:c>
      <x:c r="O681" s="9" t="str">
        <x:v>Reset the moved object exactly; preserve the scene; change only the wording.</x:v>
      </x:c>
      <x:c r="P681" s="9" t="str">
        <x:v>One of 10 exact-scene paraphrases of matched manipulation controls.</x:v>
      </x:c>
      <x:c r="Q681" s="9"/>
      <x:c r="R681" s="10" t="n">
        <x:v>4</x:v>
      </x:c>
      <x:c r="S681" s="10" t="n">
        <x:v>1</x:v>
      </x:c>
      <x:c r="T681" s="9" t="str">
        <x:v>Empty</x:v>
      </x:c>
      <x:c r="U681" s="9"/>
      <x:c r="V681" s="9"/>
      <x:c r="W681" s="9"/>
      <x:c r="X681" s="10"/>
      <x:c r="Y681" s="10"/>
      <x:c r="Z681" s="9"/>
      <x:c r="AA681" s="9"/>
      <x:c r="AB681" s="9" t="str">
        <x:v>direct-name paraphrase</x:v>
      </x:c>
      <x:c r="AC681" s="9"/>
      <x:c r="AD681" s="9"/>
      <x:c r="AE681" s="9"/>
      <x:c r="AF681" s="9"/>
      <x:c r="AG681" s="9" t="str">
        <x:v>airplane toy</x:v>
      </x:c>
      <x:c r="AH681" s="9"/>
      <x:c r="AI681" s="11"/>
      <x:c r="AJ681" s="9"/>
      <x:c r="AK681" s="9" t="str">
        <x:v>Eval_Referential_Disambiguation.xlsm</x:v>
      </x:c>
      <x:c r="AL681" s="9" t="str">
        <x:v>pi0.5 Results</x:v>
      </x:c>
      <x:c r="AM681" s="9" t="n">
        <x:v>61</x:v>
      </x:c>
      <x:c r="AN681" s="9" t="n">
        <x:v>61</x:v>
      </x:c>
    </x:row>
    <x:row r="682">
      <x:c r="A682" s="9" t="str">
        <x:v>Failure</x:v>
      </x:c>
      <x:c r="B682" s="9" t="str">
        <x:v>Referential Disambiguation</x:v>
      </x:c>
      <x:c r="C682" s="10" t="n">
        <x:v>60</x:v>
      </x:c>
      <x:c r="D682" s="9" t="str">
        <x:v>Pick up the crushed soda can closest to the yellow pen and place it in the bowl.</x:v>
      </x:c>
      <x:c r="E682" s="9" t="str">
        <x:v>crushed Coke can; crushed Pepsi can; yellow pen; red pencil sharpener</x:v>
      </x:c>
      <x:c r="F682" s="9" t="str">
        <x:v>crushed Pepsi can</x:v>
      </x:c>
      <x:c r="G682" s="9" t="str">
        <x:v>picked the can furthest from the yellow pen</x:v>
      </x:c>
      <x:c r="H682" s="9" t="str">
        <x:v>Concept/compositional transfer</x:v>
      </x:c>
      <x:c r="I682" s="9" t="str">
        <x:v>RD-CT11</x:v>
      </x:c>
      <x:c r="J682" s="9" t="str">
        <x:v>Primary held-out relation × candidate-category composition — Pick up</x:v>
      </x:c>
      <x:c r="K682" s="9"/>
      <x:c r="L682" s="9" t="str">
        <x:v>403</x:v>
      </x:c>
      <x:c r="M682" s="9" t="str">
        <x:v>Masked source trajectory: the target identity and physical manipulation are trained under a direct-name prompt, while this relation × candidate-category composition is intentionally absent.</x:v>
      </x:c>
      <x:c r="N682" s="9" t="n">
        <x:v>3</x:v>
      </x:c>
      <x:c r="O682" s="9" t="str">
        <x:v>Place the listed objects. Arrange Expected Target as the unique answer to the prompt; keep the bowl empty and save a reference image.</x:v>
      </x:c>
      <x:c r="P682" s="9" t="str">
        <x:v>Both candidates are present. The held-out relation is the only information that identifies the target.</x:v>
      </x:c>
      <x:c r="Q682" s="9"/>
      <x:c r="R682" s="10" t="n">
        <x:v>4</x:v>
      </x:c>
      <x:c r="S682" s="10" t="n">
        <x:v>1</x:v>
      </x:c>
      <x:c r="T682" s="9" t="str">
        <x:v>Empty</x:v>
      </x:c>
      <x:c r="U682" s="9"/>
      <x:c r="V682" s="9"/>
      <x:c r="W682" s="9"/>
      <x:c r="X682" s="10"/>
      <x:c r="Y682" s="10"/>
      <x:c r="Z682" s="9"/>
      <x:c r="AA682" s="9"/>
      <x:c r="AB682" s="9" t="str">
        <x:v>closest</x:v>
      </x:c>
      <x:c r="AC682" s="9"/>
      <x:c r="AD682" s="9"/>
      <x:c r="AE682" s="9"/>
      <x:c r="AF682" s="9"/>
      <x:c r="AG682" s="9" t="str">
        <x:v>crushed soda can</x:v>
      </x:c>
      <x:c r="AH682" s="9"/>
      <x:c r="AI682" s="11"/>
      <x:c r="AJ682" s="9"/>
      <x:c r="AK682" s="9" t="str">
        <x:v>Eval_Referential_Disambiguation.xlsm</x:v>
      </x:c>
      <x:c r="AL682" s="9" t="str">
        <x:v>pi0.5 Results</x:v>
      </x:c>
      <x:c r="AM682" s="9" t="n">
        <x:v>62</x:v>
      </x:c>
      <x:c r="AN682" s="9" t="n">
        <x:v>62</x:v>
      </x:c>
    </x:row>
    <x:row r="683">
      <x:c r="A683" s="9" t="str">
        <x:v>Failure</x:v>
      </x:c>
      <x:c r="B683" s="9" t="str">
        <x:v>Referential Disambiguation</x:v>
      </x:c>
      <x:c r="C683" s="10" t="n">
        <x:v>61</x:v>
      </x:c>
      <x:c r="D683" s="9" t="str">
        <x:v>Put the crushed Pepsi can in the bowl.</x:v>
      </x:c>
      <x:c r="E683" s="9" t="str">
        <x:v>crushed Coke can; crushed Pepsi can; yellow pen; red pencil sharpener</x:v>
      </x:c>
      <x:c r="F683" s="9" t="str">
        <x:v>crushed Pepsi can</x:v>
      </x:c>
      <x:c r="G683" s="9" t="str">
        <x:v>picked coke can</x:v>
      </x:c>
      <x:c r="H683" s="9" t="str">
        <x:v>Matched manipulation control</x:v>
      </x:c>
      <x:c r="I683" s="9" t="str">
        <x:v>RD-CT11</x:v>
      </x:c>
      <x:c r="J683" s="9" t="str">
        <x:v>Exact-scene direct-identity manipulation control</x:v>
      </x:c>
      <x:c r="K683" s="9" t="n">
        <x:v>60</x:v>
      </x:c>
      <x:c r="L683" s="9" t="str">
        <x:v>403</x:v>
      </x:c>
      <x:c r="M683" s="9" t="str">
        <x:v>Exact masked-cell training prompt for the same target identity. The evaluation scene and physical endpoint are identical to the paired transfer row.</x:v>
      </x:c>
      <x:c r="N683" s="9" t="n">
        <x:v>3</x:v>
      </x:c>
      <x:c r="O683" s="9" t="str">
        <x:v>Reset the moved object exactly; preserve the scene; change only the instruction.</x:v>
      </x:c>
      <x:c r="P683" s="9" t="str">
        <x:v>Controls recognition and manipulation of the same target without requiring referential reasoning.</x:v>
      </x:c>
      <x:c r="Q683" s="9"/>
      <x:c r="R683" s="10" t="n">
        <x:v>4</x:v>
      </x:c>
      <x:c r="S683" s="10" t="n">
        <x:v>1</x:v>
      </x:c>
      <x:c r="T683" s="9" t="str">
        <x:v>Empty</x:v>
      </x:c>
      <x:c r="U683" s="9"/>
      <x:c r="V683" s="9"/>
      <x:c r="W683" s="9"/>
      <x:c r="X683" s="10"/>
      <x:c r="Y683" s="10"/>
      <x:c r="Z683" s="9"/>
      <x:c r="AA683" s="9"/>
      <x:c r="AB683" s="9" t="str">
        <x:v>direct name</x:v>
      </x:c>
      <x:c r="AC683" s="9"/>
      <x:c r="AD683" s="9"/>
      <x:c r="AE683" s="9"/>
      <x:c r="AF683" s="9"/>
      <x:c r="AG683" s="9" t="str">
        <x:v>crushed soda can</x:v>
      </x:c>
      <x:c r="AH683" s="9"/>
      <x:c r="AI683" s="11"/>
      <x:c r="AJ683" s="9"/>
      <x:c r="AK683" s="9" t="str">
        <x:v>Eval_Referential_Disambiguation.xlsm</x:v>
      </x:c>
      <x:c r="AL683" s="9" t="str">
        <x:v>pi0.5 Results</x:v>
      </x:c>
      <x:c r="AM683" s="9" t="n">
        <x:v>63</x:v>
      </x:c>
      <x:c r="AN683" s="9" t="n">
        <x:v>63</x:v>
      </x:c>
    </x:row>
    <x:row r="684">
      <x:c r="A684" s="9" t="str">
        <x:v>Failure</x:v>
      </x:c>
      <x:c r="B684" s="9" t="str">
        <x:v>Referential Disambiguation</x:v>
      </x:c>
      <x:c r="C684" s="10" t="n">
        <x:v>62</x:v>
      </x:c>
      <x:c r="D684" s="9" t="str">
        <x:v>Pick up the pencil sharpener between the green pen and the crushed Coke can and place it in the bowl.</x:v>
      </x:c>
      <x:c r="E684" s="9" t="str">
        <x:v>green pencil sharpener; red pencil sharpener; green pen; crushed Coke can; yellow pen</x:v>
      </x:c>
      <x:c r="F684" s="9" t="str">
        <x:v>red pencil sharpener</x:v>
      </x:c>
      <x:c r="G684" s="9" t="str">
        <x:v>picked the green pencil sharpener</x:v>
      </x:c>
      <x:c r="H684" s="9" t="str">
        <x:v>Concept/compositional transfer</x:v>
      </x:c>
      <x:c r="I684" s="9" t="str">
        <x:v>RD-CT12</x:v>
      </x:c>
      <x:c r="J684" s="9" t="str">
        <x:v>Primary held-out relation × candidate-category composition — Pick up</x:v>
      </x:c>
      <x:c r="K684" s="9"/>
      <x:c r="L684" s="9" t="str">
        <x:v>481</x:v>
      </x:c>
      <x:c r="M684" s="9" t="str">
        <x:v>Masked source trajectory: the target identity and physical manipulation are trained under a direct-name prompt, while this relation × candidate-category composition is intentionally absent.</x:v>
      </x:c>
      <x:c r="N684" s="9" t="n">
        <x:v>3</x:v>
      </x:c>
      <x:c r="O684" s="9" t="str">
        <x:v>Place the listed objects. Arrange Expected Target as the unique answer to the prompt; keep the bowl empty and save a reference image.</x:v>
      </x:c>
      <x:c r="P684" s="9" t="str">
        <x:v>Both candidates are present. The held-out relation is the only information that identifies the target.</x:v>
      </x:c>
      <x:c r="Q684" s="9"/>
      <x:c r="R684" s="10" t="n">
        <x:v>5</x:v>
      </x:c>
      <x:c r="S684" s="10" t="n">
        <x:v>1</x:v>
      </x:c>
      <x:c r="T684" s="9" t="str">
        <x:v>Empty</x:v>
      </x:c>
      <x:c r="U684" s="9"/>
      <x:c r="V684" s="9"/>
      <x:c r="W684" s="9"/>
      <x:c r="X684" s="10"/>
      <x:c r="Y684" s="10"/>
      <x:c r="Z684" s="9"/>
      <x:c r="AA684" s="9"/>
      <x:c r="AB684" s="9" t="str">
        <x:v>between</x:v>
      </x:c>
      <x:c r="AC684" s="9"/>
      <x:c r="AD684" s="9"/>
      <x:c r="AE684" s="9"/>
      <x:c r="AF684" s="9"/>
      <x:c r="AG684" s="9" t="str">
        <x:v>pencil sharpener</x:v>
      </x:c>
      <x:c r="AH684" s="9"/>
      <x:c r="AI684" s="11"/>
      <x:c r="AJ684" s="9"/>
      <x:c r="AK684" s="9" t="str">
        <x:v>Eval_Referential_Disambiguation.xlsm</x:v>
      </x:c>
      <x:c r="AL684" s="9" t="str">
        <x:v>pi0.5 Results</x:v>
      </x:c>
      <x:c r="AM684" s="9" t="n">
        <x:v>64</x:v>
      </x:c>
      <x:c r="AN684" s="9" t="n">
        <x:v>64</x:v>
      </x:c>
    </x:row>
    <x:row r="685">
      <x:c r="A685" s="9" t="str">
        <x:v>Success</x:v>
      </x:c>
      <x:c r="B685" s="9" t="str">
        <x:v>Referential Disambiguation</x:v>
      </x:c>
      <x:c r="C685" s="10" t="n">
        <x:v>63</x:v>
      </x:c>
      <x:c r="D685" s="9" t="str">
        <x:v>Put the red pencil sharpener in the bowl.</x:v>
      </x:c>
      <x:c r="E685" s="9" t="str">
        <x:v>green pencil sharpener; red pencil sharpener; green pen; crushed Coke can; yellow pen</x:v>
      </x:c>
      <x:c r="F685" s="9" t="str">
        <x:v>red pencil sharpener</x:v>
      </x:c>
      <x:c r="G685" s="9"/>
      <x:c r="H685" s="9" t="str">
        <x:v>Matched manipulation control</x:v>
      </x:c>
      <x:c r="I685" s="9" t="str">
        <x:v>RD-CT12</x:v>
      </x:c>
      <x:c r="J685" s="9" t="str">
        <x:v>Exact-scene direct-identity manipulation control</x:v>
      </x:c>
      <x:c r="K685" s="9" t="n">
        <x:v>62</x:v>
      </x:c>
      <x:c r="L685" s="9" t="str">
        <x:v>481</x:v>
      </x:c>
      <x:c r="M685" s="9" t="str">
        <x:v>Exact masked-cell training prompt for the same target identity. The evaluation scene and physical endpoint are identical to the paired transfer row.</x:v>
      </x:c>
      <x:c r="N685" s="9" t="n">
        <x:v>3</x:v>
      </x:c>
      <x:c r="O685" s="9" t="str">
        <x:v>Reset the moved object exactly; preserve the scene; change only the instruction.</x:v>
      </x:c>
      <x:c r="P685" s="9" t="str">
        <x:v>Controls recognition and manipulation of the same target without requiring referential reasoning.</x:v>
      </x:c>
      <x:c r="Q685" s="9"/>
      <x:c r="R685" s="10" t="n">
        <x:v>5</x:v>
      </x:c>
      <x:c r="S685" s="10" t="n">
        <x:v>1</x:v>
      </x:c>
      <x:c r="T685" s="9" t="str">
        <x:v>Empty</x:v>
      </x:c>
      <x:c r="U685" s="9"/>
      <x:c r="V685" s="9"/>
      <x:c r="W685" s="9"/>
      <x:c r="X685" s="10"/>
      <x:c r="Y685" s="10"/>
      <x:c r="Z685" s="9"/>
      <x:c r="AA685" s="9"/>
      <x:c r="AB685" s="9" t="str">
        <x:v>direct name</x:v>
      </x:c>
      <x:c r="AC685" s="9"/>
      <x:c r="AD685" s="9"/>
      <x:c r="AE685" s="9"/>
      <x:c r="AF685" s="9"/>
      <x:c r="AG685" s="9" t="str">
        <x:v>pencil sharpener</x:v>
      </x:c>
      <x:c r="AH685" s="9"/>
      <x:c r="AI685" s="11"/>
      <x:c r="AJ685" s="9"/>
      <x:c r="AK685" s="9" t="str">
        <x:v>Eval_Referential_Disambiguation.xlsm</x:v>
      </x:c>
      <x:c r="AL685" s="9" t="str">
        <x:v>pi0.5 Results</x:v>
      </x:c>
      <x:c r="AM685" s="9" t="n">
        <x:v>65</x:v>
      </x:c>
      <x:c r="AN685" s="9" t="n">
        <x:v>65</x:v>
      </x:c>
    </x:row>
    <x:row r="686">
      <x:c r="A686" s="9" t="str">
        <x:v>Failure</x:v>
      </x:c>
      <x:c r="B686" s="9" t="str">
        <x:v>Referential Disambiguation</x:v>
      </x:c>
      <x:c r="C686" s="10" t="n">
        <x:v>64</x:v>
      </x:c>
      <x:c r="D686" s="9" t="str">
        <x:v>Put the airplane toy furthest from the crushed Pepsi can in the bowl.</x:v>
      </x:c>
      <x:c r="E686" s="9" t="str">
        <x:v>airplane toy with propellers; airplane toy without propellers; crushed Pepsi can</x:v>
      </x:c>
      <x:c r="F686" s="9" t="str">
        <x:v>airplane toy with propellers</x:v>
      </x:c>
      <x:c r="G686" s="9" t="str">
        <x:v>picked closest</x:v>
      </x:c>
      <x:c r="H686" s="9" t="str">
        <x:v>Concept/compositional transfer</x:v>
      </x:c>
      <x:c r="I686" s="9" t="str">
        <x:v>RD-CT13</x:v>
      </x:c>
      <x:c r="J686" s="9" t="str">
        <x:v>Primary held-out relation × candidate-category composition — Put</x:v>
      </x:c>
      <x:c r="K686" s="9"/>
      <x:c r="L686" s="9" t="str">
        <x:v>570</x:v>
      </x:c>
      <x:c r="M686" s="9" t="str">
        <x:v>Masked source trajectory: the target identity and physical manipulation are trained under a direct-name prompt, while this relation × candidate-category composition is intentionally absent.</x:v>
      </x:c>
      <x:c r="N686" s="9" t="n">
        <x:v>3</x:v>
      </x:c>
      <x:c r="O686" s="9" t="str">
        <x:v>Place the listed objects. Arrange Expected Target as the unique answer to the prompt; keep the bowl empty and save a reference image.</x:v>
      </x:c>
      <x:c r="P686" s="9" t="str">
        <x:v>Both candidates are present. The held-out relation is the only information that identifies the target.</x:v>
      </x:c>
      <x:c r="Q686" s="9"/>
      <x:c r="R686" s="10" t="n">
        <x:v>3</x:v>
      </x:c>
      <x:c r="S686" s="10" t="n">
        <x:v>1</x:v>
      </x:c>
      <x:c r="T686" s="9" t="str">
        <x:v>Empty</x:v>
      </x:c>
      <x:c r="U686" s="9"/>
      <x:c r="V686" s="9"/>
      <x:c r="W686" s="9"/>
      <x:c r="X686" s="10"/>
      <x:c r="Y686" s="10"/>
      <x:c r="Z686" s="9"/>
      <x:c r="AA686" s="9"/>
      <x:c r="AB686" s="9" t="str">
        <x:v>furthest</x:v>
      </x:c>
      <x:c r="AC686" s="9"/>
      <x:c r="AD686" s="9"/>
      <x:c r="AE686" s="9"/>
      <x:c r="AF686" s="9"/>
      <x:c r="AG686" s="9" t="str">
        <x:v>airplane toy</x:v>
      </x:c>
      <x:c r="AH686" s="9"/>
      <x:c r="AI686" s="11"/>
      <x:c r="AJ686" s="9"/>
      <x:c r="AK686" s="9" t="str">
        <x:v>Eval_Referential_Disambiguation.xlsm</x:v>
      </x:c>
      <x:c r="AL686" s="9" t="str">
        <x:v>pi0.5 Results</x:v>
      </x:c>
      <x:c r="AM686" s="9" t="n">
        <x:v>66</x:v>
      </x:c>
      <x:c r="AN686" s="9" t="n">
        <x:v>66</x:v>
      </x:c>
    </x:row>
    <x:row r="687">
      <x:c r="A687" s="9" t="str">
        <x:v>Failure</x:v>
      </x:c>
      <x:c r="B687" s="9" t="str">
        <x:v>Referential Disambiguation</x:v>
      </x:c>
      <x:c r="C687" s="10" t="n">
        <x:v>65</x:v>
      </x:c>
      <x:c r="D687" s="9" t="str">
        <x:v>Put the airplane toy with propellers in the bowl.</x:v>
      </x:c>
      <x:c r="E687" s="9" t="str">
        <x:v>airplane toy with propellers; airplane toy without propellers; crushed Pepsi can</x:v>
      </x:c>
      <x:c r="F687" s="9" t="str">
        <x:v>airplane toy with propellers</x:v>
      </x:c>
      <x:c r="G687" s="9" t="str">
        <x:v>picked non-propellor plane</x:v>
      </x:c>
      <x:c r="H687" s="9" t="str">
        <x:v>Matched manipulation control</x:v>
      </x:c>
      <x:c r="I687" s="9" t="str">
        <x:v>RD-CT13</x:v>
      </x:c>
      <x:c r="J687" s="9" t="str">
        <x:v>Exact-scene direct-identity manipulation control</x:v>
      </x:c>
      <x:c r="K687" s="9" t="n">
        <x:v>64</x:v>
      </x:c>
      <x:c r="L687" s="9" t="str">
        <x:v>570</x:v>
      </x:c>
      <x:c r="M687" s="9" t="str">
        <x:v>Exact masked-cell training prompt for the same target identity. The evaluation scene and physical endpoint are identical to the paired transfer row.</x:v>
      </x:c>
      <x:c r="N687" s="9" t="n">
        <x:v>3</x:v>
      </x:c>
      <x:c r="O687" s="9" t="str">
        <x:v>Reset the moved object exactly; preserve the scene; change only the instruction.</x:v>
      </x:c>
      <x:c r="P687" s="9" t="str">
        <x:v>Controls recognition and manipulation of the same target without requiring referential reasoning.</x:v>
      </x:c>
      <x:c r="Q687" s="9"/>
      <x:c r="R687" s="10" t="n">
        <x:v>3</x:v>
      </x:c>
      <x:c r="S687" s="10" t="n">
        <x:v>1</x:v>
      </x:c>
      <x:c r="T687" s="9" t="str">
        <x:v>Empty</x:v>
      </x:c>
      <x:c r="U687" s="9"/>
      <x:c r="V687" s="9"/>
      <x:c r="W687" s="9"/>
      <x:c r="X687" s="10"/>
      <x:c r="Y687" s="10"/>
      <x:c r="Z687" s="9"/>
      <x:c r="AA687" s="9"/>
      <x:c r="AB687" s="9" t="str">
        <x:v>direct name</x:v>
      </x:c>
      <x:c r="AC687" s="9"/>
      <x:c r="AD687" s="9"/>
      <x:c r="AE687" s="9"/>
      <x:c r="AF687" s="9"/>
      <x:c r="AG687" s="9" t="str">
        <x:v>airplane toy</x:v>
      </x:c>
      <x:c r="AH687" s="9"/>
      <x:c r="AI687" s="11"/>
      <x:c r="AJ687" s="9"/>
      <x:c r="AK687" s="9" t="str">
        <x:v>Eval_Referential_Disambiguation.xlsm</x:v>
      </x:c>
      <x:c r="AL687" s="9" t="str">
        <x:v>pi0.5 Results</x:v>
      </x:c>
      <x:c r="AM687" s="9" t="n">
        <x:v>67</x:v>
      </x:c>
      <x:c r="AN687" s="9" t="n">
        <x:v>67</x:v>
      </x:c>
    </x:row>
    <x:row r="688">
      <x:c r="A688" s="9" t="str">
        <x:v>Failure</x:v>
      </x:c>
      <x:c r="B688" s="9" t="str">
        <x:v>Referential Disambiguation</x:v>
      </x:c>
      <x:c r="C688" s="10" t="n">
        <x:v>66</x:v>
      </x:c>
      <x:c r="D688" s="9" t="str">
        <x:v>Put the crushed soda can closest to the airplane toy without propellers in the bowl.</x:v>
      </x:c>
      <x:c r="E688" s="9" t="str">
        <x:v>crushed Coke can; crushed Pepsi can; airplane toy without propellers</x:v>
      </x:c>
      <x:c r="F688" s="9" t="str">
        <x:v>crushed Coke can</x:v>
      </x:c>
      <x:c r="G688" s="9" t="str">
        <x:v>successful reasoning, but knocked can over and couldn't recover</x:v>
      </x:c>
      <x:c r="H688" s="9" t="str">
        <x:v>Concept/compositional transfer</x:v>
      </x:c>
      <x:c r="I688" s="9" t="str">
        <x:v>RD-CT14</x:v>
      </x:c>
      <x:c r="J688" s="9" t="str">
        <x:v>Primary held-out relation × candidate-category composition — Put</x:v>
      </x:c>
      <x:c r="K688" s="9"/>
      <x:c r="L688" s="9" t="str">
        <x:v>404</x:v>
      </x:c>
      <x:c r="M688" s="9" t="str">
        <x:v>Masked source trajectory: the target identity and physical manipulation are trained under a direct-name prompt, while this relation × candidate-category composition is intentionally absent.</x:v>
      </x:c>
      <x:c r="N688" s="9" t="n">
        <x:v>3</x:v>
      </x:c>
      <x:c r="O688" s="9" t="str">
        <x:v>Place the listed objects. Arrange Expected Target as the unique answer to the prompt; keep the bowl empty and save a reference image.</x:v>
      </x:c>
      <x:c r="P688" s="9" t="str">
        <x:v>Both candidates are present. The held-out relation is the only information that identifies the target.</x:v>
      </x:c>
      <x:c r="Q688" s="9"/>
      <x:c r="R688" s="10" t="n">
        <x:v>3</x:v>
      </x:c>
      <x:c r="S688" s="10" t="n">
        <x:v>1</x:v>
      </x:c>
      <x:c r="T688" s="9" t="str">
        <x:v>Empty</x:v>
      </x:c>
      <x:c r="U688" s="9"/>
      <x:c r="V688" s="9"/>
      <x:c r="W688" s="9"/>
      <x:c r="X688" s="10"/>
      <x:c r="Y688" s="10"/>
      <x:c r="Z688" s="9"/>
      <x:c r="AA688" s="9"/>
      <x:c r="AB688" s="9" t="str">
        <x:v>closest</x:v>
      </x:c>
      <x:c r="AC688" s="9"/>
      <x:c r="AD688" s="9"/>
      <x:c r="AE688" s="9"/>
      <x:c r="AF688" s="9"/>
      <x:c r="AG688" s="9" t="str">
        <x:v>crushed soda can</x:v>
      </x:c>
      <x:c r="AH688" s="9"/>
      <x:c r="AI688" s="11"/>
      <x:c r="AJ688" s="9"/>
      <x:c r="AK688" s="9" t="str">
        <x:v>Eval_Referential_Disambiguation.xlsm</x:v>
      </x:c>
      <x:c r="AL688" s="9" t="str">
        <x:v>pi0.5 Results</x:v>
      </x:c>
      <x:c r="AM688" s="9" t="n">
        <x:v>68</x:v>
      </x:c>
      <x:c r="AN688" s="9" t="n">
        <x:v>68</x:v>
      </x:c>
    </x:row>
    <x:row r="689">
      <x:c r="A689" s="9" t="str">
        <x:v>Failure</x:v>
      </x:c>
      <x:c r="B689" s="9" t="str">
        <x:v>Referential Disambiguation</x:v>
      </x:c>
      <x:c r="C689" s="10" t="n">
        <x:v>67</x:v>
      </x:c>
      <x:c r="D689" s="9" t="str">
        <x:v>Pick up the crushed Coke can and place it in the bowl.</x:v>
      </x:c>
      <x:c r="E689" s="9" t="str">
        <x:v>crushed Coke can; crushed Pepsi can; airplane toy without propellers</x:v>
      </x:c>
      <x:c r="F689" s="9" t="str">
        <x:v>crushed Coke can</x:v>
      </x:c>
      <x:c r="G689" s="9" t="str">
        <x:v>went for the coke can, but couldn't grasp it. successfully went for coke can, but then started to go for the airplane toy</x:v>
      </x:c>
      <x:c r="H689" s="9" t="str">
        <x:v>Matched manipulation control</x:v>
      </x:c>
      <x:c r="I689" s="9" t="str">
        <x:v>RD-CT14</x:v>
      </x:c>
      <x:c r="J689" s="9" t="str">
        <x:v>Exact-scene direct-identity manipulation control</x:v>
      </x:c>
      <x:c r="K689" s="9" t="n">
        <x:v>66</x:v>
      </x:c>
      <x:c r="L689" s="9" t="str">
        <x:v>404</x:v>
      </x:c>
      <x:c r="M689" s="9" t="str">
        <x:v>Exact masked-cell training prompt for the same target identity. The evaluation scene and physical endpoint are identical to the paired transfer row.</x:v>
      </x:c>
      <x:c r="N689" s="9" t="n">
        <x:v>3</x:v>
      </x:c>
      <x:c r="O689" s="9" t="str">
        <x:v>Reset the moved object exactly; preserve the scene; change only the instruction.</x:v>
      </x:c>
      <x:c r="P689" s="9" t="str">
        <x:v>Controls recognition and manipulation of the same target without requiring referential reasoning.</x:v>
      </x:c>
      <x:c r="Q689" s="9"/>
      <x:c r="R689" s="10" t="n">
        <x:v>3</x:v>
      </x:c>
      <x:c r="S689" s="10" t="n">
        <x:v>1</x:v>
      </x:c>
      <x:c r="T689" s="9" t="str">
        <x:v>Empty</x:v>
      </x:c>
      <x:c r="U689" s="9"/>
      <x:c r="V689" s="9"/>
      <x:c r="W689" s="9"/>
      <x:c r="X689" s="10"/>
      <x:c r="Y689" s="10"/>
      <x:c r="Z689" s="9"/>
      <x:c r="AA689" s="9"/>
      <x:c r="AB689" s="9" t="str">
        <x:v>direct name</x:v>
      </x:c>
      <x:c r="AC689" s="9"/>
      <x:c r="AD689" s="9"/>
      <x:c r="AE689" s="9"/>
      <x:c r="AF689" s="9"/>
      <x:c r="AG689" s="9" t="str">
        <x:v>crushed soda can</x:v>
      </x:c>
      <x:c r="AH689" s="9"/>
      <x:c r="AI689" s="11"/>
      <x:c r="AJ689" s="9"/>
      <x:c r="AK689" s="9" t="str">
        <x:v>Eval_Referential_Disambiguation.xlsm</x:v>
      </x:c>
      <x:c r="AL689" s="9" t="str">
        <x:v>pi0.5 Results</x:v>
      </x:c>
      <x:c r="AM689" s="9" t="n">
        <x:v>69</x:v>
      </x:c>
      <x:c r="AN689" s="9" t="n">
        <x:v>69</x:v>
      </x:c>
    </x:row>
    <x:row r="690">
      <x:c r="A690" s="9" t="str">
        <x:v>Failure</x:v>
      </x:c>
      <x:c r="B690" s="9" t="str">
        <x:v>Referential Disambiguation</x:v>
      </x:c>
      <x:c r="C690" s="10" t="n">
        <x:v>68</x:v>
      </x:c>
      <x:c r="D690" s="9" t="str">
        <x:v>Put the pencil sharpener between the airplane toy with propellers and the yellow pen in the bowl.</x:v>
      </x:c>
      <x:c r="E690" s="9" t="str">
        <x:v>green pencil sharpener; red pencil sharpener; airplane toy with propellers; yellow pen</x:v>
      </x:c>
      <x:c r="F690" s="9" t="str">
        <x:v>green pencil sharpener</x:v>
      </x:c>
      <x:c r="G690" s="9" t="str">
        <x:v>picked the red pencil sharpener</x:v>
      </x:c>
      <x:c r="H690" s="9" t="str">
        <x:v>Concept/compositional transfer</x:v>
      </x:c>
      <x:c r="I690" s="9" t="str">
        <x:v>RD-CT15</x:v>
      </x:c>
      <x:c r="J690" s="9" t="str">
        <x:v>Primary held-out relation × candidate-category composition — Put</x:v>
      </x:c>
      <x:c r="K690" s="9"/>
      <x:c r="L690" s="9" t="str">
        <x:v>485</x:v>
      </x:c>
      <x:c r="M690" s="9" t="str">
        <x:v>Masked source trajectory: the target identity and physical manipulation are trained under a direct-name prompt, while this relation × candidate-category composition is intentionally absent.</x:v>
      </x:c>
      <x:c r="N690" s="9" t="n">
        <x:v>3</x:v>
      </x:c>
      <x:c r="O690" s="9" t="str">
        <x:v>Place the listed objects. Arrange Expected Target as the unique answer to the prompt; keep the bowl empty and save a reference image.</x:v>
      </x:c>
      <x:c r="P690" s="9" t="str">
        <x:v>Both candidates are present. The held-out relation is the only information that identifies the target.</x:v>
      </x:c>
      <x:c r="Q690" s="9"/>
      <x:c r="R690" s="10" t="n">
        <x:v>4</x:v>
      </x:c>
      <x:c r="S690" s="10" t="n">
        <x:v>1</x:v>
      </x:c>
      <x:c r="T690" s="9" t="str">
        <x:v>Empty</x:v>
      </x:c>
      <x:c r="U690" s="9"/>
      <x:c r="V690" s="9"/>
      <x:c r="W690" s="9"/>
      <x:c r="X690" s="10"/>
      <x:c r="Y690" s="10"/>
      <x:c r="Z690" s="9"/>
      <x:c r="AA690" s="9"/>
      <x:c r="AB690" s="9" t="str">
        <x:v>between</x:v>
      </x:c>
      <x:c r="AC690" s="9"/>
      <x:c r="AD690" s="9"/>
      <x:c r="AE690" s="9"/>
      <x:c r="AF690" s="9"/>
      <x:c r="AG690" s="9" t="str">
        <x:v>pencil sharpener</x:v>
      </x:c>
      <x:c r="AH690" s="9"/>
      <x:c r="AI690" s="11"/>
      <x:c r="AJ690" s="9"/>
      <x:c r="AK690" s="9" t="str">
        <x:v>Eval_Referential_Disambiguation.xlsm</x:v>
      </x:c>
      <x:c r="AL690" s="9" t="str">
        <x:v>pi0.5 Results</x:v>
      </x:c>
      <x:c r="AM690" s="9" t="n">
        <x:v>70</x:v>
      </x:c>
      <x:c r="AN690" s="9" t="n">
        <x:v>70</x:v>
      </x:c>
    </x:row>
    <x:row r="691">
      <x:c r="A691" s="9" t="str">
        <x:v>Success</x:v>
      </x:c>
      <x:c r="B691" s="9" t="str">
        <x:v>Referential Disambiguation</x:v>
      </x:c>
      <x:c r="C691" s="10" t="n">
        <x:v>69</x:v>
      </x:c>
      <x:c r="D691" s="9" t="str">
        <x:v>Pick up the green pencil sharpener and place it in the bowl.</x:v>
      </x:c>
      <x:c r="E691" s="9" t="str">
        <x:v>green pencil sharpener; red pencil sharpener; airplane toy with propellers; yellow pen</x:v>
      </x:c>
      <x:c r="F691" s="9" t="str">
        <x:v>green pencil sharpener</x:v>
      </x:c>
      <x:c r="G691" s="9"/>
      <x:c r="H691" s="9" t="str">
        <x:v>Matched manipulation control</x:v>
      </x:c>
      <x:c r="I691" s="9" t="str">
        <x:v>RD-CT15</x:v>
      </x:c>
      <x:c r="J691" s="9" t="str">
        <x:v>Exact-scene direct-identity manipulation control</x:v>
      </x:c>
      <x:c r="K691" s="9" t="n">
        <x:v>68</x:v>
      </x:c>
      <x:c r="L691" s="9" t="str">
        <x:v>485</x:v>
      </x:c>
      <x:c r="M691" s="9" t="str">
        <x:v>Exact masked-cell training prompt for the same target identity. The evaluation scene and physical endpoint are identical to the paired transfer row.</x:v>
      </x:c>
      <x:c r="N691" s="9" t="n">
        <x:v>3</x:v>
      </x:c>
      <x:c r="O691" s="9" t="str">
        <x:v>Reset the moved object exactly; preserve the scene; change only the instruction.</x:v>
      </x:c>
      <x:c r="P691" s="9" t="str">
        <x:v>Controls recognition and manipulation of the same target without requiring referential reasoning.</x:v>
      </x:c>
      <x:c r="Q691" s="9"/>
      <x:c r="R691" s="10" t="n">
        <x:v>4</x:v>
      </x:c>
      <x:c r="S691" s="10" t="n">
        <x:v>1</x:v>
      </x:c>
      <x:c r="T691" s="9" t="str">
        <x:v>Empty</x:v>
      </x:c>
      <x:c r="U691" s="9"/>
      <x:c r="V691" s="9"/>
      <x:c r="W691" s="9"/>
      <x:c r="X691" s="10"/>
      <x:c r="Y691" s="10"/>
      <x:c r="Z691" s="9"/>
      <x:c r="AA691" s="9"/>
      <x:c r="AB691" s="9" t="str">
        <x:v>direct name</x:v>
      </x:c>
      <x:c r="AC691" s="9"/>
      <x:c r="AD691" s="9"/>
      <x:c r="AE691" s="9"/>
      <x:c r="AF691" s="9"/>
      <x:c r="AG691" s="9" t="str">
        <x:v>pencil sharpener</x:v>
      </x:c>
      <x:c r="AH691" s="9"/>
      <x:c r="AI691" s="11"/>
      <x:c r="AJ691" s="9"/>
      <x:c r="AK691" s="9" t="str">
        <x:v>Eval_Referential_Disambiguation.xlsm</x:v>
      </x:c>
      <x:c r="AL691" s="9" t="str">
        <x:v>pi0.5 Results</x:v>
      </x:c>
      <x:c r="AM691" s="9" t="n">
        <x:v>71</x:v>
      </x:c>
      <x:c r="AN691" s="9" t="n">
        <x:v>71</x:v>
      </x:c>
    </x:row>
    <x:row r="692">
      <x:c r="A692" s="9" t="str">
        <x:v>Success</x:v>
      </x:c>
      <x:c r="B692" s="9" t="str">
        <x:v>Referential Disambiguation</x:v>
      </x:c>
      <x:c r="C692" s="10" t="n">
        <x:v>70</x:v>
      </x:c>
      <x:c r="D692" s="9" t="str">
        <x:v>Move the airplane toy furthest from the red pencil sharpener into the bowl.</x:v>
      </x:c>
      <x:c r="E692" s="9" t="str">
        <x:v>airplane toy with propellers; airplane toy without propellers; red pencil sharpener; crushed Coke can</x:v>
      </x:c>
      <x:c r="F692" s="9" t="str">
        <x:v>airplane toy with propellers</x:v>
      </x:c>
      <x:c r="G692" s="9"/>
      <x:c r="H692" s="9" t="str">
        <x:v>Concept/compositional transfer</x:v>
      </x:c>
      <x:c r="I692" s="9" t="str">
        <x:v>RD-CT16</x:v>
      </x:c>
      <x:c r="J692" s="9" t="str">
        <x:v>Primary held-out relation × candidate-category composition — Move</x:v>
      </x:c>
      <x:c r="K692" s="9"/>
      <x:c r="L692" s="9" t="str">
        <x:v>572</x:v>
      </x:c>
      <x:c r="M692" s="9" t="str">
        <x:v>Masked source trajectory: the target identity and physical manipulation are trained under a direct-name prompt, while this relation × candidate-category composition is intentionally absent.</x:v>
      </x:c>
      <x:c r="N692" s="9" t="n">
        <x:v>3</x:v>
      </x:c>
      <x:c r="O692" s="9" t="str">
        <x:v>Place the listed objects. Arrange Expected Target as the unique answer to the prompt; keep the bowl empty and save a reference image.</x:v>
      </x:c>
      <x:c r="P692" s="9" t="str">
        <x:v>Both candidates are present. The held-out relation is the only information that identifies the target.</x:v>
      </x:c>
      <x:c r="Q692" s="9"/>
      <x:c r="R692" s="10" t="n">
        <x:v>4</x:v>
      </x:c>
      <x:c r="S692" s="10" t="n">
        <x:v>1</x:v>
      </x:c>
      <x:c r="T692" s="9" t="str">
        <x:v>Empty</x:v>
      </x:c>
      <x:c r="U692" s="9"/>
      <x:c r="V692" s="9"/>
      <x:c r="W692" s="9"/>
      <x:c r="X692" s="10"/>
      <x:c r="Y692" s="10"/>
      <x:c r="Z692" s="9"/>
      <x:c r="AA692" s="9"/>
      <x:c r="AB692" s="9" t="str">
        <x:v>furthest</x:v>
      </x:c>
      <x:c r="AC692" s="9"/>
      <x:c r="AD692" s="9"/>
      <x:c r="AE692" s="9"/>
      <x:c r="AF692" s="9"/>
      <x:c r="AG692" s="9" t="str">
        <x:v>airplane toy</x:v>
      </x:c>
      <x:c r="AH692" s="9"/>
      <x:c r="AI692" s="11"/>
      <x:c r="AJ692" s="9"/>
      <x:c r="AK692" s="9" t="str">
        <x:v>Eval_Referential_Disambiguation.xlsm</x:v>
      </x:c>
      <x:c r="AL692" s="9" t="str">
        <x:v>pi0.5 Results</x:v>
      </x:c>
      <x:c r="AM692" s="9" t="n">
        <x:v>72</x:v>
      </x:c>
      <x:c r="AN692" s="9" t="n">
        <x:v>72</x:v>
      </x:c>
    </x:row>
    <x:row r="693">
      <x:c r="A693" s="9" t="str">
        <x:v>Failure</x:v>
      </x:c>
      <x:c r="B693" s="9" t="str">
        <x:v>Referential Disambiguation</x:v>
      </x:c>
      <x:c r="C693" s="10" t="n">
        <x:v>71</x:v>
      </x:c>
      <x:c r="D693" s="9" t="str">
        <x:v>Move the airplane toy with propellers into the bowl.</x:v>
      </x:c>
      <x:c r="E693" s="9" t="str">
        <x:v>airplane toy with propellers; airplane toy without propellers; red pencil sharpener; crushed Coke can</x:v>
      </x:c>
      <x:c r="F693" s="9" t="str">
        <x:v>airplane toy with propellers</x:v>
      </x:c>
      <x:c r="G693" s="9" t="str">
        <x:v>succeeded reasoning, but failed grasping</x:v>
      </x:c>
      <x:c r="H693" s="9" t="str">
        <x:v>Matched manipulation control</x:v>
      </x:c>
      <x:c r="I693" s="9" t="str">
        <x:v>RD-CT16</x:v>
      </x:c>
      <x:c r="J693" s="9" t="str">
        <x:v>Exact-scene direct-identity manipulation control</x:v>
      </x:c>
      <x:c r="K693" s="9" t="n">
        <x:v>70</x:v>
      </x:c>
      <x:c r="L693" s="9" t="str">
        <x:v>572</x:v>
      </x:c>
      <x:c r="M693" s="9" t="str">
        <x:v>Exact masked-cell training prompt for the same target identity. The evaluation scene and physical endpoint are identical to the paired transfer row.</x:v>
      </x:c>
      <x:c r="N693" s="9" t="n">
        <x:v>3</x:v>
      </x:c>
      <x:c r="O693" s="9" t="str">
        <x:v>Reset the moved object exactly; preserve the scene; change only the instruction.</x:v>
      </x:c>
      <x:c r="P693" s="9" t="str">
        <x:v>Controls recognition and manipulation of the same target without requiring referential reasoning.</x:v>
      </x:c>
      <x:c r="Q693" s="9"/>
      <x:c r="R693" s="10" t="n">
        <x:v>4</x:v>
      </x:c>
      <x:c r="S693" s="10" t="n">
        <x:v>1</x:v>
      </x:c>
      <x:c r="T693" s="9" t="str">
        <x:v>Empty</x:v>
      </x:c>
      <x:c r="U693" s="9"/>
      <x:c r="V693" s="9"/>
      <x:c r="W693" s="9"/>
      <x:c r="X693" s="10"/>
      <x:c r="Y693" s="10"/>
      <x:c r="Z693" s="9"/>
      <x:c r="AA693" s="9"/>
      <x:c r="AB693" s="9" t="str">
        <x:v>direct name</x:v>
      </x:c>
      <x:c r="AC693" s="9"/>
      <x:c r="AD693" s="9"/>
      <x:c r="AE693" s="9"/>
      <x:c r="AF693" s="9"/>
      <x:c r="AG693" s="9" t="str">
        <x:v>airplane toy</x:v>
      </x:c>
      <x:c r="AH693" s="9"/>
      <x:c r="AI693" s="11"/>
      <x:c r="AJ693" s="9"/>
      <x:c r="AK693" s="9" t="str">
        <x:v>Eval_Referential_Disambiguation.xlsm</x:v>
      </x:c>
      <x:c r="AL693" s="9" t="str">
        <x:v>pi0.5 Results</x:v>
      </x:c>
      <x:c r="AM693" s="9" t="n">
        <x:v>73</x:v>
      </x:c>
      <x:c r="AN693" s="9" t="n">
        <x:v>73</x:v>
      </x:c>
    </x:row>
    <x:row r="694">
      <x:c r="A694" s="9" t="str">
        <x:v>Success</x:v>
      </x:c>
      <x:c r="B694" s="9" t="str">
        <x:v>Referential Disambiguation</x:v>
      </x:c>
      <x:c r="C694" s="10" t="n">
        <x:v>72</x:v>
      </x:c>
      <x:c r="D694" s="9" t="str">
        <x:v>Move the crushed soda can closest to the red pencil sharpener into the bowl.</x:v>
      </x:c>
      <x:c r="E694" s="9" t="str">
        <x:v>crushed Coke can; crushed Pepsi can; red pencil sharpener; yellow pen</x:v>
      </x:c>
      <x:c r="F694" s="9" t="str">
        <x:v>crushed Coke can</x:v>
      </x:c>
      <x:c r="G694" s="9"/>
      <x:c r="H694" s="9" t="str">
        <x:v>Concept/compositional transfer</x:v>
      </x:c>
      <x:c r="I694" s="9" t="str">
        <x:v>RD-CT17</x:v>
      </x:c>
      <x:c r="J694" s="9" t="str">
        <x:v>Primary held-out relation × candidate-category composition — Move</x:v>
      </x:c>
      <x:c r="K694" s="9"/>
      <x:c r="L694" s="9" t="str">
        <x:v>406</x:v>
      </x:c>
      <x:c r="M694" s="9" t="str">
        <x:v>Masked source trajectory: the target identity and physical manipulation are trained under a direct-name prompt, while this relation × candidate-category composition is intentionally absent.</x:v>
      </x:c>
      <x:c r="N694" s="9" t="n">
        <x:v>3</x:v>
      </x:c>
      <x:c r="O694" s="9" t="str">
        <x:v>Place the listed objects. Arrange Expected Target as the unique answer to the prompt; keep the bowl empty and save a reference image.</x:v>
      </x:c>
      <x:c r="P694" s="9" t="str">
        <x:v>Both candidates are present. The held-out relation is the only information that identifies the target.</x:v>
      </x:c>
      <x:c r="Q694" s="9"/>
      <x:c r="R694" s="10" t="n">
        <x:v>4</x:v>
      </x:c>
      <x:c r="S694" s="10" t="n">
        <x:v>1</x:v>
      </x:c>
      <x:c r="T694" s="9" t="str">
        <x:v>Empty</x:v>
      </x:c>
      <x:c r="U694" s="9"/>
      <x:c r="V694" s="9"/>
      <x:c r="W694" s="9"/>
      <x:c r="X694" s="10"/>
      <x:c r="Y694" s="10"/>
      <x:c r="Z694" s="9"/>
      <x:c r="AA694" s="9"/>
      <x:c r="AB694" s="9" t="str">
        <x:v>closest</x:v>
      </x:c>
      <x:c r="AC694" s="9"/>
      <x:c r="AD694" s="9"/>
      <x:c r="AE694" s="9"/>
      <x:c r="AF694" s="9"/>
      <x:c r="AG694" s="9" t="str">
        <x:v>crushed soda can</x:v>
      </x:c>
      <x:c r="AH694" s="9"/>
      <x:c r="AI694" s="11"/>
      <x:c r="AJ694" s="9"/>
      <x:c r="AK694" s="9" t="str">
        <x:v>Eval_Referential_Disambiguation.xlsm</x:v>
      </x:c>
      <x:c r="AL694" s="9" t="str">
        <x:v>pi0.5 Results</x:v>
      </x:c>
      <x:c r="AM694" s="9" t="n">
        <x:v>74</x:v>
      </x:c>
      <x:c r="AN694" s="9" t="n">
        <x:v>74</x:v>
      </x:c>
    </x:row>
    <x:row r="695">
      <x:c r="A695" s="9" t="str">
        <x:v>Success</x:v>
      </x:c>
      <x:c r="B695" s="9" t="str">
        <x:v>Referential Disambiguation</x:v>
      </x:c>
      <x:c r="C695" s="10" t="n">
        <x:v>73</x:v>
      </x:c>
      <x:c r="D695" s="9" t="str">
        <x:v>Put the crushed Coke can in the bowl.</x:v>
      </x:c>
      <x:c r="E695" s="9" t="str">
        <x:v>crushed Coke can; crushed Pepsi can; red pencil sharpener; yellow pen</x:v>
      </x:c>
      <x:c r="F695" s="9" t="str">
        <x:v>crushed Coke can</x:v>
      </x:c>
      <x:c r="G695" s="9"/>
      <x:c r="H695" s="9" t="str">
        <x:v>Matched manipulation control</x:v>
      </x:c>
      <x:c r="I695" s="9" t="str">
        <x:v>RD-CT17</x:v>
      </x:c>
      <x:c r="J695" s="9" t="str">
        <x:v>Exact-scene direct-identity manipulation control</x:v>
      </x:c>
      <x:c r="K695" s="9" t="n">
        <x:v>72</x:v>
      </x:c>
      <x:c r="L695" s="9" t="str">
        <x:v>406</x:v>
      </x:c>
      <x:c r="M695" s="9" t="str">
        <x:v>Exact masked-cell training prompt for the same target identity. The evaluation scene and physical endpoint are identical to the paired transfer row.</x:v>
      </x:c>
      <x:c r="N695" s="9" t="n">
        <x:v>3</x:v>
      </x:c>
      <x:c r="O695" s="9" t="str">
        <x:v>Reset the moved object exactly; preserve the scene; change only the instruction.</x:v>
      </x:c>
      <x:c r="P695" s="9" t="str">
        <x:v>Controls recognition and manipulation of the same target without requiring referential reasoning.</x:v>
      </x:c>
      <x:c r="Q695" s="9"/>
      <x:c r="R695" s="10" t="n">
        <x:v>4</x:v>
      </x:c>
      <x:c r="S695" s="10" t="n">
        <x:v>1</x:v>
      </x:c>
      <x:c r="T695" s="9" t="str">
        <x:v>Empty</x:v>
      </x:c>
      <x:c r="U695" s="9"/>
      <x:c r="V695" s="9"/>
      <x:c r="W695" s="9"/>
      <x:c r="X695" s="10"/>
      <x:c r="Y695" s="10"/>
      <x:c r="Z695" s="9"/>
      <x:c r="AA695" s="9"/>
      <x:c r="AB695" s="9" t="str">
        <x:v>direct name</x:v>
      </x:c>
      <x:c r="AC695" s="9"/>
      <x:c r="AD695" s="9"/>
      <x:c r="AE695" s="9"/>
      <x:c r="AF695" s="9"/>
      <x:c r="AG695" s="9" t="str">
        <x:v>crushed soda can</x:v>
      </x:c>
      <x:c r="AH695" s="9"/>
      <x:c r="AI695" s="11"/>
      <x:c r="AJ695" s="9"/>
      <x:c r="AK695" s="9" t="str">
        <x:v>Eval_Referential_Disambiguation.xlsm</x:v>
      </x:c>
      <x:c r="AL695" s="9" t="str">
        <x:v>pi0.5 Results</x:v>
      </x:c>
      <x:c r="AM695" s="9" t="n">
        <x:v>75</x:v>
      </x:c>
      <x:c r="AN695" s="9" t="n">
        <x:v>75</x:v>
      </x:c>
    </x:row>
    <x:row r="696">
      <x:c r="A696" s="9" t="str">
        <x:v>Failure</x:v>
      </x:c>
      <x:c r="B696" s="9" t="str">
        <x:v>Referential Disambiguation</x:v>
      </x:c>
      <x:c r="C696" s="10" t="n">
        <x:v>74</x:v>
      </x:c>
      <x:c r="D696" s="9" t="str">
        <x:v>Move the pencil sharpener between the crushed Pepsi can and the airplane toy without propellers into the bowl.</x:v>
      </x:c>
      <x:c r="E696" s="9" t="str">
        <x:v>green pencil sharpener; red pencil sharpener; crushed Pepsi can; airplane toy without propellers; airplane toy with propellers</x:v>
      </x:c>
      <x:c r="F696" s="9" t="str">
        <x:v>green pencil sharpener</x:v>
      </x:c>
      <x:c r="G696" s="9" t="str">
        <x:v>picked the red pencil sharpener</x:v>
      </x:c>
      <x:c r="H696" s="9" t="str">
        <x:v>Concept/compositional transfer</x:v>
      </x:c>
      <x:c r="I696" s="9" t="str">
        <x:v>RD-CT18</x:v>
      </x:c>
      <x:c r="J696" s="9" t="str">
        <x:v>Primary held-out relation × candidate-category composition — Move</x:v>
      </x:c>
      <x:c r="K696" s="9"/>
      <x:c r="L696" s="9" t="str">
        <x:v>487</x:v>
      </x:c>
      <x:c r="M696" s="9" t="str">
        <x:v>Masked source trajectory: the target identity and physical manipulation are trained under a direct-name prompt, while this relation × candidate-category composition is intentionally absent.</x:v>
      </x:c>
      <x:c r="N696" s="9" t="n">
        <x:v>3</x:v>
      </x:c>
      <x:c r="O696" s="9" t="str">
        <x:v>Place the listed objects. Arrange Expected Target as the unique answer to the prompt; keep the bowl empty and save a reference image.</x:v>
      </x:c>
      <x:c r="P696" s="9" t="str">
        <x:v>Both candidates are present. The held-out relation is the only information that identifies the target.</x:v>
      </x:c>
      <x:c r="Q696" s="9"/>
      <x:c r="R696" s="10" t="n">
        <x:v>5</x:v>
      </x:c>
      <x:c r="S696" s="10" t="n">
        <x:v>1</x:v>
      </x:c>
      <x:c r="T696" s="9" t="str">
        <x:v>Empty</x:v>
      </x:c>
      <x:c r="U696" s="9"/>
      <x:c r="V696" s="9"/>
      <x:c r="W696" s="9"/>
      <x:c r="X696" s="10"/>
      <x:c r="Y696" s="10"/>
      <x:c r="Z696" s="9"/>
      <x:c r="AA696" s="9"/>
      <x:c r="AB696" s="9" t="str">
        <x:v>between</x:v>
      </x:c>
      <x:c r="AC696" s="9"/>
      <x:c r="AD696" s="9"/>
      <x:c r="AE696" s="9"/>
      <x:c r="AF696" s="9"/>
      <x:c r="AG696" s="9" t="str">
        <x:v>pencil sharpener</x:v>
      </x:c>
      <x:c r="AH696" s="9"/>
      <x:c r="AI696" s="11"/>
      <x:c r="AJ696" s="9"/>
      <x:c r="AK696" s="9" t="str">
        <x:v>Eval_Referential_Disambiguation.xlsm</x:v>
      </x:c>
      <x:c r="AL696" s="9" t="str">
        <x:v>pi0.5 Results</x:v>
      </x:c>
      <x:c r="AM696" s="9" t="n">
        <x:v>76</x:v>
      </x:c>
      <x:c r="AN696" s="9" t="n">
        <x:v>76</x:v>
      </x:c>
    </x:row>
    <x:row r="697">
      <x:c r="A697" s="9" t="str">
        <x:v>Success</x:v>
      </x:c>
      <x:c r="B697" s="9" t="str">
        <x:v>Referential Disambiguation</x:v>
      </x:c>
      <x:c r="C697" s="10" t="n">
        <x:v>75</x:v>
      </x:c>
      <x:c r="D697" s="9" t="str">
        <x:v>Put the green pencil sharpener in the bowl.</x:v>
      </x:c>
      <x:c r="E697" s="9" t="str">
        <x:v>green pencil sharpener; red pencil sharpener; crushed Pepsi can; airplane toy without propellers; airplane toy with propellers</x:v>
      </x:c>
      <x:c r="F697" s="9" t="str">
        <x:v>green pencil sharpener</x:v>
      </x:c>
      <x:c r="G697" s="9"/>
      <x:c r="H697" s="9" t="str">
        <x:v>Matched manipulation control</x:v>
      </x:c>
      <x:c r="I697" s="9" t="str">
        <x:v>RD-CT18</x:v>
      </x:c>
      <x:c r="J697" s="9" t="str">
        <x:v>Exact-scene direct-identity manipulation control</x:v>
      </x:c>
      <x:c r="K697" s="9" t="n">
        <x:v>74</x:v>
      </x:c>
      <x:c r="L697" s="9" t="str">
        <x:v>487</x:v>
      </x:c>
      <x:c r="M697" s="9" t="str">
        <x:v>Exact masked-cell training prompt for the same target identity. The evaluation scene and physical endpoint are identical to the paired transfer row.</x:v>
      </x:c>
      <x:c r="N697" s="9" t="n">
        <x:v>3</x:v>
      </x:c>
      <x:c r="O697" s="9" t="str">
        <x:v>Reset the moved object exactly; preserve the scene; change only the instruction.</x:v>
      </x:c>
      <x:c r="P697" s="9" t="str">
        <x:v>Controls recognition and manipulation of the same target without requiring referential reasoning.</x:v>
      </x:c>
      <x:c r="Q697" s="9"/>
      <x:c r="R697" s="10" t="n">
        <x:v>5</x:v>
      </x:c>
      <x:c r="S697" s="10" t="n">
        <x:v>1</x:v>
      </x:c>
      <x:c r="T697" s="9" t="str">
        <x:v>Empty</x:v>
      </x:c>
      <x:c r="U697" s="9"/>
      <x:c r="V697" s="9"/>
      <x:c r="W697" s="9"/>
      <x:c r="X697" s="10"/>
      <x:c r="Y697" s="10"/>
      <x:c r="Z697" s="9"/>
      <x:c r="AA697" s="9"/>
      <x:c r="AB697" s="9" t="str">
        <x:v>direct name</x:v>
      </x:c>
      <x:c r="AC697" s="9"/>
      <x:c r="AD697" s="9"/>
      <x:c r="AE697" s="9"/>
      <x:c r="AF697" s="9"/>
      <x:c r="AG697" s="9" t="str">
        <x:v>pencil sharpener</x:v>
      </x:c>
      <x:c r="AH697" s="9"/>
      <x:c r="AI697" s="11"/>
      <x:c r="AJ697" s="9"/>
      <x:c r="AK697" s="9" t="str">
        <x:v>Eval_Referential_Disambiguation.xlsm</x:v>
      </x:c>
      <x:c r="AL697" s="9" t="str">
        <x:v>pi0.5 Results</x:v>
      </x:c>
      <x:c r="AM697" s="9" t="n">
        <x:v>77</x:v>
      </x:c>
      <x:c r="AN697" s="9" t="n">
        <x:v>77</x:v>
      </x:c>
    </x:row>
    <x:row r="698">
      <x:c r="A698" s="9" t="str">
        <x:v>Failure</x:v>
      </x:c>
      <x:c r="B698" s="9" t="str">
        <x:v>Referential Disambiguation</x:v>
      </x:c>
      <x:c r="C698" s="10" t="n">
        <x:v>76</x:v>
      </x:c>
      <x:c r="D698" s="9" t="str">
        <x:v>Pick up the airplane toy furthest from the green pen and place it in the bowl.</x:v>
      </x:c>
      <x:c r="E698" s="9" t="str">
        <x:v>airplane toy with propellers; airplane toy without propellers; green pen</x:v>
      </x:c>
      <x:c r="F698" s="9" t="str">
        <x:v>airplane toy without propellers</x:v>
      </x:c>
      <x:c r="G698" s="9" t="str">
        <x:v>picked closest</x:v>
      </x:c>
      <x:c r="H698" s="9" t="str">
        <x:v>Concept/compositional transfer</x:v>
      </x:c>
      <x:c r="I698" s="9" t="str">
        <x:v>RD-CT19</x:v>
      </x:c>
      <x:c r="J698" s="9" t="str">
        <x:v>Primary held-out relation × candidate-category composition — Pick up</x:v>
      </x:c>
      <x:c r="K698" s="9"/>
      <x:c r="L698" s="9" t="str">
        <x:v>569</x:v>
      </x:c>
      <x:c r="M698" s="9" t="str">
        <x:v>Masked source trajectory: the target identity and physical manipulation are trained under a direct-name prompt, while this relation × candidate-category composition is intentionally absent.</x:v>
      </x:c>
      <x:c r="N698" s="9" t="n">
        <x:v>3</x:v>
      </x:c>
      <x:c r="O698" s="9" t="str">
        <x:v>Place the listed objects. Arrange Expected Target as the unique answer to the prompt; keep the bowl empty and save a reference image.</x:v>
      </x:c>
      <x:c r="P698" s="9" t="str">
        <x:v>Both candidates are present. The held-out relation is the only information that identifies the target.</x:v>
      </x:c>
      <x:c r="Q698" s="9"/>
      <x:c r="R698" s="10" t="n">
        <x:v>3</x:v>
      </x:c>
      <x:c r="S698" s="10" t="n">
        <x:v>1</x:v>
      </x:c>
      <x:c r="T698" s="9" t="str">
        <x:v>Empty</x:v>
      </x:c>
      <x:c r="U698" s="9"/>
      <x:c r="V698" s="9"/>
      <x:c r="W698" s="9"/>
      <x:c r="X698" s="10"/>
      <x:c r="Y698" s="10"/>
      <x:c r="Z698" s="9"/>
      <x:c r="AA698" s="9"/>
      <x:c r="AB698" s="9" t="str">
        <x:v>furthest</x:v>
      </x:c>
      <x:c r="AC698" s="9"/>
      <x:c r="AD698" s="9"/>
      <x:c r="AE698" s="9"/>
      <x:c r="AF698" s="9"/>
      <x:c r="AG698" s="9" t="str">
        <x:v>airplane toy</x:v>
      </x:c>
      <x:c r="AH698" s="9"/>
      <x:c r="AI698" s="11"/>
      <x:c r="AJ698" s="9"/>
      <x:c r="AK698" s="9" t="str">
        <x:v>Eval_Referential_Disambiguation.xlsm</x:v>
      </x:c>
      <x:c r="AL698" s="9" t="str">
        <x:v>pi0.5 Results</x:v>
      </x:c>
      <x:c r="AM698" s="9" t="n">
        <x:v>78</x:v>
      </x:c>
      <x:c r="AN698" s="9" t="n">
        <x:v>78</x:v>
      </x:c>
    </x:row>
    <x:row r="699">
      <x:c r="A699" s="9" t="str">
        <x:v>Success</x:v>
      </x:c>
      <x:c r="B699" s="9" t="str">
        <x:v>Referential Disambiguation</x:v>
      </x:c>
      <x:c r="C699" s="10" t="n">
        <x:v>77</x:v>
      </x:c>
      <x:c r="D699" s="9" t="str">
        <x:v>Put the airplane toy without propellers in the bowl.</x:v>
      </x:c>
      <x:c r="E699" s="9" t="str">
        <x:v>airplane toy with propellers; airplane toy without propellers; green pen</x:v>
      </x:c>
      <x:c r="F699" s="9" t="str">
        <x:v>airplane toy without propellers</x:v>
      </x:c>
      <x:c r="G699" s="9"/>
      <x:c r="H699" s="9" t="str">
        <x:v>Matched manipulation control</x:v>
      </x:c>
      <x:c r="I699" s="9" t="str">
        <x:v>RD-CT19</x:v>
      </x:c>
      <x:c r="J699" s="9" t="str">
        <x:v>Exact-scene direct-identity manipulation control</x:v>
      </x:c>
      <x:c r="K699" s="9" t="n">
        <x:v>76</x:v>
      </x:c>
      <x:c r="L699" s="9" t="str">
        <x:v>569</x:v>
      </x:c>
      <x:c r="M699" s="9" t="str">
        <x:v>Exact masked-cell training prompt for the same target identity. The evaluation scene and physical endpoint are identical to the paired transfer row.</x:v>
      </x:c>
      <x:c r="N699" s="9" t="n">
        <x:v>3</x:v>
      </x:c>
      <x:c r="O699" s="9" t="str">
        <x:v>Reset the moved object exactly; preserve the scene; change only the instruction.</x:v>
      </x:c>
      <x:c r="P699" s="9" t="str">
        <x:v>Controls recognition and manipulation of the same target without requiring referential reasoning.</x:v>
      </x:c>
      <x:c r="Q699" s="9"/>
      <x:c r="R699" s="10" t="n">
        <x:v>3</x:v>
      </x:c>
      <x:c r="S699" s="10" t="n">
        <x:v>1</x:v>
      </x:c>
      <x:c r="T699" s="9" t="str">
        <x:v>Empty</x:v>
      </x:c>
      <x:c r="U699" s="9"/>
      <x:c r="V699" s="9"/>
      <x:c r="W699" s="9"/>
      <x:c r="X699" s="10"/>
      <x:c r="Y699" s="10"/>
      <x:c r="Z699" s="9"/>
      <x:c r="AA699" s="9"/>
      <x:c r="AB699" s="9" t="str">
        <x:v>direct name</x:v>
      </x:c>
      <x:c r="AC699" s="9"/>
      <x:c r="AD699" s="9"/>
      <x:c r="AE699" s="9"/>
      <x:c r="AF699" s="9"/>
      <x:c r="AG699" s="9" t="str">
        <x:v>airplane toy</x:v>
      </x:c>
      <x:c r="AH699" s="9"/>
      <x:c r="AI699" s="11"/>
      <x:c r="AJ699" s="9"/>
      <x:c r="AK699" s="9" t="str">
        <x:v>Eval_Referential_Disambiguation.xlsm</x:v>
      </x:c>
      <x:c r="AL699" s="9" t="str">
        <x:v>pi0.5 Results</x:v>
      </x:c>
      <x:c r="AM699" s="9" t="n">
        <x:v>79</x:v>
      </x:c>
      <x:c r="AN699" s="9" t="n">
        <x:v>79</x:v>
      </x:c>
    </x:row>
    <x:row r="700">
      <x:c r="A700" s="9" t="str">
        <x:v>Success</x:v>
      </x:c>
      <x:c r="B700" s="9" t="str">
        <x:v>Referential Disambiguation</x:v>
      </x:c>
      <x:c r="C700" s="10" t="n">
        <x:v>78</x:v>
      </x:c>
      <x:c r="D700" s="9" t="str">
        <x:v>Pick up the crushed soda can closest to the green pen and place it in the bowl.</x:v>
      </x:c>
      <x:c r="E700" s="9" t="str">
        <x:v>crushed Coke can; crushed Pepsi can; green pen</x:v>
      </x:c>
      <x:c r="F700" s="9" t="str">
        <x:v>crushed Pepsi can</x:v>
      </x:c>
      <x:c r="G700" s="9"/>
      <x:c r="H700" s="9" t="str">
        <x:v>Concept/compositional transfer</x:v>
      </x:c>
      <x:c r="I700" s="9" t="str">
        <x:v>RD-CT20</x:v>
      </x:c>
      <x:c r="J700" s="9" t="str">
        <x:v>Primary held-out relation × candidate-category composition — Pick up</x:v>
      </x:c>
      <x:c r="K700" s="9"/>
      <x:c r="L700" s="9" t="str">
        <x:v>405</x:v>
      </x:c>
      <x:c r="M700" s="9" t="str">
        <x:v>Masked source trajectory: the target identity and physical manipulation are trained under a direct-name prompt, while this relation × candidate-category composition is intentionally absent.</x:v>
      </x:c>
      <x:c r="N700" s="9" t="n">
        <x:v>3</x:v>
      </x:c>
      <x:c r="O700" s="9" t="str">
        <x:v>Place the listed objects. Arrange Expected Target as the unique answer to the prompt; keep the bowl empty and save a reference image.</x:v>
      </x:c>
      <x:c r="P700" s="9" t="str">
        <x:v>Both candidates are present. The held-out relation is the only information that identifies the target.</x:v>
      </x:c>
      <x:c r="Q700" s="9"/>
      <x:c r="R700" s="10" t="n">
        <x:v>3</x:v>
      </x:c>
      <x:c r="S700" s="10" t="n">
        <x:v>1</x:v>
      </x:c>
      <x:c r="T700" s="9" t="str">
        <x:v>Empty</x:v>
      </x:c>
      <x:c r="U700" s="9"/>
      <x:c r="V700" s="9"/>
      <x:c r="W700" s="9"/>
      <x:c r="X700" s="10"/>
      <x:c r="Y700" s="10"/>
      <x:c r="Z700" s="9"/>
      <x:c r="AA700" s="9"/>
      <x:c r="AB700" s="9" t="str">
        <x:v>closest</x:v>
      </x:c>
      <x:c r="AC700" s="9"/>
      <x:c r="AD700" s="9"/>
      <x:c r="AE700" s="9"/>
      <x:c r="AF700" s="9"/>
      <x:c r="AG700" s="9" t="str">
        <x:v>crushed soda can</x:v>
      </x:c>
      <x:c r="AH700" s="9"/>
      <x:c r="AI700" s="11"/>
      <x:c r="AJ700" s="9"/>
      <x:c r="AK700" s="9" t="str">
        <x:v>Eval_Referential_Disambiguation.xlsm</x:v>
      </x:c>
      <x:c r="AL700" s="9" t="str">
        <x:v>pi0.5 Results</x:v>
      </x:c>
      <x:c r="AM700" s="9" t="n">
        <x:v>80</x:v>
      </x:c>
      <x:c r="AN700" s="9" t="n">
        <x:v>80</x:v>
      </x:c>
    </x:row>
    <x:row r="701">
      <x:c r="A701" s="9" t="str">
        <x:v>Success</x:v>
      </x:c>
      <x:c r="B701" s="9" t="str">
        <x:v>Referential Disambiguation</x:v>
      </x:c>
      <x:c r="C701" s="10" t="n">
        <x:v>79</x:v>
      </x:c>
      <x:c r="D701" s="9" t="str">
        <x:v>Move the crushed Pepsi can into the bowl.</x:v>
      </x:c>
      <x:c r="E701" s="9" t="str">
        <x:v>crushed Coke can; crushed Pepsi can; green pen</x:v>
      </x:c>
      <x:c r="F701" s="9" t="str">
        <x:v>crushed Pepsi can</x:v>
      </x:c>
      <x:c r="G701" s="9"/>
      <x:c r="H701" s="9" t="str">
        <x:v>Matched manipulation control</x:v>
      </x:c>
      <x:c r="I701" s="9" t="str">
        <x:v>RD-CT20</x:v>
      </x:c>
      <x:c r="J701" s="9" t="str">
        <x:v>Exact-scene direct-identity manipulation control</x:v>
      </x:c>
      <x:c r="K701" s="9" t="n">
        <x:v>78</x:v>
      </x:c>
      <x:c r="L701" s="9" t="str">
        <x:v>405</x:v>
      </x:c>
      <x:c r="M701" s="9" t="str">
        <x:v>Exact masked-cell training prompt for the same target identity. The evaluation scene and physical endpoint are identical to the paired transfer row.</x:v>
      </x:c>
      <x:c r="N701" s="9" t="n">
        <x:v>3</x:v>
      </x:c>
      <x:c r="O701" s="9" t="str">
        <x:v>Reset the moved object exactly; preserve the scene; change only the instruction.</x:v>
      </x:c>
      <x:c r="P701" s="9" t="str">
        <x:v>Controls recognition and manipulation of the same target without requiring referential reasoning.</x:v>
      </x:c>
      <x:c r="Q701" s="9"/>
      <x:c r="R701" s="10" t="n">
        <x:v>3</x:v>
      </x:c>
      <x:c r="S701" s="10" t="n">
        <x:v>1</x:v>
      </x:c>
      <x:c r="T701" s="9" t="str">
        <x:v>Empty</x:v>
      </x:c>
      <x:c r="U701" s="9"/>
      <x:c r="V701" s="9"/>
      <x:c r="W701" s="9"/>
      <x:c r="X701" s="10"/>
      <x:c r="Y701" s="10"/>
      <x:c r="Z701" s="9"/>
      <x:c r="AA701" s="9"/>
      <x:c r="AB701" s="9" t="str">
        <x:v>direct name</x:v>
      </x:c>
      <x:c r="AC701" s="9"/>
      <x:c r="AD701" s="9"/>
      <x:c r="AE701" s="9"/>
      <x:c r="AF701" s="9"/>
      <x:c r="AG701" s="9" t="str">
        <x:v>crushed soda can</x:v>
      </x:c>
      <x:c r="AH701" s="9"/>
      <x:c r="AI701" s="11"/>
      <x:c r="AJ701" s="9"/>
      <x:c r="AK701" s="9" t="str">
        <x:v>Eval_Referential_Disambiguation.xlsm</x:v>
      </x:c>
      <x:c r="AL701" s="9" t="str">
        <x:v>pi0.5 Results</x:v>
      </x:c>
      <x:c r="AM701" s="9" t="n">
        <x:v>81</x:v>
      </x:c>
      <x:c r="AN701" s="9" t="n">
        <x:v>81</x:v>
      </x:c>
    </x:row>
    <x:row r="702">
      <x:c r="A702" s="9" t="str">
        <x:v>Success</x:v>
      </x:c>
      <x:c r="B702" s="9" t="str">
        <x:v>Referential Disambiguation</x:v>
      </x:c>
      <x:c r="C702" s="10" t="n">
        <x:v>80</x:v>
      </x:c>
      <x:c r="D702" s="9" t="str">
        <x:v>Pick up the pencil sharpener between the green pen and the crushed Coke can and place it in the bowl.</x:v>
      </x:c>
      <x:c r="E702" s="9" t="str">
        <x:v>green pencil sharpener; red pencil sharpener; green pen; crushed Coke can</x:v>
      </x:c>
      <x:c r="F702" s="9" t="str">
        <x:v>red pencil sharpener</x:v>
      </x:c>
      <x:c r="G702" s="9"/>
      <x:c r="H702" s="9" t="str">
        <x:v>Concept/compositional transfer</x:v>
      </x:c>
      <x:c r="I702" s="9" t="str">
        <x:v>RD-CT21</x:v>
      </x:c>
      <x:c r="J702" s="9" t="str">
        <x:v>Primary held-out relation × candidate-category composition — Pick up</x:v>
      </x:c>
      <x:c r="K702" s="9"/>
      <x:c r="L702" s="9" t="str">
        <x:v>484</x:v>
      </x:c>
      <x:c r="M702" s="9" t="str">
        <x:v>Masked source trajectory: the target identity and physical manipulation are trained under a direct-name prompt, while this relation × candidate-category composition is intentionally absent.</x:v>
      </x:c>
      <x:c r="N702" s="9" t="n">
        <x:v>4</x:v>
      </x:c>
      <x:c r="O702" s="9" t="str">
        <x:v>Place the listed objects. Arrange Expected Target as the unique answer to the prompt; keep the bowl empty and save a reference image.</x:v>
      </x:c>
      <x:c r="P702" s="9" t="str">
        <x:v>Both candidates are present. The held-out relation is the only information that identifies the target.</x:v>
      </x:c>
      <x:c r="Q702" s="9"/>
      <x:c r="R702" s="10" t="n">
        <x:v>4</x:v>
      </x:c>
      <x:c r="S702" s="10" t="n">
        <x:v>1</x:v>
      </x:c>
      <x:c r="T702" s="9" t="str">
        <x:v>Empty</x:v>
      </x:c>
      <x:c r="U702" s="9"/>
      <x:c r="V702" s="9"/>
      <x:c r="W702" s="9"/>
      <x:c r="X702" s="10"/>
      <x:c r="Y702" s="10"/>
      <x:c r="Z702" s="9"/>
      <x:c r="AA702" s="9"/>
      <x:c r="AB702" s="9" t="str">
        <x:v>between</x:v>
      </x:c>
      <x:c r="AC702" s="9"/>
      <x:c r="AD702" s="9"/>
      <x:c r="AE702" s="9"/>
      <x:c r="AF702" s="9"/>
      <x:c r="AG702" s="9" t="str">
        <x:v>pencil sharpener</x:v>
      </x:c>
      <x:c r="AH702" s="9"/>
      <x:c r="AI702" s="11"/>
      <x:c r="AJ702" s="9"/>
      <x:c r="AK702" s="9" t="str">
        <x:v>Eval_Referential_Disambiguation.xlsm</x:v>
      </x:c>
      <x:c r="AL702" s="9" t="str">
        <x:v>pi0.5 Results</x:v>
      </x:c>
      <x:c r="AM702" s="9" t="n">
        <x:v>82</x:v>
      </x:c>
      <x:c r="AN702" s="9" t="n">
        <x:v>82</x:v>
      </x:c>
    </x:row>
    <x:row r="703">
      <x:c r="A703" s="9" t="str">
        <x:v>Failure</x:v>
      </x:c>
      <x:c r="B703" s="9" t="str">
        <x:v>Referential Disambiguation</x:v>
      </x:c>
      <x:c r="C703" s="10" t="n">
        <x:v>81</x:v>
      </x:c>
      <x:c r="D703" s="9" t="str">
        <x:v>Put the airplane toy furthest from the crushed Coke can in the bowl.</x:v>
      </x:c>
      <x:c r="E703" s="9" t="str">
        <x:v>airplane toy with propellers; airplane toy without propellers; crushed Coke can; green pencil sharpener</x:v>
      </x:c>
      <x:c r="F703" s="9" t="str">
        <x:v>airplane toy without propellers</x:v>
      </x:c>
      <x:c r="G703" s="9" t="str">
        <x:v>picked closest</x:v>
      </x:c>
      <x:c r="H703" s="9" t="str">
        <x:v>Concept/compositional transfer</x:v>
      </x:c>
      <x:c r="I703" s="9" t="str">
        <x:v>RD-CT22</x:v>
      </x:c>
      <x:c r="J703" s="9" t="str">
        <x:v>Primary held-out relation × candidate-category composition — Put</x:v>
      </x:c>
      <x:c r="K703" s="9"/>
      <x:c r="L703" s="9" t="str">
        <x:v>571</x:v>
      </x:c>
      <x:c r="M703" s="9" t="str">
        <x:v>Masked source trajectory: the target identity and physical manipulation are trained under a direct-name prompt, while this relation × candidate-category composition is intentionally absent.</x:v>
      </x:c>
      <x:c r="N703" s="9" t="n">
        <x:v>4</x:v>
      </x:c>
      <x:c r="O703" s="9" t="str">
        <x:v>Place the listed objects. Arrange Expected Target as the unique answer to the prompt; keep the bowl empty and save a reference image.</x:v>
      </x:c>
      <x:c r="P703" s="9" t="str">
        <x:v>Both candidates are present. The held-out relation is the only information that identifies the target.</x:v>
      </x:c>
      <x:c r="Q703" s="9"/>
      <x:c r="R703" s="10" t="n">
        <x:v>4</x:v>
      </x:c>
      <x:c r="S703" s="10" t="n">
        <x:v>1</x:v>
      </x:c>
      <x:c r="T703" s="9" t="str">
        <x:v>Empty</x:v>
      </x:c>
      <x:c r="U703" s="9"/>
      <x:c r="V703" s="9"/>
      <x:c r="W703" s="9"/>
      <x:c r="X703" s="10"/>
      <x:c r="Y703" s="10"/>
      <x:c r="Z703" s="9"/>
      <x:c r="AA703" s="9"/>
      <x:c r="AB703" s="9" t="str">
        <x:v>furthest</x:v>
      </x:c>
      <x:c r="AC703" s="9"/>
      <x:c r="AD703" s="9"/>
      <x:c r="AE703" s="9"/>
      <x:c r="AF703" s="9"/>
      <x:c r="AG703" s="9" t="str">
        <x:v>airplane toy</x:v>
      </x:c>
      <x:c r="AH703" s="9"/>
      <x:c r="AI703" s="11"/>
      <x:c r="AJ703" s="9"/>
      <x:c r="AK703" s="9" t="str">
        <x:v>Eval_Referential_Disambiguation.xlsm</x:v>
      </x:c>
      <x:c r="AL703" s="9" t="str">
        <x:v>pi0.5 Results</x:v>
      </x:c>
      <x:c r="AM703" s="9" t="n">
        <x:v>83</x:v>
      </x:c>
      <x:c r="AN703" s="9" t="n">
        <x:v>83</x:v>
      </x:c>
    </x:row>
    <x:row r="704">
      <x:c r="A704" s="9" t="str">
        <x:v>Failure</x:v>
      </x:c>
      <x:c r="B704" s="9" t="str">
        <x:v>Referential Disambiguation</x:v>
      </x:c>
      <x:c r="C704" s="10" t="n">
        <x:v>82</x:v>
      </x:c>
      <x:c r="D704" s="9" t="str">
        <x:v>Put the crushed soda can closest to the airplane toy with propellers in the bowl.</x:v>
      </x:c>
      <x:c r="E704" s="9" t="str">
        <x:v>crushed Coke can; crushed Pepsi can; airplane toy with propellers; yellow pen</x:v>
      </x:c>
      <x:c r="F704" s="9" t="str">
        <x:v>crushed Pepsi can</x:v>
      </x:c>
      <x:c r="G704" s="9" t="str">
        <x:v>picked the coke can; furthest</x:v>
      </x:c>
      <x:c r="H704" s="9" t="str">
        <x:v>Concept/compositional transfer</x:v>
      </x:c>
      <x:c r="I704" s="9" t="str">
        <x:v>RD-CT23</x:v>
      </x:c>
      <x:c r="J704" s="9" t="str">
        <x:v>Primary held-out relation × candidate-category composition — Put</x:v>
      </x:c>
      <x:c r="K704" s="9"/>
      <x:c r="L704" s="9" t="str">
        <x:v>407</x:v>
      </x:c>
      <x:c r="M704" s="9" t="str">
        <x:v>Masked source trajectory: the target identity and physical manipulation are trained under a direct-name prompt, while this relation × candidate-category composition is intentionally absent.</x:v>
      </x:c>
      <x:c r="N704" s="9" t="n">
        <x:v>4</x:v>
      </x:c>
      <x:c r="O704" s="9" t="str">
        <x:v>Place the listed objects. Arrange Expected Target as the unique answer to the prompt; keep the bowl empty and save a reference image.</x:v>
      </x:c>
      <x:c r="P704" s="9" t="str">
        <x:v>Both candidates are present. The held-out relation is the only information that identifies the target.</x:v>
      </x:c>
      <x:c r="Q704" s="9"/>
      <x:c r="R704" s="10" t="n">
        <x:v>4</x:v>
      </x:c>
      <x:c r="S704" s="10" t="n">
        <x:v>1</x:v>
      </x:c>
      <x:c r="T704" s="9" t="str">
        <x:v>Empty</x:v>
      </x:c>
      <x:c r="U704" s="9"/>
      <x:c r="V704" s="9"/>
      <x:c r="W704" s="9"/>
      <x:c r="X704" s="10"/>
      <x:c r="Y704" s="10"/>
      <x:c r="Z704" s="9"/>
      <x:c r="AA704" s="9"/>
      <x:c r="AB704" s="9" t="str">
        <x:v>closest</x:v>
      </x:c>
      <x:c r="AC704" s="9"/>
      <x:c r="AD704" s="9"/>
      <x:c r="AE704" s="9"/>
      <x:c r="AF704" s="9"/>
      <x:c r="AG704" s="9" t="str">
        <x:v>crushed soda can</x:v>
      </x:c>
      <x:c r="AH704" s="9"/>
      <x:c r="AI704" s="11"/>
      <x:c r="AJ704" s="9"/>
      <x:c r="AK704" s="9" t="str">
        <x:v>Eval_Referential_Disambiguation.xlsm</x:v>
      </x:c>
      <x:c r="AL704" s="9" t="str">
        <x:v>pi0.5 Results</x:v>
      </x:c>
      <x:c r="AM704" s="9" t="n">
        <x:v>84</x:v>
      </x:c>
      <x:c r="AN704" s="9" t="n">
        <x:v>84</x:v>
      </x:c>
    </x:row>
    <x:row r="705">
      <x:c r="A705" s="9" t="str">
        <x:v>Success</x:v>
      </x:c>
      <x:c r="B705" s="9" t="str">
        <x:v>Referential Disambiguation</x:v>
      </x:c>
      <x:c r="C705" s="10" t="n">
        <x:v>83</x:v>
      </x:c>
      <x:c r="D705" s="9" t="str">
        <x:v>Put the pencil sharpener between the airplane toy with propellers and the yellow pen in the bowl.</x:v>
      </x:c>
      <x:c r="E705" s="9" t="str">
        <x:v>green pencil sharpener; red pencil sharpener; airplane toy with propellers; yellow pen; crushed Pepsi can</x:v>
      </x:c>
      <x:c r="F705" s="9" t="str">
        <x:v>red pencil sharpener</x:v>
      </x:c>
      <x:c r="G705" s="9" t="str">
        <x:v>failed reasoning; first went for the yellow pen and picked it, but dropped it. Then during recovery got the red pencil sharpener.</x:v>
      </x:c>
      <x:c r="H705" s="9" t="str">
        <x:v>Concept/compositional transfer</x:v>
      </x:c>
      <x:c r="I705" s="9" t="str">
        <x:v>RD-CT24</x:v>
      </x:c>
      <x:c r="J705" s="9" t="str">
        <x:v>Primary held-out relation × candidate-category composition — Put</x:v>
      </x:c>
      <x:c r="K705" s="9"/>
      <x:c r="L705" s="9" t="str">
        <x:v>486</x:v>
      </x:c>
      <x:c r="M705" s="9" t="str">
        <x:v>Masked source trajectory: the target identity and physical manipulation are trained under a direct-name prompt, while this relation × candidate-category composition is intentionally absent.</x:v>
      </x:c>
      <x:c r="N705" s="9" t="n">
        <x:v>4</x:v>
      </x:c>
      <x:c r="O705" s="9" t="str">
        <x:v>Place the listed objects. Arrange Expected Target as the unique answer to the prompt; keep the bowl empty and save a reference image.</x:v>
      </x:c>
      <x:c r="P705" s="9" t="str">
        <x:v>Both candidates are present. The held-out relation is the only information that identifies the target.</x:v>
      </x:c>
      <x:c r="Q705" s="9"/>
      <x:c r="R705" s="10" t="n">
        <x:v>5</x:v>
      </x:c>
      <x:c r="S705" s="10" t="n">
        <x:v>1</x:v>
      </x:c>
      <x:c r="T705" s="9" t="str">
        <x:v>Empty</x:v>
      </x:c>
      <x:c r="U705" s="9"/>
      <x:c r="V705" s="9"/>
      <x:c r="W705" s="9"/>
      <x:c r="X705" s="10"/>
      <x:c r="Y705" s="10"/>
      <x:c r="Z705" s="9"/>
      <x:c r="AA705" s="9"/>
      <x:c r="AB705" s="9" t="str">
        <x:v>between</x:v>
      </x:c>
      <x:c r="AC705" s="9"/>
      <x:c r="AD705" s="9"/>
      <x:c r="AE705" s="9"/>
      <x:c r="AF705" s="9"/>
      <x:c r="AG705" s="9" t="str">
        <x:v>pencil sharpener</x:v>
      </x:c>
      <x:c r="AH705" s="9"/>
      <x:c r="AI705" s="11"/>
      <x:c r="AJ705" s="9"/>
      <x:c r="AK705" s="9" t="str">
        <x:v>Eval_Referential_Disambiguation.xlsm</x:v>
      </x:c>
      <x:c r="AL705" s="9" t="str">
        <x:v>pi0.5 Results</x:v>
      </x:c>
      <x:c r="AM705" s="9" t="n">
        <x:v>85</x:v>
      </x:c>
      <x:c r="AN705" s="9" t="n">
        <x:v>85</x:v>
      </x:c>
    </x:row>
    <x:row r="706">
      <x:c r="A706" s="9" t="str">
        <x:v>Success</x:v>
      </x:c>
      <x:c r="B706" s="9" t="str">
        <x:v>Referential Disambiguation</x:v>
      </x:c>
      <x:c r="C706" s="10" t="n">
        <x:v>84</x:v>
      </x:c>
      <x:c r="D706" s="9" t="str">
        <x:v>Move the airplane toy furthest from the green pencil sharpener into the bowl.</x:v>
      </x:c>
      <x:c r="E706" s="9" t="str">
        <x:v>airplane toy with propellers; airplane toy without propellers; green pencil sharpener</x:v>
      </x:c>
      <x:c r="F706" s="9" t="str">
        <x:v>airplane toy with propellers</x:v>
      </x:c>
      <x:c r="G706" s="9"/>
      <x:c r="H706" s="9" t="str">
        <x:v>Concept/compositional transfer</x:v>
      </x:c>
      <x:c r="I706" s="9" t="str">
        <x:v>RD-CT25</x:v>
      </x:c>
      <x:c r="J706" s="9" t="str">
        <x:v>Primary held-out relation × candidate-category composition — Move</x:v>
      </x:c>
      <x:c r="K706" s="9"/>
      <x:c r="L706" s="9" t="str">
        <x:v>574</x:v>
      </x:c>
      <x:c r="M706" s="9" t="str">
        <x:v>Masked source trajectory: the target identity and physical manipulation are trained under a direct-name prompt, while this relation × candidate-category composition is intentionally absent.</x:v>
      </x:c>
      <x:c r="N706" s="9" t="n">
        <x:v>4</x:v>
      </x:c>
      <x:c r="O706" s="9" t="str">
        <x:v>Place the listed objects. Arrange Expected Target as the unique answer to the prompt; keep the bowl empty and save a reference image.</x:v>
      </x:c>
      <x:c r="P706" s="9" t="str">
        <x:v>Both candidates are present. The held-out relation is the only information that identifies the target.</x:v>
      </x:c>
      <x:c r="Q706" s="9"/>
      <x:c r="R706" s="10" t="n">
        <x:v>3</x:v>
      </x:c>
      <x:c r="S706" s="10" t="n">
        <x:v>1</x:v>
      </x:c>
      <x:c r="T706" s="9" t="str">
        <x:v>Empty</x:v>
      </x:c>
      <x:c r="U706" s="9"/>
      <x:c r="V706" s="9"/>
      <x:c r="W706" s="9"/>
      <x:c r="X706" s="10"/>
      <x:c r="Y706" s="10"/>
      <x:c r="Z706" s="9"/>
      <x:c r="AA706" s="9"/>
      <x:c r="AB706" s="9" t="str">
        <x:v>furthest</x:v>
      </x:c>
      <x:c r="AC706" s="9"/>
      <x:c r="AD706" s="9"/>
      <x:c r="AE706" s="9"/>
      <x:c r="AF706" s="9"/>
      <x:c r="AG706" s="9" t="str">
        <x:v>airplane toy</x:v>
      </x:c>
      <x:c r="AH706" s="9"/>
      <x:c r="AI706" s="11"/>
      <x:c r="AJ706" s="9"/>
      <x:c r="AK706" s="9" t="str">
        <x:v>Eval_Referential_Disambiguation.xlsm</x:v>
      </x:c>
      <x:c r="AL706" s="9" t="str">
        <x:v>pi0.5 Results</x:v>
      </x:c>
      <x:c r="AM706" s="9" t="n">
        <x:v>86</x:v>
      </x:c>
      <x:c r="AN706" s="9" t="n">
        <x:v>86</x:v>
      </x:c>
    </x:row>
    <x:row r="707">
      <x:c r="A707" s="9" t="str">
        <x:v>Failure</x:v>
      </x:c>
      <x:c r="B707" s="9" t="str">
        <x:v>Referential Disambiguation</x:v>
      </x:c>
      <x:c r="C707" s="10" t="n">
        <x:v>85</x:v>
      </x:c>
      <x:c r="D707" s="9" t="str">
        <x:v>Move the crushed soda can closest to the green pencil sharpener into the bowl.</x:v>
      </x:c>
      <x:c r="E707" s="9" t="str">
        <x:v>crushed Coke can; crushed Pepsi can; green pencil sharpener</x:v>
      </x:c>
      <x:c r="F707" s="9" t="str">
        <x:v>crushed Coke can</x:v>
      </x:c>
      <x:c r="G707" s="9" t="str">
        <x:v>picked pepsi can</x:v>
      </x:c>
      <x:c r="H707" s="9" t="str">
        <x:v>Concept/compositional transfer</x:v>
      </x:c>
      <x:c r="I707" s="9" t="str">
        <x:v>RD-CT26</x:v>
      </x:c>
      <x:c r="J707" s="9" t="str">
        <x:v>Primary held-out relation × candidate-category composition — Move</x:v>
      </x:c>
      <x:c r="K707" s="9"/>
      <x:c r="L707" s="9" t="str">
        <x:v>408</x:v>
      </x:c>
      <x:c r="M707" s="9" t="str">
        <x:v>Masked source trajectory: the target identity and physical manipulation are trained under a direct-name prompt, while this relation × candidate-category composition is intentionally absent.</x:v>
      </x:c>
      <x:c r="N707" s="9" t="n">
        <x:v>4</x:v>
      </x:c>
      <x:c r="O707" s="9" t="str">
        <x:v>Place the listed objects. Arrange Expected Target as the unique answer to the prompt; keep the bowl empty and save a reference image.</x:v>
      </x:c>
      <x:c r="P707" s="9" t="str">
        <x:v>Both candidates are present. The held-out relation is the only information that identifies the target.</x:v>
      </x:c>
      <x:c r="Q707" s="9"/>
      <x:c r="R707" s="10" t="n">
        <x:v>3</x:v>
      </x:c>
      <x:c r="S707" s="10" t="n">
        <x:v>1</x:v>
      </x:c>
      <x:c r="T707" s="9" t="str">
        <x:v>Empty</x:v>
      </x:c>
      <x:c r="U707" s="9"/>
      <x:c r="V707" s="9"/>
      <x:c r="W707" s="9"/>
      <x:c r="X707" s="10"/>
      <x:c r="Y707" s="10"/>
      <x:c r="Z707" s="9"/>
      <x:c r="AA707" s="9"/>
      <x:c r="AB707" s="9" t="str">
        <x:v>closest</x:v>
      </x:c>
      <x:c r="AC707" s="9"/>
      <x:c r="AD707" s="9"/>
      <x:c r="AE707" s="9"/>
      <x:c r="AF707" s="9"/>
      <x:c r="AG707" s="9" t="str">
        <x:v>crushed soda can</x:v>
      </x:c>
      <x:c r="AH707" s="9"/>
      <x:c r="AI707" s="11"/>
      <x:c r="AJ707" s="9"/>
      <x:c r="AK707" s="9" t="str">
        <x:v>Eval_Referential_Disambiguation.xlsm</x:v>
      </x:c>
      <x:c r="AL707" s="9" t="str">
        <x:v>pi0.5 Results</x:v>
      </x:c>
      <x:c r="AM707" s="9" t="n">
        <x:v>87</x:v>
      </x:c>
      <x:c r="AN707" s="9" t="n">
        <x:v>87</x:v>
      </x:c>
    </x:row>
    <x:row r="708">
      <x:c r="A708" s="9" t="str">
        <x:v>Failure</x:v>
      </x:c>
      <x:c r="B708" s="9" t="str">
        <x:v>Referential Disambiguation</x:v>
      </x:c>
      <x:c r="C708" s="10" t="n">
        <x:v>86</x:v>
      </x:c>
      <x:c r="D708" s="9" t="str">
        <x:v>Move the pencil sharpener between the crushed Pepsi can and the airplane toy without propellers into the bowl.</x:v>
      </x:c>
      <x:c r="E708" s="9" t="str">
        <x:v>green pencil sharpener; red pencil sharpener; crushed Pepsi can; airplane toy without propellers</x:v>
      </x:c>
      <x:c r="F708" s="9" t="str">
        <x:v>green pencil sharpener</x:v>
      </x:c>
      <x:c r="G708" s="9" t="str">
        <x:v>picked airplane toy</x:v>
      </x:c>
      <x:c r="H708" s="9" t="str">
        <x:v>Concept/compositional transfer</x:v>
      </x:c>
      <x:c r="I708" s="9" t="str">
        <x:v>RD-CT27</x:v>
      </x:c>
      <x:c r="J708" s="9" t="str">
        <x:v>Primary held-out relation × candidate-category composition — Move</x:v>
      </x:c>
      <x:c r="K708" s="9"/>
      <x:c r="L708" s="9" t="str">
        <x:v>489</x:v>
      </x:c>
      <x:c r="M708" s="9" t="str">
        <x:v>Masked source trajectory: the target identity and physical manipulation are trained under a direct-name prompt, while this relation × candidate-category composition is intentionally absent.</x:v>
      </x:c>
      <x:c r="N708" s="9" t="n">
        <x:v>4</x:v>
      </x:c>
      <x:c r="O708" s="9" t="str">
        <x:v>Place the listed objects. Arrange Expected Target as the unique answer to the prompt; keep the bowl empty and save a reference image.</x:v>
      </x:c>
      <x:c r="P708" s="9" t="str">
        <x:v>Both candidates are present. The held-out relation is the only information that identifies the target.</x:v>
      </x:c>
      <x:c r="Q708" s="9"/>
      <x:c r="R708" s="10" t="n">
        <x:v>4</x:v>
      </x:c>
      <x:c r="S708" s="10" t="n">
        <x:v>1</x:v>
      </x:c>
      <x:c r="T708" s="9" t="str">
        <x:v>Empty</x:v>
      </x:c>
      <x:c r="U708" s="9"/>
      <x:c r="V708" s="9"/>
      <x:c r="W708" s="9"/>
      <x:c r="X708" s="10"/>
      <x:c r="Y708" s="10"/>
      <x:c r="Z708" s="9"/>
      <x:c r="AA708" s="9"/>
      <x:c r="AB708" s="9" t="str">
        <x:v>between</x:v>
      </x:c>
      <x:c r="AC708" s="9"/>
      <x:c r="AD708" s="9"/>
      <x:c r="AE708" s="9"/>
      <x:c r="AF708" s="9"/>
      <x:c r="AG708" s="9" t="str">
        <x:v>pencil sharpener</x:v>
      </x:c>
      <x:c r="AH708" s="9"/>
      <x:c r="AI708" s="11"/>
      <x:c r="AJ708" s="9"/>
      <x:c r="AK708" s="9" t="str">
        <x:v>Eval_Referential_Disambiguation.xlsm</x:v>
      </x:c>
      <x:c r="AL708" s="9" t="str">
        <x:v>pi0.5 Results</x:v>
      </x:c>
      <x:c r="AM708" s="9" t="n">
        <x:v>88</x:v>
      </x:c>
      <x:c r="AN708" s="9" t="n">
        <x:v>88</x:v>
      </x:c>
    </x:row>
    <x:row r="709">
      <x:c r="A709" s="9" t="str">
        <x:v>Failure</x:v>
      </x:c>
      <x:c r="B709" s="9" t="str">
        <x:v>Referential Disambiguation</x:v>
      </x:c>
      <x:c r="C709" s="10" t="n">
        <x:v>87</x:v>
      </x:c>
      <x:c r="D709" s="9" t="str">
        <x:v>Pick up the airplane toy furthest from the yellow pen and place it in the bowl.</x:v>
      </x:c>
      <x:c r="E709" s="9" t="str">
        <x:v>airplane toy with propellers; airplane toy without propellers; yellow pen; green pencil sharpener</x:v>
      </x:c>
      <x:c r="F709" s="9" t="str">
        <x:v>airplane toy with propellers</x:v>
      </x:c>
      <x:c r="G709" s="9" t="str">
        <x:v>picked airplane toy closest</x:v>
      </x:c>
      <x:c r="H709" s="9" t="str">
        <x:v>Concept/compositional transfer</x:v>
      </x:c>
      <x:c r="I709" s="9" t="str">
        <x:v>RD-CT28</x:v>
      </x:c>
      <x:c r="J709" s="9" t="str">
        <x:v>Primary held-out relation × candidate-category composition — Pick up</x:v>
      </x:c>
      <x:c r="K709" s="9"/>
      <x:c r="L709" s="9" t="str">
        <x:v>576</x:v>
      </x:c>
      <x:c r="M709" s="9" t="str">
        <x:v>Masked source trajectory: the target identity and physical manipulation are trained under a direct-name prompt, while this relation × candidate-category composition is intentionally absent.</x:v>
      </x:c>
      <x:c r="N709" s="9" t="n">
        <x:v>4</x:v>
      </x:c>
      <x:c r="O709" s="9" t="str">
        <x:v>Place the listed objects. Arrange Expected Target as the unique answer to the prompt; keep the bowl empty and save a reference image.</x:v>
      </x:c>
      <x:c r="P709" s="9" t="str">
        <x:v>Both candidates are present. The held-out relation is the only information that identifies the target.</x:v>
      </x:c>
      <x:c r="Q709" s="9"/>
      <x:c r="R709" s="10" t="n">
        <x:v>4</x:v>
      </x:c>
      <x:c r="S709" s="10" t="n">
        <x:v>1</x:v>
      </x:c>
      <x:c r="T709" s="9" t="str">
        <x:v>Empty</x:v>
      </x:c>
      <x:c r="U709" s="9"/>
      <x:c r="V709" s="9"/>
      <x:c r="W709" s="9"/>
      <x:c r="X709" s="10"/>
      <x:c r="Y709" s="10"/>
      <x:c r="Z709" s="9"/>
      <x:c r="AA709" s="9"/>
      <x:c r="AB709" s="9" t="str">
        <x:v>furthest</x:v>
      </x:c>
      <x:c r="AC709" s="9"/>
      <x:c r="AD709" s="9"/>
      <x:c r="AE709" s="9"/>
      <x:c r="AF709" s="9"/>
      <x:c r="AG709" s="9" t="str">
        <x:v>airplane toy</x:v>
      </x:c>
      <x:c r="AH709" s="9"/>
      <x:c r="AI709" s="11"/>
      <x:c r="AJ709" s="9"/>
      <x:c r="AK709" s="9" t="str">
        <x:v>Eval_Referential_Disambiguation.xlsm</x:v>
      </x:c>
      <x:c r="AL709" s="9" t="str">
        <x:v>pi0.5 Results</x:v>
      </x:c>
      <x:c r="AM709" s="9" t="n">
        <x:v>89</x:v>
      </x:c>
      <x:c r="AN709" s="9" t="n">
        <x:v>89</x:v>
      </x:c>
    </x:row>
    <x:row r="710">
      <x:c r="A710" s="9" t="str">
        <x:v>Failure</x:v>
      </x:c>
      <x:c r="B710" s="9" t="str">
        <x:v>Referential Disambiguation</x:v>
      </x:c>
      <x:c r="C710" s="10" t="n">
        <x:v>88</x:v>
      </x:c>
      <x:c r="D710" s="9" t="str">
        <x:v>Pick up the crushed soda can closest to the yellow pen and place it in the bowl.</x:v>
      </x:c>
      <x:c r="E710" s="9" t="str">
        <x:v>crushed Coke can; crushed Pepsi can; yellow pen; airplane toy without propellers</x:v>
      </x:c>
      <x:c r="F710" s="9" t="str">
        <x:v>crushed Coke can</x:v>
      </x:c>
      <x:c r="G710" s="9" t="str">
        <x:v>went for crushed coke can, knocked it over, then picked and placed yellow pen in the bowl during recovery.</x:v>
      </x:c>
      <x:c r="H710" s="9" t="str">
        <x:v>Concept/compositional transfer</x:v>
      </x:c>
      <x:c r="I710" s="9" t="str">
        <x:v>RD-CT29</x:v>
      </x:c>
      <x:c r="J710" s="9" t="str">
        <x:v>Primary held-out relation × candidate-category composition — Pick up</x:v>
      </x:c>
      <x:c r="K710" s="9"/>
      <x:c r="L710" s="9" t="str">
        <x:v>410</x:v>
      </x:c>
      <x:c r="M710" s="9" t="str">
        <x:v>Masked source trajectory: the target identity and physical manipulation are trained under a direct-name prompt, while this relation × candidate-category composition is intentionally absent.</x:v>
      </x:c>
      <x:c r="N710" s="9" t="n">
        <x:v>4</x:v>
      </x:c>
      <x:c r="O710" s="9" t="str">
        <x:v>Place the listed objects. Arrange Expected Target as the unique answer to the prompt; keep the bowl empty and save a reference image.</x:v>
      </x:c>
      <x:c r="P710" s="9" t="str">
        <x:v>Both candidates are present. The held-out relation is the only information that identifies the target.</x:v>
      </x:c>
      <x:c r="Q710" s="9"/>
      <x:c r="R710" s="10" t="n">
        <x:v>4</x:v>
      </x:c>
      <x:c r="S710" s="10" t="n">
        <x:v>1</x:v>
      </x:c>
      <x:c r="T710" s="9" t="str">
        <x:v>Empty</x:v>
      </x:c>
      <x:c r="U710" s="9"/>
      <x:c r="V710" s="9"/>
      <x:c r="W710" s="9"/>
      <x:c r="X710" s="10"/>
      <x:c r="Y710" s="10"/>
      <x:c r="Z710" s="9"/>
      <x:c r="AA710" s="9"/>
      <x:c r="AB710" s="9" t="str">
        <x:v>closest</x:v>
      </x:c>
      <x:c r="AC710" s="9"/>
      <x:c r="AD710" s="9"/>
      <x:c r="AE710" s="9"/>
      <x:c r="AF710" s="9"/>
      <x:c r="AG710" s="9" t="str">
        <x:v>crushed soda can</x:v>
      </x:c>
      <x:c r="AH710" s="9"/>
      <x:c r="AI710" s="11"/>
      <x:c r="AJ710" s="9"/>
      <x:c r="AK710" s="9" t="str">
        <x:v>Eval_Referential_Disambiguation.xlsm</x:v>
      </x:c>
      <x:c r="AL710" s="9" t="str">
        <x:v>pi0.5 Results</x:v>
      </x:c>
      <x:c r="AM710" s="9" t="n">
        <x:v>90</x:v>
      </x:c>
      <x:c r="AN710" s="9" t="n">
        <x:v>90</x:v>
      </x:c>
    </x:row>
    <x:row r="711">
      <x:c r="A711" s="9" t="str">
        <x:v>Failure</x:v>
      </x:c>
      <x:c r="B711" s="9" t="str">
        <x:v>Referential Disambiguation</x:v>
      </x:c>
      <x:c r="C711" s="10" t="n">
        <x:v>89</x:v>
      </x:c>
      <x:c r="D711" s="9" t="str">
        <x:v>Pick up the pencil sharpener between the green pen and the crushed Coke can and place it in the bowl.</x:v>
      </x:c>
      <x:c r="E711" s="9" t="str">
        <x:v>green pencil sharpener; red pencil sharpener; green pen; crushed Coke can; airplane toy without propellers</x:v>
      </x:c>
      <x:c r="F711" s="9" t="str">
        <x:v>green pencil sharpener</x:v>
      </x:c>
      <x:c r="G711" s="9" t="str">
        <x:v>picked red pencil sharpener</x:v>
      </x:c>
      <x:c r="H711" s="9" t="str">
        <x:v>Concept/compositional transfer</x:v>
      </x:c>
      <x:c r="I711" s="9" t="str">
        <x:v>RD-CT30</x:v>
      </x:c>
      <x:c r="J711" s="9" t="str">
        <x:v>Primary held-out relation × candidate-category composition — Pick up</x:v>
      </x:c>
      <x:c r="K711" s="9"/>
      <x:c r="L711" s="9" t="str">
        <x:v>490</x:v>
      </x:c>
      <x:c r="M711" s="9" t="str">
        <x:v>Masked source trajectory: the target identity and physical manipulation are trained under a direct-name prompt, while this relation × candidate-category composition is intentionally absent.</x:v>
      </x:c>
      <x:c r="N711" s="9" t="n">
        <x:v>4</x:v>
      </x:c>
      <x:c r="O711" s="9" t="str">
        <x:v>Place the listed objects. Arrange Expected Target as the unique answer to the prompt; keep the bowl empty and save a reference image.</x:v>
      </x:c>
      <x:c r="P711" s="9" t="str">
        <x:v>Both candidates are present. The held-out relation is the only information that identifies the target.</x:v>
      </x:c>
      <x:c r="Q711" s="9"/>
      <x:c r="R711" s="10" t="n">
        <x:v>5</x:v>
      </x:c>
      <x:c r="S711" s="10" t="n">
        <x:v>1</x:v>
      </x:c>
      <x:c r="T711" s="9" t="str">
        <x:v>Empty</x:v>
      </x:c>
      <x:c r="U711" s="9"/>
      <x:c r="V711" s="9"/>
      <x:c r="W711" s="9"/>
      <x:c r="X711" s="10"/>
      <x:c r="Y711" s="10"/>
      <x:c r="Z711" s="9"/>
      <x:c r="AA711" s="9"/>
      <x:c r="AB711" s="9" t="str">
        <x:v>between</x:v>
      </x:c>
      <x:c r="AC711" s="9"/>
      <x:c r="AD711" s="9"/>
      <x:c r="AE711" s="9"/>
      <x:c r="AF711" s="9"/>
      <x:c r="AG711" s="9" t="str">
        <x:v>pencil sharpener</x:v>
      </x:c>
      <x:c r="AH711" s="9"/>
      <x:c r="AI711" s="11"/>
      <x:c r="AJ711" s="9"/>
      <x:c r="AK711" s="9" t="str">
        <x:v>Eval_Referential_Disambiguation.xlsm</x:v>
      </x:c>
      <x:c r="AL711" s="9" t="str">
        <x:v>pi0.5 Results</x:v>
      </x:c>
      <x:c r="AM711" s="9" t="n">
        <x:v>91</x:v>
      </x:c>
      <x:c r="AN711" s="9" t="n">
        <x:v>91</x:v>
      </x:c>
    </x:row>
    <x:row r="712">
      <x:c r="A712" s="9" t="str">
        <x:v>Failure</x:v>
      </x:c>
      <x:c r="B712" s="9" t="str">
        <x:v>Referential Disambiguation</x:v>
      </x:c>
      <x:c r="C712" s="10" t="n">
        <x:v>90</x:v>
      </x:c>
      <x:c r="D712" s="9" t="str">
        <x:v>Put the airplane toy furthest from the crushed Pepsi can in the bowl.</x:v>
      </x:c>
      <x:c r="E712" s="9" t="str">
        <x:v>airplane toy with propellers; airplane toy without propellers; crushed Pepsi can</x:v>
      </x:c>
      <x:c r="F712" s="9" t="str">
        <x:v>airplane toy without propellers</x:v>
      </x:c>
      <x:c r="G712" s="9" t="str">
        <x:v>picked closest airplane toy</x:v>
      </x:c>
      <x:c r="H712" s="9" t="str">
        <x:v>Concept/compositional transfer</x:v>
      </x:c>
      <x:c r="I712" s="9" t="str">
        <x:v>RD-CT31</x:v>
      </x:c>
      <x:c r="J712" s="9" t="str">
        <x:v>Primary held-out relation × candidate-category composition — Put</x:v>
      </x:c>
      <x:c r="K712" s="9"/>
      <x:c r="L712" s="9" t="str">
        <x:v>573</x:v>
      </x:c>
      <x:c r="M712" s="9" t="str">
        <x:v>Masked source trajectory: the target identity and physical manipulation are trained under a direct-name prompt, while this relation × candidate-category composition is intentionally absent.</x:v>
      </x:c>
      <x:c r="N712" s="9" t="n">
        <x:v>4</x:v>
      </x:c>
      <x:c r="O712" s="9" t="str">
        <x:v>Place the listed objects. Arrange Expected Target as the unique answer to the prompt; keep the bowl empty and save a reference image.</x:v>
      </x:c>
      <x:c r="P712" s="9" t="str">
        <x:v>Both candidates are present. The held-out relation is the only information that identifies the target.</x:v>
      </x:c>
      <x:c r="Q712" s="9"/>
      <x:c r="R712" s="10" t="n">
        <x:v>3</x:v>
      </x:c>
      <x:c r="S712" s="10" t="n">
        <x:v>1</x:v>
      </x:c>
      <x:c r="T712" s="9" t="str">
        <x:v>Empty</x:v>
      </x:c>
      <x:c r="U712" s="9"/>
      <x:c r="V712" s="9"/>
      <x:c r="W712" s="9"/>
      <x:c r="X712" s="10"/>
      <x:c r="Y712" s="10"/>
      <x:c r="Z712" s="9"/>
      <x:c r="AA712" s="9"/>
      <x:c r="AB712" s="9" t="str">
        <x:v>furthest</x:v>
      </x:c>
      <x:c r="AC712" s="9"/>
      <x:c r="AD712" s="9"/>
      <x:c r="AE712" s="9"/>
      <x:c r="AF712" s="9"/>
      <x:c r="AG712" s="9" t="str">
        <x:v>airplane toy</x:v>
      </x:c>
      <x:c r="AH712" s="9"/>
      <x:c r="AI712" s="11"/>
      <x:c r="AJ712" s="9"/>
      <x:c r="AK712" s="9" t="str">
        <x:v>Eval_Referential_Disambiguation.xlsm</x:v>
      </x:c>
      <x:c r="AL712" s="9" t="str">
        <x:v>pi0.5 Results</x:v>
      </x:c>
      <x:c r="AM712" s="9" t="n">
        <x:v>92</x:v>
      </x:c>
      <x:c r="AN712" s="9" t="n">
        <x:v>92</x:v>
      </x:c>
    </x:row>
    <x:row r="713">
      <x:c r="A713" s="9" t="str">
        <x:v>Failure</x:v>
      </x:c>
      <x:c r="B713" s="9" t="str">
        <x:v>Referential Disambiguation</x:v>
      </x:c>
      <x:c r="C713" s="10" t="n">
        <x:v>91</x:v>
      </x:c>
      <x:c r="D713" s="9" t="str">
        <x:v>Put the crushed soda can closest to the airplane toy without propellers in the bowl.</x:v>
      </x:c>
      <x:c r="E713" s="9" t="str">
        <x:v>crushed Coke can; crushed Pepsi can; airplane toy without propellers</x:v>
      </x:c>
      <x:c r="F713" s="9" t="str">
        <x:v>crushed Pepsi can</x:v>
      </x:c>
      <x:c r="G713" s="9" t="str">
        <x:v>picked soda can furthest from airplane toy</x:v>
      </x:c>
      <x:c r="H713" s="9" t="str">
        <x:v>Concept/compositional transfer</x:v>
      </x:c>
      <x:c r="I713" s="9" t="str">
        <x:v>RD-CT32</x:v>
      </x:c>
      <x:c r="J713" s="9" t="str">
        <x:v>Primary held-out relation × candidate-category composition — Put</x:v>
      </x:c>
      <x:c r="K713" s="9"/>
      <x:c r="L713" s="9" t="str">
        <x:v>409</x:v>
      </x:c>
      <x:c r="M713" s="9" t="str">
        <x:v>Masked source trajectory: the target identity and physical manipulation are trained under a direct-name prompt, while this relation × candidate-category composition is intentionally absent.</x:v>
      </x:c>
      <x:c r="N713" s="9" t="n">
        <x:v>4</x:v>
      </x:c>
      <x:c r="O713" s="9" t="str">
        <x:v>Place the listed objects. Arrange Expected Target as the unique answer to the prompt; keep the bowl empty and save a reference image.</x:v>
      </x:c>
      <x:c r="P713" s="9" t="str">
        <x:v>Both candidates are present. The held-out relation is the only information that identifies the target.</x:v>
      </x:c>
      <x:c r="Q713" s="9"/>
      <x:c r="R713" s="10" t="n">
        <x:v>3</x:v>
      </x:c>
      <x:c r="S713" s="10" t="n">
        <x:v>1</x:v>
      </x:c>
      <x:c r="T713" s="9" t="str">
        <x:v>Empty</x:v>
      </x:c>
      <x:c r="U713" s="9"/>
      <x:c r="V713" s="9"/>
      <x:c r="W713" s="9"/>
      <x:c r="X713" s="10"/>
      <x:c r="Y713" s="10"/>
      <x:c r="Z713" s="9"/>
      <x:c r="AA713" s="9"/>
      <x:c r="AB713" s="9" t="str">
        <x:v>closest</x:v>
      </x:c>
      <x:c r="AC713" s="9"/>
      <x:c r="AD713" s="9"/>
      <x:c r="AE713" s="9"/>
      <x:c r="AF713" s="9"/>
      <x:c r="AG713" s="9" t="str">
        <x:v>crushed soda can</x:v>
      </x:c>
      <x:c r="AH713" s="9"/>
      <x:c r="AI713" s="11"/>
      <x:c r="AJ713" s="9"/>
      <x:c r="AK713" s="9" t="str">
        <x:v>Eval_Referential_Disambiguation.xlsm</x:v>
      </x:c>
      <x:c r="AL713" s="9" t="str">
        <x:v>pi0.5 Results</x:v>
      </x:c>
      <x:c r="AM713" s="9" t="n">
        <x:v>93</x:v>
      </x:c>
      <x:c r="AN713" s="9" t="n">
        <x:v>93</x:v>
      </x:c>
    </x:row>
    <x:row r="714">
      <x:c r="A714" s="9" t="str">
        <x:v>Success</x:v>
      </x:c>
      <x:c r="B714" s="9" t="str">
        <x:v>Referential Disambiguation</x:v>
      </x:c>
      <x:c r="C714" s="10" t="n">
        <x:v>92</x:v>
      </x:c>
      <x:c r="D714" s="9" t="str">
        <x:v>Put the pencil sharpener between the airplane toy with propellers and the yellow pen in the bowl.</x:v>
      </x:c>
      <x:c r="E714" s="9" t="str">
        <x:v>green pencil sharpener; red pencil sharpener; airplane toy with propellers; yellow pen</x:v>
      </x:c>
      <x:c r="F714" s="9" t="str">
        <x:v>red pencil sharpener</x:v>
      </x:c>
      <x:c r="G714" s="9"/>
      <x:c r="H714" s="9" t="str">
        <x:v>Concept/compositional transfer</x:v>
      </x:c>
      <x:c r="I714" s="9" t="str">
        <x:v>RD-CT33</x:v>
      </x:c>
      <x:c r="J714" s="9" t="str">
        <x:v>Primary held-out relation × candidate-category composition — Put</x:v>
      </x:c>
      <x:c r="K714" s="9"/>
      <x:c r="L714" s="9" t="str">
        <x:v>488</x:v>
      </x:c>
      <x:c r="M714" s="9" t="str">
        <x:v>Masked source trajectory: the target identity and physical manipulation are trained under a direct-name prompt, while this relation × candidate-category composition is intentionally absent.</x:v>
      </x:c>
      <x:c r="N714" s="9" t="n">
        <x:v>4</x:v>
      </x:c>
      <x:c r="O714" s="9" t="str">
        <x:v>Place the listed objects. Arrange Expected Target as the unique answer to the prompt; keep the bowl empty and save a reference image.</x:v>
      </x:c>
      <x:c r="P714" s="9" t="str">
        <x:v>Both candidates are present. The held-out relation is the only information that identifies the target.</x:v>
      </x:c>
      <x:c r="Q714" s="9"/>
      <x:c r="R714" s="10" t="n">
        <x:v>4</x:v>
      </x:c>
      <x:c r="S714" s="10" t="n">
        <x:v>1</x:v>
      </x:c>
      <x:c r="T714" s="9" t="str">
        <x:v>Empty</x:v>
      </x:c>
      <x:c r="U714" s="9"/>
      <x:c r="V714" s="9"/>
      <x:c r="W714" s="9"/>
      <x:c r="X714" s="10"/>
      <x:c r="Y714" s="10"/>
      <x:c r="Z714" s="9"/>
      <x:c r="AA714" s="9"/>
      <x:c r="AB714" s="9" t="str">
        <x:v>between</x:v>
      </x:c>
      <x:c r="AC714" s="9"/>
      <x:c r="AD714" s="9"/>
      <x:c r="AE714" s="9"/>
      <x:c r="AF714" s="9"/>
      <x:c r="AG714" s="9" t="str">
        <x:v>pencil sharpener</x:v>
      </x:c>
      <x:c r="AH714" s="9"/>
      <x:c r="AI714" s="11"/>
      <x:c r="AJ714" s="9"/>
      <x:c r="AK714" s="9" t="str">
        <x:v>Eval_Referential_Disambiguation.xlsm</x:v>
      </x:c>
      <x:c r="AL714" s="9" t="str">
        <x:v>pi0.5 Results</x:v>
      </x:c>
      <x:c r="AM714" s="9" t="n">
        <x:v>94</x:v>
      </x:c>
      <x:c r="AN714" s="9" t="n">
        <x:v>94</x:v>
      </x:c>
    </x:row>
    <x:row r="715">
      <x:c r="A715" s="9" t="str">
        <x:v>Failure</x:v>
      </x:c>
      <x:c r="B715" s="9" t="str">
        <x:v>Referential Disambiguation</x:v>
      </x:c>
      <x:c r="C715" s="10" t="n">
        <x:v>93</x:v>
      </x:c>
      <x:c r="D715" s="9" t="str">
        <x:v>Move the airplane toy furthest from the red pencil sharpener into the bowl.</x:v>
      </x:c>
      <x:c r="E715" s="9" t="str">
        <x:v>airplane toy with propellers; airplane toy without propellers; red pencil sharpener; green pen</x:v>
      </x:c>
      <x:c r="F715" s="9" t="str">
        <x:v>airplane toy without propellers</x:v>
      </x:c>
      <x:c r="G715" s="9" t="str">
        <x:v>picked the one closest</x:v>
      </x:c>
      <x:c r="H715" s="9" t="str">
        <x:v>Concept/compositional transfer</x:v>
      </x:c>
      <x:c r="I715" s="9" t="str">
        <x:v>RD-CT34</x:v>
      </x:c>
      <x:c r="J715" s="9" t="str">
        <x:v>Primary held-out relation × candidate-category composition — Move</x:v>
      </x:c>
      <x:c r="K715" s="9"/>
      <x:c r="L715" s="9" t="str">
        <x:v>575</x:v>
      </x:c>
      <x:c r="M715" s="9" t="str">
        <x:v>Masked source trajectory: the target identity and physical manipulation are trained under a direct-name prompt, while this relation × candidate-category composition is intentionally absent.</x:v>
      </x:c>
      <x:c r="N715" s="9" t="n">
        <x:v>4</x:v>
      </x:c>
      <x:c r="O715" s="9" t="str">
        <x:v>Place the listed objects. Arrange Expected Target as the unique answer to the prompt; keep the bowl empty and save a reference image.</x:v>
      </x:c>
      <x:c r="P715" s="9" t="str">
        <x:v>Both candidates are present. The held-out relation is the only information that identifies the target.</x:v>
      </x:c>
      <x:c r="Q715" s="9"/>
      <x:c r="R715" s="10" t="n">
        <x:v>4</x:v>
      </x:c>
      <x:c r="S715" s="10" t="n">
        <x:v>1</x:v>
      </x:c>
      <x:c r="T715" s="9" t="str">
        <x:v>Empty</x:v>
      </x:c>
      <x:c r="U715" s="9"/>
      <x:c r="V715" s="9"/>
      <x:c r="W715" s="9"/>
      <x:c r="X715" s="10"/>
      <x:c r="Y715" s="10"/>
      <x:c r="Z715" s="9"/>
      <x:c r="AA715" s="9"/>
      <x:c r="AB715" s="9" t="str">
        <x:v>furthest</x:v>
      </x:c>
      <x:c r="AC715" s="9"/>
      <x:c r="AD715" s="9"/>
      <x:c r="AE715" s="9"/>
      <x:c r="AF715" s="9"/>
      <x:c r="AG715" s="9" t="str">
        <x:v>airplane toy</x:v>
      </x:c>
      <x:c r="AH715" s="9"/>
      <x:c r="AI715" s="11"/>
      <x:c r="AJ715" s="9"/>
      <x:c r="AK715" s="9" t="str">
        <x:v>Eval_Referential_Disambiguation.xlsm</x:v>
      </x:c>
      <x:c r="AL715" s="9" t="str">
        <x:v>pi0.5 Results</x:v>
      </x:c>
      <x:c r="AM715" s="9" t="n">
        <x:v>95</x:v>
      </x:c>
      <x:c r="AN715" s="9" t="n">
        <x:v>95</x:v>
      </x:c>
    </x:row>
    <x:row r="716">
      <x:c r="A716" s="9" t="str">
        <x:v>Failure</x:v>
      </x:c>
      <x:c r="B716" s="9" t="str">
        <x:v>Referential Disambiguation</x:v>
      </x:c>
      <x:c r="C716" s="10" t="n">
        <x:v>94</x:v>
      </x:c>
      <x:c r="D716" s="9" t="str">
        <x:v>Move the crushed soda can closest to the red pencil sharpener into the bowl.</x:v>
      </x:c>
      <x:c r="E716" s="9" t="str">
        <x:v>crushed Coke can; crushed Pepsi can; red pencil sharpener; green pencil sharpener</x:v>
      </x:c>
      <x:c r="F716" s="9" t="str">
        <x:v>crushed Pepsi can</x:v>
      </x:c>
      <x:c r="G716" s="9" t="str">
        <x:v>picked coke can </x:v>
      </x:c>
      <x:c r="H716" s="9" t="str">
        <x:v>Concept/compositional transfer</x:v>
      </x:c>
      <x:c r="I716" s="9" t="str">
        <x:v>RD-CT35</x:v>
      </x:c>
      <x:c r="J716" s="9" t="str">
        <x:v>Primary held-out relation × candidate-category composition — Move</x:v>
      </x:c>
      <x:c r="K716" s="9"/>
      <x:c r="L716" s="9" t="str">
        <x:v>411</x:v>
      </x:c>
      <x:c r="M716" s="9" t="str">
        <x:v>Masked source trajectory: the target identity and physical manipulation are trained under a direct-name prompt, while this relation × candidate-category composition is intentionally absent.</x:v>
      </x:c>
      <x:c r="N716" s="9" t="n">
        <x:v>4</x:v>
      </x:c>
      <x:c r="O716" s="9" t="str">
        <x:v>Place the listed objects. Arrange Expected Target as the unique answer to the prompt; keep the bowl empty and save a reference image.</x:v>
      </x:c>
      <x:c r="P716" s="9" t="str">
        <x:v>Both candidates are present. The held-out relation is the only information that identifies the target.</x:v>
      </x:c>
      <x:c r="Q716" s="9"/>
      <x:c r="R716" s="10" t="n">
        <x:v>4</x:v>
      </x:c>
      <x:c r="S716" s="10" t="n">
        <x:v>1</x:v>
      </x:c>
      <x:c r="T716" s="9" t="str">
        <x:v>Empty</x:v>
      </x:c>
      <x:c r="U716" s="9"/>
      <x:c r="V716" s="9"/>
      <x:c r="W716" s="9"/>
      <x:c r="X716" s="10"/>
      <x:c r="Y716" s="10"/>
      <x:c r="Z716" s="9"/>
      <x:c r="AA716" s="9"/>
      <x:c r="AB716" s="9" t="str">
        <x:v>closest</x:v>
      </x:c>
      <x:c r="AC716" s="9"/>
      <x:c r="AD716" s="9"/>
      <x:c r="AE716" s="9"/>
      <x:c r="AF716" s="9"/>
      <x:c r="AG716" s="9" t="str">
        <x:v>crushed soda can</x:v>
      </x:c>
      <x:c r="AH716" s="9"/>
      <x:c r="AI716" s="11"/>
      <x:c r="AJ716" s="9"/>
      <x:c r="AK716" s="9" t="str">
        <x:v>Eval_Referential_Disambiguation.xlsm</x:v>
      </x:c>
      <x:c r="AL716" s="9" t="str">
        <x:v>pi0.5 Results</x:v>
      </x:c>
      <x:c r="AM716" s="9" t="n">
        <x:v>96</x:v>
      </x:c>
      <x:c r="AN716" s="9" t="n">
        <x:v>96</x:v>
      </x:c>
    </x:row>
    <x:row r="717">
      <x:c r="A717" s="9" t="str">
        <x:v>Success</x:v>
      </x:c>
      <x:c r="B717" s="9" t="str">
        <x:v>Referential Disambiguation</x:v>
      </x:c>
      <x:c r="C717" s="10" t="n">
        <x:v>95</x:v>
      </x:c>
      <x:c r="D717" s="9" t="str">
        <x:v>Move the pencil sharpener between the crushed Pepsi can and the airplane toy without propellers into the bowl.</x:v>
      </x:c>
      <x:c r="E717" s="9" t="str">
        <x:v>green pencil sharpener; red pencil sharpener; crushed Pepsi can; airplane toy without propellers; green pen</x:v>
      </x:c>
      <x:c r="F717" s="9" t="str">
        <x:v>red pencil sharpener</x:v>
      </x:c>
      <x:c r="G717" s="9"/>
      <x:c r="H717" s="9" t="str">
        <x:v>Concept/compositional transfer</x:v>
      </x:c>
      <x:c r="I717" s="9" t="str">
        <x:v>RD-CT36</x:v>
      </x:c>
      <x:c r="J717" s="9" t="str">
        <x:v>Primary held-out relation × candidate-category composition — Move</x:v>
      </x:c>
      <x:c r="K717" s="9"/>
      <x:c r="L717" s="9" t="str">
        <x:v>491</x:v>
      </x:c>
      <x:c r="M717" s="9" t="str">
        <x:v>Masked source trajectory: the target identity and physical manipulation are trained under a direct-name prompt, while this relation × candidate-category composition is intentionally absent.</x:v>
      </x:c>
      <x:c r="N717" s="9" t="n">
        <x:v>4</x:v>
      </x:c>
      <x:c r="O717" s="9" t="str">
        <x:v>Place the listed objects. Arrange Expected Target as the unique answer to the prompt; keep the bowl empty and save a reference image.</x:v>
      </x:c>
      <x:c r="P717" s="9" t="str">
        <x:v>Both candidates are present. The held-out relation is the only information that identifies the target.</x:v>
      </x:c>
      <x:c r="Q717" s="9"/>
      <x:c r="R717" s="10" t="n">
        <x:v>5</x:v>
      </x:c>
      <x:c r="S717" s="10" t="n">
        <x:v>1</x:v>
      </x:c>
      <x:c r="T717" s="9" t="str">
        <x:v>Empty</x:v>
      </x:c>
      <x:c r="U717" s="9"/>
      <x:c r="V717" s="9"/>
      <x:c r="W717" s="9"/>
      <x:c r="X717" s="10"/>
      <x:c r="Y717" s="10"/>
      <x:c r="Z717" s="9"/>
      <x:c r="AA717" s="9"/>
      <x:c r="AB717" s="9" t="str">
        <x:v>between</x:v>
      </x:c>
      <x:c r="AC717" s="9"/>
      <x:c r="AD717" s="9"/>
      <x:c r="AE717" s="9"/>
      <x:c r="AF717" s="9"/>
      <x:c r="AG717" s="9" t="str">
        <x:v>pencil sharpener</x:v>
      </x:c>
      <x:c r="AH717" s="9"/>
      <x:c r="AI717" s="11"/>
      <x:c r="AJ717" s="9"/>
      <x:c r="AK717" s="9" t="str">
        <x:v>Eval_Referential_Disambiguation.xlsm</x:v>
      </x:c>
      <x:c r="AL717" s="9" t="str">
        <x:v>pi0.5 Results</x:v>
      </x:c>
      <x:c r="AM717" s="9" t="n">
        <x:v>97</x:v>
      </x:c>
      <x:c r="AN717" s="9" t="n">
        <x:v>97</x:v>
      </x:c>
    </x:row>
    <x:row r="718">
      <x:c r="A718" s="9" t="str">
        <x:v>Failure</x:v>
      </x:c>
      <x:c r="B718" s="9" t="str">
        <x:v>Referential Disambiguation</x:v>
      </x:c>
      <x:c r="C718" s="10" t="n">
        <x:v>96</x:v>
      </x:c>
      <x:c r="D718" s="9" t="str">
        <x:v>Pick up the airplane toy furthest from the green pen and place it in the bowl.</x:v>
      </x:c>
      <x:c r="E718" s="9" t="str">
        <x:v>airplane toy with propellers; airplane toy without propellers; green pen</x:v>
      </x:c>
      <x:c r="F718" s="9" t="str">
        <x:v>airplane toy with propellers</x:v>
      </x:c>
      <x:c r="G718" s="9" t="str">
        <x:v>picked closest</x:v>
      </x:c>
      <x:c r="H718" s="9" t="str">
        <x:v>Concept/compositional transfer</x:v>
      </x:c>
      <x:c r="I718" s="9" t="str">
        <x:v>RD-CT37</x:v>
      </x:c>
      <x:c r="J718" s="9" t="str">
        <x:v>Primary held-out relation × candidate-category composition — Pick up</x:v>
      </x:c>
      <x:c r="K718" s="9"/>
      <x:c r="L718" s="9" t="str">
        <x:v>578</x:v>
      </x:c>
      <x:c r="M718" s="9" t="str">
        <x:v>Masked source trajectory: the target identity and physical manipulation are trained under a direct-name prompt, while this relation × candidate-category composition is intentionally absent.</x:v>
      </x:c>
      <x:c r="N718" s="9" t="n">
        <x:v>4</x:v>
      </x:c>
      <x:c r="O718" s="9" t="str">
        <x:v>Place the listed objects. Arrange Expected Target as the unique answer to the prompt; keep the bowl empty and save a reference image.</x:v>
      </x:c>
      <x:c r="P718" s="9" t="str">
        <x:v>Both candidates are present. The held-out relation is the only information that identifies the target.</x:v>
      </x:c>
      <x:c r="Q718" s="9"/>
      <x:c r="R718" s="10" t="n">
        <x:v>3</x:v>
      </x:c>
      <x:c r="S718" s="10" t="n">
        <x:v>1</x:v>
      </x:c>
      <x:c r="T718" s="9" t="str">
        <x:v>Empty</x:v>
      </x:c>
      <x:c r="U718" s="9"/>
      <x:c r="V718" s="9"/>
      <x:c r="W718" s="9"/>
      <x:c r="X718" s="10"/>
      <x:c r="Y718" s="10"/>
      <x:c r="Z718" s="9"/>
      <x:c r="AA718" s="9"/>
      <x:c r="AB718" s="9" t="str">
        <x:v>furthest</x:v>
      </x:c>
      <x:c r="AC718" s="9"/>
      <x:c r="AD718" s="9"/>
      <x:c r="AE718" s="9"/>
      <x:c r="AF718" s="9"/>
      <x:c r="AG718" s="9" t="str">
        <x:v>airplane toy</x:v>
      </x:c>
      <x:c r="AH718" s="9"/>
      <x:c r="AI718" s="11"/>
      <x:c r="AJ718" s="9"/>
      <x:c r="AK718" s="9" t="str">
        <x:v>Eval_Referential_Disambiguation.xlsm</x:v>
      </x:c>
      <x:c r="AL718" s="9" t="str">
        <x:v>pi0.5 Results</x:v>
      </x:c>
      <x:c r="AM718" s="9" t="n">
        <x:v>98</x:v>
      </x:c>
      <x:c r="AN718" s="9" t="n">
        <x:v>98</x:v>
      </x:c>
    </x:row>
    <x:row r="719">
      <x:c r="A719" s="9" t="str">
        <x:v>Failure</x:v>
      </x:c>
      <x:c r="B719" s="9" t="str">
        <x:v>Referential Disambiguation</x:v>
      </x:c>
      <x:c r="C719" s="10" t="n">
        <x:v>97</x:v>
      </x:c>
      <x:c r="D719" s="9" t="str">
        <x:v>Pick up the crushed soda can closest to the green pen and place it in the bowl.</x:v>
      </x:c>
      <x:c r="E719" s="9" t="str">
        <x:v>crushed Coke can; crushed Pepsi can; green pen</x:v>
      </x:c>
      <x:c r="F719" s="9" t="str">
        <x:v>crushed Coke can</x:v>
      </x:c>
      <x:c r="G719" s="9" t="str">
        <x:v>went for pepsi can, knocked it over, and tried again, but couldn't get it. </x:v>
      </x:c>
      <x:c r="H719" s="9" t="str">
        <x:v>Concept/compositional transfer</x:v>
      </x:c>
      <x:c r="I719" s="9" t="str">
        <x:v>RD-CT38</x:v>
      </x:c>
      <x:c r="J719" s="9" t="str">
        <x:v>Primary held-out relation × candidate-category composition — Pick up</x:v>
      </x:c>
      <x:c r="K719" s="9"/>
      <x:c r="L719" s="9" t="str">
        <x:v>412</x:v>
      </x:c>
      <x:c r="M719" s="9" t="str">
        <x:v>Masked source trajectory: the target identity and physical manipulation are trained under a direct-name prompt, while this relation × candidate-category composition is intentionally absent.</x:v>
      </x:c>
      <x:c r="N719" s="9" t="n">
        <x:v>4</x:v>
      </x:c>
      <x:c r="O719" s="9" t="str">
        <x:v>Place the listed objects. Arrange Expected Target as the unique answer to the prompt; keep the bowl empty and save a reference image.</x:v>
      </x:c>
      <x:c r="P719" s="9" t="str">
        <x:v>Both candidates are present. The held-out relation is the only information that identifies the target.</x:v>
      </x:c>
      <x:c r="Q719" s="9"/>
      <x:c r="R719" s="10" t="n">
        <x:v>3</x:v>
      </x:c>
      <x:c r="S719" s="10" t="n">
        <x:v>1</x:v>
      </x:c>
      <x:c r="T719" s="9" t="str">
        <x:v>Empty</x:v>
      </x:c>
      <x:c r="U719" s="9"/>
      <x:c r="V719" s="9"/>
      <x:c r="W719" s="9"/>
      <x:c r="X719" s="10"/>
      <x:c r="Y719" s="10"/>
      <x:c r="Z719" s="9"/>
      <x:c r="AA719" s="9"/>
      <x:c r="AB719" s="9" t="str">
        <x:v>closest</x:v>
      </x:c>
      <x:c r="AC719" s="9"/>
      <x:c r="AD719" s="9"/>
      <x:c r="AE719" s="9"/>
      <x:c r="AF719" s="9"/>
      <x:c r="AG719" s="9" t="str">
        <x:v>crushed soda can</x:v>
      </x:c>
      <x:c r="AH719" s="9"/>
      <x:c r="AI719" s="11"/>
      <x:c r="AJ719" s="9"/>
      <x:c r="AK719" s="9" t="str">
        <x:v>Eval_Referential_Disambiguation.xlsm</x:v>
      </x:c>
      <x:c r="AL719" s="9" t="str">
        <x:v>pi0.5 Results</x:v>
      </x:c>
      <x:c r="AM719" s="9" t="n">
        <x:v>99</x:v>
      </x:c>
      <x:c r="AN719" s="9" t="n">
        <x:v>99</x:v>
      </x:c>
    </x:row>
    <x:row r="720">
      <x:c r="A720" s="9" t="str">
        <x:v>Success</x:v>
      </x:c>
      <x:c r="B720" s="9" t="str">
        <x:v>Referential Disambiguation</x:v>
      </x:c>
      <x:c r="C720" s="10" t="n">
        <x:v>98</x:v>
      </x:c>
      <x:c r="D720" s="9" t="str">
        <x:v>Pick up the pencil sharpener between the green pen and the crushed Coke can and place it in the bowl.</x:v>
      </x:c>
      <x:c r="E720" s="9" t="str">
        <x:v>green pencil sharpener; red pencil sharpener; green pen; crushed Coke can</x:v>
      </x:c>
      <x:c r="F720" s="9" t="str">
        <x:v>green pencil sharpener</x:v>
      </x:c>
      <x:c r="G720" s="9"/>
      <x:c r="H720" s="9" t="str">
        <x:v>Concept/compositional transfer</x:v>
      </x:c>
      <x:c r="I720" s="9" t="str">
        <x:v>RD-CT39</x:v>
      </x:c>
      <x:c r="J720" s="9" t="str">
        <x:v>Primary held-out relation × candidate-category composition — Pick up</x:v>
      </x:c>
      <x:c r="K720" s="9"/>
      <x:c r="L720" s="9" t="str">
        <x:v>492</x:v>
      </x:c>
      <x:c r="M720" s="9" t="str">
        <x:v>Masked source trajectory: the target identity and physical manipulation are trained under a direct-name prompt, while this relation × candidate-category composition is intentionally absent.</x:v>
      </x:c>
      <x:c r="N720" s="9" t="n">
        <x:v>4</x:v>
      </x:c>
      <x:c r="O720" s="9" t="str">
        <x:v>Place the listed objects. Arrange Expected Target as the unique answer to the prompt; keep the bowl empty and save a reference image.</x:v>
      </x:c>
      <x:c r="P720" s="9" t="str">
        <x:v>Both candidates are present. The held-out relation is the only information that identifies the target.</x:v>
      </x:c>
      <x:c r="Q720" s="9"/>
      <x:c r="R720" s="10" t="n">
        <x:v>4</x:v>
      </x:c>
      <x:c r="S720" s="10" t="n">
        <x:v>1</x:v>
      </x:c>
      <x:c r="T720" s="9" t="str">
        <x:v>Empty</x:v>
      </x:c>
      <x:c r="U720" s="9"/>
      <x:c r="V720" s="9"/>
      <x:c r="W720" s="9"/>
      <x:c r="X720" s="10"/>
      <x:c r="Y720" s="10"/>
      <x:c r="Z720" s="9"/>
      <x:c r="AA720" s="9"/>
      <x:c r="AB720" s="9" t="str">
        <x:v>between</x:v>
      </x:c>
      <x:c r="AC720" s="9"/>
      <x:c r="AD720" s="9"/>
      <x:c r="AE720" s="9"/>
      <x:c r="AF720" s="9"/>
      <x:c r="AG720" s="9" t="str">
        <x:v>pencil sharpener</x:v>
      </x:c>
      <x:c r="AH720" s="9"/>
      <x:c r="AI720" s="11"/>
      <x:c r="AJ720" s="9"/>
      <x:c r="AK720" s="9" t="str">
        <x:v>Eval_Referential_Disambiguation.xlsm</x:v>
      </x:c>
      <x:c r="AL720" s="9" t="str">
        <x:v>pi0.5 Results</x:v>
      </x:c>
      <x:c r="AM720" s="9" t="n">
        <x:v>100</x:v>
      </x:c>
      <x:c r="AN720" s="9" t="n">
        <x:v>100</x:v>
      </x:c>
    </x:row>
    <x:row r="721">
      <x:c r="A721" s="9" t="str">
        <x:v>Success</x:v>
      </x:c>
      <x:c r="B721" s="9" t="str">
        <x:v>Referential Disambiguation</x:v>
      </x:c>
      <x:c r="C721" s="10" t="n">
        <x:v>99</x:v>
      </x:c>
      <x:c r="D721" s="9" t="str">
        <x:v>Put the airplane toy furthest from the crushed Coke can in the bowl.</x:v>
      </x:c>
      <x:c r="E721" s="9" t="str">
        <x:v>airplane toy with propellers; airplane toy without propellers; crushed Coke can; yellow pen</x:v>
      </x:c>
      <x:c r="F721" s="9" t="str">
        <x:v>airplane toy with propellers</x:v>
      </x:c>
      <x:c r="G721" s="9"/>
      <x:c r="H721" s="9" t="str">
        <x:v>Concept/compositional transfer</x:v>
      </x:c>
      <x:c r="I721" s="9" t="str">
        <x:v>RD-CT40</x:v>
      </x:c>
      <x:c r="J721" s="9" t="str">
        <x:v>Primary held-out relation × candidate-category composition — Put</x:v>
      </x:c>
      <x:c r="K721" s="9"/>
      <x:c r="L721" s="9" t="str">
        <x:v>566</x:v>
      </x:c>
      <x:c r="M721" s="9" t="str">
        <x:v>Masked source trajectory: the target identity and physical manipulation are trained under a direct-name prompt, while this relation × candidate-category composition is intentionally absent.</x:v>
      </x:c>
      <x:c r="N721" s="9" t="n">
        <x:v>4</x:v>
      </x:c>
      <x:c r="O721" s="9" t="str">
        <x:v>Place the listed objects. Arrange Expected Target as the unique answer to the prompt; keep the bowl empty and save a reference image.</x:v>
      </x:c>
      <x:c r="P721" s="9" t="str">
        <x:v>Both candidates are present. The held-out relation is the only information that identifies the target.</x:v>
      </x:c>
      <x:c r="Q721" s="9"/>
      <x:c r="R721" s="10" t="n">
        <x:v>4</x:v>
      </x:c>
      <x:c r="S721" s="10" t="n">
        <x:v>1</x:v>
      </x:c>
      <x:c r="T721" s="9" t="str">
        <x:v>Empty</x:v>
      </x:c>
      <x:c r="U721" s="9"/>
      <x:c r="V721" s="9"/>
      <x:c r="W721" s="9"/>
      <x:c r="X721" s="10"/>
      <x:c r="Y721" s="10"/>
      <x:c r="Z721" s="9"/>
      <x:c r="AA721" s="9"/>
      <x:c r="AB721" s="9" t="str">
        <x:v>furthest</x:v>
      </x:c>
      <x:c r="AC721" s="9"/>
      <x:c r="AD721" s="9"/>
      <x:c r="AE721" s="9"/>
      <x:c r="AF721" s="9"/>
      <x:c r="AG721" s="9" t="str">
        <x:v>airplane toy</x:v>
      </x:c>
      <x:c r="AH721" s="9"/>
      <x:c r="AI721" s="11"/>
      <x:c r="AJ721" s="9"/>
      <x:c r="AK721" s="9" t="str">
        <x:v>Eval_Referential_Disambiguation.xlsm</x:v>
      </x:c>
      <x:c r="AL721" s="9" t="str">
        <x:v>pi0.5 Results</x:v>
      </x:c>
      <x:c r="AM721" s="9" t="n">
        <x:v>101</x:v>
      </x:c>
      <x:c r="AN721" s="9" t="n">
        <x:v>101</x:v>
      </x:c>
    </x:row>
    <x:row r="722">
      <x:c r="A722" s="9" t="str">
        <x:v>Failure</x:v>
      </x:c>
      <x:c r="B722" s="9" t="str">
        <x:v>Referential Disambiguation</x:v>
      </x:c>
      <x:c r="C722" s="10" t="n">
        <x:v>100</x:v>
      </x:c>
      <x:c r="D722" s="9" t="str">
        <x:v>Put the crushed soda can closest to the airplane toy with propellers in the bowl.</x:v>
      </x:c>
      <x:c r="E722" s="9" t="str">
        <x:v>crushed Coke can; crushed Pepsi can; airplane toy with propellers; red pencil sharpener</x:v>
      </x:c>
      <x:c r="F722" s="9" t="str">
        <x:v>crushed Coke can</x:v>
      </x:c>
      <x:c r="G722" s="9" t="str">
        <x:v>picked pepsi can</x:v>
      </x:c>
      <x:c r="H722" s="9" t="str">
        <x:v>Concept/compositional transfer</x:v>
      </x:c>
      <x:c r="I722" s="9" t="str">
        <x:v>RD-CT41</x:v>
      </x:c>
      <x:c r="J722" s="9" t="str">
        <x:v>Primary held-out relation × candidate-category composition — Put</x:v>
      </x:c>
      <x:c r="K722" s="9"/>
      <x:c r="L722" s="9" t="str">
        <x:v>414</x:v>
      </x:c>
      <x:c r="M722" s="9" t="str">
        <x:v>Masked source trajectory: the target identity and physical manipulation are trained under a direct-name prompt, while this relation × candidate-category composition is intentionally absent.</x:v>
      </x:c>
      <x:c r="N722" s="9" t="n">
        <x:v>4</x:v>
      </x:c>
      <x:c r="O722" s="9" t="str">
        <x:v>Place the listed objects. Arrange Expected Target as the unique answer to the prompt; keep the bowl empty and save a reference image.</x:v>
      </x:c>
      <x:c r="P722" s="9" t="str">
        <x:v>Both candidates are present. The held-out relation is the only information that identifies the target.</x:v>
      </x:c>
      <x:c r="Q722" s="9"/>
      <x:c r="R722" s="10" t="n">
        <x:v>4</x:v>
      </x:c>
      <x:c r="S722" s="10" t="n">
        <x:v>1</x:v>
      </x:c>
      <x:c r="T722" s="9" t="str">
        <x:v>Empty</x:v>
      </x:c>
      <x:c r="U722" s="9"/>
      <x:c r="V722" s="9"/>
      <x:c r="W722" s="9"/>
      <x:c r="X722" s="10"/>
      <x:c r="Y722" s="10"/>
      <x:c r="Z722" s="9"/>
      <x:c r="AA722" s="9"/>
      <x:c r="AB722" s="9" t="str">
        <x:v>closest</x:v>
      </x:c>
      <x:c r="AC722" s="9"/>
      <x:c r="AD722" s="9"/>
      <x:c r="AE722" s="9"/>
      <x:c r="AF722" s="9"/>
      <x:c r="AG722" s="9" t="str">
        <x:v>crushed soda can</x:v>
      </x:c>
      <x:c r="AH722" s="9"/>
      <x:c r="AI722" s="11"/>
      <x:c r="AJ722" s="9"/>
      <x:c r="AK722" s="9" t="str">
        <x:v>Eval_Referential_Disambiguation.xlsm</x:v>
      </x:c>
      <x:c r="AL722" s="9" t="str">
        <x:v>pi0.5 Results</x:v>
      </x:c>
      <x:c r="AM722" s="9" t="n">
        <x:v>102</x:v>
      </x:c>
      <x:c r="AN722" s="9" t="n">
        <x:v>102</x:v>
      </x:c>
    </x:row>
    <x:row r="723">
      <x:c r="A723" s="9" t="str">
        <x:v>Failure</x:v>
      </x:c>
      <x:c r="B723" s="9" t="str">
        <x:v>Referential Disambiguation</x:v>
      </x:c>
      <x:c r="C723" s="10" t="n">
        <x:v>101</x:v>
      </x:c>
      <x:c r="D723" s="9" t="str">
        <x:v>Put the pencil sharpener between the airplane toy with propellers and the yellow pen in the bowl.</x:v>
      </x:c>
      <x:c r="E723" s="9" t="str">
        <x:v>green pencil sharpener; red pencil sharpener; airplane toy with propellers; yellow pen; airplane toy without propellers</x:v>
      </x:c>
      <x:c r="F723" s="9" t="str">
        <x:v>green pencil sharpener</x:v>
      </x:c>
      <x:c r="G723" s="9" t="str">
        <x:v>just started grasping nothing in the workspace</x:v>
      </x:c>
      <x:c r="H723" s="9" t="str">
        <x:v>Concept/compositional transfer</x:v>
      </x:c>
      <x:c r="I723" s="9" t="str">
        <x:v>RD-CT42</x:v>
      </x:c>
      <x:c r="J723" s="9" t="str">
        <x:v>Primary held-out relation × candidate-category composition — Put</x:v>
      </x:c>
      <x:c r="K723" s="9"/>
      <x:c r="L723" s="9" t="str">
        <x:v>495</x:v>
      </x:c>
      <x:c r="M723" s="9" t="str">
        <x:v>Masked source trajectory: the target identity and physical manipulation are trained under a direct-name prompt, while this relation × candidate-category composition is intentionally absent.</x:v>
      </x:c>
      <x:c r="N723" s="9" t="n">
        <x:v>4</x:v>
      </x:c>
      <x:c r="O723" s="9" t="str">
        <x:v>Place the listed objects. Arrange Expected Target as the unique answer to the prompt; keep the bowl empty and save a reference image.</x:v>
      </x:c>
      <x:c r="P723" s="9" t="str">
        <x:v>Both candidates are present. The held-out relation is the only information that identifies the target.</x:v>
      </x:c>
      <x:c r="Q723" s="9"/>
      <x:c r="R723" s="10" t="n">
        <x:v>5</x:v>
      </x:c>
      <x:c r="S723" s="10" t="n">
        <x:v>1</x:v>
      </x:c>
      <x:c r="T723" s="9" t="str">
        <x:v>Empty</x:v>
      </x:c>
      <x:c r="U723" s="9"/>
      <x:c r="V723" s="9"/>
      <x:c r="W723" s="9"/>
      <x:c r="X723" s="10"/>
      <x:c r="Y723" s="10"/>
      <x:c r="Z723" s="9"/>
      <x:c r="AA723" s="9"/>
      <x:c r="AB723" s="9" t="str">
        <x:v>between</x:v>
      </x:c>
      <x:c r="AC723" s="9"/>
      <x:c r="AD723" s="9"/>
      <x:c r="AE723" s="9"/>
      <x:c r="AF723" s="9"/>
      <x:c r="AG723" s="9" t="str">
        <x:v>pencil sharpener</x:v>
      </x:c>
      <x:c r="AH723" s="9"/>
      <x:c r="AI723" s="11"/>
      <x:c r="AJ723" s="9"/>
      <x:c r="AK723" s="9" t="str">
        <x:v>Eval_Referential_Disambiguation.xlsm</x:v>
      </x:c>
      <x:c r="AL723" s="9" t="str">
        <x:v>pi0.5 Results</x:v>
      </x:c>
      <x:c r="AM723" s="9" t="n">
        <x:v>103</x:v>
      </x:c>
      <x:c r="AN723" s="9" t="n">
        <x:v>103</x:v>
      </x:c>
    </x:row>
    <x:row r="724">
      <x:c r="A724" s="9" t="str">
        <x:v>Failure</x:v>
      </x:c>
      <x:c r="B724" s="9" t="str">
        <x:v>Referential Disambiguation</x:v>
      </x:c>
      <x:c r="C724" s="10" t="n">
        <x:v>102</x:v>
      </x:c>
      <x:c r="D724" s="9" t="str">
        <x:v>Move the airplane toy furthest from the green pencil sharpener into the bowl.</x:v>
      </x:c>
      <x:c r="E724" s="9" t="str">
        <x:v>airplane toy with propellers; airplane toy without propellers; green pencil sharpener</x:v>
      </x:c>
      <x:c r="F724" s="9" t="str">
        <x:v>airplane toy without propellers</x:v>
      </x:c>
      <x:c r="G724" s="9" t="str">
        <x:v>picked closest airplane toy</x:v>
      </x:c>
      <x:c r="H724" s="9" t="str">
        <x:v>Concept/compositional transfer</x:v>
      </x:c>
      <x:c r="I724" s="9" t="str">
        <x:v>RD-CT43</x:v>
      </x:c>
      <x:c r="J724" s="9" t="str">
        <x:v>Primary held-out relation × candidate-category composition — Move</x:v>
      </x:c>
      <x:c r="K724" s="9"/>
      <x:c r="L724" s="9" t="str">
        <x:v>577</x:v>
      </x:c>
      <x:c r="M724" s="9" t="str">
        <x:v>Masked source trajectory: the target identity and physical manipulation are trained under a direct-name prompt, while this relation × candidate-category composition is intentionally absent.</x:v>
      </x:c>
      <x:c r="N724" s="9" t="n">
        <x:v>4</x:v>
      </x:c>
      <x:c r="O724" s="9" t="str">
        <x:v>Place the listed objects. Arrange Expected Target as the unique answer to the prompt; keep the bowl empty and save a reference image.</x:v>
      </x:c>
      <x:c r="P724" s="9" t="str">
        <x:v>Both candidates are present. The held-out relation is the only information that identifies the target.</x:v>
      </x:c>
      <x:c r="Q724" s="9"/>
      <x:c r="R724" s="10" t="n">
        <x:v>3</x:v>
      </x:c>
      <x:c r="S724" s="10" t="n">
        <x:v>1</x:v>
      </x:c>
      <x:c r="T724" s="9" t="str">
        <x:v>Empty</x:v>
      </x:c>
      <x:c r="U724" s="9"/>
      <x:c r="V724" s="9"/>
      <x:c r="W724" s="9"/>
      <x:c r="X724" s="10"/>
      <x:c r="Y724" s="10"/>
      <x:c r="Z724" s="9"/>
      <x:c r="AA724" s="9"/>
      <x:c r="AB724" s="9" t="str">
        <x:v>furthest</x:v>
      </x:c>
      <x:c r="AC724" s="9"/>
      <x:c r="AD724" s="9"/>
      <x:c r="AE724" s="9"/>
      <x:c r="AF724" s="9"/>
      <x:c r="AG724" s="9" t="str">
        <x:v>airplane toy</x:v>
      </x:c>
      <x:c r="AH724" s="9"/>
      <x:c r="AI724" s="11"/>
      <x:c r="AJ724" s="9"/>
      <x:c r="AK724" s="9" t="str">
        <x:v>Eval_Referential_Disambiguation.xlsm</x:v>
      </x:c>
      <x:c r="AL724" s="9" t="str">
        <x:v>pi0.5 Results</x:v>
      </x:c>
      <x:c r="AM724" s="9" t="n">
        <x:v>104</x:v>
      </x:c>
      <x:c r="AN724" s="9" t="n">
        <x:v>104</x:v>
      </x:c>
    </x:row>
    <x:row r="725">
      <x:c r="A725" s="9" t="str">
        <x:v>Failure</x:v>
      </x:c>
      <x:c r="B725" s="9" t="str">
        <x:v>Referential Disambiguation</x:v>
      </x:c>
      <x:c r="C725" s="10" t="n">
        <x:v>103</x:v>
      </x:c>
      <x:c r="D725" s="9" t="str">
        <x:v>Move the crushed soda can closest to the green pencil sharpener into the bowl.</x:v>
      </x:c>
      <x:c r="E725" s="9" t="str">
        <x:v>crushed Coke can; crushed Pepsi can; green pencil sharpener</x:v>
      </x:c>
      <x:c r="F725" s="9" t="str">
        <x:v>crushed Pepsi can</x:v>
      </x:c>
      <x:c r="G725" s="9" t="str">
        <x:v>picked furthest soda can</x:v>
      </x:c>
      <x:c r="H725" s="9" t="str">
        <x:v>Concept/compositional transfer</x:v>
      </x:c>
      <x:c r="I725" s="9" t="str">
        <x:v>RD-CT44</x:v>
      </x:c>
      <x:c r="J725" s="9" t="str">
        <x:v>Primary held-out relation × candidate-category composition — Move</x:v>
      </x:c>
      <x:c r="K725" s="9"/>
      <x:c r="L725" s="9" t="str">
        <x:v>413</x:v>
      </x:c>
      <x:c r="M725" s="9" t="str">
        <x:v>Masked source trajectory: the target identity and physical manipulation are trained under a direct-name prompt, while this relation × candidate-category composition is intentionally absent.</x:v>
      </x:c>
      <x:c r="N725" s="9" t="n">
        <x:v>4</x:v>
      </x:c>
      <x:c r="O725" s="9" t="str">
        <x:v>Place the listed objects. Arrange Expected Target as the unique answer to the prompt; keep the bowl empty and save a reference image.</x:v>
      </x:c>
      <x:c r="P725" s="9" t="str">
        <x:v>Both candidates are present. The held-out relation is the only information that identifies the target.</x:v>
      </x:c>
      <x:c r="Q725" s="9"/>
      <x:c r="R725" s="10" t="n">
        <x:v>3</x:v>
      </x:c>
      <x:c r="S725" s="10" t="n">
        <x:v>1</x:v>
      </x:c>
      <x:c r="T725" s="9" t="str">
        <x:v>Empty</x:v>
      </x:c>
      <x:c r="U725" s="9"/>
      <x:c r="V725" s="9"/>
      <x:c r="W725" s="9"/>
      <x:c r="X725" s="10"/>
      <x:c r="Y725" s="10"/>
      <x:c r="Z725" s="9"/>
      <x:c r="AA725" s="9"/>
      <x:c r="AB725" s="9" t="str">
        <x:v>closest</x:v>
      </x:c>
      <x:c r="AC725" s="9"/>
      <x:c r="AD725" s="9"/>
      <x:c r="AE725" s="9"/>
      <x:c r="AF725" s="9"/>
      <x:c r="AG725" s="9" t="str">
        <x:v>crushed soda can</x:v>
      </x:c>
      <x:c r="AH725" s="9"/>
      <x:c r="AI725" s="11"/>
      <x:c r="AJ725" s="9"/>
      <x:c r="AK725" s="9" t="str">
        <x:v>Eval_Referential_Disambiguation.xlsm</x:v>
      </x:c>
      <x:c r="AL725" s="9" t="str">
        <x:v>pi0.5 Results</x:v>
      </x:c>
      <x:c r="AM725" s="9" t="n">
        <x:v>105</x:v>
      </x:c>
      <x:c r="AN725" s="9" t="n">
        <x:v>105</x:v>
      </x:c>
    </x:row>
    <x:row r="726">
      <x:c r="A726" s="9" t="str">
        <x:v>Success</x:v>
      </x:c>
      <x:c r="B726" s="9" t="str">
        <x:v>Referential Disambiguation</x:v>
      </x:c>
      <x:c r="C726" s="10" t="n">
        <x:v>104</x:v>
      </x:c>
      <x:c r="D726" s="9" t="str">
        <x:v>Move the pencil sharpener between the crushed Pepsi can and the airplane toy without propellers into the bowl.</x:v>
      </x:c>
      <x:c r="E726" s="9" t="str">
        <x:v>green pencil sharpener; red pencil sharpener; crushed Pepsi can; airplane toy without propellers</x:v>
      </x:c>
      <x:c r="F726" s="9" t="str">
        <x:v>red pencil sharpener</x:v>
      </x:c>
      <x:c r="G726" s="9"/>
      <x:c r="H726" s="9" t="str">
        <x:v>Concept/compositional transfer</x:v>
      </x:c>
      <x:c r="I726" s="9" t="str">
        <x:v>RD-CT45</x:v>
      </x:c>
      <x:c r="J726" s="9" t="str">
        <x:v>Primary held-out relation × candidate-category composition — Move</x:v>
      </x:c>
      <x:c r="K726" s="9"/>
      <x:c r="L726" s="9" t="str">
        <x:v>493</x:v>
      </x:c>
      <x:c r="M726" s="9" t="str">
        <x:v>Masked source trajectory: the target identity and physical manipulation are trained under a direct-name prompt, while this relation × candidate-category composition is intentionally absent.</x:v>
      </x:c>
      <x:c r="N726" s="9" t="n">
        <x:v>4</x:v>
      </x:c>
      <x:c r="O726" s="9" t="str">
        <x:v>Place the listed objects. Arrange Expected Target as the unique answer to the prompt; keep the bowl empty and save a reference image.</x:v>
      </x:c>
      <x:c r="P726" s="9" t="str">
        <x:v>Both candidates are present. The held-out relation is the only information that identifies the target.</x:v>
      </x:c>
      <x:c r="Q726" s="9"/>
      <x:c r="R726" s="10" t="n">
        <x:v>4</x:v>
      </x:c>
      <x:c r="S726" s="10" t="n">
        <x:v>1</x:v>
      </x:c>
      <x:c r="T726" s="9" t="str">
        <x:v>Empty</x:v>
      </x:c>
      <x:c r="U726" s="9"/>
      <x:c r="V726" s="9"/>
      <x:c r="W726" s="9"/>
      <x:c r="X726" s="10"/>
      <x:c r="Y726" s="10"/>
      <x:c r="Z726" s="9"/>
      <x:c r="AA726" s="9"/>
      <x:c r="AB726" s="9" t="str">
        <x:v>between</x:v>
      </x:c>
      <x:c r="AC726" s="9"/>
      <x:c r="AD726" s="9"/>
      <x:c r="AE726" s="9"/>
      <x:c r="AF726" s="9"/>
      <x:c r="AG726" s="9" t="str">
        <x:v>pencil sharpener</x:v>
      </x:c>
      <x:c r="AH726" s="9"/>
      <x:c r="AI726" s="11"/>
      <x:c r="AJ726" s="9"/>
      <x:c r="AK726" s="9" t="str">
        <x:v>Eval_Referential_Disambiguation.xlsm</x:v>
      </x:c>
      <x:c r="AL726" s="9" t="str">
        <x:v>pi0.5 Results</x:v>
      </x:c>
      <x:c r="AM726" s="9" t="n">
        <x:v>106</x:v>
      </x:c>
      <x:c r="AN726" s="9" t="n">
        <x:v>106</x:v>
      </x:c>
    </x:row>
    <x:row r="727">
      <x:c r="A727" s="9" t="str">
        <x:v>Success</x:v>
      </x:c>
      <x:c r="B727" s="9" t="str">
        <x:v>Referential Disambiguation</x:v>
      </x:c>
      <x:c r="C727" s="10" t="n">
        <x:v>105</x:v>
      </x:c>
      <x:c r="D727" s="9" t="str">
        <x:v>Pick up the airplane toy furthest from the yellow pen and place it in the bowl.</x:v>
      </x:c>
      <x:c r="E727" s="9" t="str">
        <x:v>airplane toy with propellers; airplane toy without propellers; yellow pen; crushed Coke can</x:v>
      </x:c>
      <x:c r="F727" s="9" t="str">
        <x:v>airplane toy without propellers</x:v>
      </x:c>
      <x:c r="G727" s="9"/>
      <x:c r="H727" s="9" t="str">
        <x:v>Concept/compositional transfer</x:v>
      </x:c>
      <x:c r="I727" s="9" t="str">
        <x:v>RD-CT46</x:v>
      </x:c>
      <x:c r="J727" s="9" t="str">
        <x:v>Primary held-out relation × candidate-category composition — Pick up</x:v>
      </x:c>
      <x:c r="K727" s="9"/>
      <x:c r="L727" s="9" t="str">
        <x:v>579</x:v>
      </x:c>
      <x:c r="M727" s="9" t="str">
        <x:v>Masked source trajectory: the target identity and physical manipulation are trained under a direct-name prompt, while this relation × candidate-category composition is intentionally absent.</x:v>
      </x:c>
      <x:c r="N727" s="9" t="n">
        <x:v>4</x:v>
      </x:c>
      <x:c r="O727" s="9" t="str">
        <x:v>Place the listed objects. Arrange Expected Target as the unique answer to the prompt; keep the bowl empty and save a reference image.</x:v>
      </x:c>
      <x:c r="P727" s="9" t="str">
        <x:v>Both candidates are present. The held-out relation is the only information that identifies the target.</x:v>
      </x:c>
      <x:c r="Q727" s="9"/>
      <x:c r="R727" s="10" t="n">
        <x:v>4</x:v>
      </x:c>
      <x:c r="S727" s="10" t="n">
        <x:v>1</x:v>
      </x:c>
      <x:c r="T727" s="9" t="str">
        <x:v>Empty</x:v>
      </x:c>
      <x:c r="U727" s="9"/>
      <x:c r="V727" s="9"/>
      <x:c r="W727" s="9"/>
      <x:c r="X727" s="10"/>
      <x:c r="Y727" s="10"/>
      <x:c r="Z727" s="9"/>
      <x:c r="AA727" s="9"/>
      <x:c r="AB727" s="9" t="str">
        <x:v>furthest</x:v>
      </x:c>
      <x:c r="AC727" s="9"/>
      <x:c r="AD727" s="9"/>
      <x:c r="AE727" s="9"/>
      <x:c r="AF727" s="9"/>
      <x:c r="AG727" s="9" t="str">
        <x:v>airplane toy</x:v>
      </x:c>
      <x:c r="AH727" s="9"/>
      <x:c r="AI727" s="11"/>
      <x:c r="AJ727" s="9"/>
      <x:c r="AK727" s="9" t="str">
        <x:v>Eval_Referential_Disambiguation.xlsm</x:v>
      </x:c>
      <x:c r="AL727" s="9" t="str">
        <x:v>pi0.5 Results</x:v>
      </x:c>
      <x:c r="AM727" s="9" t="n">
        <x:v>107</x:v>
      </x:c>
      <x:c r="AN727" s="9" t="n">
        <x:v>107</x:v>
      </x:c>
    </x:row>
    <x:row r="728">
      <x:c r="A728" s="9" t="str">
        <x:v>Failure</x:v>
      </x:c>
      <x:c r="B728" s="9" t="str">
        <x:v>Referential Disambiguation</x:v>
      </x:c>
      <x:c r="C728" s="10" t="n">
        <x:v>106</x:v>
      </x:c>
      <x:c r="D728" s="9" t="str">
        <x:v>Pick up the crushed soda can closest to the yellow pen and place it in the bowl.</x:v>
      </x:c>
      <x:c r="E728" s="9" t="str">
        <x:v>crushed Coke can; crushed Pepsi can; yellow pen; green pen</x:v>
      </x:c>
      <x:c r="F728" s="9" t="str">
        <x:v>crushed Pepsi can</x:v>
      </x:c>
      <x:c r="G728" s="9" t="str">
        <x:v>picked the coke can; furthest from yellow pen, closest to green pen.</x:v>
      </x:c>
      <x:c r="H728" s="9" t="str">
        <x:v>Concept/compositional transfer</x:v>
      </x:c>
      <x:c r="I728" s="9" t="str">
        <x:v>RD-CT47</x:v>
      </x:c>
      <x:c r="J728" s="9" t="str">
        <x:v>Primary held-out relation × candidate-category composition — Pick up</x:v>
      </x:c>
      <x:c r="K728" s="9"/>
      <x:c r="L728" s="9" t="str">
        <x:v>401</x:v>
      </x:c>
      <x:c r="M728" s="9" t="str">
        <x:v>Masked source trajectory: the target identity and physical manipulation are trained under a direct-name prompt, while this relation × candidate-category composition is intentionally absent.</x:v>
      </x:c>
      <x:c r="N728" s="9" t="n">
        <x:v>4</x:v>
      </x:c>
      <x:c r="O728" s="9" t="str">
        <x:v>Place the listed objects. Arrange Expected Target as the unique answer to the prompt; keep the bowl empty and save a reference image.</x:v>
      </x:c>
      <x:c r="P728" s="9" t="str">
        <x:v>Both candidates are present. The held-out relation is the only information that identifies the target.</x:v>
      </x:c>
      <x:c r="Q728" s="9"/>
      <x:c r="R728" s="10" t="n">
        <x:v>4</x:v>
      </x:c>
      <x:c r="S728" s="10" t="n">
        <x:v>1</x:v>
      </x:c>
      <x:c r="T728" s="9" t="str">
        <x:v>Empty</x:v>
      </x:c>
      <x:c r="U728" s="9"/>
      <x:c r="V728" s="9"/>
      <x:c r="W728" s="9"/>
      <x:c r="X728" s="10"/>
      <x:c r="Y728" s="10"/>
      <x:c r="Z728" s="9"/>
      <x:c r="AA728" s="9"/>
      <x:c r="AB728" s="9" t="str">
        <x:v>closest</x:v>
      </x:c>
      <x:c r="AC728" s="9"/>
      <x:c r="AD728" s="9"/>
      <x:c r="AE728" s="9"/>
      <x:c r="AF728" s="9"/>
      <x:c r="AG728" s="9" t="str">
        <x:v>crushed soda can</x:v>
      </x:c>
      <x:c r="AH728" s="9"/>
      <x:c r="AI728" s="11"/>
      <x:c r="AJ728" s="9"/>
      <x:c r="AK728" s="9" t="str">
        <x:v>Eval_Referential_Disambiguation.xlsm</x:v>
      </x:c>
      <x:c r="AL728" s="9" t="str">
        <x:v>pi0.5 Results</x:v>
      </x:c>
      <x:c r="AM728" s="9" t="n">
        <x:v>108</x:v>
      </x:c>
      <x:c r="AN728" s="9" t="n">
        <x:v>108</x:v>
      </x:c>
    </x:row>
    <x:row r="729">
      <x:c r="A729" s="9" t="str">
        <x:v>Success</x:v>
      </x:c>
      <x:c r="B729" s="9" t="str">
        <x:v>Referential Disambiguation</x:v>
      </x:c>
      <x:c r="C729" s="10" t="n">
        <x:v>107</x:v>
      </x:c>
      <x:c r="D729" s="9" t="str">
        <x:v>Pick up the pencil sharpener between the green pen and the crushed Coke can and place it in the bowl.</x:v>
      </x:c>
      <x:c r="E729" s="9" t="str">
        <x:v>green pencil sharpener; red pencil sharpener; green pen; crushed Coke can; yellow pen</x:v>
      </x:c>
      <x:c r="F729" s="9" t="str">
        <x:v>red pencil sharpener</x:v>
      </x:c>
      <x:c r="G729" s="9"/>
      <x:c r="H729" s="9" t="str">
        <x:v>Concept/compositional transfer</x:v>
      </x:c>
      <x:c r="I729" s="9" t="str">
        <x:v>RD-CT48</x:v>
      </x:c>
      <x:c r="J729" s="9" t="str">
        <x:v>Primary held-out relation × candidate-category composition — Pick up</x:v>
      </x:c>
      <x:c r="K729" s="9"/>
      <x:c r="L729" s="9" t="str">
        <x:v>494</x:v>
      </x:c>
      <x:c r="M729" s="9" t="str">
        <x:v>Masked source trajectory: the target identity and physical manipulation are trained under a direct-name prompt, while this relation × candidate-category composition is intentionally absent.</x:v>
      </x:c>
      <x:c r="N729" s="9" t="n">
        <x:v>4</x:v>
      </x:c>
      <x:c r="O729" s="9" t="str">
        <x:v>Place the listed objects. Arrange Expected Target as the unique answer to the prompt; keep the bowl empty and save a reference image.</x:v>
      </x:c>
      <x:c r="P729" s="9" t="str">
        <x:v>Both candidates are present. The held-out relation is the only information that identifies the target.</x:v>
      </x:c>
      <x:c r="Q729" s="9"/>
      <x:c r="R729" s="10" t="n">
        <x:v>5</x:v>
      </x:c>
      <x:c r="S729" s="10" t="n">
        <x:v>1</x:v>
      </x:c>
      <x:c r="T729" s="9" t="str">
        <x:v>Empty</x:v>
      </x:c>
      <x:c r="U729" s="9"/>
      <x:c r="V729" s="9"/>
      <x:c r="W729" s="9"/>
      <x:c r="X729" s="10"/>
      <x:c r="Y729" s="10"/>
      <x:c r="Z729" s="9"/>
      <x:c r="AA729" s="9"/>
      <x:c r="AB729" s="9" t="str">
        <x:v>between</x:v>
      </x:c>
      <x:c r="AC729" s="9"/>
      <x:c r="AD729" s="9"/>
      <x:c r="AE729" s="9"/>
      <x:c r="AF729" s="9"/>
      <x:c r="AG729" s="9" t="str">
        <x:v>pencil sharpener</x:v>
      </x:c>
      <x:c r="AH729" s="9"/>
      <x:c r="AI729" s="11"/>
      <x:c r="AJ729" s="9"/>
      <x:c r="AK729" s="9" t="str">
        <x:v>Eval_Referential_Disambiguation.xlsm</x:v>
      </x:c>
      <x:c r="AL729" s="9" t="str">
        <x:v>pi0.5 Results</x:v>
      </x:c>
      <x:c r="AM729" s="9" t="n">
        <x:v>109</x:v>
      </x:c>
      <x:c r="AN729" s="9" t="n">
        <x:v>109</x:v>
      </x:c>
    </x:row>
    <x:row r="730">
      <x:c r="A730" s="9" t="str">
        <x:v>Success</x:v>
      </x:c>
      <x:c r="B730" s="9" t="str">
        <x:v>Referential Disambiguation</x:v>
      </x:c>
      <x:c r="C730" s="10" t="n">
        <x:v>108</x:v>
      </x:c>
      <x:c r="D730" s="9" t="str">
        <x:v>Put the airplane toy furthest from the crushed Pepsi can in the bowl.</x:v>
      </x:c>
      <x:c r="E730" s="9" t="str">
        <x:v>airplane toy with propellers; airplane toy without propellers; crushed Pepsi can; green pen</x:v>
      </x:c>
      <x:c r="F730" s="9" t="str">
        <x:v>airplane toy with propellers</x:v>
      </x:c>
      <x:c r="G730" s="9"/>
      <x:c r="H730" s="9" t="str">
        <x:v>Concept/compositional transfer</x:v>
      </x:c>
      <x:c r="I730" s="9" t="str">
        <x:v>RD-CT49</x:v>
      </x:c>
      <x:c r="J730" s="9" t="str">
        <x:v>Primary held-out relation × candidate-category composition — Put</x:v>
      </x:c>
      <x:c r="K730" s="9"/>
      <x:c r="L730" s="9" t="str">
        <x:v>568</x:v>
      </x:c>
      <x:c r="M730" s="9" t="str">
        <x:v>Masked source trajectory: the target identity and physical manipulation are trained under a direct-name prompt, while this relation × candidate-category composition is intentionally absent.</x:v>
      </x:c>
      <x:c r="N730" s="9" t="n">
        <x:v>4</x:v>
      </x:c>
      <x:c r="O730" s="9" t="str">
        <x:v>Place the listed objects. Arrange Expected Target as the unique answer to the prompt; keep the bowl empty and save a reference image.</x:v>
      </x:c>
      <x:c r="P730" s="9" t="str">
        <x:v>Both candidates are present. The held-out relation is the only information that identifies the target.</x:v>
      </x:c>
      <x:c r="Q730" s="9"/>
      <x:c r="R730" s="10" t="n">
        <x:v>4</x:v>
      </x:c>
      <x:c r="S730" s="10" t="n">
        <x:v>1</x:v>
      </x:c>
      <x:c r="T730" s="9" t="str">
        <x:v>Empty</x:v>
      </x:c>
      <x:c r="U730" s="9"/>
      <x:c r="V730" s="9"/>
      <x:c r="W730" s="9"/>
      <x:c r="X730" s="10"/>
      <x:c r="Y730" s="10"/>
      <x:c r="Z730" s="9"/>
      <x:c r="AA730" s="9"/>
      <x:c r="AB730" s="9" t="str">
        <x:v>furthest</x:v>
      </x:c>
      <x:c r="AC730" s="9"/>
      <x:c r="AD730" s="9"/>
      <x:c r="AE730" s="9"/>
      <x:c r="AF730" s="9"/>
      <x:c r="AG730" s="9" t="str">
        <x:v>airplane toy</x:v>
      </x:c>
      <x:c r="AH730" s="9"/>
      <x:c r="AI730" s="11"/>
      <x:c r="AJ730" s="9"/>
      <x:c r="AK730" s="9" t="str">
        <x:v>Eval_Referential_Disambiguation.xlsm</x:v>
      </x:c>
      <x:c r="AL730" s="9" t="str">
        <x:v>pi0.5 Results</x:v>
      </x:c>
      <x:c r="AM730" s="9" t="n">
        <x:v>110</x:v>
      </x:c>
      <x:c r="AN730" s="9" t="n">
        <x:v>110</x:v>
      </x:c>
    </x:row>
    <x:row r="731">
      <x:c r="A731" s="9" t="str">
        <x:v>Failure</x:v>
      </x:c>
      <x:c r="B731" s="9" t="str">
        <x:v>Referential Disambiguation</x:v>
      </x:c>
      <x:c r="C731" s="10" t="n">
        <x:v>109</x:v>
      </x:c>
      <x:c r="D731" s="9" t="str">
        <x:v>Put the crushed soda can closest to the airplane toy without propellers in the bowl.</x:v>
      </x:c>
      <x:c r="E731" s="9" t="str">
        <x:v>crushed Coke can; crushed Pepsi can; airplane toy without propellers; green pencil sharpener</x:v>
      </x:c>
      <x:c r="F731" s="9" t="str">
        <x:v>crushed Coke can</x:v>
      </x:c>
      <x:c r="G731" s="9" t="str">
        <x:v>picked furthest from airplane toy/closest to green pencil sharpener</x:v>
      </x:c>
      <x:c r="H731" s="9" t="str">
        <x:v>Concept/compositional transfer</x:v>
      </x:c>
      <x:c r="I731" s="9" t="str">
        <x:v>RD-CT50</x:v>
      </x:c>
      <x:c r="J731" s="9" t="str">
        <x:v>Primary held-out relation × candidate-category composition — Put</x:v>
      </x:c>
      <x:c r="K731" s="9"/>
      <x:c r="L731" s="9" t="str">
        <x:v>400</x:v>
      </x:c>
      <x:c r="M731" s="9" t="str">
        <x:v>Masked source trajectory: the target identity and physical manipulation are trained under a direct-name prompt, while this relation × candidate-category composition is intentionally absent.</x:v>
      </x:c>
      <x:c r="N731" s="9" t="n">
        <x:v>4</x:v>
      </x:c>
      <x:c r="O731" s="9" t="str">
        <x:v>Place the listed objects. Arrange Expected Target as the unique answer to the prompt; keep the bowl empty and save a reference image.</x:v>
      </x:c>
      <x:c r="P731" s="9" t="str">
        <x:v>Both candidates are present. The held-out relation is the only information that identifies the target.</x:v>
      </x:c>
      <x:c r="Q731" s="9"/>
      <x:c r="R731" s="10" t="n">
        <x:v>4</x:v>
      </x:c>
      <x:c r="S731" s="10" t="n">
        <x:v>1</x:v>
      </x:c>
      <x:c r="T731" s="9" t="str">
        <x:v>Empty</x:v>
      </x:c>
      <x:c r="U731" s="9"/>
      <x:c r="V731" s="9"/>
      <x:c r="W731" s="9"/>
      <x:c r="X731" s="10"/>
      <x:c r="Y731" s="10"/>
      <x:c r="Z731" s="9"/>
      <x:c r="AA731" s="9"/>
      <x:c r="AB731" s="9" t="str">
        <x:v>closest</x:v>
      </x:c>
      <x:c r="AC731" s="9"/>
      <x:c r="AD731" s="9"/>
      <x:c r="AE731" s="9"/>
      <x:c r="AF731" s="9"/>
      <x:c r="AG731" s="9" t="str">
        <x:v>crushed soda can</x:v>
      </x:c>
      <x:c r="AH731" s="9"/>
      <x:c r="AI731" s="11"/>
      <x:c r="AJ731" s="9"/>
      <x:c r="AK731" s="9" t="str">
        <x:v>Eval_Referential_Disambiguation.xlsm</x:v>
      </x:c>
      <x:c r="AL731" s="9" t="str">
        <x:v>pi0.5 Results</x:v>
      </x:c>
      <x:c r="AM731" s="9" t="n">
        <x:v>111</x:v>
      </x:c>
      <x:c r="AN731" s="9" t="n">
        <x:v>111</x:v>
      </x:c>
    </x:row>
    <x:row r="732">
      <x:c r="A732" s="9" t="str">
        <x:v>Failure</x:v>
      </x:c>
      <x:c r="B732" s="9" t="str">
        <x:v>Referential Disambiguation</x:v>
      </x:c>
      <x:c r="C732" s="10" t="n">
        <x:v>110</x:v>
      </x:c>
      <x:c r="D732" s="9" t="str">
        <x:v>Pick up the block closest to the crushed Coke can and place it in the bowl.</x:v>
      </x:c>
      <x:c r="E732" s="9" t="str">
        <x:v>green block; blue block; crushed Coke can</x:v>
      </x:c>
      <x:c r="F732" s="9" t="str">
        <x:v>green block</x:v>
      </x:c>
      <x:c r="G732" s="9" t="str">
        <x:v>picked up the coke can</x:v>
      </x:c>
      <x:c r="H732" s="9" t="str">
        <x:v>Cross-task block reasoning</x:v>
      </x:c>
      <x:c r="I732" s="9" t="str">
        <x:v>RD-BLOCK01</x:v>
      </x:c>
      <x:c r="J732" s="9" t="str">
        <x:v>Cross-task block candidate pair — closest</x:v>
      </x:c>
      <x:c r="K732" s="9"/>
      <x:c r="L732" s="9" t="str">
        <x:v>500; 1075; 350</x:v>
      </x:c>
      <x:c r="M732" s="9" t="str">
        <x:v>Relation grounding is explicit in Referential Disambiguation, and both block identities are manipulated elsewhere in fine-tuning; block × referential-relation is absent.</x:v>
      </x:c>
      <x:c r="N732" s="9" t="n">
        <x:v>5</x:v>
      </x:c>
      <x:c r="O732" s="9" t="str">
        <x:v>Place the listed objects. Arrange the expected block as the unique closest target; keep the bowl empty.</x:v>
      </x:c>
      <x:c r="P732" s="9" t="str">
        <x:v>Reasoning-only cross-task diagnostic; no direct-name block control is included.</x:v>
      </x:c>
      <x:c r="Q732" s="9"/>
      <x:c r="R732" s="10" t="n">
        <x:v>3</x:v>
      </x:c>
      <x:c r="S732" s="10" t="n">
        <x:v>1</x:v>
      </x:c>
      <x:c r="T732" s="9" t="str">
        <x:v>Empty</x:v>
      </x:c>
      <x:c r="U732" s="9"/>
      <x:c r="V732" s="9"/>
      <x:c r="W732" s="9"/>
      <x:c r="X732" s="10"/>
      <x:c r="Y732" s="10"/>
      <x:c r="Z732" s="9"/>
      <x:c r="AA732" s="9"/>
      <x:c r="AB732" s="9" t="str">
        <x:v>closest</x:v>
      </x:c>
      <x:c r="AC732" s="9"/>
      <x:c r="AD732" s="9"/>
      <x:c r="AE732" s="9"/>
      <x:c r="AF732" s="9"/>
      <x:c r="AG732" s="9" t="str">
        <x:v>block</x:v>
      </x:c>
      <x:c r="AH732" s="9"/>
      <x:c r="AI732" s="11"/>
      <x:c r="AJ732" s="9"/>
      <x:c r="AK732" s="9" t="str">
        <x:v>Eval_Referential_Disambiguation.xlsm</x:v>
      </x:c>
      <x:c r="AL732" s="9" t="str">
        <x:v>pi0.5 Results</x:v>
      </x:c>
      <x:c r="AM732" s="9" t="n">
        <x:v>112</x:v>
      </x:c>
      <x:c r="AN732" s="9" t="n">
        <x:v>112</x:v>
      </x:c>
    </x:row>
    <x:row r="733">
      <x:c r="A733" s="9" t="str">
        <x:v>Failure</x:v>
      </x:c>
      <x:c r="B733" s="9" t="str">
        <x:v>Referential Disambiguation</x:v>
      </x:c>
      <x:c r="C733" s="10" t="n">
        <x:v>111</x:v>
      </x:c>
      <x:c r="D733" s="9" t="str">
        <x:v>Put the block furthest from the crushed Coke can in the bowl.</x:v>
      </x:c>
      <x:c r="E733" s="9" t="str">
        <x:v>green block; blue block; crushed Coke can</x:v>
      </x:c>
      <x:c r="F733" s="9" t="str">
        <x:v>blue block</x:v>
      </x:c>
      <x:c r="G733" s="9" t="str">
        <x:v>tried picking the crushed coke can, but failed to grasp it. During recovery, got the green block, which was right next to the coke can. </x:v>
      </x:c>
      <x:c r="H733" s="9" t="str">
        <x:v>Cross-task block reasoning</x:v>
      </x:c>
      <x:c r="I733" s="9" t="str">
        <x:v>RD-BLOCK01</x:v>
      </x:c>
      <x:c r="J733" s="9" t="str">
        <x:v>Cross-task block candidate pair — furthest</x:v>
      </x:c>
      <x:c r="K733" s="9" t="n">
        <x:v>110</x:v>
      </x:c>
      <x:c r="L733" s="9" t="str">
        <x:v>515; 1075; 350</x:v>
      </x:c>
      <x:c r="M733" s="9" t="str">
        <x:v>Relation grounding is explicit in Referential Disambiguation, and both block identities are manipulated elsewhere in fine-tuning; block × referential-relation is absent.</x:v>
      </x:c>
      <x:c r="N733" s="9" t="n">
        <x:v>5</x:v>
      </x:c>
      <x:c r="O733" s="9" t="str">
        <x:v>Reset the moved block exactly; preserve the scene; change only the relation prompt.</x:v>
      </x:c>
      <x:c r="P733" s="9" t="str">
        <x:v>Exact-scene closest/furthest counterfactual; the correct block switches.</x:v>
      </x:c>
      <x:c r="Q733" s="9"/>
      <x:c r="R733" s="10" t="n">
        <x:v>3</x:v>
      </x:c>
      <x:c r="S733" s="10" t="n">
        <x:v>1</x:v>
      </x:c>
      <x:c r="T733" s="9" t="str">
        <x:v>Empty</x:v>
      </x:c>
      <x:c r="U733" s="9"/>
      <x:c r="V733" s="9"/>
      <x:c r="W733" s="9"/>
      <x:c r="X733" s="10"/>
      <x:c r="Y733" s="10"/>
      <x:c r="Z733" s="9"/>
      <x:c r="AA733" s="9"/>
      <x:c r="AB733" s="9" t="str">
        <x:v>furthest</x:v>
      </x:c>
      <x:c r="AC733" s="9"/>
      <x:c r="AD733" s="9"/>
      <x:c r="AE733" s="9"/>
      <x:c r="AF733" s="9"/>
      <x:c r="AG733" s="9" t="str">
        <x:v>block</x:v>
      </x:c>
      <x:c r="AH733" s="9"/>
      <x:c r="AI733" s="11"/>
      <x:c r="AJ733" s="9"/>
      <x:c r="AK733" s="9" t="str">
        <x:v>Eval_Referential_Disambiguation.xlsm</x:v>
      </x:c>
      <x:c r="AL733" s="9" t="str">
        <x:v>pi0.5 Results</x:v>
      </x:c>
      <x:c r="AM733" s="9" t="n">
        <x:v>113</x:v>
      </x:c>
      <x:c r="AN733" s="9" t="n">
        <x:v>113</x:v>
      </x:c>
    </x:row>
    <x:row r="734">
      <x:c r="A734" s="9" t="str">
        <x:v>Failure</x:v>
      </x:c>
      <x:c r="B734" s="9" t="str">
        <x:v>Referential Disambiguation</x:v>
      </x:c>
      <x:c r="C734" s="10" t="n">
        <x:v>112</x:v>
      </x:c>
      <x:c r="D734" s="9" t="str">
        <x:v>Put the block closest to the green pencil sharpener in the bowl.</x:v>
      </x:c>
      <x:c r="E734" s="9" t="str">
        <x:v>green block; blue block; green pencil sharpener; airplane toy without propellers</x:v>
      </x:c>
      <x:c r="F734" s="9" t="str">
        <x:v>blue block</x:v>
      </x:c>
      <x:c r="G734" s="9" t="str">
        <x:v>picked green block</x:v>
      </x:c>
      <x:c r="H734" s="9" t="str">
        <x:v>Cross-task block reasoning</x:v>
      </x:c>
      <x:c r="I734" s="9" t="str">
        <x:v>RD-BLOCK02</x:v>
      </x:c>
      <x:c r="J734" s="9" t="str">
        <x:v>Cross-task block candidate pair — closest</x:v>
      </x:c>
      <x:c r="K734" s="9"/>
      <x:c r="L734" s="9" t="str">
        <x:v>500; 1075; 350</x:v>
      </x:c>
      <x:c r="M734" s="9" t="str">
        <x:v>Relation grounding is explicit in Referential Disambiguation, and both block identities are manipulated elsewhere in fine-tuning; block × referential-relation is absent.</x:v>
      </x:c>
      <x:c r="N734" s="9" t="n">
        <x:v>5</x:v>
      </x:c>
      <x:c r="O734" s="9" t="str">
        <x:v>Place the listed objects. Arrange the expected block as the unique closest target; keep the bowl empty.</x:v>
      </x:c>
      <x:c r="P734" s="9" t="str">
        <x:v>Reasoning-only cross-task diagnostic; no direct-name block control is included.</x:v>
      </x:c>
      <x:c r="Q734" s="9"/>
      <x:c r="R734" s="10" t="n">
        <x:v>4</x:v>
      </x:c>
      <x:c r="S734" s="10" t="n">
        <x:v>1</x:v>
      </x:c>
      <x:c r="T734" s="9" t="str">
        <x:v>Empty</x:v>
      </x:c>
      <x:c r="U734" s="9"/>
      <x:c r="V734" s="9"/>
      <x:c r="W734" s="9"/>
      <x:c r="X734" s="10"/>
      <x:c r="Y734" s="10"/>
      <x:c r="Z734" s="9"/>
      <x:c r="AA734" s="9"/>
      <x:c r="AB734" s="9" t="str">
        <x:v>closest</x:v>
      </x:c>
      <x:c r="AC734" s="9"/>
      <x:c r="AD734" s="9"/>
      <x:c r="AE734" s="9"/>
      <x:c r="AF734" s="9"/>
      <x:c r="AG734" s="9" t="str">
        <x:v>block</x:v>
      </x:c>
      <x:c r="AH734" s="9"/>
      <x:c r="AI734" s="11"/>
      <x:c r="AJ734" s="9"/>
      <x:c r="AK734" s="9" t="str">
        <x:v>Eval_Referential_Disambiguation.xlsm</x:v>
      </x:c>
      <x:c r="AL734" s="9" t="str">
        <x:v>pi0.5 Results</x:v>
      </x:c>
      <x:c r="AM734" s="9" t="n">
        <x:v>114</x:v>
      </x:c>
      <x:c r="AN734" s="9" t="n">
        <x:v>114</x:v>
      </x:c>
    </x:row>
    <x:row r="735">
      <x:c r="A735" s="9" t="str">
        <x:v>Failure</x:v>
      </x:c>
      <x:c r="B735" s="9" t="str">
        <x:v>Referential Disambiguation</x:v>
      </x:c>
      <x:c r="C735" s="10" t="n">
        <x:v>113</x:v>
      </x:c>
      <x:c r="D735" s="9" t="str">
        <x:v>Move the block furthest from the green pencil sharpener into the bowl.</x:v>
      </x:c>
      <x:c r="E735" s="9" t="str">
        <x:v>green block; blue block; green pencil sharpener; airplane toy without propellers</x:v>
      </x:c>
      <x:c r="F735" s="9" t="str">
        <x:v>green block</x:v>
      </x:c>
      <x:c r="G735" s="9" t="str">
        <x:v>picked green pencil sharpener</x:v>
      </x:c>
      <x:c r="H735" s="9" t="str">
        <x:v>Cross-task block reasoning</x:v>
      </x:c>
      <x:c r="I735" s="9" t="str">
        <x:v>RD-BLOCK02</x:v>
      </x:c>
      <x:c r="J735" s="9" t="str">
        <x:v>Cross-task block candidate pair — furthest</x:v>
      </x:c>
      <x:c r="K735" s="9" t="n">
        <x:v>112</x:v>
      </x:c>
      <x:c r="L735" s="9" t="str">
        <x:v>515; 1075; 350</x:v>
      </x:c>
      <x:c r="M735" s="9" t="str">
        <x:v>Relation grounding is explicit in Referential Disambiguation, and both block identities are manipulated elsewhere in fine-tuning; block × referential-relation is absent.</x:v>
      </x:c>
      <x:c r="N735" s="9" t="n">
        <x:v>5</x:v>
      </x:c>
      <x:c r="O735" s="9" t="str">
        <x:v>Reset the moved block exactly; preserve the scene; change only the relation prompt.</x:v>
      </x:c>
      <x:c r="P735" s="9" t="str">
        <x:v>Exact-scene closest/furthest counterfactual; the correct block switches.</x:v>
      </x:c>
      <x:c r="Q735" s="9"/>
      <x:c r="R735" s="10" t="n">
        <x:v>4</x:v>
      </x:c>
      <x:c r="S735" s="10" t="n">
        <x:v>1</x:v>
      </x:c>
      <x:c r="T735" s="9" t="str">
        <x:v>Empty</x:v>
      </x:c>
      <x:c r="U735" s="9"/>
      <x:c r="V735" s="9"/>
      <x:c r="W735" s="9"/>
      <x:c r="X735" s="10"/>
      <x:c r="Y735" s="10"/>
      <x:c r="Z735" s="9"/>
      <x:c r="AA735" s="9"/>
      <x:c r="AB735" s="9" t="str">
        <x:v>furthest</x:v>
      </x:c>
      <x:c r="AC735" s="9"/>
      <x:c r="AD735" s="9"/>
      <x:c r="AE735" s="9"/>
      <x:c r="AF735" s="9"/>
      <x:c r="AG735" s="9" t="str">
        <x:v>block</x:v>
      </x:c>
      <x:c r="AH735" s="9"/>
      <x:c r="AI735" s="11"/>
      <x:c r="AJ735" s="9"/>
      <x:c r="AK735" s="9" t="str">
        <x:v>Eval_Referential_Disambiguation.xlsm</x:v>
      </x:c>
      <x:c r="AL735" s="9" t="str">
        <x:v>pi0.5 Results</x:v>
      </x:c>
      <x:c r="AM735" s="9" t="n">
        <x:v>115</x:v>
      </x:c>
      <x:c r="AN735" s="9" t="n">
        <x:v>115</x:v>
      </x:c>
    </x:row>
    <x:row r="736">
      <x:c r="A736" s="9" t="str">
        <x:v>Success</x:v>
      </x:c>
      <x:c r="B736" s="9" t="str">
        <x:v>Referential Disambiguation</x:v>
      </x:c>
      <x:c r="C736" s="10" t="n">
        <x:v>114</x:v>
      </x:c>
      <x:c r="D736" s="9" t="str">
        <x:v>Move the block closest to the green pen into the bowl.</x:v>
      </x:c>
      <x:c r="E736" s="9" t="str">
        <x:v>green block; blue block; green pen</x:v>
      </x:c>
      <x:c r="F736" s="9" t="str">
        <x:v>green block</x:v>
      </x:c>
      <x:c r="G736" s="9"/>
      <x:c r="H736" s="9" t="str">
        <x:v>Cross-task block reasoning</x:v>
      </x:c>
      <x:c r="I736" s="9" t="str">
        <x:v>RD-BLOCK03</x:v>
      </x:c>
      <x:c r="J736" s="9" t="str">
        <x:v>Cross-task block candidate pair — closest</x:v>
      </x:c>
      <x:c r="K736" s="9"/>
      <x:c r="L736" s="9" t="str">
        <x:v>500; 1075; 350</x:v>
      </x:c>
      <x:c r="M736" s="9" t="str">
        <x:v>Relation grounding is explicit in Referential Disambiguation, and both block identities are manipulated elsewhere in fine-tuning; block × referential-relation is absent.</x:v>
      </x:c>
      <x:c r="N736" s="9" t="n">
        <x:v>5</x:v>
      </x:c>
      <x:c r="O736" s="9" t="str">
        <x:v>Place the listed objects. Arrange the expected block as the unique closest target; keep the bowl empty.</x:v>
      </x:c>
      <x:c r="P736" s="9" t="str">
        <x:v>Reasoning-only cross-task diagnostic; no direct-name block control is included.</x:v>
      </x:c>
      <x:c r="Q736" s="9"/>
      <x:c r="R736" s="10" t="n">
        <x:v>3</x:v>
      </x:c>
      <x:c r="S736" s="10" t="n">
        <x:v>1</x:v>
      </x:c>
      <x:c r="T736" s="9" t="str">
        <x:v>Empty</x:v>
      </x:c>
      <x:c r="U736" s="9"/>
      <x:c r="V736" s="9"/>
      <x:c r="W736" s="9"/>
      <x:c r="X736" s="10"/>
      <x:c r="Y736" s="10"/>
      <x:c r="Z736" s="9"/>
      <x:c r="AA736" s="9"/>
      <x:c r="AB736" s="9" t="str">
        <x:v>closest</x:v>
      </x:c>
      <x:c r="AC736" s="9"/>
      <x:c r="AD736" s="9"/>
      <x:c r="AE736" s="9"/>
      <x:c r="AF736" s="9"/>
      <x:c r="AG736" s="9" t="str">
        <x:v>block</x:v>
      </x:c>
      <x:c r="AH736" s="9"/>
      <x:c r="AI736" s="11"/>
      <x:c r="AJ736" s="9"/>
      <x:c r="AK736" s="9" t="str">
        <x:v>Eval_Referential_Disambiguation.xlsm</x:v>
      </x:c>
      <x:c r="AL736" s="9" t="str">
        <x:v>pi0.5 Results</x:v>
      </x:c>
      <x:c r="AM736" s="9" t="n">
        <x:v>116</x:v>
      </x:c>
      <x:c r="AN736" s="9" t="n">
        <x:v>116</x:v>
      </x:c>
    </x:row>
    <x:row r="737">
      <x:c r="A737" s="9" t="str">
        <x:v>Success</x:v>
      </x:c>
      <x:c r="B737" s="9" t="str">
        <x:v>Referential Disambiguation</x:v>
      </x:c>
      <x:c r="C737" s="10" t="n">
        <x:v>115</x:v>
      </x:c>
      <x:c r="D737" s="9" t="str">
        <x:v>Pick up the block furthest from the green pen and place it in the bowl.</x:v>
      </x:c>
      <x:c r="E737" s="9" t="str">
        <x:v>green block; blue block; green pen</x:v>
      </x:c>
      <x:c r="F737" s="9" t="str">
        <x:v>blue block</x:v>
      </x:c>
      <x:c r="G737" s="9"/>
      <x:c r="H737" s="9" t="str">
        <x:v>Cross-task block reasoning</x:v>
      </x:c>
      <x:c r="I737" s="9" t="str">
        <x:v>RD-BLOCK03</x:v>
      </x:c>
      <x:c r="J737" s="9" t="str">
        <x:v>Cross-task block candidate pair — furthest</x:v>
      </x:c>
      <x:c r="K737" s="9" t="n">
        <x:v>114</x:v>
      </x:c>
      <x:c r="L737" s="9" t="str">
        <x:v>515; 1075; 350</x:v>
      </x:c>
      <x:c r="M737" s="9" t="str">
        <x:v>Relation grounding is explicit in Referential Disambiguation, and both block identities are manipulated elsewhere in fine-tuning; block × referential-relation is absent.</x:v>
      </x:c>
      <x:c r="N737" s="9" t="n">
        <x:v>5</x:v>
      </x:c>
      <x:c r="O737" s="9" t="str">
        <x:v>Reset the moved block exactly; preserve the scene; change only the relation prompt.</x:v>
      </x:c>
      <x:c r="P737" s="9" t="str">
        <x:v>Exact-scene closest/furthest counterfactual; the correct block switches.</x:v>
      </x:c>
      <x:c r="Q737" s="9"/>
      <x:c r="R737" s="10" t="n">
        <x:v>3</x:v>
      </x:c>
      <x:c r="S737" s="10" t="n">
        <x:v>1</x:v>
      </x:c>
      <x:c r="T737" s="9" t="str">
        <x:v>Empty</x:v>
      </x:c>
      <x:c r="U737" s="9"/>
      <x:c r="V737" s="9"/>
      <x:c r="W737" s="9"/>
      <x:c r="X737" s="10"/>
      <x:c r="Y737" s="10"/>
      <x:c r="Z737" s="9"/>
      <x:c r="AA737" s="9"/>
      <x:c r="AB737" s="9" t="str">
        <x:v>furthest</x:v>
      </x:c>
      <x:c r="AC737" s="9"/>
      <x:c r="AD737" s="9"/>
      <x:c r="AE737" s="9"/>
      <x:c r="AF737" s="9"/>
      <x:c r="AG737" s="9" t="str">
        <x:v>block</x:v>
      </x:c>
      <x:c r="AH737" s="9"/>
      <x:c r="AI737" s="11"/>
      <x:c r="AJ737" s="9"/>
      <x:c r="AK737" s="9" t="str">
        <x:v>Eval_Referential_Disambiguation.xlsm</x:v>
      </x:c>
      <x:c r="AL737" s="9" t="str">
        <x:v>pi0.5 Results</x:v>
      </x:c>
      <x:c r="AM737" s="9" t="n">
        <x:v>117</x:v>
      </x:c>
      <x:c r="AN737" s="9" t="n">
        <x:v>117</x:v>
      </x:c>
    </x:row>
    <x:row r="738">
      <x:c r="A738" s="9" t="str">
        <x:v>Success</x:v>
      </x:c>
      <x:c r="B738" s="9" t="str">
        <x:v>Referential Disambiguation</x:v>
      </x:c>
      <x:c r="C738" s="10" t="n">
        <x:v>116</x:v>
      </x:c>
      <x:c r="D738" s="9" t="str">
        <x:v>Pick up the block closest to the airplane toy with propellers and place it in the bowl.</x:v>
      </x:c>
      <x:c r="E738" s="9" t="str">
        <x:v>green block; blue block; airplane toy with propellers; crushed Pepsi can</x:v>
      </x:c>
      <x:c r="F738" s="9" t="str">
        <x:v>blue block</x:v>
      </x:c>
      <x:c r="G738" s="9"/>
      <x:c r="H738" s="9" t="str">
        <x:v>Cross-task block reasoning</x:v>
      </x:c>
      <x:c r="I738" s="9" t="str">
        <x:v>RD-BLOCK04</x:v>
      </x:c>
      <x:c r="J738" s="9" t="str">
        <x:v>Cross-task block candidate pair — closest</x:v>
      </x:c>
      <x:c r="K738" s="9"/>
      <x:c r="L738" s="9" t="str">
        <x:v>500; 1075; 350</x:v>
      </x:c>
      <x:c r="M738" s="9" t="str">
        <x:v>Relation grounding is explicit in Referential Disambiguation, and both block identities are manipulated elsewhere in fine-tuning; block × referential-relation is absent.</x:v>
      </x:c>
      <x:c r="N738" s="9" t="n">
        <x:v>5</x:v>
      </x:c>
      <x:c r="O738" s="9" t="str">
        <x:v>Place the listed objects. Arrange the expected block as the unique closest target; keep the bowl empty.</x:v>
      </x:c>
      <x:c r="P738" s="9" t="str">
        <x:v>Reasoning-only cross-task diagnostic; no direct-name block control is included.</x:v>
      </x:c>
      <x:c r="Q738" s="9"/>
      <x:c r="R738" s="10" t="n">
        <x:v>4</x:v>
      </x:c>
      <x:c r="S738" s="10" t="n">
        <x:v>1</x:v>
      </x:c>
      <x:c r="T738" s="9" t="str">
        <x:v>Empty</x:v>
      </x:c>
      <x:c r="U738" s="9"/>
      <x:c r="V738" s="9"/>
      <x:c r="W738" s="9"/>
      <x:c r="X738" s="10"/>
      <x:c r="Y738" s="10"/>
      <x:c r="Z738" s="9"/>
      <x:c r="AA738" s="9"/>
      <x:c r="AB738" s="9" t="str">
        <x:v>closest</x:v>
      </x:c>
      <x:c r="AC738" s="9"/>
      <x:c r="AD738" s="9"/>
      <x:c r="AE738" s="9"/>
      <x:c r="AF738" s="9"/>
      <x:c r="AG738" s="9" t="str">
        <x:v>block</x:v>
      </x:c>
      <x:c r="AH738" s="9"/>
      <x:c r="AI738" s="11"/>
      <x:c r="AJ738" s="9"/>
      <x:c r="AK738" s="9" t="str">
        <x:v>Eval_Referential_Disambiguation.xlsm</x:v>
      </x:c>
      <x:c r="AL738" s="9" t="str">
        <x:v>pi0.5 Results</x:v>
      </x:c>
      <x:c r="AM738" s="9" t="n">
        <x:v>118</x:v>
      </x:c>
      <x:c r="AN738" s="9" t="n">
        <x:v>118</x:v>
      </x:c>
    </x:row>
    <x:row r="739">
      <x:c r="A739" s="9" t="str">
        <x:v>Success</x:v>
      </x:c>
      <x:c r="B739" s="9" t="str">
        <x:v>Referential Disambiguation</x:v>
      </x:c>
      <x:c r="C739" s="10" t="n">
        <x:v>117</x:v>
      </x:c>
      <x:c r="D739" s="9" t="str">
        <x:v>Put the block furthest from the airplane toy with propellers in the bowl.</x:v>
      </x:c>
      <x:c r="E739" s="9" t="str">
        <x:v>green block; blue block; airplane toy with propellers; crushed Pepsi can</x:v>
      </x:c>
      <x:c r="F739" s="9" t="str">
        <x:v>green block</x:v>
      </x:c>
      <x:c r="G739" s="9"/>
      <x:c r="H739" s="9" t="str">
        <x:v>Cross-task block reasoning</x:v>
      </x:c>
      <x:c r="I739" s="9" t="str">
        <x:v>RD-BLOCK04</x:v>
      </x:c>
      <x:c r="J739" s="9" t="str">
        <x:v>Cross-task block candidate pair — furthest</x:v>
      </x:c>
      <x:c r="K739" s="9" t="n">
        <x:v>116</x:v>
      </x:c>
      <x:c r="L739" s="9" t="str">
        <x:v>515; 1075; 350</x:v>
      </x:c>
      <x:c r="M739" s="9" t="str">
        <x:v>Relation grounding is explicit in Referential Disambiguation, and both block identities are manipulated elsewhere in fine-tuning; block × referential-relation is absent.</x:v>
      </x:c>
      <x:c r="N739" s="9" t="n">
        <x:v>5</x:v>
      </x:c>
      <x:c r="O739" s="9" t="str">
        <x:v>Reset the moved block exactly; preserve the scene; change only the relation prompt.</x:v>
      </x:c>
      <x:c r="P739" s="9" t="str">
        <x:v>Exact-scene closest/furthest counterfactual; the correct block switches.</x:v>
      </x:c>
      <x:c r="Q739" s="9"/>
      <x:c r="R739" s="10" t="n">
        <x:v>4</x:v>
      </x:c>
      <x:c r="S739" s="10" t="n">
        <x:v>1</x:v>
      </x:c>
      <x:c r="T739" s="9" t="str">
        <x:v>Empty</x:v>
      </x:c>
      <x:c r="U739" s="9"/>
      <x:c r="V739" s="9"/>
      <x:c r="W739" s="9"/>
      <x:c r="X739" s="10"/>
      <x:c r="Y739" s="10"/>
      <x:c r="Z739" s="9"/>
      <x:c r="AA739" s="9"/>
      <x:c r="AB739" s="9" t="str">
        <x:v>furthest</x:v>
      </x:c>
      <x:c r="AC739" s="9"/>
      <x:c r="AD739" s="9"/>
      <x:c r="AE739" s="9"/>
      <x:c r="AF739" s="9"/>
      <x:c r="AG739" s="9" t="str">
        <x:v>block</x:v>
      </x:c>
      <x:c r="AH739" s="9"/>
      <x:c r="AI739" s="11"/>
      <x:c r="AJ739" s="9"/>
      <x:c r="AK739" s="9" t="str">
        <x:v>Eval_Referential_Disambiguation.xlsm</x:v>
      </x:c>
      <x:c r="AL739" s="9" t="str">
        <x:v>pi0.5 Results</x:v>
      </x:c>
      <x:c r="AM739" s="9" t="n">
        <x:v>119</x:v>
      </x:c>
      <x:c r="AN739" s="9" t="n">
        <x:v>119</x:v>
      </x:c>
    </x:row>
    <x:row r="740">
      <x:c r="A740" s="9" t="str">
        <x:v>Failure</x:v>
      </x:c>
      <x:c r="B740" s="9" t="str">
        <x:v>Referential Disambiguation</x:v>
      </x:c>
      <x:c r="C740" s="10" t="n">
        <x:v>118</x:v>
      </x:c>
      <x:c r="D740" s="9" t="str">
        <x:v>Put the block closest to the crushed Coke can in the bowl.</x:v>
      </x:c>
      <x:c r="E740" s="9" t="str">
        <x:v>green block; blue block; crushed Coke can</x:v>
      </x:c>
      <x:c r="F740" s="9" t="str">
        <x:v>green block</x:v>
      </x:c>
      <x:c r="G740" s="9" t="str">
        <x:v>picked the coke can</x:v>
      </x:c>
      <x:c r="H740" s="9" t="str">
        <x:v>Cross-task block reasoning</x:v>
      </x:c>
      <x:c r="I740" s="9" t="str">
        <x:v>RD-BLOCK05</x:v>
      </x:c>
      <x:c r="J740" s="9" t="str">
        <x:v>Cross-task block candidate pair — closest</x:v>
      </x:c>
      <x:c r="K740" s="9"/>
      <x:c r="L740" s="9" t="str">
        <x:v>500; 1075; 350</x:v>
      </x:c>
      <x:c r="M740" s="9" t="str">
        <x:v>Relation grounding is explicit in Referential Disambiguation, and both block identities are manipulated elsewhere in fine-tuning; block × referential-relation is absent.</x:v>
      </x:c>
      <x:c r="N740" s="9" t="n">
        <x:v>5</x:v>
      </x:c>
      <x:c r="O740" s="9" t="str">
        <x:v>Place the listed objects. Arrange the expected block as the unique closest target; keep the bowl empty.</x:v>
      </x:c>
      <x:c r="P740" s="9" t="str">
        <x:v>Reasoning-only cross-task diagnostic; no direct-name block control is included.</x:v>
      </x:c>
      <x:c r="Q740" s="9"/>
      <x:c r="R740" s="10" t="n">
        <x:v>3</x:v>
      </x:c>
      <x:c r="S740" s="10" t="n">
        <x:v>1</x:v>
      </x:c>
      <x:c r="T740" s="9" t="str">
        <x:v>Empty</x:v>
      </x:c>
      <x:c r="U740" s="9"/>
      <x:c r="V740" s="9"/>
      <x:c r="W740" s="9"/>
      <x:c r="X740" s="10"/>
      <x:c r="Y740" s="10"/>
      <x:c r="Z740" s="9"/>
      <x:c r="AA740" s="9"/>
      <x:c r="AB740" s="9" t="str">
        <x:v>closest</x:v>
      </x:c>
      <x:c r="AC740" s="9"/>
      <x:c r="AD740" s="9"/>
      <x:c r="AE740" s="9"/>
      <x:c r="AF740" s="9"/>
      <x:c r="AG740" s="9" t="str">
        <x:v>block</x:v>
      </x:c>
      <x:c r="AH740" s="9"/>
      <x:c r="AI740" s="11"/>
      <x:c r="AJ740" s="9"/>
      <x:c r="AK740" s="9" t="str">
        <x:v>Eval_Referential_Disambiguation.xlsm</x:v>
      </x:c>
      <x:c r="AL740" s="9" t="str">
        <x:v>pi0.5 Results</x:v>
      </x:c>
      <x:c r="AM740" s="9" t="n">
        <x:v>120</x:v>
      </x:c>
      <x:c r="AN740" s="9" t="n">
        <x:v>120</x:v>
      </x:c>
    </x:row>
    <x:row r="741">
      <x:c r="A741" s="9" t="str">
        <x:v>Success</x:v>
      </x:c>
      <x:c r="B741" s="9" t="str">
        <x:v>Referential Disambiguation</x:v>
      </x:c>
      <x:c r="C741" s="10" t="n">
        <x:v>119</x:v>
      </x:c>
      <x:c r="D741" s="9" t="str">
        <x:v>Move the block furthest from the crushed Coke can into the bowl.</x:v>
      </x:c>
      <x:c r="E741" s="9" t="str">
        <x:v>green block; blue block; crushed Coke can</x:v>
      </x:c>
      <x:c r="F741" s="9" t="str">
        <x:v>blue block</x:v>
      </x:c>
      <x:c r="G741" s="9"/>
      <x:c r="H741" s="9" t="str">
        <x:v>Cross-task block reasoning</x:v>
      </x:c>
      <x:c r="I741" s="9" t="str">
        <x:v>RD-BLOCK05</x:v>
      </x:c>
      <x:c r="J741" s="9" t="str">
        <x:v>Cross-task block candidate pair — furthest</x:v>
      </x:c>
      <x:c r="K741" s="9" t="n">
        <x:v>118</x:v>
      </x:c>
      <x:c r="L741" s="9" t="str">
        <x:v>515; 1075; 350</x:v>
      </x:c>
      <x:c r="M741" s="9" t="str">
        <x:v>Relation grounding is explicit in Referential Disambiguation, and both block identities are manipulated elsewhere in fine-tuning; block × referential-relation is absent.</x:v>
      </x:c>
      <x:c r="N741" s="9" t="n">
        <x:v>5</x:v>
      </x:c>
      <x:c r="O741" s="9" t="str">
        <x:v>Reset the moved block exactly; preserve the scene; change only the relation prompt.</x:v>
      </x:c>
      <x:c r="P741" s="9" t="str">
        <x:v>Exact-scene closest/furthest counterfactual; the correct block switches.</x:v>
      </x:c>
      <x:c r="Q741" s="9"/>
      <x:c r="R741" s="10" t="n">
        <x:v>3</x:v>
      </x:c>
      <x:c r="S741" s="10" t="n">
        <x:v>1</x:v>
      </x:c>
      <x:c r="T741" s="9" t="str">
        <x:v>Empty</x:v>
      </x:c>
      <x:c r="U741" s="9"/>
      <x:c r="V741" s="9"/>
      <x:c r="W741" s="9"/>
      <x:c r="X741" s="10"/>
      <x:c r="Y741" s="10"/>
      <x:c r="Z741" s="9"/>
      <x:c r="AA741" s="9"/>
      <x:c r="AB741" s="9" t="str">
        <x:v>furthest</x:v>
      </x:c>
      <x:c r="AC741" s="9"/>
      <x:c r="AD741" s="9"/>
      <x:c r="AE741" s="9"/>
      <x:c r="AF741" s="9"/>
      <x:c r="AG741" s="9" t="str">
        <x:v>block</x:v>
      </x:c>
      <x:c r="AH741" s="9"/>
      <x:c r="AI741" s="11"/>
      <x:c r="AJ741" s="9"/>
      <x:c r="AK741" s="9" t="str">
        <x:v>Eval_Referential_Disambiguation.xlsm</x:v>
      </x:c>
      <x:c r="AL741" s="9" t="str">
        <x:v>pi0.5 Results</x:v>
      </x:c>
      <x:c r="AM741" s="9" t="n">
        <x:v>121</x:v>
      </x:c>
      <x:c r="AN741" s="9" t="n">
        <x:v>121</x:v>
      </x:c>
    </x:row>
    <x:row r="742">
      <x:c r="A742" s="9" t="str">
        <x:v>Success</x:v>
      </x:c>
      <x:c r="B742" s="9" t="str">
        <x:v>Referential Disambiguation</x:v>
      </x:c>
      <x:c r="C742" s="10" t="n">
        <x:v>120</x:v>
      </x:c>
      <x:c r="D742" s="9" t="str">
        <x:v>Move the block closest to the green pencil sharpener into the bowl.</x:v>
      </x:c>
      <x:c r="E742" s="9" t="str">
        <x:v>green block; blue block; green pencil sharpener; green pen</x:v>
      </x:c>
      <x:c r="F742" s="9" t="str">
        <x:v>blue block</x:v>
      </x:c>
      <x:c r="G742" s="9"/>
      <x:c r="H742" s="9" t="str">
        <x:v>Cross-task block reasoning</x:v>
      </x:c>
      <x:c r="I742" s="9" t="str">
        <x:v>RD-BLOCK06</x:v>
      </x:c>
      <x:c r="J742" s="9" t="str">
        <x:v>Cross-task block candidate pair — closest</x:v>
      </x:c>
      <x:c r="K742" s="9"/>
      <x:c r="L742" s="9" t="str">
        <x:v>500; 1075; 350</x:v>
      </x:c>
      <x:c r="M742" s="9" t="str">
        <x:v>Relation grounding is explicit in Referential Disambiguation, and both block identities are manipulated elsewhere in fine-tuning; block × referential-relation is absent.</x:v>
      </x:c>
      <x:c r="N742" s="9" t="n">
        <x:v>5</x:v>
      </x:c>
      <x:c r="O742" s="9" t="str">
        <x:v>Place the listed objects. Arrange the expected block as the unique closest target; keep the bowl empty.</x:v>
      </x:c>
      <x:c r="P742" s="9" t="str">
        <x:v>Reasoning-only cross-task diagnostic; no direct-name block control is included.</x:v>
      </x:c>
      <x:c r="Q742" s="9"/>
      <x:c r="R742" s="10" t="n">
        <x:v>4</x:v>
      </x:c>
      <x:c r="S742" s="10" t="n">
        <x:v>1</x:v>
      </x:c>
      <x:c r="T742" s="9" t="str">
        <x:v>Empty</x:v>
      </x:c>
      <x:c r="U742" s="9"/>
      <x:c r="V742" s="9"/>
      <x:c r="W742" s="9"/>
      <x:c r="X742" s="10"/>
      <x:c r="Y742" s="10"/>
      <x:c r="Z742" s="9"/>
      <x:c r="AA742" s="9"/>
      <x:c r="AB742" s="9" t="str">
        <x:v>closest</x:v>
      </x:c>
      <x:c r="AC742" s="9"/>
      <x:c r="AD742" s="9"/>
      <x:c r="AE742" s="9"/>
      <x:c r="AF742" s="9"/>
      <x:c r="AG742" s="9" t="str">
        <x:v>block</x:v>
      </x:c>
      <x:c r="AH742" s="9"/>
      <x:c r="AI742" s="11"/>
      <x:c r="AJ742" s="9"/>
      <x:c r="AK742" s="9" t="str">
        <x:v>Eval_Referential_Disambiguation.xlsm</x:v>
      </x:c>
      <x:c r="AL742" s="9" t="str">
        <x:v>pi0.5 Results</x:v>
      </x:c>
      <x:c r="AM742" s="9" t="n">
        <x:v>122</x:v>
      </x:c>
      <x:c r="AN742" s="9" t="n">
        <x:v>122</x:v>
      </x:c>
    </x:row>
    <x:row r="743">
      <x:c r="A743" s="9" t="str">
        <x:v>Failure</x:v>
      </x:c>
      <x:c r="B743" s="9" t="str">
        <x:v>Referential Disambiguation</x:v>
      </x:c>
      <x:c r="C743" s="10" t="n">
        <x:v>121</x:v>
      </x:c>
      <x:c r="D743" s="9" t="str">
        <x:v>Pick up the block furthest from the green pencil sharpener and place it in the bowl.</x:v>
      </x:c>
      <x:c r="E743" s="9" t="str">
        <x:v>green block; blue block; green pencil sharpener; green pen</x:v>
      </x:c>
      <x:c r="F743" s="9" t="str">
        <x:v>green block</x:v>
      </x:c>
      <x:c r="G743" s="9" t="str">
        <x:v>tried to pick the green block, got it and dropped it. Then during recovery picked up the green pencil sharpener</x:v>
      </x:c>
      <x:c r="H743" s="9" t="str">
        <x:v>Cross-task block reasoning</x:v>
      </x:c>
      <x:c r="I743" s="9" t="str">
        <x:v>RD-BLOCK06</x:v>
      </x:c>
      <x:c r="J743" s="9" t="str">
        <x:v>Cross-task block candidate pair — furthest</x:v>
      </x:c>
      <x:c r="K743" s="9" t="n">
        <x:v>120</x:v>
      </x:c>
      <x:c r="L743" s="9" t="str">
        <x:v>515; 1075; 350</x:v>
      </x:c>
      <x:c r="M743" s="9" t="str">
        <x:v>Relation grounding is explicit in Referential Disambiguation, and both block identities are manipulated elsewhere in fine-tuning; block × referential-relation is absent.</x:v>
      </x:c>
      <x:c r="N743" s="9" t="n">
        <x:v>5</x:v>
      </x:c>
      <x:c r="O743" s="9" t="str">
        <x:v>Reset the moved block exactly; preserve the scene; change only the relation prompt.</x:v>
      </x:c>
      <x:c r="P743" s="9" t="str">
        <x:v>Exact-scene closest/furthest counterfactual; the correct block switches.</x:v>
      </x:c>
      <x:c r="Q743" s="9"/>
      <x:c r="R743" s="10" t="n">
        <x:v>4</x:v>
      </x:c>
      <x:c r="S743" s="10" t="n">
        <x:v>1</x:v>
      </x:c>
      <x:c r="T743" s="9" t="str">
        <x:v>Empty</x:v>
      </x:c>
      <x:c r="U743" s="9"/>
      <x:c r="V743" s="9"/>
      <x:c r="W743" s="9"/>
      <x:c r="X743" s="10"/>
      <x:c r="Y743" s="10"/>
      <x:c r="Z743" s="9"/>
      <x:c r="AA743" s="9"/>
      <x:c r="AB743" s="9" t="str">
        <x:v>furthest</x:v>
      </x:c>
      <x:c r="AC743" s="9"/>
      <x:c r="AD743" s="9"/>
      <x:c r="AE743" s="9"/>
      <x:c r="AF743" s="9"/>
      <x:c r="AG743" s="9" t="str">
        <x:v>block</x:v>
      </x:c>
      <x:c r="AH743" s="9"/>
      <x:c r="AI743" s="11"/>
      <x:c r="AJ743" s="9"/>
      <x:c r="AK743" s="9" t="str">
        <x:v>Eval_Referential_Disambiguation.xlsm</x:v>
      </x:c>
      <x:c r="AL743" s="9" t="str">
        <x:v>pi0.5 Results</x:v>
      </x:c>
      <x:c r="AM743" s="9" t="n">
        <x:v>123</x:v>
      </x:c>
      <x:c r="AN743" s="9" t="n">
        <x:v>123</x:v>
      </x:c>
    </x:row>
    <x:row r="744">
      <x:c r="A744" s="9" t="str">
        <x:v>Success</x:v>
      </x:c>
      <x:c r="B744" s="9" t="str">
        <x:v>Referential Disambiguation</x:v>
      </x:c>
      <x:c r="C744" s="10" t="n">
        <x:v>122</x:v>
      </x:c>
      <x:c r="D744" s="9" t="str">
        <x:v>Pick up the block closest to the green pen and place it in the bowl.</x:v>
      </x:c>
      <x:c r="E744" s="9" t="str">
        <x:v>green block; blue block; green pen; yellow pen</x:v>
      </x:c>
      <x:c r="F744" s="9" t="str">
        <x:v>green block</x:v>
      </x:c>
      <x:c r="G744" s="9"/>
      <x:c r="H744" s="9" t="str">
        <x:v>Cross-task block reasoning</x:v>
      </x:c>
      <x:c r="I744" s="9" t="str">
        <x:v>RD-BLOCK07</x:v>
      </x:c>
      <x:c r="J744" s="9" t="str">
        <x:v>Cross-task block candidate pair — closest</x:v>
      </x:c>
      <x:c r="K744" s="9"/>
      <x:c r="L744" s="9" t="str">
        <x:v>500; 1075; 350</x:v>
      </x:c>
      <x:c r="M744" s="9" t="str">
        <x:v>Relation grounding is explicit in Referential Disambiguation, and both block identities are manipulated elsewhere in fine-tuning; block × referential-relation is absent.</x:v>
      </x:c>
      <x:c r="N744" s="9" t="n">
        <x:v>5</x:v>
      </x:c>
      <x:c r="O744" s="9" t="str">
        <x:v>Place the listed objects. Arrange the expected block as the unique closest target; keep the bowl empty.</x:v>
      </x:c>
      <x:c r="P744" s="9" t="str">
        <x:v>Reasoning-only cross-task diagnostic; no direct-name block control is included.</x:v>
      </x:c>
      <x:c r="Q744" s="9"/>
      <x:c r="R744" s="10" t="n">
        <x:v>4</x:v>
      </x:c>
      <x:c r="S744" s="10" t="n">
        <x:v>1</x:v>
      </x:c>
      <x:c r="T744" s="9" t="str">
        <x:v>Empty</x:v>
      </x:c>
      <x:c r="U744" s="9"/>
      <x:c r="V744" s="9"/>
      <x:c r="W744" s="9"/>
      <x:c r="X744" s="10"/>
      <x:c r="Y744" s="10"/>
      <x:c r="Z744" s="9"/>
      <x:c r="AA744" s="9"/>
      <x:c r="AB744" s="9" t="str">
        <x:v>closest</x:v>
      </x:c>
      <x:c r="AC744" s="9"/>
      <x:c r="AD744" s="9"/>
      <x:c r="AE744" s="9"/>
      <x:c r="AF744" s="9"/>
      <x:c r="AG744" s="9" t="str">
        <x:v>block</x:v>
      </x:c>
      <x:c r="AH744" s="9"/>
      <x:c r="AI744" s="11"/>
      <x:c r="AJ744" s="9"/>
      <x:c r="AK744" s="9" t="str">
        <x:v>Eval_Referential_Disambiguation.xlsm</x:v>
      </x:c>
      <x:c r="AL744" s="9" t="str">
        <x:v>pi0.5 Results</x:v>
      </x:c>
      <x:c r="AM744" s="9" t="n">
        <x:v>124</x:v>
      </x:c>
      <x:c r="AN744" s="9" t="n">
        <x:v>124</x:v>
      </x:c>
    </x:row>
    <x:row r="745">
      <x:c r="A745" s="9" t="str">
        <x:v>Failure</x:v>
      </x:c>
      <x:c r="B745" s="9" t="str">
        <x:v>Referential Disambiguation</x:v>
      </x:c>
      <x:c r="C745" s="10" t="n">
        <x:v>123</x:v>
      </x:c>
      <x:c r="D745" s="9" t="str">
        <x:v>Put the block furthest from the green pen in the bowl.</x:v>
      </x:c>
      <x:c r="E745" s="9" t="str">
        <x:v>green block; blue block; green pen; yellow pen</x:v>
      </x:c>
      <x:c r="F745" s="9" t="str">
        <x:v>blue block</x:v>
      </x:c>
      <x:c r="G745" s="9" t="str">
        <x:v>picked the green block</x:v>
      </x:c>
      <x:c r="H745" s="9" t="str">
        <x:v>Cross-task block reasoning</x:v>
      </x:c>
      <x:c r="I745" s="9" t="str">
        <x:v>RD-BLOCK07</x:v>
      </x:c>
      <x:c r="J745" s="9" t="str">
        <x:v>Cross-task block candidate pair — furthest</x:v>
      </x:c>
      <x:c r="K745" s="9" t="n">
        <x:v>122</x:v>
      </x:c>
      <x:c r="L745" s="9" t="str">
        <x:v>515; 1075; 350</x:v>
      </x:c>
      <x:c r="M745" s="9" t="str">
        <x:v>Relation grounding is explicit in Referential Disambiguation, and both block identities are manipulated elsewhere in fine-tuning; block × referential-relation is absent.</x:v>
      </x:c>
      <x:c r="N745" s="9" t="n">
        <x:v>5</x:v>
      </x:c>
      <x:c r="O745" s="9" t="str">
        <x:v>Reset the moved block exactly; preserve the scene; change only the relation prompt.</x:v>
      </x:c>
      <x:c r="P745" s="9" t="str">
        <x:v>Exact-scene closest/furthest counterfactual; the correct block switches.</x:v>
      </x:c>
      <x:c r="Q745" s="9"/>
      <x:c r="R745" s="10" t="n">
        <x:v>4</x:v>
      </x:c>
      <x:c r="S745" s="10" t="n">
        <x:v>1</x:v>
      </x:c>
      <x:c r="T745" s="9" t="str">
        <x:v>Empty</x:v>
      </x:c>
      <x:c r="U745" s="9"/>
      <x:c r="V745" s="9"/>
      <x:c r="W745" s="9"/>
      <x:c r="X745" s="10"/>
      <x:c r="Y745" s="10"/>
      <x:c r="Z745" s="9"/>
      <x:c r="AA745" s="9"/>
      <x:c r="AB745" s="9" t="str">
        <x:v>furthest</x:v>
      </x:c>
      <x:c r="AC745" s="9"/>
      <x:c r="AD745" s="9"/>
      <x:c r="AE745" s="9"/>
      <x:c r="AF745" s="9"/>
      <x:c r="AG745" s="9" t="str">
        <x:v>block</x:v>
      </x:c>
      <x:c r="AH745" s="9"/>
      <x:c r="AI745" s="11"/>
      <x:c r="AJ745" s="9"/>
      <x:c r="AK745" s="9" t="str">
        <x:v>Eval_Referential_Disambiguation.xlsm</x:v>
      </x:c>
      <x:c r="AL745" s="9" t="str">
        <x:v>pi0.5 Results</x:v>
      </x:c>
      <x:c r="AM745" s="9" t="n">
        <x:v>125</x:v>
      </x:c>
      <x:c r="AN745" s="9" t="n">
        <x:v>125</x:v>
      </x:c>
    </x:row>
    <x:row r="746">
      <x:c r="A746" s="9" t="str">
        <x:v>Success</x:v>
      </x:c>
      <x:c r="B746" s="9" t="str">
        <x:v>Referential Disambiguation</x:v>
      </x:c>
      <x:c r="C746" s="10" t="n">
        <x:v>124</x:v>
      </x:c>
      <x:c r="D746" s="9" t="str">
        <x:v>Pick up the block between the green pen and the crushed Coke can and place it in the bowl.</x:v>
      </x:c>
      <x:c r="E746" s="9" t="str">
        <x:v>green block; blue block; green pen; crushed Coke can</x:v>
      </x:c>
      <x:c r="F746" s="9" t="str">
        <x:v>green block</x:v>
      </x:c>
      <x:c r="G746" s="9"/>
      <x:c r="H746" s="9" t="str">
        <x:v>Cross-task block reasoning</x:v>
      </x:c>
      <x:c r="I746" s="9" t="str">
        <x:v>RD-BLOCK-B01A</x:v>
      </x:c>
      <x:c r="J746" s="9" t="str">
        <x:v>Cross-task block candidate pair — between</x:v>
      </x:c>
      <x:c r="K746" s="9"/>
      <x:c r="L746" s="9" t="str">
        <x:v>530; 1075; 350</x:v>
      </x:c>
      <x:c r="M746" s="9" t="str">
        <x:v>Between is explicit in Referential Disambiguation, and both block identities are manipulated elsewhere in fine-tuning; block × between is absent.</x:v>
      </x:c>
      <x:c r="N746" s="9" t="n">
        <x:v>5</x:v>
      </x:c>
      <x:c r="O746" s="9" t="str">
        <x:v>Place the listed objects. Put Expected Target between the two named references and the other block outside that segment.</x:v>
      </x:c>
      <x:c r="P746" s="9" t="str">
        <x:v>Adjacent between counterfactual scenes alternate which block occupies the midpoint.</x:v>
      </x:c>
      <x:c r="Q746" s="9"/>
      <x:c r="R746" s="10" t="n">
        <x:v>4</x:v>
      </x:c>
      <x:c r="S746" s="10" t="n">
        <x:v>1</x:v>
      </x:c>
      <x:c r="T746" s="9" t="str">
        <x:v>Empty</x:v>
      </x:c>
      <x:c r="U746" s="9"/>
      <x:c r="V746" s="9"/>
      <x:c r="W746" s="9"/>
      <x:c r="X746" s="10"/>
      <x:c r="Y746" s="10"/>
      <x:c r="Z746" s="9"/>
      <x:c r="AA746" s="9"/>
      <x:c r="AB746" s="9" t="str">
        <x:v>between</x:v>
      </x:c>
      <x:c r="AC746" s="9"/>
      <x:c r="AD746" s="9"/>
      <x:c r="AE746" s="9"/>
      <x:c r="AF746" s="9"/>
      <x:c r="AG746" s="9" t="str">
        <x:v>block</x:v>
      </x:c>
      <x:c r="AH746" s="9"/>
      <x:c r="AI746" s="11"/>
      <x:c r="AJ746" s="9"/>
      <x:c r="AK746" s="9" t="str">
        <x:v>Eval_Referential_Disambiguation.xlsm</x:v>
      </x:c>
      <x:c r="AL746" s="9" t="str">
        <x:v>pi0.5 Results</x:v>
      </x:c>
      <x:c r="AM746" s="9" t="n">
        <x:v>126</x:v>
      </x:c>
      <x:c r="AN746" s="9" t="n">
        <x:v>126</x:v>
      </x:c>
    </x:row>
    <x:row r="747">
      <x:c r="A747" s="9" t="str">
        <x:v>Success</x:v>
      </x:c>
      <x:c r="B747" s="9" t="str">
        <x:v>Referential Disambiguation</x:v>
      </x:c>
      <x:c r="C747" s="10" t="n">
        <x:v>125</x:v>
      </x:c>
      <x:c r="D747" s="9" t="str">
        <x:v>Put the block between the yellow pen and the crushed Pepsi can in the bowl.</x:v>
      </x:c>
      <x:c r="E747" s="9" t="str">
        <x:v>green block; blue block; yellow pen; crushed Pepsi can; red pencil sharpener</x:v>
      </x:c>
      <x:c r="F747" s="9" t="str">
        <x:v>blue block</x:v>
      </x:c>
      <x:c r="G747" s="9"/>
      <x:c r="H747" s="9" t="str">
        <x:v>Cross-task block reasoning</x:v>
      </x:c>
      <x:c r="I747" s="9" t="str">
        <x:v>RD-BLOCK-B01B</x:v>
      </x:c>
      <x:c r="J747" s="9" t="str">
        <x:v>Cross-task block candidate pair — between</x:v>
      </x:c>
      <x:c r="K747" s="9"/>
      <x:c r="L747" s="9" t="str">
        <x:v>530; 1075; 350</x:v>
      </x:c>
      <x:c r="M747" s="9" t="str">
        <x:v>Between is explicit in Referential Disambiguation, and both block identities are manipulated elsewhere in fine-tuning; block × between is absent.</x:v>
      </x:c>
      <x:c r="N747" s="9" t="n">
        <x:v>5</x:v>
      </x:c>
      <x:c r="O747" s="9" t="str">
        <x:v>Place the listed objects. Put Expected Target between the two named references and the other block outside that segment.</x:v>
      </x:c>
      <x:c r="P747" s="9" t="str">
        <x:v>Adjacent between counterfactual scenes alternate which block occupies the midpoint.</x:v>
      </x:c>
      <x:c r="Q747" s="9"/>
      <x:c r="R747" s="10" t="n">
        <x:v>5</x:v>
      </x:c>
      <x:c r="S747" s="10" t="n">
        <x:v>1</x:v>
      </x:c>
      <x:c r="T747" s="9" t="str">
        <x:v>Empty</x:v>
      </x:c>
      <x:c r="U747" s="9"/>
      <x:c r="V747" s="9"/>
      <x:c r="W747" s="9"/>
      <x:c r="X747" s="10"/>
      <x:c r="Y747" s="10"/>
      <x:c r="Z747" s="9"/>
      <x:c r="AA747" s="9"/>
      <x:c r="AB747" s="9" t="str">
        <x:v>between</x:v>
      </x:c>
      <x:c r="AC747" s="9"/>
      <x:c r="AD747" s="9"/>
      <x:c r="AE747" s="9"/>
      <x:c r="AF747" s="9"/>
      <x:c r="AG747" s="9" t="str">
        <x:v>block</x:v>
      </x:c>
      <x:c r="AH747" s="9"/>
      <x:c r="AI747" s="11"/>
      <x:c r="AJ747" s="9"/>
      <x:c r="AK747" s="9" t="str">
        <x:v>Eval_Referential_Disambiguation.xlsm</x:v>
      </x:c>
      <x:c r="AL747" s="9" t="str">
        <x:v>pi0.5 Results</x:v>
      </x:c>
      <x:c r="AM747" s="9" t="n">
        <x:v>127</x:v>
      </x:c>
      <x:c r="AN747" s="9" t="n">
        <x:v>127</x:v>
      </x:c>
    </x:row>
    <x:row r="748">
      <x:c r="A748" s="9" t="str">
        <x:v>Success</x:v>
      </x:c>
      <x:c r="B748" s="9" t="str">
        <x:v>Referential Disambiguation</x:v>
      </x:c>
      <x:c r="C748" s="10" t="n">
        <x:v>126</x:v>
      </x:c>
      <x:c r="D748" s="9" t="str">
        <x:v>Move the block between the green pencil sharpener and the airplane toy with propellers into the bowl.</x:v>
      </x:c>
      <x:c r="E748" s="9" t="str">
        <x:v>green block; blue block; green pencil sharpener; airplane toy with propellers; green pen</x:v>
      </x:c>
      <x:c r="F748" s="9" t="str">
        <x:v>green block</x:v>
      </x:c>
      <x:c r="G748" s="9"/>
      <x:c r="H748" s="9" t="str">
        <x:v>Cross-task block reasoning</x:v>
      </x:c>
      <x:c r="I748" s="9" t="str">
        <x:v>RD-BLOCK-B02A</x:v>
      </x:c>
      <x:c r="J748" s="9" t="str">
        <x:v>Cross-task block candidate pair — between</x:v>
      </x:c>
      <x:c r="K748" s="9"/>
      <x:c r="L748" s="9" t="str">
        <x:v>530; 1075; 350</x:v>
      </x:c>
      <x:c r="M748" s="9" t="str">
        <x:v>Between is explicit in Referential Disambiguation, and both block identities are manipulated elsewhere in fine-tuning; block × between is absent.</x:v>
      </x:c>
      <x:c r="N748" s="9" t="n">
        <x:v>5</x:v>
      </x:c>
      <x:c r="O748" s="9" t="str">
        <x:v>Place the listed objects. Put Expected Target between the two named references and the other block outside that segment.</x:v>
      </x:c>
      <x:c r="P748" s="9" t="str">
        <x:v>Adjacent between counterfactual scenes alternate which block occupies the midpoint.</x:v>
      </x:c>
      <x:c r="Q748" s="9"/>
      <x:c r="R748" s="10" t="n">
        <x:v>5</x:v>
      </x:c>
      <x:c r="S748" s="10" t="n">
        <x:v>1</x:v>
      </x:c>
      <x:c r="T748" s="9" t="str">
        <x:v>Empty</x:v>
      </x:c>
      <x:c r="U748" s="9"/>
      <x:c r="V748" s="9"/>
      <x:c r="W748" s="9"/>
      <x:c r="X748" s="10"/>
      <x:c r="Y748" s="10"/>
      <x:c r="Z748" s="9"/>
      <x:c r="AA748" s="9"/>
      <x:c r="AB748" s="9" t="str">
        <x:v>between</x:v>
      </x:c>
      <x:c r="AC748" s="9"/>
      <x:c r="AD748" s="9"/>
      <x:c r="AE748" s="9"/>
      <x:c r="AF748" s="9"/>
      <x:c r="AG748" s="9" t="str">
        <x:v>block</x:v>
      </x:c>
      <x:c r="AH748" s="9"/>
      <x:c r="AI748" s="11"/>
      <x:c r="AJ748" s="9"/>
      <x:c r="AK748" s="9" t="str">
        <x:v>Eval_Referential_Disambiguation.xlsm</x:v>
      </x:c>
      <x:c r="AL748" s="9" t="str">
        <x:v>pi0.5 Results</x:v>
      </x:c>
      <x:c r="AM748" s="9" t="n">
        <x:v>128</x:v>
      </x:c>
      <x:c r="AN748" s="9" t="n">
        <x:v>128</x:v>
      </x:c>
    </x:row>
    <x:row r="749">
      <x:c r="A749" s="9" t="str">
        <x:v>Failure</x:v>
      </x:c>
      <x:c r="B749" s="9" t="str">
        <x:v>Referential Disambiguation</x:v>
      </x:c>
      <x:c r="C749" s="10" t="n">
        <x:v>127</x:v>
      </x:c>
      <x:c r="D749" s="9" t="str">
        <x:v>Pick up the block between the red pencil sharpener and the airplane toy without propellers and place it in the bowl.</x:v>
      </x:c>
      <x:c r="E749" s="9" t="str">
        <x:v>green block; blue block; red pencil sharpener; airplane toy without propellers</x:v>
      </x:c>
      <x:c r="F749" s="9" t="str">
        <x:v>blue block</x:v>
      </x:c>
      <x:c r="G749" s="9" t="str">
        <x:v>picked the red pencil sharpener</x:v>
      </x:c>
      <x:c r="H749" s="9" t="str">
        <x:v>Cross-task block reasoning</x:v>
      </x:c>
      <x:c r="I749" s="9" t="str">
        <x:v>RD-BLOCK-B02B</x:v>
      </x:c>
      <x:c r="J749" s="9" t="str">
        <x:v>Cross-task block candidate pair — between</x:v>
      </x:c>
      <x:c r="K749" s="9"/>
      <x:c r="L749" s="9" t="str">
        <x:v>530; 1075; 350</x:v>
      </x:c>
      <x:c r="M749" s="9" t="str">
        <x:v>Between is explicit in Referential Disambiguation, and both block identities are manipulated elsewhere in fine-tuning; block × between is absent.</x:v>
      </x:c>
      <x:c r="N749" s="9" t="n">
        <x:v>5</x:v>
      </x:c>
      <x:c r="O749" s="9" t="str">
        <x:v>Place the listed objects. Put Expected Target between the two named references and the other block outside that segment.</x:v>
      </x:c>
      <x:c r="P749" s="9" t="str">
        <x:v>Adjacent between counterfactual scenes alternate which block occupies the midpoint.</x:v>
      </x:c>
      <x:c r="Q749" s="9"/>
      <x:c r="R749" s="10" t="n">
        <x:v>4</x:v>
      </x:c>
      <x:c r="S749" s="10" t="n">
        <x:v>1</x:v>
      </x:c>
      <x:c r="T749" s="9" t="str">
        <x:v>Empty</x:v>
      </x:c>
      <x:c r="U749" s="9"/>
      <x:c r="V749" s="9"/>
      <x:c r="W749" s="9"/>
      <x:c r="X749" s="10"/>
      <x:c r="Y749" s="10"/>
      <x:c r="Z749" s="9"/>
      <x:c r="AA749" s="9"/>
      <x:c r="AB749" s="9" t="str">
        <x:v>between</x:v>
      </x:c>
      <x:c r="AC749" s="9"/>
      <x:c r="AD749" s="9"/>
      <x:c r="AE749" s="9"/>
      <x:c r="AF749" s="9"/>
      <x:c r="AG749" s="9" t="str">
        <x:v>block</x:v>
      </x:c>
      <x:c r="AH749" s="9"/>
      <x:c r="AI749" s="11"/>
      <x:c r="AJ749" s="9"/>
      <x:c r="AK749" s="9" t="str">
        <x:v>Eval_Referential_Disambiguation.xlsm</x:v>
      </x:c>
      <x:c r="AL749" s="9" t="str">
        <x:v>pi0.5 Results</x:v>
      </x:c>
      <x:c r="AM749" s="9" t="n">
        <x:v>129</x:v>
      </x:c>
      <x:c r="AN749" s="9" t="n">
        <x:v>129</x:v>
      </x:c>
    </x:row>
    <x:row r="750">
      <x:c r="A750" s="9" t="str">
        <x:v>Success</x:v>
      </x:c>
      <x:c r="B750" s="9" t="str">
        <x:v>Referential Disambiguation</x:v>
      </x:c>
      <x:c r="C750" s="10" t="n">
        <x:v>128</x:v>
      </x:c>
      <x:c r="D750" s="9" t="str">
        <x:v>Put the block between the green pen and the airplane toy without propellers in the bowl.</x:v>
      </x:c>
      <x:c r="E750" s="9" t="str">
        <x:v>green block; blue block; green pen; airplane toy without propellers</x:v>
      </x:c>
      <x:c r="F750" s="9" t="str">
        <x:v>green block</x:v>
      </x:c>
      <x:c r="G750" s="9"/>
      <x:c r="H750" s="9" t="str">
        <x:v>Cross-task block reasoning</x:v>
      </x:c>
      <x:c r="I750" s="9" t="str">
        <x:v>RD-BLOCK-B03A</x:v>
      </x:c>
      <x:c r="J750" s="9" t="str">
        <x:v>Cross-task block candidate pair — between</x:v>
      </x:c>
      <x:c r="K750" s="9"/>
      <x:c r="L750" s="9" t="str">
        <x:v>530; 1075; 350</x:v>
      </x:c>
      <x:c r="M750" s="9" t="str">
        <x:v>Between is explicit in Referential Disambiguation, and both block identities are manipulated elsewhere in fine-tuning; block × between is absent.</x:v>
      </x:c>
      <x:c r="N750" s="9" t="n">
        <x:v>5</x:v>
      </x:c>
      <x:c r="O750" s="9" t="str">
        <x:v>Place the listed objects. Put Expected Target between the two named references and the other block outside that segment.</x:v>
      </x:c>
      <x:c r="P750" s="9" t="str">
        <x:v>Adjacent between counterfactual scenes alternate which block occupies the midpoint.</x:v>
      </x:c>
      <x:c r="Q750" s="9"/>
      <x:c r="R750" s="10" t="n">
        <x:v>4</x:v>
      </x:c>
      <x:c r="S750" s="10" t="n">
        <x:v>1</x:v>
      </x:c>
      <x:c r="T750" s="9" t="str">
        <x:v>Empty</x:v>
      </x:c>
      <x:c r="U750" s="9"/>
      <x:c r="V750" s="9"/>
      <x:c r="W750" s="9"/>
      <x:c r="X750" s="10"/>
      <x:c r="Y750" s="10"/>
      <x:c r="Z750" s="9"/>
      <x:c r="AA750" s="9"/>
      <x:c r="AB750" s="9" t="str">
        <x:v>between</x:v>
      </x:c>
      <x:c r="AC750" s="9"/>
      <x:c r="AD750" s="9"/>
      <x:c r="AE750" s="9"/>
      <x:c r="AF750" s="9"/>
      <x:c r="AG750" s="9" t="str">
        <x:v>block</x:v>
      </x:c>
      <x:c r="AH750" s="9"/>
      <x:c r="AI750" s="11"/>
      <x:c r="AJ750" s="9"/>
      <x:c r="AK750" s="9" t="str">
        <x:v>Eval_Referential_Disambiguation.xlsm</x:v>
      </x:c>
      <x:c r="AL750" s="9" t="str">
        <x:v>pi0.5 Results</x:v>
      </x:c>
      <x:c r="AM750" s="9" t="n">
        <x:v>130</x:v>
      </x:c>
      <x:c r="AN750" s="9" t="n">
        <x:v>130</x:v>
      </x:c>
    </x:row>
    <x:row r="751">
      <x:c r="A751" s="9" t="str">
        <x:v>Failure</x:v>
      </x:c>
      <x:c r="B751" s="9" t="str">
        <x:v>Referential Disambiguation</x:v>
      </x:c>
      <x:c r="C751" s="10" t="n">
        <x:v>129</x:v>
      </x:c>
      <x:c r="D751" s="9" t="str">
        <x:v>Move the block between the yellow pen and the airplane toy with propellers into the bowl.</x:v>
      </x:c>
      <x:c r="E751" s="9" t="str">
        <x:v>green block; blue block; yellow pen; airplane toy with propellers; crushed Coke can</x:v>
      </x:c>
      <x:c r="F751" s="9" t="str">
        <x:v>blue block</x:v>
      </x:c>
      <x:c r="G751" s="9" t="str">
        <x:v>picked green block between the yellow pen and coke can</x:v>
      </x:c>
      <x:c r="H751" s="9" t="str">
        <x:v>Cross-task block reasoning</x:v>
      </x:c>
      <x:c r="I751" s="9" t="str">
        <x:v>RD-BLOCK-B03B</x:v>
      </x:c>
      <x:c r="J751" s="9" t="str">
        <x:v>Cross-task block candidate pair — between</x:v>
      </x:c>
      <x:c r="K751" s="9"/>
      <x:c r="L751" s="9" t="str">
        <x:v>530; 1075; 350</x:v>
      </x:c>
      <x:c r="M751" s="9" t="str">
        <x:v>Between is explicit in Referential Disambiguation, and both block identities are manipulated elsewhere in fine-tuning; block × between is absent.</x:v>
      </x:c>
      <x:c r="N751" s="9" t="n">
        <x:v>5</x:v>
      </x:c>
      <x:c r="O751" s="9" t="str">
        <x:v>Place the listed objects. Put Expected Target between the two named references and the other block outside that segment.</x:v>
      </x:c>
      <x:c r="P751" s="9" t="str">
        <x:v>Adjacent between counterfactual scenes alternate which block occupies the midpoint.</x:v>
      </x:c>
      <x:c r="Q751" s="9"/>
      <x:c r="R751" s="10" t="n">
        <x:v>5</x:v>
      </x:c>
      <x:c r="S751" s="10" t="n">
        <x:v>1</x:v>
      </x:c>
      <x:c r="T751" s="9" t="str">
        <x:v>Empty</x:v>
      </x:c>
      <x:c r="U751" s="9"/>
      <x:c r="V751" s="9"/>
      <x:c r="W751" s="9"/>
      <x:c r="X751" s="10"/>
      <x:c r="Y751" s="10"/>
      <x:c r="Z751" s="9"/>
      <x:c r="AA751" s="9"/>
      <x:c r="AB751" s="9" t="str">
        <x:v>between</x:v>
      </x:c>
      <x:c r="AC751" s="9"/>
      <x:c r="AD751" s="9"/>
      <x:c r="AE751" s="9"/>
      <x:c r="AF751" s="9"/>
      <x:c r="AG751" s="9" t="str">
        <x:v>block</x:v>
      </x:c>
      <x:c r="AH751" s="9"/>
      <x:c r="AI751" s="11"/>
      <x:c r="AJ751" s="9"/>
      <x:c r="AK751" s="9" t="str">
        <x:v>Eval_Referential_Disambiguation.xlsm</x:v>
      </x:c>
      <x:c r="AL751" s="9" t="str">
        <x:v>pi0.5 Results</x:v>
      </x:c>
      <x:c r="AM751" s="9" t="n">
        <x:v>131</x:v>
      </x:c>
      <x:c r="AN751" s="9" t="n">
        <x:v>131</x:v>
      </x:c>
    </x:row>
    <x:row r="752">
      <x:c r="A752" s="9" t="str">
        <x:v>Failure</x:v>
      </x:c>
      <x:c r="B752" s="9" t="str">
        <x:v>Referential Disambiguation</x:v>
      </x:c>
      <x:c r="C752" s="10" t="n">
        <x:v>130</x:v>
      </x:c>
      <x:c r="D752" s="9" t="str">
        <x:v>Pick up the crushed soda can between the green pen and the airplane toy with propellers and place it in the bowl.</x:v>
      </x:c>
      <x:c r="E752" s="9" t="str">
        <x:v>green pen; airplane toy with propellers; yellow pen; airplane toy without propellers</x:v>
      </x:c>
      <x:c r="F752" s="9" t="str">
        <x:v>NO-OP; neither crushed Coke can nor crushed Pepsi can is present</x:v>
      </x:c>
      <x:c r="G752" s="9" t="str">
        <x:v>picked the airplane toy closest to the green pen</x:v>
      </x:c>
      <x:c r="H752" s="9" t="str">
        <x:v>No valid candidate category / no movement</x:v>
      </x:c>
      <x:c r="I752" s="9" t="str">
        <x:v>RD-NOVALID01</x:v>
      </x:c>
      <x:c r="J752" s="9" t="str">
        <x:v>Queried candidate pair absent; bowl remains empty</x:v>
      </x:c>
      <x:c r="K752" s="9"/>
      <x:c r="L752" s="9" t="str">
        <x:v>430</x:v>
      </x:c>
      <x:c r="M752" s="9" t="str">
        <x:v>The relation × candidate-category prompt cell is explicitly trained. The evaluation scene deliberately removes both candidate identities; the abstention outcome is not demonstrated in training.</x:v>
      </x:c>
      <x:c r="N752" s="9" t="n">
        <x:v>6</x:v>
      </x:c>
      <x:c r="O752" s="9" t="str">
        <x:v>Place only the listed objects; neither queried candidate identity may be present. Keep the bowl empty.</x:v>
      </x:c>
      <x:c r="P752" s="9" t="str">
        <x:v>The instruction uses normal active-trial wording. Success requires no grasp or object displacement.</x:v>
      </x:c>
      <x:c r="Q752" s="9"/>
      <x:c r="R752" s="10" t="n">
        <x:v>4</x:v>
      </x:c>
      <x:c r="S752" s="10" t="n">
        <x:v>0</x:v>
      </x:c>
      <x:c r="T752" s="9" t="str">
        <x:v>Empty</x:v>
      </x:c>
      <x:c r="U752" s="9"/>
      <x:c r="V752" s="9"/>
      <x:c r="W752" s="9"/>
      <x:c r="X752" s="10"/>
      <x:c r="Y752" s="10"/>
      <x:c r="Z752" s="9"/>
      <x:c r="AA752" s="9"/>
      <x:c r="AB752" s="9" t="str">
        <x:v>between</x:v>
      </x:c>
      <x:c r="AC752" s="9"/>
      <x:c r="AD752" s="9"/>
      <x:c r="AE752" s="9"/>
      <x:c r="AF752" s="9"/>
      <x:c r="AG752" s="9" t="str">
        <x:v>crushed soda can</x:v>
      </x:c>
      <x:c r="AH752" s="9"/>
      <x:c r="AI752" s="11"/>
      <x:c r="AJ752" s="9"/>
      <x:c r="AK752" s="9" t="str">
        <x:v>Eval_Referential_Disambiguation.xlsm</x:v>
      </x:c>
      <x:c r="AL752" s="9" t="str">
        <x:v>pi0.5 Results</x:v>
      </x:c>
      <x:c r="AM752" s="9" t="n">
        <x:v>132</x:v>
      </x:c>
      <x:c r="AN752" s="9" t="n">
        <x:v>132</x:v>
      </x:c>
    </x:row>
    <x:row r="753">
      <x:c r="A753" s="9" t="str">
        <x:v>Failure</x:v>
      </x:c>
      <x:c r="B753" s="9" t="str">
        <x:v>Referential Disambiguation</x:v>
      </x:c>
      <x:c r="C753" s="10" t="n">
        <x:v>131</x:v>
      </x:c>
      <x:c r="D753" s="9" t="str">
        <x:v>Pick up the pencil sharpener closest to the crushed Coke can and place it in the bowl.</x:v>
      </x:c>
      <x:c r="E753" s="9" t="str">
        <x:v>crushed Coke can; green pen; yellow pen</x:v>
      </x:c>
      <x:c r="F753" s="9" t="str">
        <x:v>NO-OP; neither green pencil sharpener nor red pencil sharpener is present</x:v>
      </x:c>
      <x:c r="G753" s="9" t="str">
        <x:v>picked the green pen</x:v>
      </x:c>
      <x:c r="H753" s="9" t="str">
        <x:v>No valid candidate category / no movement</x:v>
      </x:c>
      <x:c r="I753" s="9" t="str">
        <x:v>RD-NOVALID02</x:v>
      </x:c>
      <x:c r="J753" s="9" t="str">
        <x:v>Queried candidate pair absent; bowl remains empty</x:v>
      </x:c>
      <x:c r="K753" s="9"/>
      <x:c r="L753" s="9" t="str">
        <x:v>450</x:v>
      </x:c>
      <x:c r="M753" s="9" t="str">
        <x:v>The relation × candidate-category prompt cell is explicitly trained. The evaluation scene deliberately removes both candidate identities; the abstention outcome is not demonstrated in training.</x:v>
      </x:c>
      <x:c r="N753" s="9" t="n">
        <x:v>6</x:v>
      </x:c>
      <x:c r="O753" s="9" t="str">
        <x:v>Place only the listed objects; neither queried candidate identity may be present. Keep the bowl empty.</x:v>
      </x:c>
      <x:c r="P753" s="9" t="str">
        <x:v>The instruction uses normal active-trial wording. Success requires no grasp or object displacement.</x:v>
      </x:c>
      <x:c r="Q753" s="9"/>
      <x:c r="R753" s="10" t="n">
        <x:v>3</x:v>
      </x:c>
      <x:c r="S753" s="10" t="n">
        <x:v>0</x:v>
      </x:c>
      <x:c r="T753" s="9" t="str">
        <x:v>Empty</x:v>
      </x:c>
      <x:c r="U753" s="9"/>
      <x:c r="V753" s="9"/>
      <x:c r="W753" s="9"/>
      <x:c r="X753" s="10"/>
      <x:c r="Y753" s="10"/>
      <x:c r="Z753" s="9"/>
      <x:c r="AA753" s="9"/>
      <x:c r="AB753" s="9" t="str">
        <x:v>closest</x:v>
      </x:c>
      <x:c r="AC753" s="9"/>
      <x:c r="AD753" s="9"/>
      <x:c r="AE753" s="9"/>
      <x:c r="AF753" s="9"/>
      <x:c r="AG753" s="9" t="str">
        <x:v>pencil sharpener</x:v>
      </x:c>
      <x:c r="AH753" s="9"/>
      <x:c r="AI753" s="11"/>
      <x:c r="AJ753" s="9"/>
      <x:c r="AK753" s="9" t="str">
        <x:v>Eval_Referential_Disambiguation.xlsm</x:v>
      </x:c>
      <x:c r="AL753" s="9" t="str">
        <x:v>pi0.5 Results</x:v>
      </x:c>
      <x:c r="AM753" s="9" t="n">
        <x:v>133</x:v>
      </x:c>
      <x:c r="AN753" s="9" t="n">
        <x:v>133</x:v>
      </x:c>
    </x:row>
    <x:row r="754">
      <x:c r="A754" s="9" t="str">
        <x:v>Failure</x:v>
      </x:c>
      <x:c r="B754" s="9" t="str">
        <x:v>Referential Disambiguation</x:v>
      </x:c>
      <x:c r="C754" s="10" t="n">
        <x:v>132</x:v>
      </x:c>
      <x:c r="D754" s="9" t="str">
        <x:v>Put the airplane toy closest to the green pencil sharpener in the bowl.</x:v>
      </x:c>
      <x:c r="E754" s="9" t="str">
        <x:v>green pencil sharpener; red pencil sharpener; green pen; yellow pen</x:v>
      </x:c>
      <x:c r="F754" s="9" t="str">
        <x:v>NO-OP; neither airplane toy with propellers nor airplane toy without propellers is present</x:v>
      </x:c>
      <x:c r="G754" s="9" t="str">
        <x:v>picked green pencil sharpener</x:v>
      </x:c>
      <x:c r="H754" s="9" t="str">
        <x:v>No valid candidate category / no movement</x:v>
      </x:c>
      <x:c r="I754" s="9" t="str">
        <x:v>RD-NOVALID03</x:v>
      </x:c>
      <x:c r="J754" s="9" t="str">
        <x:v>Queried candidate pair absent; bowl remains empty</x:v>
      </x:c>
      <x:c r="K754" s="9"/>
      <x:c r="L754" s="9" t="str">
        <x:v>550</x:v>
      </x:c>
      <x:c r="M754" s="9" t="str">
        <x:v>The relation × candidate-category prompt cell is explicitly trained. The evaluation scene deliberately removes both candidate identities; the abstention outcome is not demonstrated in training.</x:v>
      </x:c>
      <x:c r="N754" s="9" t="n">
        <x:v>6</x:v>
      </x:c>
      <x:c r="O754" s="9" t="str">
        <x:v>Place only the listed objects; neither queried candidate identity may be present. Keep the bowl empty.</x:v>
      </x:c>
      <x:c r="P754" s="9" t="str">
        <x:v>The instruction uses normal active-trial wording. Success requires no grasp or object displacement.</x:v>
      </x:c>
      <x:c r="Q754" s="9"/>
      <x:c r="R754" s="10" t="n">
        <x:v>4</x:v>
      </x:c>
      <x:c r="S754" s="10" t="n">
        <x:v>0</x:v>
      </x:c>
      <x:c r="T754" s="9" t="str">
        <x:v>Empty</x:v>
      </x:c>
      <x:c r="U754" s="9"/>
      <x:c r="V754" s="9"/>
      <x:c r="W754" s="9"/>
      <x:c r="X754" s="10"/>
      <x:c r="Y754" s="10"/>
      <x:c r="Z754" s="9"/>
      <x:c r="AA754" s="9"/>
      <x:c r="AB754" s="9" t="str">
        <x:v>closest</x:v>
      </x:c>
      <x:c r="AC754" s="9"/>
      <x:c r="AD754" s="9"/>
      <x:c r="AE754" s="9"/>
      <x:c r="AF754" s="9"/>
      <x:c r="AG754" s="9" t="str">
        <x:v>airplane toy</x:v>
      </x:c>
      <x:c r="AH754" s="9"/>
      <x:c r="AI754" s="11"/>
      <x:c r="AJ754" s="9"/>
      <x:c r="AK754" s="9" t="str">
        <x:v>Eval_Referential_Disambiguation.xlsm</x:v>
      </x:c>
      <x:c r="AL754" s="9" t="str">
        <x:v>pi0.5 Results</x:v>
      </x:c>
      <x:c r="AM754" s="9" t="n">
        <x:v>134</x:v>
      </x:c>
      <x:c r="AN754" s="9" t="n">
        <x:v>134</x:v>
      </x:c>
    </x:row>
    <x:row r="755">
      <x:c r="A755" s="9" t="str">
        <x:v>Failure</x:v>
      </x:c>
      <x:c r="B755" s="9" t="str">
        <x:v>Referential Disambiguation</x:v>
      </x:c>
      <x:c r="C755" s="10" t="n">
        <x:v>133</x:v>
      </x:c>
      <x:c r="D755" s="9" t="str">
        <x:v>Pick up the pen furthest from the crushed Pepsi can and place it in the bowl.</x:v>
      </x:c>
      <x:c r="E755" s="9" t="str">
        <x:v>crushed Pepsi can; airplane toy with propellers; airplane toy without propellers</x:v>
      </x:c>
      <x:c r="F755" s="9" t="str">
        <x:v>NO-OP; neither green pen nor yellow pen is present</x:v>
      </x:c>
      <x:c r="G755" s="9" t="str">
        <x:v>picked pepsi can</x:v>
      </x:c>
      <x:c r="H755" s="9" t="str">
        <x:v>No valid candidate category / no movement</x:v>
      </x:c>
      <x:c r="I755" s="9" t="str">
        <x:v>RD-NOVALID04</x:v>
      </x:c>
      <x:c r="J755" s="9" t="str">
        <x:v>Queried candidate pair absent; bowl remains empty</x:v>
      </x:c>
      <x:c r="K755" s="9"/>
      <x:c r="L755" s="9" t="str">
        <x:v>515</x:v>
      </x:c>
      <x:c r="M755" s="9" t="str">
        <x:v>The relation × candidate-category prompt cell is explicitly trained. The evaluation scene deliberately removes both candidate identities; the abstention outcome is not demonstrated in training.</x:v>
      </x:c>
      <x:c r="N755" s="9" t="n">
        <x:v>6</x:v>
      </x:c>
      <x:c r="O755" s="9" t="str">
        <x:v>Place only the listed objects; neither queried candidate identity may be present. Keep the bowl empty.</x:v>
      </x:c>
      <x:c r="P755" s="9" t="str">
        <x:v>The instruction uses normal active-trial wording. Success requires no grasp or object displacement.</x:v>
      </x:c>
      <x:c r="Q755" s="9"/>
      <x:c r="R755" s="10" t="n">
        <x:v>3</x:v>
      </x:c>
      <x:c r="S755" s="10" t="n">
        <x:v>0</x:v>
      </x:c>
      <x:c r="T755" s="9" t="str">
        <x:v>Empty</x:v>
      </x:c>
      <x:c r="U755" s="9"/>
      <x:c r="V755" s="9"/>
      <x:c r="W755" s="9"/>
      <x:c r="X755" s="10"/>
      <x:c r="Y755" s="10"/>
      <x:c r="Z755" s="9"/>
      <x:c r="AA755" s="9"/>
      <x:c r="AB755" s="9" t="str">
        <x:v>furthest</x:v>
      </x:c>
      <x:c r="AC755" s="9"/>
      <x:c r="AD755" s="9"/>
      <x:c r="AE755" s="9"/>
      <x:c r="AF755" s="9"/>
      <x:c r="AG755" s="9" t="str">
        <x:v>pen</x:v>
      </x:c>
      <x:c r="AH755" s="9"/>
      <x:c r="AI755" s="11"/>
      <x:c r="AJ755" s="9"/>
      <x:c r="AK755" s="9" t="str">
        <x:v>Eval_Referential_Disambiguation.xlsm</x:v>
      </x:c>
      <x:c r="AL755" s="9" t="str">
        <x:v>pi0.5 Results</x:v>
      </x:c>
      <x:c r="AM755" s="9" t="n">
        <x:v>135</x:v>
      </x:c>
      <x:c r="AN755" s="9" t="n">
        <x:v>135</x:v>
      </x:c>
    </x:row>
    <x:row r="756">
      <x:c r="A756" s="9" t="str">
        <x:v>Failure</x:v>
      </x:c>
      <x:c r="B756" s="9" t="str">
        <x:v>Referential Disambiguation</x:v>
      </x:c>
      <x:c r="C756" s="10" t="n">
        <x:v>134</x:v>
      </x:c>
      <x:c r="D756" s="9" t="str">
        <x:v>Put the crushed soda can furthest from the airplane toy without propellers in the bowl.</x:v>
      </x:c>
      <x:c r="E756" s="9" t="str">
        <x:v>airplane toy without propellers; airplane toy with propellers; green pencil sharpener; red pencil sharpener</x:v>
      </x:c>
      <x:c r="F756" s="9" t="str">
        <x:v>NO-OP; neither crushed Coke can nor crushed Pepsi can is present</x:v>
      </x:c>
      <x:c r="G756" s="9" t="str">
        <x:v>tried picking up thge airplane toy with propellors and then dropped it and then picked up the red pencil sharpener in the bowl during recovery</x:v>
      </x:c>
      <x:c r="H756" s="9" t="str">
        <x:v>No valid candidate category / no movement</x:v>
      </x:c>
      <x:c r="I756" s="9" t="str">
        <x:v>RD-NOVALID05</x:v>
      </x:c>
      <x:c r="J756" s="9" t="str">
        <x:v>Queried candidate pair absent; bowl remains empty</x:v>
      </x:c>
      <x:c r="K756" s="9"/>
      <x:c r="L756" s="9" t="str">
        <x:v>415</x:v>
      </x:c>
      <x:c r="M756" s="9" t="str">
        <x:v>The relation × candidate-category prompt cell is explicitly trained. The evaluation scene deliberately removes both candidate identities; the abstention outcome is not demonstrated in training.</x:v>
      </x:c>
      <x:c r="N756" s="9" t="n">
        <x:v>6</x:v>
      </x:c>
      <x:c r="O756" s="9" t="str">
        <x:v>Place only the listed objects; neither queried candidate identity may be present. Keep the bowl empty.</x:v>
      </x:c>
      <x:c r="P756" s="9" t="str">
        <x:v>The instruction uses normal active-trial wording. Success requires no grasp or object displacement.</x:v>
      </x:c>
      <x:c r="Q756" s="9"/>
      <x:c r="R756" s="10" t="n">
        <x:v>4</x:v>
      </x:c>
      <x:c r="S756" s="10" t="n">
        <x:v>0</x:v>
      </x:c>
      <x:c r="T756" s="9" t="str">
        <x:v>Empty</x:v>
      </x:c>
      <x:c r="U756" s="9"/>
      <x:c r="V756" s="9"/>
      <x:c r="W756" s="9"/>
      <x:c r="X756" s="10"/>
      <x:c r="Y756" s="10"/>
      <x:c r="Z756" s="9"/>
      <x:c r="AA756" s="9"/>
      <x:c r="AB756" s="9" t="str">
        <x:v>furthest</x:v>
      </x:c>
      <x:c r="AC756" s="9"/>
      <x:c r="AD756" s="9"/>
      <x:c r="AE756" s="9"/>
      <x:c r="AF756" s="9"/>
      <x:c r="AG756" s="9" t="str">
        <x:v>crushed soda can</x:v>
      </x:c>
      <x:c r="AH756" s="9"/>
      <x:c r="AI756" s="11"/>
      <x:c r="AJ756" s="9"/>
      <x:c r="AK756" s="9" t="str">
        <x:v>Eval_Referential_Disambiguation.xlsm</x:v>
      </x:c>
      <x:c r="AL756" s="9" t="str">
        <x:v>pi0.5 Results</x:v>
      </x:c>
      <x:c r="AM756" s="9" t="n">
        <x:v>136</x:v>
      </x:c>
      <x:c r="AN756" s="9" t="n">
        <x:v>136</x:v>
      </x:c>
    </x:row>
    <x:row r="757">
      <x:c r="A757" s="9" t="str">
        <x:v>Failure</x:v>
      </x:c>
      <x:c r="B757" s="9" t="str">
        <x:v>Referential Disambiguation</x:v>
      </x:c>
      <x:c r="C757" s="10" t="n">
        <x:v>135</x:v>
      </x:c>
      <x:c r="D757" s="9" t="str">
        <x:v>Move the pencil sharpener furthest from the airplane toy without propellers into the bowl.</x:v>
      </x:c>
      <x:c r="E757" s="9" t="str">
        <x:v>airplane toy without propellers; crushed Coke can; crushed Pepsi can</x:v>
      </x:c>
      <x:c r="F757" s="9" t="str">
        <x:v>NO-OP; neither green pencil sharpener nor red pencil sharpener is present</x:v>
      </x:c>
      <x:c r="G757" s="9" t="str">
        <x:v>picked airplane toy</x:v>
      </x:c>
      <x:c r="H757" s="9" t="str">
        <x:v>No valid candidate category / no movement</x:v>
      </x:c>
      <x:c r="I757" s="9" t="str">
        <x:v>RD-NOVALID06</x:v>
      </x:c>
      <x:c r="J757" s="9" t="str">
        <x:v>Queried candidate pair absent; bowl remains empty</x:v>
      </x:c>
      <x:c r="K757" s="9"/>
      <x:c r="L757" s="9" t="str">
        <x:v>465</x:v>
      </x:c>
      <x:c r="M757" s="9" t="str">
        <x:v>The relation × candidate-category prompt cell is explicitly trained. The evaluation scene deliberately removes both candidate identities; the abstention outcome is not demonstrated in training.</x:v>
      </x:c>
      <x:c r="N757" s="9" t="n">
        <x:v>6</x:v>
      </x:c>
      <x:c r="O757" s="9" t="str">
        <x:v>Place only the listed objects; neither queried candidate identity may be present. Keep the bowl empty.</x:v>
      </x:c>
      <x:c r="P757" s="9" t="str">
        <x:v>The instruction uses normal active-trial wording. Success requires no grasp or object displacement.</x:v>
      </x:c>
      <x:c r="Q757" s="9"/>
      <x:c r="R757" s="10" t="n">
        <x:v>3</x:v>
      </x:c>
      <x:c r="S757" s="10" t="n">
        <x:v>0</x:v>
      </x:c>
      <x:c r="T757" s="9" t="str">
        <x:v>Empty</x:v>
      </x:c>
      <x:c r="U757" s="9"/>
      <x:c r="V757" s="9"/>
      <x:c r="W757" s="9"/>
      <x:c r="X757" s="10"/>
      <x:c r="Y757" s="10"/>
      <x:c r="Z757" s="9"/>
      <x:c r="AA757" s="9"/>
      <x:c r="AB757" s="9" t="str">
        <x:v>furthest</x:v>
      </x:c>
      <x:c r="AC757" s="9"/>
      <x:c r="AD757" s="9"/>
      <x:c r="AE757" s="9"/>
      <x:c r="AF757" s="9"/>
      <x:c r="AG757" s="9" t="str">
        <x:v>pencil sharpener</x:v>
      </x:c>
      <x:c r="AH757" s="9"/>
      <x:c r="AI757" s="11"/>
      <x:c r="AJ757" s="9"/>
      <x:c r="AK757" s="9" t="str">
        <x:v>Eval_Referential_Disambiguation.xlsm</x:v>
      </x:c>
      <x:c r="AL757" s="9" t="str">
        <x:v>pi0.5 Results</x:v>
      </x:c>
      <x:c r="AM757" s="9" t="n">
        <x:v>137</x:v>
      </x:c>
      <x:c r="AN757" s="9" t="n">
        <x:v>137</x:v>
      </x:c>
    </x:row>
    <x:row r="758">
      <x:c r="A758" s="9" t="str">
        <x:v>Failure</x:v>
      </x:c>
      <x:c r="B758" s="9" t="str">
        <x:v>Referential Disambiguation</x:v>
      </x:c>
      <x:c r="C758" s="10" t="n">
        <x:v>136</x:v>
      </x:c>
      <x:c r="D758" s="9" t="str">
        <x:v>Put the airplane toy between the green pen and the crushed Coke can in the bowl.</x:v>
      </x:c>
      <x:c r="E758" s="9" t="str">
        <x:v>green pen; crushed Coke can; crushed Pepsi can; green pencil sharpener; red pencil sharpener</x:v>
      </x:c>
      <x:c r="F758" s="9" t="str">
        <x:v>NO-OP; neither airplane toy with propellers nor airplane toy without propellers is present</x:v>
      </x:c>
      <x:c r="G758" s="9" t="str">
        <x:v>tried picking the coke can, knocked it over, and couldn't recover</x:v>
      </x:c>
      <x:c r="H758" s="9" t="str">
        <x:v>No valid candidate category / no movement</x:v>
      </x:c>
      <x:c r="I758" s="9" t="str">
        <x:v>RD-NOVALID07</x:v>
      </x:c>
      <x:c r="J758" s="9" t="str">
        <x:v>Queried candidate pair absent; bowl remains empty</x:v>
      </x:c>
      <x:c r="K758" s="9"/>
      <x:c r="L758" s="9" t="str">
        <x:v>580</x:v>
      </x:c>
      <x:c r="M758" s="9" t="str">
        <x:v>The relation × candidate-category prompt cell is explicitly trained. The evaluation scene deliberately removes both candidate identities; the abstention outcome is not demonstrated in training.</x:v>
      </x:c>
      <x:c r="N758" s="9" t="n">
        <x:v>6</x:v>
      </x:c>
      <x:c r="O758" s="9" t="str">
        <x:v>Place only the listed objects; neither queried candidate identity may be present. Keep the bowl empty.</x:v>
      </x:c>
      <x:c r="P758" s="9" t="str">
        <x:v>The instruction uses normal active-trial wording. Success requires no grasp or object displacement.</x:v>
      </x:c>
      <x:c r="Q758" s="9"/>
      <x:c r="R758" s="10" t="n">
        <x:v>5</x:v>
      </x:c>
      <x:c r="S758" s="10" t="n">
        <x:v>0</x:v>
      </x:c>
      <x:c r="T758" s="9" t="str">
        <x:v>Empty</x:v>
      </x:c>
      <x:c r="U758" s="9"/>
      <x:c r="V758" s="9"/>
      <x:c r="W758" s="9"/>
      <x:c r="X758" s="10"/>
      <x:c r="Y758" s="10"/>
      <x:c r="Z758" s="9"/>
      <x:c r="AA758" s="9"/>
      <x:c r="AB758" s="9" t="str">
        <x:v>between</x:v>
      </x:c>
      <x:c r="AC758" s="9"/>
      <x:c r="AD758" s="9"/>
      <x:c r="AE758" s="9"/>
      <x:c r="AF758" s="9"/>
      <x:c r="AG758" s="9" t="str">
        <x:v>airplane toy</x:v>
      </x:c>
      <x:c r="AH758" s="9"/>
      <x:c r="AI758" s="11"/>
      <x:c r="AJ758" s="9"/>
      <x:c r="AK758" s="9" t="str">
        <x:v>Eval_Referential_Disambiguation.xlsm</x:v>
      </x:c>
      <x:c r="AL758" s="9" t="str">
        <x:v>pi0.5 Results</x:v>
      </x:c>
      <x:c r="AM758" s="9" t="n">
        <x:v>138</x:v>
      </x:c>
      <x:c r="AN758" s="9" t="n">
        <x:v>138</x:v>
      </x:c>
    </x:row>
    <x:row r="759">
      <x:c r="A759" s="9" t="str">
        <x:v>Failure</x:v>
      </x:c>
      <x:c r="B759" s="9" t="str">
        <x:v>Referential Disambiguation</x:v>
      </x:c>
      <x:c r="C759" s="10" t="n">
        <x:v>137</x:v>
      </x:c>
      <x:c r="D759" s="9" t="str">
        <x:v>Move the pen closest to the green pencil sharpener into the bowl.</x:v>
      </x:c>
      <x:c r="E759" s="9" t="str">
        <x:v>green pencil sharpener; red pencil sharpener; airplane toy with propellers</x:v>
      </x:c>
      <x:c r="F759" s="9" t="str">
        <x:v>NO-OP; neither green pen nor yellow pen is present</x:v>
      </x:c>
      <x:c r="G759" s="9" t="str">
        <x:v>picked green pencil sharpener</x:v>
      </x:c>
      <x:c r="H759" s="9" t="str">
        <x:v>No valid candidate category / no movement</x:v>
      </x:c>
      <x:c r="I759" s="9" t="str">
        <x:v>RD-NOVALID08</x:v>
      </x:c>
      <x:c r="J759" s="9" t="str">
        <x:v>Queried candidate pair absent; bowl remains empty</x:v>
      </x:c>
      <x:c r="K759" s="9"/>
      <x:c r="L759" s="9" t="str">
        <x:v>500</x:v>
      </x:c>
      <x:c r="M759" s="9" t="str">
        <x:v>The relation × candidate-category prompt cell is explicitly trained. The evaluation scene deliberately removes both candidate identities; the abstention outcome is not demonstrated in training.</x:v>
      </x:c>
      <x:c r="N759" s="9" t="n">
        <x:v>6</x:v>
      </x:c>
      <x:c r="O759" s="9" t="str">
        <x:v>Place only the listed objects; neither queried candidate identity may be present. Keep the bowl empty.</x:v>
      </x:c>
      <x:c r="P759" s="9" t="str">
        <x:v>The instruction uses normal active-trial wording. Success requires no grasp or object displacement.</x:v>
      </x:c>
      <x:c r="Q759" s="9"/>
      <x:c r="R759" s="10" t="n">
        <x:v>3</x:v>
      </x:c>
      <x:c r="S759" s="10" t="n">
        <x:v>0</x:v>
      </x:c>
      <x:c r="T759" s="9" t="str">
        <x:v>Empty</x:v>
      </x:c>
      <x:c r="U759" s="9"/>
      <x:c r="V759" s="9"/>
      <x:c r="W759" s="9"/>
      <x:c r="X759" s="10"/>
      <x:c r="Y759" s="10"/>
      <x:c r="Z759" s="9"/>
      <x:c r="AA759" s="9"/>
      <x:c r="AB759" s="9" t="str">
        <x:v>closest</x:v>
      </x:c>
      <x:c r="AC759" s="9"/>
      <x:c r="AD759" s="9"/>
      <x:c r="AE759" s="9"/>
      <x:c r="AF759" s="9"/>
      <x:c r="AG759" s="9" t="str">
        <x:v>pen</x:v>
      </x:c>
      <x:c r="AH759" s="9"/>
      <x:c r="AI759" s="11"/>
      <x:c r="AJ759" s="9"/>
      <x:c r="AK759" s="9" t="str">
        <x:v>Eval_Referential_Disambiguation.xlsm</x:v>
      </x:c>
      <x:c r="AL759" s="9" t="str">
        <x:v>pi0.5 Results</x:v>
      </x:c>
      <x:c r="AM759" s="9" t="n">
        <x:v>139</x:v>
      </x:c>
      <x:c r="AN759" s="9" t="n">
        <x:v>139</x:v>
      </x:c>
    </x:row>
    <x:row r="760">
      <x:c r="A760" s="9" t="str">
        <x:v>Failure</x:v>
      </x:c>
      <x:c r="B760" s="9" t="str">
        <x:v>Referential Disambiguation</x:v>
      </x:c>
      <x:c r="C760" s="10" t="n">
        <x:v>138</x:v>
      </x:c>
      <x:c r="D760" s="9" t="str">
        <x:v>Move the crushed soda can between the airplane toy without propellers and the red pencil sharpener into the bowl.</x:v>
      </x:c>
      <x:c r="E760" s="9" t="str">
        <x:v>airplane toy without propellers; red pencil sharpener; yellow pen; airplane toy with propellers</x:v>
      </x:c>
      <x:c r="F760" s="9" t="str">
        <x:v>NO-OP; neither crushed Coke can nor crushed Pepsi can is present</x:v>
      </x:c>
      <x:c r="G760" s="9" t="str">
        <x:v>picked the red pencil sharpener</x:v>
      </x:c>
      <x:c r="H760" s="9" t="str">
        <x:v>No valid candidate category / no movement</x:v>
      </x:c>
      <x:c r="I760" s="9" t="str">
        <x:v>RD-NOVALID09</x:v>
      </x:c>
      <x:c r="J760" s="9" t="str">
        <x:v>Queried candidate pair absent; bowl remains empty</x:v>
      </x:c>
      <x:c r="K760" s="9"/>
      <x:c r="L760" s="9" t="str">
        <x:v>431</x:v>
      </x:c>
      <x:c r="M760" s="9" t="str">
        <x:v>The relation × candidate-category prompt cell is explicitly trained. The evaluation scene deliberately removes both candidate identities; the abstention outcome is not demonstrated in training.</x:v>
      </x:c>
      <x:c r="N760" s="9" t="n">
        <x:v>6</x:v>
      </x:c>
      <x:c r="O760" s="9" t="str">
        <x:v>Place only the listed objects; neither queried candidate identity may be present. Keep the bowl empty.</x:v>
      </x:c>
      <x:c r="P760" s="9" t="str">
        <x:v>The instruction uses normal active-trial wording. Success requires no grasp or object displacement.</x:v>
      </x:c>
      <x:c r="Q760" s="9"/>
      <x:c r="R760" s="10" t="n">
        <x:v>4</x:v>
      </x:c>
      <x:c r="S760" s="10" t="n">
        <x:v>0</x:v>
      </x:c>
      <x:c r="T760" s="9" t="str">
        <x:v>Empty</x:v>
      </x:c>
      <x:c r="U760" s="9"/>
      <x:c r="V760" s="9"/>
      <x:c r="W760" s="9"/>
      <x:c r="X760" s="10"/>
      <x:c r="Y760" s="10"/>
      <x:c r="Z760" s="9"/>
      <x:c r="AA760" s="9"/>
      <x:c r="AB760" s="9" t="str">
        <x:v>between</x:v>
      </x:c>
      <x:c r="AC760" s="9"/>
      <x:c r="AD760" s="9"/>
      <x:c r="AE760" s="9"/>
      <x:c r="AF760" s="9"/>
      <x:c r="AG760" s="9" t="str">
        <x:v>crushed soda can</x:v>
      </x:c>
      <x:c r="AH760" s="9"/>
      <x:c r="AI760" s="11"/>
      <x:c r="AJ760" s="9"/>
      <x:c r="AK760" s="9" t="str">
        <x:v>Eval_Referential_Disambiguation.xlsm</x:v>
      </x:c>
      <x:c r="AL760" s="9" t="str">
        <x:v>pi0.5 Results</x:v>
      </x:c>
      <x:c r="AM760" s="9" t="n">
        <x:v>140</x:v>
      </x:c>
      <x:c r="AN760" s="9" t="n">
        <x:v>140</x:v>
      </x:c>
    </x:row>
    <x:row r="761">
      <x:c r="A761" s="9" t="str">
        <x:v>Failure</x:v>
      </x:c>
      <x:c r="B761" s="9" t="str">
        <x:v>Referential Disambiguation</x:v>
      </x:c>
      <x:c r="C761" s="10" t="n">
        <x:v>139</x:v>
      </x:c>
      <x:c r="D761" s="9" t="str">
        <x:v>Pick up the pencil sharpener closest to the yellow pen and place it in the bowl.</x:v>
      </x:c>
      <x:c r="E761" s="9" t="str">
        <x:v>yellow pen; airplane toy without propellers; crushed Coke can; crushed Pepsi can</x:v>
      </x:c>
      <x:c r="F761" s="9" t="str">
        <x:v>NO-OP; neither green pencil sharpener nor red pencil sharpener is present</x:v>
      </x:c>
      <x:c r="G761" s="9" t="str">
        <x:v>picked the coke can</x:v>
      </x:c>
      <x:c r="H761" s="9" t="str">
        <x:v>No valid candidate category / no movement</x:v>
      </x:c>
      <x:c r="I761" s="9" t="str">
        <x:v>RD-NOVALID10</x:v>
      </x:c>
      <x:c r="J761" s="9" t="str">
        <x:v>Queried candidate pair absent; bowl remains empty</x:v>
      </x:c>
      <x:c r="K761" s="9"/>
      <x:c r="L761" s="9" t="str">
        <x:v>451</x:v>
      </x:c>
      <x:c r="M761" s="9" t="str">
        <x:v>The relation × candidate-category prompt cell is explicitly trained. The evaluation scene deliberately removes both candidate identities; the abstention outcome is not demonstrated in training.</x:v>
      </x:c>
      <x:c r="N761" s="9" t="n">
        <x:v>6</x:v>
      </x:c>
      <x:c r="O761" s="9" t="str">
        <x:v>Place only the listed objects; neither queried candidate identity may be present. Keep the bowl empty.</x:v>
      </x:c>
      <x:c r="P761" s="9" t="str">
        <x:v>The instruction uses normal active-trial wording. Success requires no grasp or object displacement.</x:v>
      </x:c>
      <x:c r="Q761" s="9"/>
      <x:c r="R761" s="10" t="n">
        <x:v>4</x:v>
      </x:c>
      <x:c r="S761" s="10" t="n">
        <x:v>0</x:v>
      </x:c>
      <x:c r="T761" s="9" t="str">
        <x:v>Empty</x:v>
      </x:c>
      <x:c r="U761" s="9"/>
      <x:c r="V761" s="9"/>
      <x:c r="W761" s="9"/>
      <x:c r="X761" s="10"/>
      <x:c r="Y761" s="10"/>
      <x:c r="Z761" s="9"/>
      <x:c r="AA761" s="9"/>
      <x:c r="AB761" s="9" t="str">
        <x:v>closest</x:v>
      </x:c>
      <x:c r="AC761" s="9"/>
      <x:c r="AD761" s="9"/>
      <x:c r="AE761" s="9"/>
      <x:c r="AF761" s="9"/>
      <x:c r="AG761" s="9" t="str">
        <x:v>pencil sharpener</x:v>
      </x:c>
      <x:c r="AH761" s="9"/>
      <x:c r="AI761" s="11"/>
      <x:c r="AJ761" s="9"/>
      <x:c r="AK761" s="9" t="str">
        <x:v>Eval_Referential_Disambiguation.xlsm</x:v>
      </x:c>
      <x:c r="AL761" s="9" t="str">
        <x:v>pi0.5 Results</x:v>
      </x:c>
      <x:c r="AM761" s="9" t="n">
        <x:v>141</x:v>
      </x:c>
      <x:c r="AN761" s="9" t="n">
        <x:v>141</x:v>
      </x:c>
    </x:row>
    <x:row r="762">
      <x:c r="A762" s="9" t="str">
        <x:v>Failure</x:v>
      </x:c>
      <x:c r="B762" s="9" t="str">
        <x:v>Referential Disambiguation</x:v>
      </x:c>
      <x:c r="C762" s="10" t="n">
        <x:v>140</x:v>
      </x:c>
      <x:c r="D762" s="9" t="str">
        <x:v>Pick up the airplane toy between the green pencil sharpener and the yellow pen and place it in the bowl.</x:v>
      </x:c>
      <x:c r="E762" s="9" t="str">
        <x:v>green pencil sharpener; yellow pen; crushed Coke can; crushed Pepsi can; red pencil sharpener</x:v>
      </x:c>
      <x:c r="F762" s="9" t="str">
        <x:v>NO-OP; neither airplane toy with propellers nor airplane toy without propellers is present</x:v>
      </x:c>
      <x:c r="G762" s="9" t="str">
        <x:v>tried picking the coke can, knocked it over, and couldn't recover</x:v>
      </x:c>
      <x:c r="H762" s="9" t="str">
        <x:v>No valid candidate category / no movement</x:v>
      </x:c>
      <x:c r="I762" s="9" t="str">
        <x:v>RD-NOVALID11</x:v>
      </x:c>
      <x:c r="J762" s="9" t="str">
        <x:v>Queried candidate pair absent; bowl remains empty</x:v>
      </x:c>
      <x:c r="K762" s="9"/>
      <x:c r="L762" s="9" t="str">
        <x:v>581</x:v>
      </x:c>
      <x:c r="M762" s="9" t="str">
        <x:v>The relation × candidate-category prompt cell is explicitly trained. The evaluation scene deliberately removes both candidate identities; the abstention outcome is not demonstrated in training.</x:v>
      </x:c>
      <x:c r="N762" s="9" t="n">
        <x:v>6</x:v>
      </x:c>
      <x:c r="O762" s="9" t="str">
        <x:v>Place only the listed objects; neither queried candidate identity may be present. Keep the bowl empty.</x:v>
      </x:c>
      <x:c r="P762" s="9" t="str">
        <x:v>The instruction uses normal active-trial wording. Success requires no grasp or object displacement.</x:v>
      </x:c>
      <x:c r="Q762" s="9"/>
      <x:c r="R762" s="10" t="n">
        <x:v>5</x:v>
      </x:c>
      <x:c r="S762" s="10" t="n">
        <x:v>0</x:v>
      </x:c>
      <x:c r="T762" s="9" t="str">
        <x:v>Empty</x:v>
      </x:c>
      <x:c r="U762" s="9"/>
      <x:c r="V762" s="9"/>
      <x:c r="W762" s="9"/>
      <x:c r="X762" s="10"/>
      <x:c r="Y762" s="10"/>
      <x:c r="Z762" s="9"/>
      <x:c r="AA762" s="9"/>
      <x:c r="AB762" s="9" t="str">
        <x:v>between</x:v>
      </x:c>
      <x:c r="AC762" s="9"/>
      <x:c r="AD762" s="9"/>
      <x:c r="AE762" s="9"/>
      <x:c r="AF762" s="9"/>
      <x:c r="AG762" s="9" t="str">
        <x:v>airplane toy</x:v>
      </x:c>
      <x:c r="AH762" s="9"/>
      <x:c r="AI762" s="11"/>
      <x:c r="AJ762" s="9"/>
      <x:c r="AK762" s="9" t="str">
        <x:v>Eval_Referential_Disambiguation.xlsm</x:v>
      </x:c>
      <x:c r="AL762" s="9" t="str">
        <x:v>pi0.5 Results</x:v>
      </x:c>
      <x:c r="AM762" s="9" t="n">
        <x:v>142</x:v>
      </x:c>
      <x:c r="AN762" s="9" t="n">
        <x:v>142</x:v>
      </x:c>
    </x:row>
    <x:row r="763">
      <x:c r="A763" s="9" t="str">
        <x:v>Failure</x:v>
      </x:c>
      <x:c r="B763" s="9" t="str">
        <x:v>Referential Disambiguation</x:v>
      </x:c>
      <x:c r="C763" s="10" t="n">
        <x:v>141</x:v>
      </x:c>
      <x:c r="D763" s="9" t="str">
        <x:v>Pick up the pen furthest from the airplane toy without propellers and place it in the bowl.</x:v>
      </x:c>
      <x:c r="E763" s="9" t="str">
        <x:v>airplane toy without propellers; crushed Pepsi can; green pencil sharpener; red pencil sharpener</x:v>
      </x:c>
      <x:c r="F763" s="9" t="str">
        <x:v>NO-OP; neither green pen nor yellow pen is present</x:v>
      </x:c>
      <x:c r="G763" s="9" t="str">
        <x:v>went for pepsi can, couldn't pick it</x:v>
      </x:c>
      <x:c r="H763" s="9" t="str">
        <x:v>No valid candidate category / no movement</x:v>
      </x:c>
      <x:c r="I763" s="9" t="str">
        <x:v>RD-NOVALID12</x:v>
      </x:c>
      <x:c r="J763" s="9" t="str">
        <x:v>Queried candidate pair absent; bowl remains empty</x:v>
      </x:c>
      <x:c r="K763" s="9"/>
      <x:c r="L763" s="9" t="str">
        <x:v>516</x:v>
      </x:c>
      <x:c r="M763" s="9" t="str">
        <x:v>The relation × candidate-category prompt cell is explicitly trained. The evaluation scene deliberately removes both candidate identities; the abstention outcome is not demonstrated in training.</x:v>
      </x:c>
      <x:c r="N763" s="9" t="n">
        <x:v>6</x:v>
      </x:c>
      <x:c r="O763" s="9" t="str">
        <x:v>Place only the listed objects; neither queried candidate identity may be present. Keep the bowl empty.</x:v>
      </x:c>
      <x:c r="P763" s="9" t="str">
        <x:v>The instruction uses normal active-trial wording. Success requires no grasp or object displacement.</x:v>
      </x:c>
      <x:c r="Q763" s="9"/>
      <x:c r="R763" s="10" t="n">
        <x:v>4</x:v>
      </x:c>
      <x:c r="S763" s="10" t="n">
        <x:v>0</x:v>
      </x:c>
      <x:c r="T763" s="9" t="str">
        <x:v>Empty</x:v>
      </x:c>
      <x:c r="U763" s="9"/>
      <x:c r="V763" s="9"/>
      <x:c r="W763" s="9"/>
      <x:c r="X763" s="10"/>
      <x:c r="Y763" s="10"/>
      <x:c r="Z763" s="9"/>
      <x:c r="AA763" s="9"/>
      <x:c r="AB763" s="9" t="str">
        <x:v>furthest</x:v>
      </x:c>
      <x:c r="AC763" s="9"/>
      <x:c r="AD763" s="9"/>
      <x:c r="AE763" s="9"/>
      <x:c r="AF763" s="9"/>
      <x:c r="AG763" s="9" t="str">
        <x:v>pen</x:v>
      </x:c>
      <x:c r="AH763" s="9"/>
      <x:c r="AI763" s="11"/>
      <x:c r="AJ763" s="9"/>
      <x:c r="AK763" s="9" t="str">
        <x:v>Eval_Referential_Disambiguation.xlsm</x:v>
      </x:c>
      <x:c r="AL763" s="9" t="str">
        <x:v>pi0.5 Results</x:v>
      </x:c>
      <x:c r="AM763" s="9" t="n">
        <x:v>143</x:v>
      </x:c>
      <x:c r="AN763" s="9" t="n">
        <x:v>143</x:v>
      </x:c>
    </x:row>
    <x:row r="764">
      <x:c r="A764" s="9" t="str">
        <x:v>Failure</x:v>
      </x:c>
      <x:c r="B764" s="9" t="str">
        <x:v>Referential Disambiguation</x:v>
      </x:c>
      <x:c r="C764" s="10" t="n">
        <x:v>142</x:v>
      </x:c>
      <x:c r="D764" s="9" t="str">
        <x:v>Put the crushed soda can furthest from the green pen in the bowl.</x:v>
      </x:c>
      <x:c r="E764" s="9" t="str">
        <x:v>green pen; yellow pen; airplane toy with propellers</x:v>
      </x:c>
      <x:c r="F764" s="9" t="str">
        <x:v>NO-OP; neither crushed Coke can nor crushed Pepsi can is present</x:v>
      </x:c>
      <x:c r="G764" s="9" t="str">
        <x:v>picked the yellow pen</x:v>
      </x:c>
      <x:c r="H764" s="9" t="str">
        <x:v>No valid candidate category / no movement</x:v>
      </x:c>
      <x:c r="I764" s="9" t="str">
        <x:v>RD-NOVALID13</x:v>
      </x:c>
      <x:c r="J764" s="9" t="str">
        <x:v>Queried candidate pair absent; bowl remains empty</x:v>
      </x:c>
      <x:c r="K764" s="9"/>
      <x:c r="L764" s="9" t="str">
        <x:v>416</x:v>
      </x:c>
      <x:c r="M764" s="9" t="str">
        <x:v>The relation × candidate-category prompt cell is explicitly trained. The evaluation scene deliberately removes both candidate identities; the abstention outcome is not demonstrated in training.</x:v>
      </x:c>
      <x:c r="N764" s="9" t="n">
        <x:v>6</x:v>
      </x:c>
      <x:c r="O764" s="9" t="str">
        <x:v>Place only the listed objects; neither queried candidate identity may be present. Keep the bowl empty.</x:v>
      </x:c>
      <x:c r="P764" s="9" t="str">
        <x:v>The instruction uses normal active-trial wording. Success requires no grasp or object displacement.</x:v>
      </x:c>
      <x:c r="Q764" s="9"/>
      <x:c r="R764" s="10" t="n">
        <x:v>3</x:v>
      </x:c>
      <x:c r="S764" s="10" t="n">
        <x:v>0</x:v>
      </x:c>
      <x:c r="T764" s="9" t="str">
        <x:v>Empty</x:v>
      </x:c>
      <x:c r="U764" s="9"/>
      <x:c r="V764" s="9"/>
      <x:c r="W764" s="9"/>
      <x:c r="X764" s="10"/>
      <x:c r="Y764" s="10"/>
      <x:c r="Z764" s="9"/>
      <x:c r="AA764" s="9"/>
      <x:c r="AB764" s="9" t="str">
        <x:v>furthest</x:v>
      </x:c>
      <x:c r="AC764" s="9"/>
      <x:c r="AD764" s="9"/>
      <x:c r="AE764" s="9"/>
      <x:c r="AF764" s="9"/>
      <x:c r="AG764" s="9" t="str">
        <x:v>crushed soda can</x:v>
      </x:c>
      <x:c r="AH764" s="9"/>
      <x:c r="AI764" s="11"/>
      <x:c r="AJ764" s="9"/>
      <x:c r="AK764" s="9" t="str">
        <x:v>Eval_Referential_Disambiguation.xlsm</x:v>
      </x:c>
      <x:c r="AL764" s="9" t="str">
        <x:v>pi0.5 Results</x:v>
      </x:c>
      <x:c r="AM764" s="9" t="n">
        <x:v>144</x:v>
      </x:c>
      <x:c r="AN764" s="9" t="n">
        <x:v>144</x:v>
      </x:c>
    </x:row>
    <x:row r="765">
      <x:c r="A765" s="9" t="str">
        <x:v>Failure</x:v>
      </x:c>
      <x:c r="B765" s="9" t="str">
        <x:v>Referential Disambiguation</x:v>
      </x:c>
      <x:c r="C765" s="10" t="n">
        <x:v>143</x:v>
      </x:c>
      <x:c r="D765" s="9" t="str">
        <x:v>Put the pencil sharpener closest to the crushed Coke can in the bowl.</x:v>
      </x:c>
      <x:c r="E765" s="9" t="str">
        <x:v>crushed Coke can; airplane toy with propellers; airplane toy without propellers</x:v>
      </x:c>
      <x:c r="F765" s="9" t="str">
        <x:v>NO-OP; neither green pencil sharpener nor red pencil sharpener is present</x:v>
      </x:c>
      <x:c r="G765" s="9" t="str">
        <x:v>tried to pick airplane toy without propellors, dropped it, then went for propellor airplane toy. Could get it either.</x:v>
      </x:c>
      <x:c r="H765" s="9" t="str">
        <x:v>No valid candidate category / no movement</x:v>
      </x:c>
      <x:c r="I765" s="9" t="str">
        <x:v>RD-NOVALID14</x:v>
      </x:c>
      <x:c r="J765" s="9" t="str">
        <x:v>Queried candidate pair absent; bowl remains empty</x:v>
      </x:c>
      <x:c r="K765" s="9"/>
      <x:c r="L765" s="9" t="str">
        <x:v>452</x:v>
      </x:c>
      <x:c r="M765" s="9" t="str">
        <x:v>The relation × candidate-category prompt cell is explicitly trained. The evaluation scene deliberately removes both candidate identities; the abstention outcome is not demonstrated in training.</x:v>
      </x:c>
      <x:c r="N765" s="9" t="n">
        <x:v>6</x:v>
      </x:c>
      <x:c r="O765" s="9" t="str">
        <x:v>Place only the listed objects; neither queried candidate identity may be present. Keep the bowl empty.</x:v>
      </x:c>
      <x:c r="P765" s="9" t="str">
        <x:v>The instruction uses normal active-trial wording. Success requires no grasp or object displacement.</x:v>
      </x:c>
      <x:c r="Q765" s="9"/>
      <x:c r="R765" s="10" t="n">
        <x:v>3</x:v>
      </x:c>
      <x:c r="S765" s="10" t="n">
        <x:v>0</x:v>
      </x:c>
      <x:c r="T765" s="9" t="str">
        <x:v>Empty</x:v>
      </x:c>
      <x:c r="U765" s="9"/>
      <x:c r="V765" s="9"/>
      <x:c r="W765" s="9"/>
      <x:c r="X765" s="10"/>
      <x:c r="Y765" s="10"/>
      <x:c r="Z765" s="9"/>
      <x:c r="AA765" s="9"/>
      <x:c r="AB765" s="9" t="str">
        <x:v>closest</x:v>
      </x:c>
      <x:c r="AC765" s="9"/>
      <x:c r="AD765" s="9"/>
      <x:c r="AE765" s="9"/>
      <x:c r="AF765" s="9"/>
      <x:c r="AG765" s="9" t="str">
        <x:v>pencil sharpener</x:v>
      </x:c>
      <x:c r="AH765" s="9"/>
      <x:c r="AI765" s="11"/>
      <x:c r="AJ765" s="9"/>
      <x:c r="AK765" s="9" t="str">
        <x:v>Eval_Referential_Disambiguation.xlsm</x:v>
      </x:c>
      <x:c r="AL765" s="9" t="str">
        <x:v>pi0.5 Results</x:v>
      </x:c>
      <x:c r="AM765" s="9" t="n">
        <x:v>145</x:v>
      </x:c>
      <x:c r="AN765" s="9" t="n">
        <x:v>145</x:v>
      </x:c>
    </x:row>
    <x:row r="766">
      <x:c r="A766" s="9" t="str">
        <x:v>Failure</x:v>
      </x:c>
      <x:c r="B766" s="9" t="str">
        <x:v>Referential Disambiguation</x:v>
      </x:c>
      <x:c r="C766" s="10" t="n">
        <x:v>144</x:v>
      </x:c>
      <x:c r="D766" s="9" t="str">
        <x:v>Move the airplane toy closest to the green pencil sharpener into the bowl.</x:v>
      </x:c>
      <x:c r="E766" s="9" t="str">
        <x:v>green pencil sharpener; yellow pen; crushed Coke can; crushed Pepsi can</x:v>
      </x:c>
      <x:c r="F766" s="9" t="str">
        <x:v>NO-OP; neither airplane toy with propellers nor airplane toy without propellers is present</x:v>
      </x:c>
      <x:c r="G766" s="9" t="str">
        <x:v>picked the green pencil sharpener</x:v>
      </x:c>
      <x:c r="H766" s="9" t="str">
        <x:v>No valid candidate category / no movement</x:v>
      </x:c>
      <x:c r="I766" s="9" t="str">
        <x:v>RD-NOVALID15</x:v>
      </x:c>
      <x:c r="J766" s="9" t="str">
        <x:v>Queried candidate pair absent; bowl remains empty</x:v>
      </x:c>
      <x:c r="K766" s="9"/>
      <x:c r="L766" s="9" t="str">
        <x:v>551</x:v>
      </x:c>
      <x:c r="M766" s="9" t="str">
        <x:v>The relation × candidate-category prompt cell is explicitly trained. The evaluation scene deliberately removes both candidate identities; the abstention outcome is not demonstrated in training.</x:v>
      </x:c>
      <x:c r="N766" s="9" t="n">
        <x:v>6</x:v>
      </x:c>
      <x:c r="O766" s="9" t="str">
        <x:v>Place only the listed objects; neither queried candidate identity may be present. Keep the bowl empty.</x:v>
      </x:c>
      <x:c r="P766" s="9" t="str">
        <x:v>The instruction uses normal active-trial wording. Success requires no grasp or object displacement.</x:v>
      </x:c>
      <x:c r="Q766" s="9"/>
      <x:c r="R766" s="10" t="n">
        <x:v>4</x:v>
      </x:c>
      <x:c r="S766" s="10" t="n">
        <x:v>0</x:v>
      </x:c>
      <x:c r="T766" s="9" t="str">
        <x:v>Empty</x:v>
      </x:c>
      <x:c r="U766" s="9"/>
      <x:c r="V766" s="9"/>
      <x:c r="W766" s="9"/>
      <x:c r="X766" s="10"/>
      <x:c r="Y766" s="10"/>
      <x:c r="Z766" s="9"/>
      <x:c r="AA766" s="9"/>
      <x:c r="AB766" s="9" t="str">
        <x:v>closest</x:v>
      </x:c>
      <x:c r="AC766" s="9"/>
      <x:c r="AD766" s="9"/>
      <x:c r="AE766" s="9"/>
      <x:c r="AF766" s="9"/>
      <x:c r="AG766" s="9" t="str">
        <x:v>airplane toy</x:v>
      </x:c>
      <x:c r="AH766" s="9"/>
      <x:c r="AI766" s="11"/>
      <x:c r="AJ766" s="9"/>
      <x:c r="AK766" s="9" t="str">
        <x:v>Eval_Referential_Disambiguation.xlsm</x:v>
      </x:c>
      <x:c r="AL766" s="9" t="str">
        <x:v>pi0.5 Results</x:v>
      </x:c>
      <x:c r="AM766" s="9" t="n">
        <x:v>146</x:v>
      </x:c>
      <x:c r="AN766" s="9" t="n">
        <x:v>146</x:v>
      </x:c>
    </x:row>
    <x:row r="767">
      <x:c r="A767" s="9" t="str">
        <x:v>Failure</x:v>
      </x:c>
      <x:c r="B767" s="9" t="str">
        <x:v>Referential Disambiguation</x:v>
      </x:c>
      <x:c r="C767" s="10" t="n">
        <x:v>145</x:v>
      </x:c>
      <x:c r="D767" s="9" t="str">
        <x:v>Move the pen furthest from the crushed Pepsi can into the bowl.</x:v>
      </x:c>
      <x:c r="E767" s="9" t="str">
        <x:v>crushed Pepsi can; crushed Coke can; green pencil sharpener; red pencil sharpener</x:v>
      </x:c>
      <x:c r="F767" s="9" t="str">
        <x:v>NO-OP; neither green pen nor yellow pen is present</x:v>
      </x:c>
      <x:c r="G767" s="9" t="str">
        <x:v>picked the pepsi can </x:v>
      </x:c>
      <x:c r="H767" s="9" t="str">
        <x:v>No valid candidate category / no movement</x:v>
      </x:c>
      <x:c r="I767" s="9" t="str">
        <x:v>RD-NOVALID16</x:v>
      </x:c>
      <x:c r="J767" s="9" t="str">
        <x:v>Queried candidate pair absent; bowl remains empty</x:v>
      </x:c>
      <x:c r="K767" s="9"/>
      <x:c r="L767" s="9" t="str">
        <x:v>517</x:v>
      </x:c>
      <x:c r="M767" s="9" t="str">
        <x:v>The relation × candidate-category prompt cell is explicitly trained. The evaluation scene deliberately removes both candidate identities; the abstention outcome is not demonstrated in training.</x:v>
      </x:c>
      <x:c r="N767" s="9" t="n">
        <x:v>6</x:v>
      </x:c>
      <x:c r="O767" s="9" t="str">
        <x:v>Place only the listed objects; neither queried candidate identity may be present. Keep the bowl empty.</x:v>
      </x:c>
      <x:c r="P767" s="9" t="str">
        <x:v>The instruction uses normal active-trial wording. Success requires no grasp or object displacement.</x:v>
      </x:c>
      <x:c r="Q767" s="9"/>
      <x:c r="R767" s="10" t="n">
        <x:v>4</x:v>
      </x:c>
      <x:c r="S767" s="10" t="n">
        <x:v>0</x:v>
      </x:c>
      <x:c r="T767" s="9" t="str">
        <x:v>Empty</x:v>
      </x:c>
      <x:c r="U767" s="9"/>
      <x:c r="V767" s="9"/>
      <x:c r="W767" s="9"/>
      <x:c r="X767" s="10"/>
      <x:c r="Y767" s="10"/>
      <x:c r="Z767" s="9"/>
      <x:c r="AA767" s="9"/>
      <x:c r="AB767" s="9" t="str">
        <x:v>furthest</x:v>
      </x:c>
      <x:c r="AC767" s="9"/>
      <x:c r="AD767" s="9"/>
      <x:c r="AE767" s="9"/>
      <x:c r="AF767" s="9"/>
      <x:c r="AG767" s="9" t="str">
        <x:v>pen</x:v>
      </x:c>
      <x:c r="AH767" s="9"/>
      <x:c r="AI767" s="11"/>
      <x:c r="AJ767" s="9"/>
      <x:c r="AK767" s="9" t="str">
        <x:v>Eval_Referential_Disambiguation.xlsm</x:v>
      </x:c>
      <x:c r="AL767" s="9" t="str">
        <x:v>pi0.5 Results</x:v>
      </x:c>
      <x:c r="AM767" s="9" t="n">
        <x:v>147</x:v>
      </x:c>
      <x:c r="AN767" s="9" t="n">
        <x:v>147</x:v>
      </x:c>
    </x:row>
    <x:row r="768">
      <x:c r="A768" s="9" t="str">
        <x:v>Failure</x:v>
      </x:c>
      <x:c r="B768" s="9" t="str">
        <x:v>Referential Disambiguation</x:v>
      </x:c>
      <x:c r="C768" s="10" t="n">
        <x:v>146</x:v>
      </x:c>
      <x:c r="D768" s="9" t="str">
        <x:v>Put the crushed soda can between the green pencil sharpener and the yellow pen in the bowl.</x:v>
      </x:c>
      <x:c r="E768" s="9" t="str">
        <x:v>green pencil sharpener; yellow pen; airplane toy with propellers; airplane toy without propellers</x:v>
      </x:c>
      <x:c r="F768" s="9" t="str">
        <x:v>NO-OP; neither crushed Coke can nor crushed Pepsi can is present</x:v>
      </x:c>
      <x:c r="G768" s="9" t="str">
        <x:v>picked the yellow pen</x:v>
      </x:c>
      <x:c r="H768" s="9" t="str">
        <x:v>No valid candidate category / no movement</x:v>
      </x:c>
      <x:c r="I768" s="9" t="str">
        <x:v>RD-NOVALID17</x:v>
      </x:c>
      <x:c r="J768" s="9" t="str">
        <x:v>Queried candidate pair absent; bowl remains empty</x:v>
      </x:c>
      <x:c r="K768" s="9"/>
      <x:c r="L768" s="9" t="str">
        <x:v>432</x:v>
      </x:c>
      <x:c r="M768" s="9" t="str">
        <x:v>The relation × candidate-category prompt cell is explicitly trained. The evaluation scene deliberately removes both candidate identities; the abstention outcome is not demonstrated in training.</x:v>
      </x:c>
      <x:c r="N768" s="9" t="n">
        <x:v>6</x:v>
      </x:c>
      <x:c r="O768" s="9" t="str">
        <x:v>Place only the listed objects; neither queried candidate identity may be present. Keep the bowl empty.</x:v>
      </x:c>
      <x:c r="P768" s="9" t="str">
        <x:v>The instruction uses normal active-trial wording. Success requires no grasp or object displacement.</x:v>
      </x:c>
      <x:c r="Q768" s="9"/>
      <x:c r="R768" s="10" t="n">
        <x:v>4</x:v>
      </x:c>
      <x:c r="S768" s="10" t="n">
        <x:v>0</x:v>
      </x:c>
      <x:c r="T768" s="9" t="str">
        <x:v>Empty</x:v>
      </x:c>
      <x:c r="U768" s="9"/>
      <x:c r="V768" s="9"/>
      <x:c r="W768" s="9"/>
      <x:c r="X768" s="10"/>
      <x:c r="Y768" s="10"/>
      <x:c r="Z768" s="9"/>
      <x:c r="AA768" s="9"/>
      <x:c r="AB768" s="9" t="str">
        <x:v>between</x:v>
      </x:c>
      <x:c r="AC768" s="9"/>
      <x:c r="AD768" s="9"/>
      <x:c r="AE768" s="9"/>
      <x:c r="AF768" s="9"/>
      <x:c r="AG768" s="9" t="str">
        <x:v>crushed soda can</x:v>
      </x:c>
      <x:c r="AH768" s="9"/>
      <x:c r="AI768" s="11"/>
      <x:c r="AJ768" s="9"/>
      <x:c r="AK768" s="9" t="str">
        <x:v>Eval_Referential_Disambiguation.xlsm</x:v>
      </x:c>
      <x:c r="AL768" s="9" t="str">
        <x:v>pi0.5 Results</x:v>
      </x:c>
      <x:c r="AM768" s="9" t="n">
        <x:v>148</x:v>
      </x:c>
      <x:c r="AN768" s="9" t="n">
        <x:v>148</x:v>
      </x:c>
    </x:row>
    <x:row r="769">
      <x:c r="A769" s="9" t="str">
        <x:v>Failure</x:v>
      </x:c>
      <x:c r="B769" s="9" t="str">
        <x:v>Referential Disambiguation</x:v>
      </x:c>
      <x:c r="C769" s="10" t="n">
        <x:v>147</x:v>
      </x:c>
      <x:c r="D769" s="9" t="str">
        <x:v>Pick up the pencil sharpener furthest from the airplane toy without propellers and place it in the bowl.</x:v>
      </x:c>
      <x:c r="E769" s="9" t="str">
        <x:v>airplane toy without propellers; green pen; yellow pen; airplane toy with propellers</x:v>
      </x:c>
      <x:c r="F769" s="9" t="str">
        <x:v>NO-OP; neither green pencil sharpener nor red pencil sharpener is present</x:v>
      </x:c>
      <x:c r="G769" s="9" t="str">
        <x:v>picked the yellow pen. Furthest from propellor airplane</x:v>
      </x:c>
      <x:c r="H769" s="9" t="str">
        <x:v>No valid candidate category / no movement</x:v>
      </x:c>
      <x:c r="I769" s="9" t="str">
        <x:v>RD-NOVALID18</x:v>
      </x:c>
      <x:c r="J769" s="9" t="str">
        <x:v>Queried candidate pair absent; bowl remains empty</x:v>
      </x:c>
      <x:c r="K769" s="9"/>
      <x:c r="L769" s="9" t="str">
        <x:v>466</x:v>
      </x:c>
      <x:c r="M769" s="9" t="str">
        <x:v>The relation × candidate-category prompt cell is explicitly trained. The evaluation scene deliberately removes both candidate identities; the abstention outcome is not demonstrated in training.</x:v>
      </x:c>
      <x:c r="N769" s="9" t="n">
        <x:v>6</x:v>
      </x:c>
      <x:c r="O769" s="9" t="str">
        <x:v>Place only the listed objects; neither queried candidate identity may be present. Keep the bowl empty.</x:v>
      </x:c>
      <x:c r="P769" s="9" t="str">
        <x:v>The instruction uses normal active-trial wording. Success requires no grasp or object displacement.</x:v>
      </x:c>
      <x:c r="Q769" s="9"/>
      <x:c r="R769" s="10" t="n">
        <x:v>4</x:v>
      </x:c>
      <x:c r="S769" s="10" t="n">
        <x:v>0</x:v>
      </x:c>
      <x:c r="T769" s="9" t="str">
        <x:v>Empty</x:v>
      </x:c>
      <x:c r="U769" s="9"/>
      <x:c r="V769" s="9"/>
      <x:c r="W769" s="9"/>
      <x:c r="X769" s="10"/>
      <x:c r="Y769" s="10"/>
      <x:c r="Z769" s="9"/>
      <x:c r="AA769" s="9"/>
      <x:c r="AB769" s="9" t="str">
        <x:v>furthest</x:v>
      </x:c>
      <x:c r="AC769" s="9"/>
      <x:c r="AD769" s="9"/>
      <x:c r="AE769" s="9"/>
      <x:c r="AF769" s="9"/>
      <x:c r="AG769" s="9" t="str">
        <x:v>pencil sharpener</x:v>
      </x:c>
      <x:c r="AH769" s="9"/>
      <x:c r="AI769" s="11"/>
      <x:c r="AJ769" s="9"/>
      <x:c r="AK769" s="9" t="str">
        <x:v>Eval_Referential_Disambiguation.xlsm</x:v>
      </x:c>
      <x:c r="AL769" s="9" t="str">
        <x:v>pi0.5 Results</x:v>
      </x:c>
      <x:c r="AM769" s="9" t="n">
        <x:v>149</x:v>
      </x:c>
      <x:c r="AN769" s="9" t="n">
        <x:v>149</x:v>
      </x:c>
    </x:row>
    <x:row r="770">
      <x:c r="A770" s="9" t="str">
        <x:v>Failure</x:v>
      </x:c>
      <x:c r="B770" s="9" t="str">
        <x:v>Referential Disambiguation</x:v>
      </x:c>
      <x:c r="C770" s="10" t="n">
        <x:v>148</x:v>
      </x:c>
      <x:c r="D770" s="9" t="str">
        <x:v>Move the airplane toy between the green pen and the crushed Coke can into the bowl.</x:v>
      </x:c>
      <x:c r="E770" s="9" t="str">
        <x:v>green pen; crushed Coke can; crushed Pepsi can; green pencil sharpener; red pencil sharpener</x:v>
      </x:c>
      <x:c r="F770" s="9" t="str">
        <x:v>NO-OP; neither airplane toy with propellers nor airplane toy without propellers is present</x:v>
      </x:c>
      <x:c r="G770" s="9" t="str">
        <x:v>tried to pick the coke can but couldn't</x:v>
      </x:c>
      <x:c r="H770" s="9" t="str">
        <x:v>No valid candidate category / no movement</x:v>
      </x:c>
      <x:c r="I770" s="9" t="str">
        <x:v>RD-NOVALID19</x:v>
      </x:c>
      <x:c r="J770" s="9" t="str">
        <x:v>Queried candidate pair absent; bowl remains empty</x:v>
      </x:c>
      <x:c r="K770" s="9"/>
      <x:c r="L770" s="9" t="str">
        <x:v>582</x:v>
      </x:c>
      <x:c r="M770" s="9" t="str">
        <x:v>The relation × candidate-category prompt cell is explicitly trained. The evaluation scene deliberately removes both candidate identities; the abstention outcome is not demonstrated in training.</x:v>
      </x:c>
      <x:c r="N770" s="9" t="n">
        <x:v>6</x:v>
      </x:c>
      <x:c r="O770" s="9" t="str">
        <x:v>Place only the listed objects; neither queried candidate identity may be present. Keep the bowl empty.</x:v>
      </x:c>
      <x:c r="P770" s="9" t="str">
        <x:v>The instruction uses normal active-trial wording. Success requires no grasp or object displacement.</x:v>
      </x:c>
      <x:c r="Q770" s="9"/>
      <x:c r="R770" s="10" t="n">
        <x:v>5</x:v>
      </x:c>
      <x:c r="S770" s="10" t="n">
        <x:v>0</x:v>
      </x:c>
      <x:c r="T770" s="9" t="str">
        <x:v>Empty</x:v>
      </x:c>
      <x:c r="U770" s="9"/>
      <x:c r="V770" s="9"/>
      <x:c r="W770" s="9"/>
      <x:c r="X770" s="10"/>
      <x:c r="Y770" s="10"/>
      <x:c r="Z770" s="9"/>
      <x:c r="AA770" s="9"/>
      <x:c r="AB770" s="9" t="str">
        <x:v>between</x:v>
      </x:c>
      <x:c r="AC770" s="9"/>
      <x:c r="AD770" s="9"/>
      <x:c r="AE770" s="9"/>
      <x:c r="AF770" s="9"/>
      <x:c r="AG770" s="9" t="str">
        <x:v>airplane toy</x:v>
      </x:c>
      <x:c r="AH770" s="9"/>
      <x:c r="AI770" s="11"/>
      <x:c r="AJ770" s="9"/>
      <x:c r="AK770" s="9" t="str">
        <x:v>Eval_Referential_Disambiguation.xlsm</x:v>
      </x:c>
      <x:c r="AL770" s="9" t="str">
        <x:v>pi0.5 Results</x:v>
      </x:c>
      <x:c r="AM770" s="9" t="n">
        <x:v>150</x:v>
      </x:c>
      <x:c r="AN770" s="9" t="n">
        <x:v>150</x:v>
      </x:c>
    </x:row>
    <x:row r="771">
      <x:c r="A771" s="9" t="str">
        <x:v>Failure</x:v>
      </x:c>
      <x:c r="B771" s="9" t="str">
        <x:v>Referential Disambiguation</x:v>
      </x:c>
      <x:c r="C771" s="10" t="n">
        <x:v>149</x:v>
      </x:c>
      <x:c r="D771" s="9" t="str">
        <x:v>Pick up the pen closest to the green pencil sharpener and place it in the bowl.</x:v>
      </x:c>
      <x:c r="E771" s="9" t="str">
        <x:v>green pencil sharpener; airplane toy without propellers; crushed Coke can; crushed Pepsi can</x:v>
      </x:c>
      <x:c r="F771" s="9" t="str">
        <x:v>NO-OP; neither green pen nor yellow pen is present</x:v>
      </x:c>
      <x:c r="G771" s="9" t="str">
        <x:v>picked the green pencil sharpener</x:v>
      </x:c>
      <x:c r="H771" s="9" t="str">
        <x:v>No valid candidate category / no movement</x:v>
      </x:c>
      <x:c r="I771" s="9" t="str">
        <x:v>RD-NOVALID20</x:v>
      </x:c>
      <x:c r="J771" s="9" t="str">
        <x:v>Queried candidate pair absent; bowl remains empty</x:v>
      </x:c>
      <x:c r="K771" s="9"/>
      <x:c r="L771" s="9" t="str">
        <x:v>501</x:v>
      </x:c>
      <x:c r="M771" s="9" t="str">
        <x:v>The relation × candidate-category prompt cell is explicitly trained. The evaluation scene deliberately removes both candidate identities; the abstention outcome is not demonstrated in training.</x:v>
      </x:c>
      <x:c r="N771" s="9" t="n">
        <x:v>6</x:v>
      </x:c>
      <x:c r="O771" s="9" t="str">
        <x:v>Place only the listed objects; neither queried candidate identity may be present. Keep the bowl empty.</x:v>
      </x:c>
      <x:c r="P771" s="9" t="str">
        <x:v>The instruction uses normal active-trial wording. Success requires no grasp or object displacement.</x:v>
      </x:c>
      <x:c r="Q771" s="9"/>
      <x:c r="R771" s="10" t="n">
        <x:v>4</x:v>
      </x:c>
      <x:c r="S771" s="10" t="n">
        <x:v>0</x:v>
      </x:c>
      <x:c r="T771" s="9" t="str">
        <x:v>Empty</x:v>
      </x:c>
      <x:c r="U771" s="9"/>
      <x:c r="V771" s="9"/>
      <x:c r="W771" s="9"/>
      <x:c r="X771" s="10"/>
      <x:c r="Y771" s="10"/>
      <x:c r="Z771" s="9"/>
      <x:c r="AA771" s="9"/>
      <x:c r="AB771" s="9" t="str">
        <x:v>closest</x:v>
      </x:c>
      <x:c r="AC771" s="9"/>
      <x:c r="AD771" s="9"/>
      <x:c r="AE771" s="9"/>
      <x:c r="AF771" s="9"/>
      <x:c r="AG771" s="9" t="str">
        <x:v>pen</x:v>
      </x:c>
      <x:c r="AH771" s="9"/>
      <x:c r="AI771" s="11"/>
      <x:c r="AJ771" s="9"/>
      <x:c r="AK771" s="9" t="str">
        <x:v>Eval_Referential_Disambiguation.xlsm</x:v>
      </x:c>
      <x:c r="AL771" s="9" t="str">
        <x:v>pi0.5 Results</x:v>
      </x:c>
      <x:c r="AM771" s="9" t="n">
        <x:v>151</x:v>
      </x:c>
      <x:c r="AN771" s="9" t="n">
        <x:v>151</x:v>
      </x:c>
    </x:row>
    <x:row r="772">
      <x:c r="A772" s="9" t="str">
        <x:v>Success</x:v>
      </x:c>
      <x:c r="B772" s="9" t="str">
        <x:v>Size Recognition</x:v>
      </x:c>
      <x:c r="C772" s="10" t="n">
        <x:v>0</x:v>
      </x:c>
      <x:c r="D772" s="9" t="str">
        <x:v>Move the object that is smallest into the bowl.</x:v>
      </x:c>
      <x:c r="E772" s="9" t="str">
        <x:v>Bowl: empty. Table, robot-left→robot-right: P1 red pencil sharpener; P2 green block; P3 juggling ball; P4 crushed Pepsi can. Adjacent centers 8 cm apart; row centered on the workspace; all objects fully visible and grasp paths clear.</x:v>
      </x:c>
      <x:c r="F772" s="9" t="str">
        <x:v>MOVE red pencil sharpener to bowl</x:v>
      </x:c>
      <x:c r="G772" s="9"/>
      <x:c r="H772" s="9" t="str">
        <x:v>In-distribution concept baseline</x:v>
      </x:c>
      <x:c r="I772" s="9" t="str">
        <x:v>SZ-ID-SH01</x:v>
      </x:c>
      <x:c r="J772" s="9" t="str">
        <x:v>smallest</x:v>
      </x:c>
      <x:c r="K772" s="9"/>
      <x:c r="L772" s="9" t="str">
        <x:v>1005</x:v>
      </x:c>
      <x:c r="M772" s="9"/>
      <x:c r="N772" s="9"/>
      <x:c r="O772" s="9" t="str">
        <x:v>Build the listed manifest-supported scene.</x:v>
      </x:c>
      <x:c r="P772" s="9" t="str">
        <x:v>Exact prompt and object composition from training episode 1005; this establishes the familiar smallest × red pencil sharpener cell.</x:v>
      </x:c>
      <x:c r="Q772" s="9"/>
      <x:c r="R772" s="10" t="n">
        <x:v>4</x:v>
      </x:c>
      <x:c r="S772" s="10"/>
      <x:c r="T772" s="9"/>
      <x:c r="U772" s="9"/>
      <x:c r="V772" s="9"/>
      <x:c r="W772" s="9"/>
      <x:c r="X772" s="10"/>
      <x:c r="Y772" s="10"/>
      <x:c r="Z772" s="9"/>
      <x:c r="AA772" s="9"/>
      <x:c r="AB772" s="9"/>
      <x:c r="AC772" s="9"/>
      <x:c r="AD772" s="9" t="str">
        <x:v>red pencil sharpener</x:v>
      </x:c>
      <x:c r="AE772" s="9"/>
      <x:c r="AF772" s="9"/>
      <x:c r="AG772" s="9"/>
      <x:c r="AH772" s="9" t="str">
        <x:v>Left</x:v>
      </x:c>
      <x:c r="AI772" s="11" t="n">
        <x:v>8</x:v>
      </x:c>
      <x:c r="AJ772" s="9" t="str">
        <x:v>Explicitly trained smallest × red pencil sharpener</x:v>
      </x:c>
      <x:c r="AK772" s="9" t="str">
        <x:v>Eval_Size_Recognition (1).xlsm</x:v>
      </x:c>
      <x:c r="AL772" s="9" t="str">
        <x:v>pi0.5 Results</x:v>
      </x:c>
      <x:c r="AM772" s="9" t="n">
        <x:v>2</x:v>
      </x:c>
      <x:c r="AN772" s="9" t="n">
        <x:v>2</x:v>
      </x:c>
    </x:row>
    <x:row r="773">
      <x:c r="A773" s="9" t="str">
        <x:v>Success</x:v>
      </x:c>
      <x:c r="B773" s="9" t="str">
        <x:v>Size Recognition</x:v>
      </x:c>
      <x:c r="C773" s="10" t="n">
        <x:v>1</x:v>
      </x:c>
      <x:c r="D773" s="9" t="str">
        <x:v>Pick up the smallest item and place it in the bowl.</x:v>
      </x:c>
      <x:c r="E773" s="9" t="str">
        <x:v>Bowl: empty. Table, robot-left→robot-right: P1 crushed Pepsi can; P2 juggling ball; P3 green block. Adjacent centers 12 cm apart; row shifted 4 cm toward robot-left; all objects fully visible and grasp paths clear.</x:v>
      </x:c>
      <x:c r="F773" s="9" t="str">
        <x:v>MOVE green block to bowl</x:v>
      </x:c>
      <x:c r="G773" s="9"/>
      <x:c r="H773" s="9" t="str">
        <x:v>In-distribution concept baseline</x:v>
      </x:c>
      <x:c r="I773" s="9" t="str">
        <x:v>SZ-ID-GB01</x:v>
      </x:c>
      <x:c r="J773" s="9" t="str">
        <x:v>smallest</x:v>
      </x:c>
      <x:c r="K773" s="9"/>
      <x:c r="L773" s="9" t="str">
        <x:v>1050</x:v>
      </x:c>
      <x:c r="M773" s="9"/>
      <x:c r="N773" s="9"/>
      <x:c r="O773" s="9" t="str">
        <x:v>Build the listed manifest-supported scene.</x:v>
      </x:c>
      <x:c r="P773" s="9" t="str">
        <x:v>Exact prompt and object composition from training episode 1050; this establishes the familiar smallest × green block cell.</x:v>
      </x:c>
      <x:c r="Q773" s="9"/>
      <x:c r="R773" s="10" t="n">
        <x:v>3</x:v>
      </x:c>
      <x:c r="S773" s="10"/>
      <x:c r="T773" s="9"/>
      <x:c r="U773" s="9"/>
      <x:c r="V773" s="9"/>
      <x:c r="W773" s="9"/>
      <x:c r="X773" s="10"/>
      <x:c r="Y773" s="10"/>
      <x:c r="Z773" s="9"/>
      <x:c r="AA773" s="9"/>
      <x:c r="AB773" s="9"/>
      <x:c r="AC773" s="9"/>
      <x:c r="AD773" s="9" t="str">
        <x:v>green block</x:v>
      </x:c>
      <x:c r="AE773" s="9"/>
      <x:c r="AF773" s="9"/>
      <x:c r="AG773" s="9"/>
      <x:c r="AH773" s="9" t="str">
        <x:v>Right</x:v>
      </x:c>
      <x:c r="AI773" s="11" t="n">
        <x:v>12</x:v>
      </x:c>
      <x:c r="AJ773" s="9" t="str">
        <x:v>Explicitly trained smallest × green block</x:v>
      </x:c>
      <x:c r="AK773" s="9" t="str">
        <x:v>Eval_Size_Recognition (1).xlsm</x:v>
      </x:c>
      <x:c r="AL773" s="9" t="str">
        <x:v>pi0.5 Results</x:v>
      </x:c>
      <x:c r="AM773" s="9" t="n">
        <x:v>3</x:v>
      </x:c>
      <x:c r="AN773" s="9" t="n">
        <x:v>3</x:v>
      </x:c>
    </x:row>
    <x:row r="774">
      <x:c r="A774" s="9" t="str">
        <x:v>Success</x:v>
      </x:c>
      <x:c r="B774" s="9" t="str">
        <x:v>Size Recognition</x:v>
      </x:c>
      <x:c r="C774" s="10" t="n">
        <x:v>2</x:v>
      </x:c>
      <x:c r="D774" s="9" t="str">
        <x:v>Put the largest object in the bowl.</x:v>
      </x:c>
      <x:c r="E774" s="9" t="str">
        <x:v>Bowl: empty. Table, robot-left→robot-right: P1 juggling ball; P2 red pencil sharpener; P3 green block. Adjacent centers 16 cm apart; row shifted 4 cm toward robot-right; all objects fully visible and grasp paths clear.</x:v>
      </x:c>
      <x:c r="F774" s="9" t="str">
        <x:v>MOVE juggling ball to bowl</x:v>
      </x:c>
      <x:c r="G774" s="9"/>
      <x:c r="H774" s="9" t="str">
        <x:v>In-distribution concept baseline</x:v>
      </x:c>
      <x:c r="I774" s="9" t="str">
        <x:v>SZ-ID-JB01</x:v>
      </x:c>
      <x:c r="J774" s="9" t="str">
        <x:v>largest</x:v>
      </x:c>
      <x:c r="K774" s="9"/>
      <x:c r="L774" s="9" t="str">
        <x:v>1125</x:v>
      </x:c>
      <x:c r="M774" s="9"/>
      <x:c r="N774" s="9"/>
      <x:c r="O774" s="9" t="str">
        <x:v>Build the listed manifest-supported scene.</x:v>
      </x:c>
      <x:c r="P774" s="9" t="str">
        <x:v>Exact prompt and object composition from training episode 1125; this establishes the familiar largest × juggling ball cell.</x:v>
      </x:c>
      <x:c r="Q774" s="9"/>
      <x:c r="R774" s="10" t="n">
        <x:v>3</x:v>
      </x:c>
      <x:c r="S774" s="10"/>
      <x:c r="T774" s="9"/>
      <x:c r="U774" s="9"/>
      <x:c r="V774" s="9"/>
      <x:c r="W774" s="9"/>
      <x:c r="X774" s="10"/>
      <x:c r="Y774" s="10"/>
      <x:c r="Z774" s="9"/>
      <x:c r="AA774" s="9"/>
      <x:c r="AB774" s="9"/>
      <x:c r="AC774" s="9"/>
      <x:c r="AD774" s="9" t="str">
        <x:v>juggling ball</x:v>
      </x:c>
      <x:c r="AE774" s="9"/>
      <x:c r="AF774" s="9"/>
      <x:c r="AG774" s="9"/>
      <x:c r="AH774" s="9" t="str">
        <x:v>Left</x:v>
      </x:c>
      <x:c r="AI774" s="11" t="n">
        <x:v>16</x:v>
      </x:c>
      <x:c r="AJ774" s="9" t="str">
        <x:v>Explicitly trained largest × juggling ball</x:v>
      </x:c>
      <x:c r="AK774" s="9" t="str">
        <x:v>Eval_Size_Recognition (1).xlsm</x:v>
      </x:c>
      <x:c r="AL774" s="9" t="str">
        <x:v>pi0.5 Results</x:v>
      </x:c>
      <x:c r="AM774" s="9" t="n">
        <x:v>4</x:v>
      </x:c>
      <x:c r="AN774" s="9" t="n">
        <x:v>4</x:v>
      </x:c>
    </x:row>
    <x:row r="775">
      <x:c r="A775" s="9" t="str">
        <x:v>Success</x:v>
      </x:c>
      <x:c r="B775" s="9" t="str">
        <x:v>Size Recognition</x:v>
      </x:c>
      <x:c r="C775" s="10" t="n">
        <x:v>3</x:v>
      </x:c>
      <x:c r="D775" s="9" t="str">
        <x:v>Pick up the largest item and place it in the bowl.</x:v>
      </x:c>
      <x:c r="E775" s="9" t="str">
        <x:v>Bowl: empty. Table, robot-left→robot-right: P1 red pencil sharpener; P2 green block; P3 juggling ball; P4 crushed Pepsi can. Adjacent centers 8 cm apart; row shifted 4 cm toward the robot; all objects fully visible and grasp paths clear.</x:v>
      </x:c>
      <x:c r="F775" s="9" t="str">
        <x:v>MOVE crushed Pepsi can to bowl</x:v>
      </x:c>
      <x:c r="G775" s="9"/>
      <x:c r="H775" s="9" t="str">
        <x:v>In-distribution concept baseline</x:v>
      </x:c>
      <x:c r="I775" s="9" t="str">
        <x:v>SZ-ID-PC01</x:v>
      </x:c>
      <x:c r="J775" s="9" t="str">
        <x:v>largest</x:v>
      </x:c>
      <x:c r="K775" s="9"/>
      <x:c r="L775" s="9" t="str">
        <x:v>1155</x:v>
      </x:c>
      <x:c r="M775" s="9"/>
      <x:c r="N775" s="9"/>
      <x:c r="O775" s="9" t="str">
        <x:v>Build the listed manifest-supported scene.</x:v>
      </x:c>
      <x:c r="P775" s="9" t="str">
        <x:v>Exact prompt and object composition from training episode 1155; this establishes the familiar largest × crushed Pepsi can cell.</x:v>
      </x:c>
      <x:c r="Q775" s="9"/>
      <x:c r="R775" s="10" t="n">
        <x:v>4</x:v>
      </x:c>
      <x:c r="S775" s="10"/>
      <x:c r="T775" s="9"/>
      <x:c r="U775" s="9"/>
      <x:c r="V775" s="9"/>
      <x:c r="W775" s="9"/>
      <x:c r="X775" s="10"/>
      <x:c r="Y775" s="10"/>
      <x:c r="Z775" s="9"/>
      <x:c r="AA775" s="9"/>
      <x:c r="AB775" s="9"/>
      <x:c r="AC775" s="9"/>
      <x:c r="AD775" s="9" t="str">
        <x:v>crushed Pepsi can</x:v>
      </x:c>
      <x:c r="AE775" s="9"/>
      <x:c r="AF775" s="9"/>
      <x:c r="AG775" s="9"/>
      <x:c r="AH775" s="9" t="str">
        <x:v>Right</x:v>
      </x:c>
      <x:c r="AI775" s="11" t="n">
        <x:v>8</x:v>
      </x:c>
      <x:c r="AJ775" s="9" t="str">
        <x:v>Explicitly trained largest × crushed Pepsi can</x:v>
      </x:c>
      <x:c r="AK775" s="9" t="str">
        <x:v>Eval_Size_Recognition (1).xlsm</x:v>
      </x:c>
      <x:c r="AL775" s="9" t="str">
        <x:v>pi0.5 Results</x:v>
      </x:c>
      <x:c r="AM775" s="9" t="n">
        <x:v>5</x:v>
      </x:c>
      <x:c r="AN775" s="9" t="n">
        <x:v>5</x:v>
      </x:c>
    </x:row>
    <x:row r="776">
      <x:c r="A776" s="9" t="str">
        <x:v>Success</x:v>
      </x:c>
      <x:c r="B776" s="9" t="str">
        <x:v>Size Recognition</x:v>
      </x:c>
      <x:c r="C776" s="10" t="n">
        <x:v>4</x:v>
      </x:c>
      <x:c r="D776" s="9" t="str">
        <x:v>Pick up the smallest item and place it in the bowl.</x:v>
      </x:c>
      <x:c r="E776" s="9" t="str">
        <x:v>Bowl: empty. Table, robot-left→robot-right: P1 juggling ball; P2 crushed Pepsi can; P3 green block; P4 red pencil sharpener. Adjacent centers 12 cm apart; row shifted 4 cm toward robot-left; all objects fully visible and grasp paths clear.</x:v>
      </x:c>
      <x:c r="F776" s="9" t="str">
        <x:v>MOVE red pencil sharpener to bowl</x:v>
      </x:c>
      <x:c r="G776" s="9"/>
      <x:c r="H776" s="9" t="str">
        <x:v>In-distribution concept baseline</x:v>
      </x:c>
      <x:c r="I776" s="9" t="str">
        <x:v>SZ-ID-SH02</x:v>
      </x:c>
      <x:c r="J776" s="9" t="str">
        <x:v>smallest</x:v>
      </x:c>
      <x:c r="K776" s="9"/>
      <x:c r="L776" s="9" t="str">
        <x:v>1006</x:v>
      </x:c>
      <x:c r="M776" s="9"/>
      <x:c r="N776" s="9"/>
      <x:c r="O776" s="9" t="str">
        <x:v>Build the listed manifest-supported scene.</x:v>
      </x:c>
      <x:c r="P776" s="9" t="str">
        <x:v>Exact prompt and object composition from training episode 1006; this establishes the familiar smallest × red pencil sharpener cell.</x:v>
      </x:c>
      <x:c r="Q776" s="9"/>
      <x:c r="R776" s="10" t="n">
        <x:v>4</x:v>
      </x:c>
      <x:c r="S776" s="10"/>
      <x:c r="T776" s="9"/>
      <x:c r="U776" s="9"/>
      <x:c r="V776" s="9"/>
      <x:c r="W776" s="9"/>
      <x:c r="X776" s="10"/>
      <x:c r="Y776" s="10"/>
      <x:c r="Z776" s="9"/>
      <x:c r="AA776" s="9"/>
      <x:c r="AB776" s="9"/>
      <x:c r="AC776" s="9"/>
      <x:c r="AD776" s="9" t="str">
        <x:v>red pencil sharpener</x:v>
      </x:c>
      <x:c r="AE776" s="9"/>
      <x:c r="AF776" s="9"/>
      <x:c r="AG776" s="9"/>
      <x:c r="AH776" s="9" t="str">
        <x:v>Right</x:v>
      </x:c>
      <x:c r="AI776" s="11" t="n">
        <x:v>12</x:v>
      </x:c>
      <x:c r="AJ776" s="9" t="str">
        <x:v>Explicitly trained smallest × red pencil sharpener</x:v>
      </x:c>
      <x:c r="AK776" s="9" t="str">
        <x:v>Eval_Size_Recognition (1).xlsm</x:v>
      </x:c>
      <x:c r="AL776" s="9" t="str">
        <x:v>pi0.5 Results</x:v>
      </x:c>
      <x:c r="AM776" s="9" t="n">
        <x:v>6</x:v>
      </x:c>
      <x:c r="AN776" s="9" t="n">
        <x:v>6</x:v>
      </x:c>
    </x:row>
    <x:row r="777">
      <x:c r="A777" s="9" t="str">
        <x:v>Success</x:v>
      </x:c>
      <x:c r="B777" s="9" t="str">
        <x:v>Size Recognition</x:v>
      </x:c>
      <x:c r="C777" s="10" t="n">
        <x:v>5</x:v>
      </x:c>
      <x:c r="D777" s="9" t="str">
        <x:v>Pick up the smallest item and place it in the bowl.</x:v>
      </x:c>
      <x:c r="E777" s="9" t="str">
        <x:v>Bowl: empty. Table, robot-left→robot-right: P1 green block; P2 juggling ball; P3 crushed Pepsi can. Adjacent centers 16 cm apart; row shifted 4 cm toward robot-right; all objects fully visible and grasp paths clear.</x:v>
      </x:c>
      <x:c r="F777" s="9" t="str">
        <x:v>MOVE green block to bowl</x:v>
      </x:c>
      <x:c r="G777" s="9"/>
      <x:c r="H777" s="9" t="str">
        <x:v>In-distribution concept baseline</x:v>
      </x:c>
      <x:c r="I777" s="9" t="str">
        <x:v>SZ-ID-GB02</x:v>
      </x:c>
      <x:c r="J777" s="9" t="str">
        <x:v>smallest</x:v>
      </x:c>
      <x:c r="K777" s="9"/>
      <x:c r="L777" s="9" t="str">
        <x:v>1051</x:v>
      </x:c>
      <x:c r="M777" s="9"/>
      <x:c r="N777" s="9"/>
      <x:c r="O777" s="9" t="str">
        <x:v>Build the listed manifest-supported scene.</x:v>
      </x:c>
      <x:c r="P777" s="9" t="str">
        <x:v>Exact prompt and object composition from training episode 1051; this establishes the familiar smallest × green block cell.</x:v>
      </x:c>
      <x:c r="Q777" s="9"/>
      <x:c r="R777" s="10" t="n">
        <x:v>3</x:v>
      </x:c>
      <x:c r="S777" s="10"/>
      <x:c r="T777" s="9"/>
      <x:c r="U777" s="9"/>
      <x:c r="V777" s="9"/>
      <x:c r="W777" s="9"/>
      <x:c r="X777" s="10"/>
      <x:c r="Y777" s="10"/>
      <x:c r="Z777" s="9"/>
      <x:c r="AA777" s="9"/>
      <x:c r="AB777" s="9"/>
      <x:c r="AC777" s="9"/>
      <x:c r="AD777" s="9" t="str">
        <x:v>green block</x:v>
      </x:c>
      <x:c r="AE777" s="9"/>
      <x:c r="AF777" s="9"/>
      <x:c r="AG777" s="9"/>
      <x:c r="AH777" s="9" t="str">
        <x:v>Left</x:v>
      </x:c>
      <x:c r="AI777" s="11" t="n">
        <x:v>16</x:v>
      </x:c>
      <x:c r="AJ777" s="9" t="str">
        <x:v>Explicitly trained smallest × green block</x:v>
      </x:c>
      <x:c r="AK777" s="9" t="str">
        <x:v>Eval_Size_Recognition (1).xlsm</x:v>
      </x:c>
      <x:c r="AL777" s="9" t="str">
        <x:v>pi0.5 Results</x:v>
      </x:c>
      <x:c r="AM777" s="9" t="n">
        <x:v>7</x:v>
      </x:c>
      <x:c r="AN777" s="9" t="n">
        <x:v>7</x:v>
      </x:c>
    </x:row>
    <x:row r="778">
      <x:c r="A778" s="9" t="str">
        <x:v>Success</x:v>
      </x:c>
      <x:c r="B778" s="9" t="str">
        <x:v>Size Recognition</x:v>
      </x:c>
      <x:c r="C778" s="10" t="n">
        <x:v>6</x:v>
      </x:c>
      <x:c r="D778" s="9" t="str">
        <x:v>Pick up the largest item and place it in the bowl.</x:v>
      </x:c>
      <x:c r="E778" s="9" t="str">
        <x:v>Bowl: empty. Table, robot-left→robot-right: P1 green block; P2 red pencil sharpener; P3 juggling ball. Adjacent centers 8 cm apart; row shifted 4 cm toward the robot; all objects fully visible and grasp paths clear.</x:v>
      </x:c>
      <x:c r="F778" s="9" t="str">
        <x:v>MOVE juggling ball to bowl</x:v>
      </x:c>
      <x:c r="G778" s="9"/>
      <x:c r="H778" s="9" t="str">
        <x:v>In-distribution concept baseline</x:v>
      </x:c>
      <x:c r="I778" s="9" t="str">
        <x:v>SZ-ID-JB02</x:v>
      </x:c>
      <x:c r="J778" s="9" t="str">
        <x:v>largest</x:v>
      </x:c>
      <x:c r="K778" s="9"/>
      <x:c r="L778" s="9" t="str">
        <x:v>1126</x:v>
      </x:c>
      <x:c r="M778" s="9"/>
      <x:c r="N778" s="9"/>
      <x:c r="O778" s="9" t="str">
        <x:v>Build the listed manifest-supported scene.</x:v>
      </x:c>
      <x:c r="P778" s="9" t="str">
        <x:v>Exact prompt and object composition from training episode 1126; this establishes the familiar largest × juggling ball cell.</x:v>
      </x:c>
      <x:c r="Q778" s="9"/>
      <x:c r="R778" s="10" t="n">
        <x:v>3</x:v>
      </x:c>
      <x:c r="S778" s="10"/>
      <x:c r="T778" s="9"/>
      <x:c r="U778" s="9"/>
      <x:c r="V778" s="9"/>
      <x:c r="W778" s="9"/>
      <x:c r="X778" s="10"/>
      <x:c r="Y778" s="10"/>
      <x:c r="Z778" s="9"/>
      <x:c r="AA778" s="9"/>
      <x:c r="AB778" s="9"/>
      <x:c r="AC778" s="9"/>
      <x:c r="AD778" s="9" t="str">
        <x:v>juggling ball</x:v>
      </x:c>
      <x:c r="AE778" s="9"/>
      <x:c r="AF778" s="9"/>
      <x:c r="AG778" s="9"/>
      <x:c r="AH778" s="9" t="str">
        <x:v>Right</x:v>
      </x:c>
      <x:c r="AI778" s="11" t="n">
        <x:v>8</x:v>
      </x:c>
      <x:c r="AJ778" s="9" t="str">
        <x:v>Explicitly trained largest × juggling ball</x:v>
      </x:c>
      <x:c r="AK778" s="9" t="str">
        <x:v>Eval_Size_Recognition (1).xlsm</x:v>
      </x:c>
      <x:c r="AL778" s="9" t="str">
        <x:v>pi0.5 Results</x:v>
      </x:c>
      <x:c r="AM778" s="9" t="n">
        <x:v>8</x:v>
      </x:c>
      <x:c r="AN778" s="9" t="n">
        <x:v>8</x:v>
      </x:c>
    </x:row>
    <x:row r="779">
      <x:c r="A779" s="9" t="str">
        <x:v>Failure</x:v>
      </x:c>
      <x:c r="B779" s="9" t="str">
        <x:v>Size Recognition</x:v>
      </x:c>
      <x:c r="C779" s="10" t="n">
        <x:v>7</x:v>
      </x:c>
      <x:c r="D779" s="9" t="str">
        <x:v>Move the object that is largest into the bowl.</x:v>
      </x:c>
      <x:c r="E779" s="9" t="str">
        <x:v>Bowl: empty. Table, robot-left→robot-right: P1 crushed Pepsi can; P2 green block; P3 juggling ball; P4 red pencil sharpener. Adjacent centers 12 cm apart; row shifted 4 cm away from the robot; all objects fully visible and grasp paths clear.</x:v>
      </x:c>
      <x:c r="F779" s="9" t="str">
        <x:v>MOVE crushed Pepsi can to bowl</x:v>
      </x:c>
      <x:c r="G779" s="9" t="str">
        <x:v>Failed grasping the can and during recovery, went for juggling ball. Grasping failure.</x:v>
      </x:c>
      <x:c r="H779" s="9" t="str">
        <x:v>In-distribution concept baseline</x:v>
      </x:c>
      <x:c r="I779" s="9" t="str">
        <x:v>SZ-ID-PC02</x:v>
      </x:c>
      <x:c r="J779" s="9" t="str">
        <x:v>largest</x:v>
      </x:c>
      <x:c r="K779" s="9"/>
      <x:c r="L779" s="9" t="str">
        <x:v>1156</x:v>
      </x:c>
      <x:c r="M779" s="9"/>
      <x:c r="N779" s="9"/>
      <x:c r="O779" s="9" t="str">
        <x:v>Build the listed manifest-supported scene.</x:v>
      </x:c>
      <x:c r="P779" s="9" t="str">
        <x:v>Exact prompt and object composition from training episode 1156; this establishes the familiar largest × crushed Pepsi can cell.</x:v>
      </x:c>
      <x:c r="Q779" s="9"/>
      <x:c r="R779" s="10" t="n">
        <x:v>4</x:v>
      </x:c>
      <x:c r="S779" s="10"/>
      <x:c r="T779" s="9"/>
      <x:c r="U779" s="9"/>
      <x:c r="V779" s="9"/>
      <x:c r="W779" s="9"/>
      <x:c r="X779" s="10"/>
      <x:c r="Y779" s="10"/>
      <x:c r="Z779" s="9"/>
      <x:c r="AA779" s="9"/>
      <x:c r="AB779" s="9"/>
      <x:c r="AC779" s="9"/>
      <x:c r="AD779" s="9" t="str">
        <x:v>crushed Pepsi can</x:v>
      </x:c>
      <x:c r="AE779" s="9"/>
      <x:c r="AF779" s="9"/>
      <x:c r="AG779" s="9"/>
      <x:c r="AH779" s="9" t="str">
        <x:v>Left</x:v>
      </x:c>
      <x:c r="AI779" s="11" t="n">
        <x:v>12</x:v>
      </x:c>
      <x:c r="AJ779" s="9" t="str">
        <x:v>Explicitly trained largest × crushed Pepsi can</x:v>
      </x:c>
      <x:c r="AK779" s="9" t="str">
        <x:v>Eval_Size_Recognition (1).xlsm</x:v>
      </x:c>
      <x:c r="AL779" s="9" t="str">
        <x:v>pi0.5 Results</x:v>
      </x:c>
      <x:c r="AM779" s="9" t="n">
        <x:v>9</x:v>
      </x:c>
      <x:c r="AN779" s="9" t="n">
        <x:v>9</x:v>
      </x:c>
    </x:row>
    <x:row r="780">
      <x:c r="A780" s="9" t="str">
        <x:v>Success</x:v>
      </x:c>
      <x:c r="B780" s="9" t="str">
        <x:v>Size Recognition</x:v>
      </x:c>
      <x:c r="C780" s="10" t="n">
        <x:v>8</x:v>
      </x:c>
      <x:c r="D780" s="9" t="str">
        <x:v>Move the object that is smallest into the bowl.</x:v>
      </x:c>
      <x:c r="E780" s="9" t="str">
        <x:v>Bowl: empty. Table, robot-left→robot-right: P1 red pencil sharpener; P2 crushed Pepsi can; P3 green block; P4 juggling ball. Adjacent centers 16 cm apart; row shifted 4 cm toward robot-right; all objects fully visible and grasp paths clear.</x:v>
      </x:c>
      <x:c r="F780" s="9" t="str">
        <x:v>MOVE red pencil sharpener to bowl</x:v>
      </x:c>
      <x:c r="G780" s="9"/>
      <x:c r="H780" s="9" t="str">
        <x:v>In-distribution concept baseline</x:v>
      </x:c>
      <x:c r="I780" s="9" t="str">
        <x:v>SZ-ID-SH03</x:v>
      </x:c>
      <x:c r="J780" s="9" t="str">
        <x:v>smallest</x:v>
      </x:c>
      <x:c r="K780" s="9"/>
      <x:c r="L780" s="9" t="str">
        <x:v>1007</x:v>
      </x:c>
      <x:c r="M780" s="9"/>
      <x:c r="N780" s="9"/>
      <x:c r="O780" s="9" t="str">
        <x:v>Build the listed manifest-supported scene.</x:v>
      </x:c>
      <x:c r="P780" s="9" t="str">
        <x:v>Exact prompt and object composition from training episode 1007; this establishes the familiar smallest × red pencil sharpener cell.</x:v>
      </x:c>
      <x:c r="Q780" s="9"/>
      <x:c r="R780" s="10" t="n">
        <x:v>4</x:v>
      </x:c>
      <x:c r="S780" s="10"/>
      <x:c r="T780" s="9"/>
      <x:c r="U780" s="9"/>
      <x:c r="V780" s="9"/>
      <x:c r="W780" s="9"/>
      <x:c r="X780" s="10"/>
      <x:c r="Y780" s="10"/>
      <x:c r="Z780" s="9"/>
      <x:c r="AA780" s="9"/>
      <x:c r="AB780" s="9"/>
      <x:c r="AC780" s="9"/>
      <x:c r="AD780" s="9" t="str">
        <x:v>red pencil sharpener</x:v>
      </x:c>
      <x:c r="AE780" s="9"/>
      <x:c r="AF780" s="9"/>
      <x:c r="AG780" s="9"/>
      <x:c r="AH780" s="9" t="str">
        <x:v>Left</x:v>
      </x:c>
      <x:c r="AI780" s="11" t="n">
        <x:v>16</x:v>
      </x:c>
      <x:c r="AJ780" s="9" t="str">
        <x:v>Explicitly trained smallest × red pencil sharpener</x:v>
      </x:c>
      <x:c r="AK780" s="9" t="str">
        <x:v>Eval_Size_Recognition (1).xlsm</x:v>
      </x:c>
      <x:c r="AL780" s="9" t="str">
        <x:v>pi0.5 Results</x:v>
      </x:c>
      <x:c r="AM780" s="9" t="n">
        <x:v>10</x:v>
      </x:c>
      <x:c r="AN780" s="9" t="n">
        <x:v>10</x:v>
      </x:c>
    </x:row>
    <x:row r="781">
      <x:c r="A781" s="9" t="str">
        <x:v>Success</x:v>
      </x:c>
      <x:c r="B781" s="9" t="str">
        <x:v>Size Recognition</x:v>
      </x:c>
      <x:c r="C781" s="10" t="n">
        <x:v>9</x:v>
      </x:c>
      <x:c r="D781" s="9" t="str">
        <x:v>Put the smallest object in the bowl.</x:v>
      </x:c>
      <x:c r="E781" s="9" t="str">
        <x:v>Bowl: empty. Table, robot-left→robot-right: P1 crushed Pepsi can; P2 juggling ball; P3 green block. Adjacent centers 8 cm apart; row shifted 4 cm toward the robot; all objects fully visible and grasp paths clear.</x:v>
      </x:c>
      <x:c r="F781" s="9" t="str">
        <x:v>MOVE green block to bowl</x:v>
      </x:c>
      <x:c r="G781" s="9"/>
      <x:c r="H781" s="9" t="str">
        <x:v>In-distribution concept baseline</x:v>
      </x:c>
      <x:c r="I781" s="9" t="str">
        <x:v>SZ-ID-GB03</x:v>
      </x:c>
      <x:c r="J781" s="9" t="str">
        <x:v>smallest</x:v>
      </x:c>
      <x:c r="K781" s="9"/>
      <x:c r="L781" s="9" t="str">
        <x:v>1052</x:v>
      </x:c>
      <x:c r="M781" s="9"/>
      <x:c r="N781" s="9"/>
      <x:c r="O781" s="9" t="str">
        <x:v>Build the listed manifest-supported scene.</x:v>
      </x:c>
      <x:c r="P781" s="9" t="str">
        <x:v>Exact prompt and object composition from training episode 1052; this establishes the familiar smallest × green block cell.</x:v>
      </x:c>
      <x:c r="Q781" s="9"/>
      <x:c r="R781" s="10" t="n">
        <x:v>3</x:v>
      </x:c>
      <x:c r="S781" s="10"/>
      <x:c r="T781" s="9"/>
      <x:c r="U781" s="9"/>
      <x:c r="V781" s="9"/>
      <x:c r="W781" s="9"/>
      <x:c r="X781" s="10"/>
      <x:c r="Y781" s="10"/>
      <x:c r="Z781" s="9"/>
      <x:c r="AA781" s="9"/>
      <x:c r="AB781" s="9"/>
      <x:c r="AC781" s="9"/>
      <x:c r="AD781" s="9" t="str">
        <x:v>green block</x:v>
      </x:c>
      <x:c r="AE781" s="9"/>
      <x:c r="AF781" s="9"/>
      <x:c r="AG781" s="9"/>
      <x:c r="AH781" s="9" t="str">
        <x:v>Right</x:v>
      </x:c>
      <x:c r="AI781" s="11" t="n">
        <x:v>8</x:v>
      </x:c>
      <x:c r="AJ781" s="9" t="str">
        <x:v>Explicitly trained smallest × green block</x:v>
      </x:c>
      <x:c r="AK781" s="9" t="str">
        <x:v>Eval_Size_Recognition (1).xlsm</x:v>
      </x:c>
      <x:c r="AL781" s="9" t="str">
        <x:v>pi0.5 Results</x:v>
      </x:c>
      <x:c r="AM781" s="9" t="n">
        <x:v>11</x:v>
      </x:c>
      <x:c r="AN781" s="9" t="n">
        <x:v>11</x:v>
      </x:c>
    </x:row>
    <x:row r="782">
      <x:c r="A782" s="9" t="str">
        <x:v>Success</x:v>
      </x:c>
      <x:c r="B782" s="9" t="str">
        <x:v>Size Recognition</x:v>
      </x:c>
      <x:c r="C782" s="10" t="n">
        <x:v>10</x:v>
      </x:c>
      <x:c r="D782" s="9" t="str">
        <x:v>Pick up the largest item and place it in the bowl.</x:v>
      </x:c>
      <x:c r="E782" s="9" t="str">
        <x:v>Bowl: empty. Table, robot-left→robot-right: P1 juggling ball; P2 red pencil sharpener; P3 green block. Adjacent centers 12 cm apart; row shifted 4 cm away from the robot; all objects fully visible and grasp paths clear.</x:v>
      </x:c>
      <x:c r="F782" s="9" t="str">
        <x:v>MOVE juggling ball to bowl</x:v>
      </x:c>
      <x:c r="G782" s="9"/>
      <x:c r="H782" s="9" t="str">
        <x:v>In-distribution concept baseline</x:v>
      </x:c>
      <x:c r="I782" s="9" t="str">
        <x:v>SZ-ID-JB03</x:v>
      </x:c>
      <x:c r="J782" s="9" t="str">
        <x:v>largest</x:v>
      </x:c>
      <x:c r="K782" s="9"/>
      <x:c r="L782" s="9" t="str">
        <x:v>1127</x:v>
      </x:c>
      <x:c r="M782" s="9"/>
      <x:c r="N782" s="9"/>
      <x:c r="O782" s="9" t="str">
        <x:v>Build the listed manifest-supported scene.</x:v>
      </x:c>
      <x:c r="P782" s="9" t="str">
        <x:v>Exact prompt and object composition from training episode 1127; this establishes the familiar largest × juggling ball cell.</x:v>
      </x:c>
      <x:c r="Q782" s="9"/>
      <x:c r="R782" s="10" t="n">
        <x:v>3</x:v>
      </x:c>
      <x:c r="S782" s="10"/>
      <x:c r="T782" s="9"/>
      <x:c r="U782" s="9"/>
      <x:c r="V782" s="9"/>
      <x:c r="W782" s="9"/>
      <x:c r="X782" s="10"/>
      <x:c r="Y782" s="10"/>
      <x:c r="Z782" s="9"/>
      <x:c r="AA782" s="9"/>
      <x:c r="AB782" s="9"/>
      <x:c r="AC782" s="9"/>
      <x:c r="AD782" s="9" t="str">
        <x:v>juggling ball</x:v>
      </x:c>
      <x:c r="AE782" s="9"/>
      <x:c r="AF782" s="9"/>
      <x:c r="AG782" s="9"/>
      <x:c r="AH782" s="9" t="str">
        <x:v>Left</x:v>
      </x:c>
      <x:c r="AI782" s="11" t="n">
        <x:v>12</x:v>
      </x:c>
      <x:c r="AJ782" s="9" t="str">
        <x:v>Explicitly trained largest × juggling ball</x:v>
      </x:c>
      <x:c r="AK782" s="9" t="str">
        <x:v>Eval_Size_Recognition (1).xlsm</x:v>
      </x:c>
      <x:c r="AL782" s="9" t="str">
        <x:v>pi0.5 Results</x:v>
      </x:c>
      <x:c r="AM782" s="9" t="n">
        <x:v>12</x:v>
      </x:c>
      <x:c r="AN782" s="9" t="n">
        <x:v>12</x:v>
      </x:c>
    </x:row>
    <x:row r="783">
      <x:c r="A783" s="9" t="str">
        <x:v>Success</x:v>
      </x:c>
      <x:c r="B783" s="9" t="str">
        <x:v>Size Recognition</x:v>
      </x:c>
      <x:c r="C783" s="10" t="n">
        <x:v>11</x:v>
      </x:c>
      <x:c r="D783" s="9" t="str">
        <x:v>Put the largest object in the bowl.</x:v>
      </x:c>
      <x:c r="E783" s="9" t="str">
        <x:v>Bowl: empty. Table, robot-left→robot-right: P1 juggling ball; P2 red pencil sharpener; P3 green block; P4 crushed Pepsi can. Adjacent centers 16 cm apart; row centered on the workspace; all objects fully visible and grasp paths clear.</x:v>
      </x:c>
      <x:c r="F783" s="9" t="str">
        <x:v>MOVE crushed Pepsi can to bowl</x:v>
      </x:c>
      <x:c r="G783" s="9"/>
      <x:c r="H783" s="9" t="str">
        <x:v>In-distribution concept baseline</x:v>
      </x:c>
      <x:c r="I783" s="9" t="str">
        <x:v>SZ-ID-PC03</x:v>
      </x:c>
      <x:c r="J783" s="9" t="str">
        <x:v>largest</x:v>
      </x:c>
      <x:c r="K783" s="9"/>
      <x:c r="L783" s="9" t="str">
        <x:v>1157</x:v>
      </x:c>
      <x:c r="M783" s="9"/>
      <x:c r="N783" s="9"/>
      <x:c r="O783" s="9" t="str">
        <x:v>Build the listed manifest-supported scene.</x:v>
      </x:c>
      <x:c r="P783" s="9" t="str">
        <x:v>Exact prompt and object composition from training episode 1157; this establishes the familiar largest × crushed Pepsi can cell.</x:v>
      </x:c>
      <x:c r="Q783" s="9"/>
      <x:c r="R783" s="10" t="n">
        <x:v>4</x:v>
      </x:c>
      <x:c r="S783" s="10"/>
      <x:c r="T783" s="9"/>
      <x:c r="U783" s="9"/>
      <x:c r="V783" s="9"/>
      <x:c r="W783" s="9"/>
      <x:c r="X783" s="10"/>
      <x:c r="Y783" s="10"/>
      <x:c r="Z783" s="9"/>
      <x:c r="AA783" s="9"/>
      <x:c r="AB783" s="9"/>
      <x:c r="AC783" s="9"/>
      <x:c r="AD783" s="9" t="str">
        <x:v>crushed Pepsi can</x:v>
      </x:c>
      <x:c r="AE783" s="9"/>
      <x:c r="AF783" s="9"/>
      <x:c r="AG783" s="9"/>
      <x:c r="AH783" s="9" t="str">
        <x:v>Right</x:v>
      </x:c>
      <x:c r="AI783" s="11" t="n">
        <x:v>16</x:v>
      </x:c>
      <x:c r="AJ783" s="9" t="str">
        <x:v>Explicitly trained largest × crushed Pepsi can</x:v>
      </x:c>
      <x:c r="AK783" s="9" t="str">
        <x:v>Eval_Size_Recognition (1).xlsm</x:v>
      </x:c>
      <x:c r="AL783" s="9" t="str">
        <x:v>pi0.5 Results</x:v>
      </x:c>
      <x:c r="AM783" s="9" t="n">
        <x:v>13</x:v>
      </x:c>
      <x:c r="AN783" s="9" t="n">
        <x:v>13</x:v>
      </x:c>
    </x:row>
    <x:row r="784">
      <x:c r="A784" s="9" t="str">
        <x:v>Success</x:v>
      </x:c>
      <x:c r="B784" s="9" t="str">
        <x:v>Size Recognition</x:v>
      </x:c>
      <x:c r="C784" s="10" t="n">
        <x:v>12</x:v>
      </x:c>
      <x:c r="D784" s="9" t="str">
        <x:v>Put the smallest object in the bowl.</x:v>
      </x:c>
      <x:c r="E784" s="9" t="str">
        <x:v>Bowl: empty. Table, robot-left→robot-right: P1 green block; P2 juggling ball; P3 crushed Pepsi can; P4 red pencil sharpener. Adjacent centers 8 cm apart; row shifted 4 cm toward the robot; all objects fully visible and grasp paths clear.</x:v>
      </x:c>
      <x:c r="F784" s="9" t="str">
        <x:v>MOVE red pencil sharpener to bowl</x:v>
      </x:c>
      <x:c r="G784" s="9" t="str">
        <x:v>Picked largest object.</x:v>
      </x:c>
      <x:c r="H784" s="9" t="str">
        <x:v>In-distribution concept baseline</x:v>
      </x:c>
      <x:c r="I784" s="9" t="str">
        <x:v>SZ-ID-SH04</x:v>
      </x:c>
      <x:c r="J784" s="9" t="str">
        <x:v>smallest</x:v>
      </x:c>
      <x:c r="K784" s="9"/>
      <x:c r="L784" s="9" t="str">
        <x:v>1008</x:v>
      </x:c>
      <x:c r="M784" s="9"/>
      <x:c r="N784" s="9"/>
      <x:c r="O784" s="9" t="str">
        <x:v>Build the listed manifest-supported scene.</x:v>
      </x:c>
      <x:c r="P784" s="9" t="str">
        <x:v>Exact prompt and object composition from training episode 1008; this establishes the familiar smallest × red pencil sharpener cell.</x:v>
      </x:c>
      <x:c r="Q784" s="9"/>
      <x:c r="R784" s="10" t="n">
        <x:v>4</x:v>
      </x:c>
      <x:c r="S784" s="10"/>
      <x:c r="T784" s="9"/>
      <x:c r="U784" s="9"/>
      <x:c r="V784" s="9"/>
      <x:c r="W784" s="9"/>
      <x:c r="X784" s="10"/>
      <x:c r="Y784" s="10"/>
      <x:c r="Z784" s="9"/>
      <x:c r="AA784" s="9"/>
      <x:c r="AB784" s="9"/>
      <x:c r="AC784" s="9"/>
      <x:c r="AD784" s="9" t="str">
        <x:v>red pencil sharpener</x:v>
      </x:c>
      <x:c r="AE784" s="9"/>
      <x:c r="AF784" s="9"/>
      <x:c r="AG784" s="9"/>
      <x:c r="AH784" s="9" t="str">
        <x:v>Right</x:v>
      </x:c>
      <x:c r="AI784" s="11" t="n">
        <x:v>8</x:v>
      </x:c>
      <x:c r="AJ784" s="9" t="str">
        <x:v>Explicitly trained smallest × red pencil sharpener</x:v>
      </x:c>
      <x:c r="AK784" s="9" t="str">
        <x:v>Eval_Size_Recognition (1).xlsm</x:v>
      </x:c>
      <x:c r="AL784" s="9" t="str">
        <x:v>pi0.5 Results</x:v>
      </x:c>
      <x:c r="AM784" s="9" t="n">
        <x:v>14</x:v>
      </x:c>
      <x:c r="AN784" s="9" t="n">
        <x:v>14</x:v>
      </x:c>
    </x:row>
    <x:row r="785">
      <x:c r="A785" s="9" t="str">
        <x:v>Success</x:v>
      </x:c>
      <x:c r="B785" s="9" t="str">
        <x:v>Size Recognition</x:v>
      </x:c>
      <x:c r="C785" s="10" t="n">
        <x:v>13</x:v>
      </x:c>
      <x:c r="D785" s="9" t="str">
        <x:v>Put the smallest object in the bowl.</x:v>
      </x:c>
      <x:c r="E785" s="9" t="str">
        <x:v>Bowl: empty. Table, robot-left→robot-right: P1 green block; P2 juggling ball; P3 crushed Pepsi can. Adjacent centers 12 cm apart; row shifted 4 cm away from the robot; all objects fully visible and grasp paths clear.</x:v>
      </x:c>
      <x:c r="F785" s="9" t="str">
        <x:v>MOVE green block to bowl</x:v>
      </x:c>
      <x:c r="G785" s="9"/>
      <x:c r="H785" s="9" t="str">
        <x:v>In-distribution concept baseline</x:v>
      </x:c>
      <x:c r="I785" s="9" t="str">
        <x:v>SZ-ID-GB04</x:v>
      </x:c>
      <x:c r="J785" s="9" t="str">
        <x:v>smallest</x:v>
      </x:c>
      <x:c r="K785" s="9"/>
      <x:c r="L785" s="9" t="str">
        <x:v>1053</x:v>
      </x:c>
      <x:c r="M785" s="9"/>
      <x:c r="N785" s="9"/>
      <x:c r="O785" s="9" t="str">
        <x:v>Build the listed manifest-supported scene.</x:v>
      </x:c>
      <x:c r="P785" s="9" t="str">
        <x:v>Exact prompt and object composition from training episode 1053; this establishes the familiar smallest × green block cell.</x:v>
      </x:c>
      <x:c r="Q785" s="9"/>
      <x:c r="R785" s="10" t="n">
        <x:v>3</x:v>
      </x:c>
      <x:c r="S785" s="10"/>
      <x:c r="T785" s="9"/>
      <x:c r="U785" s="9"/>
      <x:c r="V785" s="9"/>
      <x:c r="W785" s="9"/>
      <x:c r="X785" s="10"/>
      <x:c r="Y785" s="10"/>
      <x:c r="Z785" s="9"/>
      <x:c r="AA785" s="9"/>
      <x:c r="AB785" s="9"/>
      <x:c r="AC785" s="9"/>
      <x:c r="AD785" s="9" t="str">
        <x:v>green block</x:v>
      </x:c>
      <x:c r="AE785" s="9"/>
      <x:c r="AF785" s="9"/>
      <x:c r="AG785" s="9"/>
      <x:c r="AH785" s="9" t="str">
        <x:v>Left</x:v>
      </x:c>
      <x:c r="AI785" s="11" t="n">
        <x:v>12</x:v>
      </x:c>
      <x:c r="AJ785" s="9" t="str">
        <x:v>Explicitly trained smallest × green block</x:v>
      </x:c>
      <x:c r="AK785" s="9" t="str">
        <x:v>Eval_Size_Recognition (1).xlsm</x:v>
      </x:c>
      <x:c r="AL785" s="9" t="str">
        <x:v>pi0.5 Results</x:v>
      </x:c>
      <x:c r="AM785" s="9" t="n">
        <x:v>15</x:v>
      </x:c>
      <x:c r="AN785" s="9" t="n">
        <x:v>15</x:v>
      </x:c>
    </x:row>
    <x:row r="786">
      <x:c r="A786" s="9" t="str">
        <x:v>Success</x:v>
      </x:c>
      <x:c r="B786" s="9" t="str">
        <x:v>Size Recognition</x:v>
      </x:c>
      <x:c r="C786" s="10" t="n">
        <x:v>14</x:v>
      </x:c>
      <x:c r="D786" s="9" t="str">
        <x:v>Pick up the largest item and place it in the bowl.</x:v>
      </x:c>
      <x:c r="E786" s="9" t="str">
        <x:v>Bowl: empty. Table, robot-left→robot-right: P1 green block; P2 red pencil sharpener; P3 juggling ball. Adjacent centers 16 cm apart; row centered on the workspace; all objects fully visible and grasp paths clear.</x:v>
      </x:c>
      <x:c r="F786" s="9" t="str">
        <x:v>MOVE juggling ball to bowl</x:v>
      </x:c>
      <x:c r="G786" s="9"/>
      <x:c r="H786" s="9" t="str">
        <x:v>In-distribution concept baseline</x:v>
      </x:c>
      <x:c r="I786" s="9" t="str">
        <x:v>SZ-ID-JB04</x:v>
      </x:c>
      <x:c r="J786" s="9" t="str">
        <x:v>largest</x:v>
      </x:c>
      <x:c r="K786" s="9"/>
      <x:c r="L786" s="9" t="str">
        <x:v>1128</x:v>
      </x:c>
      <x:c r="M786" s="9"/>
      <x:c r="N786" s="9"/>
      <x:c r="O786" s="9" t="str">
        <x:v>Build the listed manifest-supported scene.</x:v>
      </x:c>
      <x:c r="P786" s="9" t="str">
        <x:v>Exact prompt and object composition from training episode 1128; this establishes the familiar largest × juggling ball cell.</x:v>
      </x:c>
      <x:c r="Q786" s="9"/>
      <x:c r="R786" s="10" t="n">
        <x:v>3</x:v>
      </x:c>
      <x:c r="S786" s="10"/>
      <x:c r="T786" s="9"/>
      <x:c r="U786" s="9"/>
      <x:c r="V786" s="9"/>
      <x:c r="W786" s="9"/>
      <x:c r="X786" s="10"/>
      <x:c r="Y786" s="10"/>
      <x:c r="Z786" s="9"/>
      <x:c r="AA786" s="9"/>
      <x:c r="AB786" s="9"/>
      <x:c r="AC786" s="9"/>
      <x:c r="AD786" s="9" t="str">
        <x:v>juggling ball</x:v>
      </x:c>
      <x:c r="AE786" s="9"/>
      <x:c r="AF786" s="9"/>
      <x:c r="AG786" s="9"/>
      <x:c r="AH786" s="9" t="str">
        <x:v>Right</x:v>
      </x:c>
      <x:c r="AI786" s="11" t="n">
        <x:v>16</x:v>
      </x:c>
      <x:c r="AJ786" s="9" t="str">
        <x:v>Explicitly trained largest × juggling ball</x:v>
      </x:c>
      <x:c r="AK786" s="9" t="str">
        <x:v>Eval_Size_Recognition (1).xlsm</x:v>
      </x:c>
      <x:c r="AL786" s="9" t="str">
        <x:v>pi0.5 Results</x:v>
      </x:c>
      <x:c r="AM786" s="9" t="n">
        <x:v>16</x:v>
      </x:c>
      <x:c r="AN786" s="9" t="n">
        <x:v>16</x:v>
      </x:c>
    </x:row>
    <x:row r="787">
      <x:c r="A787" s="9" t="str">
        <x:v>Success</x:v>
      </x:c>
      <x:c r="B787" s="9" t="str">
        <x:v>Size Recognition</x:v>
      </x:c>
      <x:c r="C787" s="10" t="n">
        <x:v>15</x:v>
      </x:c>
      <x:c r="D787" s="9" t="str">
        <x:v>Put the largest object in the bowl.</x:v>
      </x:c>
      <x:c r="E787" s="9" t="str">
        <x:v>Bowl: empty. Table, robot-left→robot-right: P1 crushed Pepsi can; P2 red pencil sharpener; P3 green block; P4 juggling ball. Adjacent centers 8 cm apart; row shifted 4 cm toward robot-left; all objects fully visible and grasp paths clear.</x:v>
      </x:c>
      <x:c r="F787" s="9" t="str">
        <x:v>MOVE crushed Pepsi can to bowl</x:v>
      </x:c>
      <x:c r="G787" s="9"/>
      <x:c r="H787" s="9" t="str">
        <x:v>In-distribution concept baseline</x:v>
      </x:c>
      <x:c r="I787" s="9" t="str">
        <x:v>SZ-ID-PC04</x:v>
      </x:c>
      <x:c r="J787" s="9" t="str">
        <x:v>largest</x:v>
      </x:c>
      <x:c r="K787" s="9"/>
      <x:c r="L787" s="9" t="str">
        <x:v>1158</x:v>
      </x:c>
      <x:c r="M787" s="9"/>
      <x:c r="N787" s="9"/>
      <x:c r="O787" s="9" t="str">
        <x:v>Build the listed manifest-supported scene.</x:v>
      </x:c>
      <x:c r="P787" s="9" t="str">
        <x:v>Exact prompt and object composition from training episode 1158; this establishes the familiar largest × crushed Pepsi can cell.</x:v>
      </x:c>
      <x:c r="Q787" s="9"/>
      <x:c r="R787" s="10" t="n">
        <x:v>4</x:v>
      </x:c>
      <x:c r="S787" s="10"/>
      <x:c r="T787" s="9"/>
      <x:c r="U787" s="9"/>
      <x:c r="V787" s="9"/>
      <x:c r="W787" s="9"/>
      <x:c r="X787" s="10"/>
      <x:c r="Y787" s="10"/>
      <x:c r="Z787" s="9"/>
      <x:c r="AA787" s="9"/>
      <x:c r="AB787" s="9"/>
      <x:c r="AC787" s="9"/>
      <x:c r="AD787" s="9" t="str">
        <x:v>crushed Pepsi can</x:v>
      </x:c>
      <x:c r="AE787" s="9"/>
      <x:c r="AF787" s="9"/>
      <x:c r="AG787" s="9"/>
      <x:c r="AH787" s="9" t="str">
        <x:v>Left</x:v>
      </x:c>
      <x:c r="AI787" s="11" t="n">
        <x:v>8</x:v>
      </x:c>
      <x:c r="AJ787" s="9" t="str">
        <x:v>Explicitly trained largest × crushed Pepsi can</x:v>
      </x:c>
      <x:c r="AK787" s="9" t="str">
        <x:v>Eval_Size_Recognition (1).xlsm</x:v>
      </x:c>
      <x:c r="AL787" s="9" t="str">
        <x:v>pi0.5 Results</x:v>
      </x:c>
      <x:c r="AM787" s="9" t="n">
        <x:v>17</x:v>
      </x:c>
      <x:c r="AN787" s="9" t="n">
        <x:v>17</x:v>
      </x:c>
    </x:row>
    <x:row r="788">
      <x:c r="A788" s="9" t="str">
        <x:v>Success</x:v>
      </x:c>
      <x:c r="B788" s="9" t="str">
        <x:v>Size Recognition</x:v>
      </x:c>
      <x:c r="C788" s="10" t="n">
        <x:v>16</x:v>
      </x:c>
      <x:c r="D788" s="9" t="str">
        <x:v>Move the object that is smallest into the bowl.</x:v>
      </x:c>
      <x:c r="E788" s="9" t="str">
        <x:v>Bowl: empty. Table, robot-left→robot-right: P1 red pencil sharpener; P2 juggling ball; P3 crushed Pepsi can; P4 green block. Adjacent centers 12 cm apart; row shifted 4 cm away from the robot; all objects fully visible and grasp paths clear.</x:v>
      </x:c>
      <x:c r="F788" s="9" t="str">
        <x:v>MOVE red pencil sharpener to bowl</x:v>
      </x:c>
      <x:c r="G788" s="9"/>
      <x:c r="H788" s="9" t="str">
        <x:v>In-distribution concept baseline</x:v>
      </x:c>
      <x:c r="I788" s="9" t="str">
        <x:v>SZ-ID-SH05</x:v>
      </x:c>
      <x:c r="J788" s="9" t="str">
        <x:v>smallest</x:v>
      </x:c>
      <x:c r="K788" s="9"/>
      <x:c r="L788" s="9" t="str">
        <x:v>1009</x:v>
      </x:c>
      <x:c r="M788" s="9"/>
      <x:c r="N788" s="9"/>
      <x:c r="O788" s="9" t="str">
        <x:v>Build the listed manifest-supported scene.</x:v>
      </x:c>
      <x:c r="P788" s="9" t="str">
        <x:v>Exact prompt and object composition from training episode 1009; this establishes the familiar smallest × red pencil sharpener cell.</x:v>
      </x:c>
      <x:c r="Q788" s="9"/>
      <x:c r="R788" s="10" t="n">
        <x:v>4</x:v>
      </x:c>
      <x:c r="S788" s="10"/>
      <x:c r="T788" s="9"/>
      <x:c r="U788" s="9"/>
      <x:c r="V788" s="9"/>
      <x:c r="W788" s="9"/>
      <x:c r="X788" s="10"/>
      <x:c r="Y788" s="10"/>
      <x:c r="Z788" s="9"/>
      <x:c r="AA788" s="9"/>
      <x:c r="AB788" s="9"/>
      <x:c r="AC788" s="9"/>
      <x:c r="AD788" s="9" t="str">
        <x:v>red pencil sharpener</x:v>
      </x:c>
      <x:c r="AE788" s="9"/>
      <x:c r="AF788" s="9"/>
      <x:c r="AG788" s="9"/>
      <x:c r="AH788" s="9" t="str">
        <x:v>Left</x:v>
      </x:c>
      <x:c r="AI788" s="11" t="n">
        <x:v>12</x:v>
      </x:c>
      <x:c r="AJ788" s="9" t="str">
        <x:v>Explicitly trained smallest × red pencil sharpener</x:v>
      </x:c>
      <x:c r="AK788" s="9" t="str">
        <x:v>Eval_Size_Recognition (1).xlsm</x:v>
      </x:c>
      <x:c r="AL788" s="9" t="str">
        <x:v>pi0.5 Results</x:v>
      </x:c>
      <x:c r="AM788" s="9" t="n">
        <x:v>18</x:v>
      </x:c>
      <x:c r="AN788" s="9" t="n">
        <x:v>18</x:v>
      </x:c>
    </x:row>
    <x:row r="789">
      <x:c r="A789" s="9" t="str">
        <x:v>Success</x:v>
      </x:c>
      <x:c r="B789" s="9" t="str">
        <x:v>Size Recognition</x:v>
      </x:c>
      <x:c r="C789" s="10" t="n">
        <x:v>17</x:v>
      </x:c>
      <x:c r="D789" s="9" t="str">
        <x:v>Put the smallest object in the bowl.</x:v>
      </x:c>
      <x:c r="E789" s="9" t="str">
        <x:v>Bowl: empty. Table, robot-left→robot-right: P1 crushed Pepsi can; P2 juggling ball; P3 green block. Adjacent centers 16 cm apart; row centered on the workspace; all objects fully visible and grasp paths clear.</x:v>
      </x:c>
      <x:c r="F789" s="9" t="str">
        <x:v>MOVE green block to bowl</x:v>
      </x:c>
      <x:c r="G789" s="9"/>
      <x:c r="H789" s="9" t="str">
        <x:v>In-distribution concept baseline</x:v>
      </x:c>
      <x:c r="I789" s="9" t="str">
        <x:v>SZ-ID-GB05</x:v>
      </x:c>
      <x:c r="J789" s="9" t="str">
        <x:v>smallest</x:v>
      </x:c>
      <x:c r="K789" s="9"/>
      <x:c r="L789" s="9" t="str">
        <x:v>1054</x:v>
      </x:c>
      <x:c r="M789" s="9"/>
      <x:c r="N789" s="9"/>
      <x:c r="O789" s="9" t="str">
        <x:v>Build the listed manifest-supported scene.</x:v>
      </x:c>
      <x:c r="P789" s="9" t="str">
        <x:v>Exact prompt and object composition from training episode 1054; this establishes the familiar smallest × green block cell.</x:v>
      </x:c>
      <x:c r="Q789" s="9"/>
      <x:c r="R789" s="10" t="n">
        <x:v>3</x:v>
      </x:c>
      <x:c r="S789" s="10"/>
      <x:c r="T789" s="9"/>
      <x:c r="U789" s="9"/>
      <x:c r="V789" s="9"/>
      <x:c r="W789" s="9"/>
      <x:c r="X789" s="10"/>
      <x:c r="Y789" s="10"/>
      <x:c r="Z789" s="9"/>
      <x:c r="AA789" s="9"/>
      <x:c r="AB789" s="9"/>
      <x:c r="AC789" s="9"/>
      <x:c r="AD789" s="9" t="str">
        <x:v>green block</x:v>
      </x:c>
      <x:c r="AE789" s="9"/>
      <x:c r="AF789" s="9"/>
      <x:c r="AG789" s="9"/>
      <x:c r="AH789" s="9" t="str">
        <x:v>Right</x:v>
      </x:c>
      <x:c r="AI789" s="11" t="n">
        <x:v>16</x:v>
      </x:c>
      <x:c r="AJ789" s="9" t="str">
        <x:v>Explicitly trained smallest × green block</x:v>
      </x:c>
      <x:c r="AK789" s="9" t="str">
        <x:v>Eval_Size_Recognition (1).xlsm</x:v>
      </x:c>
      <x:c r="AL789" s="9" t="str">
        <x:v>pi0.5 Results</x:v>
      </x:c>
      <x:c r="AM789" s="9" t="n">
        <x:v>19</x:v>
      </x:c>
      <x:c r="AN789" s="9" t="n">
        <x:v>19</x:v>
      </x:c>
    </x:row>
    <x:row r="790">
      <x:c r="A790" s="9" t="str">
        <x:v>Success</x:v>
      </x:c>
      <x:c r="B790" s="9" t="str">
        <x:v>Size Recognition</x:v>
      </x:c>
      <x:c r="C790" s="10" t="n">
        <x:v>18</x:v>
      </x:c>
      <x:c r="D790" s="9" t="str">
        <x:v>Put the largest object in the bowl.</x:v>
      </x:c>
      <x:c r="E790" s="9" t="str">
        <x:v>Bowl: empty. Table, robot-left→robot-right: P1 juggling ball; P2 red pencil sharpener; P3 green block. Adjacent centers 8 cm apart; row shifted 4 cm toward robot-left; all objects fully visible and grasp paths clear.</x:v>
      </x:c>
      <x:c r="F790" s="9" t="str">
        <x:v>MOVE juggling ball to bowl</x:v>
      </x:c>
      <x:c r="G790" s="9"/>
      <x:c r="H790" s="9" t="str">
        <x:v>In-distribution concept baseline</x:v>
      </x:c>
      <x:c r="I790" s="9" t="str">
        <x:v>SZ-ID-JB05</x:v>
      </x:c>
      <x:c r="J790" s="9" t="str">
        <x:v>largest</x:v>
      </x:c>
      <x:c r="K790" s="9"/>
      <x:c r="L790" s="9" t="str">
        <x:v>1129</x:v>
      </x:c>
      <x:c r="M790" s="9"/>
      <x:c r="N790" s="9"/>
      <x:c r="O790" s="9" t="str">
        <x:v>Build the listed manifest-supported scene.</x:v>
      </x:c>
      <x:c r="P790" s="9" t="str">
        <x:v>Exact prompt and object composition from training episode 1129; this establishes the familiar largest × juggling ball cell.</x:v>
      </x:c>
      <x:c r="Q790" s="9"/>
      <x:c r="R790" s="10" t="n">
        <x:v>3</x:v>
      </x:c>
      <x:c r="S790" s="10"/>
      <x:c r="T790" s="9"/>
      <x:c r="U790" s="9"/>
      <x:c r="V790" s="9"/>
      <x:c r="W790" s="9"/>
      <x:c r="X790" s="10"/>
      <x:c r="Y790" s="10"/>
      <x:c r="Z790" s="9"/>
      <x:c r="AA790" s="9"/>
      <x:c r="AB790" s="9"/>
      <x:c r="AC790" s="9"/>
      <x:c r="AD790" s="9" t="str">
        <x:v>juggling ball</x:v>
      </x:c>
      <x:c r="AE790" s="9"/>
      <x:c r="AF790" s="9"/>
      <x:c r="AG790" s="9"/>
      <x:c r="AH790" s="9" t="str">
        <x:v>Left</x:v>
      </x:c>
      <x:c r="AI790" s="11" t="n">
        <x:v>8</x:v>
      </x:c>
      <x:c r="AJ790" s="9" t="str">
        <x:v>Explicitly trained largest × juggling ball</x:v>
      </x:c>
      <x:c r="AK790" s="9" t="str">
        <x:v>Eval_Size_Recognition (1).xlsm</x:v>
      </x:c>
      <x:c r="AL790" s="9" t="str">
        <x:v>pi0.5 Results</x:v>
      </x:c>
      <x:c r="AM790" s="9" t="n">
        <x:v>20</x:v>
      </x:c>
      <x:c r="AN790" s="9" t="n">
        <x:v>20</x:v>
      </x:c>
    </x:row>
    <x:row r="791">
      <x:c r="A791" s="9" t="str">
        <x:v>Success</x:v>
      </x:c>
      <x:c r="B791" s="9" t="str">
        <x:v>Size Recognition</x:v>
      </x:c>
      <x:c r="C791" s="10" t="n">
        <x:v>19</x:v>
      </x:c>
      <x:c r="D791" s="9" t="str">
        <x:v>Move the object that is largest into the bowl.</x:v>
      </x:c>
      <x:c r="E791" s="9" t="str">
        <x:v>Bowl: empty. Table, robot-left→robot-right: P1 green block; P2 juggling ball; P3 red pencil sharpener; P4 crushed Pepsi can. Adjacent centers 12 cm apart; row shifted 4 cm toward robot-right; all objects fully visible and grasp paths clear.</x:v>
      </x:c>
      <x:c r="F791" s="9" t="str">
        <x:v>MOVE crushed Pepsi can to bowl</x:v>
      </x:c>
      <x:c r="G791" s="9"/>
      <x:c r="H791" s="9" t="str">
        <x:v>In-distribution concept baseline</x:v>
      </x:c>
      <x:c r="I791" s="9" t="str">
        <x:v>SZ-ID-PC05</x:v>
      </x:c>
      <x:c r="J791" s="9" t="str">
        <x:v>largest</x:v>
      </x:c>
      <x:c r="K791" s="9"/>
      <x:c r="L791" s="9" t="str">
        <x:v>1159</x:v>
      </x:c>
      <x:c r="M791" s="9"/>
      <x:c r="N791" s="9"/>
      <x:c r="O791" s="9" t="str">
        <x:v>Build the listed manifest-supported scene.</x:v>
      </x:c>
      <x:c r="P791" s="9" t="str">
        <x:v>Exact prompt and object composition from training episode 1159; this establishes the familiar largest × crushed Pepsi can cell.</x:v>
      </x:c>
      <x:c r="Q791" s="9"/>
      <x:c r="R791" s="10" t="n">
        <x:v>4</x:v>
      </x:c>
      <x:c r="S791" s="10"/>
      <x:c r="T791" s="9"/>
      <x:c r="U791" s="9"/>
      <x:c r="V791" s="9"/>
      <x:c r="W791" s="9"/>
      <x:c r="X791" s="10"/>
      <x:c r="Y791" s="10"/>
      <x:c r="Z791" s="9"/>
      <x:c r="AA791" s="9"/>
      <x:c r="AB791" s="9"/>
      <x:c r="AC791" s="9"/>
      <x:c r="AD791" s="9" t="str">
        <x:v>crushed Pepsi can</x:v>
      </x:c>
      <x:c r="AE791" s="9"/>
      <x:c r="AF791" s="9"/>
      <x:c r="AG791" s="9"/>
      <x:c r="AH791" s="9" t="str">
        <x:v>Right</x:v>
      </x:c>
      <x:c r="AI791" s="11" t="n">
        <x:v>12</x:v>
      </x:c>
      <x:c r="AJ791" s="9" t="str">
        <x:v>Explicitly trained largest × crushed Pepsi can</x:v>
      </x:c>
      <x:c r="AK791" s="9" t="str">
        <x:v>Eval_Size_Recognition (1).xlsm</x:v>
      </x:c>
      <x:c r="AL791" s="9" t="str">
        <x:v>pi0.5 Results</x:v>
      </x:c>
      <x:c r="AM791" s="9" t="n">
        <x:v>21</x:v>
      </x:c>
      <x:c r="AN791" s="9" t="n">
        <x:v>21</x:v>
      </x:c>
    </x:row>
    <x:row r="792">
      <x:c r="A792" s="9" t="str">
        <x:v>Success</x:v>
      </x:c>
      <x:c r="B792" s="9" t="str">
        <x:v>Size Recognition</x:v>
      </x:c>
      <x:c r="C792" s="10" t="n">
        <x:v>20</x:v>
      </x:c>
      <x:c r="D792" s="9" t="str">
        <x:v>Move the object that is largest into the bowl.</x:v>
      </x:c>
      <x:c r="E792" s="9" t="str">
        <x:v>Bowl: empty. Table, robot-left→robot-right: P1 green block; P2 red pencil sharpener. Adjacent centers 8 cm apart; row centered on the workspace; all objects fully visible and grasp paths clear.</x:v>
      </x:c>
      <x:c r="F792" s="9" t="str">
        <x:v>MOVE green block to bowl</x:v>
      </x:c>
      <x:c r="G792" s="9"/>
      <x:c r="H792" s="9" t="str">
        <x:v>Concept/compositional transfer</x:v>
      </x:c>
      <x:c r="I792" s="9" t="str">
        <x:v>SZ-CT-LG01</x:v>
      </x:c>
      <x:c r="J792" s="9" t="str">
        <x:v>largest</x:v>
      </x:c>
      <x:c r="K792" s="9"/>
      <x:c r="L792" s="9" t="str">
        <x:v>1080</x:v>
      </x:c>
      <x:c r="M792" s="9"/>
      <x:c r="N792" s="9"/>
      <x:c r="O792" s="9" t="str">
        <x:v>Build the listed two-object scene and save a first-frame filename.</x:v>
      </x:c>
      <x:c r="P792" s="9" t="str">
        <x:v>Primary missing cell. Training episode 1080 contains the same target trajectory but masks the size word with a direct identity prompt.</x:v>
      </x:c>
      <x:c r="Q792" s="9"/>
      <x:c r="R792" s="10" t="n">
        <x:v>2</x:v>
      </x:c>
      <x:c r="S792" s="10"/>
      <x:c r="T792" s="9"/>
      <x:c r="U792" s="9"/>
      <x:c r="V792" s="9"/>
      <x:c r="W792" s="9"/>
      <x:c r="X792" s="10"/>
      <x:c r="Y792" s="10"/>
      <x:c r="Z792" s="9"/>
      <x:c r="AA792" s="9"/>
      <x:c r="AB792" s="9"/>
      <x:c r="AC792" s="9"/>
      <x:c r="AD792" s="9" t="str">
        <x:v>green block</x:v>
      </x:c>
      <x:c r="AE792" s="9"/>
      <x:c r="AF792" s="9"/>
      <x:c r="AG792" s="9"/>
      <x:c r="AH792" s="9" t="str">
        <x:v>Left</x:v>
      </x:c>
      <x:c r="AI792" s="11" t="n">
        <x:v>8</x:v>
      </x:c>
      <x:c r="AJ792" s="9" t="str">
        <x:v>Held-out largest × green block — Move</x:v>
      </x:c>
      <x:c r="AK792" s="9" t="str">
        <x:v>Eval_Size_Recognition (1).xlsm</x:v>
      </x:c>
      <x:c r="AL792" s="9" t="str">
        <x:v>pi0.5 Results</x:v>
      </x:c>
      <x:c r="AM792" s="9" t="n">
        <x:v>22</x:v>
      </x:c>
      <x:c r="AN792" s="9" t="n">
        <x:v>22</x:v>
      </x:c>
    </x:row>
    <x:row r="793">
      <x:c r="A793" s="9" t="str">
        <x:v>Success</x:v>
      </x:c>
      <x:c r="B793" s="9" t="str">
        <x:v>Size Recognition</x:v>
      </x:c>
      <x:c r="C793" s="10" t="n">
        <x:v>21</x:v>
      </x:c>
      <x:c r="D793" s="9" t="str">
        <x:v>Put the green block in the bowl.</x:v>
      </x:c>
      <x:c r="E793" s="9" t="str">
        <x:v>Bowl: empty. Table, robot-left→robot-right: P1 green block; P2 red pencil sharpener. Adjacent centers 8 cm apart; row centered on the workspace; all objects fully visible and grasp paths clear.</x:v>
      </x:c>
      <x:c r="F793" s="9" t="str">
        <x:v>MOVE green block to bowl</x:v>
      </x:c>
      <x:c r="G793" s="9"/>
      <x:c r="H793" s="9" t="str">
        <x:v>Matched manipulation control</x:v>
      </x:c>
      <x:c r="I793" s="9" t="str">
        <x:v>SZ-CT-LG01</x:v>
      </x:c>
      <x:c r="J793" s="9" t="str">
        <x:v>Direct</x:v>
      </x:c>
      <x:c r="K793" s="9" t="n">
        <x:v>20</x:v>
      </x:c>
      <x:c r="L793" s="9" t="str">
        <x:v>1075</x:v>
      </x:c>
      <x:c r="M793" s="9"/>
      <x:c r="N793" s="9"/>
      <x:c r="O793" s="9" t="str">
        <x:v>Reset the target to its original pose; change only the prompt.</x:v>
      </x:c>
      <x:c r="P793" s="9" t="str">
        <x:v>Exact-scene control using a direct prompt supported by training episode 1075.</x:v>
      </x:c>
      <x:c r="Q793" s="9"/>
      <x:c r="R793" s="10" t="n">
        <x:v>2</x:v>
      </x:c>
      <x:c r="S793" s="10"/>
      <x:c r="T793" s="9"/>
      <x:c r="U793" s="9"/>
      <x:c r="V793" s="9"/>
      <x:c r="W793" s="9"/>
      <x:c r="X793" s="10"/>
      <x:c r="Y793" s="10"/>
      <x:c r="Z793" s="9"/>
      <x:c r="AA793" s="9"/>
      <x:c r="AB793" s="9"/>
      <x:c r="AC793" s="9"/>
      <x:c r="AD793" s="9" t="str">
        <x:v>green block</x:v>
      </x:c>
      <x:c r="AE793" s="9"/>
      <x:c r="AF793" s="9"/>
      <x:c r="AG793" s="9"/>
      <x:c r="AH793" s="9" t="str">
        <x:v>Left</x:v>
      </x:c>
      <x:c r="AI793" s="11" t="n">
        <x:v>8</x:v>
      </x:c>
      <x:c r="AJ793" s="9" t="str">
        <x:v>Same-scene direct target control</x:v>
      </x:c>
      <x:c r="AK793" s="9" t="str">
        <x:v>Eval_Size_Recognition (1).xlsm</x:v>
      </x:c>
      <x:c r="AL793" s="9" t="str">
        <x:v>pi0.5 Results</x:v>
      </x:c>
      <x:c r="AM793" s="9" t="n">
        <x:v>23</x:v>
      </x:c>
      <x:c r="AN793" s="9" t="n">
        <x:v>23</x:v>
      </x:c>
    </x:row>
    <x:row r="794">
      <x:c r="A794" s="9" t="str">
        <x:v>Success</x:v>
      </x:c>
      <x:c r="B794" s="9" t="str">
        <x:v>Size Recognition</x:v>
      </x:c>
      <x:c r="C794" s="10" t="n">
        <x:v>22</x:v>
      </x:c>
      <x:c r="D794" s="9" t="str">
        <x:v>Choose the biggest item and move it into the bowl.</x:v>
      </x:c>
      <x:c r="E794" s="9" t="str">
        <x:v>Bowl: empty. Table, robot-left→robot-right: P1 green block; P2 red pencil sharpener. Adjacent centers 8 cm apart; row centered on the workspace; all objects fully visible and grasp paths clear.</x:v>
      </x:c>
      <x:c r="F794" s="9" t="str">
        <x:v>MOVE green block to bowl</x:v>
      </x:c>
      <x:c r="G794" s="9"/>
      <x:c r="H794" s="9" t="str">
        <x:v>Language robustness</x:v>
      </x:c>
      <x:c r="I794" s="9" t="str">
        <x:v>SZ-CT-LG01</x:v>
      </x:c>
      <x:c r="J794" s="9" t="str">
        <x:v>largest</x:v>
      </x:c>
      <x:c r="K794" s="9" t="n">
        <x:v>20</x:v>
      </x:c>
      <x:c r="L794" s="9" t="str">
        <x:v>1080</x:v>
      </x:c>
      <x:c r="M794" s="9"/>
      <x:c r="N794" s="9"/>
      <x:c r="O794" s="9" t="str">
        <x:v>Reset the target; preserve the exact scene and paraphrase only the transfer prompt.</x:v>
      </x:c>
      <x:c r="P794" s="9" t="str">
        <x:v>Exact-scene paraphrase of the primary transfer instruction.</x:v>
      </x:c>
      <x:c r="Q794" s="9"/>
      <x:c r="R794" s="10" t="n">
        <x:v>2</x:v>
      </x:c>
      <x:c r="S794" s="10"/>
      <x:c r="T794" s="9"/>
      <x:c r="U794" s="9"/>
      <x:c r="V794" s="9"/>
      <x:c r="W794" s="9"/>
      <x:c r="X794" s="10"/>
      <x:c r="Y794" s="10"/>
      <x:c r="Z794" s="9"/>
      <x:c r="AA794" s="9"/>
      <x:c r="AB794" s="9"/>
      <x:c r="AC794" s="9"/>
      <x:c r="AD794" s="9" t="str">
        <x:v>green block</x:v>
      </x:c>
      <x:c r="AE794" s="9"/>
      <x:c r="AF794" s="9"/>
      <x:c r="AG794" s="9"/>
      <x:c r="AH794" s="9" t="str">
        <x:v>Left</x:v>
      </x:c>
      <x:c r="AI794" s="11" t="n">
        <x:v>8</x:v>
      </x:c>
      <x:c r="AJ794" s="9" t="str">
        <x:v>Primary compositional-transfer prompt paraphrase</x:v>
      </x:c>
      <x:c r="AK794" s="9" t="str">
        <x:v>Eval_Size_Recognition (1).xlsm</x:v>
      </x:c>
      <x:c r="AL794" s="9" t="str">
        <x:v>pi0.5 Results</x:v>
      </x:c>
      <x:c r="AM794" s="9" t="n">
        <x:v>24</x:v>
      </x:c>
      <x:c r="AN794" s="9" t="n">
        <x:v>24</x:v>
      </x:c>
    </x:row>
    <x:row r="795">
      <x:c r="A795" s="9" t="str">
        <x:v>Success</x:v>
      </x:c>
      <x:c r="B795" s="9" t="str">
        <x:v>Size Recognition</x:v>
      </x:c>
      <x:c r="C795" s="10" t="n">
        <x:v>23</x:v>
      </x:c>
      <x:c r="D795" s="9" t="str">
        <x:v>Transfer the green block from the table into the bowl.</x:v>
      </x:c>
      <x:c r="E795" s="9" t="str">
        <x:v>Bowl: empty. Table, robot-left→robot-right: P1 green block; P2 red pencil sharpener. Adjacent centers 8 cm apart; row centered on the workspace; all objects fully visible and grasp paths clear.</x:v>
      </x:c>
      <x:c r="F795" s="9" t="str">
        <x:v>MOVE green block to bowl</x:v>
      </x:c>
      <x:c r="G795" s="9"/>
      <x:c r="H795" s="9" t="str">
        <x:v>Language robustness</x:v>
      </x:c>
      <x:c r="I795" s="9" t="str">
        <x:v>SZ-CT-LG01</x:v>
      </x:c>
      <x:c r="J795" s="9" t="str">
        <x:v>Direct</x:v>
      </x:c>
      <x:c r="K795" s="9" t="n">
        <x:v>21</x:v>
      </x:c>
      <x:c r="L795" s="9" t="str">
        <x:v>1075</x:v>
      </x:c>
      <x:c r="M795" s="9"/>
      <x:c r="N795" s="9"/>
      <x:c r="O795" s="9" t="str">
        <x:v>Reset the target; preserve the exact scene and paraphrase only the matched-control prompt.</x:v>
      </x:c>
      <x:c r="P795" s="9" t="str">
        <x:v>Exact-scene paraphrase of the direct manipulation control.</x:v>
      </x:c>
      <x:c r="Q795" s="9"/>
      <x:c r="R795" s="10" t="n">
        <x:v>2</x:v>
      </x:c>
      <x:c r="S795" s="10"/>
      <x:c r="T795" s="9"/>
      <x:c r="U795" s="9"/>
      <x:c r="V795" s="9"/>
      <x:c r="W795" s="9"/>
      <x:c r="X795" s="10"/>
      <x:c r="Y795" s="10"/>
      <x:c r="Z795" s="9"/>
      <x:c r="AA795" s="9"/>
      <x:c r="AB795" s="9"/>
      <x:c r="AC795" s="9"/>
      <x:c r="AD795" s="9" t="str">
        <x:v>green block</x:v>
      </x:c>
      <x:c r="AE795" s="9"/>
      <x:c r="AF795" s="9"/>
      <x:c r="AG795" s="9"/>
      <x:c r="AH795" s="9" t="str">
        <x:v>Left</x:v>
      </x:c>
      <x:c r="AI795" s="11" t="n">
        <x:v>8</x:v>
      </x:c>
      <x:c r="AJ795" s="9" t="str">
        <x:v>Matched-control direct prompt paraphrase</x:v>
      </x:c>
      <x:c r="AK795" s="9" t="str">
        <x:v>Eval_Size_Recognition (1).xlsm</x:v>
      </x:c>
      <x:c r="AL795" s="9" t="str">
        <x:v>pi0.5 Results</x:v>
      </x:c>
      <x:c r="AM795" s="9" t="n">
        <x:v>25</x:v>
      </x:c>
      <x:c r="AN795" s="9" t="n">
        <x:v>25</x:v>
      </x:c>
    </x:row>
    <x:row r="796">
      <x:c r="A796" s="9" t="str">
        <x:v>Success</x:v>
      </x:c>
      <x:c r="B796" s="9" t="str">
        <x:v>Size Recognition</x:v>
      </x:c>
      <x:c r="C796" s="10" t="n">
        <x:v>24</x:v>
      </x:c>
      <x:c r="D796" s="9" t="str">
        <x:v>Pick up the smallest item and place it in the bowl.</x:v>
      </x:c>
      <x:c r="E796" s="9" t="str">
        <x:v>Bowl: empty. Table, robot-left→robot-right: P1 crushed Pepsi can; P2 juggling ball. Adjacent centers 12 cm apart; row shifted 4 cm toward robot-right; all objects fully visible and grasp paths clear.</x:v>
      </x:c>
      <x:c r="F796" s="9" t="str">
        <x:v>MOVE juggling ball to bowl</x:v>
      </x:c>
      <x:c r="G796" s="9"/>
      <x:c r="H796" s="9" t="str">
        <x:v>Concept/compositional transfer</x:v>
      </x:c>
      <x:c r="I796" s="9" t="str">
        <x:v>SZ-CT-SJ01</x:v>
      </x:c>
      <x:c r="J796" s="9" t="str">
        <x:v>smallest</x:v>
      </x:c>
      <x:c r="K796" s="9"/>
      <x:c r="L796" s="9" t="str">
        <x:v>1105</x:v>
      </x:c>
      <x:c r="M796" s="9"/>
      <x:c r="N796" s="9"/>
      <x:c r="O796" s="9" t="str">
        <x:v>Build the listed two-object scene and save a first-frame filename.</x:v>
      </x:c>
      <x:c r="P796" s="9" t="str">
        <x:v>Primary missing cell. Training episode 1105 contains the same target trajectory but masks the size word with a direct identity prompt.</x:v>
      </x:c>
      <x:c r="Q796" s="9"/>
      <x:c r="R796" s="10" t="n">
        <x:v>2</x:v>
      </x:c>
      <x:c r="S796" s="10"/>
      <x:c r="T796" s="9"/>
      <x:c r="U796" s="9"/>
      <x:c r="V796" s="9"/>
      <x:c r="W796" s="9"/>
      <x:c r="X796" s="10"/>
      <x:c r="Y796" s="10"/>
      <x:c r="Z796" s="9"/>
      <x:c r="AA796" s="9"/>
      <x:c r="AB796" s="9"/>
      <x:c r="AC796" s="9"/>
      <x:c r="AD796" s="9" t="str">
        <x:v>juggling ball</x:v>
      </x:c>
      <x:c r="AE796" s="9"/>
      <x:c r="AF796" s="9"/>
      <x:c r="AG796" s="9"/>
      <x:c r="AH796" s="9" t="str">
        <x:v>Right</x:v>
      </x:c>
      <x:c r="AI796" s="11" t="n">
        <x:v>12</x:v>
      </x:c>
      <x:c r="AJ796" s="9" t="str">
        <x:v>Held-out smallest × juggling ball — Pick up</x:v>
      </x:c>
      <x:c r="AK796" s="9" t="str">
        <x:v>Eval_Size_Recognition (1).xlsm</x:v>
      </x:c>
      <x:c r="AL796" s="9" t="str">
        <x:v>pi0.5 Results</x:v>
      </x:c>
      <x:c r="AM796" s="9" t="n">
        <x:v>26</x:v>
      </x:c>
      <x:c r="AN796" s="9" t="n">
        <x:v>26</x:v>
      </x:c>
    </x:row>
    <x:row r="797">
      <x:c r="A797" s="9" t="str">
        <x:v>Success</x:v>
      </x:c>
      <x:c r="B797" s="9" t="str">
        <x:v>Size Recognition</x:v>
      </x:c>
      <x:c r="C797" s="10" t="n">
        <x:v>25</x:v>
      </x:c>
      <x:c r="D797" s="9" t="str">
        <x:v>Put the juggling ball in the bowl.</x:v>
      </x:c>
      <x:c r="E797" s="9" t="str">
        <x:v>Bowl: empty. Table, robot-left→robot-right: P1 crushed Pepsi can; P2 juggling ball. Adjacent centers 12 cm apart; row shifted 4 cm toward robot-right; all objects fully visible and grasp paths clear.</x:v>
      </x:c>
      <x:c r="F797" s="9" t="str">
        <x:v>MOVE juggling ball to bowl</x:v>
      </x:c>
      <x:c r="G797" s="9"/>
      <x:c r="H797" s="9" t="str">
        <x:v>Matched manipulation control</x:v>
      </x:c>
      <x:c r="I797" s="9" t="str">
        <x:v>SZ-CT-SJ01</x:v>
      </x:c>
      <x:c r="J797" s="9" t="str">
        <x:v>Direct</x:v>
      </x:c>
      <x:c r="K797" s="9" t="n">
        <x:v>24</x:v>
      </x:c>
      <x:c r="L797" s="9" t="str">
        <x:v>1100</x:v>
      </x:c>
      <x:c r="M797" s="9"/>
      <x:c r="N797" s="9"/>
      <x:c r="O797" s="9" t="str">
        <x:v>Reset the target to its original pose; change only the prompt.</x:v>
      </x:c>
      <x:c r="P797" s="9" t="str">
        <x:v>Exact-scene control using a direct prompt supported by training episode 1100.</x:v>
      </x:c>
      <x:c r="Q797" s="9"/>
      <x:c r="R797" s="10" t="n">
        <x:v>2</x:v>
      </x:c>
      <x:c r="S797" s="10"/>
      <x:c r="T797" s="9"/>
      <x:c r="U797" s="9"/>
      <x:c r="V797" s="9"/>
      <x:c r="W797" s="9"/>
      <x:c r="X797" s="10"/>
      <x:c r="Y797" s="10"/>
      <x:c r="Z797" s="9"/>
      <x:c r="AA797" s="9"/>
      <x:c r="AB797" s="9"/>
      <x:c r="AC797" s="9"/>
      <x:c r="AD797" s="9" t="str">
        <x:v>juggling ball</x:v>
      </x:c>
      <x:c r="AE797" s="9"/>
      <x:c r="AF797" s="9"/>
      <x:c r="AG797" s="9"/>
      <x:c r="AH797" s="9" t="str">
        <x:v>Right</x:v>
      </x:c>
      <x:c r="AI797" s="11" t="n">
        <x:v>12</x:v>
      </x:c>
      <x:c r="AJ797" s="9" t="str">
        <x:v>Same-scene direct target control</x:v>
      </x:c>
      <x:c r="AK797" s="9" t="str">
        <x:v>Eval_Size_Recognition (1).xlsm</x:v>
      </x:c>
      <x:c r="AL797" s="9" t="str">
        <x:v>pi0.5 Results</x:v>
      </x:c>
      <x:c r="AM797" s="9" t="n">
        <x:v>27</x:v>
      </x:c>
      <x:c r="AN797" s="9" t="n">
        <x:v>27</x:v>
      </x:c>
    </x:row>
    <x:row r="798">
      <x:c r="A798" s="9" t="str">
        <x:v>Failure</x:v>
      </x:c>
      <x:c r="B798" s="9" t="str">
        <x:v>Size Recognition</x:v>
      </x:c>
      <x:c r="C798" s="10" t="n">
        <x:v>26</x:v>
      </x:c>
      <x:c r="D798" s="9" t="str">
        <x:v>Choose the tiniest item and move it into the bowl.</x:v>
      </x:c>
      <x:c r="E798" s="9" t="str">
        <x:v>Bowl: empty. Table, robot-left→robot-right: P1 crushed Pepsi can; P2 juggling ball. Adjacent centers 12 cm apart; row shifted 4 cm toward robot-right; all objects fully visible and grasp paths clear.</x:v>
      </x:c>
      <x:c r="F798" s="9" t="str">
        <x:v>MOVE juggling ball to bowl</x:v>
      </x:c>
      <x:c r="G798" s="9" t="str">
        <x:v>Picked the soda can</x:v>
      </x:c>
      <x:c r="H798" s="9" t="str">
        <x:v>Language robustness</x:v>
      </x:c>
      <x:c r="I798" s="9" t="str">
        <x:v>SZ-CT-SJ01</x:v>
      </x:c>
      <x:c r="J798" s="9" t="str">
        <x:v>smallest</x:v>
      </x:c>
      <x:c r="K798" s="9" t="n">
        <x:v>24</x:v>
      </x:c>
      <x:c r="L798" s="9" t="str">
        <x:v>1105</x:v>
      </x:c>
      <x:c r="M798" s="9"/>
      <x:c r="N798" s="9"/>
      <x:c r="O798" s="9" t="str">
        <x:v>Reset the target; preserve the exact scene and paraphrase only the transfer prompt.</x:v>
      </x:c>
      <x:c r="P798" s="9" t="str">
        <x:v>Exact-scene paraphrase of the primary transfer instruction.</x:v>
      </x:c>
      <x:c r="Q798" s="9"/>
      <x:c r="R798" s="10" t="n">
        <x:v>2</x:v>
      </x:c>
      <x:c r="S798" s="10"/>
      <x:c r="T798" s="9"/>
      <x:c r="U798" s="9"/>
      <x:c r="V798" s="9"/>
      <x:c r="W798" s="9"/>
      <x:c r="X798" s="10"/>
      <x:c r="Y798" s="10"/>
      <x:c r="Z798" s="9"/>
      <x:c r="AA798" s="9"/>
      <x:c r="AB798" s="9"/>
      <x:c r="AC798" s="9"/>
      <x:c r="AD798" s="9" t="str">
        <x:v>juggling ball</x:v>
      </x:c>
      <x:c r="AE798" s="9"/>
      <x:c r="AF798" s="9"/>
      <x:c r="AG798" s="9"/>
      <x:c r="AH798" s="9" t="str">
        <x:v>Right</x:v>
      </x:c>
      <x:c r="AI798" s="11" t="n">
        <x:v>12</x:v>
      </x:c>
      <x:c r="AJ798" s="9" t="str">
        <x:v>Primary compositional-transfer prompt paraphrase</x:v>
      </x:c>
      <x:c r="AK798" s="9" t="str">
        <x:v>Eval_Size_Recognition (1).xlsm</x:v>
      </x:c>
      <x:c r="AL798" s="9" t="str">
        <x:v>pi0.5 Results</x:v>
      </x:c>
      <x:c r="AM798" s="9" t="n">
        <x:v>28</x:v>
      </x:c>
      <x:c r="AN798" s="9" t="n">
        <x:v>28</x:v>
      </x:c>
    </x:row>
    <x:row r="799">
      <x:c r="A799" s="9" t="str">
        <x:v>Success</x:v>
      </x:c>
      <x:c r="B799" s="9" t="str">
        <x:v>Size Recognition</x:v>
      </x:c>
      <x:c r="C799" s="10" t="n">
        <x:v>27</x:v>
      </x:c>
      <x:c r="D799" s="9" t="str">
        <x:v>Transfer the juggling ball from the table into the bowl.</x:v>
      </x:c>
      <x:c r="E799" s="9" t="str">
        <x:v>Bowl: empty. Table, robot-left→robot-right: P1 crushed Pepsi can; P2 juggling ball. Adjacent centers 12 cm apart; row shifted 4 cm toward robot-right; all objects fully visible and grasp paths clear.</x:v>
      </x:c>
      <x:c r="F799" s="9" t="str">
        <x:v>MOVE juggling ball to bowl</x:v>
      </x:c>
      <x:c r="G799" s="9"/>
      <x:c r="H799" s="9" t="str">
        <x:v>Language robustness</x:v>
      </x:c>
      <x:c r="I799" s="9" t="str">
        <x:v>SZ-CT-SJ01</x:v>
      </x:c>
      <x:c r="J799" s="9" t="str">
        <x:v>Direct</x:v>
      </x:c>
      <x:c r="K799" s="9" t="n">
        <x:v>25</x:v>
      </x:c>
      <x:c r="L799" s="9" t="str">
        <x:v>1100</x:v>
      </x:c>
      <x:c r="M799" s="9"/>
      <x:c r="N799" s="9"/>
      <x:c r="O799" s="9" t="str">
        <x:v>Reset the target; preserve the exact scene and paraphrase only the matched-control prompt.</x:v>
      </x:c>
      <x:c r="P799" s="9" t="str">
        <x:v>Exact-scene paraphrase of the direct manipulation control.</x:v>
      </x:c>
      <x:c r="Q799" s="9"/>
      <x:c r="R799" s="10" t="n">
        <x:v>2</x:v>
      </x:c>
      <x:c r="S799" s="10"/>
      <x:c r="T799" s="9"/>
      <x:c r="U799" s="9"/>
      <x:c r="V799" s="9"/>
      <x:c r="W799" s="9"/>
      <x:c r="X799" s="10"/>
      <x:c r="Y799" s="10"/>
      <x:c r="Z799" s="9"/>
      <x:c r="AA799" s="9"/>
      <x:c r="AB799" s="9"/>
      <x:c r="AC799" s="9"/>
      <x:c r="AD799" s="9" t="str">
        <x:v>juggling ball</x:v>
      </x:c>
      <x:c r="AE799" s="9"/>
      <x:c r="AF799" s="9"/>
      <x:c r="AG799" s="9"/>
      <x:c r="AH799" s="9" t="str">
        <x:v>Right</x:v>
      </x:c>
      <x:c r="AI799" s="11" t="n">
        <x:v>12</x:v>
      </x:c>
      <x:c r="AJ799" s="9" t="str">
        <x:v>Matched-control direct prompt paraphrase</x:v>
      </x:c>
      <x:c r="AK799" s="9" t="str">
        <x:v>Eval_Size_Recognition (1).xlsm</x:v>
      </x:c>
      <x:c r="AL799" s="9" t="str">
        <x:v>pi0.5 Results</x:v>
      </x:c>
      <x:c r="AM799" s="9" t="n">
        <x:v>29</x:v>
      </x:c>
      <x:c r="AN799" s="9" t="n">
        <x:v>29</x:v>
      </x:c>
    </x:row>
    <x:row r="800">
      <x:c r="A800" s="9" t="str">
        <x:v>Failure</x:v>
      </x:c>
      <x:c r="B800" s="9" t="str">
        <x:v>Size Recognition</x:v>
      </x:c>
      <x:c r="C800" s="10" t="n">
        <x:v>28</x:v>
      </x:c>
      <x:c r="D800" s="9" t="str">
        <x:v>Pick up the largest item and place it in the bowl.</x:v>
      </x:c>
      <x:c r="E800" s="9" t="str">
        <x:v>Bowl: empty. Table, robot-left→robot-right: P1 red pencil sharpener; P2 green block. Adjacent centers 12 cm apart; row shifted 4 cm toward robot-left; all objects fully visible and grasp paths clear.</x:v>
      </x:c>
      <x:c r="F800" s="9" t="str">
        <x:v>MOVE green block to bowl</x:v>
      </x:c>
      <x:c r="G800" s="9" t="str">
        <x:v>Picked the pencil sharpener</x:v>
      </x:c>
      <x:c r="H800" s="9" t="str">
        <x:v>Concept/compositional transfer</x:v>
      </x:c>
      <x:c r="I800" s="9" t="str">
        <x:v>SZ-CT-LG02</x:v>
      </x:c>
      <x:c r="J800" s="9" t="str">
        <x:v>largest</x:v>
      </x:c>
      <x:c r="K800" s="9"/>
      <x:c r="L800" s="9" t="str">
        <x:v>1081</x:v>
      </x:c>
      <x:c r="M800" s="9"/>
      <x:c r="N800" s="9"/>
      <x:c r="O800" s="9" t="str">
        <x:v>Build the listed two-object scene and save a first-frame filename.</x:v>
      </x:c>
      <x:c r="P800" s="9" t="str">
        <x:v>Primary missing cell. Training episode 1081 contains the same target trajectory but masks the size word with a direct identity prompt.</x:v>
      </x:c>
      <x:c r="Q800" s="9"/>
      <x:c r="R800" s="10" t="n">
        <x:v>2</x:v>
      </x:c>
      <x:c r="S800" s="10"/>
      <x:c r="T800" s="9"/>
      <x:c r="U800" s="9"/>
      <x:c r="V800" s="9"/>
      <x:c r="W800" s="9"/>
      <x:c r="X800" s="10"/>
      <x:c r="Y800" s="10"/>
      <x:c r="Z800" s="9"/>
      <x:c r="AA800" s="9"/>
      <x:c r="AB800" s="9"/>
      <x:c r="AC800" s="9"/>
      <x:c r="AD800" s="9" t="str">
        <x:v>green block</x:v>
      </x:c>
      <x:c r="AE800" s="9"/>
      <x:c r="AF800" s="9"/>
      <x:c r="AG800" s="9"/>
      <x:c r="AH800" s="9" t="str">
        <x:v>Right</x:v>
      </x:c>
      <x:c r="AI800" s="11" t="n">
        <x:v>12</x:v>
      </x:c>
      <x:c r="AJ800" s="9" t="str">
        <x:v>Held-out largest × green block — Pick up</x:v>
      </x:c>
      <x:c r="AK800" s="9" t="str">
        <x:v>Eval_Size_Recognition (1).xlsm</x:v>
      </x:c>
      <x:c r="AL800" s="9" t="str">
        <x:v>pi0.5 Results</x:v>
      </x:c>
      <x:c r="AM800" s="9" t="n">
        <x:v>30</x:v>
      </x:c>
      <x:c r="AN800" s="9" t="n">
        <x:v>30</x:v>
      </x:c>
    </x:row>
    <x:row r="801">
      <x:c r="A801" s="9" t="str">
        <x:v>Success</x:v>
      </x:c>
      <x:c r="B801" s="9" t="str">
        <x:v>Size Recognition</x:v>
      </x:c>
      <x:c r="C801" s="10" t="n">
        <x:v>29</x:v>
      </x:c>
      <x:c r="D801" s="9" t="str">
        <x:v>Move the green block into the bowl.</x:v>
      </x:c>
      <x:c r="E801" s="9" t="str">
        <x:v>Bowl: empty. Table, robot-left→robot-right: P1 red pencil sharpener; P2 green block. Adjacent centers 12 cm apart; row shifted 4 cm toward robot-left; all objects fully visible and grasp paths clear.</x:v>
      </x:c>
      <x:c r="F801" s="9" t="str">
        <x:v>MOVE green block to bowl</x:v>
      </x:c>
      <x:c r="G801" s="9"/>
      <x:c r="H801" s="9" t="str">
        <x:v>Matched manipulation control</x:v>
      </x:c>
      <x:c r="I801" s="9" t="str">
        <x:v>SZ-CT-LG02</x:v>
      </x:c>
      <x:c r="J801" s="9" t="str">
        <x:v>Direct</x:v>
      </x:c>
      <x:c r="K801" s="9" t="n">
        <x:v>28</x:v>
      </x:c>
      <x:c r="L801" s="9" t="str">
        <x:v>1076</x:v>
      </x:c>
      <x:c r="M801" s="9"/>
      <x:c r="N801" s="9"/>
      <x:c r="O801" s="9" t="str">
        <x:v>Reset the target to its original pose; change only the prompt.</x:v>
      </x:c>
      <x:c r="P801" s="9" t="str">
        <x:v>Exact-scene control using a direct prompt supported by training episode 1076.</x:v>
      </x:c>
      <x:c r="Q801" s="9"/>
      <x:c r="R801" s="10" t="n">
        <x:v>2</x:v>
      </x:c>
      <x:c r="S801" s="10"/>
      <x:c r="T801" s="9"/>
      <x:c r="U801" s="9"/>
      <x:c r="V801" s="9"/>
      <x:c r="W801" s="9"/>
      <x:c r="X801" s="10"/>
      <x:c r="Y801" s="10"/>
      <x:c r="Z801" s="9"/>
      <x:c r="AA801" s="9"/>
      <x:c r="AB801" s="9"/>
      <x:c r="AC801" s="9"/>
      <x:c r="AD801" s="9" t="str">
        <x:v>green block</x:v>
      </x:c>
      <x:c r="AE801" s="9"/>
      <x:c r="AF801" s="9"/>
      <x:c r="AG801" s="9"/>
      <x:c r="AH801" s="9" t="str">
        <x:v>Right</x:v>
      </x:c>
      <x:c r="AI801" s="11" t="n">
        <x:v>12</x:v>
      </x:c>
      <x:c r="AJ801" s="9" t="str">
        <x:v>Same-scene direct target control</x:v>
      </x:c>
      <x:c r="AK801" s="9" t="str">
        <x:v>Eval_Size_Recognition (1).xlsm</x:v>
      </x:c>
      <x:c r="AL801" s="9" t="str">
        <x:v>pi0.5 Results</x:v>
      </x:c>
      <x:c r="AM801" s="9" t="n">
        <x:v>31</x:v>
      </x:c>
      <x:c r="AN801" s="9" t="n">
        <x:v>31</x:v>
      </x:c>
    </x:row>
    <x:row r="802">
      <x:c r="A802" s="9" t="str">
        <x:v>Success</x:v>
      </x:c>
      <x:c r="B802" s="9" t="str">
        <x:v>Size Recognition</x:v>
      </x:c>
      <x:c r="C802" s="10" t="n">
        <x:v>30</x:v>
      </x:c>
      <x:c r="D802" s="9" t="str">
        <x:v>Place whichever object is greatest in size inside the bowl.</x:v>
      </x:c>
      <x:c r="E802" s="9" t="str">
        <x:v>Bowl: empty. Table, robot-left→robot-right: P1 red pencil sharpener; P2 green block. Adjacent centers 12 cm apart; row shifted 4 cm toward robot-left; all objects fully visible and grasp paths clear.</x:v>
      </x:c>
      <x:c r="F802" s="9" t="str">
        <x:v>MOVE green block to bowl</x:v>
      </x:c>
      <x:c r="G802" s="9"/>
      <x:c r="H802" s="9" t="str">
        <x:v>Language robustness</x:v>
      </x:c>
      <x:c r="I802" s="9" t="str">
        <x:v>SZ-CT-LG02</x:v>
      </x:c>
      <x:c r="J802" s="9" t="str">
        <x:v>largest</x:v>
      </x:c>
      <x:c r="K802" s="9" t="n">
        <x:v>28</x:v>
      </x:c>
      <x:c r="L802" s="9" t="str">
        <x:v>1081</x:v>
      </x:c>
      <x:c r="M802" s="9"/>
      <x:c r="N802" s="9"/>
      <x:c r="O802" s="9" t="str">
        <x:v>Reset the target; preserve the exact scene and paraphrase only the transfer prompt.</x:v>
      </x:c>
      <x:c r="P802" s="9" t="str">
        <x:v>Exact-scene paraphrase of the primary transfer instruction.</x:v>
      </x:c>
      <x:c r="Q802" s="9"/>
      <x:c r="R802" s="10" t="n">
        <x:v>2</x:v>
      </x:c>
      <x:c r="S802" s="10"/>
      <x:c r="T802" s="9"/>
      <x:c r="U802" s="9"/>
      <x:c r="V802" s="9"/>
      <x:c r="W802" s="9"/>
      <x:c r="X802" s="10"/>
      <x:c r="Y802" s="10"/>
      <x:c r="Z802" s="9"/>
      <x:c r="AA802" s="9"/>
      <x:c r="AB802" s="9"/>
      <x:c r="AC802" s="9"/>
      <x:c r="AD802" s="9" t="str">
        <x:v>green block</x:v>
      </x:c>
      <x:c r="AE802" s="9"/>
      <x:c r="AF802" s="9"/>
      <x:c r="AG802" s="9"/>
      <x:c r="AH802" s="9" t="str">
        <x:v>Right</x:v>
      </x:c>
      <x:c r="AI802" s="11" t="n">
        <x:v>12</x:v>
      </x:c>
      <x:c r="AJ802" s="9" t="str">
        <x:v>Primary compositional-transfer prompt paraphrase</x:v>
      </x:c>
      <x:c r="AK802" s="9" t="str">
        <x:v>Eval_Size_Recognition (1).xlsm</x:v>
      </x:c>
      <x:c r="AL802" s="9" t="str">
        <x:v>pi0.5 Results</x:v>
      </x:c>
      <x:c r="AM802" s="9" t="n">
        <x:v>32</x:v>
      </x:c>
      <x:c r="AN802" s="9" t="n">
        <x:v>32</x:v>
      </x:c>
    </x:row>
    <x:row r="803">
      <x:c r="A803" s="9" t="str">
        <x:v>Success</x:v>
      </x:c>
      <x:c r="B803" s="9" t="str">
        <x:v>Size Recognition</x:v>
      </x:c>
      <x:c r="C803" s="10" t="n">
        <x:v>31</x:v>
      </x:c>
      <x:c r="D803" s="9" t="str">
        <x:v>Lift the green block and set it inside the bowl.</x:v>
      </x:c>
      <x:c r="E803" s="9" t="str">
        <x:v>Bowl: empty. Table, robot-left→robot-right: P1 red pencil sharpener; P2 green block. Adjacent centers 12 cm apart; row shifted 4 cm toward robot-left; all objects fully visible and grasp paths clear.</x:v>
      </x:c>
      <x:c r="F803" s="9" t="str">
        <x:v>MOVE green block to bowl</x:v>
      </x:c>
      <x:c r="G803" s="9"/>
      <x:c r="H803" s="9" t="str">
        <x:v>Language robustness</x:v>
      </x:c>
      <x:c r="I803" s="9" t="str">
        <x:v>SZ-CT-LG02</x:v>
      </x:c>
      <x:c r="J803" s="9" t="str">
        <x:v>Direct</x:v>
      </x:c>
      <x:c r="K803" s="9" t="n">
        <x:v>29</x:v>
      </x:c>
      <x:c r="L803" s="9" t="str">
        <x:v>1076</x:v>
      </x:c>
      <x:c r="M803" s="9"/>
      <x:c r="N803" s="9"/>
      <x:c r="O803" s="9" t="str">
        <x:v>Reset the target; preserve the exact scene and paraphrase only the matched-control prompt.</x:v>
      </x:c>
      <x:c r="P803" s="9" t="str">
        <x:v>Exact-scene paraphrase of the direct manipulation control.</x:v>
      </x:c>
      <x:c r="Q803" s="9"/>
      <x:c r="R803" s="10" t="n">
        <x:v>2</x:v>
      </x:c>
      <x:c r="S803" s="10"/>
      <x:c r="T803" s="9"/>
      <x:c r="U803" s="9"/>
      <x:c r="V803" s="9"/>
      <x:c r="W803" s="9"/>
      <x:c r="X803" s="10"/>
      <x:c r="Y803" s="10"/>
      <x:c r="Z803" s="9"/>
      <x:c r="AA803" s="9"/>
      <x:c r="AB803" s="9"/>
      <x:c r="AC803" s="9"/>
      <x:c r="AD803" s="9" t="str">
        <x:v>green block</x:v>
      </x:c>
      <x:c r="AE803" s="9"/>
      <x:c r="AF803" s="9"/>
      <x:c r="AG803" s="9"/>
      <x:c r="AH803" s="9" t="str">
        <x:v>Right</x:v>
      </x:c>
      <x:c r="AI803" s="11" t="n">
        <x:v>12</x:v>
      </x:c>
      <x:c r="AJ803" s="9" t="str">
        <x:v>Matched-control direct prompt paraphrase</x:v>
      </x:c>
      <x:c r="AK803" s="9" t="str">
        <x:v>Eval_Size_Recognition (1).xlsm</x:v>
      </x:c>
      <x:c r="AL803" s="9" t="str">
        <x:v>pi0.5 Results</x:v>
      </x:c>
      <x:c r="AM803" s="9" t="n">
        <x:v>33</x:v>
      </x:c>
      <x:c r="AN803" s="9" t="n">
        <x:v>33</x:v>
      </x:c>
    </x:row>
    <x:row r="804">
      <x:c r="A804" s="9" t="str">
        <x:v>Success</x:v>
      </x:c>
      <x:c r="B804" s="9" t="str">
        <x:v>Size Recognition</x:v>
      </x:c>
      <x:c r="C804" s="10" t="n">
        <x:v>32</x:v>
      </x:c>
      <x:c r="D804" s="9" t="str">
        <x:v>Put the smallest object in the bowl.</x:v>
      </x:c>
      <x:c r="E804" s="9" t="str">
        <x:v>Bowl: empty. Table, robot-left→robot-right: P1 juggling ball; P2 crushed Pepsi can. Adjacent centers 16 cm apart; row shifted 4 cm toward the robot; all objects fully visible and grasp paths clear.</x:v>
      </x:c>
      <x:c r="F804" s="9" t="str">
        <x:v>MOVE juggling ball to bowl</x:v>
      </x:c>
      <x:c r="G804" s="9"/>
      <x:c r="H804" s="9" t="str">
        <x:v>Concept/compositional transfer</x:v>
      </x:c>
      <x:c r="I804" s="9" t="str">
        <x:v>SZ-CT-SJ02</x:v>
      </x:c>
      <x:c r="J804" s="9" t="str">
        <x:v>smallest</x:v>
      </x:c>
      <x:c r="K804" s="9"/>
      <x:c r="L804" s="9" t="str">
        <x:v>1106</x:v>
      </x:c>
      <x:c r="M804" s="9"/>
      <x:c r="N804" s="9"/>
      <x:c r="O804" s="9" t="str">
        <x:v>Build the listed two-object scene and save a first-frame filename.</x:v>
      </x:c>
      <x:c r="P804" s="9" t="str">
        <x:v>Primary missing cell. Training episode 1106 contains the same target trajectory but masks the size word with a direct identity prompt.</x:v>
      </x:c>
      <x:c r="Q804" s="9"/>
      <x:c r="R804" s="10" t="n">
        <x:v>2</x:v>
      </x:c>
      <x:c r="S804" s="10"/>
      <x:c r="T804" s="9"/>
      <x:c r="U804" s="9"/>
      <x:c r="V804" s="9"/>
      <x:c r="W804" s="9"/>
      <x:c r="X804" s="10"/>
      <x:c r="Y804" s="10"/>
      <x:c r="Z804" s="9"/>
      <x:c r="AA804" s="9"/>
      <x:c r="AB804" s="9"/>
      <x:c r="AC804" s="9"/>
      <x:c r="AD804" s="9" t="str">
        <x:v>juggling ball</x:v>
      </x:c>
      <x:c r="AE804" s="9"/>
      <x:c r="AF804" s="9"/>
      <x:c r="AG804" s="9"/>
      <x:c r="AH804" s="9" t="str">
        <x:v>Left</x:v>
      </x:c>
      <x:c r="AI804" s="11" t="n">
        <x:v>16</x:v>
      </x:c>
      <x:c r="AJ804" s="9" t="str">
        <x:v>Held-out smallest × juggling ball — Put</x:v>
      </x:c>
      <x:c r="AK804" s="9" t="str">
        <x:v>Eval_Size_Recognition (1).xlsm</x:v>
      </x:c>
      <x:c r="AL804" s="9" t="str">
        <x:v>pi0.5 Results</x:v>
      </x:c>
      <x:c r="AM804" s="9" t="n">
        <x:v>34</x:v>
      </x:c>
      <x:c r="AN804" s="9" t="n">
        <x:v>34</x:v>
      </x:c>
    </x:row>
    <x:row r="805">
      <x:c r="A805" s="9" t="str">
        <x:v>Success</x:v>
      </x:c>
      <x:c r="B805" s="9" t="str">
        <x:v>Size Recognition</x:v>
      </x:c>
      <x:c r="C805" s="10" t="n">
        <x:v>33</x:v>
      </x:c>
      <x:c r="D805" s="9" t="str">
        <x:v>Move the juggling ball into the bowl.</x:v>
      </x:c>
      <x:c r="E805" s="9" t="str">
        <x:v>Bowl: empty. Table, robot-left→robot-right: P1 juggling ball; P2 crushed Pepsi can. Adjacent centers 16 cm apart; row shifted 4 cm toward the robot; all objects fully visible and grasp paths clear.</x:v>
      </x:c>
      <x:c r="F805" s="9" t="str">
        <x:v>MOVE juggling ball to bowl</x:v>
      </x:c>
      <x:c r="G805" s="9"/>
      <x:c r="H805" s="9" t="str">
        <x:v>Matched manipulation control</x:v>
      </x:c>
      <x:c r="I805" s="9" t="str">
        <x:v>SZ-CT-SJ02</x:v>
      </x:c>
      <x:c r="J805" s="9" t="str">
        <x:v>Direct</x:v>
      </x:c>
      <x:c r="K805" s="9" t="n">
        <x:v>32</x:v>
      </x:c>
      <x:c r="L805" s="9" t="str">
        <x:v>1101</x:v>
      </x:c>
      <x:c r="M805" s="9"/>
      <x:c r="N805" s="9"/>
      <x:c r="O805" s="9" t="str">
        <x:v>Reset the target to its original pose; change only the prompt.</x:v>
      </x:c>
      <x:c r="P805" s="9" t="str">
        <x:v>Exact-scene control using a direct prompt supported by training episode 1101.</x:v>
      </x:c>
      <x:c r="Q805" s="9"/>
      <x:c r="R805" s="10" t="n">
        <x:v>2</x:v>
      </x:c>
      <x:c r="S805" s="10"/>
      <x:c r="T805" s="9"/>
      <x:c r="U805" s="9"/>
      <x:c r="V805" s="9"/>
      <x:c r="W805" s="9"/>
      <x:c r="X805" s="10"/>
      <x:c r="Y805" s="10"/>
      <x:c r="Z805" s="9"/>
      <x:c r="AA805" s="9"/>
      <x:c r="AB805" s="9"/>
      <x:c r="AC805" s="9"/>
      <x:c r="AD805" s="9" t="str">
        <x:v>juggling ball</x:v>
      </x:c>
      <x:c r="AE805" s="9"/>
      <x:c r="AF805" s="9"/>
      <x:c r="AG805" s="9"/>
      <x:c r="AH805" s="9" t="str">
        <x:v>Left</x:v>
      </x:c>
      <x:c r="AI805" s="11" t="n">
        <x:v>16</x:v>
      </x:c>
      <x:c r="AJ805" s="9" t="str">
        <x:v>Same-scene direct target control</x:v>
      </x:c>
      <x:c r="AK805" s="9" t="str">
        <x:v>Eval_Size_Recognition (1).xlsm</x:v>
      </x:c>
      <x:c r="AL805" s="9" t="str">
        <x:v>pi0.5 Results</x:v>
      </x:c>
      <x:c r="AM805" s="9" t="n">
        <x:v>35</x:v>
      </x:c>
      <x:c r="AN805" s="9" t="n">
        <x:v>35</x:v>
      </x:c>
    </x:row>
    <x:row r="806">
      <x:c r="A806" s="9" t="str">
        <x:v>Success</x:v>
      </x:c>
      <x:c r="B806" s="9" t="str">
        <x:v>Size Recognition</x:v>
      </x:c>
      <x:c r="C806" s="10" t="n">
        <x:v>34</x:v>
      </x:c>
      <x:c r="D806" s="9" t="str">
        <x:v>Place whichever object is least in size inside the bowl.</x:v>
      </x:c>
      <x:c r="E806" s="9" t="str">
        <x:v>Bowl: empty. Table, robot-left→robot-right: P1 juggling ball; P2 crushed Pepsi can. Adjacent centers 16 cm apart; row shifted 4 cm toward the robot; all objects fully visible and grasp paths clear.</x:v>
      </x:c>
      <x:c r="F806" s="9" t="str">
        <x:v>MOVE juggling ball to bowl</x:v>
      </x:c>
      <x:c r="G806" s="9" t="str">
        <x:v>Used the gripping strategy for the pepsi can, but got the ball.</x:v>
      </x:c>
      <x:c r="H806" s="9" t="str">
        <x:v>Language robustness</x:v>
      </x:c>
      <x:c r="I806" s="9" t="str">
        <x:v>SZ-CT-SJ02</x:v>
      </x:c>
      <x:c r="J806" s="9" t="str">
        <x:v>smallest</x:v>
      </x:c>
      <x:c r="K806" s="9" t="n">
        <x:v>32</x:v>
      </x:c>
      <x:c r="L806" s="9" t="str">
        <x:v>1106</x:v>
      </x:c>
      <x:c r="M806" s="9"/>
      <x:c r="N806" s="9"/>
      <x:c r="O806" s="9" t="str">
        <x:v>Reset the target; preserve the exact scene and paraphrase only the transfer prompt.</x:v>
      </x:c>
      <x:c r="P806" s="9" t="str">
        <x:v>Exact-scene paraphrase of the primary transfer instruction.</x:v>
      </x:c>
      <x:c r="Q806" s="9"/>
      <x:c r="R806" s="10" t="n">
        <x:v>2</x:v>
      </x:c>
      <x:c r="S806" s="10"/>
      <x:c r="T806" s="9"/>
      <x:c r="U806" s="9"/>
      <x:c r="V806" s="9"/>
      <x:c r="W806" s="9"/>
      <x:c r="X806" s="10"/>
      <x:c r="Y806" s="10"/>
      <x:c r="Z806" s="9"/>
      <x:c r="AA806" s="9"/>
      <x:c r="AB806" s="9"/>
      <x:c r="AC806" s="9"/>
      <x:c r="AD806" s="9" t="str">
        <x:v>juggling ball</x:v>
      </x:c>
      <x:c r="AE806" s="9"/>
      <x:c r="AF806" s="9"/>
      <x:c r="AG806" s="9"/>
      <x:c r="AH806" s="9" t="str">
        <x:v>Left</x:v>
      </x:c>
      <x:c r="AI806" s="11" t="n">
        <x:v>16</x:v>
      </x:c>
      <x:c r="AJ806" s="9" t="str">
        <x:v>Primary compositional-transfer prompt paraphrase</x:v>
      </x:c>
      <x:c r="AK806" s="9" t="str">
        <x:v>Eval_Size_Recognition (1).xlsm</x:v>
      </x:c>
      <x:c r="AL806" s="9" t="str">
        <x:v>pi0.5 Results</x:v>
      </x:c>
      <x:c r="AM806" s="9" t="n">
        <x:v>36</x:v>
      </x:c>
      <x:c r="AN806" s="9" t="n">
        <x:v>36</x:v>
      </x:c>
    </x:row>
    <x:row r="807">
      <x:c r="A807" s="9" t="str">
        <x:v>Success</x:v>
      </x:c>
      <x:c r="B807" s="9" t="str">
        <x:v>Size Recognition</x:v>
      </x:c>
      <x:c r="C807" s="10" t="n">
        <x:v>35</x:v>
      </x:c>
      <x:c r="D807" s="9" t="str">
        <x:v>Lift the juggling ball and set it inside the bowl.</x:v>
      </x:c>
      <x:c r="E807" s="9" t="str">
        <x:v>Bowl: empty. Table, robot-left→robot-right: P1 juggling ball; P2 crushed Pepsi can. Adjacent centers 16 cm apart; row shifted 4 cm toward the robot; all objects fully visible and grasp paths clear.</x:v>
      </x:c>
      <x:c r="F807" s="9" t="str">
        <x:v>MOVE juggling ball to bowl</x:v>
      </x:c>
      <x:c r="G807" s="9"/>
      <x:c r="H807" s="9" t="str">
        <x:v>Language robustness</x:v>
      </x:c>
      <x:c r="I807" s="9" t="str">
        <x:v>SZ-CT-SJ02</x:v>
      </x:c>
      <x:c r="J807" s="9" t="str">
        <x:v>Direct</x:v>
      </x:c>
      <x:c r="K807" s="9" t="n">
        <x:v>33</x:v>
      </x:c>
      <x:c r="L807" s="9" t="str">
        <x:v>1101</x:v>
      </x:c>
      <x:c r="M807" s="9"/>
      <x:c r="N807" s="9"/>
      <x:c r="O807" s="9" t="str">
        <x:v>Reset the target; preserve the exact scene and paraphrase only the matched-control prompt.</x:v>
      </x:c>
      <x:c r="P807" s="9" t="str">
        <x:v>Exact-scene paraphrase of the direct manipulation control.</x:v>
      </x:c>
      <x:c r="Q807" s="9"/>
      <x:c r="R807" s="10" t="n">
        <x:v>2</x:v>
      </x:c>
      <x:c r="S807" s="10"/>
      <x:c r="T807" s="9"/>
      <x:c r="U807" s="9"/>
      <x:c r="V807" s="9"/>
      <x:c r="W807" s="9"/>
      <x:c r="X807" s="10"/>
      <x:c r="Y807" s="10"/>
      <x:c r="Z807" s="9"/>
      <x:c r="AA807" s="9"/>
      <x:c r="AB807" s="9"/>
      <x:c r="AC807" s="9"/>
      <x:c r="AD807" s="9" t="str">
        <x:v>juggling ball</x:v>
      </x:c>
      <x:c r="AE807" s="9"/>
      <x:c r="AF807" s="9"/>
      <x:c r="AG807" s="9"/>
      <x:c r="AH807" s="9" t="str">
        <x:v>Left</x:v>
      </x:c>
      <x:c r="AI807" s="11" t="n">
        <x:v>16</x:v>
      </x:c>
      <x:c r="AJ807" s="9" t="str">
        <x:v>Matched-control direct prompt paraphrase</x:v>
      </x:c>
      <x:c r="AK807" s="9" t="str">
        <x:v>Eval_Size_Recognition (1).xlsm</x:v>
      </x:c>
      <x:c r="AL807" s="9" t="str">
        <x:v>pi0.5 Results</x:v>
      </x:c>
      <x:c r="AM807" s="9" t="n">
        <x:v>37</x:v>
      </x:c>
      <x:c r="AN807" s="9" t="n">
        <x:v>37</x:v>
      </x:c>
    </x:row>
    <x:row r="808">
      <x:c r="A808" s="9" t="str">
        <x:v>Failure</x:v>
      </x:c>
      <x:c r="B808" s="9" t="str">
        <x:v>Size Recognition</x:v>
      </x:c>
      <x:c r="C808" s="10" t="n">
        <x:v>36</x:v>
      </x:c>
      <x:c r="D808" s="9" t="str">
        <x:v>Put the largest object in the bowl.</x:v>
      </x:c>
      <x:c r="E808" s="9" t="str">
        <x:v>Bowl: empty. Table, robot-left→robot-right: P1 green block; P2 red pencil sharpener. Adjacent centers 16 cm apart; row shifted 4 cm toward robot-right; all objects fully visible and grasp paths clear.</x:v>
      </x:c>
      <x:c r="F808" s="9" t="str">
        <x:v>MOVE green block to bowl</x:v>
      </x:c>
      <x:c r="G808" s="9" t="str">
        <x:v>Picked pencil sharpener</x:v>
      </x:c>
      <x:c r="H808" s="9" t="str">
        <x:v>Concept/compositional transfer</x:v>
      </x:c>
      <x:c r="I808" s="9" t="str">
        <x:v>SZ-CT-LG03</x:v>
      </x:c>
      <x:c r="J808" s="9" t="str">
        <x:v>largest</x:v>
      </x:c>
      <x:c r="K808" s="9"/>
      <x:c r="L808" s="9" t="str">
        <x:v>1082</x:v>
      </x:c>
      <x:c r="M808" s="9"/>
      <x:c r="N808" s="9"/>
      <x:c r="O808" s="9" t="str">
        <x:v>Build the listed two-object scene and save a first-frame filename.</x:v>
      </x:c>
      <x:c r="P808" s="9" t="str">
        <x:v>Primary missing cell. Training episode 1082 contains the same target trajectory but masks the size word with a direct identity prompt.</x:v>
      </x:c>
      <x:c r="Q808" s="9"/>
      <x:c r="R808" s="10" t="n">
        <x:v>2</x:v>
      </x:c>
      <x:c r="S808" s="10"/>
      <x:c r="T808" s="9"/>
      <x:c r="U808" s="9"/>
      <x:c r="V808" s="9"/>
      <x:c r="W808" s="9"/>
      <x:c r="X808" s="10"/>
      <x:c r="Y808" s="10"/>
      <x:c r="Z808" s="9"/>
      <x:c r="AA808" s="9"/>
      <x:c r="AB808" s="9"/>
      <x:c r="AC808" s="9"/>
      <x:c r="AD808" s="9" t="str">
        <x:v>green block</x:v>
      </x:c>
      <x:c r="AE808" s="9"/>
      <x:c r="AF808" s="9"/>
      <x:c r="AG808" s="9"/>
      <x:c r="AH808" s="9" t="str">
        <x:v>Left</x:v>
      </x:c>
      <x:c r="AI808" s="11" t="n">
        <x:v>16</x:v>
      </x:c>
      <x:c r="AJ808" s="9" t="str">
        <x:v>Held-out largest × green block — Put</x:v>
      </x:c>
      <x:c r="AK808" s="9" t="str">
        <x:v>Eval_Size_Recognition (1).xlsm</x:v>
      </x:c>
      <x:c r="AL808" s="9" t="str">
        <x:v>pi0.5 Results</x:v>
      </x:c>
      <x:c r="AM808" s="9" t="n">
        <x:v>38</x:v>
      </x:c>
      <x:c r="AN808" s="9" t="n">
        <x:v>38</x:v>
      </x:c>
    </x:row>
    <x:row r="809">
      <x:c r="A809" s="9" t="str">
        <x:v>Success</x:v>
      </x:c>
      <x:c r="B809" s="9" t="str">
        <x:v>Size Recognition</x:v>
      </x:c>
      <x:c r="C809" s="10" t="n">
        <x:v>37</x:v>
      </x:c>
      <x:c r="D809" s="9" t="str">
        <x:v>Pick up the green block and place it in the bowl.</x:v>
      </x:c>
      <x:c r="E809" s="9" t="str">
        <x:v>Bowl: empty. Table, robot-left→robot-right: P1 green block; P2 red pencil sharpener. Adjacent centers 16 cm apart; row shifted 4 cm toward robot-right; all objects fully visible and grasp paths clear.</x:v>
      </x:c>
      <x:c r="F809" s="9" t="str">
        <x:v>MOVE green block to bowl</x:v>
      </x:c>
      <x:c r="G809" s="9"/>
      <x:c r="H809" s="9" t="str">
        <x:v>Matched manipulation control</x:v>
      </x:c>
      <x:c r="I809" s="9" t="str">
        <x:v>SZ-CT-LG03</x:v>
      </x:c>
      <x:c r="J809" s="9" t="str">
        <x:v>Direct</x:v>
      </x:c>
      <x:c r="K809" s="9" t="n">
        <x:v>36</x:v>
      </x:c>
      <x:c r="L809" s="9" t="str">
        <x:v>1077</x:v>
      </x:c>
      <x:c r="M809" s="9"/>
      <x:c r="N809" s="9"/>
      <x:c r="O809" s="9" t="str">
        <x:v>Reset the target to its original pose; change only the prompt.</x:v>
      </x:c>
      <x:c r="P809" s="9" t="str">
        <x:v>Exact-scene control using a direct prompt supported by training episode 1077.</x:v>
      </x:c>
      <x:c r="Q809" s="9"/>
      <x:c r="R809" s="10" t="n">
        <x:v>2</x:v>
      </x:c>
      <x:c r="S809" s="10"/>
      <x:c r="T809" s="9"/>
      <x:c r="U809" s="9"/>
      <x:c r="V809" s="9"/>
      <x:c r="W809" s="9"/>
      <x:c r="X809" s="10"/>
      <x:c r="Y809" s="10"/>
      <x:c r="Z809" s="9"/>
      <x:c r="AA809" s="9"/>
      <x:c r="AB809" s="9"/>
      <x:c r="AC809" s="9"/>
      <x:c r="AD809" s="9" t="str">
        <x:v>green block</x:v>
      </x:c>
      <x:c r="AE809" s="9"/>
      <x:c r="AF809" s="9"/>
      <x:c r="AG809" s="9"/>
      <x:c r="AH809" s="9" t="str">
        <x:v>Left</x:v>
      </x:c>
      <x:c r="AI809" s="11" t="n">
        <x:v>16</x:v>
      </x:c>
      <x:c r="AJ809" s="9" t="str">
        <x:v>Same-scene direct target control</x:v>
      </x:c>
      <x:c r="AK809" s="9" t="str">
        <x:v>Eval_Size_Recognition (1).xlsm</x:v>
      </x:c>
      <x:c r="AL809" s="9" t="str">
        <x:v>pi0.5 Results</x:v>
      </x:c>
      <x:c r="AM809" s="9" t="n">
        <x:v>39</x:v>
      </x:c>
      <x:c r="AN809" s="9" t="n">
        <x:v>39</x:v>
      </x:c>
    </x:row>
    <x:row r="810">
      <x:c r="A810" s="9" t="str">
        <x:v>Success</x:v>
      </x:c>
      <x:c r="B810" s="9" t="str">
        <x:v>Size Recognition</x:v>
      </x:c>
      <x:c r="C810" s="10" t="n">
        <x:v>38</x:v>
      </x:c>
      <x:c r="D810" s="9" t="str">
        <x:v>Select the bigger object and put it into the bowl.</x:v>
      </x:c>
      <x:c r="E810" s="9" t="str">
        <x:v>Bowl: empty. Table, robot-left→robot-right: P1 green block; P2 red pencil sharpener. Adjacent centers 16 cm apart; row shifted 4 cm toward robot-right; all objects fully visible and grasp paths clear.</x:v>
      </x:c>
      <x:c r="F810" s="9" t="str">
        <x:v>MOVE green block to bowl</x:v>
      </x:c>
      <x:c r="G810" s="9"/>
      <x:c r="H810" s="9" t="str">
        <x:v>Language robustness</x:v>
      </x:c>
      <x:c r="I810" s="9" t="str">
        <x:v>SZ-CT-LG03</x:v>
      </x:c>
      <x:c r="J810" s="9" t="str">
        <x:v>largest</x:v>
      </x:c>
      <x:c r="K810" s="9" t="n">
        <x:v>36</x:v>
      </x:c>
      <x:c r="L810" s="9" t="str">
        <x:v>1082</x:v>
      </x:c>
      <x:c r="M810" s="9"/>
      <x:c r="N810" s="9"/>
      <x:c r="O810" s="9" t="str">
        <x:v>Reset the target; preserve the exact scene and paraphrase only the transfer prompt.</x:v>
      </x:c>
      <x:c r="P810" s="9" t="str">
        <x:v>Exact-scene paraphrase of the primary transfer instruction.</x:v>
      </x:c>
      <x:c r="Q810" s="9"/>
      <x:c r="R810" s="10" t="n">
        <x:v>2</x:v>
      </x:c>
      <x:c r="S810" s="10"/>
      <x:c r="T810" s="9"/>
      <x:c r="U810" s="9"/>
      <x:c r="V810" s="9"/>
      <x:c r="W810" s="9"/>
      <x:c r="X810" s="10"/>
      <x:c r="Y810" s="10"/>
      <x:c r="Z810" s="9"/>
      <x:c r="AA810" s="9"/>
      <x:c r="AB810" s="9"/>
      <x:c r="AC810" s="9"/>
      <x:c r="AD810" s="9" t="str">
        <x:v>green block</x:v>
      </x:c>
      <x:c r="AE810" s="9"/>
      <x:c r="AF810" s="9"/>
      <x:c r="AG810" s="9"/>
      <x:c r="AH810" s="9" t="str">
        <x:v>Left</x:v>
      </x:c>
      <x:c r="AI810" s="11" t="n">
        <x:v>16</x:v>
      </x:c>
      <x:c r="AJ810" s="9" t="str">
        <x:v>Primary compositional-transfer prompt paraphrase</x:v>
      </x:c>
      <x:c r="AK810" s="9" t="str">
        <x:v>Eval_Size_Recognition (1).xlsm</x:v>
      </x:c>
      <x:c r="AL810" s="9" t="str">
        <x:v>pi0.5 Results</x:v>
      </x:c>
      <x:c r="AM810" s="9" t="n">
        <x:v>40</x:v>
      </x:c>
      <x:c r="AN810" s="9" t="n">
        <x:v>40</x:v>
      </x:c>
    </x:row>
    <x:row r="811">
      <x:c r="A811" s="9" t="str">
        <x:v>Success</x:v>
      </x:c>
      <x:c r="B811" s="9" t="str">
        <x:v>Size Recognition</x:v>
      </x:c>
      <x:c r="C811" s="10" t="n">
        <x:v>39</x:v>
      </x:c>
      <x:c r="D811" s="9" t="str">
        <x:v>Move the green block off the table and into the bowl.</x:v>
      </x:c>
      <x:c r="E811" s="9" t="str">
        <x:v>Bowl: empty. Table, robot-left→robot-right: P1 green block; P2 red pencil sharpener. Adjacent centers 16 cm apart; row shifted 4 cm toward robot-right; all objects fully visible and grasp paths clear.</x:v>
      </x:c>
      <x:c r="F811" s="9" t="str">
        <x:v>MOVE green block to bowl</x:v>
      </x:c>
      <x:c r="G811" s="9"/>
      <x:c r="H811" s="9" t="str">
        <x:v>Language robustness</x:v>
      </x:c>
      <x:c r="I811" s="9" t="str">
        <x:v>SZ-CT-LG03</x:v>
      </x:c>
      <x:c r="J811" s="9" t="str">
        <x:v>Direct</x:v>
      </x:c>
      <x:c r="K811" s="9" t="n">
        <x:v>37</x:v>
      </x:c>
      <x:c r="L811" s="9" t="str">
        <x:v>1077</x:v>
      </x:c>
      <x:c r="M811" s="9"/>
      <x:c r="N811" s="9"/>
      <x:c r="O811" s="9" t="str">
        <x:v>Reset the target; preserve the exact scene and paraphrase only the matched-control prompt.</x:v>
      </x:c>
      <x:c r="P811" s="9" t="str">
        <x:v>Exact-scene paraphrase of the direct manipulation control.</x:v>
      </x:c>
      <x:c r="Q811" s="9"/>
      <x:c r="R811" s="10" t="n">
        <x:v>2</x:v>
      </x:c>
      <x:c r="S811" s="10"/>
      <x:c r="T811" s="9"/>
      <x:c r="U811" s="9"/>
      <x:c r="V811" s="9"/>
      <x:c r="W811" s="9"/>
      <x:c r="X811" s="10"/>
      <x:c r="Y811" s="10"/>
      <x:c r="Z811" s="9"/>
      <x:c r="AA811" s="9"/>
      <x:c r="AB811" s="9"/>
      <x:c r="AC811" s="9"/>
      <x:c r="AD811" s="9" t="str">
        <x:v>green block</x:v>
      </x:c>
      <x:c r="AE811" s="9"/>
      <x:c r="AF811" s="9"/>
      <x:c r="AG811" s="9"/>
      <x:c r="AH811" s="9" t="str">
        <x:v>Left</x:v>
      </x:c>
      <x:c r="AI811" s="11" t="n">
        <x:v>16</x:v>
      </x:c>
      <x:c r="AJ811" s="9" t="str">
        <x:v>Matched-control direct prompt paraphrase</x:v>
      </x:c>
      <x:c r="AK811" s="9" t="str">
        <x:v>Eval_Size_Recognition (1).xlsm</x:v>
      </x:c>
      <x:c r="AL811" s="9" t="str">
        <x:v>pi0.5 Results</x:v>
      </x:c>
      <x:c r="AM811" s="9" t="n">
        <x:v>41</x:v>
      </x:c>
      <x:c r="AN811" s="9" t="n">
        <x:v>41</x:v>
      </x:c>
    </x:row>
    <x:row r="812">
      <x:c r="A812" s="9" t="str">
        <x:v>Success</x:v>
      </x:c>
      <x:c r="B812" s="9" t="str">
        <x:v>Size Recognition</x:v>
      </x:c>
      <x:c r="C812" s="10" t="n">
        <x:v>40</x:v>
      </x:c>
      <x:c r="D812" s="9" t="str">
        <x:v>Move the object that is smallest into the bowl.</x:v>
      </x:c>
      <x:c r="E812" s="9" t="str">
        <x:v>Bowl: empty. Table, robot-left→robot-right: P1 crushed Pepsi can; P2 juggling ball. Adjacent centers 8 cm apart; row shifted 4 cm away from the robot; all objects fully visible and grasp paths clear.</x:v>
      </x:c>
      <x:c r="F812" s="9" t="str">
        <x:v>MOVE juggling ball to bowl</x:v>
      </x:c>
      <x:c r="G812" s="9"/>
      <x:c r="H812" s="9" t="str">
        <x:v>Concept/compositional transfer</x:v>
      </x:c>
      <x:c r="I812" s="9" t="str">
        <x:v>SZ-CT-SJ03</x:v>
      </x:c>
      <x:c r="J812" s="9" t="str">
        <x:v>smallest</x:v>
      </x:c>
      <x:c r="K812" s="9"/>
      <x:c r="L812" s="9" t="str">
        <x:v>1107</x:v>
      </x:c>
      <x:c r="M812" s="9"/>
      <x:c r="N812" s="9"/>
      <x:c r="O812" s="9" t="str">
        <x:v>Build the listed two-object scene and save a first-frame filename.</x:v>
      </x:c>
      <x:c r="P812" s="9" t="str">
        <x:v>Primary missing cell. Training episode 1107 contains the same target trajectory but masks the size word with a direct identity prompt.</x:v>
      </x:c>
      <x:c r="Q812" s="9"/>
      <x:c r="R812" s="10" t="n">
        <x:v>2</x:v>
      </x:c>
      <x:c r="S812" s="10"/>
      <x:c r="T812" s="9"/>
      <x:c r="U812" s="9"/>
      <x:c r="V812" s="9"/>
      <x:c r="W812" s="9"/>
      <x:c r="X812" s="10"/>
      <x:c r="Y812" s="10"/>
      <x:c r="Z812" s="9"/>
      <x:c r="AA812" s="9"/>
      <x:c r="AB812" s="9"/>
      <x:c r="AC812" s="9"/>
      <x:c r="AD812" s="9" t="str">
        <x:v>juggling ball</x:v>
      </x:c>
      <x:c r="AE812" s="9"/>
      <x:c r="AF812" s="9"/>
      <x:c r="AG812" s="9"/>
      <x:c r="AH812" s="9" t="str">
        <x:v>Right</x:v>
      </x:c>
      <x:c r="AI812" s="11" t="n">
        <x:v>8</x:v>
      </x:c>
      <x:c r="AJ812" s="9" t="str">
        <x:v>Held-out smallest × juggling ball — Move</x:v>
      </x:c>
      <x:c r="AK812" s="9" t="str">
        <x:v>Eval_Size_Recognition (1).xlsm</x:v>
      </x:c>
      <x:c r="AL812" s="9" t="str">
        <x:v>pi0.5 Results</x:v>
      </x:c>
      <x:c r="AM812" s="9" t="n">
        <x:v>42</x:v>
      </x:c>
      <x:c r="AN812" s="9" t="n">
        <x:v>42</x:v>
      </x:c>
    </x:row>
    <x:row r="813">
      <x:c r="A813" s="9" t="str">
        <x:v>Success</x:v>
      </x:c>
      <x:c r="B813" s="9" t="str">
        <x:v>Size Recognition</x:v>
      </x:c>
      <x:c r="C813" s="10" t="n">
        <x:v>41</x:v>
      </x:c>
      <x:c r="D813" s="9" t="str">
        <x:v>Pick up the juggling ball and place it in the bowl.</x:v>
      </x:c>
      <x:c r="E813" s="9" t="str">
        <x:v>Bowl: empty. Table, robot-left→robot-right: P1 crushed Pepsi can; P2 juggling ball. Adjacent centers 8 cm apart; row shifted 4 cm away from the robot; all objects fully visible and grasp paths clear.</x:v>
      </x:c>
      <x:c r="F813" s="9" t="str">
        <x:v>MOVE juggling ball to bowl</x:v>
      </x:c>
      <x:c r="G813" s="9"/>
      <x:c r="H813" s="9" t="str">
        <x:v>Matched manipulation control</x:v>
      </x:c>
      <x:c r="I813" s="9" t="str">
        <x:v>SZ-CT-SJ03</x:v>
      </x:c>
      <x:c r="J813" s="9" t="str">
        <x:v>Direct</x:v>
      </x:c>
      <x:c r="K813" s="9" t="n">
        <x:v>40</x:v>
      </x:c>
      <x:c r="L813" s="9" t="str">
        <x:v>1102</x:v>
      </x:c>
      <x:c r="M813" s="9"/>
      <x:c r="N813" s="9"/>
      <x:c r="O813" s="9" t="str">
        <x:v>Reset the target to its original pose; change only the prompt.</x:v>
      </x:c>
      <x:c r="P813" s="9" t="str">
        <x:v>Exact-scene control using a direct prompt supported by training episode 1102.</x:v>
      </x:c>
      <x:c r="Q813" s="9"/>
      <x:c r="R813" s="10" t="n">
        <x:v>2</x:v>
      </x:c>
      <x:c r="S813" s="10"/>
      <x:c r="T813" s="9"/>
      <x:c r="U813" s="9"/>
      <x:c r="V813" s="9"/>
      <x:c r="W813" s="9"/>
      <x:c r="X813" s="10"/>
      <x:c r="Y813" s="10"/>
      <x:c r="Z813" s="9"/>
      <x:c r="AA813" s="9"/>
      <x:c r="AB813" s="9"/>
      <x:c r="AC813" s="9"/>
      <x:c r="AD813" s="9" t="str">
        <x:v>juggling ball</x:v>
      </x:c>
      <x:c r="AE813" s="9"/>
      <x:c r="AF813" s="9"/>
      <x:c r="AG813" s="9"/>
      <x:c r="AH813" s="9" t="str">
        <x:v>Right</x:v>
      </x:c>
      <x:c r="AI813" s="11" t="n">
        <x:v>8</x:v>
      </x:c>
      <x:c r="AJ813" s="9" t="str">
        <x:v>Same-scene direct target control</x:v>
      </x:c>
      <x:c r="AK813" s="9" t="str">
        <x:v>Eval_Size_Recognition (1).xlsm</x:v>
      </x:c>
      <x:c r="AL813" s="9" t="str">
        <x:v>pi0.5 Results</x:v>
      </x:c>
      <x:c r="AM813" s="9" t="n">
        <x:v>43</x:v>
      </x:c>
      <x:c r="AN813" s="9" t="n">
        <x:v>43</x:v>
      </x:c>
    </x:row>
    <x:row r="814">
      <x:c r="A814" s="9" t="str">
        <x:v>Failure</x:v>
      </x:c>
      <x:c r="B814" s="9" t="str">
        <x:v>Size Recognition</x:v>
      </x:c>
      <x:c r="C814" s="10" t="n">
        <x:v>42</x:v>
      </x:c>
      <x:c r="D814" s="9" t="str">
        <x:v>Select the smaller object and put it into the bowl.</x:v>
      </x:c>
      <x:c r="E814" s="9" t="str">
        <x:v>Bowl: empty. Table, robot-left→robot-right: P1 crushed Pepsi can; P2 juggling ball. Adjacent centers 8 cm apart; row shifted 4 cm away from the robot; all objects fully visible and grasp paths clear.</x:v>
      </x:c>
      <x:c r="F814" s="9" t="str">
        <x:v>MOVE juggling ball to bowl</x:v>
      </x:c>
      <x:c r="G814" s="9" t="str">
        <x:v>grabbed soda can</x:v>
      </x:c>
      <x:c r="H814" s="9" t="str">
        <x:v>Language robustness</x:v>
      </x:c>
      <x:c r="I814" s="9" t="str">
        <x:v>SZ-CT-SJ03</x:v>
      </x:c>
      <x:c r="J814" s="9" t="str">
        <x:v>smallest</x:v>
      </x:c>
      <x:c r="K814" s="9" t="n">
        <x:v>40</x:v>
      </x:c>
      <x:c r="L814" s="9" t="str">
        <x:v>1107</x:v>
      </x:c>
      <x:c r="M814" s="9"/>
      <x:c r="N814" s="9"/>
      <x:c r="O814" s="9" t="str">
        <x:v>Reset the target; preserve the exact scene and paraphrase only the transfer prompt.</x:v>
      </x:c>
      <x:c r="P814" s="9" t="str">
        <x:v>Exact-scene paraphrase of the primary transfer instruction.</x:v>
      </x:c>
      <x:c r="Q814" s="9"/>
      <x:c r="R814" s="10" t="n">
        <x:v>2</x:v>
      </x:c>
      <x:c r="S814" s="10"/>
      <x:c r="T814" s="9"/>
      <x:c r="U814" s="9"/>
      <x:c r="V814" s="9"/>
      <x:c r="W814" s="9"/>
      <x:c r="X814" s="10"/>
      <x:c r="Y814" s="10"/>
      <x:c r="Z814" s="9"/>
      <x:c r="AA814" s="9"/>
      <x:c r="AB814" s="9"/>
      <x:c r="AC814" s="9"/>
      <x:c r="AD814" s="9" t="str">
        <x:v>juggling ball</x:v>
      </x:c>
      <x:c r="AE814" s="9"/>
      <x:c r="AF814" s="9"/>
      <x:c r="AG814" s="9"/>
      <x:c r="AH814" s="9" t="str">
        <x:v>Right</x:v>
      </x:c>
      <x:c r="AI814" s="11" t="n">
        <x:v>8</x:v>
      </x:c>
      <x:c r="AJ814" s="9" t="str">
        <x:v>Primary compositional-transfer prompt paraphrase</x:v>
      </x:c>
      <x:c r="AK814" s="9" t="str">
        <x:v>Eval_Size_Recognition (1).xlsm</x:v>
      </x:c>
      <x:c r="AL814" s="9" t="str">
        <x:v>pi0.5 Results</x:v>
      </x:c>
      <x:c r="AM814" s="9" t="n">
        <x:v>44</x:v>
      </x:c>
      <x:c r="AN814" s="9" t="n">
        <x:v>44</x:v>
      </x:c>
    </x:row>
    <x:row r="815">
      <x:c r="A815" s="9" t="str">
        <x:v>Success</x:v>
      </x:c>
      <x:c r="B815" s="9" t="str">
        <x:v>Size Recognition</x:v>
      </x:c>
      <x:c r="C815" s="10" t="n">
        <x:v>43</x:v>
      </x:c>
      <x:c r="D815" s="9" t="str">
        <x:v>Move the juggling ball off the table and into the bowl.</x:v>
      </x:c>
      <x:c r="E815" s="9" t="str">
        <x:v>Bowl: empty. Table, robot-left→robot-right: P1 crushed Pepsi can; P2 juggling ball. Adjacent centers 8 cm apart; row shifted 4 cm away from the robot; all objects fully visible and grasp paths clear.</x:v>
      </x:c>
      <x:c r="F815" s="9" t="str">
        <x:v>MOVE juggling ball to bowl</x:v>
      </x:c>
      <x:c r="G815" s="9"/>
      <x:c r="H815" s="9" t="str">
        <x:v>Language robustness</x:v>
      </x:c>
      <x:c r="I815" s="9" t="str">
        <x:v>SZ-CT-SJ03</x:v>
      </x:c>
      <x:c r="J815" s="9" t="str">
        <x:v>Direct</x:v>
      </x:c>
      <x:c r="K815" s="9" t="n">
        <x:v>41</x:v>
      </x:c>
      <x:c r="L815" s="9" t="str">
        <x:v>1102</x:v>
      </x:c>
      <x:c r="M815" s="9"/>
      <x:c r="N815" s="9"/>
      <x:c r="O815" s="9" t="str">
        <x:v>Reset the target; preserve the exact scene and paraphrase only the matched-control prompt.</x:v>
      </x:c>
      <x:c r="P815" s="9" t="str">
        <x:v>Exact-scene paraphrase of the direct manipulation control.</x:v>
      </x:c>
      <x:c r="Q815" s="9"/>
      <x:c r="R815" s="10" t="n">
        <x:v>2</x:v>
      </x:c>
      <x:c r="S815" s="10"/>
      <x:c r="T815" s="9"/>
      <x:c r="U815" s="9"/>
      <x:c r="V815" s="9"/>
      <x:c r="W815" s="9"/>
      <x:c r="X815" s="10"/>
      <x:c r="Y815" s="10"/>
      <x:c r="Z815" s="9"/>
      <x:c r="AA815" s="9"/>
      <x:c r="AB815" s="9"/>
      <x:c r="AC815" s="9"/>
      <x:c r="AD815" s="9" t="str">
        <x:v>juggling ball</x:v>
      </x:c>
      <x:c r="AE815" s="9"/>
      <x:c r="AF815" s="9"/>
      <x:c r="AG815" s="9"/>
      <x:c r="AH815" s="9" t="str">
        <x:v>Right</x:v>
      </x:c>
      <x:c r="AI815" s="11" t="n">
        <x:v>8</x:v>
      </x:c>
      <x:c r="AJ815" s="9" t="str">
        <x:v>Matched-control direct prompt paraphrase</x:v>
      </x:c>
      <x:c r="AK815" s="9" t="str">
        <x:v>Eval_Size_Recognition (1).xlsm</x:v>
      </x:c>
      <x:c r="AL815" s="9" t="str">
        <x:v>pi0.5 Results</x:v>
      </x:c>
      <x:c r="AM815" s="9" t="n">
        <x:v>45</x:v>
      </x:c>
      <x:c r="AN815" s="9" t="n">
        <x:v>45</x:v>
      </x:c>
    </x:row>
    <x:row r="816">
      <x:c r="A816" s="9" t="str">
        <x:v>Success</x:v>
      </x:c>
      <x:c r="B816" s="9" t="str">
        <x:v>Size Recognition</x:v>
      </x:c>
      <x:c r="C816" s="10" t="n">
        <x:v>44</x:v>
      </x:c>
      <x:c r="D816" s="9" t="str">
        <x:v>Move the object that is largest into the bowl.</x:v>
      </x:c>
      <x:c r="E816" s="9" t="str">
        <x:v>Bowl: empty. Table, robot-left→robot-right: P1 red pencil sharpener; P2 green block. Adjacent centers 8 cm apart; row shifted 4 cm toward the robot; all objects fully visible and grasp paths clear.</x:v>
      </x:c>
      <x:c r="F816" s="9" t="str">
        <x:v>MOVE green block to bowl</x:v>
      </x:c>
      <x:c r="G816" s="9"/>
      <x:c r="H816" s="9" t="str">
        <x:v>Concept/compositional transfer</x:v>
      </x:c>
      <x:c r="I816" s="9" t="str">
        <x:v>SZ-CT-LG04</x:v>
      </x:c>
      <x:c r="J816" s="9" t="str">
        <x:v>largest</x:v>
      </x:c>
      <x:c r="K816" s="9"/>
      <x:c r="L816" s="9" t="str">
        <x:v>1083</x:v>
      </x:c>
      <x:c r="M816" s="9"/>
      <x:c r="N816" s="9"/>
      <x:c r="O816" s="9" t="str">
        <x:v>Build the listed two-object scene and save a first-frame filename.</x:v>
      </x:c>
      <x:c r="P816" s="9" t="str">
        <x:v>Primary missing cell. Training episode 1083 contains the same target trajectory but masks the size word with a direct identity prompt.</x:v>
      </x:c>
      <x:c r="Q816" s="9"/>
      <x:c r="R816" s="10" t="n">
        <x:v>2</x:v>
      </x:c>
      <x:c r="S816" s="10"/>
      <x:c r="T816" s="9"/>
      <x:c r="U816" s="9"/>
      <x:c r="V816" s="9"/>
      <x:c r="W816" s="9"/>
      <x:c r="X816" s="10"/>
      <x:c r="Y816" s="10"/>
      <x:c r="Z816" s="9"/>
      <x:c r="AA816" s="9"/>
      <x:c r="AB816" s="9"/>
      <x:c r="AC816" s="9"/>
      <x:c r="AD816" s="9" t="str">
        <x:v>green block</x:v>
      </x:c>
      <x:c r="AE816" s="9"/>
      <x:c r="AF816" s="9"/>
      <x:c r="AG816" s="9"/>
      <x:c r="AH816" s="9" t="str">
        <x:v>Right</x:v>
      </x:c>
      <x:c r="AI816" s="11" t="n">
        <x:v>8</x:v>
      </x:c>
      <x:c r="AJ816" s="9" t="str">
        <x:v>Held-out largest × green block — Move</x:v>
      </x:c>
      <x:c r="AK816" s="9" t="str">
        <x:v>Eval_Size_Recognition (1).xlsm</x:v>
      </x:c>
      <x:c r="AL816" s="9" t="str">
        <x:v>pi0.5 Results</x:v>
      </x:c>
      <x:c r="AM816" s="9" t="n">
        <x:v>46</x:v>
      </x:c>
      <x:c r="AN816" s="9" t="n">
        <x:v>46</x:v>
      </x:c>
    </x:row>
    <x:row r="817">
      <x:c r="A817" s="9" t="str">
        <x:v>Success</x:v>
      </x:c>
      <x:c r="B817" s="9" t="str">
        <x:v>Size Recognition</x:v>
      </x:c>
      <x:c r="C817" s="10" t="n">
        <x:v>45</x:v>
      </x:c>
      <x:c r="D817" s="9" t="str">
        <x:v>Put the green block in the bowl.</x:v>
      </x:c>
      <x:c r="E817" s="9" t="str">
        <x:v>Bowl: empty. Table, robot-left→robot-right: P1 red pencil sharpener; P2 green block. Adjacent centers 8 cm apart; row shifted 4 cm toward the robot; all objects fully visible and grasp paths clear.</x:v>
      </x:c>
      <x:c r="F817" s="9" t="str">
        <x:v>MOVE green block to bowl</x:v>
      </x:c>
      <x:c r="G817" s="9"/>
      <x:c r="H817" s="9" t="str">
        <x:v>Matched manipulation control</x:v>
      </x:c>
      <x:c r="I817" s="9" t="str">
        <x:v>SZ-CT-LG04</x:v>
      </x:c>
      <x:c r="J817" s="9" t="str">
        <x:v>Direct</x:v>
      </x:c>
      <x:c r="K817" s="9" t="n">
        <x:v>44</x:v>
      </x:c>
      <x:c r="L817" s="9" t="str">
        <x:v>1078</x:v>
      </x:c>
      <x:c r="M817" s="9"/>
      <x:c r="N817" s="9"/>
      <x:c r="O817" s="9" t="str">
        <x:v>Reset the target to its original pose; change only the prompt.</x:v>
      </x:c>
      <x:c r="P817" s="9" t="str">
        <x:v>Exact-scene control using a direct prompt supported by training episode 1078.</x:v>
      </x:c>
      <x:c r="Q817" s="9"/>
      <x:c r="R817" s="10" t="n">
        <x:v>2</x:v>
      </x:c>
      <x:c r="S817" s="10"/>
      <x:c r="T817" s="9"/>
      <x:c r="U817" s="9"/>
      <x:c r="V817" s="9"/>
      <x:c r="W817" s="9"/>
      <x:c r="X817" s="10"/>
      <x:c r="Y817" s="10"/>
      <x:c r="Z817" s="9"/>
      <x:c r="AA817" s="9"/>
      <x:c r="AB817" s="9"/>
      <x:c r="AC817" s="9"/>
      <x:c r="AD817" s="9" t="str">
        <x:v>green block</x:v>
      </x:c>
      <x:c r="AE817" s="9"/>
      <x:c r="AF817" s="9"/>
      <x:c r="AG817" s="9"/>
      <x:c r="AH817" s="9" t="str">
        <x:v>Right</x:v>
      </x:c>
      <x:c r="AI817" s="11" t="n">
        <x:v>8</x:v>
      </x:c>
      <x:c r="AJ817" s="9" t="str">
        <x:v>Same-scene direct target control</x:v>
      </x:c>
      <x:c r="AK817" s="9" t="str">
        <x:v>Eval_Size_Recognition (1).xlsm</x:v>
      </x:c>
      <x:c r="AL817" s="9" t="str">
        <x:v>pi0.5 Results</x:v>
      </x:c>
      <x:c r="AM817" s="9" t="n">
        <x:v>47</x:v>
      </x:c>
      <x:c r="AN817" s="9" t="n">
        <x:v>47</x:v>
      </x:c>
    </x:row>
    <x:row r="818">
      <x:c r="A818" s="9" t="str">
        <x:v>Success</x:v>
      </x:c>
      <x:c r="B818" s="9" t="str">
        <x:v>Size Recognition</x:v>
      </x:c>
      <x:c r="C818" s="10" t="n">
        <x:v>46</x:v>
      </x:c>
      <x:c r="D818" s="9" t="str">
        <x:v>Find the greatest-sized item and move it to the bowl.</x:v>
      </x:c>
      <x:c r="E818" s="9" t="str">
        <x:v>Bowl: empty. Table, robot-left→robot-right: P1 red pencil sharpener; P2 green block. Adjacent centers 8 cm apart; row shifted 4 cm toward the robot; all objects fully visible and grasp paths clear.</x:v>
      </x:c>
      <x:c r="F818" s="9" t="str">
        <x:v>MOVE green block to bowl</x:v>
      </x:c>
      <x:c r="G818" s="9"/>
      <x:c r="H818" s="9" t="str">
        <x:v>Language robustness</x:v>
      </x:c>
      <x:c r="I818" s="9" t="str">
        <x:v>SZ-CT-LG04</x:v>
      </x:c>
      <x:c r="J818" s="9" t="str">
        <x:v>largest</x:v>
      </x:c>
      <x:c r="K818" s="9" t="n">
        <x:v>44</x:v>
      </x:c>
      <x:c r="L818" s="9" t="str">
        <x:v>1083</x:v>
      </x:c>
      <x:c r="M818" s="9"/>
      <x:c r="N818" s="9"/>
      <x:c r="O818" s="9" t="str">
        <x:v>Reset the target; preserve the exact scene and paraphrase only the transfer prompt.</x:v>
      </x:c>
      <x:c r="P818" s="9" t="str">
        <x:v>Exact-scene paraphrase of the primary transfer instruction.</x:v>
      </x:c>
      <x:c r="Q818" s="9"/>
      <x:c r="R818" s="10" t="n">
        <x:v>2</x:v>
      </x:c>
      <x:c r="S818" s="10"/>
      <x:c r="T818" s="9"/>
      <x:c r="U818" s="9"/>
      <x:c r="V818" s="9"/>
      <x:c r="W818" s="9"/>
      <x:c r="X818" s="10"/>
      <x:c r="Y818" s="10"/>
      <x:c r="Z818" s="9"/>
      <x:c r="AA818" s="9"/>
      <x:c r="AB818" s="9"/>
      <x:c r="AC818" s="9"/>
      <x:c r="AD818" s="9" t="str">
        <x:v>green block</x:v>
      </x:c>
      <x:c r="AE818" s="9"/>
      <x:c r="AF818" s="9"/>
      <x:c r="AG818" s="9"/>
      <x:c r="AH818" s="9" t="str">
        <x:v>Right</x:v>
      </x:c>
      <x:c r="AI818" s="11" t="n">
        <x:v>8</x:v>
      </x:c>
      <x:c r="AJ818" s="9" t="str">
        <x:v>Primary compositional-transfer prompt paraphrase</x:v>
      </x:c>
      <x:c r="AK818" s="9" t="str">
        <x:v>Eval_Size_Recognition (1).xlsm</x:v>
      </x:c>
      <x:c r="AL818" s="9" t="str">
        <x:v>pi0.5 Results</x:v>
      </x:c>
      <x:c r="AM818" s="9" t="n">
        <x:v>48</x:v>
      </x:c>
      <x:c r="AN818" s="9" t="n">
        <x:v>48</x:v>
      </x:c>
    </x:row>
    <x:row r="819">
      <x:c r="A819" s="9" t="str">
        <x:v>Success</x:v>
      </x:c>
      <x:c r="B819" s="9" t="str">
        <x:v>Size Recognition</x:v>
      </x:c>
      <x:c r="C819" s="10" t="n">
        <x:v>47</x:v>
      </x:c>
      <x:c r="D819" s="9" t="str">
        <x:v>Place the table's green block inside the bowl.</x:v>
      </x:c>
      <x:c r="E819" s="9" t="str">
        <x:v>Bowl: empty. Table, robot-left→robot-right: P1 red pencil sharpener; P2 green block. Adjacent centers 8 cm apart; row shifted 4 cm toward the robot; all objects fully visible and grasp paths clear.</x:v>
      </x:c>
      <x:c r="F819" s="9" t="str">
        <x:v>MOVE green block to bowl</x:v>
      </x:c>
      <x:c r="G819" s="9"/>
      <x:c r="H819" s="9" t="str">
        <x:v>Language robustness</x:v>
      </x:c>
      <x:c r="I819" s="9" t="str">
        <x:v>SZ-CT-LG04</x:v>
      </x:c>
      <x:c r="J819" s="9" t="str">
        <x:v>Direct</x:v>
      </x:c>
      <x:c r="K819" s="9" t="n">
        <x:v>45</x:v>
      </x:c>
      <x:c r="L819" s="9" t="str">
        <x:v>1078</x:v>
      </x:c>
      <x:c r="M819" s="9"/>
      <x:c r="N819" s="9"/>
      <x:c r="O819" s="9" t="str">
        <x:v>Reset the target; preserve the exact scene and paraphrase only the matched-control prompt.</x:v>
      </x:c>
      <x:c r="P819" s="9" t="str">
        <x:v>Exact-scene paraphrase of the direct manipulation control.</x:v>
      </x:c>
      <x:c r="Q819" s="9"/>
      <x:c r="R819" s="10" t="n">
        <x:v>2</x:v>
      </x:c>
      <x:c r="S819" s="10"/>
      <x:c r="T819" s="9"/>
      <x:c r="U819" s="9"/>
      <x:c r="V819" s="9"/>
      <x:c r="W819" s="9"/>
      <x:c r="X819" s="10"/>
      <x:c r="Y819" s="10"/>
      <x:c r="Z819" s="9"/>
      <x:c r="AA819" s="9"/>
      <x:c r="AB819" s="9"/>
      <x:c r="AC819" s="9"/>
      <x:c r="AD819" s="9" t="str">
        <x:v>green block</x:v>
      </x:c>
      <x:c r="AE819" s="9"/>
      <x:c r="AF819" s="9"/>
      <x:c r="AG819" s="9"/>
      <x:c r="AH819" s="9" t="str">
        <x:v>Right</x:v>
      </x:c>
      <x:c r="AI819" s="11" t="n">
        <x:v>8</x:v>
      </x:c>
      <x:c r="AJ819" s="9" t="str">
        <x:v>Matched-control direct prompt paraphrase</x:v>
      </x:c>
      <x:c r="AK819" s="9" t="str">
        <x:v>Eval_Size_Recognition (1).xlsm</x:v>
      </x:c>
      <x:c r="AL819" s="9" t="str">
        <x:v>pi0.5 Results</x:v>
      </x:c>
      <x:c r="AM819" s="9" t="n">
        <x:v>49</x:v>
      </x:c>
      <x:c r="AN819" s="9" t="n">
        <x:v>49</x:v>
      </x:c>
    </x:row>
    <x:row r="820">
      <x:c r="A820" s="9" t="str">
        <x:v>Failure</x:v>
      </x:c>
      <x:c r="B820" s="9" t="str">
        <x:v>Size Recognition</x:v>
      </x:c>
      <x:c r="C820" s="10" t="n">
        <x:v>48</x:v>
      </x:c>
      <x:c r="D820" s="9" t="str">
        <x:v>Pick up the smallest item and place it in the bowl.</x:v>
      </x:c>
      <x:c r="E820" s="9" t="str">
        <x:v>Bowl: empty. Table, robot-left→robot-right: P1 juggling ball; P2 crushed Pepsi can. Adjacent centers 12 cm apart; row centered on the workspace; all objects fully visible and grasp paths clear.</x:v>
      </x:c>
      <x:c r="F820" s="9" t="str">
        <x:v>MOVE juggling ball to bowl</x:v>
      </x:c>
      <x:c r="G820" s="9" t="str">
        <x:v>Picked soda can</x:v>
      </x:c>
      <x:c r="H820" s="9" t="str">
        <x:v>Concept/compositional transfer</x:v>
      </x:c>
      <x:c r="I820" s="9" t="str">
        <x:v>SZ-CT-SJ04</x:v>
      </x:c>
      <x:c r="J820" s="9" t="str">
        <x:v>smallest</x:v>
      </x:c>
      <x:c r="K820" s="9"/>
      <x:c r="L820" s="9" t="str">
        <x:v>1108</x:v>
      </x:c>
      <x:c r="M820" s="9"/>
      <x:c r="N820" s="9"/>
      <x:c r="O820" s="9" t="str">
        <x:v>Build the listed two-object scene and save a first-frame filename.</x:v>
      </x:c>
      <x:c r="P820" s="9" t="str">
        <x:v>Primary missing cell. Training episode 1108 contains the same target trajectory but masks the size word with a direct identity prompt.</x:v>
      </x:c>
      <x:c r="Q820" s="9"/>
      <x:c r="R820" s="10" t="n">
        <x:v>2</x:v>
      </x:c>
      <x:c r="S820" s="10"/>
      <x:c r="T820" s="9"/>
      <x:c r="U820" s="9"/>
      <x:c r="V820" s="9"/>
      <x:c r="W820" s="9"/>
      <x:c r="X820" s="10"/>
      <x:c r="Y820" s="10"/>
      <x:c r="Z820" s="9"/>
      <x:c r="AA820" s="9"/>
      <x:c r="AB820" s="9"/>
      <x:c r="AC820" s="9"/>
      <x:c r="AD820" s="9" t="str">
        <x:v>juggling ball</x:v>
      </x:c>
      <x:c r="AE820" s="9"/>
      <x:c r="AF820" s="9"/>
      <x:c r="AG820" s="9"/>
      <x:c r="AH820" s="9" t="str">
        <x:v>Left</x:v>
      </x:c>
      <x:c r="AI820" s="11" t="n">
        <x:v>12</x:v>
      </x:c>
      <x:c r="AJ820" s="9" t="str">
        <x:v>Held-out smallest × juggling ball — Pick up</x:v>
      </x:c>
      <x:c r="AK820" s="9" t="str">
        <x:v>Eval_Size_Recognition (1).xlsm</x:v>
      </x:c>
      <x:c r="AL820" s="9" t="str">
        <x:v>pi0.5 Results</x:v>
      </x:c>
      <x:c r="AM820" s="9" t="n">
        <x:v>50</x:v>
      </x:c>
      <x:c r="AN820" s="9" t="n">
        <x:v>50</x:v>
      </x:c>
    </x:row>
    <x:row r="821">
      <x:c r="A821" s="9" t="str">
        <x:v>Success</x:v>
      </x:c>
      <x:c r="B821" s="9" t="str">
        <x:v>Size Recognition</x:v>
      </x:c>
      <x:c r="C821" s="10" t="n">
        <x:v>49</x:v>
      </x:c>
      <x:c r="D821" s="9" t="str">
        <x:v>Put the juggling ball in the bowl.</x:v>
      </x:c>
      <x:c r="E821" s="9" t="str">
        <x:v>Bowl: empty. Table, robot-left→robot-right: P1 juggling ball; P2 crushed Pepsi can. Adjacent centers 12 cm apart; row centered on the workspace; all objects fully visible and grasp paths clear.</x:v>
      </x:c>
      <x:c r="F821" s="9" t="str">
        <x:v>MOVE juggling ball to bowl</x:v>
      </x:c>
      <x:c r="G821" s="9"/>
      <x:c r="H821" s="9" t="str">
        <x:v>Matched manipulation control</x:v>
      </x:c>
      <x:c r="I821" s="9" t="str">
        <x:v>SZ-CT-SJ04</x:v>
      </x:c>
      <x:c r="J821" s="9" t="str">
        <x:v>Direct</x:v>
      </x:c>
      <x:c r="K821" s="9" t="n">
        <x:v>48</x:v>
      </x:c>
      <x:c r="L821" s="9" t="str">
        <x:v>1103</x:v>
      </x:c>
      <x:c r="M821" s="9"/>
      <x:c r="N821" s="9"/>
      <x:c r="O821" s="9" t="str">
        <x:v>Reset the target to its original pose; change only the prompt.</x:v>
      </x:c>
      <x:c r="P821" s="9" t="str">
        <x:v>Exact-scene control using a direct prompt supported by training episode 1103.</x:v>
      </x:c>
      <x:c r="Q821" s="9"/>
      <x:c r="R821" s="10" t="n">
        <x:v>2</x:v>
      </x:c>
      <x:c r="S821" s="10"/>
      <x:c r="T821" s="9"/>
      <x:c r="U821" s="9"/>
      <x:c r="V821" s="9"/>
      <x:c r="W821" s="9"/>
      <x:c r="X821" s="10"/>
      <x:c r="Y821" s="10"/>
      <x:c r="Z821" s="9"/>
      <x:c r="AA821" s="9"/>
      <x:c r="AB821" s="9"/>
      <x:c r="AC821" s="9"/>
      <x:c r="AD821" s="9" t="str">
        <x:v>juggling ball</x:v>
      </x:c>
      <x:c r="AE821" s="9"/>
      <x:c r="AF821" s="9"/>
      <x:c r="AG821" s="9"/>
      <x:c r="AH821" s="9" t="str">
        <x:v>Left</x:v>
      </x:c>
      <x:c r="AI821" s="11" t="n">
        <x:v>12</x:v>
      </x:c>
      <x:c r="AJ821" s="9" t="str">
        <x:v>Same-scene direct target control</x:v>
      </x:c>
      <x:c r="AK821" s="9" t="str">
        <x:v>Eval_Size_Recognition (1).xlsm</x:v>
      </x:c>
      <x:c r="AL821" s="9" t="str">
        <x:v>pi0.5 Results</x:v>
      </x:c>
      <x:c r="AM821" s="9" t="n">
        <x:v>51</x:v>
      </x:c>
      <x:c r="AN821" s="9" t="n">
        <x:v>51</x:v>
      </x:c>
    </x:row>
    <x:row r="822">
      <x:c r="A822" s="9" t="str">
        <x:v>Failure</x:v>
      </x:c>
      <x:c r="B822" s="9" t="str">
        <x:v>Size Recognition</x:v>
      </x:c>
      <x:c r="C822" s="10" t="n">
        <x:v>50</x:v>
      </x:c>
      <x:c r="D822" s="9" t="str">
        <x:v>Find the least-sized item and move it to the bowl.</x:v>
      </x:c>
      <x:c r="E822" s="9" t="str">
        <x:v>Bowl: empty. Table, robot-left→robot-right: P1 juggling ball; P2 crushed Pepsi can. Adjacent centers 12 cm apart; row centered on the workspace; all objects fully visible and grasp paths clear.</x:v>
      </x:c>
      <x:c r="F822" s="9" t="str">
        <x:v>MOVE juggling ball to bowl</x:v>
      </x:c>
      <x:c r="G822" s="9" t="str">
        <x:v>Picked soda can</x:v>
      </x:c>
      <x:c r="H822" s="9" t="str">
        <x:v>Language robustness</x:v>
      </x:c>
      <x:c r="I822" s="9" t="str">
        <x:v>SZ-CT-SJ04</x:v>
      </x:c>
      <x:c r="J822" s="9" t="str">
        <x:v>smallest</x:v>
      </x:c>
      <x:c r="K822" s="9" t="n">
        <x:v>48</x:v>
      </x:c>
      <x:c r="L822" s="9" t="str">
        <x:v>1108</x:v>
      </x:c>
      <x:c r="M822" s="9"/>
      <x:c r="N822" s="9"/>
      <x:c r="O822" s="9" t="str">
        <x:v>Reset the target; preserve the exact scene and paraphrase only the transfer prompt.</x:v>
      </x:c>
      <x:c r="P822" s="9" t="str">
        <x:v>Exact-scene paraphrase of the primary transfer instruction.</x:v>
      </x:c>
      <x:c r="Q822" s="9"/>
      <x:c r="R822" s="10" t="n">
        <x:v>2</x:v>
      </x:c>
      <x:c r="S822" s="10"/>
      <x:c r="T822" s="9"/>
      <x:c r="U822" s="9"/>
      <x:c r="V822" s="9"/>
      <x:c r="W822" s="9"/>
      <x:c r="X822" s="10"/>
      <x:c r="Y822" s="10"/>
      <x:c r="Z822" s="9"/>
      <x:c r="AA822" s="9"/>
      <x:c r="AB822" s="9"/>
      <x:c r="AC822" s="9"/>
      <x:c r="AD822" s="9" t="str">
        <x:v>juggling ball</x:v>
      </x:c>
      <x:c r="AE822" s="9"/>
      <x:c r="AF822" s="9"/>
      <x:c r="AG822" s="9"/>
      <x:c r="AH822" s="9" t="str">
        <x:v>Left</x:v>
      </x:c>
      <x:c r="AI822" s="11" t="n">
        <x:v>12</x:v>
      </x:c>
      <x:c r="AJ822" s="9" t="str">
        <x:v>Primary compositional-transfer prompt paraphrase</x:v>
      </x:c>
      <x:c r="AK822" s="9" t="str">
        <x:v>Eval_Size_Recognition (1).xlsm</x:v>
      </x:c>
      <x:c r="AL822" s="9" t="str">
        <x:v>pi0.5 Results</x:v>
      </x:c>
      <x:c r="AM822" s="9" t="n">
        <x:v>52</x:v>
      </x:c>
      <x:c r="AN822" s="9" t="n">
        <x:v>52</x:v>
      </x:c>
    </x:row>
    <x:row r="823">
      <x:c r="A823" s="9" t="str">
        <x:v>Success</x:v>
      </x:c>
      <x:c r="B823" s="9" t="str">
        <x:v>Size Recognition</x:v>
      </x:c>
      <x:c r="C823" s="10" t="n">
        <x:v>51</x:v>
      </x:c>
      <x:c r="D823" s="9" t="str">
        <x:v>Place the table's juggling ball inside the bowl.</x:v>
      </x:c>
      <x:c r="E823" s="9" t="str">
        <x:v>Bowl: empty. Table, robot-left→robot-right: P1 juggling ball; P2 crushed Pepsi can. Adjacent centers 12 cm apart; row centered on the workspace; all objects fully visible and grasp paths clear.</x:v>
      </x:c>
      <x:c r="F823" s="9" t="str">
        <x:v>MOVE juggling ball to bowl</x:v>
      </x:c>
      <x:c r="G823" s="9"/>
      <x:c r="H823" s="9" t="str">
        <x:v>Language robustness</x:v>
      </x:c>
      <x:c r="I823" s="9" t="str">
        <x:v>SZ-CT-SJ04</x:v>
      </x:c>
      <x:c r="J823" s="9" t="str">
        <x:v>Direct</x:v>
      </x:c>
      <x:c r="K823" s="9" t="n">
        <x:v>49</x:v>
      </x:c>
      <x:c r="L823" s="9" t="str">
        <x:v>1103</x:v>
      </x:c>
      <x:c r="M823" s="9"/>
      <x:c r="N823" s="9"/>
      <x:c r="O823" s="9" t="str">
        <x:v>Reset the target; preserve the exact scene and paraphrase only the matched-control prompt.</x:v>
      </x:c>
      <x:c r="P823" s="9" t="str">
        <x:v>Exact-scene paraphrase of the direct manipulation control.</x:v>
      </x:c>
      <x:c r="Q823" s="9"/>
      <x:c r="R823" s="10" t="n">
        <x:v>2</x:v>
      </x:c>
      <x:c r="S823" s="10"/>
      <x:c r="T823" s="9"/>
      <x:c r="U823" s="9"/>
      <x:c r="V823" s="9"/>
      <x:c r="W823" s="9"/>
      <x:c r="X823" s="10"/>
      <x:c r="Y823" s="10"/>
      <x:c r="Z823" s="9"/>
      <x:c r="AA823" s="9"/>
      <x:c r="AB823" s="9"/>
      <x:c r="AC823" s="9"/>
      <x:c r="AD823" s="9" t="str">
        <x:v>juggling ball</x:v>
      </x:c>
      <x:c r="AE823" s="9"/>
      <x:c r="AF823" s="9"/>
      <x:c r="AG823" s="9"/>
      <x:c r="AH823" s="9" t="str">
        <x:v>Left</x:v>
      </x:c>
      <x:c r="AI823" s="11" t="n">
        <x:v>12</x:v>
      </x:c>
      <x:c r="AJ823" s="9" t="str">
        <x:v>Matched-control direct prompt paraphrase</x:v>
      </x:c>
      <x:c r="AK823" s="9" t="str">
        <x:v>Eval_Size_Recognition (1).xlsm</x:v>
      </x:c>
      <x:c r="AL823" s="9" t="str">
        <x:v>pi0.5 Results</x:v>
      </x:c>
      <x:c r="AM823" s="9" t="n">
        <x:v>53</x:v>
      </x:c>
      <x:c r="AN823" s="9" t="n">
        <x:v>53</x:v>
      </x:c>
    </x:row>
    <x:row r="824">
      <x:c r="A824" s="9" t="str">
        <x:v>Success</x:v>
      </x:c>
      <x:c r="B824" s="9" t="str">
        <x:v>Size Recognition</x:v>
      </x:c>
      <x:c r="C824" s="10" t="n">
        <x:v>52</x:v>
      </x:c>
      <x:c r="D824" s="9" t="str">
        <x:v>Pick up the largest item and place it in the bowl.</x:v>
      </x:c>
      <x:c r="E824" s="9" t="str">
        <x:v>Bowl: empty. Table, robot-left→robot-right: P1 green block; P2 red pencil sharpener. Adjacent centers 12 cm apart; row shifted 4 cm away from the robot; all objects fully visible and grasp paths clear.</x:v>
      </x:c>
      <x:c r="F824" s="9" t="str">
        <x:v>MOVE green block to bowl</x:v>
      </x:c>
      <x:c r="G824" s="9"/>
      <x:c r="H824" s="9" t="str">
        <x:v>Concept/compositional transfer</x:v>
      </x:c>
      <x:c r="I824" s="9" t="str">
        <x:v>SZ-CT-LG05</x:v>
      </x:c>
      <x:c r="J824" s="9" t="str">
        <x:v>largest</x:v>
      </x:c>
      <x:c r="K824" s="9"/>
      <x:c r="L824" s="9" t="str">
        <x:v>1084</x:v>
      </x:c>
      <x:c r="M824" s="9"/>
      <x:c r="N824" s="9"/>
      <x:c r="O824" s="9" t="str">
        <x:v>Build the listed two-object scene and save a first-frame filename.</x:v>
      </x:c>
      <x:c r="P824" s="9" t="str">
        <x:v>Primary missing cell. Training episode 1084 contains the same target trajectory but masks the size word with a direct identity prompt.</x:v>
      </x:c>
      <x:c r="Q824" s="9"/>
      <x:c r="R824" s="10" t="n">
        <x:v>2</x:v>
      </x:c>
      <x:c r="S824" s="10"/>
      <x:c r="T824" s="9"/>
      <x:c r="U824" s="9"/>
      <x:c r="V824" s="9"/>
      <x:c r="W824" s="9"/>
      <x:c r="X824" s="10"/>
      <x:c r="Y824" s="10"/>
      <x:c r="Z824" s="9"/>
      <x:c r="AA824" s="9"/>
      <x:c r="AB824" s="9"/>
      <x:c r="AC824" s="9"/>
      <x:c r="AD824" s="9" t="str">
        <x:v>green block</x:v>
      </x:c>
      <x:c r="AE824" s="9"/>
      <x:c r="AF824" s="9"/>
      <x:c r="AG824" s="9"/>
      <x:c r="AH824" s="9" t="str">
        <x:v>Left</x:v>
      </x:c>
      <x:c r="AI824" s="11" t="n">
        <x:v>12</x:v>
      </x:c>
      <x:c r="AJ824" s="9" t="str">
        <x:v>Held-out largest × green block — Pick up</x:v>
      </x:c>
      <x:c r="AK824" s="9" t="str">
        <x:v>Eval_Size_Recognition (1).xlsm</x:v>
      </x:c>
      <x:c r="AL824" s="9" t="str">
        <x:v>pi0.5 Results</x:v>
      </x:c>
      <x:c r="AM824" s="9" t="n">
        <x:v>54</x:v>
      </x:c>
      <x:c r="AN824" s="9" t="n">
        <x:v>54</x:v>
      </x:c>
    </x:row>
    <x:row r="825">
      <x:c r="A825" s="9" t="str">
        <x:v>Success</x:v>
      </x:c>
      <x:c r="B825" s="9" t="str">
        <x:v>Size Recognition</x:v>
      </x:c>
      <x:c r="C825" s="10" t="n">
        <x:v>53</x:v>
      </x:c>
      <x:c r="D825" s="9" t="str">
        <x:v>Move the green block into the bowl.</x:v>
      </x:c>
      <x:c r="E825" s="9" t="str">
        <x:v>Bowl: empty. Table, robot-left→robot-right: P1 green block; P2 red pencil sharpener. Adjacent centers 12 cm apart; row shifted 4 cm away from the robot; all objects fully visible and grasp paths clear.</x:v>
      </x:c>
      <x:c r="F825" s="9" t="str">
        <x:v>MOVE green block to bowl</x:v>
      </x:c>
      <x:c r="G825" s="9"/>
      <x:c r="H825" s="9" t="str">
        <x:v>Matched manipulation control</x:v>
      </x:c>
      <x:c r="I825" s="9" t="str">
        <x:v>SZ-CT-LG05</x:v>
      </x:c>
      <x:c r="J825" s="9" t="str">
        <x:v>Direct</x:v>
      </x:c>
      <x:c r="K825" s="9" t="n">
        <x:v>52</x:v>
      </x:c>
      <x:c r="L825" s="9" t="str">
        <x:v>1079</x:v>
      </x:c>
      <x:c r="M825" s="9"/>
      <x:c r="N825" s="9"/>
      <x:c r="O825" s="9" t="str">
        <x:v>Reset the target to its original pose; change only the prompt.</x:v>
      </x:c>
      <x:c r="P825" s="9" t="str">
        <x:v>Exact-scene control using a direct prompt supported by training episode 1079.</x:v>
      </x:c>
      <x:c r="Q825" s="9"/>
      <x:c r="R825" s="10" t="n">
        <x:v>2</x:v>
      </x:c>
      <x:c r="S825" s="10"/>
      <x:c r="T825" s="9"/>
      <x:c r="U825" s="9"/>
      <x:c r="V825" s="9"/>
      <x:c r="W825" s="9"/>
      <x:c r="X825" s="10"/>
      <x:c r="Y825" s="10"/>
      <x:c r="Z825" s="9"/>
      <x:c r="AA825" s="9"/>
      <x:c r="AB825" s="9"/>
      <x:c r="AC825" s="9"/>
      <x:c r="AD825" s="9" t="str">
        <x:v>green block</x:v>
      </x:c>
      <x:c r="AE825" s="9"/>
      <x:c r="AF825" s="9"/>
      <x:c r="AG825" s="9"/>
      <x:c r="AH825" s="9" t="str">
        <x:v>Left</x:v>
      </x:c>
      <x:c r="AI825" s="11" t="n">
        <x:v>12</x:v>
      </x:c>
      <x:c r="AJ825" s="9" t="str">
        <x:v>Same-scene direct target control</x:v>
      </x:c>
      <x:c r="AK825" s="9" t="str">
        <x:v>Eval_Size_Recognition (1).xlsm</x:v>
      </x:c>
      <x:c r="AL825" s="9" t="str">
        <x:v>pi0.5 Results</x:v>
      </x:c>
      <x:c r="AM825" s="9" t="n">
        <x:v>55</x:v>
      </x:c>
      <x:c r="AN825" s="9" t="n">
        <x:v>55</x:v>
      </x:c>
    </x:row>
    <x:row r="826">
      <x:c r="A826" s="9" t="str">
        <x:v>Success</x:v>
      </x:c>
      <x:c r="B826" s="9" t="str">
        <x:v>Size Recognition</x:v>
      </x:c>
      <x:c r="C826" s="10" t="n">
        <x:v>54</x:v>
      </x:c>
      <x:c r="D826" s="9" t="str">
        <x:v>Move whichever item is larger into the bowl.</x:v>
      </x:c>
      <x:c r="E826" s="9" t="str">
        <x:v>Bowl: empty. Table, robot-left→robot-right: P1 green block; P2 red pencil sharpener. Adjacent centers 12 cm apart; row shifted 4 cm away from the robot; all objects fully visible and grasp paths clear.</x:v>
      </x:c>
      <x:c r="F826" s="9" t="str">
        <x:v>MOVE green block to bowl</x:v>
      </x:c>
      <x:c r="G826" s="9"/>
      <x:c r="H826" s="9" t="str">
        <x:v>Language robustness</x:v>
      </x:c>
      <x:c r="I826" s="9" t="str">
        <x:v>SZ-CT-LG05</x:v>
      </x:c>
      <x:c r="J826" s="9" t="str">
        <x:v>largest</x:v>
      </x:c>
      <x:c r="K826" s="9" t="n">
        <x:v>52</x:v>
      </x:c>
      <x:c r="L826" s="9" t="str">
        <x:v>1084</x:v>
      </x:c>
      <x:c r="M826" s="9"/>
      <x:c r="N826" s="9"/>
      <x:c r="O826" s="9" t="str">
        <x:v>Reset the target; preserve the exact scene and paraphrase only the transfer prompt.</x:v>
      </x:c>
      <x:c r="P826" s="9" t="str">
        <x:v>Exact-scene paraphrase of the primary transfer instruction.</x:v>
      </x:c>
      <x:c r="Q826" s="9"/>
      <x:c r="R826" s="10" t="n">
        <x:v>2</x:v>
      </x:c>
      <x:c r="S826" s="10"/>
      <x:c r="T826" s="9"/>
      <x:c r="U826" s="9"/>
      <x:c r="V826" s="9"/>
      <x:c r="W826" s="9"/>
      <x:c r="X826" s="10"/>
      <x:c r="Y826" s="10"/>
      <x:c r="Z826" s="9"/>
      <x:c r="AA826" s="9"/>
      <x:c r="AB826" s="9"/>
      <x:c r="AC826" s="9"/>
      <x:c r="AD826" s="9" t="str">
        <x:v>green block</x:v>
      </x:c>
      <x:c r="AE826" s="9"/>
      <x:c r="AF826" s="9"/>
      <x:c r="AG826" s="9"/>
      <x:c r="AH826" s="9" t="str">
        <x:v>Left</x:v>
      </x:c>
      <x:c r="AI826" s="11" t="n">
        <x:v>12</x:v>
      </x:c>
      <x:c r="AJ826" s="9" t="str">
        <x:v>Primary compositional-transfer prompt paraphrase</x:v>
      </x:c>
      <x:c r="AK826" s="9" t="str">
        <x:v>Eval_Size_Recognition (1).xlsm</x:v>
      </x:c>
      <x:c r="AL826" s="9" t="str">
        <x:v>pi0.5 Results</x:v>
      </x:c>
      <x:c r="AM826" s="9" t="n">
        <x:v>56</x:v>
      </x:c>
      <x:c r="AN826" s="9" t="n">
        <x:v>56</x:v>
      </x:c>
    </x:row>
    <x:row r="827">
      <x:c r="A827" s="9" t="str">
        <x:v>Success</x:v>
      </x:c>
      <x:c r="B827" s="9" t="str">
        <x:v>Size Recognition</x:v>
      </x:c>
      <x:c r="C827" s="10" t="n">
        <x:v>55</x:v>
      </x:c>
      <x:c r="D827" s="9" t="str">
        <x:v>Take the green block from the table and put it in the bowl.</x:v>
      </x:c>
      <x:c r="E827" s="9" t="str">
        <x:v>Bowl: empty. Table, robot-left→robot-right: P1 green block; P2 red pencil sharpener. Adjacent centers 12 cm apart; row shifted 4 cm away from the robot; all objects fully visible and grasp paths clear.</x:v>
      </x:c>
      <x:c r="F827" s="9" t="str">
        <x:v>MOVE green block to bowl</x:v>
      </x:c>
      <x:c r="G827" s="9"/>
      <x:c r="H827" s="9" t="str">
        <x:v>Language robustness</x:v>
      </x:c>
      <x:c r="I827" s="9" t="str">
        <x:v>SZ-CT-LG05</x:v>
      </x:c>
      <x:c r="J827" s="9" t="str">
        <x:v>Direct</x:v>
      </x:c>
      <x:c r="K827" s="9" t="n">
        <x:v>53</x:v>
      </x:c>
      <x:c r="L827" s="9" t="str">
        <x:v>1079</x:v>
      </x:c>
      <x:c r="M827" s="9"/>
      <x:c r="N827" s="9"/>
      <x:c r="O827" s="9" t="str">
        <x:v>Reset the target; preserve the exact scene and paraphrase only the matched-control prompt.</x:v>
      </x:c>
      <x:c r="P827" s="9" t="str">
        <x:v>Exact-scene paraphrase of the direct manipulation control.</x:v>
      </x:c>
      <x:c r="Q827" s="9"/>
      <x:c r="R827" s="10" t="n">
        <x:v>2</x:v>
      </x:c>
      <x:c r="S827" s="10"/>
      <x:c r="T827" s="9"/>
      <x:c r="U827" s="9"/>
      <x:c r="V827" s="9"/>
      <x:c r="W827" s="9"/>
      <x:c r="X827" s="10"/>
      <x:c r="Y827" s="10"/>
      <x:c r="Z827" s="9"/>
      <x:c r="AA827" s="9"/>
      <x:c r="AB827" s="9"/>
      <x:c r="AC827" s="9"/>
      <x:c r="AD827" s="9" t="str">
        <x:v>green block</x:v>
      </x:c>
      <x:c r="AE827" s="9"/>
      <x:c r="AF827" s="9"/>
      <x:c r="AG827" s="9"/>
      <x:c r="AH827" s="9" t="str">
        <x:v>Left</x:v>
      </x:c>
      <x:c r="AI827" s="11" t="n">
        <x:v>12</x:v>
      </x:c>
      <x:c r="AJ827" s="9" t="str">
        <x:v>Matched-control direct prompt paraphrase</x:v>
      </x:c>
      <x:c r="AK827" s="9" t="str">
        <x:v>Eval_Size_Recognition (1).xlsm</x:v>
      </x:c>
      <x:c r="AL827" s="9" t="str">
        <x:v>pi0.5 Results</x:v>
      </x:c>
      <x:c r="AM827" s="9" t="n">
        <x:v>57</x:v>
      </x:c>
      <x:c r="AN827" s="9" t="n">
        <x:v>57</x:v>
      </x:c>
    </x:row>
    <x:row r="828">
      <x:c r="A828" s="9" t="str">
        <x:v>Failure</x:v>
      </x:c>
      <x:c r="B828" s="9" t="str">
        <x:v>Size Recognition</x:v>
      </x:c>
      <x:c r="C828" s="10" t="n">
        <x:v>56</x:v>
      </x:c>
      <x:c r="D828" s="9" t="str">
        <x:v>Put the smallest object in the bowl.</x:v>
      </x:c>
      <x:c r="E828" s="9" t="str">
        <x:v>Bowl: empty. Table, robot-left→robot-right: P1 crushed Pepsi can; P2 juggling ball. Adjacent centers 16 cm apart; row shifted 4 cm toward robot-left; all objects fully visible and grasp paths clear.</x:v>
      </x:c>
      <x:c r="F828" s="9" t="str">
        <x:v>MOVE juggling ball to bowl</x:v>
      </x:c>
      <x:c r="G828" s="9" t="str">
        <x:v>Placed the soda can</x:v>
      </x:c>
      <x:c r="H828" s="9" t="str">
        <x:v>Concept/compositional transfer</x:v>
      </x:c>
      <x:c r="I828" s="9" t="str">
        <x:v>SZ-CT-SJ05</x:v>
      </x:c>
      <x:c r="J828" s="9" t="str">
        <x:v>smallest</x:v>
      </x:c>
      <x:c r="K828" s="9"/>
      <x:c r="L828" s="9" t="str">
        <x:v>1109</x:v>
      </x:c>
      <x:c r="M828" s="9"/>
      <x:c r="N828" s="9"/>
      <x:c r="O828" s="9" t="str">
        <x:v>Build the listed two-object scene and save a first-frame filename.</x:v>
      </x:c>
      <x:c r="P828" s="9" t="str">
        <x:v>Primary missing cell. Training episode 1109 contains the same target trajectory but masks the size word with a direct identity prompt.</x:v>
      </x:c>
      <x:c r="Q828" s="9"/>
      <x:c r="R828" s="10" t="n">
        <x:v>2</x:v>
      </x:c>
      <x:c r="S828" s="10"/>
      <x:c r="T828" s="9"/>
      <x:c r="U828" s="9"/>
      <x:c r="V828" s="9"/>
      <x:c r="W828" s="9"/>
      <x:c r="X828" s="10"/>
      <x:c r="Y828" s="10"/>
      <x:c r="Z828" s="9"/>
      <x:c r="AA828" s="9"/>
      <x:c r="AB828" s="9"/>
      <x:c r="AC828" s="9"/>
      <x:c r="AD828" s="9" t="str">
        <x:v>juggling ball</x:v>
      </x:c>
      <x:c r="AE828" s="9"/>
      <x:c r="AF828" s="9"/>
      <x:c r="AG828" s="9"/>
      <x:c r="AH828" s="9" t="str">
        <x:v>Right</x:v>
      </x:c>
      <x:c r="AI828" s="11" t="n">
        <x:v>16</x:v>
      </x:c>
      <x:c r="AJ828" s="9" t="str">
        <x:v>Held-out smallest × juggling ball — Put</x:v>
      </x:c>
      <x:c r="AK828" s="9" t="str">
        <x:v>Eval_Size_Recognition (1).xlsm</x:v>
      </x:c>
      <x:c r="AL828" s="9" t="str">
        <x:v>pi0.5 Results</x:v>
      </x:c>
      <x:c r="AM828" s="9" t="n">
        <x:v>58</x:v>
      </x:c>
      <x:c r="AN828" s="9" t="n">
        <x:v>58</x:v>
      </x:c>
    </x:row>
    <x:row r="829">
      <x:c r="A829" s="9" t="str">
        <x:v>Success</x:v>
      </x:c>
      <x:c r="B829" s="9" t="str">
        <x:v>Size Recognition</x:v>
      </x:c>
      <x:c r="C829" s="10" t="n">
        <x:v>57</x:v>
      </x:c>
      <x:c r="D829" s="9" t="str">
        <x:v>Move the juggling ball into the bowl.</x:v>
      </x:c>
      <x:c r="E829" s="9" t="str">
        <x:v>Bowl: empty. Table, robot-left→robot-right: P1 crushed Pepsi can; P2 juggling ball. Adjacent centers 16 cm apart; row shifted 4 cm toward robot-left; all objects fully visible and grasp paths clear.</x:v>
      </x:c>
      <x:c r="F829" s="9" t="str">
        <x:v>MOVE juggling ball to bowl</x:v>
      </x:c>
      <x:c r="G829" s="9"/>
      <x:c r="H829" s="9" t="str">
        <x:v>Matched manipulation control</x:v>
      </x:c>
      <x:c r="I829" s="9" t="str">
        <x:v>SZ-CT-SJ05</x:v>
      </x:c>
      <x:c r="J829" s="9" t="str">
        <x:v>Direct</x:v>
      </x:c>
      <x:c r="K829" s="9" t="n">
        <x:v>56</x:v>
      </x:c>
      <x:c r="L829" s="9" t="str">
        <x:v>1104</x:v>
      </x:c>
      <x:c r="M829" s="9"/>
      <x:c r="N829" s="9"/>
      <x:c r="O829" s="9" t="str">
        <x:v>Reset the target to its original pose; change only the prompt.</x:v>
      </x:c>
      <x:c r="P829" s="9" t="str">
        <x:v>Exact-scene control using a direct prompt supported by training episode 1104.</x:v>
      </x:c>
      <x:c r="Q829" s="9"/>
      <x:c r="R829" s="10" t="n">
        <x:v>2</x:v>
      </x:c>
      <x:c r="S829" s="10"/>
      <x:c r="T829" s="9"/>
      <x:c r="U829" s="9"/>
      <x:c r="V829" s="9"/>
      <x:c r="W829" s="9"/>
      <x:c r="X829" s="10"/>
      <x:c r="Y829" s="10"/>
      <x:c r="Z829" s="9"/>
      <x:c r="AA829" s="9"/>
      <x:c r="AB829" s="9"/>
      <x:c r="AC829" s="9"/>
      <x:c r="AD829" s="9" t="str">
        <x:v>juggling ball</x:v>
      </x:c>
      <x:c r="AE829" s="9"/>
      <x:c r="AF829" s="9"/>
      <x:c r="AG829" s="9"/>
      <x:c r="AH829" s="9" t="str">
        <x:v>Right</x:v>
      </x:c>
      <x:c r="AI829" s="11" t="n">
        <x:v>16</x:v>
      </x:c>
      <x:c r="AJ829" s="9" t="str">
        <x:v>Same-scene direct target control</x:v>
      </x:c>
      <x:c r="AK829" s="9" t="str">
        <x:v>Eval_Size_Recognition (1).xlsm</x:v>
      </x:c>
      <x:c r="AL829" s="9" t="str">
        <x:v>pi0.5 Results</x:v>
      </x:c>
      <x:c r="AM829" s="9" t="n">
        <x:v>59</x:v>
      </x:c>
      <x:c r="AN829" s="9" t="n">
        <x:v>59</x:v>
      </x:c>
    </x:row>
    <x:row r="830">
      <x:c r="A830" s="9" t="str">
        <x:v>Failure</x:v>
      </x:c>
      <x:c r="B830" s="9" t="str">
        <x:v>Size Recognition</x:v>
      </x:c>
      <x:c r="C830" s="10" t="n">
        <x:v>58</x:v>
      </x:c>
      <x:c r="D830" s="9" t="str">
        <x:v>Move whichever item is smaller into the bowl.</x:v>
      </x:c>
      <x:c r="E830" s="9" t="str">
        <x:v>Bowl: empty. Table, robot-left→robot-right: P1 crushed Pepsi can; P2 juggling ball. Adjacent centers 16 cm apart; row shifted 4 cm toward robot-left; all objects fully visible and grasp paths clear.</x:v>
      </x:c>
      <x:c r="F830" s="9" t="str">
        <x:v>MOVE juggling ball to bowl</x:v>
      </x:c>
      <x:c r="G830" s="9" t="str">
        <x:v>Placed the soda can</x:v>
      </x:c>
      <x:c r="H830" s="9" t="str">
        <x:v>Language robustness</x:v>
      </x:c>
      <x:c r="I830" s="9" t="str">
        <x:v>SZ-CT-SJ05</x:v>
      </x:c>
      <x:c r="J830" s="9" t="str">
        <x:v>smallest</x:v>
      </x:c>
      <x:c r="K830" s="9" t="n">
        <x:v>56</x:v>
      </x:c>
      <x:c r="L830" s="9" t="str">
        <x:v>1109</x:v>
      </x:c>
      <x:c r="M830" s="9"/>
      <x:c r="N830" s="9"/>
      <x:c r="O830" s="9" t="str">
        <x:v>Reset the target; preserve the exact scene and paraphrase only the transfer prompt.</x:v>
      </x:c>
      <x:c r="P830" s="9" t="str">
        <x:v>Exact-scene paraphrase of the primary transfer instruction.</x:v>
      </x:c>
      <x:c r="Q830" s="9"/>
      <x:c r="R830" s="10" t="n">
        <x:v>2</x:v>
      </x:c>
      <x:c r="S830" s="10"/>
      <x:c r="T830" s="9"/>
      <x:c r="U830" s="9"/>
      <x:c r="V830" s="9"/>
      <x:c r="W830" s="9"/>
      <x:c r="X830" s="10"/>
      <x:c r="Y830" s="10"/>
      <x:c r="Z830" s="9"/>
      <x:c r="AA830" s="9"/>
      <x:c r="AB830" s="9"/>
      <x:c r="AC830" s="9"/>
      <x:c r="AD830" s="9" t="str">
        <x:v>juggling ball</x:v>
      </x:c>
      <x:c r="AE830" s="9"/>
      <x:c r="AF830" s="9"/>
      <x:c r="AG830" s="9"/>
      <x:c r="AH830" s="9" t="str">
        <x:v>Right</x:v>
      </x:c>
      <x:c r="AI830" s="11" t="n">
        <x:v>16</x:v>
      </x:c>
      <x:c r="AJ830" s="9" t="str">
        <x:v>Primary compositional-transfer prompt paraphrase</x:v>
      </x:c>
      <x:c r="AK830" s="9" t="str">
        <x:v>Eval_Size_Recognition (1).xlsm</x:v>
      </x:c>
      <x:c r="AL830" s="9" t="str">
        <x:v>pi0.5 Results</x:v>
      </x:c>
      <x:c r="AM830" s="9" t="n">
        <x:v>60</x:v>
      </x:c>
      <x:c r="AN830" s="9" t="n">
        <x:v>60</x:v>
      </x:c>
    </x:row>
    <x:row r="831">
      <x:c r="A831" s="9" t="str">
        <x:v>Success</x:v>
      </x:c>
      <x:c r="B831" s="9" t="str">
        <x:v>Size Recognition</x:v>
      </x:c>
      <x:c r="C831" s="10" t="n">
        <x:v>59</x:v>
      </x:c>
      <x:c r="D831" s="9" t="str">
        <x:v>Take the juggling ball from the table and put it in the bowl.</x:v>
      </x:c>
      <x:c r="E831" s="9" t="str">
        <x:v>Bowl: empty. Table, robot-left→robot-right: P1 crushed Pepsi can; P2 juggling ball. Adjacent centers 16 cm apart; row shifted 4 cm toward robot-left; all objects fully visible and grasp paths clear.</x:v>
      </x:c>
      <x:c r="F831" s="9" t="str">
        <x:v>MOVE juggling ball to bowl</x:v>
      </x:c>
      <x:c r="G831" s="9"/>
      <x:c r="H831" s="9" t="str">
        <x:v>Language robustness</x:v>
      </x:c>
      <x:c r="I831" s="9" t="str">
        <x:v>SZ-CT-SJ05</x:v>
      </x:c>
      <x:c r="J831" s="9" t="str">
        <x:v>Direct</x:v>
      </x:c>
      <x:c r="K831" s="9" t="n">
        <x:v>57</x:v>
      </x:c>
      <x:c r="L831" s="9" t="str">
        <x:v>1104</x:v>
      </x:c>
      <x:c r="M831" s="9"/>
      <x:c r="N831" s="9"/>
      <x:c r="O831" s="9" t="str">
        <x:v>Reset the target; preserve the exact scene and paraphrase only the matched-control prompt.</x:v>
      </x:c>
      <x:c r="P831" s="9" t="str">
        <x:v>Exact-scene paraphrase of the direct manipulation control.</x:v>
      </x:c>
      <x:c r="Q831" s="9"/>
      <x:c r="R831" s="10" t="n">
        <x:v>2</x:v>
      </x:c>
      <x:c r="S831" s="10"/>
      <x:c r="T831" s="9"/>
      <x:c r="U831" s="9"/>
      <x:c r="V831" s="9"/>
      <x:c r="W831" s="9"/>
      <x:c r="X831" s="10"/>
      <x:c r="Y831" s="10"/>
      <x:c r="Z831" s="9"/>
      <x:c r="AA831" s="9"/>
      <x:c r="AB831" s="9"/>
      <x:c r="AC831" s="9"/>
      <x:c r="AD831" s="9" t="str">
        <x:v>juggling ball</x:v>
      </x:c>
      <x:c r="AE831" s="9"/>
      <x:c r="AF831" s="9"/>
      <x:c r="AG831" s="9"/>
      <x:c r="AH831" s="9" t="str">
        <x:v>Right</x:v>
      </x:c>
      <x:c r="AI831" s="11" t="n">
        <x:v>16</x:v>
      </x:c>
      <x:c r="AJ831" s="9" t="str">
        <x:v>Matched-control direct prompt paraphrase</x:v>
      </x:c>
      <x:c r="AK831" s="9" t="str">
        <x:v>Eval_Size_Recognition (1).xlsm</x:v>
      </x:c>
      <x:c r="AL831" s="9" t="str">
        <x:v>pi0.5 Results</x:v>
      </x:c>
      <x:c r="AM831" s="9" t="n">
        <x:v>61</x:v>
      </x:c>
      <x:c r="AN831" s="9" t="n">
        <x:v>61</x:v>
      </x:c>
    </x:row>
    <x:row r="832">
      <x:c r="A832" s="9" t="str">
        <x:v>Success</x:v>
      </x:c>
      <x:c r="B832" s="9" t="str">
        <x:v>Size Recognition</x:v>
      </x:c>
      <x:c r="C832" s="10" t="n">
        <x:v>60</x:v>
      </x:c>
      <x:c r="D832" s="9" t="str">
        <x:v>Put the largest object in the bowl.</x:v>
      </x:c>
      <x:c r="E832" s="9" t="str">
        <x:v>Bowl: empty. Table, robot-left→robot-right: P1 red pencil sharpener; P2 green block. Adjacent centers 16 cm apart; row centered on the workspace; all objects fully visible and grasp paths clear.</x:v>
      </x:c>
      <x:c r="F832" s="9" t="str">
        <x:v>MOVE green block to bowl</x:v>
      </x:c>
      <x:c r="G832" s="9"/>
      <x:c r="H832" s="9" t="str">
        <x:v>Concept/compositional transfer</x:v>
      </x:c>
      <x:c r="I832" s="9" t="str">
        <x:v>SZ-CT-LG06</x:v>
      </x:c>
      <x:c r="J832" s="9" t="str">
        <x:v>largest</x:v>
      </x:c>
      <x:c r="K832" s="9"/>
      <x:c r="L832" s="9" t="str">
        <x:v>1085</x:v>
      </x:c>
      <x:c r="M832" s="9"/>
      <x:c r="N832" s="9"/>
      <x:c r="O832" s="9" t="str">
        <x:v>Build the listed two-object scene and save a first-frame filename.</x:v>
      </x:c>
      <x:c r="P832" s="9" t="str">
        <x:v>Primary missing cell. Training episode 1085 contains the same target trajectory but masks the size word with a direct identity prompt.</x:v>
      </x:c>
      <x:c r="Q832" s="9"/>
      <x:c r="R832" s="10" t="n">
        <x:v>2</x:v>
      </x:c>
      <x:c r="S832" s="10"/>
      <x:c r="T832" s="9"/>
      <x:c r="U832" s="9"/>
      <x:c r="V832" s="9"/>
      <x:c r="W832" s="9"/>
      <x:c r="X832" s="10"/>
      <x:c r="Y832" s="10"/>
      <x:c r="Z832" s="9"/>
      <x:c r="AA832" s="9"/>
      <x:c r="AB832" s="9"/>
      <x:c r="AC832" s="9"/>
      <x:c r="AD832" s="9" t="str">
        <x:v>green block</x:v>
      </x:c>
      <x:c r="AE832" s="9"/>
      <x:c r="AF832" s="9"/>
      <x:c r="AG832" s="9"/>
      <x:c r="AH832" s="9" t="str">
        <x:v>Right</x:v>
      </x:c>
      <x:c r="AI832" s="11" t="n">
        <x:v>16</x:v>
      </x:c>
      <x:c r="AJ832" s="9" t="str">
        <x:v>Held-out largest × green block — Put</x:v>
      </x:c>
      <x:c r="AK832" s="9" t="str">
        <x:v>Eval_Size_Recognition (1).xlsm</x:v>
      </x:c>
      <x:c r="AL832" s="9" t="str">
        <x:v>pi0.5 Results</x:v>
      </x:c>
      <x:c r="AM832" s="9" t="n">
        <x:v>62</x:v>
      </x:c>
      <x:c r="AN832" s="9" t="n">
        <x:v>62</x:v>
      </x:c>
    </x:row>
    <x:row r="833">
      <x:c r="A833" s="9" t="str">
        <x:v>Success</x:v>
      </x:c>
      <x:c r="B833" s="9" t="str">
        <x:v>Size Recognition</x:v>
      </x:c>
      <x:c r="C833" s="10" t="n">
        <x:v>61</x:v>
      </x:c>
      <x:c r="D833" s="9" t="str">
        <x:v>Pick up the green block and place it in the bowl.</x:v>
      </x:c>
      <x:c r="E833" s="9" t="str">
        <x:v>Bowl: empty. Table, robot-left→robot-right: P1 red pencil sharpener; P2 green block. Adjacent centers 16 cm apart; row centered on the workspace; all objects fully visible and grasp paths clear.</x:v>
      </x:c>
      <x:c r="F833" s="9" t="str">
        <x:v>MOVE green block to bowl</x:v>
      </x:c>
      <x:c r="G833" s="9"/>
      <x:c r="H833" s="9" t="str">
        <x:v>Matched manipulation control</x:v>
      </x:c>
      <x:c r="I833" s="9" t="str">
        <x:v>SZ-CT-LG06</x:v>
      </x:c>
      <x:c r="J833" s="9" t="str">
        <x:v>Direct</x:v>
      </x:c>
      <x:c r="K833" s="9" t="n">
        <x:v>60</x:v>
      </x:c>
      <x:c r="L833" s="9" t="str">
        <x:v>1075</x:v>
      </x:c>
      <x:c r="M833" s="9"/>
      <x:c r="N833" s="9"/>
      <x:c r="O833" s="9" t="str">
        <x:v>Reset the target to its original pose; change only the prompt.</x:v>
      </x:c>
      <x:c r="P833" s="9" t="str">
        <x:v>Exact-scene control using a direct prompt supported by training episode 1075.</x:v>
      </x:c>
      <x:c r="Q833" s="9"/>
      <x:c r="R833" s="10" t="n">
        <x:v>2</x:v>
      </x:c>
      <x:c r="S833" s="10"/>
      <x:c r="T833" s="9"/>
      <x:c r="U833" s="9"/>
      <x:c r="V833" s="9"/>
      <x:c r="W833" s="9"/>
      <x:c r="X833" s="10"/>
      <x:c r="Y833" s="10"/>
      <x:c r="Z833" s="9"/>
      <x:c r="AA833" s="9"/>
      <x:c r="AB833" s="9"/>
      <x:c r="AC833" s="9"/>
      <x:c r="AD833" s="9" t="str">
        <x:v>green block</x:v>
      </x:c>
      <x:c r="AE833" s="9"/>
      <x:c r="AF833" s="9"/>
      <x:c r="AG833" s="9"/>
      <x:c r="AH833" s="9" t="str">
        <x:v>Right</x:v>
      </x:c>
      <x:c r="AI833" s="11" t="n">
        <x:v>16</x:v>
      </x:c>
      <x:c r="AJ833" s="9" t="str">
        <x:v>Same-scene direct target control</x:v>
      </x:c>
      <x:c r="AK833" s="9" t="str">
        <x:v>Eval_Size_Recognition (1).xlsm</x:v>
      </x:c>
      <x:c r="AL833" s="9" t="str">
        <x:v>pi0.5 Results</x:v>
      </x:c>
      <x:c r="AM833" s="9" t="n">
        <x:v>63</x:v>
      </x:c>
      <x:c r="AN833" s="9" t="n">
        <x:v>63</x:v>
      </x:c>
    </x:row>
    <x:row r="834">
      <x:c r="A834" s="9" t="str">
        <x:v>Success</x:v>
      </x:c>
      <x:c r="B834" s="9" t="str">
        <x:v>Size Recognition</x:v>
      </x:c>
      <x:c r="C834" s="10" t="n">
        <x:v>62</x:v>
      </x:c>
      <x:c r="D834" s="9" t="str">
        <x:v>Move the object that is smallest into the bowl.</x:v>
      </x:c>
      <x:c r="E834" s="9" t="str">
        <x:v>Bowl: empty. Table, robot-left→robot-right: P1 juggling ball; P2 crushed Pepsi can. Adjacent centers 8 cm apart; row shifted 4 cm toward robot-right; all objects fully visible and grasp paths clear.</x:v>
      </x:c>
      <x:c r="F834" s="9" t="str">
        <x:v>MOVE juggling ball to bowl</x:v>
      </x:c>
      <x:c r="G834" s="9"/>
      <x:c r="H834" s="9" t="str">
        <x:v>Concept/compositional transfer</x:v>
      </x:c>
      <x:c r="I834" s="9" t="str">
        <x:v>SZ-CT-SJ06</x:v>
      </x:c>
      <x:c r="J834" s="9" t="str">
        <x:v>smallest</x:v>
      </x:c>
      <x:c r="K834" s="9"/>
      <x:c r="L834" s="9" t="str">
        <x:v>1110</x:v>
      </x:c>
      <x:c r="M834" s="9"/>
      <x:c r="N834" s="9"/>
      <x:c r="O834" s="9" t="str">
        <x:v>Build the listed two-object scene and save a first-frame filename.</x:v>
      </x:c>
      <x:c r="P834" s="9" t="str">
        <x:v>Primary missing cell. Training episode 1110 contains the same target trajectory but masks the size word with a direct identity prompt.</x:v>
      </x:c>
      <x:c r="Q834" s="9"/>
      <x:c r="R834" s="10" t="n">
        <x:v>2</x:v>
      </x:c>
      <x:c r="S834" s="10"/>
      <x:c r="T834" s="9"/>
      <x:c r="U834" s="9"/>
      <x:c r="V834" s="9"/>
      <x:c r="W834" s="9"/>
      <x:c r="X834" s="10"/>
      <x:c r="Y834" s="10"/>
      <x:c r="Z834" s="9"/>
      <x:c r="AA834" s="9"/>
      <x:c r="AB834" s="9"/>
      <x:c r="AC834" s="9"/>
      <x:c r="AD834" s="9" t="str">
        <x:v>juggling ball</x:v>
      </x:c>
      <x:c r="AE834" s="9"/>
      <x:c r="AF834" s="9"/>
      <x:c r="AG834" s="9"/>
      <x:c r="AH834" s="9" t="str">
        <x:v>Left</x:v>
      </x:c>
      <x:c r="AI834" s="11" t="n">
        <x:v>8</x:v>
      </x:c>
      <x:c r="AJ834" s="9" t="str">
        <x:v>Held-out smallest × juggling ball — Move</x:v>
      </x:c>
      <x:c r="AK834" s="9" t="str">
        <x:v>Eval_Size_Recognition (1).xlsm</x:v>
      </x:c>
      <x:c r="AL834" s="9" t="str">
        <x:v>pi0.5 Results</x:v>
      </x:c>
      <x:c r="AM834" s="9" t="n">
        <x:v>64</x:v>
      </x:c>
      <x:c r="AN834" s="9" t="n">
        <x:v>64</x:v>
      </x:c>
    </x:row>
    <x:row r="835">
      <x:c r="A835" s="9" t="str">
        <x:v>Success</x:v>
      </x:c>
      <x:c r="B835" s="9" t="str">
        <x:v>Size Recognition</x:v>
      </x:c>
      <x:c r="C835" s="10" t="n">
        <x:v>63</x:v>
      </x:c>
      <x:c r="D835" s="9" t="str">
        <x:v>Pick up the juggling ball and place it in the bowl.</x:v>
      </x:c>
      <x:c r="E835" s="9" t="str">
        <x:v>Bowl: empty. Table, robot-left→robot-right: P1 juggling ball; P2 crushed Pepsi can. Adjacent centers 8 cm apart; row shifted 4 cm toward robot-right; all objects fully visible and grasp paths clear.</x:v>
      </x:c>
      <x:c r="F835" s="9" t="str">
        <x:v>MOVE juggling ball to bowl</x:v>
      </x:c>
      <x:c r="G835" s="9"/>
      <x:c r="H835" s="9" t="str">
        <x:v>Matched manipulation control</x:v>
      </x:c>
      <x:c r="I835" s="9" t="str">
        <x:v>SZ-CT-SJ06</x:v>
      </x:c>
      <x:c r="J835" s="9" t="str">
        <x:v>Direct</x:v>
      </x:c>
      <x:c r="K835" s="9" t="n">
        <x:v>62</x:v>
      </x:c>
      <x:c r="L835" s="9" t="str">
        <x:v>1100</x:v>
      </x:c>
      <x:c r="M835" s="9"/>
      <x:c r="N835" s="9"/>
      <x:c r="O835" s="9" t="str">
        <x:v>Reset the target to its original pose; change only the prompt.</x:v>
      </x:c>
      <x:c r="P835" s="9" t="str">
        <x:v>Exact-scene control using a direct prompt supported by training episode 1100.</x:v>
      </x:c>
      <x:c r="Q835" s="9"/>
      <x:c r="R835" s="10" t="n">
        <x:v>2</x:v>
      </x:c>
      <x:c r="S835" s="10"/>
      <x:c r="T835" s="9"/>
      <x:c r="U835" s="9"/>
      <x:c r="V835" s="9"/>
      <x:c r="W835" s="9"/>
      <x:c r="X835" s="10"/>
      <x:c r="Y835" s="10"/>
      <x:c r="Z835" s="9"/>
      <x:c r="AA835" s="9"/>
      <x:c r="AB835" s="9"/>
      <x:c r="AC835" s="9"/>
      <x:c r="AD835" s="9" t="str">
        <x:v>juggling ball</x:v>
      </x:c>
      <x:c r="AE835" s="9"/>
      <x:c r="AF835" s="9"/>
      <x:c r="AG835" s="9"/>
      <x:c r="AH835" s="9" t="str">
        <x:v>Left</x:v>
      </x:c>
      <x:c r="AI835" s="11" t="n">
        <x:v>8</x:v>
      </x:c>
      <x:c r="AJ835" s="9" t="str">
        <x:v>Same-scene direct target control</x:v>
      </x:c>
      <x:c r="AK835" s="9" t="str">
        <x:v>Eval_Size_Recognition (1).xlsm</x:v>
      </x:c>
      <x:c r="AL835" s="9" t="str">
        <x:v>pi0.5 Results</x:v>
      </x:c>
      <x:c r="AM835" s="9" t="n">
        <x:v>65</x:v>
      </x:c>
      <x:c r="AN835" s="9" t="n">
        <x:v>65</x:v>
      </x:c>
    </x:row>
    <x:row r="836">
      <x:c r="A836" s="9" t="str">
        <x:v>Failure</x:v>
      </x:c>
      <x:c r="B836" s="9" t="str">
        <x:v>Size Recognition</x:v>
      </x:c>
      <x:c r="C836" s="10" t="n">
        <x:v>64</x:v>
      </x:c>
      <x:c r="D836" s="9" t="str">
        <x:v>Move the object that is largest into the bowl.</x:v>
      </x:c>
      <x:c r="E836" s="9" t="str">
        <x:v>Bowl: empty. Table, robot-left→robot-right: P1 green block; P2 red pencil sharpener. Adjacent centers 8 cm apart; row shifted 4 cm toward robot-left; all objects fully visible and grasp paths clear.</x:v>
      </x:c>
      <x:c r="F836" s="9" t="str">
        <x:v>MOVE green block to bowl</x:v>
      </x:c>
      <x:c r="G836" s="9" t="str">
        <x:v>Grabbed red pencil sharpener. pencil sharpener was placed in front of the robot. </x:v>
      </x:c>
      <x:c r="H836" s="9" t="str">
        <x:v>Concept/compositional transfer</x:v>
      </x:c>
      <x:c r="I836" s="9" t="str">
        <x:v>SZ-CT-LG07</x:v>
      </x:c>
      <x:c r="J836" s="9" t="str">
        <x:v>largest</x:v>
      </x:c>
      <x:c r="K836" s="9"/>
      <x:c r="L836" s="9" t="str">
        <x:v>1086</x:v>
      </x:c>
      <x:c r="M836" s="9"/>
      <x:c r="N836" s="9"/>
      <x:c r="O836" s="9" t="str">
        <x:v>Build the listed two-object scene and save a first-frame filename.</x:v>
      </x:c>
      <x:c r="P836" s="9" t="str">
        <x:v>Primary missing cell. Training episode 1086 contains the same target trajectory but masks the size word with a direct identity prompt.</x:v>
      </x:c>
      <x:c r="Q836" s="9"/>
      <x:c r="R836" s="10" t="n">
        <x:v>2</x:v>
      </x:c>
      <x:c r="S836" s="10"/>
      <x:c r="T836" s="9"/>
      <x:c r="U836" s="9"/>
      <x:c r="V836" s="9"/>
      <x:c r="W836" s="9"/>
      <x:c r="X836" s="10"/>
      <x:c r="Y836" s="10"/>
      <x:c r="Z836" s="9"/>
      <x:c r="AA836" s="9"/>
      <x:c r="AB836" s="9"/>
      <x:c r="AC836" s="9"/>
      <x:c r="AD836" s="9" t="str">
        <x:v>green block</x:v>
      </x:c>
      <x:c r="AE836" s="9"/>
      <x:c r="AF836" s="9"/>
      <x:c r="AG836" s="9"/>
      <x:c r="AH836" s="9" t="str">
        <x:v>Left</x:v>
      </x:c>
      <x:c r="AI836" s="11" t="n">
        <x:v>8</x:v>
      </x:c>
      <x:c r="AJ836" s="9" t="str">
        <x:v>Held-out largest × green block — Move</x:v>
      </x:c>
      <x:c r="AK836" s="9" t="str">
        <x:v>Eval_Size_Recognition (1).xlsm</x:v>
      </x:c>
      <x:c r="AL836" s="9" t="str">
        <x:v>pi0.5 Results</x:v>
      </x:c>
      <x:c r="AM836" s="9" t="n">
        <x:v>66</x:v>
      </x:c>
      <x:c r="AN836" s="9" t="n">
        <x:v>66</x:v>
      </x:c>
    </x:row>
    <x:row r="837">
      <x:c r="A837" s="9" t="str">
        <x:v>Success</x:v>
      </x:c>
      <x:c r="B837" s="9" t="str">
        <x:v>Size Recognition</x:v>
      </x:c>
      <x:c r="C837" s="10" t="n">
        <x:v>65</x:v>
      </x:c>
      <x:c r="D837" s="9" t="str">
        <x:v>Put the green block in the bowl.</x:v>
      </x:c>
      <x:c r="E837" s="9" t="str">
        <x:v>Bowl: empty. Table, robot-left→robot-right: P1 green block; P2 red pencil sharpener. Adjacent centers 8 cm apart; row shifted 4 cm toward robot-left; all objects fully visible and grasp paths clear.</x:v>
      </x:c>
      <x:c r="F837" s="9" t="str">
        <x:v>MOVE green block to bowl</x:v>
      </x:c>
      <x:c r="G837" s="9"/>
      <x:c r="H837" s="9" t="str">
        <x:v>Matched manipulation control</x:v>
      </x:c>
      <x:c r="I837" s="9" t="str">
        <x:v>SZ-CT-LG07</x:v>
      </x:c>
      <x:c r="J837" s="9" t="str">
        <x:v>Direct</x:v>
      </x:c>
      <x:c r="K837" s="9" t="n">
        <x:v>64</x:v>
      </x:c>
      <x:c r="L837" s="9" t="str">
        <x:v>1076</x:v>
      </x:c>
      <x:c r="M837" s="9"/>
      <x:c r="N837" s="9"/>
      <x:c r="O837" s="9" t="str">
        <x:v>Reset the target to its original pose; change only the prompt.</x:v>
      </x:c>
      <x:c r="P837" s="9" t="str">
        <x:v>Exact-scene control using a direct prompt supported by training episode 1076.</x:v>
      </x:c>
      <x:c r="Q837" s="9"/>
      <x:c r="R837" s="10" t="n">
        <x:v>2</x:v>
      </x:c>
      <x:c r="S837" s="10"/>
      <x:c r="T837" s="9"/>
      <x:c r="U837" s="9"/>
      <x:c r="V837" s="9"/>
      <x:c r="W837" s="9"/>
      <x:c r="X837" s="10"/>
      <x:c r="Y837" s="10"/>
      <x:c r="Z837" s="9"/>
      <x:c r="AA837" s="9"/>
      <x:c r="AB837" s="9"/>
      <x:c r="AC837" s="9"/>
      <x:c r="AD837" s="9" t="str">
        <x:v>green block</x:v>
      </x:c>
      <x:c r="AE837" s="9"/>
      <x:c r="AF837" s="9"/>
      <x:c r="AG837" s="9"/>
      <x:c r="AH837" s="9" t="str">
        <x:v>Left</x:v>
      </x:c>
      <x:c r="AI837" s="11" t="n">
        <x:v>8</x:v>
      </x:c>
      <x:c r="AJ837" s="9" t="str">
        <x:v>Same-scene direct target control</x:v>
      </x:c>
      <x:c r="AK837" s="9" t="str">
        <x:v>Eval_Size_Recognition (1).xlsm</x:v>
      </x:c>
      <x:c r="AL837" s="9" t="str">
        <x:v>pi0.5 Results</x:v>
      </x:c>
      <x:c r="AM837" s="9" t="n">
        <x:v>67</x:v>
      </x:c>
      <x:c r="AN837" s="9" t="n">
        <x:v>67</x:v>
      </x:c>
    </x:row>
    <x:row r="838">
      <x:c r="A838" s="9" t="str">
        <x:v>Failure</x:v>
      </x:c>
      <x:c r="B838" s="9" t="str">
        <x:v>Size Recognition</x:v>
      </x:c>
      <x:c r="C838" s="10" t="n">
        <x:v>66</x:v>
      </x:c>
      <x:c r="D838" s="9" t="str">
        <x:v>Pick up the smallest item and place it in the bowl.</x:v>
      </x:c>
      <x:c r="E838" s="9" t="str">
        <x:v>Bowl: empty. Table, robot-left→robot-right: P1 crushed Pepsi can; P2 juggling ball. Adjacent centers 12 cm apart; row shifted 4 cm toward the robot; all objects fully visible and grasp paths clear.</x:v>
      </x:c>
      <x:c r="F838" s="9" t="str">
        <x:v>MOVE juggling ball to bowl</x:v>
      </x:c>
      <x:c r="G838" s="9" t="str">
        <x:v>Grabbed soda can. can was placed in front of the robot</x:v>
      </x:c>
      <x:c r="H838" s="9" t="str">
        <x:v>Concept/compositional transfer</x:v>
      </x:c>
      <x:c r="I838" s="9" t="str">
        <x:v>SZ-CT-SJ07</x:v>
      </x:c>
      <x:c r="J838" s="9" t="str">
        <x:v>smallest</x:v>
      </x:c>
      <x:c r="K838" s="9"/>
      <x:c r="L838" s="9" t="str">
        <x:v>1111</x:v>
      </x:c>
      <x:c r="M838" s="9"/>
      <x:c r="N838" s="9"/>
      <x:c r="O838" s="9" t="str">
        <x:v>Build the listed two-object scene and save a first-frame filename.</x:v>
      </x:c>
      <x:c r="P838" s="9" t="str">
        <x:v>Primary missing cell. Training episode 1111 contains the same target trajectory but masks the size word with a direct identity prompt.</x:v>
      </x:c>
      <x:c r="Q838" s="9"/>
      <x:c r="R838" s="10" t="n">
        <x:v>2</x:v>
      </x:c>
      <x:c r="S838" s="10"/>
      <x:c r="T838" s="9"/>
      <x:c r="U838" s="9"/>
      <x:c r="V838" s="9"/>
      <x:c r="W838" s="9"/>
      <x:c r="X838" s="10"/>
      <x:c r="Y838" s="10"/>
      <x:c r="Z838" s="9"/>
      <x:c r="AA838" s="9"/>
      <x:c r="AB838" s="9"/>
      <x:c r="AC838" s="9"/>
      <x:c r="AD838" s="9" t="str">
        <x:v>juggling ball</x:v>
      </x:c>
      <x:c r="AE838" s="9"/>
      <x:c r="AF838" s="9"/>
      <x:c r="AG838" s="9"/>
      <x:c r="AH838" s="9" t="str">
        <x:v>Right</x:v>
      </x:c>
      <x:c r="AI838" s="11" t="n">
        <x:v>12</x:v>
      </x:c>
      <x:c r="AJ838" s="9" t="str">
        <x:v>Held-out smallest × juggling ball — Pick up</x:v>
      </x:c>
      <x:c r="AK838" s="9" t="str">
        <x:v>Eval_Size_Recognition (1).xlsm</x:v>
      </x:c>
      <x:c r="AL838" s="9" t="str">
        <x:v>pi0.5 Results</x:v>
      </x:c>
      <x:c r="AM838" s="9" t="n">
        <x:v>68</x:v>
      </x:c>
      <x:c r="AN838" s="9" t="n">
        <x:v>68</x:v>
      </x:c>
    </x:row>
    <x:row r="839">
      <x:c r="A839" s="9" t="str">
        <x:v>Success</x:v>
      </x:c>
      <x:c r="B839" s="9" t="str">
        <x:v>Size Recognition</x:v>
      </x:c>
      <x:c r="C839" s="10" t="n">
        <x:v>67</x:v>
      </x:c>
      <x:c r="D839" s="9" t="str">
        <x:v>Put the juggling ball in the bowl.</x:v>
      </x:c>
      <x:c r="E839" s="9" t="str">
        <x:v>Bowl: empty. Table, robot-left→robot-right: P1 crushed Pepsi can; P2 juggling ball. Adjacent centers 12 cm apart; row shifted 4 cm toward the robot; all objects fully visible and grasp paths clear.</x:v>
      </x:c>
      <x:c r="F839" s="9" t="str">
        <x:v>MOVE juggling ball to bowl</x:v>
      </x:c>
      <x:c r="G839" s="9" t="str">
        <x:v>Had a good recovery</x:v>
      </x:c>
      <x:c r="H839" s="9" t="str">
        <x:v>Matched manipulation control</x:v>
      </x:c>
      <x:c r="I839" s="9" t="str">
        <x:v>SZ-CT-SJ07</x:v>
      </x:c>
      <x:c r="J839" s="9" t="str">
        <x:v>Direct</x:v>
      </x:c>
      <x:c r="K839" s="9" t="n">
        <x:v>66</x:v>
      </x:c>
      <x:c r="L839" s="9" t="str">
        <x:v>1101</x:v>
      </x:c>
      <x:c r="M839" s="9"/>
      <x:c r="N839" s="9"/>
      <x:c r="O839" s="9" t="str">
        <x:v>Reset the target to its original pose; change only the prompt.</x:v>
      </x:c>
      <x:c r="P839" s="9" t="str">
        <x:v>Exact-scene control using a direct prompt supported by training episode 1101.</x:v>
      </x:c>
      <x:c r="Q839" s="9"/>
      <x:c r="R839" s="10" t="n">
        <x:v>2</x:v>
      </x:c>
      <x:c r="S839" s="10"/>
      <x:c r="T839" s="9"/>
      <x:c r="U839" s="9"/>
      <x:c r="V839" s="9"/>
      <x:c r="W839" s="9"/>
      <x:c r="X839" s="10"/>
      <x:c r="Y839" s="10"/>
      <x:c r="Z839" s="9"/>
      <x:c r="AA839" s="9"/>
      <x:c r="AB839" s="9"/>
      <x:c r="AC839" s="9"/>
      <x:c r="AD839" s="9" t="str">
        <x:v>juggling ball</x:v>
      </x:c>
      <x:c r="AE839" s="9"/>
      <x:c r="AF839" s="9"/>
      <x:c r="AG839" s="9"/>
      <x:c r="AH839" s="9" t="str">
        <x:v>Right</x:v>
      </x:c>
      <x:c r="AI839" s="11" t="n">
        <x:v>12</x:v>
      </x:c>
      <x:c r="AJ839" s="9" t="str">
        <x:v>Same-scene direct target control</x:v>
      </x:c>
      <x:c r="AK839" s="9" t="str">
        <x:v>Eval_Size_Recognition (1).xlsm</x:v>
      </x:c>
      <x:c r="AL839" s="9" t="str">
        <x:v>pi0.5 Results</x:v>
      </x:c>
      <x:c r="AM839" s="9" t="n">
        <x:v>69</x:v>
      </x:c>
      <x:c r="AN839" s="9" t="n">
        <x:v>69</x:v>
      </x:c>
    </x:row>
    <x:row r="840">
      <x:c r="A840" s="9" t="str">
        <x:v>Success</x:v>
      </x:c>
      <x:c r="B840" s="9" t="str">
        <x:v>Size Recognition</x:v>
      </x:c>
      <x:c r="C840" s="10" t="n">
        <x:v>68</x:v>
      </x:c>
      <x:c r="D840" s="9" t="str">
        <x:v>Pick up the largest item and place it in the bowl.</x:v>
      </x:c>
      <x:c r="E840" s="9" t="str">
        <x:v>Bowl: empty. Table, robot-left→robot-right: P1 red pencil sharpener; P2 green block. Adjacent centers 12 cm apart; row shifted 4 cm toward robot-right; all objects fully visible and grasp paths clear.</x:v>
      </x:c>
      <x:c r="F840" s="9" t="str">
        <x:v>MOVE green block to bowl</x:v>
      </x:c>
      <x:c r="G840" s="9"/>
      <x:c r="H840" s="9" t="str">
        <x:v>Concept/compositional transfer</x:v>
      </x:c>
      <x:c r="I840" s="9" t="str">
        <x:v>SZ-CT-LG08</x:v>
      </x:c>
      <x:c r="J840" s="9" t="str">
        <x:v>largest</x:v>
      </x:c>
      <x:c r="K840" s="9"/>
      <x:c r="L840" s="9" t="str">
        <x:v>1087</x:v>
      </x:c>
      <x:c r="M840" s="9"/>
      <x:c r="N840" s="9"/>
      <x:c r="O840" s="9" t="str">
        <x:v>Build the listed two-object scene and save a first-frame filename.</x:v>
      </x:c>
      <x:c r="P840" s="9" t="str">
        <x:v>Primary missing cell. Training episode 1087 contains the same target trajectory but masks the size word with a direct identity prompt.</x:v>
      </x:c>
      <x:c r="Q840" s="9"/>
      <x:c r="R840" s="10" t="n">
        <x:v>2</x:v>
      </x:c>
      <x:c r="S840" s="10"/>
      <x:c r="T840" s="9"/>
      <x:c r="U840" s="9"/>
      <x:c r="V840" s="9"/>
      <x:c r="W840" s="9"/>
      <x:c r="X840" s="10"/>
      <x:c r="Y840" s="10"/>
      <x:c r="Z840" s="9"/>
      <x:c r="AA840" s="9"/>
      <x:c r="AB840" s="9"/>
      <x:c r="AC840" s="9"/>
      <x:c r="AD840" s="9" t="str">
        <x:v>green block</x:v>
      </x:c>
      <x:c r="AE840" s="9"/>
      <x:c r="AF840" s="9"/>
      <x:c r="AG840" s="9"/>
      <x:c r="AH840" s="9" t="str">
        <x:v>Right</x:v>
      </x:c>
      <x:c r="AI840" s="11" t="n">
        <x:v>12</x:v>
      </x:c>
      <x:c r="AJ840" s="9" t="str">
        <x:v>Held-out largest × green block — Pick up</x:v>
      </x:c>
      <x:c r="AK840" s="9" t="str">
        <x:v>Eval_Size_Recognition (1).xlsm</x:v>
      </x:c>
      <x:c r="AL840" s="9" t="str">
        <x:v>pi0.5 Results</x:v>
      </x:c>
      <x:c r="AM840" s="9" t="n">
        <x:v>70</x:v>
      </x:c>
      <x:c r="AN840" s="9" t="n">
        <x:v>70</x:v>
      </x:c>
    </x:row>
    <x:row r="841">
      <x:c r="A841" s="9" t="str">
        <x:v>Success</x:v>
      </x:c>
      <x:c r="B841" s="9" t="str">
        <x:v>Size Recognition</x:v>
      </x:c>
      <x:c r="C841" s="10" t="n">
        <x:v>69</x:v>
      </x:c>
      <x:c r="D841" s="9" t="str">
        <x:v>Move the green block into the bowl.</x:v>
      </x:c>
      <x:c r="E841" s="9" t="str">
        <x:v>Bowl: empty. Table, robot-left→robot-right: P1 red pencil sharpener; P2 green block. Adjacent centers 12 cm apart; row shifted 4 cm toward robot-right; all objects fully visible and grasp paths clear.</x:v>
      </x:c>
      <x:c r="F841" s="9" t="str">
        <x:v>MOVE green block to bowl</x:v>
      </x:c>
      <x:c r="G841" s="9"/>
      <x:c r="H841" s="9" t="str">
        <x:v>Matched manipulation control</x:v>
      </x:c>
      <x:c r="I841" s="9" t="str">
        <x:v>SZ-CT-LG08</x:v>
      </x:c>
      <x:c r="J841" s="9" t="str">
        <x:v>Direct</x:v>
      </x:c>
      <x:c r="K841" s="9" t="n">
        <x:v>68</x:v>
      </x:c>
      <x:c r="L841" s="9" t="str">
        <x:v>1077</x:v>
      </x:c>
      <x:c r="M841" s="9"/>
      <x:c r="N841" s="9"/>
      <x:c r="O841" s="9" t="str">
        <x:v>Reset the target to its original pose; change only the prompt.</x:v>
      </x:c>
      <x:c r="P841" s="9" t="str">
        <x:v>Exact-scene control using a direct prompt supported by training episode 1077.</x:v>
      </x:c>
      <x:c r="Q841" s="9"/>
      <x:c r="R841" s="10" t="n">
        <x:v>2</x:v>
      </x:c>
      <x:c r="S841" s="10"/>
      <x:c r="T841" s="9"/>
      <x:c r="U841" s="9"/>
      <x:c r="V841" s="9"/>
      <x:c r="W841" s="9"/>
      <x:c r="X841" s="10"/>
      <x:c r="Y841" s="10"/>
      <x:c r="Z841" s="9"/>
      <x:c r="AA841" s="9"/>
      <x:c r="AB841" s="9"/>
      <x:c r="AC841" s="9"/>
      <x:c r="AD841" s="9" t="str">
        <x:v>green block</x:v>
      </x:c>
      <x:c r="AE841" s="9"/>
      <x:c r="AF841" s="9"/>
      <x:c r="AG841" s="9"/>
      <x:c r="AH841" s="9" t="str">
        <x:v>Right</x:v>
      </x:c>
      <x:c r="AI841" s="11" t="n">
        <x:v>12</x:v>
      </x:c>
      <x:c r="AJ841" s="9" t="str">
        <x:v>Same-scene direct target control</x:v>
      </x:c>
      <x:c r="AK841" s="9" t="str">
        <x:v>Eval_Size_Recognition (1).xlsm</x:v>
      </x:c>
      <x:c r="AL841" s="9" t="str">
        <x:v>pi0.5 Results</x:v>
      </x:c>
      <x:c r="AM841" s="9" t="n">
        <x:v>71</x:v>
      </x:c>
      <x:c r="AN841" s="9" t="n">
        <x:v>71</x:v>
      </x:c>
    </x:row>
    <x:row r="842">
      <x:c r="A842" s="9" t="str">
        <x:v>Failure</x:v>
      </x:c>
      <x:c r="B842" s="9" t="str">
        <x:v>Size Recognition</x:v>
      </x:c>
      <x:c r="C842" s="10" t="n">
        <x:v>70</x:v>
      </x:c>
      <x:c r="D842" s="9" t="str">
        <x:v>Put the smallest object in the bowl.</x:v>
      </x:c>
      <x:c r="E842" s="9" t="str">
        <x:v>Bowl: empty. Table, robot-left→robot-right: P1 juggling ball; P2 crushed Pepsi can. Adjacent centers 16 cm apart; row shifted 4 cm away from the robot; all objects fully visible and grasp paths clear.</x:v>
      </x:c>
      <x:c r="F842" s="9" t="str">
        <x:v>MOVE juggling ball to bowl</x:v>
      </x:c>
      <x:c r="G842" s="9" t="str">
        <x:v>Grabbed soda can</x:v>
      </x:c>
      <x:c r="H842" s="9" t="str">
        <x:v>Concept/compositional transfer</x:v>
      </x:c>
      <x:c r="I842" s="9" t="str">
        <x:v>SZ-CT-SJ08</x:v>
      </x:c>
      <x:c r="J842" s="9" t="str">
        <x:v>smallest</x:v>
      </x:c>
      <x:c r="K842" s="9"/>
      <x:c r="L842" s="9" t="str">
        <x:v>1112</x:v>
      </x:c>
      <x:c r="M842" s="9"/>
      <x:c r="N842" s="9"/>
      <x:c r="O842" s="9" t="str">
        <x:v>Build the listed two-object scene and save a first-frame filename.</x:v>
      </x:c>
      <x:c r="P842" s="9" t="str">
        <x:v>Primary missing cell. Training episode 1112 contains the same target trajectory but masks the size word with a direct identity prompt.</x:v>
      </x:c>
      <x:c r="Q842" s="9"/>
      <x:c r="R842" s="10" t="n">
        <x:v>2</x:v>
      </x:c>
      <x:c r="S842" s="10"/>
      <x:c r="T842" s="9"/>
      <x:c r="U842" s="9"/>
      <x:c r="V842" s="9"/>
      <x:c r="W842" s="9"/>
      <x:c r="X842" s="10"/>
      <x:c r="Y842" s="10"/>
      <x:c r="Z842" s="9"/>
      <x:c r="AA842" s="9"/>
      <x:c r="AB842" s="9"/>
      <x:c r="AC842" s="9"/>
      <x:c r="AD842" s="9" t="str">
        <x:v>juggling ball</x:v>
      </x:c>
      <x:c r="AE842" s="9"/>
      <x:c r="AF842" s="9"/>
      <x:c r="AG842" s="9"/>
      <x:c r="AH842" s="9" t="str">
        <x:v>Left</x:v>
      </x:c>
      <x:c r="AI842" s="11" t="n">
        <x:v>16</x:v>
      </x:c>
      <x:c r="AJ842" s="9" t="str">
        <x:v>Held-out smallest × juggling ball — Put</x:v>
      </x:c>
      <x:c r="AK842" s="9" t="str">
        <x:v>Eval_Size_Recognition (1).xlsm</x:v>
      </x:c>
      <x:c r="AL842" s="9" t="str">
        <x:v>pi0.5 Results</x:v>
      </x:c>
      <x:c r="AM842" s="9" t="n">
        <x:v>72</x:v>
      </x:c>
      <x:c r="AN842" s="9" t="n">
        <x:v>72</x:v>
      </x:c>
    </x:row>
    <x:row r="843">
      <x:c r="A843" s="9" t="str">
        <x:v>Success</x:v>
      </x:c>
      <x:c r="B843" s="9" t="str">
        <x:v>Size Recognition</x:v>
      </x:c>
      <x:c r="C843" s="10" t="n">
        <x:v>71</x:v>
      </x:c>
      <x:c r="D843" s="9" t="str">
        <x:v>Move the juggling ball into the bowl.</x:v>
      </x:c>
      <x:c r="E843" s="9" t="str">
        <x:v>Bowl: empty. Table, robot-left→robot-right: P1 juggling ball; P2 crushed Pepsi can. Adjacent centers 16 cm apart; row shifted 4 cm away from the robot; all objects fully visible and grasp paths clear.</x:v>
      </x:c>
      <x:c r="F843" s="9" t="str">
        <x:v>MOVE juggling ball to bowl</x:v>
      </x:c>
      <x:c r="G843" s="9"/>
      <x:c r="H843" s="9" t="str">
        <x:v>Matched manipulation control</x:v>
      </x:c>
      <x:c r="I843" s="9" t="str">
        <x:v>SZ-CT-SJ08</x:v>
      </x:c>
      <x:c r="J843" s="9" t="str">
        <x:v>Direct</x:v>
      </x:c>
      <x:c r="K843" s="9" t="n">
        <x:v>70</x:v>
      </x:c>
      <x:c r="L843" s="9" t="str">
        <x:v>1102</x:v>
      </x:c>
      <x:c r="M843" s="9"/>
      <x:c r="N843" s="9"/>
      <x:c r="O843" s="9" t="str">
        <x:v>Reset the target to its original pose; change only the prompt.</x:v>
      </x:c>
      <x:c r="P843" s="9" t="str">
        <x:v>Exact-scene control using a direct prompt supported by training episode 1102.</x:v>
      </x:c>
      <x:c r="Q843" s="9"/>
      <x:c r="R843" s="10" t="n">
        <x:v>2</x:v>
      </x:c>
      <x:c r="S843" s="10"/>
      <x:c r="T843" s="9"/>
      <x:c r="U843" s="9"/>
      <x:c r="V843" s="9"/>
      <x:c r="W843" s="9"/>
      <x:c r="X843" s="10"/>
      <x:c r="Y843" s="10"/>
      <x:c r="Z843" s="9"/>
      <x:c r="AA843" s="9"/>
      <x:c r="AB843" s="9"/>
      <x:c r="AC843" s="9"/>
      <x:c r="AD843" s="9" t="str">
        <x:v>juggling ball</x:v>
      </x:c>
      <x:c r="AE843" s="9"/>
      <x:c r="AF843" s="9"/>
      <x:c r="AG843" s="9"/>
      <x:c r="AH843" s="9" t="str">
        <x:v>Left</x:v>
      </x:c>
      <x:c r="AI843" s="11" t="n">
        <x:v>16</x:v>
      </x:c>
      <x:c r="AJ843" s="9" t="str">
        <x:v>Same-scene direct target control</x:v>
      </x:c>
      <x:c r="AK843" s="9" t="str">
        <x:v>Eval_Size_Recognition (1).xlsm</x:v>
      </x:c>
      <x:c r="AL843" s="9" t="str">
        <x:v>pi0.5 Results</x:v>
      </x:c>
      <x:c r="AM843" s="9" t="n">
        <x:v>73</x:v>
      </x:c>
      <x:c r="AN843" s="9" t="n">
        <x:v>73</x:v>
      </x:c>
    </x:row>
    <x:row r="844">
      <x:c r="A844" s="9" t="str">
        <x:v>Failure</x:v>
      </x:c>
      <x:c r="B844" s="9" t="str">
        <x:v>Size Recognition</x:v>
      </x:c>
      <x:c r="C844" s="10" t="n">
        <x:v>72</x:v>
      </x:c>
      <x:c r="D844" s="9" t="str">
        <x:v>Put the largest object in the bowl.</x:v>
      </x:c>
      <x:c r="E844" s="9" t="str">
        <x:v>Bowl: empty. Table, robot-left→robot-right: P1 green block; P2 red pencil sharpener. Adjacent centers 16 cm apart; row shifted 4 cm toward the robot; all objects fully visible and grasp paths clear.</x:v>
      </x:c>
      <x:c r="F844" s="9" t="str">
        <x:v>MOVE green block to bowl</x:v>
      </x:c>
      <x:c r="G844" s="9" t="str">
        <x:v>Grabbed pencil sharpener. I think the model may have learned to detect smaller visual pixel area from the middle camera. the block was oriented so it would look smaller</x:v>
      </x:c>
      <x:c r="H844" s="9" t="str">
        <x:v>Concept/compositional transfer</x:v>
      </x:c>
      <x:c r="I844" s="9" t="str">
        <x:v>SZ-CT-LG09</x:v>
      </x:c>
      <x:c r="J844" s="9" t="str">
        <x:v>largest</x:v>
      </x:c>
      <x:c r="K844" s="9"/>
      <x:c r="L844" s="9" t="str">
        <x:v>1088</x:v>
      </x:c>
      <x:c r="M844" s="9"/>
      <x:c r="N844" s="9"/>
      <x:c r="O844" s="9" t="str">
        <x:v>Build the listed two-object scene and save a first-frame filename.</x:v>
      </x:c>
      <x:c r="P844" s="9" t="str">
        <x:v>Primary missing cell. Training episode 1088 contains the same target trajectory but masks the size word with a direct identity prompt.</x:v>
      </x:c>
      <x:c r="Q844" s="9"/>
      <x:c r="R844" s="10" t="n">
        <x:v>2</x:v>
      </x:c>
      <x:c r="S844" s="10"/>
      <x:c r="T844" s="9"/>
      <x:c r="U844" s="9"/>
      <x:c r="V844" s="9"/>
      <x:c r="W844" s="9"/>
      <x:c r="X844" s="10"/>
      <x:c r="Y844" s="10"/>
      <x:c r="Z844" s="9"/>
      <x:c r="AA844" s="9"/>
      <x:c r="AB844" s="9"/>
      <x:c r="AC844" s="9"/>
      <x:c r="AD844" s="9" t="str">
        <x:v>green block</x:v>
      </x:c>
      <x:c r="AE844" s="9"/>
      <x:c r="AF844" s="9"/>
      <x:c r="AG844" s="9"/>
      <x:c r="AH844" s="9" t="str">
        <x:v>Left</x:v>
      </x:c>
      <x:c r="AI844" s="11" t="n">
        <x:v>16</x:v>
      </x:c>
      <x:c r="AJ844" s="9" t="str">
        <x:v>Held-out largest × green block — Put</x:v>
      </x:c>
      <x:c r="AK844" s="9" t="str">
        <x:v>Eval_Size_Recognition (1).xlsm</x:v>
      </x:c>
      <x:c r="AL844" s="9" t="str">
        <x:v>pi0.5 Results</x:v>
      </x:c>
      <x:c r="AM844" s="9" t="n">
        <x:v>74</x:v>
      </x:c>
      <x:c r="AN844" s="9" t="n">
        <x:v>74</x:v>
      </x:c>
    </x:row>
    <x:row r="845">
      <x:c r="A845" s="9" t="str">
        <x:v>Success</x:v>
      </x:c>
      <x:c r="B845" s="9" t="str">
        <x:v>Size Recognition</x:v>
      </x:c>
      <x:c r="C845" s="10" t="n">
        <x:v>73</x:v>
      </x:c>
      <x:c r="D845" s="9" t="str">
        <x:v>Pick up the green block and place it in the bowl.</x:v>
      </x:c>
      <x:c r="E845" s="9" t="str">
        <x:v>Bowl: empty. Table, robot-left→robot-right: P1 green block; P2 red pencil sharpener. Adjacent centers 16 cm apart; row shifted 4 cm toward the robot; all objects fully visible and grasp paths clear.</x:v>
      </x:c>
      <x:c r="F845" s="9" t="str">
        <x:v>MOVE green block to bowl</x:v>
      </x:c>
      <x:c r="G845" s="9"/>
      <x:c r="H845" s="9" t="str">
        <x:v>Matched manipulation control</x:v>
      </x:c>
      <x:c r="I845" s="9" t="str">
        <x:v>SZ-CT-LG09</x:v>
      </x:c>
      <x:c r="J845" s="9" t="str">
        <x:v>Direct</x:v>
      </x:c>
      <x:c r="K845" s="9" t="n">
        <x:v>72</x:v>
      </x:c>
      <x:c r="L845" s="9" t="str">
        <x:v>1078</x:v>
      </x:c>
      <x:c r="M845" s="9"/>
      <x:c r="N845" s="9"/>
      <x:c r="O845" s="9" t="str">
        <x:v>Reset the target to its original pose; change only the prompt.</x:v>
      </x:c>
      <x:c r="P845" s="9" t="str">
        <x:v>Exact-scene control using a direct prompt supported by training episode 1078.</x:v>
      </x:c>
      <x:c r="Q845" s="9"/>
      <x:c r="R845" s="10" t="n">
        <x:v>2</x:v>
      </x:c>
      <x:c r="S845" s="10"/>
      <x:c r="T845" s="9"/>
      <x:c r="U845" s="9"/>
      <x:c r="V845" s="9"/>
      <x:c r="W845" s="9"/>
      <x:c r="X845" s="10"/>
      <x:c r="Y845" s="10"/>
      <x:c r="Z845" s="9"/>
      <x:c r="AA845" s="9"/>
      <x:c r="AB845" s="9"/>
      <x:c r="AC845" s="9"/>
      <x:c r="AD845" s="9" t="str">
        <x:v>green block</x:v>
      </x:c>
      <x:c r="AE845" s="9"/>
      <x:c r="AF845" s="9"/>
      <x:c r="AG845" s="9"/>
      <x:c r="AH845" s="9" t="str">
        <x:v>Left</x:v>
      </x:c>
      <x:c r="AI845" s="11" t="n">
        <x:v>16</x:v>
      </x:c>
      <x:c r="AJ845" s="9" t="str">
        <x:v>Same-scene direct target control</x:v>
      </x:c>
      <x:c r="AK845" s="9" t="str">
        <x:v>Eval_Size_Recognition (1).xlsm</x:v>
      </x:c>
      <x:c r="AL845" s="9" t="str">
        <x:v>pi0.5 Results</x:v>
      </x:c>
      <x:c r="AM845" s="9" t="n">
        <x:v>75</x:v>
      </x:c>
      <x:c r="AN845" s="9" t="n">
        <x:v>75</x:v>
      </x:c>
    </x:row>
    <x:row r="846">
      <x:c r="A846" s="9" t="str">
        <x:v>Success</x:v>
      </x:c>
      <x:c r="B846" s="9" t="str">
        <x:v>Size Recognition</x:v>
      </x:c>
      <x:c r="C846" s="10" t="n">
        <x:v>74</x:v>
      </x:c>
      <x:c r="D846" s="9" t="str">
        <x:v>Move the object that is smallest into the bowl.</x:v>
      </x:c>
      <x:c r="E846" s="9" t="str">
        <x:v>Bowl: empty. Table, robot-left→robot-right: P1 crushed Pepsi can; P2 juggling ball. Adjacent centers 8 cm apart; row centered on the workspace; all objects fully visible and grasp paths clear.</x:v>
      </x:c>
      <x:c r="F846" s="9" t="str">
        <x:v>MOVE juggling ball to bowl</x:v>
      </x:c>
      <x:c r="G846" s="9"/>
      <x:c r="H846" s="9" t="str">
        <x:v>Concept/compositional transfer</x:v>
      </x:c>
      <x:c r="I846" s="9" t="str">
        <x:v>SZ-CT-SJ09</x:v>
      </x:c>
      <x:c r="J846" s="9" t="str">
        <x:v>smallest</x:v>
      </x:c>
      <x:c r="K846" s="9"/>
      <x:c r="L846" s="9" t="str">
        <x:v>1113</x:v>
      </x:c>
      <x:c r="M846" s="9"/>
      <x:c r="N846" s="9"/>
      <x:c r="O846" s="9" t="str">
        <x:v>Build the listed two-object scene and save a first-frame filename.</x:v>
      </x:c>
      <x:c r="P846" s="9" t="str">
        <x:v>Primary missing cell. Training episode 1113 contains the same target trajectory but masks the size word with a direct identity prompt.</x:v>
      </x:c>
      <x:c r="Q846" s="9"/>
      <x:c r="R846" s="10" t="n">
        <x:v>2</x:v>
      </x:c>
      <x:c r="S846" s="10"/>
      <x:c r="T846" s="9"/>
      <x:c r="U846" s="9"/>
      <x:c r="V846" s="9"/>
      <x:c r="W846" s="9"/>
      <x:c r="X846" s="10"/>
      <x:c r="Y846" s="10"/>
      <x:c r="Z846" s="9"/>
      <x:c r="AA846" s="9"/>
      <x:c r="AB846" s="9"/>
      <x:c r="AC846" s="9"/>
      <x:c r="AD846" s="9" t="str">
        <x:v>juggling ball</x:v>
      </x:c>
      <x:c r="AE846" s="9"/>
      <x:c r="AF846" s="9"/>
      <x:c r="AG846" s="9"/>
      <x:c r="AH846" s="9" t="str">
        <x:v>Right</x:v>
      </x:c>
      <x:c r="AI846" s="11" t="n">
        <x:v>8</x:v>
      </x:c>
      <x:c r="AJ846" s="9" t="str">
        <x:v>Held-out smallest × juggling ball — Move</x:v>
      </x:c>
      <x:c r="AK846" s="9" t="str">
        <x:v>Eval_Size_Recognition (1).xlsm</x:v>
      </x:c>
      <x:c r="AL846" s="9" t="str">
        <x:v>pi0.5 Results</x:v>
      </x:c>
      <x:c r="AM846" s="9" t="n">
        <x:v>76</x:v>
      </x:c>
      <x:c r="AN846" s="9" t="n">
        <x:v>76</x:v>
      </x:c>
    </x:row>
    <x:row r="847">
      <x:c r="A847" s="9" t="str">
        <x:v>Success</x:v>
      </x:c>
      <x:c r="B847" s="9" t="str">
        <x:v>Size Recognition</x:v>
      </x:c>
      <x:c r="C847" s="10" t="n">
        <x:v>75</x:v>
      </x:c>
      <x:c r="D847" s="9" t="str">
        <x:v>Pick up the juggling ball and place it in the bowl.</x:v>
      </x:c>
      <x:c r="E847" s="9" t="str">
        <x:v>Bowl: empty. Table, robot-left→robot-right: P1 crushed Pepsi can; P2 juggling ball. Adjacent centers 8 cm apart; row centered on the workspace; all objects fully visible and grasp paths clear.</x:v>
      </x:c>
      <x:c r="F847" s="9" t="str">
        <x:v>MOVE juggling ball to bowl</x:v>
      </x:c>
      <x:c r="G847" s="9"/>
      <x:c r="H847" s="9" t="str">
        <x:v>Matched manipulation control</x:v>
      </x:c>
      <x:c r="I847" s="9" t="str">
        <x:v>SZ-CT-SJ09</x:v>
      </x:c>
      <x:c r="J847" s="9" t="str">
        <x:v>Direct</x:v>
      </x:c>
      <x:c r="K847" s="9" t="n">
        <x:v>74</x:v>
      </x:c>
      <x:c r="L847" s="9" t="str">
        <x:v>1103</x:v>
      </x:c>
      <x:c r="M847" s="9"/>
      <x:c r="N847" s="9"/>
      <x:c r="O847" s="9" t="str">
        <x:v>Reset the target to its original pose; change only the prompt.</x:v>
      </x:c>
      <x:c r="P847" s="9" t="str">
        <x:v>Exact-scene control using a direct prompt supported by training episode 1103.</x:v>
      </x:c>
      <x:c r="Q847" s="9"/>
      <x:c r="R847" s="10" t="n">
        <x:v>2</x:v>
      </x:c>
      <x:c r="S847" s="10"/>
      <x:c r="T847" s="9"/>
      <x:c r="U847" s="9"/>
      <x:c r="V847" s="9"/>
      <x:c r="W847" s="9"/>
      <x:c r="X847" s="10"/>
      <x:c r="Y847" s="10"/>
      <x:c r="Z847" s="9"/>
      <x:c r="AA847" s="9"/>
      <x:c r="AB847" s="9"/>
      <x:c r="AC847" s="9"/>
      <x:c r="AD847" s="9" t="str">
        <x:v>juggling ball</x:v>
      </x:c>
      <x:c r="AE847" s="9"/>
      <x:c r="AF847" s="9"/>
      <x:c r="AG847" s="9"/>
      <x:c r="AH847" s="9" t="str">
        <x:v>Right</x:v>
      </x:c>
      <x:c r="AI847" s="11" t="n">
        <x:v>8</x:v>
      </x:c>
      <x:c r="AJ847" s="9" t="str">
        <x:v>Same-scene direct target control</x:v>
      </x:c>
      <x:c r="AK847" s="9" t="str">
        <x:v>Eval_Size_Recognition (1).xlsm</x:v>
      </x:c>
      <x:c r="AL847" s="9" t="str">
        <x:v>pi0.5 Results</x:v>
      </x:c>
      <x:c r="AM847" s="9" t="n">
        <x:v>77</x:v>
      </x:c>
      <x:c r="AN847" s="9" t="n">
        <x:v>77</x:v>
      </x:c>
    </x:row>
    <x:row r="848">
      <x:c r="A848" s="9" t="str">
        <x:v>Failure</x:v>
      </x:c>
      <x:c r="B848" s="9" t="str">
        <x:v>Size Recognition</x:v>
      </x:c>
      <x:c r="C848" s="10" t="n">
        <x:v>76</x:v>
      </x:c>
      <x:c r="D848" s="9" t="str">
        <x:v>Move the object that is largest into the bowl.</x:v>
      </x:c>
      <x:c r="E848" s="9" t="str">
        <x:v>Bowl: empty. Table, robot-left→robot-right: P1 red pencil sharpener; P2 green block. Adjacent centers 8 cm apart; row shifted 4 cm away from the robot; all objects fully visible and grasp paths clear.</x:v>
      </x:c>
      <x:c r="F848" s="9" t="str">
        <x:v>MOVE green block to bowl</x:v>
      </x:c>
      <x:c r="G848" s="9" t="str">
        <x:v>Went for red pencil sharpener. Positioned closer to the camera than green block and green block oriented with the top of the block facing the camera.</x:v>
      </x:c>
      <x:c r="H848" s="9" t="str">
        <x:v>Concept/compositional transfer</x:v>
      </x:c>
      <x:c r="I848" s="9" t="str">
        <x:v>SZ-CT-LG10</x:v>
      </x:c>
      <x:c r="J848" s="9" t="str">
        <x:v>largest</x:v>
      </x:c>
      <x:c r="K848" s="9"/>
      <x:c r="L848" s="9" t="str">
        <x:v>1089</x:v>
      </x:c>
      <x:c r="M848" s="9"/>
      <x:c r="N848" s="9"/>
      <x:c r="O848" s="9" t="str">
        <x:v>Build the listed two-object scene and save a first-frame filename.</x:v>
      </x:c>
      <x:c r="P848" s="9" t="str">
        <x:v>Primary missing cell. Training episode 1089 contains the same target trajectory but masks the size word with a direct identity prompt.</x:v>
      </x:c>
      <x:c r="Q848" s="9"/>
      <x:c r="R848" s="10" t="n">
        <x:v>2</x:v>
      </x:c>
      <x:c r="S848" s="10"/>
      <x:c r="T848" s="9"/>
      <x:c r="U848" s="9"/>
      <x:c r="V848" s="9"/>
      <x:c r="W848" s="9"/>
      <x:c r="X848" s="10"/>
      <x:c r="Y848" s="10"/>
      <x:c r="Z848" s="9"/>
      <x:c r="AA848" s="9"/>
      <x:c r="AB848" s="9"/>
      <x:c r="AC848" s="9"/>
      <x:c r="AD848" s="9" t="str">
        <x:v>green block</x:v>
      </x:c>
      <x:c r="AE848" s="9"/>
      <x:c r="AF848" s="9"/>
      <x:c r="AG848" s="9"/>
      <x:c r="AH848" s="9" t="str">
        <x:v>Right</x:v>
      </x:c>
      <x:c r="AI848" s="11" t="n">
        <x:v>8</x:v>
      </x:c>
      <x:c r="AJ848" s="9" t="str">
        <x:v>Held-out largest × green block — Move</x:v>
      </x:c>
      <x:c r="AK848" s="9" t="str">
        <x:v>Eval_Size_Recognition (1).xlsm</x:v>
      </x:c>
      <x:c r="AL848" s="9" t="str">
        <x:v>pi0.5 Results</x:v>
      </x:c>
      <x:c r="AM848" s="9" t="n">
        <x:v>78</x:v>
      </x:c>
      <x:c r="AN848" s="9" t="n">
        <x:v>78</x:v>
      </x:c>
    </x:row>
    <x:row r="849">
      <x:c r="A849" s="9" t="str">
        <x:v>Success</x:v>
      </x:c>
      <x:c r="B849" s="9" t="str">
        <x:v>Size Recognition</x:v>
      </x:c>
      <x:c r="C849" s="10" t="n">
        <x:v>77</x:v>
      </x:c>
      <x:c r="D849" s="9" t="str">
        <x:v>Put the green block in the bowl.</x:v>
      </x:c>
      <x:c r="E849" s="9" t="str">
        <x:v>Bowl: empty. Table, robot-left→robot-right: P1 red pencil sharpener; P2 green block. Adjacent centers 8 cm apart; row shifted 4 cm away from the robot; all objects fully visible and grasp paths clear.</x:v>
      </x:c>
      <x:c r="F849" s="9" t="str">
        <x:v>MOVE green block to bowl</x:v>
      </x:c>
      <x:c r="G849" s="9"/>
      <x:c r="H849" s="9" t="str">
        <x:v>Matched manipulation control</x:v>
      </x:c>
      <x:c r="I849" s="9" t="str">
        <x:v>SZ-CT-LG10</x:v>
      </x:c>
      <x:c r="J849" s="9" t="str">
        <x:v>Direct</x:v>
      </x:c>
      <x:c r="K849" s="9" t="n">
        <x:v>76</x:v>
      </x:c>
      <x:c r="L849" s="9" t="str">
        <x:v>1079</x:v>
      </x:c>
      <x:c r="M849" s="9"/>
      <x:c r="N849" s="9"/>
      <x:c r="O849" s="9" t="str">
        <x:v>Reset the target to its original pose; change only the prompt.</x:v>
      </x:c>
      <x:c r="P849" s="9" t="str">
        <x:v>Exact-scene control using a direct prompt supported by training episode 1079.</x:v>
      </x:c>
      <x:c r="Q849" s="9"/>
      <x:c r="R849" s="10" t="n">
        <x:v>2</x:v>
      </x:c>
      <x:c r="S849" s="10"/>
      <x:c r="T849" s="9"/>
      <x:c r="U849" s="9"/>
      <x:c r="V849" s="9"/>
      <x:c r="W849" s="9"/>
      <x:c r="X849" s="10"/>
      <x:c r="Y849" s="10"/>
      <x:c r="Z849" s="9"/>
      <x:c r="AA849" s="9"/>
      <x:c r="AB849" s="9"/>
      <x:c r="AC849" s="9"/>
      <x:c r="AD849" s="9" t="str">
        <x:v>green block</x:v>
      </x:c>
      <x:c r="AE849" s="9"/>
      <x:c r="AF849" s="9"/>
      <x:c r="AG849" s="9"/>
      <x:c r="AH849" s="9" t="str">
        <x:v>Right</x:v>
      </x:c>
      <x:c r="AI849" s="11" t="n">
        <x:v>8</x:v>
      </x:c>
      <x:c r="AJ849" s="9" t="str">
        <x:v>Same-scene direct target control</x:v>
      </x:c>
      <x:c r="AK849" s="9" t="str">
        <x:v>Eval_Size_Recognition (1).xlsm</x:v>
      </x:c>
      <x:c r="AL849" s="9" t="str">
        <x:v>pi0.5 Results</x:v>
      </x:c>
      <x:c r="AM849" s="9" t="n">
        <x:v>79</x:v>
      </x:c>
      <x:c r="AN849" s="9" t="n">
        <x:v>79</x:v>
      </x:c>
    </x:row>
    <x:row r="850">
      <x:c r="A850" s="9" t="str">
        <x:v>Success</x:v>
      </x:c>
      <x:c r="B850" s="9" t="str">
        <x:v>Size Recognition</x:v>
      </x:c>
      <x:c r="C850" s="10" t="n">
        <x:v>78</x:v>
      </x:c>
      <x:c r="D850" s="9" t="str">
        <x:v>Pick up the smallest item and place it in the bowl.</x:v>
      </x:c>
      <x:c r="E850" s="9" t="str">
        <x:v>Bowl: empty. Table, robot-left→robot-right: P1 juggling ball; P2 crushed Pepsi can. Adjacent centers 12 cm apart; row shifted 4 cm toward robot-left; all objects fully visible and grasp paths clear.</x:v>
      </x:c>
      <x:c r="F850" s="9" t="str">
        <x:v>MOVE juggling ball to bowl</x:v>
      </x:c>
      <x:c r="G850" s="9"/>
      <x:c r="H850" s="9" t="str">
        <x:v>Concept/compositional transfer</x:v>
      </x:c>
      <x:c r="I850" s="9" t="str">
        <x:v>SZ-CT-SJ10</x:v>
      </x:c>
      <x:c r="J850" s="9" t="str">
        <x:v>smallest</x:v>
      </x:c>
      <x:c r="K850" s="9"/>
      <x:c r="L850" s="9" t="str">
        <x:v>1114</x:v>
      </x:c>
      <x:c r="M850" s="9"/>
      <x:c r="N850" s="9"/>
      <x:c r="O850" s="9" t="str">
        <x:v>Build the listed two-object scene and save a first-frame filename.</x:v>
      </x:c>
      <x:c r="P850" s="9" t="str">
        <x:v>Primary missing cell. Training episode 1114 contains the same target trajectory but masks the size word with a direct identity prompt.</x:v>
      </x:c>
      <x:c r="Q850" s="9"/>
      <x:c r="R850" s="10" t="n">
        <x:v>2</x:v>
      </x:c>
      <x:c r="S850" s="10"/>
      <x:c r="T850" s="9"/>
      <x:c r="U850" s="9"/>
      <x:c r="V850" s="9"/>
      <x:c r="W850" s="9"/>
      <x:c r="X850" s="10"/>
      <x:c r="Y850" s="10"/>
      <x:c r="Z850" s="9"/>
      <x:c r="AA850" s="9"/>
      <x:c r="AB850" s="9"/>
      <x:c r="AC850" s="9"/>
      <x:c r="AD850" s="9" t="str">
        <x:v>juggling ball</x:v>
      </x:c>
      <x:c r="AE850" s="9"/>
      <x:c r="AF850" s="9"/>
      <x:c r="AG850" s="9"/>
      <x:c r="AH850" s="9" t="str">
        <x:v>Left</x:v>
      </x:c>
      <x:c r="AI850" s="11" t="n">
        <x:v>12</x:v>
      </x:c>
      <x:c r="AJ850" s="9" t="str">
        <x:v>Held-out smallest × juggling ball — Pick up</x:v>
      </x:c>
      <x:c r="AK850" s="9" t="str">
        <x:v>Eval_Size_Recognition (1).xlsm</x:v>
      </x:c>
      <x:c r="AL850" s="9" t="str">
        <x:v>pi0.5 Results</x:v>
      </x:c>
      <x:c r="AM850" s="9" t="n">
        <x:v>80</x:v>
      </x:c>
      <x:c r="AN850" s="9" t="n">
        <x:v>80</x:v>
      </x:c>
    </x:row>
    <x:row r="851">
      <x:c r="A851" s="9" t="str">
        <x:v>Success</x:v>
      </x:c>
      <x:c r="B851" s="9" t="str">
        <x:v>Size Recognition</x:v>
      </x:c>
      <x:c r="C851" s="10" t="n">
        <x:v>79</x:v>
      </x:c>
      <x:c r="D851" s="9" t="str">
        <x:v>Put the juggling ball in the bowl.</x:v>
      </x:c>
      <x:c r="E851" s="9" t="str">
        <x:v>Bowl: empty. Table, robot-left→robot-right: P1 juggling ball; P2 crushed Pepsi can. Adjacent centers 12 cm apart; row shifted 4 cm toward robot-left; all objects fully visible and grasp paths clear.</x:v>
      </x:c>
      <x:c r="F851" s="9" t="str">
        <x:v>MOVE juggling ball to bowl</x:v>
      </x:c>
      <x:c r="G851" s="9"/>
      <x:c r="H851" s="9" t="str">
        <x:v>Matched manipulation control</x:v>
      </x:c>
      <x:c r="I851" s="9" t="str">
        <x:v>SZ-CT-SJ10</x:v>
      </x:c>
      <x:c r="J851" s="9" t="str">
        <x:v>Direct</x:v>
      </x:c>
      <x:c r="K851" s="9" t="n">
        <x:v>78</x:v>
      </x:c>
      <x:c r="L851" s="9" t="str">
        <x:v>1104</x:v>
      </x:c>
      <x:c r="M851" s="9"/>
      <x:c r="N851" s="9"/>
      <x:c r="O851" s="9" t="str">
        <x:v>Reset the target to its original pose; change only the prompt.</x:v>
      </x:c>
      <x:c r="P851" s="9" t="str">
        <x:v>Exact-scene control using a direct prompt supported by training episode 1104.</x:v>
      </x:c>
      <x:c r="Q851" s="9"/>
      <x:c r="R851" s="10" t="n">
        <x:v>2</x:v>
      </x:c>
      <x:c r="S851" s="10"/>
      <x:c r="T851" s="9"/>
      <x:c r="U851" s="9"/>
      <x:c r="V851" s="9"/>
      <x:c r="W851" s="9"/>
      <x:c r="X851" s="10"/>
      <x:c r="Y851" s="10"/>
      <x:c r="Z851" s="9"/>
      <x:c r="AA851" s="9"/>
      <x:c r="AB851" s="9"/>
      <x:c r="AC851" s="9"/>
      <x:c r="AD851" s="9" t="str">
        <x:v>juggling ball</x:v>
      </x:c>
      <x:c r="AE851" s="9"/>
      <x:c r="AF851" s="9"/>
      <x:c r="AG851" s="9"/>
      <x:c r="AH851" s="9" t="str">
        <x:v>Left</x:v>
      </x:c>
      <x:c r="AI851" s="11" t="n">
        <x:v>12</x:v>
      </x:c>
      <x:c r="AJ851" s="9" t="str">
        <x:v>Same-scene direct target control</x:v>
      </x:c>
      <x:c r="AK851" s="9" t="str">
        <x:v>Eval_Size_Recognition (1).xlsm</x:v>
      </x:c>
      <x:c r="AL851" s="9" t="str">
        <x:v>pi0.5 Results</x:v>
      </x:c>
      <x:c r="AM851" s="9" t="n">
        <x:v>81</x:v>
      </x:c>
      <x:c r="AN851" s="9" t="n">
        <x:v>81</x:v>
      </x:c>
    </x:row>
    <x:row r="852">
      <x:c r="A852" s="9" t="str">
        <x:v>Success</x:v>
      </x:c>
      <x:c r="B852" s="9" t="str">
        <x:v>Size Recognition</x:v>
      </x:c>
      <x:c r="C852" s="10" t="n">
        <x:v>80</x:v>
      </x:c>
      <x:c r="D852" s="9" t="str">
        <x:v>Pick up the largest item and place it in the bowl.</x:v>
      </x:c>
      <x:c r="E852" s="9" t="str">
        <x:v>Bowl: empty. Table, robot-left→robot-right: P1 green block; P2 red pencil sharpener. Adjacent centers 12 cm apart; row centered on the workspace; all objects fully visible and grasp paths clear.</x:v>
      </x:c>
      <x:c r="F852" s="9" t="str">
        <x:v>MOVE green block to bowl</x:v>
      </x:c>
      <x:c r="G852" s="9"/>
      <x:c r="H852" s="9" t="str">
        <x:v>Concept/compositional transfer</x:v>
      </x:c>
      <x:c r="I852" s="9" t="str">
        <x:v>SZ-CT-LG11</x:v>
      </x:c>
      <x:c r="J852" s="9" t="str">
        <x:v>largest</x:v>
      </x:c>
      <x:c r="K852" s="9"/>
      <x:c r="L852" s="9" t="str">
        <x:v>1090</x:v>
      </x:c>
      <x:c r="M852" s="9"/>
      <x:c r="N852" s="9"/>
      <x:c r="O852" s="9" t="str">
        <x:v>Build the listed two-object scene and save a first-frame filename.</x:v>
      </x:c>
      <x:c r="P852" s="9" t="str">
        <x:v>Primary missing cell. Training episode 1090 contains the same target trajectory but masks the size word with a direct identity prompt.</x:v>
      </x:c>
      <x:c r="Q852" s="9"/>
      <x:c r="R852" s="10" t="n">
        <x:v>2</x:v>
      </x:c>
      <x:c r="S852" s="10"/>
      <x:c r="T852" s="9"/>
      <x:c r="U852" s="9"/>
      <x:c r="V852" s="9"/>
      <x:c r="W852" s="9"/>
      <x:c r="X852" s="10"/>
      <x:c r="Y852" s="10"/>
      <x:c r="Z852" s="9"/>
      <x:c r="AA852" s="9"/>
      <x:c r="AB852" s="9"/>
      <x:c r="AC852" s="9"/>
      <x:c r="AD852" s="9" t="str">
        <x:v>green block</x:v>
      </x:c>
      <x:c r="AE852" s="9"/>
      <x:c r="AF852" s="9"/>
      <x:c r="AG852" s="9"/>
      <x:c r="AH852" s="9" t="str">
        <x:v>Left</x:v>
      </x:c>
      <x:c r="AI852" s="11" t="n">
        <x:v>12</x:v>
      </x:c>
      <x:c r="AJ852" s="9" t="str">
        <x:v>Held-out largest × green block — Pick up</x:v>
      </x:c>
      <x:c r="AK852" s="9" t="str">
        <x:v>Eval_Size_Recognition (1).xlsm</x:v>
      </x:c>
      <x:c r="AL852" s="9" t="str">
        <x:v>pi0.5 Results</x:v>
      </x:c>
      <x:c r="AM852" s="9" t="n">
        <x:v>82</x:v>
      </x:c>
      <x:c r="AN852" s="9" t="n">
        <x:v>82</x:v>
      </x:c>
    </x:row>
    <x:row r="853">
      <x:c r="A853" s="9" t="str">
        <x:v>Failure</x:v>
      </x:c>
      <x:c r="B853" s="9" t="str">
        <x:v>Size Recognition</x:v>
      </x:c>
      <x:c r="C853" s="10" t="n">
        <x:v>81</x:v>
      </x:c>
      <x:c r="D853" s="9" t="str">
        <x:v>Put the smallest object in the bowl.</x:v>
      </x:c>
      <x:c r="E853" s="9" t="str">
        <x:v>Bowl: empty. Table, robot-left→robot-right: P1 crushed Pepsi can; P2 juggling ball. Adjacent centers 16 cm apart; row shifted 4 cm toward robot-right; all objects fully visible and grasp paths clear.</x:v>
      </x:c>
      <x:c r="F853" s="9" t="str">
        <x:v>MOVE juggling ball to bowl</x:v>
      </x:c>
      <x:c r="G853" s="9" t="str">
        <x:v>grabbed soda can. soda can near front of robot.</x:v>
      </x:c>
      <x:c r="H853" s="9" t="str">
        <x:v>Concept/compositional transfer</x:v>
      </x:c>
      <x:c r="I853" s="9" t="str">
        <x:v>SZ-CT-SJ11</x:v>
      </x:c>
      <x:c r="J853" s="9" t="str">
        <x:v>smallest</x:v>
      </x:c>
      <x:c r="K853" s="9"/>
      <x:c r="L853" s="9" t="str">
        <x:v>1115</x:v>
      </x:c>
      <x:c r="M853" s="9"/>
      <x:c r="N853" s="9"/>
      <x:c r="O853" s="9" t="str">
        <x:v>Build the listed two-object scene and save a first-frame filename.</x:v>
      </x:c>
      <x:c r="P853" s="9" t="str">
        <x:v>Primary missing cell. Training episode 1115 contains the same target trajectory but masks the size word with a direct identity prompt.</x:v>
      </x:c>
      <x:c r="Q853" s="9"/>
      <x:c r="R853" s="10" t="n">
        <x:v>2</x:v>
      </x:c>
      <x:c r="S853" s="10"/>
      <x:c r="T853" s="9"/>
      <x:c r="U853" s="9"/>
      <x:c r="V853" s="9"/>
      <x:c r="W853" s="9"/>
      <x:c r="X853" s="10"/>
      <x:c r="Y853" s="10"/>
      <x:c r="Z853" s="9"/>
      <x:c r="AA853" s="9"/>
      <x:c r="AB853" s="9"/>
      <x:c r="AC853" s="9"/>
      <x:c r="AD853" s="9" t="str">
        <x:v>juggling ball</x:v>
      </x:c>
      <x:c r="AE853" s="9"/>
      <x:c r="AF853" s="9"/>
      <x:c r="AG853" s="9"/>
      <x:c r="AH853" s="9" t="str">
        <x:v>Right</x:v>
      </x:c>
      <x:c r="AI853" s="11" t="n">
        <x:v>16</x:v>
      </x:c>
      <x:c r="AJ853" s="9" t="str">
        <x:v>Held-out smallest × juggling ball — Put</x:v>
      </x:c>
      <x:c r="AK853" s="9" t="str">
        <x:v>Eval_Size_Recognition (1).xlsm</x:v>
      </x:c>
      <x:c r="AL853" s="9" t="str">
        <x:v>pi0.5 Results</x:v>
      </x:c>
      <x:c r="AM853" s="9" t="n">
        <x:v>83</x:v>
      </x:c>
      <x:c r="AN853" s="9" t="n">
        <x:v>83</x:v>
      </x:c>
    </x:row>
    <x:row r="854">
      <x:c r="A854" s="9" t="str">
        <x:v>Success</x:v>
      </x:c>
      <x:c r="B854" s="9" t="str">
        <x:v>Size Recognition</x:v>
      </x:c>
      <x:c r="C854" s="10" t="n">
        <x:v>82</x:v>
      </x:c>
      <x:c r="D854" s="9" t="str">
        <x:v>Put the largest object in the bowl.</x:v>
      </x:c>
      <x:c r="E854" s="9" t="str">
        <x:v>Bowl: empty. Table, robot-left→robot-right: P1 red pencil sharpener; P2 green block. Adjacent centers 16 cm apart; row shifted 4 cm toward robot-left; all objects fully visible and grasp paths clear.</x:v>
      </x:c>
      <x:c r="F854" s="9" t="str">
        <x:v>MOVE green block to bowl</x:v>
      </x:c>
      <x:c r="G854" s="9"/>
      <x:c r="H854" s="9" t="str">
        <x:v>Concept/compositional transfer</x:v>
      </x:c>
      <x:c r="I854" s="9" t="str">
        <x:v>SZ-CT-LG12</x:v>
      </x:c>
      <x:c r="J854" s="9" t="str">
        <x:v>largest</x:v>
      </x:c>
      <x:c r="K854" s="9"/>
      <x:c r="L854" s="9" t="str">
        <x:v>1091</x:v>
      </x:c>
      <x:c r="M854" s="9"/>
      <x:c r="N854" s="9"/>
      <x:c r="O854" s="9" t="str">
        <x:v>Build the listed two-object scene and save a first-frame filename.</x:v>
      </x:c>
      <x:c r="P854" s="9" t="str">
        <x:v>Primary missing cell. Training episode 1091 contains the same target trajectory but masks the size word with a direct identity prompt.</x:v>
      </x:c>
      <x:c r="Q854" s="9"/>
      <x:c r="R854" s="10" t="n">
        <x:v>2</x:v>
      </x:c>
      <x:c r="S854" s="10"/>
      <x:c r="T854" s="9"/>
      <x:c r="U854" s="9"/>
      <x:c r="V854" s="9"/>
      <x:c r="W854" s="9"/>
      <x:c r="X854" s="10"/>
      <x:c r="Y854" s="10"/>
      <x:c r="Z854" s="9"/>
      <x:c r="AA854" s="9"/>
      <x:c r="AB854" s="9"/>
      <x:c r="AC854" s="9"/>
      <x:c r="AD854" s="9" t="str">
        <x:v>green block</x:v>
      </x:c>
      <x:c r="AE854" s="9"/>
      <x:c r="AF854" s="9"/>
      <x:c r="AG854" s="9"/>
      <x:c r="AH854" s="9" t="str">
        <x:v>Right</x:v>
      </x:c>
      <x:c r="AI854" s="11" t="n">
        <x:v>16</x:v>
      </x:c>
      <x:c r="AJ854" s="9" t="str">
        <x:v>Held-out largest × green block — Put</x:v>
      </x:c>
      <x:c r="AK854" s="9" t="str">
        <x:v>Eval_Size_Recognition (1).xlsm</x:v>
      </x:c>
      <x:c r="AL854" s="9" t="str">
        <x:v>pi0.5 Results</x:v>
      </x:c>
      <x:c r="AM854" s="9" t="n">
        <x:v>84</x:v>
      </x:c>
      <x:c r="AN854" s="9" t="n">
        <x:v>84</x:v>
      </x:c>
    </x:row>
    <x:row r="855">
      <x:c r="A855" s="9" t="str">
        <x:v>Failure</x:v>
      </x:c>
      <x:c r="B855" s="9" t="str">
        <x:v>Size Recognition</x:v>
      </x:c>
      <x:c r="C855" s="10" t="n">
        <x:v>83</x:v>
      </x:c>
      <x:c r="D855" s="9" t="str">
        <x:v>Move the object that is smallest into the bowl.</x:v>
      </x:c>
      <x:c r="E855" s="9" t="str">
        <x:v>Bowl: empty. Table, robot-left→robot-right: P1 juggling ball; P2 crushed Pepsi can. Adjacent centers 8 cm apart; row shifted 4 cm toward the robot; all objects fully visible and grasp paths clear.</x:v>
      </x:c>
      <x:c r="F855" s="9" t="str">
        <x:v>MOVE juggling ball to bowl</x:v>
      </x:c>
      <x:c r="G855" s="9" t="str">
        <x:v>Picked soda can; I think the middle camera would have more pixels for the soda can than the juggling ball, so maybe hypothesis is incorrect</x:v>
      </x:c>
      <x:c r="H855" s="9" t="str">
        <x:v>Concept/compositional transfer</x:v>
      </x:c>
      <x:c r="I855" s="9" t="str">
        <x:v>SZ-CT-SJ12</x:v>
      </x:c>
      <x:c r="J855" s="9" t="str">
        <x:v>smallest</x:v>
      </x:c>
      <x:c r="K855" s="9"/>
      <x:c r="L855" s="9" t="str">
        <x:v>1116</x:v>
      </x:c>
      <x:c r="M855" s="9"/>
      <x:c r="N855" s="9"/>
      <x:c r="O855" s="9" t="str">
        <x:v>Build the listed two-object scene and save a first-frame filename.</x:v>
      </x:c>
      <x:c r="P855" s="9" t="str">
        <x:v>Primary missing cell. Training episode 1116 contains the same target trajectory but masks the size word with a direct identity prompt.</x:v>
      </x:c>
      <x:c r="Q855" s="9"/>
      <x:c r="R855" s="10" t="n">
        <x:v>2</x:v>
      </x:c>
      <x:c r="S855" s="10"/>
      <x:c r="T855" s="9"/>
      <x:c r="U855" s="9"/>
      <x:c r="V855" s="9"/>
      <x:c r="W855" s="9"/>
      <x:c r="X855" s="10"/>
      <x:c r="Y855" s="10"/>
      <x:c r="Z855" s="9"/>
      <x:c r="AA855" s="9"/>
      <x:c r="AB855" s="9"/>
      <x:c r="AC855" s="9"/>
      <x:c r="AD855" s="9" t="str">
        <x:v>juggling ball</x:v>
      </x:c>
      <x:c r="AE855" s="9"/>
      <x:c r="AF855" s="9"/>
      <x:c r="AG855" s="9"/>
      <x:c r="AH855" s="9" t="str">
        <x:v>Left</x:v>
      </x:c>
      <x:c r="AI855" s="11" t="n">
        <x:v>8</x:v>
      </x:c>
      <x:c r="AJ855" s="9" t="str">
        <x:v>Held-out smallest × juggling ball — Move</x:v>
      </x:c>
      <x:c r="AK855" s="9" t="str">
        <x:v>Eval_Size_Recognition (1).xlsm</x:v>
      </x:c>
      <x:c r="AL855" s="9" t="str">
        <x:v>pi0.5 Results</x:v>
      </x:c>
      <x:c r="AM855" s="9" t="n">
        <x:v>85</x:v>
      </x:c>
      <x:c r="AN855" s="9" t="n">
        <x:v>85</x:v>
      </x:c>
    </x:row>
    <x:row r="856">
      <x:c r="A856" s="9" t="str">
        <x:v>Success</x:v>
      </x:c>
      <x:c r="B856" s="9" t="str">
        <x:v>Size Recognition</x:v>
      </x:c>
      <x:c r="C856" s="10" t="n">
        <x:v>84</x:v>
      </x:c>
      <x:c r="D856" s="9" t="str">
        <x:v>Move the object that is largest into the bowl.</x:v>
      </x:c>
      <x:c r="E856" s="9" t="str">
        <x:v>Bowl: empty. Table, robot-left→robot-right: P1 green block; P2 red pencil sharpener. Adjacent centers 8 cm apart; row shifted 4 cm toward robot-right; all objects fully visible and grasp paths clear.</x:v>
      </x:c>
      <x:c r="F856" s="9" t="str">
        <x:v>MOVE green block to bowl</x:v>
      </x:c>
      <x:c r="G856" s="9"/>
      <x:c r="H856" s="9" t="str">
        <x:v>Concept/compositional transfer</x:v>
      </x:c>
      <x:c r="I856" s="9" t="str">
        <x:v>SZ-CT-LG13</x:v>
      </x:c>
      <x:c r="J856" s="9" t="str">
        <x:v>largest</x:v>
      </x:c>
      <x:c r="K856" s="9"/>
      <x:c r="L856" s="9" t="str">
        <x:v>1092</x:v>
      </x:c>
      <x:c r="M856" s="9"/>
      <x:c r="N856" s="9"/>
      <x:c r="O856" s="9" t="str">
        <x:v>Build the listed two-object scene and save a first-frame filename.</x:v>
      </x:c>
      <x:c r="P856" s="9" t="str">
        <x:v>Primary missing cell. Training episode 1092 contains the same target trajectory but masks the size word with a direct identity prompt.</x:v>
      </x:c>
      <x:c r="Q856" s="9"/>
      <x:c r="R856" s="10" t="n">
        <x:v>2</x:v>
      </x:c>
      <x:c r="S856" s="10"/>
      <x:c r="T856" s="9"/>
      <x:c r="U856" s="9"/>
      <x:c r="V856" s="9"/>
      <x:c r="W856" s="9"/>
      <x:c r="X856" s="10"/>
      <x:c r="Y856" s="10"/>
      <x:c r="Z856" s="9"/>
      <x:c r="AA856" s="9"/>
      <x:c r="AB856" s="9"/>
      <x:c r="AC856" s="9"/>
      <x:c r="AD856" s="9" t="str">
        <x:v>green block</x:v>
      </x:c>
      <x:c r="AE856" s="9"/>
      <x:c r="AF856" s="9"/>
      <x:c r="AG856" s="9"/>
      <x:c r="AH856" s="9" t="str">
        <x:v>Left</x:v>
      </x:c>
      <x:c r="AI856" s="11" t="n">
        <x:v>8</x:v>
      </x:c>
      <x:c r="AJ856" s="9" t="str">
        <x:v>Held-out largest × green block — Move</x:v>
      </x:c>
      <x:c r="AK856" s="9" t="str">
        <x:v>Eval_Size_Recognition (1).xlsm</x:v>
      </x:c>
      <x:c r="AL856" s="9" t="str">
        <x:v>pi0.5 Results</x:v>
      </x:c>
      <x:c r="AM856" s="9" t="n">
        <x:v>86</x:v>
      </x:c>
      <x:c r="AN856" s="9" t="n">
        <x:v>86</x:v>
      </x:c>
    </x:row>
    <x:row r="857">
      <x:c r="A857" s="9" t="str">
        <x:v>Failure</x:v>
      </x:c>
      <x:c r="B857" s="9" t="str">
        <x:v>Size Recognition</x:v>
      </x:c>
      <x:c r="C857" s="10" t="n">
        <x:v>85</x:v>
      </x:c>
      <x:c r="D857" s="9" t="str">
        <x:v>Pick up the smallest item and place it in the bowl.</x:v>
      </x:c>
      <x:c r="E857" s="9" t="str">
        <x:v>Bowl: empty. Table, robot-left→robot-right: P1 crushed Pepsi can; P2 juggling ball. Adjacent centers 12 cm apart; row shifted 4 cm away from the robot; all objects fully visible and grasp paths clear.</x:v>
      </x:c>
      <x:c r="F857" s="9" t="str">
        <x:v>MOVE juggling ball to bowl</x:v>
      </x:c>
      <x:c r="G857" s="9" t="str">
        <x:v>Picked soda can; I think the middle camera would have more pixels for the soda can than the juggling ball, so maybe hypothesis is incorrect</x:v>
      </x:c>
      <x:c r="H857" s="9" t="str">
        <x:v>Concept/compositional transfer</x:v>
      </x:c>
      <x:c r="I857" s="9" t="str">
        <x:v>SZ-CT-SJ13</x:v>
      </x:c>
      <x:c r="J857" s="9" t="str">
        <x:v>smallest</x:v>
      </x:c>
      <x:c r="K857" s="9"/>
      <x:c r="L857" s="9" t="str">
        <x:v>1117</x:v>
      </x:c>
      <x:c r="M857" s="9"/>
      <x:c r="N857" s="9"/>
      <x:c r="O857" s="9" t="str">
        <x:v>Build the listed two-object scene and save a first-frame filename.</x:v>
      </x:c>
      <x:c r="P857" s="9" t="str">
        <x:v>Primary missing cell. Training episode 1117 contains the same target trajectory but masks the size word with a direct identity prompt.</x:v>
      </x:c>
      <x:c r="Q857" s="9"/>
      <x:c r="R857" s="10" t="n">
        <x:v>2</x:v>
      </x:c>
      <x:c r="S857" s="10"/>
      <x:c r="T857" s="9"/>
      <x:c r="U857" s="9"/>
      <x:c r="V857" s="9"/>
      <x:c r="W857" s="9"/>
      <x:c r="X857" s="10"/>
      <x:c r="Y857" s="10"/>
      <x:c r="Z857" s="9"/>
      <x:c r="AA857" s="9"/>
      <x:c r="AB857" s="9"/>
      <x:c r="AC857" s="9"/>
      <x:c r="AD857" s="9" t="str">
        <x:v>juggling ball</x:v>
      </x:c>
      <x:c r="AE857" s="9"/>
      <x:c r="AF857" s="9"/>
      <x:c r="AG857" s="9"/>
      <x:c r="AH857" s="9" t="str">
        <x:v>Right</x:v>
      </x:c>
      <x:c r="AI857" s="11" t="n">
        <x:v>12</x:v>
      </x:c>
      <x:c r="AJ857" s="9" t="str">
        <x:v>Held-out smallest × juggling ball — Pick up</x:v>
      </x:c>
      <x:c r="AK857" s="9" t="str">
        <x:v>Eval_Size_Recognition (1).xlsm</x:v>
      </x:c>
      <x:c r="AL857" s="9" t="str">
        <x:v>pi0.5 Results</x:v>
      </x:c>
      <x:c r="AM857" s="9" t="n">
        <x:v>87</x:v>
      </x:c>
      <x:c r="AN857" s="9" t="n">
        <x:v>87</x:v>
      </x:c>
    </x:row>
    <x:row r="858">
      <x:c r="A858" s="9" t="str">
        <x:v>Failure</x:v>
      </x:c>
      <x:c r="B858" s="9" t="str">
        <x:v>Size Recognition</x:v>
      </x:c>
      <x:c r="C858" s="10" t="n">
        <x:v>86</x:v>
      </x:c>
      <x:c r="D858" s="9" t="str">
        <x:v>Pick up the largest item and place it in the bowl.</x:v>
      </x:c>
      <x:c r="E858" s="9" t="str">
        <x:v>Bowl: empty. Table, robot-left→robot-right: P1 red pencil sharpener; P2 green block. Adjacent centers 12 cm apart; row shifted 4 cm toward the robot; all objects fully visible and grasp paths clear.</x:v>
      </x:c>
      <x:c r="F858" s="9" t="str">
        <x:v>MOVE green block to bowl</x:v>
      </x:c>
      <x:c r="G858" s="9" t="str">
        <x:v>Grabbed red pencil sharpener; was placed in front of the robot.</x:v>
      </x:c>
      <x:c r="H858" s="9" t="str">
        <x:v>Concept/compositional transfer</x:v>
      </x:c>
      <x:c r="I858" s="9" t="str">
        <x:v>SZ-CT-LG14</x:v>
      </x:c>
      <x:c r="J858" s="9" t="str">
        <x:v>largest</x:v>
      </x:c>
      <x:c r="K858" s="9"/>
      <x:c r="L858" s="9" t="str">
        <x:v>1093</x:v>
      </x:c>
      <x:c r="M858" s="9"/>
      <x:c r="N858" s="9"/>
      <x:c r="O858" s="9" t="str">
        <x:v>Build the listed two-object scene and save a first-frame filename.</x:v>
      </x:c>
      <x:c r="P858" s="9" t="str">
        <x:v>Primary missing cell. Training episode 1093 contains the same target trajectory but masks the size word with a direct identity prompt.</x:v>
      </x:c>
      <x:c r="Q858" s="9"/>
      <x:c r="R858" s="10" t="n">
        <x:v>2</x:v>
      </x:c>
      <x:c r="S858" s="10"/>
      <x:c r="T858" s="9"/>
      <x:c r="U858" s="9"/>
      <x:c r="V858" s="9"/>
      <x:c r="W858" s="9"/>
      <x:c r="X858" s="10"/>
      <x:c r="Y858" s="10"/>
      <x:c r="Z858" s="9"/>
      <x:c r="AA858" s="9"/>
      <x:c r="AB858" s="9"/>
      <x:c r="AC858" s="9"/>
      <x:c r="AD858" s="9" t="str">
        <x:v>green block</x:v>
      </x:c>
      <x:c r="AE858" s="9"/>
      <x:c r="AF858" s="9"/>
      <x:c r="AG858" s="9"/>
      <x:c r="AH858" s="9" t="str">
        <x:v>Right</x:v>
      </x:c>
      <x:c r="AI858" s="11" t="n">
        <x:v>12</x:v>
      </x:c>
      <x:c r="AJ858" s="9" t="str">
        <x:v>Held-out largest × green block — Pick up</x:v>
      </x:c>
      <x:c r="AK858" s="9" t="str">
        <x:v>Eval_Size_Recognition (1).xlsm</x:v>
      </x:c>
      <x:c r="AL858" s="9" t="str">
        <x:v>pi0.5 Results</x:v>
      </x:c>
      <x:c r="AM858" s="9" t="n">
        <x:v>88</x:v>
      </x:c>
      <x:c r="AN858" s="9" t="n">
        <x:v>88</x:v>
      </x:c>
    </x:row>
    <x:row r="859">
      <x:c r="A859" s="9" t="str">
        <x:v>Success</x:v>
      </x:c>
      <x:c r="B859" s="9" t="str">
        <x:v>Size Recognition</x:v>
      </x:c>
      <x:c r="C859" s="10" t="n">
        <x:v>87</x:v>
      </x:c>
      <x:c r="D859" s="9" t="str">
        <x:v>Put the smallest object in the bowl.</x:v>
      </x:c>
      <x:c r="E859" s="9" t="str">
        <x:v>Bowl: empty. Table, robot-left→robot-right: P1 juggling ball; P2 crushed Pepsi can. Adjacent centers 16 cm apart; row centered on the workspace; all objects fully visible and grasp paths clear.</x:v>
      </x:c>
      <x:c r="F859" s="9" t="str">
        <x:v>MOVE juggling ball to bowl</x:v>
      </x:c>
      <x:c r="G859" s="9"/>
      <x:c r="H859" s="9" t="str">
        <x:v>Concept/compositional transfer</x:v>
      </x:c>
      <x:c r="I859" s="9" t="str">
        <x:v>SZ-CT-SJ14</x:v>
      </x:c>
      <x:c r="J859" s="9" t="str">
        <x:v>smallest</x:v>
      </x:c>
      <x:c r="K859" s="9"/>
      <x:c r="L859" s="9" t="str">
        <x:v>1118</x:v>
      </x:c>
      <x:c r="M859" s="9"/>
      <x:c r="N859" s="9"/>
      <x:c r="O859" s="9" t="str">
        <x:v>Build the listed two-object scene and save a first-frame filename.</x:v>
      </x:c>
      <x:c r="P859" s="9" t="str">
        <x:v>Primary missing cell. Training episode 1118 contains the same target trajectory but masks the size word with a direct identity prompt.</x:v>
      </x:c>
      <x:c r="Q859" s="9"/>
      <x:c r="R859" s="10" t="n">
        <x:v>2</x:v>
      </x:c>
      <x:c r="S859" s="10"/>
      <x:c r="T859" s="9"/>
      <x:c r="U859" s="9"/>
      <x:c r="V859" s="9"/>
      <x:c r="W859" s="9"/>
      <x:c r="X859" s="10"/>
      <x:c r="Y859" s="10"/>
      <x:c r="Z859" s="9"/>
      <x:c r="AA859" s="9"/>
      <x:c r="AB859" s="9"/>
      <x:c r="AC859" s="9"/>
      <x:c r="AD859" s="9" t="str">
        <x:v>juggling ball</x:v>
      </x:c>
      <x:c r="AE859" s="9"/>
      <x:c r="AF859" s="9"/>
      <x:c r="AG859" s="9"/>
      <x:c r="AH859" s="9" t="str">
        <x:v>Left</x:v>
      </x:c>
      <x:c r="AI859" s="11" t="n">
        <x:v>16</x:v>
      </x:c>
      <x:c r="AJ859" s="9" t="str">
        <x:v>Held-out smallest × juggling ball — Put</x:v>
      </x:c>
      <x:c r="AK859" s="9" t="str">
        <x:v>Eval_Size_Recognition (1).xlsm</x:v>
      </x:c>
      <x:c r="AL859" s="9" t="str">
        <x:v>pi0.5 Results</x:v>
      </x:c>
      <x:c r="AM859" s="9" t="n">
        <x:v>89</x:v>
      </x:c>
      <x:c r="AN859" s="9" t="n">
        <x:v>89</x:v>
      </x:c>
    </x:row>
    <x:row r="860">
      <x:c r="A860" s="9" t="str">
        <x:v>Success</x:v>
      </x:c>
      <x:c r="B860" s="9" t="str">
        <x:v>Size Recognition</x:v>
      </x:c>
      <x:c r="C860" s="10" t="n">
        <x:v>88</x:v>
      </x:c>
      <x:c r="D860" s="9" t="str">
        <x:v>Put the largest object in the bowl.</x:v>
      </x:c>
      <x:c r="E860" s="9" t="str">
        <x:v>Bowl: empty. Table, robot-left→robot-right: P1 green block; P2 red pencil sharpener. Adjacent centers 16 cm apart; row shifted 4 cm away from the robot; all objects fully visible and grasp paths clear.</x:v>
      </x:c>
      <x:c r="F860" s="9" t="str">
        <x:v>MOVE green block to bowl</x:v>
      </x:c>
      <x:c r="G860" s="9"/>
      <x:c r="H860" s="9" t="str">
        <x:v>Concept/compositional transfer</x:v>
      </x:c>
      <x:c r="I860" s="9" t="str">
        <x:v>SZ-CT-LG15</x:v>
      </x:c>
      <x:c r="J860" s="9" t="str">
        <x:v>largest</x:v>
      </x:c>
      <x:c r="K860" s="9"/>
      <x:c r="L860" s="9" t="str">
        <x:v>1094</x:v>
      </x:c>
      <x:c r="M860" s="9"/>
      <x:c r="N860" s="9"/>
      <x:c r="O860" s="9" t="str">
        <x:v>Build the listed two-object scene and save a first-frame filename.</x:v>
      </x:c>
      <x:c r="P860" s="9" t="str">
        <x:v>Primary missing cell. Training episode 1094 contains the same target trajectory but masks the size word with a direct identity prompt.</x:v>
      </x:c>
      <x:c r="Q860" s="9"/>
      <x:c r="R860" s="10" t="n">
        <x:v>2</x:v>
      </x:c>
      <x:c r="S860" s="10"/>
      <x:c r="T860" s="9"/>
      <x:c r="U860" s="9"/>
      <x:c r="V860" s="9"/>
      <x:c r="W860" s="9"/>
      <x:c r="X860" s="10"/>
      <x:c r="Y860" s="10"/>
      <x:c r="Z860" s="9"/>
      <x:c r="AA860" s="9"/>
      <x:c r="AB860" s="9"/>
      <x:c r="AC860" s="9"/>
      <x:c r="AD860" s="9" t="str">
        <x:v>green block</x:v>
      </x:c>
      <x:c r="AE860" s="9"/>
      <x:c r="AF860" s="9"/>
      <x:c r="AG860" s="9"/>
      <x:c r="AH860" s="9" t="str">
        <x:v>Left</x:v>
      </x:c>
      <x:c r="AI860" s="11" t="n">
        <x:v>16</x:v>
      </x:c>
      <x:c r="AJ860" s="9" t="str">
        <x:v>Held-out largest × green block — Put</x:v>
      </x:c>
      <x:c r="AK860" s="9" t="str">
        <x:v>Eval_Size_Recognition (1).xlsm</x:v>
      </x:c>
      <x:c r="AL860" s="9" t="str">
        <x:v>pi0.5 Results</x:v>
      </x:c>
      <x:c r="AM860" s="9" t="n">
        <x:v>90</x:v>
      </x:c>
      <x:c r="AN860" s="9" t="n">
        <x:v>90</x:v>
      </x:c>
    </x:row>
    <x:row r="861">
      <x:c r="A861" s="9" t="str">
        <x:v>Success</x:v>
      </x:c>
      <x:c r="B861" s="9" t="str">
        <x:v>Size Recognition</x:v>
      </x:c>
      <x:c r="C861" s="10" t="n">
        <x:v>89</x:v>
      </x:c>
      <x:c r="D861" s="9" t="str">
        <x:v>Move the object that is smallest into the bowl.</x:v>
      </x:c>
      <x:c r="E861" s="9" t="str">
        <x:v>Bowl: empty. Table, robot-left→robot-right: P1 crushed Pepsi can; P2 juggling ball. Adjacent centers 8 cm apart; row shifted 4 cm toward robot-left; all objects fully visible and grasp paths clear.</x:v>
      </x:c>
      <x:c r="F861" s="9" t="str">
        <x:v>MOVE juggling ball to bowl</x:v>
      </x:c>
      <x:c r="G861" s="9"/>
      <x:c r="H861" s="9" t="str">
        <x:v>Concept/compositional transfer</x:v>
      </x:c>
      <x:c r="I861" s="9" t="str">
        <x:v>SZ-CT-SJ15</x:v>
      </x:c>
      <x:c r="J861" s="9" t="str">
        <x:v>smallest</x:v>
      </x:c>
      <x:c r="K861" s="9"/>
      <x:c r="L861" s="9" t="str">
        <x:v>1119</x:v>
      </x:c>
      <x:c r="M861" s="9"/>
      <x:c r="N861" s="9"/>
      <x:c r="O861" s="9" t="str">
        <x:v>Build the listed two-object scene and save a first-frame filename.</x:v>
      </x:c>
      <x:c r="P861" s="9" t="str">
        <x:v>Primary missing cell. Training episode 1119 contains the same target trajectory but masks the size word with a direct identity prompt.</x:v>
      </x:c>
      <x:c r="Q861" s="9"/>
      <x:c r="R861" s="10" t="n">
        <x:v>2</x:v>
      </x:c>
      <x:c r="S861" s="10"/>
      <x:c r="T861" s="9"/>
      <x:c r="U861" s="9"/>
      <x:c r="V861" s="9"/>
      <x:c r="W861" s="9"/>
      <x:c r="X861" s="10"/>
      <x:c r="Y861" s="10"/>
      <x:c r="Z861" s="9"/>
      <x:c r="AA861" s="9"/>
      <x:c r="AB861" s="9"/>
      <x:c r="AC861" s="9"/>
      <x:c r="AD861" s="9" t="str">
        <x:v>juggling ball</x:v>
      </x:c>
      <x:c r="AE861" s="9"/>
      <x:c r="AF861" s="9"/>
      <x:c r="AG861" s="9"/>
      <x:c r="AH861" s="9" t="str">
        <x:v>Right</x:v>
      </x:c>
      <x:c r="AI861" s="11" t="n">
        <x:v>8</x:v>
      </x:c>
      <x:c r="AJ861" s="9" t="str">
        <x:v>Held-out smallest × juggling ball — Move</x:v>
      </x:c>
      <x:c r="AK861" s="9" t="str">
        <x:v>Eval_Size_Recognition (1).xlsm</x:v>
      </x:c>
      <x:c r="AL861" s="9" t="str">
        <x:v>pi0.5 Results</x:v>
      </x:c>
      <x:c r="AM861" s="9" t="n">
        <x:v>91</x:v>
      </x:c>
      <x:c r="AN861" s="9" t="n">
        <x:v>91</x:v>
      </x:c>
    </x:row>
    <x:row r="862">
      <x:c r="A862" s="9" t="str">
        <x:v>Failure</x:v>
      </x:c>
      <x:c r="B862" s="9" t="str">
        <x:v>Size Recognition</x:v>
      </x:c>
      <x:c r="C862" s="10" t="n">
        <x:v>90</x:v>
      </x:c>
      <x:c r="D862" s="9" t="str">
        <x:v>Move the object that is largest into the bowl.</x:v>
      </x:c>
      <x:c r="E862" s="9" t="str">
        <x:v>Bowl: empty. Table, robot-left→robot-right: P1 red pencil sharpener; P2 green block. Adjacent centers 8 cm apart; row centered on the workspace; all objects fully visible and grasp paths clear.</x:v>
      </x:c>
      <x:c r="F862" s="9" t="str">
        <x:v>MOVE green block to bowl</x:v>
      </x:c>
      <x:c r="G862" s="9" t="str">
        <x:v>red pencil sharpener. pixels on middle camera prob would have green block bigger. Maybe the green block was too far at edge of the robots reaching range.</x:v>
      </x:c>
      <x:c r="H862" s="9" t="str">
        <x:v>Concept/compositional transfer</x:v>
      </x:c>
      <x:c r="I862" s="9" t="str">
        <x:v>SZ-CT-LG16</x:v>
      </x:c>
      <x:c r="J862" s="9" t="str">
        <x:v>largest</x:v>
      </x:c>
      <x:c r="K862" s="9"/>
      <x:c r="L862" s="9" t="str">
        <x:v>1095</x:v>
      </x:c>
      <x:c r="M862" s="9"/>
      <x:c r="N862" s="9"/>
      <x:c r="O862" s="9" t="str">
        <x:v>Build the listed two-object scene and save a first-frame filename.</x:v>
      </x:c>
      <x:c r="P862" s="9" t="str">
        <x:v>Primary missing cell. Training episode 1095 contains the same target trajectory but masks the size word with a direct identity prompt.</x:v>
      </x:c>
      <x:c r="Q862" s="9"/>
      <x:c r="R862" s="10" t="n">
        <x:v>2</x:v>
      </x:c>
      <x:c r="S862" s="10"/>
      <x:c r="T862" s="9"/>
      <x:c r="U862" s="9"/>
      <x:c r="V862" s="9"/>
      <x:c r="W862" s="9"/>
      <x:c r="X862" s="10"/>
      <x:c r="Y862" s="10"/>
      <x:c r="Z862" s="9"/>
      <x:c r="AA862" s="9"/>
      <x:c r="AB862" s="9"/>
      <x:c r="AC862" s="9"/>
      <x:c r="AD862" s="9" t="str">
        <x:v>green block</x:v>
      </x:c>
      <x:c r="AE862" s="9"/>
      <x:c r="AF862" s="9"/>
      <x:c r="AG862" s="9"/>
      <x:c r="AH862" s="9" t="str">
        <x:v>Right</x:v>
      </x:c>
      <x:c r="AI862" s="11" t="n">
        <x:v>8</x:v>
      </x:c>
      <x:c r="AJ862" s="9" t="str">
        <x:v>Held-out largest × green block — Move</x:v>
      </x:c>
      <x:c r="AK862" s="9" t="str">
        <x:v>Eval_Size_Recognition (1).xlsm</x:v>
      </x:c>
      <x:c r="AL862" s="9" t="str">
        <x:v>pi0.5 Results</x:v>
      </x:c>
      <x:c r="AM862" s="9" t="n">
        <x:v>92</x:v>
      </x:c>
      <x:c r="AN862" s="9" t="n">
        <x:v>92</x:v>
      </x:c>
    </x:row>
    <x:row r="863">
      <x:c r="A863" s="9" t="str">
        <x:v>Failure</x:v>
      </x:c>
      <x:c r="B863" s="9" t="str">
        <x:v>Size Recognition</x:v>
      </x:c>
      <x:c r="C863" s="10" t="n">
        <x:v>91</x:v>
      </x:c>
      <x:c r="D863" s="9" t="str">
        <x:v>Pick up the smallest item and place it in the bowl.</x:v>
      </x:c>
      <x:c r="E863" s="9" t="str">
        <x:v>Bowl: empty. Table, robot-left→robot-right: P1 juggling ball; P2 crushed Pepsi can. Adjacent centers 12 cm apart; row shifted 4 cm toward robot-right; all objects fully visible and grasp paths clear.</x:v>
      </x:c>
      <x:c r="F863" s="9" t="str">
        <x:v>MOVE juggling ball to bowl</x:v>
      </x:c>
      <x:c r="G863" s="9" t="str">
        <x:v>Weird behavoir. trying to pick up object that isn't there. Didn't even grasp anything.</x:v>
      </x:c>
      <x:c r="H863" s="9" t="str">
        <x:v>Concept/compositional transfer</x:v>
      </x:c>
      <x:c r="I863" s="9" t="str">
        <x:v>SZ-CT-SJ16</x:v>
      </x:c>
      <x:c r="J863" s="9" t="str">
        <x:v>smallest</x:v>
      </x:c>
      <x:c r="K863" s="9"/>
      <x:c r="L863" s="9" t="str">
        <x:v>1120</x:v>
      </x:c>
      <x:c r="M863" s="9"/>
      <x:c r="N863" s="9"/>
      <x:c r="O863" s="9" t="str">
        <x:v>Build the listed two-object scene and save a first-frame filename.</x:v>
      </x:c>
      <x:c r="P863" s="9" t="str">
        <x:v>Primary missing cell. Training episode 1120 contains the same target trajectory but masks the size word with a direct identity prompt.</x:v>
      </x:c>
      <x:c r="Q863" s="9"/>
      <x:c r="R863" s="10" t="n">
        <x:v>2</x:v>
      </x:c>
      <x:c r="S863" s="10"/>
      <x:c r="T863" s="9"/>
      <x:c r="U863" s="9"/>
      <x:c r="V863" s="9"/>
      <x:c r="W863" s="9"/>
      <x:c r="X863" s="10"/>
      <x:c r="Y863" s="10"/>
      <x:c r="Z863" s="9"/>
      <x:c r="AA863" s="9"/>
      <x:c r="AB863" s="9"/>
      <x:c r="AC863" s="9"/>
      <x:c r="AD863" s="9" t="str">
        <x:v>juggling ball</x:v>
      </x:c>
      <x:c r="AE863" s="9"/>
      <x:c r="AF863" s="9"/>
      <x:c r="AG863" s="9"/>
      <x:c r="AH863" s="9" t="str">
        <x:v>Left</x:v>
      </x:c>
      <x:c r="AI863" s="11" t="n">
        <x:v>12</x:v>
      </x:c>
      <x:c r="AJ863" s="9" t="str">
        <x:v>Held-out smallest × juggling ball — Pick up</x:v>
      </x:c>
      <x:c r="AK863" s="9" t="str">
        <x:v>Eval_Size_Recognition (1).xlsm</x:v>
      </x:c>
      <x:c r="AL863" s="9" t="str">
        <x:v>pi0.5 Results</x:v>
      </x:c>
      <x:c r="AM863" s="9" t="n">
        <x:v>93</x:v>
      </x:c>
      <x:c r="AN863" s="9" t="n">
        <x:v>93</x:v>
      </x:c>
    </x:row>
    <x:row r="864">
      <x:c r="A864" s="9" t="str">
        <x:v>Failure</x:v>
      </x:c>
      <x:c r="B864" s="9" t="str">
        <x:v>Size Recognition</x:v>
      </x:c>
      <x:c r="C864" s="10" t="n">
        <x:v>92</x:v>
      </x:c>
      <x:c r="D864" s="9" t="str">
        <x:v>Pick up the largest item and place it in the bowl.</x:v>
      </x:c>
      <x:c r="E864" s="9" t="str">
        <x:v>Bowl: empty. Table, robot-left→robot-right: P1 green block; P2 red pencil sharpener. Adjacent centers 12 cm apart; row shifted 4 cm toward robot-left; all objects fully visible and grasp paths clear.</x:v>
      </x:c>
      <x:c r="F864" s="9" t="str">
        <x:v>MOVE green block to bowl</x:v>
      </x:c>
      <x:c r="G864" s="9" t="str">
        <x:v>red pencil sharpener. pixels on middle camera prob would have green block bigger. green block definitely in range this time.</x:v>
      </x:c>
      <x:c r="H864" s="9" t="str">
        <x:v>Concept/compositional transfer</x:v>
      </x:c>
      <x:c r="I864" s="9" t="str">
        <x:v>SZ-CT-LG17</x:v>
      </x:c>
      <x:c r="J864" s="9" t="str">
        <x:v>largest</x:v>
      </x:c>
      <x:c r="K864" s="9"/>
      <x:c r="L864" s="9" t="str">
        <x:v>1096</x:v>
      </x:c>
      <x:c r="M864" s="9"/>
      <x:c r="N864" s="9"/>
      <x:c r="O864" s="9" t="str">
        <x:v>Build the listed two-object scene and save a first-frame filename.</x:v>
      </x:c>
      <x:c r="P864" s="9" t="str">
        <x:v>Primary missing cell. Training episode 1096 contains the same target trajectory but masks the size word with a direct identity prompt.</x:v>
      </x:c>
      <x:c r="Q864" s="9"/>
      <x:c r="R864" s="10" t="n">
        <x:v>2</x:v>
      </x:c>
      <x:c r="S864" s="10"/>
      <x:c r="T864" s="9"/>
      <x:c r="U864" s="9"/>
      <x:c r="V864" s="9"/>
      <x:c r="W864" s="9"/>
      <x:c r="X864" s="10"/>
      <x:c r="Y864" s="10"/>
      <x:c r="Z864" s="9"/>
      <x:c r="AA864" s="9"/>
      <x:c r="AB864" s="9"/>
      <x:c r="AC864" s="9"/>
      <x:c r="AD864" s="9" t="str">
        <x:v>green block</x:v>
      </x:c>
      <x:c r="AE864" s="9"/>
      <x:c r="AF864" s="9"/>
      <x:c r="AG864" s="9"/>
      <x:c r="AH864" s="9" t="str">
        <x:v>Left</x:v>
      </x:c>
      <x:c r="AI864" s="11" t="n">
        <x:v>12</x:v>
      </x:c>
      <x:c r="AJ864" s="9" t="str">
        <x:v>Held-out largest × green block — Pick up</x:v>
      </x:c>
      <x:c r="AK864" s="9" t="str">
        <x:v>Eval_Size_Recognition (1).xlsm</x:v>
      </x:c>
      <x:c r="AL864" s="9" t="str">
        <x:v>pi0.5 Results</x:v>
      </x:c>
      <x:c r="AM864" s="9" t="n">
        <x:v>94</x:v>
      </x:c>
      <x:c r="AN864" s="9" t="n">
        <x:v>94</x:v>
      </x:c>
    </x:row>
    <x:row r="865">
      <x:c r="A865" s="9" t="str">
        <x:v>Failure</x:v>
      </x:c>
      <x:c r="B865" s="9" t="str">
        <x:v>Size Recognition</x:v>
      </x:c>
      <x:c r="C865" s="10" t="n">
        <x:v>93</x:v>
      </x:c>
      <x:c r="D865" s="9" t="str">
        <x:v>Put the smallest object in the bowl.</x:v>
      </x:c>
      <x:c r="E865" s="9" t="str">
        <x:v>Bowl: empty. Table, robot-left→robot-right: P1 crushed Pepsi can; P2 juggling ball. Adjacent centers 16 cm apart; row shifted 4 cm toward the robot; all objects fully visible and grasp paths clear.</x:v>
      </x:c>
      <x:c r="F865" s="9" t="str">
        <x:v>MOVE juggling ball to bowl</x:v>
      </x:c>
      <x:c r="G865" s="9" t="str">
        <x:v>Went for soda can and then knocked it over and could not recover</x:v>
      </x:c>
      <x:c r="H865" s="9" t="str">
        <x:v>Concept/compositional transfer</x:v>
      </x:c>
      <x:c r="I865" s="9" t="str">
        <x:v>SZ-CT-SJ17</x:v>
      </x:c>
      <x:c r="J865" s="9" t="str">
        <x:v>smallest</x:v>
      </x:c>
      <x:c r="K865" s="9"/>
      <x:c r="L865" s="9" t="str">
        <x:v>1121</x:v>
      </x:c>
      <x:c r="M865" s="9"/>
      <x:c r="N865" s="9"/>
      <x:c r="O865" s="9" t="str">
        <x:v>Build the listed two-object scene and save a first-frame filename.</x:v>
      </x:c>
      <x:c r="P865" s="9" t="str">
        <x:v>Primary missing cell. Training episode 1121 contains the same target trajectory but masks the size word with a direct identity prompt.</x:v>
      </x:c>
      <x:c r="Q865" s="9"/>
      <x:c r="R865" s="10" t="n">
        <x:v>2</x:v>
      </x:c>
      <x:c r="S865" s="10"/>
      <x:c r="T865" s="9"/>
      <x:c r="U865" s="9"/>
      <x:c r="V865" s="9"/>
      <x:c r="W865" s="9"/>
      <x:c r="X865" s="10"/>
      <x:c r="Y865" s="10"/>
      <x:c r="Z865" s="9"/>
      <x:c r="AA865" s="9"/>
      <x:c r="AB865" s="9"/>
      <x:c r="AC865" s="9"/>
      <x:c r="AD865" s="9" t="str">
        <x:v>juggling ball</x:v>
      </x:c>
      <x:c r="AE865" s="9"/>
      <x:c r="AF865" s="9"/>
      <x:c r="AG865" s="9"/>
      <x:c r="AH865" s="9" t="str">
        <x:v>Right</x:v>
      </x:c>
      <x:c r="AI865" s="11" t="n">
        <x:v>16</x:v>
      </x:c>
      <x:c r="AJ865" s="9" t="str">
        <x:v>Held-out smallest × juggling ball — Put</x:v>
      </x:c>
      <x:c r="AK865" s="9" t="str">
        <x:v>Eval_Size_Recognition (1).xlsm</x:v>
      </x:c>
      <x:c r="AL865" s="9" t="str">
        <x:v>pi0.5 Results</x:v>
      </x:c>
      <x:c r="AM865" s="9" t="n">
        <x:v>95</x:v>
      </x:c>
      <x:c r="AN865" s="9" t="n">
        <x:v>95</x:v>
      </x:c>
    </x:row>
    <x:row r="866">
      <x:c r="A866" s="9" t="str">
        <x:v>Failure</x:v>
      </x:c>
      <x:c r="B866" s="9" t="str">
        <x:v>Size Recognition</x:v>
      </x:c>
      <x:c r="C866" s="10" t="n">
        <x:v>94</x:v>
      </x:c>
      <x:c r="D866" s="9" t="str">
        <x:v>Put the largest object in the bowl.</x:v>
      </x:c>
      <x:c r="E866" s="9" t="str">
        <x:v>Bowl: empty. Table, robot-left→robot-right: P1 red pencil sharpener; P2 green block. Adjacent centers 16 cm apart; row shifted 4 cm toward robot-right; all objects fully visible and grasp paths clear.</x:v>
      </x:c>
      <x:c r="F866" s="9" t="str">
        <x:v>MOVE green block to bowl</x:v>
      </x:c>
      <x:c r="G866" s="9" t="str">
        <x:v>Grabbed red pencil sharpener.</x:v>
      </x:c>
      <x:c r="H866" s="9" t="str">
        <x:v>Concept/compositional transfer</x:v>
      </x:c>
      <x:c r="I866" s="9" t="str">
        <x:v>SZ-CT-LG18</x:v>
      </x:c>
      <x:c r="J866" s="9" t="str">
        <x:v>largest</x:v>
      </x:c>
      <x:c r="K866" s="9"/>
      <x:c r="L866" s="9" t="str">
        <x:v>1097</x:v>
      </x:c>
      <x:c r="M866" s="9"/>
      <x:c r="N866" s="9"/>
      <x:c r="O866" s="9" t="str">
        <x:v>Build the listed two-object scene and save a first-frame filename.</x:v>
      </x:c>
      <x:c r="P866" s="9" t="str">
        <x:v>Primary missing cell. Training episode 1097 contains the same target trajectory but masks the size word with a direct identity prompt.</x:v>
      </x:c>
      <x:c r="Q866" s="9"/>
      <x:c r="R866" s="10" t="n">
        <x:v>2</x:v>
      </x:c>
      <x:c r="S866" s="10"/>
      <x:c r="T866" s="9"/>
      <x:c r="U866" s="9"/>
      <x:c r="V866" s="9"/>
      <x:c r="W866" s="9"/>
      <x:c r="X866" s="10"/>
      <x:c r="Y866" s="10"/>
      <x:c r="Z866" s="9"/>
      <x:c r="AA866" s="9"/>
      <x:c r="AB866" s="9"/>
      <x:c r="AC866" s="9"/>
      <x:c r="AD866" s="9" t="str">
        <x:v>green block</x:v>
      </x:c>
      <x:c r="AE866" s="9"/>
      <x:c r="AF866" s="9"/>
      <x:c r="AG866" s="9"/>
      <x:c r="AH866" s="9" t="str">
        <x:v>Right</x:v>
      </x:c>
      <x:c r="AI866" s="11" t="n">
        <x:v>16</x:v>
      </x:c>
      <x:c r="AJ866" s="9" t="str">
        <x:v>Held-out largest × green block — Put</x:v>
      </x:c>
      <x:c r="AK866" s="9" t="str">
        <x:v>Eval_Size_Recognition (1).xlsm</x:v>
      </x:c>
      <x:c r="AL866" s="9" t="str">
        <x:v>pi0.5 Results</x:v>
      </x:c>
      <x:c r="AM866" s="9" t="n">
        <x:v>96</x:v>
      </x:c>
      <x:c r="AN866" s="9" t="n">
        <x:v>96</x:v>
      </x:c>
    </x:row>
    <x:row r="867">
      <x:c r="A867" s="9" t="str">
        <x:v>Success</x:v>
      </x:c>
      <x:c r="B867" s="9" t="str">
        <x:v>Size Recognition</x:v>
      </x:c>
      <x:c r="C867" s="10" t="n">
        <x:v>95</x:v>
      </x:c>
      <x:c r="D867" s="9" t="str">
        <x:v>Move the object that is smallest into the bowl.</x:v>
      </x:c>
      <x:c r="E867" s="9" t="str">
        <x:v>Bowl: empty. Table, robot-left→robot-right: P1 juggling ball; P2 crushed Pepsi can. Adjacent centers 8 cm apart; row shifted 4 cm away from the robot; all objects fully visible and grasp paths clear.</x:v>
      </x:c>
      <x:c r="F867" s="9" t="str">
        <x:v>MOVE juggling ball to bowl</x:v>
      </x:c>
      <x:c r="G867" s="9"/>
      <x:c r="H867" s="9" t="str">
        <x:v>Concept/compositional transfer</x:v>
      </x:c>
      <x:c r="I867" s="9" t="str">
        <x:v>SZ-CT-SJ18</x:v>
      </x:c>
      <x:c r="J867" s="9" t="str">
        <x:v>smallest</x:v>
      </x:c>
      <x:c r="K867" s="9"/>
      <x:c r="L867" s="9" t="str">
        <x:v>1122</x:v>
      </x:c>
      <x:c r="M867" s="9"/>
      <x:c r="N867" s="9"/>
      <x:c r="O867" s="9" t="str">
        <x:v>Build the listed two-object scene and save a first-frame filename.</x:v>
      </x:c>
      <x:c r="P867" s="9" t="str">
        <x:v>Primary missing cell. Training episode 1122 contains the same target trajectory but masks the size word with a direct identity prompt.</x:v>
      </x:c>
      <x:c r="Q867" s="9"/>
      <x:c r="R867" s="10" t="n">
        <x:v>2</x:v>
      </x:c>
      <x:c r="S867" s="10"/>
      <x:c r="T867" s="9"/>
      <x:c r="U867" s="9"/>
      <x:c r="V867" s="9"/>
      <x:c r="W867" s="9"/>
      <x:c r="X867" s="10"/>
      <x:c r="Y867" s="10"/>
      <x:c r="Z867" s="9"/>
      <x:c r="AA867" s="9"/>
      <x:c r="AB867" s="9"/>
      <x:c r="AC867" s="9"/>
      <x:c r="AD867" s="9" t="str">
        <x:v>juggling ball</x:v>
      </x:c>
      <x:c r="AE867" s="9"/>
      <x:c r="AF867" s="9"/>
      <x:c r="AG867" s="9"/>
      <x:c r="AH867" s="9" t="str">
        <x:v>Left</x:v>
      </x:c>
      <x:c r="AI867" s="11" t="n">
        <x:v>8</x:v>
      </x:c>
      <x:c r="AJ867" s="9" t="str">
        <x:v>Held-out smallest × juggling ball — Move</x:v>
      </x:c>
      <x:c r="AK867" s="9" t="str">
        <x:v>Eval_Size_Recognition (1).xlsm</x:v>
      </x:c>
      <x:c r="AL867" s="9" t="str">
        <x:v>pi0.5 Results</x:v>
      </x:c>
      <x:c r="AM867" s="9" t="n">
        <x:v>97</x:v>
      </x:c>
      <x:c r="AN867" s="9" t="n">
        <x:v>97</x:v>
      </x:c>
    </x:row>
    <x:row r="868">
      <x:c r="A868" s="9" t="str">
        <x:v>Failure</x:v>
      </x:c>
      <x:c r="B868" s="9" t="str">
        <x:v>Size Recognition</x:v>
      </x:c>
      <x:c r="C868" s="10" t="n">
        <x:v>96</x:v>
      </x:c>
      <x:c r="D868" s="9" t="str">
        <x:v>Move the object that is largest into the bowl.</x:v>
      </x:c>
      <x:c r="E868" s="9" t="str">
        <x:v>Bowl: empty. Table, robot-left→robot-right: P1 green block; P2 red pencil sharpener. Adjacent centers 8 cm apart; row shifted 4 cm toward the robot; all objects fully visible and grasp paths clear.</x:v>
      </x:c>
      <x:c r="F868" s="9" t="str">
        <x:v>MOVE green block to bowl</x:v>
      </x:c>
      <x:c r="G868" s="9" t="str">
        <x:v>grabbed red pencil sharpener</x:v>
      </x:c>
      <x:c r="H868" s="9" t="str">
        <x:v>Concept/compositional transfer</x:v>
      </x:c>
      <x:c r="I868" s="9" t="str">
        <x:v>SZ-CT-LG19</x:v>
      </x:c>
      <x:c r="J868" s="9" t="str">
        <x:v>largest</x:v>
      </x:c>
      <x:c r="K868" s="9"/>
      <x:c r="L868" s="9" t="str">
        <x:v>1098</x:v>
      </x:c>
      <x:c r="M868" s="9"/>
      <x:c r="N868" s="9"/>
      <x:c r="O868" s="9" t="str">
        <x:v>Build the listed two-object scene and save a first-frame filename.</x:v>
      </x:c>
      <x:c r="P868" s="9" t="str">
        <x:v>Primary missing cell. Training episode 1098 contains the same target trajectory but masks the size word with a direct identity prompt.</x:v>
      </x:c>
      <x:c r="Q868" s="9"/>
      <x:c r="R868" s="10" t="n">
        <x:v>2</x:v>
      </x:c>
      <x:c r="S868" s="10"/>
      <x:c r="T868" s="9"/>
      <x:c r="U868" s="9"/>
      <x:c r="V868" s="9"/>
      <x:c r="W868" s="9"/>
      <x:c r="X868" s="10"/>
      <x:c r="Y868" s="10"/>
      <x:c r="Z868" s="9"/>
      <x:c r="AA868" s="9"/>
      <x:c r="AB868" s="9"/>
      <x:c r="AC868" s="9"/>
      <x:c r="AD868" s="9" t="str">
        <x:v>green block</x:v>
      </x:c>
      <x:c r="AE868" s="9"/>
      <x:c r="AF868" s="9"/>
      <x:c r="AG868" s="9"/>
      <x:c r="AH868" s="9" t="str">
        <x:v>Left</x:v>
      </x:c>
      <x:c r="AI868" s="11" t="n">
        <x:v>8</x:v>
      </x:c>
      <x:c r="AJ868" s="9" t="str">
        <x:v>Held-out largest × green block — Move</x:v>
      </x:c>
      <x:c r="AK868" s="9" t="str">
        <x:v>Eval_Size_Recognition (1).xlsm</x:v>
      </x:c>
      <x:c r="AL868" s="9" t="str">
        <x:v>pi0.5 Results</x:v>
      </x:c>
      <x:c r="AM868" s="9" t="n">
        <x:v>98</x:v>
      </x:c>
      <x:c r="AN868" s="9" t="n">
        <x:v>98</x:v>
      </x:c>
    </x:row>
    <x:row r="869">
      <x:c r="A869" s="9" t="str">
        <x:v>Failure</x:v>
      </x:c>
      <x:c r="B869" s="9" t="str">
        <x:v>Size Recognition</x:v>
      </x:c>
      <x:c r="C869" s="10" t="n">
        <x:v>97</x:v>
      </x:c>
      <x:c r="D869" s="9" t="str">
        <x:v>Pick up the smallest item and place it in the bowl.</x:v>
      </x:c>
      <x:c r="E869" s="9" t="str">
        <x:v>Bowl: empty. Table, robot-left→robot-right: P1 crushed Pepsi can; P2 juggling ball. Adjacent centers 12 cm apart; row centered on the workspace; all objects fully visible and grasp paths clear.</x:v>
      </x:c>
      <x:c r="F869" s="9" t="str">
        <x:v>MOVE juggling ball to bowl</x:v>
      </x:c>
      <x:c r="G869" s="9" t="str">
        <x:v>grabbed soda can</x:v>
      </x:c>
      <x:c r="H869" s="9" t="str">
        <x:v>Concept/compositional transfer</x:v>
      </x:c>
      <x:c r="I869" s="9" t="str">
        <x:v>SZ-CT-SJ19</x:v>
      </x:c>
      <x:c r="J869" s="9" t="str">
        <x:v>smallest</x:v>
      </x:c>
      <x:c r="K869" s="9"/>
      <x:c r="L869" s="9" t="str">
        <x:v>1123</x:v>
      </x:c>
      <x:c r="M869" s="9"/>
      <x:c r="N869" s="9"/>
      <x:c r="O869" s="9" t="str">
        <x:v>Build the listed two-object scene and save a first-frame filename.</x:v>
      </x:c>
      <x:c r="P869" s="9" t="str">
        <x:v>Primary missing cell. Training episode 1123 contains the same target trajectory but masks the size word with a direct identity prompt.</x:v>
      </x:c>
      <x:c r="Q869" s="9"/>
      <x:c r="R869" s="10" t="n">
        <x:v>2</x:v>
      </x:c>
      <x:c r="S869" s="10"/>
      <x:c r="T869" s="9"/>
      <x:c r="U869" s="9"/>
      <x:c r="V869" s="9"/>
      <x:c r="W869" s="9"/>
      <x:c r="X869" s="10"/>
      <x:c r="Y869" s="10"/>
      <x:c r="Z869" s="9"/>
      <x:c r="AA869" s="9"/>
      <x:c r="AB869" s="9"/>
      <x:c r="AC869" s="9"/>
      <x:c r="AD869" s="9" t="str">
        <x:v>juggling ball</x:v>
      </x:c>
      <x:c r="AE869" s="9"/>
      <x:c r="AF869" s="9"/>
      <x:c r="AG869" s="9"/>
      <x:c r="AH869" s="9" t="str">
        <x:v>Right</x:v>
      </x:c>
      <x:c r="AI869" s="11" t="n">
        <x:v>12</x:v>
      </x:c>
      <x:c r="AJ869" s="9" t="str">
        <x:v>Held-out smallest × juggling ball — Pick up</x:v>
      </x:c>
      <x:c r="AK869" s="9" t="str">
        <x:v>Eval_Size_Recognition (1).xlsm</x:v>
      </x:c>
      <x:c r="AL869" s="9" t="str">
        <x:v>pi0.5 Results</x:v>
      </x:c>
      <x:c r="AM869" s="9" t="n">
        <x:v>99</x:v>
      </x:c>
      <x:c r="AN869" s="9" t="n">
        <x:v>99</x:v>
      </x:c>
    </x:row>
    <x:row r="870">
      <x:c r="A870" s="9" t="str">
        <x:v>Success</x:v>
      </x:c>
      <x:c r="B870" s="9" t="str">
        <x:v>Size Recognition</x:v>
      </x:c>
      <x:c r="C870" s="10" t="n">
        <x:v>98</x:v>
      </x:c>
      <x:c r="D870" s="9" t="str">
        <x:v>Pick up the largest item and place it in the bowl.</x:v>
      </x:c>
      <x:c r="E870" s="9" t="str">
        <x:v>Bowl: empty. Table, robot-left→robot-right: P1 red pencil sharpener; P2 green block. Adjacent centers 12 cm apart; row shifted 4 cm away from the robot; all objects fully visible and grasp paths clear.</x:v>
      </x:c>
      <x:c r="F870" s="9" t="str">
        <x:v>MOVE green block to bowl</x:v>
      </x:c>
      <x:c r="G870" s="9"/>
      <x:c r="H870" s="9" t="str">
        <x:v>Concept/compositional transfer</x:v>
      </x:c>
      <x:c r="I870" s="9" t="str">
        <x:v>SZ-CT-LG20</x:v>
      </x:c>
      <x:c r="J870" s="9" t="str">
        <x:v>largest</x:v>
      </x:c>
      <x:c r="K870" s="9"/>
      <x:c r="L870" s="9" t="str">
        <x:v>1099</x:v>
      </x:c>
      <x:c r="M870" s="9"/>
      <x:c r="N870" s="9"/>
      <x:c r="O870" s="9" t="str">
        <x:v>Build the listed two-object scene and save a first-frame filename.</x:v>
      </x:c>
      <x:c r="P870" s="9" t="str">
        <x:v>Primary missing cell. Training episode 1099 contains the same target trajectory but masks the size word with a direct identity prompt.</x:v>
      </x:c>
      <x:c r="Q870" s="9"/>
      <x:c r="R870" s="10" t="n">
        <x:v>2</x:v>
      </x:c>
      <x:c r="S870" s="10"/>
      <x:c r="T870" s="9"/>
      <x:c r="U870" s="9"/>
      <x:c r="V870" s="9"/>
      <x:c r="W870" s="9"/>
      <x:c r="X870" s="10"/>
      <x:c r="Y870" s="10"/>
      <x:c r="Z870" s="9"/>
      <x:c r="AA870" s="9"/>
      <x:c r="AB870" s="9"/>
      <x:c r="AC870" s="9"/>
      <x:c r="AD870" s="9" t="str">
        <x:v>green block</x:v>
      </x:c>
      <x:c r="AE870" s="9"/>
      <x:c r="AF870" s="9"/>
      <x:c r="AG870" s="9"/>
      <x:c r="AH870" s="9" t="str">
        <x:v>Right</x:v>
      </x:c>
      <x:c r="AI870" s="11" t="n">
        <x:v>12</x:v>
      </x:c>
      <x:c r="AJ870" s="9" t="str">
        <x:v>Held-out largest × green block — Pick up</x:v>
      </x:c>
      <x:c r="AK870" s="9" t="str">
        <x:v>Eval_Size_Recognition (1).xlsm</x:v>
      </x:c>
      <x:c r="AL870" s="9" t="str">
        <x:v>pi0.5 Results</x:v>
      </x:c>
      <x:c r="AM870" s="9" t="n">
        <x:v>100</x:v>
      </x:c>
      <x:c r="AN870" s="9" t="n">
        <x:v>100</x:v>
      </x:c>
    </x:row>
    <x:row r="871">
      <x:c r="A871" s="9" t="str">
        <x:v>Success</x:v>
      </x:c>
      <x:c r="B871" s="9" t="str">
        <x:v>Size Recognition</x:v>
      </x:c>
      <x:c r="C871" s="10" t="n">
        <x:v>99</x:v>
      </x:c>
      <x:c r="D871" s="9" t="str">
        <x:v>Put the smallest object in the bowl.</x:v>
      </x:c>
      <x:c r="E871" s="9" t="str">
        <x:v>Bowl: empty. Table, robot-left→robot-right: P1 juggling ball; P2 crushed Pepsi can. Adjacent centers 16 cm apart; row shifted 4 cm toward robot-left; all objects fully visible and grasp paths clear.</x:v>
      </x:c>
      <x:c r="F871" s="9" t="str">
        <x:v>MOVE juggling ball to bowl</x:v>
      </x:c>
      <x:c r="G871" s="9" t="str">
        <x:v>Tried to pick can, knocked it out of range and during recovery, went for juggling ball</x:v>
      </x:c>
      <x:c r="H871" s="9" t="str">
        <x:v>Concept/compositional transfer</x:v>
      </x:c>
      <x:c r="I871" s="9" t="str">
        <x:v>SZ-CT-SJ20</x:v>
      </x:c>
      <x:c r="J871" s="9" t="str">
        <x:v>smallest</x:v>
      </x:c>
      <x:c r="K871" s="9"/>
      <x:c r="L871" s="9" t="str">
        <x:v>1124</x:v>
      </x:c>
      <x:c r="M871" s="9"/>
      <x:c r="N871" s="9"/>
      <x:c r="O871" s="9" t="str">
        <x:v>Build the listed two-object scene and save a first-frame filename.</x:v>
      </x:c>
      <x:c r="P871" s="9" t="str">
        <x:v>Primary missing cell. Training episode 1124 contains the same target trajectory but masks the size word with a direct identity prompt.</x:v>
      </x:c>
      <x:c r="Q871" s="9"/>
      <x:c r="R871" s="10" t="n">
        <x:v>2</x:v>
      </x:c>
      <x:c r="S871" s="10"/>
      <x:c r="T871" s="9"/>
      <x:c r="U871" s="9"/>
      <x:c r="V871" s="9"/>
      <x:c r="W871" s="9"/>
      <x:c r="X871" s="10"/>
      <x:c r="Y871" s="10"/>
      <x:c r="Z871" s="9"/>
      <x:c r="AA871" s="9"/>
      <x:c r="AB871" s="9"/>
      <x:c r="AC871" s="9"/>
      <x:c r="AD871" s="9" t="str">
        <x:v>juggling ball</x:v>
      </x:c>
      <x:c r="AE871" s="9"/>
      <x:c r="AF871" s="9"/>
      <x:c r="AG871" s="9"/>
      <x:c r="AH871" s="9" t="str">
        <x:v>Left</x:v>
      </x:c>
      <x:c r="AI871" s="11" t="n">
        <x:v>16</x:v>
      </x:c>
      <x:c r="AJ871" s="9" t="str">
        <x:v>Held-out smallest × juggling ball — Put</x:v>
      </x:c>
      <x:c r="AK871" s="9" t="str">
        <x:v>Eval_Size_Recognition (1).xlsm</x:v>
      </x:c>
      <x:c r="AL871" s="9" t="str">
        <x:v>pi0.5 Results</x:v>
      </x:c>
      <x:c r="AM871" s="9" t="n">
        <x:v>101</x:v>
      </x:c>
      <x:c r="AN871" s="9" t="n">
        <x:v>101</x:v>
      </x:c>
    </x:row>
    <x:row r="872">
      <x:c r="A872" s="9" t="str">
        <x:v>Success</x:v>
      </x:c>
      <x:c r="B872" s="9" t="str">
        <x:v>Size Recognition</x:v>
      </x:c>
      <x:c r="C872" s="10" t="n">
        <x:v>100</x:v>
      </x:c>
      <x:c r="D872" s="9" t="str">
        <x:v>Put the largest object in the bowl.</x:v>
      </x:c>
      <x:c r="E872" s="9" t="str">
        <x:v>Bowl: empty. Table, robot-left→robot-right: P1 green block; P2 red pencil sharpener. Adjacent centers 16 cm apart; row centered on the workspace; all objects fully visible and grasp paths clear.</x:v>
      </x:c>
      <x:c r="F872" s="9" t="str">
        <x:v>MOVE green block to bowl</x:v>
      </x:c>
      <x:c r="G872" s="9"/>
      <x:c r="H872" s="9" t="str">
        <x:v>Concept/compositional transfer</x:v>
      </x:c>
      <x:c r="I872" s="9" t="str">
        <x:v>SZ-CT-LG21</x:v>
      </x:c>
      <x:c r="J872" s="9" t="str">
        <x:v>largest</x:v>
      </x:c>
      <x:c r="K872" s="9"/>
      <x:c r="L872" s="9" t="str">
        <x:v>1080</x:v>
      </x:c>
      <x:c r="M872" s="9"/>
      <x:c r="N872" s="9"/>
      <x:c r="O872" s="9" t="str">
        <x:v>Build the listed two-object scene and save a first-frame filename.</x:v>
      </x:c>
      <x:c r="P872" s="9" t="str">
        <x:v>Primary missing cell. Training episode 1080 contains the same target trajectory but masks the size word with a direct identity prompt.</x:v>
      </x:c>
      <x:c r="Q872" s="9"/>
      <x:c r="R872" s="10" t="n">
        <x:v>2</x:v>
      </x:c>
      <x:c r="S872" s="10"/>
      <x:c r="T872" s="9"/>
      <x:c r="U872" s="9"/>
      <x:c r="V872" s="9"/>
      <x:c r="W872" s="9"/>
      <x:c r="X872" s="10"/>
      <x:c r="Y872" s="10"/>
      <x:c r="Z872" s="9"/>
      <x:c r="AA872" s="9"/>
      <x:c r="AB872" s="9"/>
      <x:c r="AC872" s="9"/>
      <x:c r="AD872" s="9" t="str">
        <x:v>green block</x:v>
      </x:c>
      <x:c r="AE872" s="9"/>
      <x:c r="AF872" s="9"/>
      <x:c r="AG872" s="9"/>
      <x:c r="AH872" s="9" t="str">
        <x:v>Left</x:v>
      </x:c>
      <x:c r="AI872" s="11" t="n">
        <x:v>16</x:v>
      </x:c>
      <x:c r="AJ872" s="9" t="str">
        <x:v>Held-out largest × green block — Put</x:v>
      </x:c>
      <x:c r="AK872" s="9" t="str">
        <x:v>Eval_Size_Recognition (1).xlsm</x:v>
      </x:c>
      <x:c r="AL872" s="9" t="str">
        <x:v>pi0.5 Results</x:v>
      </x:c>
      <x:c r="AM872" s="9" t="n">
        <x:v>102</x:v>
      </x:c>
      <x:c r="AN872" s="9" t="n">
        <x:v>102</x:v>
      </x:c>
    </x:row>
    <x:row r="873">
      <x:c r="A873" s="9" t="str">
        <x:v>Success</x:v>
      </x:c>
      <x:c r="B873" s="9" t="str">
        <x:v>Size Recognition</x:v>
      </x:c>
      <x:c r="C873" s="10" t="n">
        <x:v>101</x:v>
      </x:c>
      <x:c r="D873" s="9" t="str">
        <x:v>Move the object that is smallest into the bowl.</x:v>
      </x:c>
      <x:c r="E873" s="9" t="str">
        <x:v>Bowl: empty. Table, robot-left→robot-right: P1 crushed Pepsi can; P2 juggling ball. Adjacent centers 8 cm apart; row shifted 4 cm toward robot-right; all objects fully visible and grasp paths clear.</x:v>
      </x:c>
      <x:c r="F873" s="9" t="str">
        <x:v>MOVE juggling ball to bowl</x:v>
      </x:c>
      <x:c r="G873" s="9"/>
      <x:c r="H873" s="9" t="str">
        <x:v>Concept/compositional transfer</x:v>
      </x:c>
      <x:c r="I873" s="9" t="str">
        <x:v>SZ-CT-SJ21</x:v>
      </x:c>
      <x:c r="J873" s="9" t="str">
        <x:v>smallest</x:v>
      </x:c>
      <x:c r="K873" s="9"/>
      <x:c r="L873" s="9" t="str">
        <x:v>1105</x:v>
      </x:c>
      <x:c r="M873" s="9"/>
      <x:c r="N873" s="9"/>
      <x:c r="O873" s="9" t="str">
        <x:v>Build the listed two-object scene and save a first-frame filename.</x:v>
      </x:c>
      <x:c r="P873" s="9" t="str">
        <x:v>Primary missing cell. Training episode 1105 contains the same target trajectory but masks the size word with a direct identity prompt.</x:v>
      </x:c>
      <x:c r="Q873" s="9"/>
      <x:c r="R873" s="10" t="n">
        <x:v>2</x:v>
      </x:c>
      <x:c r="S873" s="10"/>
      <x:c r="T873" s="9"/>
      <x:c r="U873" s="9"/>
      <x:c r="V873" s="9"/>
      <x:c r="W873" s="9"/>
      <x:c r="X873" s="10"/>
      <x:c r="Y873" s="10"/>
      <x:c r="Z873" s="9"/>
      <x:c r="AA873" s="9"/>
      <x:c r="AB873" s="9"/>
      <x:c r="AC873" s="9"/>
      <x:c r="AD873" s="9" t="str">
        <x:v>juggling ball</x:v>
      </x:c>
      <x:c r="AE873" s="9"/>
      <x:c r="AF873" s="9"/>
      <x:c r="AG873" s="9"/>
      <x:c r="AH873" s="9" t="str">
        <x:v>Right</x:v>
      </x:c>
      <x:c r="AI873" s="11" t="n">
        <x:v>8</x:v>
      </x:c>
      <x:c r="AJ873" s="9" t="str">
        <x:v>Held-out smallest × juggling ball — Move</x:v>
      </x:c>
      <x:c r="AK873" s="9" t="str">
        <x:v>Eval_Size_Recognition (1).xlsm</x:v>
      </x:c>
      <x:c r="AL873" s="9" t="str">
        <x:v>pi0.5 Results</x:v>
      </x:c>
      <x:c r="AM873" s="9" t="n">
        <x:v>103</x:v>
      </x:c>
      <x:c r="AN873" s="9" t="n">
        <x:v>103</x:v>
      </x:c>
    </x:row>
    <x:row r="874">
      <x:c r="A874" s="9" t="str">
        <x:v>Failure</x:v>
      </x:c>
      <x:c r="B874" s="9" t="str">
        <x:v>Size Recognition</x:v>
      </x:c>
      <x:c r="C874" s="10" t="n">
        <x:v>102</x:v>
      </x:c>
      <x:c r="D874" s="9" t="str">
        <x:v>Move the object that is largest into the bowl.</x:v>
      </x:c>
      <x:c r="E874" s="9" t="str">
        <x:v>Bowl: empty. Table, robot-left→robot-right: P1 red pencil sharpener; P2 green block. Adjacent centers 8 cm apart; row shifted 4 cm toward robot-left; all objects fully visible and grasp paths clear.</x:v>
      </x:c>
      <x:c r="F874" s="9" t="str">
        <x:v>MOVE green block to bowl</x:v>
      </x:c>
      <x:c r="G874" s="9" t="str">
        <x:v>Picked red sharpener</x:v>
      </x:c>
      <x:c r="H874" s="9" t="str">
        <x:v>Concept/compositional transfer</x:v>
      </x:c>
      <x:c r="I874" s="9" t="str">
        <x:v>SZ-CT-LG22</x:v>
      </x:c>
      <x:c r="J874" s="9" t="str">
        <x:v>largest</x:v>
      </x:c>
      <x:c r="K874" s="9"/>
      <x:c r="L874" s="9" t="str">
        <x:v>1081</x:v>
      </x:c>
      <x:c r="M874" s="9"/>
      <x:c r="N874" s="9"/>
      <x:c r="O874" s="9" t="str">
        <x:v>Build the listed two-object scene and save a first-frame filename.</x:v>
      </x:c>
      <x:c r="P874" s="9" t="str">
        <x:v>Primary missing cell. Training episode 1081 contains the same target trajectory but masks the size word with a direct identity prompt.</x:v>
      </x:c>
      <x:c r="Q874" s="9"/>
      <x:c r="R874" s="10" t="n">
        <x:v>2</x:v>
      </x:c>
      <x:c r="S874" s="10"/>
      <x:c r="T874" s="9"/>
      <x:c r="U874" s="9"/>
      <x:c r="V874" s="9"/>
      <x:c r="W874" s="9"/>
      <x:c r="X874" s="10"/>
      <x:c r="Y874" s="10"/>
      <x:c r="Z874" s="9"/>
      <x:c r="AA874" s="9"/>
      <x:c r="AB874" s="9"/>
      <x:c r="AC874" s="9"/>
      <x:c r="AD874" s="9" t="str">
        <x:v>green block</x:v>
      </x:c>
      <x:c r="AE874" s="9"/>
      <x:c r="AF874" s="9"/>
      <x:c r="AG874" s="9"/>
      <x:c r="AH874" s="9" t="str">
        <x:v>Right</x:v>
      </x:c>
      <x:c r="AI874" s="11" t="n">
        <x:v>8</x:v>
      </x:c>
      <x:c r="AJ874" s="9" t="str">
        <x:v>Held-out largest × green block — Move</x:v>
      </x:c>
      <x:c r="AK874" s="9" t="str">
        <x:v>Eval_Size_Recognition (1).xlsm</x:v>
      </x:c>
      <x:c r="AL874" s="9" t="str">
        <x:v>pi0.5 Results</x:v>
      </x:c>
      <x:c r="AM874" s="9" t="n">
        <x:v>104</x:v>
      </x:c>
      <x:c r="AN874" s="9" t="n">
        <x:v>104</x:v>
      </x:c>
    </x:row>
    <x:row r="875">
      <x:c r="A875" s="9" t="str">
        <x:v>Failure</x:v>
      </x:c>
      <x:c r="B875" s="9" t="str">
        <x:v>Size Recognition</x:v>
      </x:c>
      <x:c r="C875" s="10" t="n">
        <x:v>103</x:v>
      </x:c>
      <x:c r="D875" s="9" t="str">
        <x:v>Pick up the smallest item and place it in the bowl.</x:v>
      </x:c>
      <x:c r="E875" s="9" t="str">
        <x:v>Bowl: empty. Table, robot-left→robot-right: P1 juggling ball; P2 crushed Pepsi can. Adjacent centers 12 cm apart; row shifted 4 cm toward the robot; all objects fully visible and grasp paths clear.</x:v>
      </x:c>
      <x:c r="F875" s="9" t="str">
        <x:v>MOVE juggling ball to bowl</x:v>
      </x:c>
      <x:c r="G875" s="9" t="str">
        <x:v>Picked the soda can</x:v>
      </x:c>
      <x:c r="H875" s="9" t="str">
        <x:v>Concept/compositional transfer</x:v>
      </x:c>
      <x:c r="I875" s="9" t="str">
        <x:v>SZ-CT-SJ22</x:v>
      </x:c>
      <x:c r="J875" s="9" t="str">
        <x:v>smallest</x:v>
      </x:c>
      <x:c r="K875" s="9"/>
      <x:c r="L875" s="9" t="str">
        <x:v>1106</x:v>
      </x:c>
      <x:c r="M875" s="9"/>
      <x:c r="N875" s="9"/>
      <x:c r="O875" s="9" t="str">
        <x:v>Build the listed two-object scene and save a first-frame filename.</x:v>
      </x:c>
      <x:c r="P875" s="9" t="str">
        <x:v>Primary missing cell. Training episode 1106 contains the same target trajectory but masks the size word with a direct identity prompt.</x:v>
      </x:c>
      <x:c r="Q875" s="9"/>
      <x:c r="R875" s="10" t="n">
        <x:v>2</x:v>
      </x:c>
      <x:c r="S875" s="10"/>
      <x:c r="T875" s="9"/>
      <x:c r="U875" s="9"/>
      <x:c r="V875" s="9"/>
      <x:c r="W875" s="9"/>
      <x:c r="X875" s="10"/>
      <x:c r="Y875" s="10"/>
      <x:c r="Z875" s="9"/>
      <x:c r="AA875" s="9"/>
      <x:c r="AB875" s="9"/>
      <x:c r="AC875" s="9"/>
      <x:c r="AD875" s="9" t="str">
        <x:v>juggling ball</x:v>
      </x:c>
      <x:c r="AE875" s="9"/>
      <x:c r="AF875" s="9"/>
      <x:c r="AG875" s="9"/>
      <x:c r="AH875" s="9" t="str">
        <x:v>Left</x:v>
      </x:c>
      <x:c r="AI875" s="11" t="n">
        <x:v>12</x:v>
      </x:c>
      <x:c r="AJ875" s="9" t="str">
        <x:v>Held-out smallest × juggling ball — Pick up</x:v>
      </x:c>
      <x:c r="AK875" s="9" t="str">
        <x:v>Eval_Size_Recognition (1).xlsm</x:v>
      </x:c>
      <x:c r="AL875" s="9" t="str">
        <x:v>pi0.5 Results</x:v>
      </x:c>
      <x:c r="AM875" s="9" t="n">
        <x:v>105</x:v>
      </x:c>
      <x:c r="AN875" s="9" t="n">
        <x:v>105</x:v>
      </x:c>
    </x:row>
    <x:row r="876">
      <x:c r="A876" s="9" t="str">
        <x:v>Success</x:v>
      </x:c>
      <x:c r="B876" s="9" t="str">
        <x:v>Size Recognition</x:v>
      </x:c>
      <x:c r="C876" s="10" t="n">
        <x:v>104</x:v>
      </x:c>
      <x:c r="D876" s="9" t="str">
        <x:v>Pick up the largest item and place it in the bowl.</x:v>
      </x:c>
      <x:c r="E876" s="9" t="str">
        <x:v>Bowl: empty. Table, robot-left→robot-right: P1 green block; P2 red pencil sharpener. Adjacent centers 12 cm apart; row shifted 4 cm toward robot-right; all objects fully visible and grasp paths clear.</x:v>
      </x:c>
      <x:c r="F876" s="9" t="str">
        <x:v>MOVE green block to bowl</x:v>
      </x:c>
      <x:c r="G876" s="9" t="str">
        <x:v>Started doing grasping strategy for pepsi can and was jittering around before eventually finding the green block and getting it.</x:v>
      </x:c>
      <x:c r="H876" s="9" t="str">
        <x:v>Concept/compositional transfer</x:v>
      </x:c>
      <x:c r="I876" s="9" t="str">
        <x:v>SZ-CT-LG23</x:v>
      </x:c>
      <x:c r="J876" s="9" t="str">
        <x:v>largest</x:v>
      </x:c>
      <x:c r="K876" s="9"/>
      <x:c r="L876" s="9" t="str">
        <x:v>1082</x:v>
      </x:c>
      <x:c r="M876" s="9"/>
      <x:c r="N876" s="9"/>
      <x:c r="O876" s="9" t="str">
        <x:v>Build the listed two-object scene and save a first-frame filename.</x:v>
      </x:c>
      <x:c r="P876" s="9" t="str">
        <x:v>Primary missing cell. Training episode 1082 contains the same target trajectory but masks the size word with a direct identity prompt.</x:v>
      </x:c>
      <x:c r="Q876" s="9"/>
      <x:c r="R876" s="10" t="n">
        <x:v>2</x:v>
      </x:c>
      <x:c r="S876" s="10"/>
      <x:c r="T876" s="9"/>
      <x:c r="U876" s="9"/>
      <x:c r="V876" s="9"/>
      <x:c r="W876" s="9"/>
      <x:c r="X876" s="10"/>
      <x:c r="Y876" s="10"/>
      <x:c r="Z876" s="9"/>
      <x:c r="AA876" s="9"/>
      <x:c r="AB876" s="9"/>
      <x:c r="AC876" s="9"/>
      <x:c r="AD876" s="9" t="str">
        <x:v>green block</x:v>
      </x:c>
      <x:c r="AE876" s="9"/>
      <x:c r="AF876" s="9"/>
      <x:c r="AG876" s="9"/>
      <x:c r="AH876" s="9" t="str">
        <x:v>Left</x:v>
      </x:c>
      <x:c r="AI876" s="11" t="n">
        <x:v>12</x:v>
      </x:c>
      <x:c r="AJ876" s="9" t="str">
        <x:v>Held-out largest × green block — Pick up</x:v>
      </x:c>
      <x:c r="AK876" s="9" t="str">
        <x:v>Eval_Size_Recognition (1).xlsm</x:v>
      </x:c>
      <x:c r="AL876" s="9" t="str">
        <x:v>pi0.5 Results</x:v>
      </x:c>
      <x:c r="AM876" s="9" t="n">
        <x:v>106</x:v>
      </x:c>
      <x:c r="AN876" s="9" t="n">
        <x:v>106</x:v>
      </x:c>
    </x:row>
    <x:row r="877">
      <x:c r="A877" s="9" t="str">
        <x:v>Failure</x:v>
      </x:c>
      <x:c r="B877" s="9" t="str">
        <x:v>Size Recognition</x:v>
      </x:c>
      <x:c r="C877" s="10" t="n">
        <x:v>105</x:v>
      </x:c>
      <x:c r="D877" s="9" t="str">
        <x:v>Put the smallest object in the bowl.</x:v>
      </x:c>
      <x:c r="E877" s="9" t="str">
        <x:v>Bowl: empty. Table, robot-left→robot-right: P1 crushed Pepsi can; P2 juggling ball. Adjacent centers 16 cm apart; row shifted 4 cm away from the robot; all objects fully visible and grasp paths clear.</x:v>
      </x:c>
      <x:c r="F877" s="9" t="str">
        <x:v>MOVE juggling ball to bowl</x:v>
      </x:c>
      <x:c r="G877" s="9" t="str">
        <x:v>Tried to get the soda can, dropped it, and then during recovery, started going for ball, but didn't get it and went back trying to get pepsi can.</x:v>
      </x:c>
      <x:c r="H877" s="9" t="str">
        <x:v>Concept/compositional transfer</x:v>
      </x:c>
      <x:c r="I877" s="9" t="str">
        <x:v>SZ-CT-SJ23</x:v>
      </x:c>
      <x:c r="J877" s="9" t="str">
        <x:v>smallest</x:v>
      </x:c>
      <x:c r="K877" s="9"/>
      <x:c r="L877" s="9" t="str">
        <x:v>1107</x:v>
      </x:c>
      <x:c r="M877" s="9"/>
      <x:c r="N877" s="9"/>
      <x:c r="O877" s="9" t="str">
        <x:v>Build the listed two-object scene and save a first-frame filename.</x:v>
      </x:c>
      <x:c r="P877" s="9" t="str">
        <x:v>Primary missing cell. Training episode 1107 contains the same target trajectory but masks the size word with a direct identity prompt.</x:v>
      </x:c>
      <x:c r="Q877" s="9"/>
      <x:c r="R877" s="10" t="n">
        <x:v>2</x:v>
      </x:c>
      <x:c r="S877" s="10"/>
      <x:c r="T877" s="9"/>
      <x:c r="U877" s="9"/>
      <x:c r="V877" s="9"/>
      <x:c r="W877" s="9"/>
      <x:c r="X877" s="10"/>
      <x:c r="Y877" s="10"/>
      <x:c r="Z877" s="9"/>
      <x:c r="AA877" s="9"/>
      <x:c r="AB877" s="9"/>
      <x:c r="AC877" s="9"/>
      <x:c r="AD877" s="9" t="str">
        <x:v>juggling ball</x:v>
      </x:c>
      <x:c r="AE877" s="9"/>
      <x:c r="AF877" s="9"/>
      <x:c r="AG877" s="9"/>
      <x:c r="AH877" s="9" t="str">
        <x:v>Right</x:v>
      </x:c>
      <x:c r="AI877" s="11" t="n">
        <x:v>16</x:v>
      </x:c>
      <x:c r="AJ877" s="9" t="str">
        <x:v>Held-out smallest × juggling ball — Put</x:v>
      </x:c>
      <x:c r="AK877" s="9" t="str">
        <x:v>Eval_Size_Recognition (1).xlsm</x:v>
      </x:c>
      <x:c r="AL877" s="9" t="str">
        <x:v>pi0.5 Results</x:v>
      </x:c>
      <x:c r="AM877" s="9" t="n">
        <x:v>107</x:v>
      </x:c>
      <x:c r="AN877" s="9" t="n">
        <x:v>107</x:v>
      </x:c>
    </x:row>
    <x:row r="878">
      <x:c r="A878" s="9" t="str">
        <x:v>Success</x:v>
      </x:c>
      <x:c r="B878" s="9" t="str">
        <x:v>Size Recognition</x:v>
      </x:c>
      <x:c r="C878" s="10" t="n">
        <x:v>106</x:v>
      </x:c>
      <x:c r="D878" s="9" t="str">
        <x:v>Put the largest object in the bowl.</x:v>
      </x:c>
      <x:c r="E878" s="9" t="str">
        <x:v>Bowl: empty. Table, robot-left→robot-right: P1 red pencil sharpener; P2 green block. Adjacent centers 16 cm apart; row shifted 4 cm toward the robot; all objects fully visible and grasp paths clear.</x:v>
      </x:c>
      <x:c r="F878" s="9" t="str">
        <x:v>MOVE green block to bowl</x:v>
      </x:c>
      <x:c r="G878" s="9"/>
      <x:c r="H878" s="9" t="str">
        <x:v>Concept/compositional transfer</x:v>
      </x:c>
      <x:c r="I878" s="9" t="str">
        <x:v>SZ-CT-LG24</x:v>
      </x:c>
      <x:c r="J878" s="9" t="str">
        <x:v>largest</x:v>
      </x:c>
      <x:c r="K878" s="9"/>
      <x:c r="L878" s="9" t="str">
        <x:v>1083</x:v>
      </x:c>
      <x:c r="M878" s="9"/>
      <x:c r="N878" s="9"/>
      <x:c r="O878" s="9" t="str">
        <x:v>Build the listed two-object scene and save a first-frame filename.</x:v>
      </x:c>
      <x:c r="P878" s="9" t="str">
        <x:v>Primary missing cell. Training episode 1083 contains the same target trajectory but masks the size word with a direct identity prompt.</x:v>
      </x:c>
      <x:c r="Q878" s="9"/>
      <x:c r="R878" s="10" t="n">
        <x:v>2</x:v>
      </x:c>
      <x:c r="S878" s="10"/>
      <x:c r="T878" s="9"/>
      <x:c r="U878" s="9"/>
      <x:c r="V878" s="9"/>
      <x:c r="W878" s="9"/>
      <x:c r="X878" s="10"/>
      <x:c r="Y878" s="10"/>
      <x:c r="Z878" s="9"/>
      <x:c r="AA878" s="9"/>
      <x:c r="AB878" s="9"/>
      <x:c r="AC878" s="9"/>
      <x:c r="AD878" s="9" t="str">
        <x:v>green block</x:v>
      </x:c>
      <x:c r="AE878" s="9"/>
      <x:c r="AF878" s="9"/>
      <x:c r="AG878" s="9"/>
      <x:c r="AH878" s="9" t="str">
        <x:v>Right</x:v>
      </x:c>
      <x:c r="AI878" s="11" t="n">
        <x:v>16</x:v>
      </x:c>
      <x:c r="AJ878" s="9" t="str">
        <x:v>Held-out largest × green block — Put</x:v>
      </x:c>
      <x:c r="AK878" s="9" t="str">
        <x:v>Eval_Size_Recognition (1).xlsm</x:v>
      </x:c>
      <x:c r="AL878" s="9" t="str">
        <x:v>pi0.5 Results</x:v>
      </x:c>
      <x:c r="AM878" s="9" t="n">
        <x:v>108</x:v>
      </x:c>
      <x:c r="AN878" s="9" t="n">
        <x:v>108</x:v>
      </x:c>
    </x:row>
    <x:row r="879">
      <x:c r="A879" s="9" t="str">
        <x:v>Success</x:v>
      </x:c>
      <x:c r="B879" s="9" t="str">
        <x:v>Size Recognition</x:v>
      </x:c>
      <x:c r="C879" s="10" t="n">
        <x:v>107</x:v>
      </x:c>
      <x:c r="D879" s="9" t="str">
        <x:v>Move the object that is smallest into the bowl.</x:v>
      </x:c>
      <x:c r="E879" s="9" t="str">
        <x:v>Bowl: empty. Table, robot-left→robot-right: P1 juggling ball; P2 crushed Pepsi can. Adjacent centers 8 cm apart; row centered on the workspace; all objects fully visible and grasp paths clear.</x:v>
      </x:c>
      <x:c r="F879" s="9" t="str">
        <x:v>MOVE juggling ball to bowl</x:v>
      </x:c>
      <x:c r="G879" s="9" t="str">
        <x:v>Grabbed the ball with the soda can gripping strategy.</x:v>
      </x:c>
      <x:c r="H879" s="9" t="str">
        <x:v>Concept/compositional transfer</x:v>
      </x:c>
      <x:c r="I879" s="9" t="str">
        <x:v>SZ-CT-SJ24</x:v>
      </x:c>
      <x:c r="J879" s="9" t="str">
        <x:v>smallest</x:v>
      </x:c>
      <x:c r="K879" s="9"/>
      <x:c r="L879" s="9" t="str">
        <x:v>1108</x:v>
      </x:c>
      <x:c r="M879" s="9"/>
      <x:c r="N879" s="9"/>
      <x:c r="O879" s="9" t="str">
        <x:v>Build the listed two-object scene and save a first-frame filename.</x:v>
      </x:c>
      <x:c r="P879" s="9" t="str">
        <x:v>Primary missing cell. Training episode 1108 contains the same target trajectory but masks the size word with a direct identity prompt.</x:v>
      </x:c>
      <x:c r="Q879" s="9"/>
      <x:c r="R879" s="10" t="n">
        <x:v>2</x:v>
      </x:c>
      <x:c r="S879" s="10"/>
      <x:c r="T879" s="9"/>
      <x:c r="U879" s="9"/>
      <x:c r="V879" s="9"/>
      <x:c r="W879" s="9"/>
      <x:c r="X879" s="10"/>
      <x:c r="Y879" s="10"/>
      <x:c r="Z879" s="9"/>
      <x:c r="AA879" s="9"/>
      <x:c r="AB879" s="9"/>
      <x:c r="AC879" s="9"/>
      <x:c r="AD879" s="9" t="str">
        <x:v>juggling ball</x:v>
      </x:c>
      <x:c r="AE879" s="9"/>
      <x:c r="AF879" s="9"/>
      <x:c r="AG879" s="9"/>
      <x:c r="AH879" s="9" t="str">
        <x:v>Left</x:v>
      </x:c>
      <x:c r="AI879" s="11" t="n">
        <x:v>8</x:v>
      </x:c>
      <x:c r="AJ879" s="9" t="str">
        <x:v>Held-out smallest × juggling ball — Move</x:v>
      </x:c>
      <x:c r="AK879" s="9" t="str">
        <x:v>Eval_Size_Recognition (1).xlsm</x:v>
      </x:c>
      <x:c r="AL879" s="9" t="str">
        <x:v>pi0.5 Results</x:v>
      </x:c>
      <x:c r="AM879" s="9" t="n">
        <x:v>109</x:v>
      </x:c>
      <x:c r="AN879" s="9" t="n">
        <x:v>109</x:v>
      </x:c>
    </x:row>
    <x:row r="880">
      <x:c r="A880" s="9" t="str">
        <x:v>Success</x:v>
      </x:c>
      <x:c r="B880" s="9" t="str">
        <x:v>Size Recognition</x:v>
      </x:c>
      <x:c r="C880" s="10" t="n">
        <x:v>108</x:v>
      </x:c>
      <x:c r="D880" s="9" t="str">
        <x:v>Move the object that is largest into the bowl.</x:v>
      </x:c>
      <x:c r="E880" s="9" t="str">
        <x:v>Bowl: empty. Table, robot-left→robot-right: P1 green block; P2 red pencil sharpener. Adjacent centers 8 cm apart; row shifted 4 cm away from the robot; all objects fully visible and grasp paths clear.</x:v>
      </x:c>
      <x:c r="F880" s="9" t="str">
        <x:v>MOVE green block to bowl</x:v>
      </x:c>
      <x:c r="G880" s="9"/>
      <x:c r="H880" s="9" t="str">
        <x:v>Concept/compositional transfer</x:v>
      </x:c>
      <x:c r="I880" s="9" t="str">
        <x:v>SZ-CT-LG25</x:v>
      </x:c>
      <x:c r="J880" s="9" t="str">
        <x:v>largest</x:v>
      </x:c>
      <x:c r="K880" s="9"/>
      <x:c r="L880" s="9" t="str">
        <x:v>1084</x:v>
      </x:c>
      <x:c r="M880" s="9"/>
      <x:c r="N880" s="9"/>
      <x:c r="O880" s="9" t="str">
        <x:v>Build the listed two-object scene and save a first-frame filename.</x:v>
      </x:c>
      <x:c r="P880" s="9" t="str">
        <x:v>Primary missing cell. Training episode 1084 contains the same target trajectory but masks the size word with a direct identity prompt.</x:v>
      </x:c>
      <x:c r="Q880" s="9"/>
      <x:c r="R880" s="10" t="n">
        <x:v>2</x:v>
      </x:c>
      <x:c r="S880" s="10"/>
      <x:c r="T880" s="9"/>
      <x:c r="U880" s="9"/>
      <x:c r="V880" s="9"/>
      <x:c r="W880" s="9"/>
      <x:c r="X880" s="10"/>
      <x:c r="Y880" s="10"/>
      <x:c r="Z880" s="9"/>
      <x:c r="AA880" s="9"/>
      <x:c r="AB880" s="9"/>
      <x:c r="AC880" s="9"/>
      <x:c r="AD880" s="9" t="str">
        <x:v>green block</x:v>
      </x:c>
      <x:c r="AE880" s="9"/>
      <x:c r="AF880" s="9"/>
      <x:c r="AG880" s="9"/>
      <x:c r="AH880" s="9" t="str">
        <x:v>Left</x:v>
      </x:c>
      <x:c r="AI880" s="11" t="n">
        <x:v>8</x:v>
      </x:c>
      <x:c r="AJ880" s="9" t="str">
        <x:v>Held-out largest × green block — Move</x:v>
      </x:c>
      <x:c r="AK880" s="9" t="str">
        <x:v>Eval_Size_Recognition (1).xlsm</x:v>
      </x:c>
      <x:c r="AL880" s="9" t="str">
        <x:v>pi0.5 Results</x:v>
      </x:c>
      <x:c r="AM880" s="9" t="n">
        <x:v>110</x:v>
      </x:c>
      <x:c r="AN880" s="9" t="n">
        <x:v>110</x:v>
      </x:c>
    </x:row>
    <x:row r="881">
      <x:c r="A881" s="9" t="str">
        <x:v>Success</x:v>
      </x:c>
      <x:c r="B881" s="9" t="str">
        <x:v>Size Recognition</x:v>
      </x:c>
      <x:c r="C881" s="10" t="n">
        <x:v>109</x:v>
      </x:c>
      <x:c r="D881" s="9" t="str">
        <x:v>Pick up the smallest item and place it in the bowl.</x:v>
      </x:c>
      <x:c r="E881" s="9" t="str">
        <x:v>Bowl: empty. Table, robot-left→robot-right: P1 crushed Pepsi can; P2 juggling ball. Adjacent centers 12 cm apart; row shifted 4 cm toward robot-left; all objects fully visible and grasp paths clear.</x:v>
      </x:c>
      <x:c r="F881" s="9" t="str">
        <x:v>MOVE juggling ball to bowl</x:v>
      </x:c>
      <x:c r="G881" s="9"/>
      <x:c r="H881" s="9" t="str">
        <x:v>Concept/compositional transfer</x:v>
      </x:c>
      <x:c r="I881" s="9" t="str">
        <x:v>SZ-CT-SJ25</x:v>
      </x:c>
      <x:c r="J881" s="9" t="str">
        <x:v>smallest</x:v>
      </x:c>
      <x:c r="K881" s="9"/>
      <x:c r="L881" s="9" t="str">
        <x:v>1109</x:v>
      </x:c>
      <x:c r="M881" s="9"/>
      <x:c r="N881" s="9"/>
      <x:c r="O881" s="9" t="str">
        <x:v>Build the listed two-object scene and save a first-frame filename.</x:v>
      </x:c>
      <x:c r="P881" s="9" t="str">
        <x:v>Primary missing cell. Training episode 1109 contains the same target trajectory but masks the size word with a direct identity prompt.</x:v>
      </x:c>
      <x:c r="Q881" s="9"/>
      <x:c r="R881" s="10" t="n">
        <x:v>2</x:v>
      </x:c>
      <x:c r="S881" s="10"/>
      <x:c r="T881" s="9"/>
      <x:c r="U881" s="9"/>
      <x:c r="V881" s="9"/>
      <x:c r="W881" s="9"/>
      <x:c r="X881" s="10"/>
      <x:c r="Y881" s="10"/>
      <x:c r="Z881" s="9"/>
      <x:c r="AA881" s="9"/>
      <x:c r="AB881" s="9"/>
      <x:c r="AC881" s="9"/>
      <x:c r="AD881" s="9" t="str">
        <x:v>juggling ball</x:v>
      </x:c>
      <x:c r="AE881" s="9"/>
      <x:c r="AF881" s="9"/>
      <x:c r="AG881" s="9"/>
      <x:c r="AH881" s="9" t="str">
        <x:v>Right</x:v>
      </x:c>
      <x:c r="AI881" s="11" t="n">
        <x:v>12</x:v>
      </x:c>
      <x:c r="AJ881" s="9" t="str">
        <x:v>Held-out smallest × juggling ball — Pick up</x:v>
      </x:c>
      <x:c r="AK881" s="9" t="str">
        <x:v>Eval_Size_Recognition (1).xlsm</x:v>
      </x:c>
      <x:c r="AL881" s="9" t="str">
        <x:v>pi0.5 Results</x:v>
      </x:c>
      <x:c r="AM881" s="9" t="n">
        <x:v>111</x:v>
      </x:c>
      <x:c r="AN881" s="9" t="n">
        <x:v>111</x:v>
      </x:c>
    </x:row>
    <x:row r="882">
      <x:c r="A882" s="9" t="str">
        <x:v>Success</x:v>
      </x:c>
      <x:c r="B882" s="9" t="str">
        <x:v>Size Recognition</x:v>
      </x:c>
      <x:c r="C882" s="10" t="n">
        <x:v>110</x:v>
      </x:c>
      <x:c r="D882" s="9" t="str">
        <x:v>Move the object that is largest into the bowl.</x:v>
      </x:c>
      <x:c r="E882" s="9" t="str">
        <x:v>Bowl: empty. Table, robot-left→robot-right: P1 airplane toy with propellers; P2 red pencil sharpener. Adjacent centers 8 cm apart; row centered on the workspace; all objects fully visible and grasp paths clear.</x:v>
      </x:c>
      <x:c r="F882" s="9" t="str">
        <x:v>MOVE airplane toy with propellers to bowl</x:v>
      </x:c>
      <x:c r="G882" s="9"/>
      <x:c r="H882" s="9" t="str">
        <x:v>Cross-task airplane reasoning</x:v>
      </x:c>
      <x:c r="I882" s="9" t="str">
        <x:v>SZ-XA01</x:v>
      </x:c>
      <x:c r="J882" s="9" t="str">
        <x:v>largest</x:v>
      </x:c>
      <x:c r="K882" s="9"/>
      <x:c r="L882" s="9" t="str">
        <x:v>airplane exposure 550</x:v>
      </x:c>
      <x:c r="M882" s="9"/>
      <x:c r="N882" s="9"/>
      <x:c r="O882" s="9" t="str">
        <x:v>Build the listed airplane scene and save a first-frame filename.</x:v>
      </x:c>
      <x:c r="P882" s="9" t="str">
        <x:v>The airplane is larger than the red pencil sharpener. It is known globally but never received size language in training.</x:v>
      </x:c>
      <x:c r="Q882" s="9"/>
      <x:c r="R882" s="10" t="n">
        <x:v>2</x:v>
      </x:c>
      <x:c r="S882" s="10"/>
      <x:c r="T882" s="9"/>
      <x:c r="U882" s="9"/>
      <x:c r="V882" s="9"/>
      <x:c r="W882" s="9"/>
      <x:c r="X882" s="10"/>
      <x:c r="Y882" s="10"/>
      <x:c r="Z882" s="9"/>
      <x:c r="AA882" s="9"/>
      <x:c r="AB882" s="9"/>
      <x:c r="AC882" s="9"/>
      <x:c r="AD882" s="9" t="str">
        <x:v>airplane toy with propellers</x:v>
      </x:c>
      <x:c r="AE882" s="9"/>
      <x:c r="AF882" s="9"/>
      <x:c r="AG882" s="9"/>
      <x:c r="AH882" s="9" t="str">
        <x:v>Left</x:v>
      </x:c>
      <x:c r="AI882" s="11" t="n">
        <x:v>8</x:v>
      </x:c>
      <x:c r="AJ882" s="9" t="str">
        <x:v>Airplane is largest</x:v>
      </x:c>
      <x:c r="AK882" s="9" t="str">
        <x:v>Eval_Size_Recognition (1).xlsm</x:v>
      </x:c>
      <x:c r="AL882" s="9" t="str">
        <x:v>pi0.5 Results</x:v>
      </x:c>
      <x:c r="AM882" s="9" t="n">
        <x:v>112</x:v>
      </x:c>
      <x:c r="AN882" s="9" t="n">
        <x:v>112</x:v>
      </x:c>
    </x:row>
    <x:row r="883">
      <x:c r="A883" s="9" t="str">
        <x:v>Success</x:v>
      </x:c>
      <x:c r="B883" s="9" t="str">
        <x:v>Size Recognition</x:v>
      </x:c>
      <x:c r="C883" s="10" t="n">
        <x:v>111</x:v>
      </x:c>
      <x:c r="D883" s="9" t="str">
        <x:v>Put the smallest object in the bowl.</x:v>
      </x:c>
      <x:c r="E883" s="9" t="str">
        <x:v>Bowl: empty. Table, robot-left→robot-right: P1 airplane toy with propellers; P2 red pencil sharpener. Adjacent centers 8 cm apart; row centered on the workspace; all objects fully visible and grasp paths clear.</x:v>
      </x:c>
      <x:c r="F883" s="9" t="str">
        <x:v>MOVE red pencil sharpener to bowl</x:v>
      </x:c>
      <x:c r="G883" s="9"/>
      <x:c r="H883" s="9" t="str">
        <x:v>Cross-task airplane counterfactual</x:v>
      </x:c>
      <x:c r="I883" s="9" t="str">
        <x:v>SZ-XA01</x:v>
      </x:c>
      <x:c r="J883" s="9" t="str">
        <x:v>smallest</x:v>
      </x:c>
      <x:c r="K883" s="9" t="n">
        <x:v>110</x:v>
      </x:c>
      <x:c r="L883" s="9" t="str">
        <x:v>1005; airplane exposure 550</x:v>
      </x:c>
      <x:c r="M883" s="9"/>
      <x:c r="N883" s="9"/>
      <x:c r="O883" s="9" t="str">
        <x:v>Reset the airplane; preserve the exact scene and reverse only the size comparison.</x:v>
      </x:c>
      <x:c r="P883" s="9" t="str">
        <x:v>Reasoning-only counterfactual grounded by trained cell smallest × red pencil sharpener; an always-pick-airplane shortcut must fail.</x:v>
      </x:c>
      <x:c r="Q883" s="9"/>
      <x:c r="R883" s="10" t="n">
        <x:v>2</x:v>
      </x:c>
      <x:c r="S883" s="10"/>
      <x:c r="T883" s="9"/>
      <x:c r="U883" s="9"/>
      <x:c r="V883" s="9"/>
      <x:c r="W883" s="9"/>
      <x:c r="X883" s="10"/>
      <x:c r="Y883" s="10"/>
      <x:c r="Z883" s="9"/>
      <x:c r="AA883" s="9"/>
      <x:c r="AB883" s="9"/>
      <x:c r="AC883" s="9"/>
      <x:c r="AD883" s="9" t="str">
        <x:v>red pencil sharpener</x:v>
      </x:c>
      <x:c r="AE883" s="9"/>
      <x:c r="AF883" s="9"/>
      <x:c r="AG883" s="9"/>
      <x:c r="AH883" s="9" t="str">
        <x:v>Right</x:v>
      </x:c>
      <x:c r="AI883" s="11" t="n">
        <x:v>8</x:v>
      </x:c>
      <x:c r="AJ883" s="9" t="str">
        <x:v>Exact-scene opposite-comparison reasoning control</x:v>
      </x:c>
      <x:c r="AK883" s="9" t="str">
        <x:v>Eval_Size_Recognition (1).xlsm</x:v>
      </x:c>
      <x:c r="AL883" s="9" t="str">
        <x:v>pi0.5 Results</x:v>
      </x:c>
      <x:c r="AM883" s="9" t="n">
        <x:v>113</x:v>
      </x:c>
      <x:c r="AN883" s="9" t="n">
        <x:v>113</x:v>
      </x:c>
    </x:row>
    <x:row r="884">
      <x:c r="A884" s="9" t="str">
        <x:v>Success</x:v>
      </x:c>
      <x:c r="B884" s="9" t="str">
        <x:v>Size Recognition</x:v>
      </x:c>
      <x:c r="C884" s="10" t="n">
        <x:v>112</x:v>
      </x:c>
      <x:c r="D884" s="9" t="str">
        <x:v>Pick up the smallest item and place it in the bowl.</x:v>
      </x:c>
      <x:c r="E884" s="9" t="str">
        <x:v>Bowl: empty. Table, robot-left→robot-right: P1 airplane toy with propellers; P2 green block; P3 crushed Pepsi can. Adjacent centers 12 cm apart; row shifted 4 cm toward robot-right; all objects fully visible and grasp paths clear.</x:v>
      </x:c>
      <x:c r="F884" s="9" t="str">
        <x:v>MOVE airplane toy with propellers to bowl</x:v>
      </x:c>
      <x:c r="G884" s="9"/>
      <x:c r="H884" s="9" t="str">
        <x:v>Cross-task airplane reasoning</x:v>
      </x:c>
      <x:c r="I884" s="9" t="str">
        <x:v>SZ-XA02</x:v>
      </x:c>
      <x:c r="J884" s="9" t="str">
        <x:v>smallest</x:v>
      </x:c>
      <x:c r="K884" s="9"/>
      <x:c r="L884" s="9" t="str">
        <x:v>airplane exposure 552</x:v>
      </x:c>
      <x:c r="M884" s="9"/>
      <x:c r="N884" s="9"/>
      <x:c r="O884" s="9" t="str">
        <x:v>Build the listed airplane scene and save a first-frame filename.</x:v>
      </x:c>
      <x:c r="P884" s="9" t="str">
        <x:v>The airplane is smaller than every listed table comparator. Green-block scenes also include a trained larger endpoint so the counterfactual does not test largest×green.</x:v>
      </x:c>
      <x:c r="Q884" s="9"/>
      <x:c r="R884" s="10" t="n">
        <x:v>3</x:v>
      </x:c>
      <x:c r="S884" s="10"/>
      <x:c r="T884" s="9"/>
      <x:c r="U884" s="9"/>
      <x:c r="V884" s="9"/>
      <x:c r="W884" s="9"/>
      <x:c r="X884" s="10"/>
      <x:c r="Y884" s="10"/>
      <x:c r="Z884" s="9"/>
      <x:c r="AA884" s="9"/>
      <x:c r="AB884" s="9"/>
      <x:c r="AC884" s="9"/>
      <x:c r="AD884" s="9" t="str">
        <x:v>airplane toy with propellers</x:v>
      </x:c>
      <x:c r="AE884" s="9"/>
      <x:c r="AF884" s="9"/>
      <x:c r="AG884" s="9"/>
      <x:c r="AH884" s="9" t="str">
        <x:v>Left</x:v>
      </x:c>
      <x:c r="AI884" s="11" t="n">
        <x:v>12</x:v>
      </x:c>
      <x:c r="AJ884" s="9" t="str">
        <x:v>Airplane is smallest</x:v>
      </x:c>
      <x:c r="AK884" s="9" t="str">
        <x:v>Eval_Size_Recognition (1).xlsm</x:v>
      </x:c>
      <x:c r="AL884" s="9" t="str">
        <x:v>pi0.5 Results</x:v>
      </x:c>
      <x:c r="AM884" s="9" t="n">
        <x:v>114</x:v>
      </x:c>
      <x:c r="AN884" s="9" t="n">
        <x:v>114</x:v>
      </x:c>
    </x:row>
    <x:row r="885">
      <x:c r="A885" s="9" t="str">
        <x:v>Success</x:v>
      </x:c>
      <x:c r="B885" s="9" t="str">
        <x:v>Size Recognition</x:v>
      </x:c>
      <x:c r="C885" s="10" t="n">
        <x:v>113</x:v>
      </x:c>
      <x:c r="D885" s="9" t="str">
        <x:v>Put the largest object in the bowl.</x:v>
      </x:c>
      <x:c r="E885" s="9" t="str">
        <x:v>Bowl: empty. Table, robot-left→robot-right: P1 airplane toy with propellers; P2 green block; P3 crushed Pepsi can. Adjacent centers 12 cm apart; row shifted 4 cm toward robot-right; all objects fully visible and grasp paths clear.</x:v>
      </x:c>
      <x:c r="F885" s="9" t="str">
        <x:v>MOVE crushed Pepsi can to bowl</x:v>
      </x:c>
      <x:c r="G885" s="9"/>
      <x:c r="H885" s="9" t="str">
        <x:v>Cross-task airplane counterfactual</x:v>
      </x:c>
      <x:c r="I885" s="9" t="str">
        <x:v>SZ-XA02</x:v>
      </x:c>
      <x:c r="J885" s="9" t="str">
        <x:v>largest</x:v>
      </x:c>
      <x:c r="K885" s="9" t="n">
        <x:v>112</x:v>
      </x:c>
      <x:c r="L885" s="9" t="str">
        <x:v>1155; airplane exposure 552</x:v>
      </x:c>
      <x:c r="M885" s="9"/>
      <x:c r="N885" s="9"/>
      <x:c r="O885" s="9" t="str">
        <x:v>Reset the airplane; preserve the exact scene and reverse only the size comparison.</x:v>
      </x:c>
      <x:c r="P885" s="9" t="str">
        <x:v>Reasoning-only counterfactual grounded by trained cell largest × crushed Pepsi can; an always-pick-airplane shortcut must fail.</x:v>
      </x:c>
      <x:c r="Q885" s="9"/>
      <x:c r="R885" s="10" t="n">
        <x:v>3</x:v>
      </x:c>
      <x:c r="S885" s="10"/>
      <x:c r="T885" s="9"/>
      <x:c r="U885" s="9"/>
      <x:c r="V885" s="9"/>
      <x:c r="W885" s="9"/>
      <x:c r="X885" s="10"/>
      <x:c r="Y885" s="10"/>
      <x:c r="Z885" s="9"/>
      <x:c r="AA885" s="9"/>
      <x:c r="AB885" s="9"/>
      <x:c r="AC885" s="9"/>
      <x:c r="AD885" s="9" t="str">
        <x:v>crushed Pepsi can</x:v>
      </x:c>
      <x:c r="AE885" s="9"/>
      <x:c r="AF885" s="9"/>
      <x:c r="AG885" s="9"/>
      <x:c r="AH885" s="9" t="str">
        <x:v>Right</x:v>
      </x:c>
      <x:c r="AI885" s="11" t="n">
        <x:v>12</x:v>
      </x:c>
      <x:c r="AJ885" s="9" t="str">
        <x:v>Exact-scene opposite-comparison reasoning control</x:v>
      </x:c>
      <x:c r="AK885" s="9" t="str">
        <x:v>Eval_Size_Recognition (1).xlsm</x:v>
      </x:c>
      <x:c r="AL885" s="9" t="str">
        <x:v>pi0.5 Results</x:v>
      </x:c>
      <x:c r="AM885" s="9" t="n">
        <x:v>115</x:v>
      </x:c>
      <x:c r="AN885" s="9" t="n">
        <x:v>115</x:v>
      </x:c>
    </x:row>
    <x:row r="886">
      <x:c r="A886" s="9" t="str">
        <x:v>Success</x:v>
      </x:c>
      <x:c r="B886" s="9" t="str">
        <x:v>Size Recognition</x:v>
      </x:c>
      <x:c r="C886" s="10" t="n">
        <x:v>114</x:v>
      </x:c>
      <x:c r="D886" s="9" t="str">
        <x:v>Pick up the largest item and place it in the bowl.</x:v>
      </x:c>
      <x:c r="E886" s="9" t="str">
        <x:v>Bowl: empty. Table, robot-left→robot-right: P1 red pencil sharpener; P2 airplane toy with propellers. Adjacent centers 12 cm apart; row shifted 4 cm toward robot-left; all objects fully visible and grasp paths clear.</x:v>
      </x:c>
      <x:c r="F886" s="9" t="str">
        <x:v>MOVE airplane toy with propellers to bowl</x:v>
      </x:c>
      <x:c r="G886" s="9"/>
      <x:c r="H886" s="9" t="str">
        <x:v>Cross-task airplane reasoning</x:v>
      </x:c>
      <x:c r="I886" s="9" t="str">
        <x:v>SZ-XA03</x:v>
      </x:c>
      <x:c r="J886" s="9" t="str">
        <x:v>largest</x:v>
      </x:c>
      <x:c r="K886" s="9"/>
      <x:c r="L886" s="9" t="str">
        <x:v>airplane exposure 554</x:v>
      </x:c>
      <x:c r="M886" s="9"/>
      <x:c r="N886" s="9"/>
      <x:c r="O886" s="9" t="str">
        <x:v>Build the listed airplane scene and save a first-frame filename.</x:v>
      </x:c>
      <x:c r="P886" s="9" t="str">
        <x:v>The airplane is larger than the red pencil sharpener. It is known globally but never received size language in training.</x:v>
      </x:c>
      <x:c r="Q886" s="9"/>
      <x:c r="R886" s="10" t="n">
        <x:v>2</x:v>
      </x:c>
      <x:c r="S886" s="10"/>
      <x:c r="T886" s="9"/>
      <x:c r="U886" s="9"/>
      <x:c r="V886" s="9"/>
      <x:c r="W886" s="9"/>
      <x:c r="X886" s="10"/>
      <x:c r="Y886" s="10"/>
      <x:c r="Z886" s="9"/>
      <x:c r="AA886" s="9"/>
      <x:c r="AB886" s="9"/>
      <x:c r="AC886" s="9"/>
      <x:c r="AD886" s="9" t="str">
        <x:v>airplane toy with propellers</x:v>
      </x:c>
      <x:c r="AE886" s="9"/>
      <x:c r="AF886" s="9"/>
      <x:c r="AG886" s="9"/>
      <x:c r="AH886" s="9" t="str">
        <x:v>Right</x:v>
      </x:c>
      <x:c r="AI886" s="11" t="n">
        <x:v>12</x:v>
      </x:c>
      <x:c r="AJ886" s="9" t="str">
        <x:v>Airplane is largest</x:v>
      </x:c>
      <x:c r="AK886" s="9" t="str">
        <x:v>Eval_Size_Recognition (1).xlsm</x:v>
      </x:c>
      <x:c r="AL886" s="9" t="str">
        <x:v>pi0.5 Results</x:v>
      </x:c>
      <x:c r="AM886" s="9" t="n">
        <x:v>116</x:v>
      </x:c>
      <x:c r="AN886" s="9" t="n">
        <x:v>116</x:v>
      </x:c>
    </x:row>
    <x:row r="887">
      <x:c r="A887" s="9" t="str">
        <x:v>Success</x:v>
      </x:c>
      <x:c r="B887" s="9" t="str">
        <x:v>Size Recognition</x:v>
      </x:c>
      <x:c r="C887" s="10" t="n">
        <x:v>115</x:v>
      </x:c>
      <x:c r="D887" s="9" t="str">
        <x:v>Move the object that is smallest into the bowl.</x:v>
      </x:c>
      <x:c r="E887" s="9" t="str">
        <x:v>Bowl: empty. Table, robot-left→robot-right: P1 red pencil sharpener; P2 airplane toy with propellers. Adjacent centers 12 cm apart; row shifted 4 cm toward robot-left; all objects fully visible and grasp paths clear.</x:v>
      </x:c>
      <x:c r="F887" s="9" t="str">
        <x:v>MOVE red pencil sharpener to bowl</x:v>
      </x:c>
      <x:c r="G887" s="9"/>
      <x:c r="H887" s="9" t="str">
        <x:v>Cross-task airplane counterfactual</x:v>
      </x:c>
      <x:c r="I887" s="9" t="str">
        <x:v>SZ-XA03</x:v>
      </x:c>
      <x:c r="J887" s="9" t="str">
        <x:v>smallest</x:v>
      </x:c>
      <x:c r="K887" s="9" t="n">
        <x:v>114</x:v>
      </x:c>
      <x:c r="L887" s="9" t="str">
        <x:v>1006; airplane exposure 554</x:v>
      </x:c>
      <x:c r="M887" s="9"/>
      <x:c r="N887" s="9"/>
      <x:c r="O887" s="9" t="str">
        <x:v>Reset the airplane; preserve the exact scene and reverse only the size comparison.</x:v>
      </x:c>
      <x:c r="P887" s="9" t="str">
        <x:v>Reasoning-only counterfactual grounded by trained cell smallest × red pencil sharpener; an always-pick-airplane shortcut must fail.</x:v>
      </x:c>
      <x:c r="Q887" s="9"/>
      <x:c r="R887" s="10" t="n">
        <x:v>2</x:v>
      </x:c>
      <x:c r="S887" s="10"/>
      <x:c r="T887" s="9"/>
      <x:c r="U887" s="9"/>
      <x:c r="V887" s="9"/>
      <x:c r="W887" s="9"/>
      <x:c r="X887" s="10"/>
      <x:c r="Y887" s="10"/>
      <x:c r="Z887" s="9"/>
      <x:c r="AA887" s="9"/>
      <x:c r="AB887" s="9"/>
      <x:c r="AC887" s="9"/>
      <x:c r="AD887" s="9" t="str">
        <x:v>red pencil sharpener</x:v>
      </x:c>
      <x:c r="AE887" s="9"/>
      <x:c r="AF887" s="9"/>
      <x:c r="AG887" s="9"/>
      <x:c r="AH887" s="9" t="str">
        <x:v>Left</x:v>
      </x:c>
      <x:c r="AI887" s="11" t="n">
        <x:v>12</x:v>
      </x:c>
      <x:c r="AJ887" s="9" t="str">
        <x:v>Exact-scene opposite-comparison reasoning control</x:v>
      </x:c>
      <x:c r="AK887" s="9" t="str">
        <x:v>Eval_Size_Recognition (1).xlsm</x:v>
      </x:c>
      <x:c r="AL887" s="9" t="str">
        <x:v>pi0.5 Results</x:v>
      </x:c>
      <x:c r="AM887" s="9" t="n">
        <x:v>117</x:v>
      </x:c>
      <x:c r="AN887" s="9" t="n">
        <x:v>117</x:v>
      </x:c>
    </x:row>
    <x:row r="888">
      <x:c r="A888" s="9" t="str">
        <x:v>Success</x:v>
      </x:c>
      <x:c r="B888" s="9" t="str">
        <x:v>Size Recognition</x:v>
      </x:c>
      <x:c r="C888" s="10" t="n">
        <x:v>116</x:v>
      </x:c>
      <x:c r="D888" s="9" t="str">
        <x:v>Put the smallest object in the bowl.</x:v>
      </x:c>
      <x:c r="E888" s="9" t="str">
        <x:v>Bowl: empty. Table, robot-left→robot-right: P1 juggling ball; P2 green block; P3 airplane toy with propellers. Adjacent centers 16 cm apart; row shifted 4 cm toward the robot; all objects fully visible and grasp paths clear.</x:v>
      </x:c>
      <x:c r="F888" s="9" t="str">
        <x:v>MOVE airplane toy with propellers to bowl</x:v>
      </x:c>
      <x:c r="G888" s="9"/>
      <x:c r="H888" s="9" t="str">
        <x:v>Cross-task airplane reasoning</x:v>
      </x:c>
      <x:c r="I888" s="9" t="str">
        <x:v>SZ-XA04</x:v>
      </x:c>
      <x:c r="J888" s="9" t="str">
        <x:v>smallest</x:v>
      </x:c>
      <x:c r="K888" s="9"/>
      <x:c r="L888" s="9" t="str">
        <x:v>airplane exposure 556</x:v>
      </x:c>
      <x:c r="M888" s="9"/>
      <x:c r="N888" s="9"/>
      <x:c r="O888" s="9" t="str">
        <x:v>Build the listed airplane scene and save a first-frame filename.</x:v>
      </x:c>
      <x:c r="P888" s="9" t="str">
        <x:v>The airplane is smaller than every listed table comparator. Green-block scenes also include a trained larger endpoint so the counterfactual does not test largest×green.</x:v>
      </x:c>
      <x:c r="Q888" s="9"/>
      <x:c r="R888" s="10" t="n">
        <x:v>3</x:v>
      </x:c>
      <x:c r="S888" s="10"/>
      <x:c r="T888" s="9"/>
      <x:c r="U888" s="9"/>
      <x:c r="V888" s="9"/>
      <x:c r="W888" s="9"/>
      <x:c r="X888" s="10"/>
      <x:c r="Y888" s="10"/>
      <x:c r="Z888" s="9"/>
      <x:c r="AA888" s="9"/>
      <x:c r="AB888" s="9"/>
      <x:c r="AC888" s="9"/>
      <x:c r="AD888" s="9" t="str">
        <x:v>airplane toy with propellers</x:v>
      </x:c>
      <x:c r="AE888" s="9"/>
      <x:c r="AF888" s="9"/>
      <x:c r="AG888" s="9"/>
      <x:c r="AH888" s="9" t="str">
        <x:v>Right</x:v>
      </x:c>
      <x:c r="AI888" s="11" t="n">
        <x:v>16</x:v>
      </x:c>
      <x:c r="AJ888" s="9" t="str">
        <x:v>Airplane is smallest</x:v>
      </x:c>
      <x:c r="AK888" s="9" t="str">
        <x:v>Eval_Size_Recognition (1).xlsm</x:v>
      </x:c>
      <x:c r="AL888" s="9" t="str">
        <x:v>pi0.5 Results</x:v>
      </x:c>
      <x:c r="AM888" s="9" t="n">
        <x:v>118</x:v>
      </x:c>
      <x:c r="AN888" s="9" t="n">
        <x:v>118</x:v>
      </x:c>
    </x:row>
    <x:row r="889">
      <x:c r="A889" s="9" t="str">
        <x:v>Success</x:v>
      </x:c>
      <x:c r="B889" s="9" t="str">
        <x:v>Size Recognition</x:v>
      </x:c>
      <x:c r="C889" s="10" t="n">
        <x:v>117</x:v>
      </x:c>
      <x:c r="D889" s="9" t="str">
        <x:v>Move the object that is largest into the bowl.</x:v>
      </x:c>
      <x:c r="E889" s="9" t="str">
        <x:v>Bowl: empty. Table, robot-left→robot-right: P1 juggling ball; P2 green block; P3 airplane toy with propellers. Adjacent centers 16 cm apart; row shifted 4 cm toward the robot; all objects fully visible and grasp paths clear.</x:v>
      </x:c>
      <x:c r="F889" s="9" t="str">
        <x:v>MOVE juggling ball to bowl</x:v>
      </x:c>
      <x:c r="G889" s="9"/>
      <x:c r="H889" s="9" t="str">
        <x:v>Cross-task airplane counterfactual</x:v>
      </x:c>
      <x:c r="I889" s="9" t="str">
        <x:v>SZ-XA04</x:v>
      </x:c>
      <x:c r="J889" s="9" t="str">
        <x:v>largest</x:v>
      </x:c>
      <x:c r="K889" s="9" t="n">
        <x:v>116</x:v>
      </x:c>
      <x:c r="L889" s="9" t="str">
        <x:v>1126; airplane exposure 556</x:v>
      </x:c>
      <x:c r="M889" s="9"/>
      <x:c r="N889" s="9"/>
      <x:c r="O889" s="9" t="str">
        <x:v>Reset the airplane; preserve the exact scene and reverse only the size comparison.</x:v>
      </x:c>
      <x:c r="P889" s="9" t="str">
        <x:v>Reasoning-only counterfactual grounded by trained cell largest × juggling ball; an always-pick-airplane shortcut must fail.</x:v>
      </x:c>
      <x:c r="Q889" s="9"/>
      <x:c r="R889" s="10" t="n">
        <x:v>3</x:v>
      </x:c>
      <x:c r="S889" s="10"/>
      <x:c r="T889" s="9"/>
      <x:c r="U889" s="9"/>
      <x:c r="V889" s="9"/>
      <x:c r="W889" s="9"/>
      <x:c r="X889" s="10"/>
      <x:c r="Y889" s="10"/>
      <x:c r="Z889" s="9"/>
      <x:c r="AA889" s="9"/>
      <x:c r="AB889" s="9"/>
      <x:c r="AC889" s="9"/>
      <x:c r="AD889" s="9" t="str">
        <x:v>juggling ball</x:v>
      </x:c>
      <x:c r="AE889" s="9"/>
      <x:c r="AF889" s="9"/>
      <x:c r="AG889" s="9"/>
      <x:c r="AH889" s="9" t="str">
        <x:v>Left</x:v>
      </x:c>
      <x:c r="AI889" s="11" t="n">
        <x:v>16</x:v>
      </x:c>
      <x:c r="AJ889" s="9" t="str">
        <x:v>Exact-scene opposite-comparison reasoning control</x:v>
      </x:c>
      <x:c r="AK889" s="9" t="str">
        <x:v>Eval_Size_Recognition (1).xlsm</x:v>
      </x:c>
      <x:c r="AL889" s="9" t="str">
        <x:v>pi0.5 Results</x:v>
      </x:c>
      <x:c r="AM889" s="9" t="n">
        <x:v>119</x:v>
      </x:c>
      <x:c r="AN889" s="9" t="n">
        <x:v>119</x:v>
      </x:c>
    </x:row>
    <x:row r="890">
      <x:c r="A890" s="9" t="str">
        <x:v>Success</x:v>
      </x:c>
      <x:c r="B890" s="9" t="str">
        <x:v>Size Recognition</x:v>
      </x:c>
      <x:c r="C890" s="10" t="n">
        <x:v>118</x:v>
      </x:c>
      <x:c r="D890" s="9" t="str">
        <x:v>Put the largest object in the bowl.</x:v>
      </x:c>
      <x:c r="E890" s="9" t="str">
        <x:v>Bowl: empty. Table, robot-left→robot-right: P1 airplane toy with propellers; P2 red pencil sharpener. Adjacent centers 16 cm apart; row shifted 4 cm toward robot-right; all objects fully visible and grasp paths clear.</x:v>
      </x:c>
      <x:c r="F890" s="9" t="str">
        <x:v>MOVE airplane toy with propellers to bowl</x:v>
      </x:c>
      <x:c r="G890" s="9"/>
      <x:c r="H890" s="9" t="str">
        <x:v>Cross-task airplane reasoning</x:v>
      </x:c>
      <x:c r="I890" s="9" t="str">
        <x:v>SZ-XA05</x:v>
      </x:c>
      <x:c r="J890" s="9" t="str">
        <x:v>largest</x:v>
      </x:c>
      <x:c r="K890" s="9"/>
      <x:c r="L890" s="9" t="str">
        <x:v>airplane exposure 558</x:v>
      </x:c>
      <x:c r="M890" s="9"/>
      <x:c r="N890" s="9"/>
      <x:c r="O890" s="9" t="str">
        <x:v>Build the listed airplane scene and save a first-frame filename.</x:v>
      </x:c>
      <x:c r="P890" s="9" t="str">
        <x:v>The airplane is larger than the red pencil sharpener. It is known globally but never received size language in training.</x:v>
      </x:c>
      <x:c r="Q890" s="9"/>
      <x:c r="R890" s="10" t="n">
        <x:v>2</x:v>
      </x:c>
      <x:c r="S890" s="10"/>
      <x:c r="T890" s="9"/>
      <x:c r="U890" s="9"/>
      <x:c r="V890" s="9"/>
      <x:c r="W890" s="9"/>
      <x:c r="X890" s="10"/>
      <x:c r="Y890" s="10"/>
      <x:c r="Z890" s="9"/>
      <x:c r="AA890" s="9"/>
      <x:c r="AB890" s="9"/>
      <x:c r="AC890" s="9"/>
      <x:c r="AD890" s="9" t="str">
        <x:v>airplane toy with propellers</x:v>
      </x:c>
      <x:c r="AE890" s="9"/>
      <x:c r="AF890" s="9"/>
      <x:c r="AG890" s="9"/>
      <x:c r="AH890" s="9" t="str">
        <x:v>Left</x:v>
      </x:c>
      <x:c r="AI890" s="11" t="n">
        <x:v>16</x:v>
      </x:c>
      <x:c r="AJ890" s="9" t="str">
        <x:v>Airplane is largest</x:v>
      </x:c>
      <x:c r="AK890" s="9" t="str">
        <x:v>Eval_Size_Recognition (1).xlsm</x:v>
      </x:c>
      <x:c r="AL890" s="9" t="str">
        <x:v>pi0.5 Results</x:v>
      </x:c>
      <x:c r="AM890" s="9" t="n">
        <x:v>120</x:v>
      </x:c>
      <x:c r="AN890" s="9" t="n">
        <x:v>120</x:v>
      </x:c>
    </x:row>
    <x:row r="891">
      <x:c r="A891" s="9" t="str">
        <x:v>Success</x:v>
      </x:c>
      <x:c r="B891" s="9" t="str">
        <x:v>Size Recognition</x:v>
      </x:c>
      <x:c r="C891" s="10" t="n">
        <x:v>119</x:v>
      </x:c>
      <x:c r="D891" s="9" t="str">
        <x:v>Pick up the smallest item and place it in the bowl.</x:v>
      </x:c>
      <x:c r="E891" s="9" t="str">
        <x:v>Bowl: empty. Table, robot-left→robot-right: P1 airplane toy with propellers; P2 red pencil sharpener. Adjacent centers 16 cm apart; row shifted 4 cm toward robot-right; all objects fully visible and grasp paths clear.</x:v>
      </x:c>
      <x:c r="F891" s="9" t="str">
        <x:v>MOVE red pencil sharpener to bowl</x:v>
      </x:c>
      <x:c r="G891" s="9"/>
      <x:c r="H891" s="9" t="str">
        <x:v>Cross-task airplane counterfactual</x:v>
      </x:c>
      <x:c r="I891" s="9" t="str">
        <x:v>SZ-XA05</x:v>
      </x:c>
      <x:c r="J891" s="9" t="str">
        <x:v>smallest</x:v>
      </x:c>
      <x:c r="K891" s="9" t="n">
        <x:v>118</x:v>
      </x:c>
      <x:c r="L891" s="9" t="str">
        <x:v>1007; airplane exposure 558</x:v>
      </x:c>
      <x:c r="M891" s="9"/>
      <x:c r="N891" s="9"/>
      <x:c r="O891" s="9" t="str">
        <x:v>Reset the airplane; preserve the exact scene and reverse only the size comparison.</x:v>
      </x:c>
      <x:c r="P891" s="9" t="str">
        <x:v>Reasoning-only counterfactual grounded by trained cell smallest × red pencil sharpener; an always-pick-airplane shortcut must fail.</x:v>
      </x:c>
      <x:c r="Q891" s="9"/>
      <x:c r="R891" s="10" t="n">
        <x:v>2</x:v>
      </x:c>
      <x:c r="S891" s="10"/>
      <x:c r="T891" s="9"/>
      <x:c r="U891" s="9"/>
      <x:c r="V891" s="9"/>
      <x:c r="W891" s="9"/>
      <x:c r="X891" s="10"/>
      <x:c r="Y891" s="10"/>
      <x:c r="Z891" s="9"/>
      <x:c r="AA891" s="9"/>
      <x:c r="AB891" s="9"/>
      <x:c r="AC891" s="9"/>
      <x:c r="AD891" s="9" t="str">
        <x:v>red pencil sharpener</x:v>
      </x:c>
      <x:c r="AE891" s="9"/>
      <x:c r="AF891" s="9"/>
      <x:c r="AG891" s="9"/>
      <x:c r="AH891" s="9" t="str">
        <x:v>Right</x:v>
      </x:c>
      <x:c r="AI891" s="11" t="n">
        <x:v>16</x:v>
      </x:c>
      <x:c r="AJ891" s="9" t="str">
        <x:v>Exact-scene opposite-comparison reasoning control</x:v>
      </x:c>
      <x:c r="AK891" s="9" t="str">
        <x:v>Eval_Size_Recognition (1).xlsm</x:v>
      </x:c>
      <x:c r="AL891" s="9" t="str">
        <x:v>pi0.5 Results</x:v>
      </x:c>
      <x:c r="AM891" s="9" t="n">
        <x:v>121</x:v>
      </x:c>
      <x:c r="AN891" s="9" t="n">
        <x:v>121</x:v>
      </x:c>
    </x:row>
    <x:row r="892">
      <x:c r="A892" s="9" t="str">
        <x:v>Failure</x:v>
      </x:c>
      <x:c r="B892" s="9" t="str">
        <x:v>Size Recognition</x:v>
      </x:c>
      <x:c r="C892" s="10" t="n">
        <x:v>120</x:v>
      </x:c>
      <x:c r="D892" s="9" t="str">
        <x:v>Move the object that is smallest into the bowl.</x:v>
      </x:c>
      <x:c r="E892" s="9" t="str">
        <x:v>Bowl: empty. Table, robot-left→robot-right: P1 green block; P2 crushed Pepsi can; P3 airplane toy with propellers. Adjacent centers 8 cm apart; row shifted 4 cm away from the robot; all objects fully visible and grasp paths clear.</x:v>
      </x:c>
      <x:c r="F892" s="9" t="str">
        <x:v>MOVE airplane toy with propellers to bowl</x:v>
      </x:c>
      <x:c r="G892" s="9" t="str">
        <x:v>Picked up green block</x:v>
      </x:c>
      <x:c r="H892" s="9" t="str">
        <x:v>Cross-task airplane reasoning</x:v>
      </x:c>
      <x:c r="I892" s="9" t="str">
        <x:v>SZ-XA06</x:v>
      </x:c>
      <x:c r="J892" s="9" t="str">
        <x:v>smallest</x:v>
      </x:c>
      <x:c r="K892" s="9"/>
      <x:c r="L892" s="9" t="str">
        <x:v>airplane exposure 560</x:v>
      </x:c>
      <x:c r="M892" s="9"/>
      <x:c r="N892" s="9"/>
      <x:c r="O892" s="9" t="str">
        <x:v>Build the listed airplane scene and save a first-frame filename.</x:v>
      </x:c>
      <x:c r="P892" s="9" t="str">
        <x:v>The airplane is smaller than every listed table comparator. Green-block scenes also include a trained larger endpoint so the counterfactual does not test largest×green.</x:v>
      </x:c>
      <x:c r="Q892" s="9"/>
      <x:c r="R892" s="10" t="n">
        <x:v>3</x:v>
      </x:c>
      <x:c r="S892" s="10"/>
      <x:c r="T892" s="9"/>
      <x:c r="U892" s="9"/>
      <x:c r="V892" s="9"/>
      <x:c r="W892" s="9"/>
      <x:c r="X892" s="10"/>
      <x:c r="Y892" s="10"/>
      <x:c r="Z892" s="9"/>
      <x:c r="AA892" s="9"/>
      <x:c r="AB892" s="9"/>
      <x:c r="AC892" s="9"/>
      <x:c r="AD892" s="9" t="str">
        <x:v>airplane toy with propellers</x:v>
      </x:c>
      <x:c r="AE892" s="9"/>
      <x:c r="AF892" s="9"/>
      <x:c r="AG892" s="9"/>
      <x:c r="AH892" s="9" t="str">
        <x:v>Right</x:v>
      </x:c>
      <x:c r="AI892" s="11" t="n">
        <x:v>8</x:v>
      </x:c>
      <x:c r="AJ892" s="9" t="str">
        <x:v>Airplane is smallest</x:v>
      </x:c>
      <x:c r="AK892" s="9" t="str">
        <x:v>Eval_Size_Recognition (1).xlsm</x:v>
      </x:c>
      <x:c r="AL892" s="9" t="str">
        <x:v>pi0.5 Results</x:v>
      </x:c>
      <x:c r="AM892" s="9" t="n">
        <x:v>122</x:v>
      </x:c>
      <x:c r="AN892" s="9" t="n">
        <x:v>122</x:v>
      </x:c>
    </x:row>
    <x:row r="893">
      <x:c r="A893" s="9" t="str">
        <x:v>Success</x:v>
      </x:c>
      <x:c r="B893" s="9" t="str">
        <x:v>Size Recognition</x:v>
      </x:c>
      <x:c r="C893" s="10" t="n">
        <x:v>121</x:v>
      </x:c>
      <x:c r="D893" s="9" t="str">
        <x:v>Pick up the largest item and place it in the bowl.</x:v>
      </x:c>
      <x:c r="E893" s="9" t="str">
        <x:v>Bowl: empty. Table, robot-left→robot-right: P1 green block; P2 crushed Pepsi can; P3 airplane toy with propellers. Adjacent centers 8 cm apart; row shifted 4 cm away from the robot; all objects fully visible and grasp paths clear.</x:v>
      </x:c>
      <x:c r="F893" s="9" t="str">
        <x:v>MOVE crushed Pepsi can to bowl</x:v>
      </x:c>
      <x:c r="G893" s="9"/>
      <x:c r="H893" s="9" t="str">
        <x:v>Cross-task airplane counterfactual</x:v>
      </x:c>
      <x:c r="I893" s="9" t="str">
        <x:v>SZ-XA06</x:v>
      </x:c>
      <x:c r="J893" s="9" t="str">
        <x:v>largest</x:v>
      </x:c>
      <x:c r="K893" s="9" t="n">
        <x:v>120</x:v>
      </x:c>
      <x:c r="L893" s="9" t="str">
        <x:v>1157; airplane exposure 560</x:v>
      </x:c>
      <x:c r="M893" s="9"/>
      <x:c r="N893" s="9"/>
      <x:c r="O893" s="9" t="str">
        <x:v>Reset the airplane; preserve the exact scene and reverse only the size comparison.</x:v>
      </x:c>
      <x:c r="P893" s="9" t="str">
        <x:v>Reasoning-only counterfactual grounded by trained cell largest × crushed Pepsi can; an always-pick-airplane shortcut must fail.</x:v>
      </x:c>
      <x:c r="Q893" s="9"/>
      <x:c r="R893" s="10" t="n">
        <x:v>3</x:v>
      </x:c>
      <x:c r="S893" s="10"/>
      <x:c r="T893" s="9"/>
      <x:c r="U893" s="9"/>
      <x:c r="V893" s="9"/>
      <x:c r="W893" s="9"/>
      <x:c r="X893" s="10"/>
      <x:c r="Y893" s="10"/>
      <x:c r="Z893" s="9"/>
      <x:c r="AA893" s="9"/>
      <x:c r="AB893" s="9"/>
      <x:c r="AC893" s="9"/>
      <x:c r="AD893" s="9" t="str">
        <x:v>crushed Pepsi can</x:v>
      </x:c>
      <x:c r="AE893" s="9"/>
      <x:c r="AF893" s="9"/>
      <x:c r="AG893" s="9"/>
      <x:c r="AH893" s="9" t="str">
        <x:v>Center</x:v>
      </x:c>
      <x:c r="AI893" s="11" t="n">
        <x:v>8</x:v>
      </x:c>
      <x:c r="AJ893" s="9" t="str">
        <x:v>Exact-scene opposite-comparison reasoning control</x:v>
      </x:c>
      <x:c r="AK893" s="9" t="str">
        <x:v>Eval_Size_Recognition (1).xlsm</x:v>
      </x:c>
      <x:c r="AL893" s="9" t="str">
        <x:v>pi0.5 Results</x:v>
      </x:c>
      <x:c r="AM893" s="9" t="n">
        <x:v>123</x:v>
      </x:c>
      <x:c r="AN893" s="9" t="n">
        <x:v>123</x:v>
      </x:c>
    </x:row>
    <x:row r="894">
      <x:c r="A894" s="9" t="str">
        <x:v>Success</x:v>
      </x:c>
      <x:c r="B894" s="9" t="str">
        <x:v>Size Recognition</x:v>
      </x:c>
      <x:c r="C894" s="10" t="n">
        <x:v>122</x:v>
      </x:c>
      <x:c r="D894" s="9" t="str">
        <x:v>Move the object that is largest into the bowl.</x:v>
      </x:c>
      <x:c r="E894" s="9" t="str">
        <x:v>Bowl: empty. Table, robot-left→robot-right: P1 red pencil sharpener; P2 airplane toy with propellers. Adjacent centers 8 cm apart; row shifted 4 cm toward the robot; all objects fully visible and grasp paths clear.</x:v>
      </x:c>
      <x:c r="F894" s="9" t="str">
        <x:v>MOVE airplane toy with propellers to bowl</x:v>
      </x:c>
      <x:c r="G894" s="9"/>
      <x:c r="H894" s="9" t="str">
        <x:v>Cross-task airplane reasoning</x:v>
      </x:c>
      <x:c r="I894" s="9" t="str">
        <x:v>SZ-XA07</x:v>
      </x:c>
      <x:c r="J894" s="9" t="str">
        <x:v>largest</x:v>
      </x:c>
      <x:c r="K894" s="9"/>
      <x:c r="L894" s="9" t="str">
        <x:v>airplane exposure 562</x:v>
      </x:c>
      <x:c r="M894" s="9"/>
      <x:c r="N894" s="9"/>
      <x:c r="O894" s="9" t="str">
        <x:v>Build the listed airplane scene and save a first-frame filename.</x:v>
      </x:c>
      <x:c r="P894" s="9" t="str">
        <x:v>The airplane is larger than the red pencil sharpener. It is known globally but never received size language in training.</x:v>
      </x:c>
      <x:c r="Q894" s="9"/>
      <x:c r="R894" s="10" t="n">
        <x:v>2</x:v>
      </x:c>
      <x:c r="S894" s="10"/>
      <x:c r="T894" s="9"/>
      <x:c r="U894" s="9"/>
      <x:c r="V894" s="9"/>
      <x:c r="W894" s="9"/>
      <x:c r="X894" s="10"/>
      <x:c r="Y894" s="10"/>
      <x:c r="Z894" s="9"/>
      <x:c r="AA894" s="9"/>
      <x:c r="AB894" s="9"/>
      <x:c r="AC894" s="9"/>
      <x:c r="AD894" s="9" t="str">
        <x:v>airplane toy with propellers</x:v>
      </x:c>
      <x:c r="AE894" s="9"/>
      <x:c r="AF894" s="9"/>
      <x:c r="AG894" s="9"/>
      <x:c r="AH894" s="9" t="str">
        <x:v>Right</x:v>
      </x:c>
      <x:c r="AI894" s="11" t="n">
        <x:v>8</x:v>
      </x:c>
      <x:c r="AJ894" s="9" t="str">
        <x:v>Airplane is largest</x:v>
      </x:c>
      <x:c r="AK894" s="9" t="str">
        <x:v>Eval_Size_Recognition (1).xlsm</x:v>
      </x:c>
      <x:c r="AL894" s="9" t="str">
        <x:v>pi0.5 Results</x:v>
      </x:c>
      <x:c r="AM894" s="9" t="n">
        <x:v>124</x:v>
      </x:c>
      <x:c r="AN894" s="9" t="n">
        <x:v>124</x:v>
      </x:c>
    </x:row>
    <x:row r="895">
      <x:c r="A895" s="9" t="str">
        <x:v>Failure</x:v>
      </x:c>
      <x:c r="B895" s="9" t="str">
        <x:v>Size Recognition</x:v>
      </x:c>
      <x:c r="C895" s="10" t="n">
        <x:v>123</x:v>
      </x:c>
      <x:c r="D895" s="9" t="str">
        <x:v>Put the smallest object in the bowl.</x:v>
      </x:c>
      <x:c r="E895" s="9" t="str">
        <x:v>Bowl: empty. Table, robot-left→robot-right: P1 red pencil sharpener; P2 airplane toy with propellers. Adjacent centers 8 cm apart; row shifted 4 cm toward the robot; all objects fully visible and grasp paths clear.</x:v>
      </x:c>
      <x:c r="F895" s="9" t="str">
        <x:v>MOVE red pencil sharpener to bowl</x:v>
      </x:c>
      <x:c r="G895" s="9" t="str">
        <x:v>Failed grasping. Picked the block, it went up on its side, then it flew out of the range of the robot. Reasoning succeeded</x:v>
      </x:c>
      <x:c r="H895" s="9" t="str">
        <x:v>Cross-task airplane counterfactual</x:v>
      </x:c>
      <x:c r="I895" s="9" t="str">
        <x:v>SZ-XA07</x:v>
      </x:c>
      <x:c r="J895" s="9" t="str">
        <x:v>smallest</x:v>
      </x:c>
      <x:c r="K895" s="9" t="n">
        <x:v>122</x:v>
      </x:c>
      <x:c r="L895" s="9" t="str">
        <x:v>1008; airplane exposure 562</x:v>
      </x:c>
      <x:c r="M895" s="9"/>
      <x:c r="N895" s="9"/>
      <x:c r="O895" s="9" t="str">
        <x:v>Reset the airplane; preserve the exact scene and reverse only the size comparison.</x:v>
      </x:c>
      <x:c r="P895" s="9" t="str">
        <x:v>Reasoning-only counterfactual grounded by trained cell smallest × red pencil sharpener; an always-pick-airplane shortcut must fail.</x:v>
      </x:c>
      <x:c r="Q895" s="9"/>
      <x:c r="R895" s="10" t="n">
        <x:v>2</x:v>
      </x:c>
      <x:c r="S895" s="10"/>
      <x:c r="T895" s="9"/>
      <x:c r="U895" s="9"/>
      <x:c r="V895" s="9"/>
      <x:c r="W895" s="9"/>
      <x:c r="X895" s="10"/>
      <x:c r="Y895" s="10"/>
      <x:c r="Z895" s="9"/>
      <x:c r="AA895" s="9"/>
      <x:c r="AB895" s="9"/>
      <x:c r="AC895" s="9"/>
      <x:c r="AD895" s="9" t="str">
        <x:v>red pencil sharpener</x:v>
      </x:c>
      <x:c r="AE895" s="9"/>
      <x:c r="AF895" s="9"/>
      <x:c r="AG895" s="9"/>
      <x:c r="AH895" s="9" t="str">
        <x:v>Left</x:v>
      </x:c>
      <x:c r="AI895" s="11" t="n">
        <x:v>8</x:v>
      </x:c>
      <x:c r="AJ895" s="9" t="str">
        <x:v>Exact-scene opposite-comparison reasoning control</x:v>
      </x:c>
      <x:c r="AK895" s="9" t="str">
        <x:v>Eval_Size_Recognition (1).xlsm</x:v>
      </x:c>
      <x:c r="AL895" s="9" t="str">
        <x:v>pi0.5 Results</x:v>
      </x:c>
      <x:c r="AM895" s="9" t="n">
        <x:v>125</x:v>
      </x:c>
      <x:c r="AN895" s="9" t="n">
        <x:v>125</x:v>
      </x:c>
    </x:row>
    <x:row r="896">
      <x:c r="A896" s="9" t="str">
        <x:v>Failure</x:v>
      </x:c>
      <x:c r="B896" s="9" t="str">
        <x:v>Size Recognition</x:v>
      </x:c>
      <x:c r="C896" s="10" t="n">
        <x:v>124</x:v>
      </x:c>
      <x:c r="D896" s="9" t="str">
        <x:v>Pick up the smallest item and place it in the bowl.</x:v>
      </x:c>
      <x:c r="E896" s="9" t="str">
        <x:v>Bowl: empty. Table, robot-left→robot-right: P1 airplane toy with propellers; P2 green block; P3 juggling ball. Adjacent centers 12 cm apart; row centered on the workspace; all objects fully visible and grasp paths clear.</x:v>
      </x:c>
      <x:c r="F896" s="9" t="str">
        <x:v>MOVE airplane toy with propellers to bowl</x:v>
      </x:c>
      <x:c r="G896" s="9" t="str">
        <x:v>Grabbed the green block</x:v>
      </x:c>
      <x:c r="H896" s="9" t="str">
        <x:v>Cross-task airplane reasoning</x:v>
      </x:c>
      <x:c r="I896" s="9" t="str">
        <x:v>SZ-XA08</x:v>
      </x:c>
      <x:c r="J896" s="9" t="str">
        <x:v>smallest</x:v>
      </x:c>
      <x:c r="K896" s="9"/>
      <x:c r="L896" s="9" t="str">
        <x:v>airplane exposure 564</x:v>
      </x:c>
      <x:c r="M896" s="9"/>
      <x:c r="N896" s="9"/>
      <x:c r="O896" s="9" t="str">
        <x:v>Build the listed airplane scene and save a first-frame filename.</x:v>
      </x:c>
      <x:c r="P896" s="9" t="str">
        <x:v>The airplane is smaller than every listed table comparator. Green-block scenes also include a trained larger endpoint so the counterfactual does not test largest×green.</x:v>
      </x:c>
      <x:c r="Q896" s="9"/>
      <x:c r="R896" s="10" t="n">
        <x:v>3</x:v>
      </x:c>
      <x:c r="S896" s="10"/>
      <x:c r="T896" s="9"/>
      <x:c r="U896" s="9"/>
      <x:c r="V896" s="9"/>
      <x:c r="W896" s="9"/>
      <x:c r="X896" s="10"/>
      <x:c r="Y896" s="10"/>
      <x:c r="Z896" s="9"/>
      <x:c r="AA896" s="9"/>
      <x:c r="AB896" s="9"/>
      <x:c r="AC896" s="9"/>
      <x:c r="AD896" s="9" t="str">
        <x:v>airplane toy with propellers</x:v>
      </x:c>
      <x:c r="AE896" s="9"/>
      <x:c r="AF896" s="9"/>
      <x:c r="AG896" s="9"/>
      <x:c r="AH896" s="9" t="str">
        <x:v>Left</x:v>
      </x:c>
      <x:c r="AI896" s="11" t="n">
        <x:v>12</x:v>
      </x:c>
      <x:c r="AJ896" s="9" t="str">
        <x:v>Airplane is smallest</x:v>
      </x:c>
      <x:c r="AK896" s="9" t="str">
        <x:v>Eval_Size_Recognition (1).xlsm</x:v>
      </x:c>
      <x:c r="AL896" s="9" t="str">
        <x:v>pi0.5 Results</x:v>
      </x:c>
      <x:c r="AM896" s="9" t="n">
        <x:v>126</x:v>
      </x:c>
      <x:c r="AN896" s="9" t="n">
        <x:v>126</x:v>
      </x:c>
    </x:row>
    <x:row r="897">
      <x:c r="A897" s="9" t="str">
        <x:v>Success</x:v>
      </x:c>
      <x:c r="B897" s="9" t="str">
        <x:v>Size Recognition</x:v>
      </x:c>
      <x:c r="C897" s="10" t="n">
        <x:v>125</x:v>
      </x:c>
      <x:c r="D897" s="9" t="str">
        <x:v>Put the largest object in the bowl.</x:v>
      </x:c>
      <x:c r="E897" s="9" t="str">
        <x:v>Bowl: empty. Table, robot-left→robot-right: P1 airplane toy with propellers; P2 green block; P3 juggling ball. Adjacent centers 12 cm apart; row centered on the workspace; all objects fully visible and grasp paths clear.</x:v>
      </x:c>
      <x:c r="F897" s="9" t="str">
        <x:v>MOVE juggling ball to bowl</x:v>
      </x:c>
      <x:c r="G897" s="9"/>
      <x:c r="H897" s="9" t="str">
        <x:v>Cross-task airplane counterfactual</x:v>
      </x:c>
      <x:c r="I897" s="9" t="str">
        <x:v>SZ-XA08</x:v>
      </x:c>
      <x:c r="J897" s="9" t="str">
        <x:v>largest</x:v>
      </x:c>
      <x:c r="K897" s="9" t="n">
        <x:v>124</x:v>
      </x:c>
      <x:c r="L897" s="9" t="str">
        <x:v>1128; airplane exposure 564</x:v>
      </x:c>
      <x:c r="M897" s="9"/>
      <x:c r="N897" s="9"/>
      <x:c r="O897" s="9" t="str">
        <x:v>Reset the airplane; preserve the exact scene and reverse only the size comparison.</x:v>
      </x:c>
      <x:c r="P897" s="9" t="str">
        <x:v>Reasoning-only counterfactual grounded by trained cell largest × juggling ball; an always-pick-airplane shortcut must fail.</x:v>
      </x:c>
      <x:c r="Q897" s="9"/>
      <x:c r="R897" s="10" t="n">
        <x:v>3</x:v>
      </x:c>
      <x:c r="S897" s="10"/>
      <x:c r="T897" s="9"/>
      <x:c r="U897" s="9"/>
      <x:c r="V897" s="9"/>
      <x:c r="W897" s="9"/>
      <x:c r="X897" s="10"/>
      <x:c r="Y897" s="10"/>
      <x:c r="Z897" s="9"/>
      <x:c r="AA897" s="9"/>
      <x:c r="AB897" s="9"/>
      <x:c r="AC897" s="9"/>
      <x:c r="AD897" s="9" t="str">
        <x:v>juggling ball</x:v>
      </x:c>
      <x:c r="AE897" s="9"/>
      <x:c r="AF897" s="9"/>
      <x:c r="AG897" s="9"/>
      <x:c r="AH897" s="9" t="str">
        <x:v>Right</x:v>
      </x:c>
      <x:c r="AI897" s="11" t="n">
        <x:v>12</x:v>
      </x:c>
      <x:c r="AJ897" s="9" t="str">
        <x:v>Exact-scene opposite-comparison reasoning control</x:v>
      </x:c>
      <x:c r="AK897" s="9" t="str">
        <x:v>Eval_Size_Recognition (1).xlsm</x:v>
      </x:c>
      <x:c r="AL897" s="9" t="str">
        <x:v>pi0.5 Results</x:v>
      </x:c>
      <x:c r="AM897" s="9" t="n">
        <x:v>127</x:v>
      </x:c>
      <x:c r="AN897" s="9" t="n">
        <x:v>127</x:v>
      </x:c>
    </x:row>
    <x:row r="898">
      <x:c r="A898" s="9" t="str">
        <x:v>Success</x:v>
      </x:c>
      <x:c r="B898" s="9" t="str">
        <x:v>Size Recognition</x:v>
      </x:c>
      <x:c r="C898" s="10" t="n">
        <x:v>126</x:v>
      </x:c>
      <x:c r="D898" s="9" t="str">
        <x:v>Pick up the largest item and place it in the bowl.</x:v>
      </x:c>
      <x:c r="E898" s="9" t="str">
        <x:v>Bowl: empty. Table, robot-left→robot-right: P1 airplane toy with propellers; P2 red pencil sharpener. Adjacent centers 12 cm apart; row shifted 4 cm away from the robot; all objects fully visible and grasp paths clear.</x:v>
      </x:c>
      <x:c r="F898" s="9" t="str">
        <x:v>MOVE airplane toy with propellers to bowl</x:v>
      </x:c>
      <x:c r="G898" s="9"/>
      <x:c r="H898" s="9" t="str">
        <x:v>Cross-task airplane reasoning</x:v>
      </x:c>
      <x:c r="I898" s="9" t="str">
        <x:v>SZ-XA09</x:v>
      </x:c>
      <x:c r="J898" s="9" t="str">
        <x:v>largest</x:v>
      </x:c>
      <x:c r="K898" s="9"/>
      <x:c r="L898" s="9" t="str">
        <x:v>airplane exposure 566</x:v>
      </x:c>
      <x:c r="M898" s="9"/>
      <x:c r="N898" s="9"/>
      <x:c r="O898" s="9" t="str">
        <x:v>Build the listed airplane scene and save a first-frame filename.</x:v>
      </x:c>
      <x:c r="P898" s="9" t="str">
        <x:v>The airplane is larger than the red pencil sharpener. It is known globally but never received size language in training.</x:v>
      </x:c>
      <x:c r="Q898" s="9"/>
      <x:c r="R898" s="10" t="n">
        <x:v>2</x:v>
      </x:c>
      <x:c r="S898" s="10"/>
      <x:c r="T898" s="9"/>
      <x:c r="U898" s="9"/>
      <x:c r="V898" s="9"/>
      <x:c r="W898" s="9"/>
      <x:c r="X898" s="10"/>
      <x:c r="Y898" s="10"/>
      <x:c r="Z898" s="9"/>
      <x:c r="AA898" s="9"/>
      <x:c r="AB898" s="9"/>
      <x:c r="AC898" s="9"/>
      <x:c r="AD898" s="9" t="str">
        <x:v>airplane toy with propellers</x:v>
      </x:c>
      <x:c r="AE898" s="9"/>
      <x:c r="AF898" s="9"/>
      <x:c r="AG898" s="9"/>
      <x:c r="AH898" s="9" t="str">
        <x:v>Left</x:v>
      </x:c>
      <x:c r="AI898" s="11" t="n">
        <x:v>12</x:v>
      </x:c>
      <x:c r="AJ898" s="9" t="str">
        <x:v>Airplane is largest</x:v>
      </x:c>
      <x:c r="AK898" s="9" t="str">
        <x:v>Eval_Size_Recognition (1).xlsm</x:v>
      </x:c>
      <x:c r="AL898" s="9" t="str">
        <x:v>pi0.5 Results</x:v>
      </x:c>
      <x:c r="AM898" s="9" t="n">
        <x:v>128</x:v>
      </x:c>
      <x:c r="AN898" s="9" t="n">
        <x:v>128</x:v>
      </x:c>
    </x:row>
    <x:row r="899">
      <x:c r="A899" s="9" t="str">
        <x:v>Success</x:v>
      </x:c>
      <x:c r="B899" s="9" t="str">
        <x:v>Size Recognition</x:v>
      </x:c>
      <x:c r="C899" s="10" t="n">
        <x:v>127</x:v>
      </x:c>
      <x:c r="D899" s="9" t="str">
        <x:v>Move the object that is smallest into the bowl.</x:v>
      </x:c>
      <x:c r="E899" s="9" t="str">
        <x:v>Bowl: empty. Table, robot-left→robot-right: P1 airplane toy with propellers; P2 red pencil sharpener. Adjacent centers 12 cm apart; row shifted 4 cm away from the robot; all objects fully visible and grasp paths clear.</x:v>
      </x:c>
      <x:c r="F899" s="9" t="str">
        <x:v>MOVE red pencil sharpener to bowl</x:v>
      </x:c>
      <x:c r="G899" s="9"/>
      <x:c r="H899" s="9" t="str">
        <x:v>Cross-task airplane counterfactual</x:v>
      </x:c>
      <x:c r="I899" s="9" t="str">
        <x:v>SZ-XA09</x:v>
      </x:c>
      <x:c r="J899" s="9" t="str">
        <x:v>smallest</x:v>
      </x:c>
      <x:c r="K899" s="9" t="n">
        <x:v>126</x:v>
      </x:c>
      <x:c r="L899" s="9" t="str">
        <x:v>1009; airplane exposure 566</x:v>
      </x:c>
      <x:c r="M899" s="9"/>
      <x:c r="N899" s="9"/>
      <x:c r="O899" s="9" t="str">
        <x:v>Reset the airplane; preserve the exact scene and reverse only the size comparison.</x:v>
      </x:c>
      <x:c r="P899" s="9" t="str">
        <x:v>Reasoning-only counterfactual grounded by trained cell smallest × red pencil sharpener; an always-pick-airplane shortcut must fail.</x:v>
      </x:c>
      <x:c r="Q899" s="9"/>
      <x:c r="R899" s="10" t="n">
        <x:v>2</x:v>
      </x:c>
      <x:c r="S899" s="10"/>
      <x:c r="T899" s="9"/>
      <x:c r="U899" s="9"/>
      <x:c r="V899" s="9"/>
      <x:c r="W899" s="9"/>
      <x:c r="X899" s="10"/>
      <x:c r="Y899" s="10"/>
      <x:c r="Z899" s="9"/>
      <x:c r="AA899" s="9"/>
      <x:c r="AB899" s="9"/>
      <x:c r="AC899" s="9"/>
      <x:c r="AD899" s="9" t="str">
        <x:v>red pencil sharpener</x:v>
      </x:c>
      <x:c r="AE899" s="9"/>
      <x:c r="AF899" s="9"/>
      <x:c r="AG899" s="9"/>
      <x:c r="AH899" s="9" t="str">
        <x:v>Right</x:v>
      </x:c>
      <x:c r="AI899" s="11" t="n">
        <x:v>12</x:v>
      </x:c>
      <x:c r="AJ899" s="9" t="str">
        <x:v>Exact-scene opposite-comparison reasoning control</x:v>
      </x:c>
      <x:c r="AK899" s="9" t="str">
        <x:v>Eval_Size_Recognition (1).xlsm</x:v>
      </x:c>
      <x:c r="AL899" s="9" t="str">
        <x:v>pi0.5 Results</x:v>
      </x:c>
      <x:c r="AM899" s="9" t="n">
        <x:v>129</x:v>
      </x:c>
      <x:c r="AN899" s="9" t="n">
        <x:v>129</x:v>
      </x:c>
    </x:row>
    <x:row r="900">
      <x:c r="A900" s="9" t="str">
        <x:v>Success</x:v>
      </x:c>
      <x:c r="B900" s="9" t="str">
        <x:v>Size Recognition</x:v>
      </x:c>
      <x:c r="C900" s="10" t="n">
        <x:v>128</x:v>
      </x:c>
      <x:c r="D900" s="9" t="str">
        <x:v>Put the smallest object in the bowl.</x:v>
      </x:c>
      <x:c r="E900" s="9" t="str">
        <x:v>Bowl: empty. Table, robot-left→robot-right: P1 crushed Pepsi can; P2 juggling ball; P3 airplane toy with propellers. Adjacent centers 16 cm apart; row shifted 4 cm toward robot-left; all objects fully visible and grasp paths clear.</x:v>
      </x:c>
      <x:c r="F900" s="9" t="str">
        <x:v>MOVE airplane toy with propellers to bowl</x:v>
      </x:c>
      <x:c r="G900" s="9"/>
      <x:c r="H900" s="9" t="str">
        <x:v>Cross-task airplane reasoning</x:v>
      </x:c>
      <x:c r="I900" s="9" t="str">
        <x:v>SZ-XA10</x:v>
      </x:c>
      <x:c r="J900" s="9" t="str">
        <x:v>smallest</x:v>
      </x:c>
      <x:c r="K900" s="9"/>
      <x:c r="L900" s="9" t="str">
        <x:v>airplane exposure 568</x:v>
      </x:c>
      <x:c r="M900" s="9"/>
      <x:c r="N900" s="9"/>
      <x:c r="O900" s="9" t="str">
        <x:v>Build the listed airplane scene and save a first-frame filename.</x:v>
      </x:c>
      <x:c r="P900" s="9" t="str">
        <x:v>The airplane is smaller than every listed table comparator. Green-block scenes also include a trained larger endpoint so the counterfactual does not test largest×green.</x:v>
      </x:c>
      <x:c r="Q900" s="9"/>
      <x:c r="R900" s="10" t="n">
        <x:v>3</x:v>
      </x:c>
      <x:c r="S900" s="10"/>
      <x:c r="T900" s="9"/>
      <x:c r="U900" s="9"/>
      <x:c r="V900" s="9"/>
      <x:c r="W900" s="9"/>
      <x:c r="X900" s="10"/>
      <x:c r="Y900" s="10"/>
      <x:c r="Z900" s="9"/>
      <x:c r="AA900" s="9"/>
      <x:c r="AB900" s="9"/>
      <x:c r="AC900" s="9"/>
      <x:c r="AD900" s="9" t="str">
        <x:v>airplane toy with propellers</x:v>
      </x:c>
      <x:c r="AE900" s="9"/>
      <x:c r="AF900" s="9"/>
      <x:c r="AG900" s="9"/>
      <x:c r="AH900" s="9" t="str">
        <x:v>Right</x:v>
      </x:c>
      <x:c r="AI900" s="11" t="n">
        <x:v>16</x:v>
      </x:c>
      <x:c r="AJ900" s="9" t="str">
        <x:v>Airplane is smallest</x:v>
      </x:c>
      <x:c r="AK900" s="9" t="str">
        <x:v>Eval_Size_Recognition (1).xlsm</x:v>
      </x:c>
      <x:c r="AL900" s="9" t="str">
        <x:v>pi0.5 Results</x:v>
      </x:c>
      <x:c r="AM900" s="9" t="n">
        <x:v>130</x:v>
      </x:c>
      <x:c r="AN900" s="9" t="n">
        <x:v>130</x:v>
      </x:c>
    </x:row>
    <x:row r="901">
      <x:c r="A901" s="9" t="str">
        <x:v>Success</x:v>
      </x:c>
      <x:c r="B901" s="9" t="str">
        <x:v>Size Recognition</x:v>
      </x:c>
      <x:c r="C901" s="10" t="n">
        <x:v>129</x:v>
      </x:c>
      <x:c r="D901" s="9" t="str">
        <x:v>Move the object that is largest into the bowl.</x:v>
      </x:c>
      <x:c r="E901" s="9" t="str">
        <x:v>Bowl: empty. Table, robot-left→robot-right: P1 crushed Pepsi can; P2 juggling ball; P3 airplane toy with propellers. Adjacent centers 16 cm apart; row shifted 4 cm toward robot-left; all objects fully visible and grasp paths clear.</x:v>
      </x:c>
      <x:c r="F901" s="9" t="str">
        <x:v>MOVE crushed Pepsi can to bowl</x:v>
      </x:c>
      <x:c r="G901" s="9"/>
      <x:c r="H901" s="9" t="str">
        <x:v>Cross-task airplane counterfactual</x:v>
      </x:c>
      <x:c r="I901" s="9" t="str">
        <x:v>SZ-XA10</x:v>
      </x:c>
      <x:c r="J901" s="9" t="str">
        <x:v>largest</x:v>
      </x:c>
      <x:c r="K901" s="9" t="n">
        <x:v>128</x:v>
      </x:c>
      <x:c r="L901" s="9" t="str">
        <x:v>1159; airplane exposure 568</x:v>
      </x:c>
      <x:c r="M901" s="9"/>
      <x:c r="N901" s="9"/>
      <x:c r="O901" s="9" t="str">
        <x:v>Reset the airplane; preserve the exact scene and reverse only the size comparison.</x:v>
      </x:c>
      <x:c r="P901" s="9" t="str">
        <x:v>Reasoning-only counterfactual grounded by trained cell largest × crushed Pepsi can; an always-pick-airplane shortcut must fail.</x:v>
      </x:c>
      <x:c r="Q901" s="9"/>
      <x:c r="R901" s="10" t="n">
        <x:v>3</x:v>
      </x:c>
      <x:c r="S901" s="10"/>
      <x:c r="T901" s="9"/>
      <x:c r="U901" s="9"/>
      <x:c r="V901" s="9"/>
      <x:c r="W901" s="9"/>
      <x:c r="X901" s="10"/>
      <x:c r="Y901" s="10"/>
      <x:c r="Z901" s="9"/>
      <x:c r="AA901" s="9"/>
      <x:c r="AB901" s="9"/>
      <x:c r="AC901" s="9"/>
      <x:c r="AD901" s="9" t="str">
        <x:v>crushed Pepsi can</x:v>
      </x:c>
      <x:c r="AE901" s="9"/>
      <x:c r="AF901" s="9"/>
      <x:c r="AG901" s="9"/>
      <x:c r="AH901" s="9" t="str">
        <x:v>Left</x:v>
      </x:c>
      <x:c r="AI901" s="11" t="n">
        <x:v>16</x:v>
      </x:c>
      <x:c r="AJ901" s="9" t="str">
        <x:v>Exact-scene opposite-comparison reasoning control</x:v>
      </x:c>
      <x:c r="AK901" s="9" t="str">
        <x:v>Eval_Size_Recognition (1).xlsm</x:v>
      </x:c>
      <x:c r="AL901" s="9" t="str">
        <x:v>pi0.5 Results</x:v>
      </x:c>
      <x:c r="AM901" s="9" t="n">
        <x:v>131</x:v>
      </x:c>
      <x:c r="AN901" s="9" t="n">
        <x:v>131</x:v>
      </x:c>
    </x:row>
  </x:sheetData>
  <x:conditionalFormatting sqref="A2:A901">
    <x:cfRule type="containsText" dxfId="8" priority="1" operator="containsText" text="Success"/>
    <x:cfRule type="containsText" dxfId="9" priority="2" operator="containsText" text="Failure"/>
  </x:conditionalFormatting>
  <x:dataValidations count="1">
    <x:dataValidation type="list" sqref="A2:A901">
      <x:formula1>"Success,Failure"</x:formula1>
    </x:dataValidation>
  </x:dataValidations>
  <x:pageMargins left="0.7" right="0.7" top="0.75" bottom="0.75" header="0.3" footer="0.3"/>
  <x:tableParts count="1">
    <x:tablePart xmlns:r="http://schemas.openxmlformats.org/officeDocument/2006/relationships" r:id="Re9645cde2ec34cc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2" hidden="0" customWidth="1"/>
    <x:col min="2" max="2" width="27" hidden="0" customWidth="1"/>
    <x:col min="3" max="3" width="9" hidden="0" customWidth="1"/>
    <x:col min="4" max="4" width="44" hidden="0" customWidth="1"/>
    <x:col min="5" max="5" width="54" hidden="0" customWidth="1"/>
    <x:col min="6" max="6" width="34" hidden="0" customWidth="1"/>
    <x:col min="7" max="7" width="34" hidden="0" customWidth="1"/>
    <x:col min="8" max="8" width="38" hidden="0" customWidth="1"/>
    <x:col min="9" max="9" width="20" hidden="0" customWidth="1"/>
    <x:col min="10" max="10" width="34" hidden="0" customWidth="1"/>
    <x:col min="11" max="11" width="16" hidden="0" customWidth="1"/>
    <x:col min="12" max="12" width="20" hidden="0" customWidth="1"/>
    <x:col min="13" max="13" width="42" hidden="0" customWidth="1"/>
    <x:col min="14" max="14" width="16" hidden="0" customWidth="1"/>
    <x:col min="15" max="15" width="38" hidden="0" customWidth="1"/>
    <x:col min="16" max="16" width="44" hidden="0" customWidth="1"/>
    <x:col min="17" max="17" width="24" hidden="0" customWidth="1"/>
    <x:col min="18" max="18" width="13" hidden="0" customWidth="1"/>
    <x:col min="19" max="19" width="15" hidden="0" customWidth="1"/>
    <x:col min="20" max="20" width="14" hidden="0" customWidth="1"/>
    <x:col min="21" max="21" width="14" hidden="0" customWidth="1"/>
    <x:col min="22" max="22" width="18" hidden="0" customWidth="1"/>
    <x:col min="23" max="23" width="20" hidden="0" customWidth="1"/>
    <x:col min="24" max="24" width="15" hidden="0" customWidth="1"/>
    <x:col min="25" max="25" width="12" hidden="0" customWidth="1"/>
    <x:col min="26" max="26" width="18" hidden="0" customWidth="1"/>
    <x:col min="27" max="27" width="14" hidden="0" customWidth="1"/>
    <x:col min="28" max="28" width="18" hidden="0" customWidth="1"/>
    <x:col min="29" max="29" width="16" hidden="0" customWidth="1"/>
    <x:col min="30" max="30" width="20" hidden="0" customWidth="1"/>
    <x:col min="31" max="31" width="20" hidden="0" customWidth="1"/>
    <x:col min="32" max="32" width="18" hidden="0" customWidth="1"/>
    <x:col min="33" max="33" width="20" hidden="0" customWidth="1"/>
    <x:col min="34" max="34" width="14" hidden="0" customWidth="1"/>
    <x:col min="35" max="35" width="15" hidden="0" customWidth="1"/>
    <x:col min="36" max="36" width="28" hidden="0" customWidth="1"/>
    <x:col min="37" max="37" width="32" hidden="0" customWidth="1"/>
    <x:col min="38" max="38" width="28" hidden="0" customWidth="1"/>
    <x:col min="39" max="39" width="16" hidden="0" customWidth="1"/>
    <x:col min="40" max="40" width="15" hidden="0" customWidth="1"/>
  </x:cols>
  <x:sheetData>
    <x:row r="1" ht="36" customHeight="1">
      <x:c r="A1" s="6" t="str">
        <x:v>Status</x:v>
      </x:c>
      <x:c r="B1" s="6" t="str">
        <x:v>Task</x:v>
      </x:c>
      <x:c r="C1" s="6" t="str">
        <x:v>Episode</x:v>
      </x:c>
      <x:c r="D1" s="6" t="str">
        <x:v>Prompt</x:v>
      </x:c>
      <x:c r="E1" s="6" t="str">
        <x:v>Scene Setup</x:v>
      </x:c>
      <x:c r="F1" s="6" t="str">
        <x:v>Expected Target / Action</x:v>
      </x:c>
      <x:c r="G1" s="6" t="str">
        <x:v>Observations</x:v>
      </x:c>
      <x:c r="H1" s="6" t="str">
        <x:v>Condition</x:v>
      </x:c>
      <x:c r="I1" s="6" t="str">
        <x:v>Scene Family</x:v>
      </x:c>
      <x:c r="J1" s="6" t="str">
        <x:v>Comparison / Subtype</x:v>
      </x:c>
      <x:c r="K1" s="6" t="str">
        <x:v>Reference Episode</x:v>
      </x:c>
      <x:c r="L1" s="6" t="str">
        <x:v>Original Training Episode(s)</x:v>
      </x:c>
      <x:c r="M1" s="6" t="str">
        <x:v>Manifest Alignment</x:v>
      </x:c>
      <x:c r="N1" s="6" t="str">
        <x:v>Collection Block</x:v>
      </x:c>
      <x:c r="O1" s="6" t="str">
        <x:v>Setup Change from Previous</x:v>
      </x:c>
      <x:c r="P1" s="6" t="str">
        <x:v>Design Note</x:v>
      </x:c>
      <x:c r="Q1" s="6" t="str">
        <x:v>Reference Media Filename</x:v>
      </x:c>
      <x:c r="R1" s="6" t="str">
        <x:v>Object Count</x:v>
      </x:c>
      <x:c r="S1" s="6" t="str">
        <x:v>Valid Candidate Count</x:v>
      </x:c>
      <x:c r="T1" s="6" t="str">
        <x:v>Bowl Start</x:v>
      </x:c>
      <x:c r="U1" s="6" t="str">
        <x:v>Queried State</x:v>
      </x:c>
      <x:c r="V1" s="6" t="str">
        <x:v>Queried Category</x:v>
      </x:c>
      <x:c r="W1" s="6" t="str">
        <x:v>Contrast Pair</x:v>
      </x:c>
      <x:c r="X1" s="6" t="str">
        <x:v>Initial Bowl Count</x:v>
      </x:c>
      <x:c r="Y1" s="6" t="str">
        <x:v>Goal Count</x:v>
      </x:c>
      <x:c r="Z1" s="6" t="str">
        <x:v>Action Direction</x:v>
      </x:c>
      <x:c r="AA1" s="6" t="str">
        <x:v>Target Position</x:v>
      </x:c>
      <x:c r="AB1" s="6" t="str">
        <x:v>Query Concept</x:v>
      </x:c>
      <x:c r="AC1" s="6" t="str">
        <x:v>Relation</x:v>
      </x:c>
      <x:c r="AD1" s="6" t="str">
        <x:v>Target Object</x:v>
      </x:c>
      <x:c r="AE1" s="6" t="str">
        <x:v>Reference Object</x:v>
      </x:c>
      <x:c r="AF1" s="6" t="str">
        <x:v>Juggling Ball Role</x:v>
      </x:c>
      <x:c r="AG1" s="6" t="str">
        <x:v>Candidate Category</x:v>
      </x:c>
      <x:c r="AH1" s="6" t="str">
        <x:v>Target Side</x:v>
      </x:c>
      <x:c r="AI1" s="6" t="str">
        <x:v>Separation (cm)</x:v>
      </x:c>
      <x:c r="AJ1" s="6" t="str">
        <x:v>Tested Cell / Role</x:v>
      </x:c>
      <x:c r="AK1" s="6" t="str">
        <x:v>Source Workbook</x:v>
      </x:c>
      <x:c r="AL1" s="6" t="str">
        <x:v>Source Result Sheet</x:v>
      </x:c>
      <x:c r="AM1" s="6" t="str">
        <x:v>Source Result Row</x:v>
      </x:c>
      <x:c r="AN1" s="6" t="str">
        <x:v>Source Plan Row</x:v>
      </x:c>
    </x:row>
    <x:row r="2">
      <x:c r="A2" s="9" t="str">
        <x:v>Failure</x:v>
      </x:c>
      <x:c r="B2" s="9" t="str">
        <x:v>State Recognition</x:v>
      </x:c>
      <x:c r="C2" s="10" t="n">
        <x:v>0</x:v>
      </x:c>
      <x:c r="D2" s="9" t="str">
        <x:v>Put the open white cup in the bowl.</x:v>
      </x:c>
      <x:c r="E2" s="9" t="str">
        <x:v>white cup A (O, RU); white cup B (C, RU); glass spice container A (O, RU); yellow-white striped cup B (O, RU)</x:v>
      </x:c>
      <x:c r="F2" s="9" t="str">
        <x:v>white cup A</x:v>
      </x:c>
      <x:c r="G2" s="9" t="str">
        <x:v>picked glass jar</x:v>
      </x:c>
      <x:c r="H2" s="9" t="str">
        <x:v>In-distribution concept baseline</x:v>
      </x:c>
      <x:c r="I2" s="9" t="str">
        <x:v>SR-ID01</x:v>
      </x:c>
      <x:c r="J2" s="9" t="str">
        <x:v>Exact training-supported state-object baseline</x:v>
      </x:c>
      <x:c r="K2" s="9"/>
      <x:c r="L2" s="9" t="str">
        <x:v>2</x:v>
      </x:c>
      <x:c r="M2" s="9" t="str">
        <x:v>Exact manifest episode: trained state-object cell, prompt, same-category candidate structure, and object membership match; physical layout is manually recreated. All objects are upright, matching the context of every explicit open/closed training demonstration.</x:v>
      </x:c>
      <x:c r="N2" s="9" t="n">
        <x:v>1</x:v>
      </x:c>
      <x:c r="O2" s="9" t="str">
        <x:v>Recreate the listed manifest scene with the bowl empty.</x:v>
      </x:c>
      <x:c r="P2" s="9" t="str">
        <x:v>The queried state-object combination and same-category discrimination structure are explicitly represented in training. The orthogonal orientation axis is fixed: every object is RU.</x:v>
      </x:c>
      <x:c r="Q2" s="9"/>
      <x:c r="R2" s="10" t="n">
        <x:v>4</x:v>
      </x:c>
      <x:c r="S2" s="10" t="n">
        <x:v>1</x:v>
      </x:c>
      <x:c r="T2" s="9" t="str">
        <x:v>Empty</x:v>
      </x:c>
      <x:c r="U2" s="9" t="str">
        <x:v>O</x:v>
      </x:c>
      <x:c r="V2" s="9" t="str">
        <x:v>white cup</x:v>
      </x:c>
      <x:c r="W2" s="9"/>
      <x:c r="X2" s="10"/>
      <x:c r="Y2" s="10"/>
      <x:c r="Z2" s="9"/>
      <x:c r="AA2" s="9"/>
      <x:c r="AB2" s="9"/>
      <x:c r="AC2" s="9"/>
      <x:c r="AD2" s="9"/>
      <x:c r="AE2" s="9"/>
      <x:c r="AF2" s="9"/>
      <x:c r="AG2" s="9"/>
      <x:c r="AH2" s="9"/>
      <x:c r="AI2" s="11"/>
      <x:c r="AJ2" s="9"/>
      <x:c r="AK2" s="9" t="str">
        <x:v>Eval_State_Recognition.xlsm</x:v>
      </x:c>
      <x:c r="AL2" s="9" t="str">
        <x:v>GR00T action only 1 epoch Resul</x:v>
      </x:c>
      <x:c r="AM2" s="9" t="n">
        <x:v>2</x:v>
      </x:c>
      <x:c r="AN2" s="9" t="n">
        <x:v>2</x:v>
      </x:c>
    </x:row>
    <x:row r="3">
      <x:c r="A3" s="9" t="str">
        <x:v>Failure</x:v>
      </x:c>
      <x:c r="B3" s="9" t="str">
        <x:v>State Recognition</x:v>
      </x:c>
      <x:c r="C3" s="10" t="n">
        <x:v>1</x:v>
      </x:c>
      <x:c r="D3" s="9" t="str">
        <x:v>Put the upright white cup in the bowl.</x:v>
      </x:c>
      <x:c r="E3" s="9" t="str">
        <x:v>white cup A (O, RU); white cup B (O, UD)</x:v>
      </x:c>
      <x:c r="F3" s="9" t="str">
        <x:v>white cup A</x:v>
      </x:c>
      <x:c r="G3" s="9" t="str">
        <x:v>picked upside down cup</x:v>
      </x:c>
      <x:c r="H3" s="9" t="str">
        <x:v>In-distribution concept baseline</x:v>
      </x:c>
      <x:c r="I3" s="9" t="str">
        <x:v>SR-ID02</x:v>
      </x:c>
      <x:c r="J3" s="9" t="str">
        <x:v>Exact training-supported state-object baseline</x:v>
      </x:c>
      <x:c r="K3" s="9"/>
      <x:c r="L3" s="9" t="str">
        <x:v>26</x:v>
      </x:c>
      <x:c r="M3" s="9" t="str">
        <x:v>Exact manifest episode: trained state-object cell, prompt, same-category candidate structure, and object membership match; physical layout is manually recreated.</x:v>
      </x:c>
      <x:c r="N3" s="9" t="n">
        <x:v>1</x:v>
      </x:c>
      <x:c r="O3" s="9" t="str">
        <x:v>Recreate the listed manifest scene with the bowl empty.</x:v>
      </x:c>
      <x:c r="P3" s="9" t="str">
        <x:v>The queried state-object combination and same-category discrimination structure are explicitly represented in training. The same-category candidates share the orthogonal C/O state (O).</x:v>
      </x:c>
      <x:c r="Q3" s="9"/>
      <x:c r="R3" s="10" t="n">
        <x:v>2</x:v>
      </x:c>
      <x:c r="S3" s="10" t="n">
        <x:v>1</x:v>
      </x:c>
      <x:c r="T3" s="9" t="str">
        <x:v>Empty</x:v>
      </x:c>
      <x:c r="U3" s="9" t="str">
        <x:v>RU</x:v>
      </x:c>
      <x:c r="V3" s="9" t="str">
        <x:v>white cup</x:v>
      </x:c>
      <x:c r="W3" s="9"/>
      <x:c r="X3" s="10"/>
      <x:c r="Y3" s="10"/>
      <x:c r="Z3" s="9"/>
      <x:c r="AA3" s="9"/>
      <x:c r="AB3" s="9"/>
      <x:c r="AC3" s="9"/>
      <x:c r="AD3" s="9"/>
      <x:c r="AE3" s="9"/>
      <x:c r="AF3" s="9"/>
      <x:c r="AG3" s="9"/>
      <x:c r="AH3" s="9"/>
      <x:c r="AI3" s="11"/>
      <x:c r="AJ3" s="9"/>
      <x:c r="AK3" s="9" t="str">
        <x:v>Eval_State_Recognition.xlsm</x:v>
      </x:c>
      <x:c r="AL3" s="9" t="str">
        <x:v>GR00T action only 1 epoch Resul</x:v>
      </x:c>
      <x:c r="AM3" s="9" t="n">
        <x:v>3</x:v>
      </x:c>
      <x:c r="AN3" s="9" t="n">
        <x:v>3</x:v>
      </x:c>
    </x:row>
    <x:row r="4">
      <x:c r="A4" s="9" t="str">
        <x:v>Failure</x:v>
      </x:c>
      <x:c r="B4" s="9" t="str">
        <x:v>State Recognition</x:v>
      </x:c>
      <x:c r="C4" s="10" t="n">
        <x:v>2</x:v>
      </x:c>
      <x:c r="D4" s="9" t="str">
        <x:v>Move the closed yellow-white striped cup into the bowl.</x:v>
      </x:c>
      <x:c r="E4" s="9" t="str">
        <x:v>yellow-white striped cup B (C, RU); yellow-white striped cup A (O, RU); white cup A (C, RU)</x:v>
      </x:c>
      <x:c r="F4" s="9" t="str">
        <x:v>yellow-white striped cup B</x:v>
      </x:c>
      <x:c r="G4" s="9" t="str">
        <x:v>picked the closed white cup</x:v>
      </x:c>
      <x:c r="H4" s="9" t="str">
        <x:v>In-distribution concept baseline</x:v>
      </x:c>
      <x:c r="I4" s="9" t="str">
        <x:v>SR-ID03</x:v>
      </x:c>
      <x:c r="J4" s="9" t="str">
        <x:v>Exact training-supported state-object baseline</x:v>
      </x:c>
      <x:c r="K4" s="9"/>
      <x:c r="L4" s="9" t="str">
        <x:v>51</x:v>
      </x:c>
      <x:c r="M4" s="9" t="str">
        <x:v>Exact manifest episode: trained state-object cell, prompt, same-category candidate structure, and object membership match; physical layout is manually recreated. All objects are upright, matching the context of every explicit open/closed training demonstration.</x:v>
      </x:c>
      <x:c r="N4" s="9" t="n">
        <x:v>1</x:v>
      </x:c>
      <x:c r="O4" s="9" t="str">
        <x:v>Recreate the listed manifest scene with the bowl empty.</x:v>
      </x:c>
      <x:c r="P4" s="9" t="str">
        <x:v>The queried state-object combination and same-category discrimination structure are explicitly represented in training. The orthogonal orientation axis is fixed: every object is RU.</x:v>
      </x:c>
      <x:c r="Q4" s="9"/>
      <x:c r="R4" s="10" t="n">
        <x:v>3</x:v>
      </x:c>
      <x:c r="S4" s="10" t="n">
        <x:v>1</x:v>
      </x:c>
      <x:c r="T4" s="9" t="str">
        <x:v>Empty</x:v>
      </x:c>
      <x:c r="U4" s="9" t="str">
        <x:v>C</x:v>
      </x:c>
      <x:c r="V4" s="9" t="str">
        <x:v>yellow-white striped cup</x:v>
      </x:c>
      <x:c r="W4" s="9"/>
      <x:c r="X4" s="10"/>
      <x:c r="Y4" s="10"/>
      <x:c r="Z4" s="9"/>
      <x:c r="AA4" s="9"/>
      <x:c r="AB4" s="9"/>
      <x:c r="AC4" s="9"/>
      <x:c r="AD4" s="9"/>
      <x:c r="AE4" s="9"/>
      <x:c r="AF4" s="9"/>
      <x:c r="AG4" s="9"/>
      <x:c r="AH4" s="9"/>
      <x:c r="AI4" s="11"/>
      <x:c r="AJ4" s="9"/>
      <x:c r="AK4" s="9" t="str">
        <x:v>Eval_State_Recognition.xlsm</x:v>
      </x:c>
      <x:c r="AL4" s="9" t="str">
        <x:v>GR00T action only 1 epoch Resul</x:v>
      </x:c>
      <x:c r="AM4" s="9" t="n">
        <x:v>4</x:v>
      </x:c>
      <x:c r="AN4" s="9" t="n">
        <x:v>4</x:v>
      </x:c>
    </x:row>
    <x:row r="5">
      <x:c r="A5" s="9" t="str">
        <x:v>Failure</x:v>
      </x:c>
      <x:c r="B5" s="9" t="str">
        <x:v>State Recognition</x:v>
      </x:c>
      <x:c r="C5" s="10" t="n">
        <x:v>3</x:v>
      </x:c>
      <x:c r="D5" s="9" t="str">
        <x:v>Move the upside-down yellow-white striped cup into the bowl.</x:v>
      </x:c>
      <x:c r="E5" s="9" t="str">
        <x:v>yellow-white striped cup B (O, UD); yellow-white striped cup A (O, RU); brown cup B (C, RU); glass spice container A (O, RU)</x:v>
      </x:c>
      <x:c r="F5" s="9" t="str">
        <x:v>yellow-white striped cup B</x:v>
      </x:c>
      <x:c r="G5" s="9" t="str">
        <x:v>picked the closed brown cup</x:v>
      </x:c>
      <x:c r="H5" s="9" t="str">
        <x:v>In-distribution concept baseline</x:v>
      </x:c>
      <x:c r="I5" s="9" t="str">
        <x:v>SR-ID04</x:v>
      </x:c>
      <x:c r="J5" s="9" t="str">
        <x:v>Exact training-supported state-object baseline</x:v>
      </x:c>
      <x:c r="K5" s="9"/>
      <x:c r="L5" s="9" t="str">
        <x:v>78</x:v>
      </x:c>
      <x:c r="M5" s="9" t="str">
        <x:v>Exact manifest episode: trained state-object cell, prompt, same-category candidate structure, and object membership match; physical layout is manually recreated.</x:v>
      </x:c>
      <x:c r="N5" s="9" t="n">
        <x:v>1</x:v>
      </x:c>
      <x:c r="O5" s="9" t="str">
        <x:v>Recreate the listed manifest scene with the bowl empty.</x:v>
      </x:c>
      <x:c r="P5" s="9" t="str">
        <x:v>The queried state-object combination and same-category discrimination structure are explicitly represented in training. The same-category candidates share the orthogonal C/O state (O).</x:v>
      </x:c>
      <x:c r="Q5" s="9"/>
      <x:c r="R5" s="10" t="n">
        <x:v>4</x:v>
      </x:c>
      <x:c r="S5" s="10" t="n">
        <x:v>1</x:v>
      </x:c>
      <x:c r="T5" s="9" t="str">
        <x:v>Empty</x:v>
      </x:c>
      <x:c r="U5" s="9" t="str">
        <x:v>UD</x:v>
      </x:c>
      <x:c r="V5" s="9" t="str">
        <x:v>yellow-white striped cup</x:v>
      </x:c>
      <x:c r="W5" s="9"/>
      <x:c r="X5" s="10"/>
      <x:c r="Y5" s="10"/>
      <x:c r="Z5" s="9"/>
      <x:c r="AA5" s="9"/>
      <x:c r="AB5" s="9"/>
      <x:c r="AC5" s="9"/>
      <x:c r="AD5" s="9"/>
      <x:c r="AE5" s="9"/>
      <x:c r="AF5" s="9"/>
      <x:c r="AG5" s="9"/>
      <x:c r="AH5" s="9"/>
      <x:c r="AI5" s="11"/>
      <x:c r="AJ5" s="9"/>
      <x:c r="AK5" s="9" t="str">
        <x:v>Eval_State_Recognition.xlsm</x:v>
      </x:c>
      <x:c r="AL5" s="9" t="str">
        <x:v>GR00T action only 1 epoch Resul</x:v>
      </x:c>
      <x:c r="AM5" s="9" t="n">
        <x:v>5</x:v>
      </x:c>
      <x:c r="AN5" s="9" t="n">
        <x:v>5</x:v>
      </x:c>
    </x:row>
    <x:row r="6">
      <x:c r="A6" s="9" t="str">
        <x:v>Success</x:v>
      </x:c>
      <x:c r="B6" s="9" t="str">
        <x:v>State Recognition</x:v>
      </x:c>
      <x:c r="C6" s="10" t="n">
        <x:v>4</x:v>
      </x:c>
      <x:c r="D6" s="9" t="str">
        <x:v>Put the open brown cup in the bowl.</x:v>
      </x:c>
      <x:c r="E6" s="9" t="str">
        <x:v>brown cup B (O, RU); brown cup A (C, RU); glass spice container A (O, RU)</x:v>
      </x:c>
      <x:c r="F6" s="9" t="str">
        <x:v>brown cup B</x:v>
      </x:c>
      <x:c r="G6" s="9"/>
      <x:c r="H6" s="9" t="str">
        <x:v>In-distribution concept baseline</x:v>
      </x:c>
      <x:c r="I6" s="9" t="str">
        <x:v>SR-ID05</x:v>
      </x:c>
      <x:c r="J6" s="9" t="str">
        <x:v>Exact training-supported state-object baseline</x:v>
      </x:c>
      <x:c r="K6" s="9"/>
      <x:c r="L6" s="9" t="str">
        <x:v>104</x:v>
      </x:c>
      <x:c r="M6" s="9" t="str">
        <x:v>Exact manifest episode: trained state-object cell, prompt, same-category candidate structure, and object membership match; physical layout is manually recreated. All objects are upright, matching the context of every explicit open/closed training demonstration.</x:v>
      </x:c>
      <x:c r="N6" s="9" t="n">
        <x:v>1</x:v>
      </x:c>
      <x:c r="O6" s="9" t="str">
        <x:v>Recreate the listed manifest scene with the bowl empty.</x:v>
      </x:c>
      <x:c r="P6" s="9" t="str">
        <x:v>The queried state-object combination and same-category discrimination structure are explicitly represented in training. The orthogonal orientation axis is fixed: every object is RU.</x:v>
      </x:c>
      <x:c r="Q6" s="9"/>
      <x:c r="R6" s="10" t="n">
        <x:v>3</x:v>
      </x:c>
      <x:c r="S6" s="10" t="n">
        <x:v>1</x:v>
      </x:c>
      <x:c r="T6" s="9" t="str">
        <x:v>Empty</x:v>
      </x:c>
      <x:c r="U6" s="9" t="str">
        <x:v>O</x:v>
      </x:c>
      <x:c r="V6" s="9" t="str">
        <x:v>brown cup</x:v>
      </x:c>
      <x:c r="W6" s="9"/>
      <x:c r="X6" s="10"/>
      <x:c r="Y6" s="10"/>
      <x:c r="Z6" s="9"/>
      <x:c r="AA6" s="9"/>
      <x:c r="AB6" s="9"/>
      <x:c r="AC6" s="9"/>
      <x:c r="AD6" s="9"/>
      <x:c r="AE6" s="9"/>
      <x:c r="AF6" s="9"/>
      <x:c r="AG6" s="9"/>
      <x:c r="AH6" s="9"/>
      <x:c r="AI6" s="11"/>
      <x:c r="AJ6" s="9"/>
      <x:c r="AK6" s="9" t="str">
        <x:v>Eval_State_Recognition.xlsm</x:v>
      </x:c>
      <x:c r="AL6" s="9" t="str">
        <x:v>GR00T action only 1 epoch Resul</x:v>
      </x:c>
      <x:c r="AM6" s="9" t="n">
        <x:v>6</x:v>
      </x:c>
      <x:c r="AN6" s="9" t="n">
        <x:v>6</x:v>
      </x:c>
    </x:row>
    <x:row r="7">
      <x:c r="A7" s="9" t="str">
        <x:v>Failure</x:v>
      </x:c>
      <x:c r="B7" s="9" t="str">
        <x:v>State Recognition</x:v>
      </x:c>
      <x:c r="C7" s="10" t="n">
        <x:v>5</x:v>
      </x:c>
      <x:c r="D7" s="9" t="str">
        <x:v>Put the upside-down brown cup in the bowl.</x:v>
      </x:c>
      <x:c r="E7" s="9" t="str">
        <x:v>brown cup A (O, UD); brown cup B (O, RU)</x:v>
      </x:c>
      <x:c r="F7" s="9" t="str">
        <x:v>brown cup A</x:v>
      </x:c>
      <x:c r="G7" s="9" t="str">
        <x:v>picked the upright brown cup</x:v>
      </x:c>
      <x:c r="H7" s="9" t="str">
        <x:v>In-distribution concept baseline</x:v>
      </x:c>
      <x:c r="I7" s="9" t="str">
        <x:v>SR-ID06</x:v>
      </x:c>
      <x:c r="J7" s="9" t="str">
        <x:v>Exact training-supported state-object baseline</x:v>
      </x:c>
      <x:c r="K7" s="9"/>
      <x:c r="L7" s="9" t="str">
        <x:v>125</x:v>
      </x:c>
      <x:c r="M7" s="9" t="str">
        <x:v>Exact manifest episode: trained state-object cell, prompt, same-category candidate structure, and object membership match; physical layout is manually recreated.</x:v>
      </x:c>
      <x:c r="N7" s="9" t="n">
        <x:v>1</x:v>
      </x:c>
      <x:c r="O7" s="9" t="str">
        <x:v>Recreate the listed manifest scene with the bowl empty.</x:v>
      </x:c>
      <x:c r="P7" s="9" t="str">
        <x:v>The queried state-object combination and same-category discrimination structure are explicitly represented in training. The same-category candidates share the orthogonal C/O state (O).</x:v>
      </x:c>
      <x:c r="Q7" s="9"/>
      <x:c r="R7" s="10" t="n">
        <x:v>2</x:v>
      </x:c>
      <x:c r="S7" s="10" t="n">
        <x:v>1</x:v>
      </x:c>
      <x:c r="T7" s="9" t="str">
        <x:v>Empty</x:v>
      </x:c>
      <x:c r="U7" s="9" t="str">
        <x:v>UD</x:v>
      </x:c>
      <x:c r="V7" s="9" t="str">
        <x:v>brown cup</x:v>
      </x:c>
      <x:c r="W7" s="9"/>
      <x:c r="X7" s="10"/>
      <x:c r="Y7" s="10"/>
      <x:c r="Z7" s="9"/>
      <x:c r="AA7" s="9"/>
      <x:c r="AB7" s="9"/>
      <x:c r="AC7" s="9"/>
      <x:c r="AD7" s="9"/>
      <x:c r="AE7" s="9"/>
      <x:c r="AF7" s="9"/>
      <x:c r="AG7" s="9"/>
      <x:c r="AH7" s="9"/>
      <x:c r="AI7" s="11"/>
      <x:c r="AJ7" s="9"/>
      <x:c r="AK7" s="9" t="str">
        <x:v>Eval_State_Recognition.xlsm</x:v>
      </x:c>
      <x:c r="AL7" s="9" t="str">
        <x:v>GR00T action only 1 epoch Resul</x:v>
      </x:c>
      <x:c r="AM7" s="9" t="n">
        <x:v>7</x:v>
      </x:c>
      <x:c r="AN7" s="9" t="n">
        <x:v>7</x:v>
      </x:c>
    </x:row>
    <x:row r="8">
      <x:c r="A8" s="9" t="str">
        <x:v>Failure</x:v>
      </x:c>
      <x:c r="B8" s="9" t="str">
        <x:v>State Recognition</x:v>
      </x:c>
      <x:c r="C8" s="10" t="n">
        <x:v>6</x:v>
      </x:c>
      <x:c r="D8" s="9" t="str">
        <x:v>Put the upright brown cup in the bowl.</x:v>
      </x:c>
      <x:c r="E8" s="9" t="str">
        <x:v>brown cup B (C, RU); brown cup A (C, UD)</x:v>
      </x:c>
      <x:c r="F8" s="9" t="str">
        <x:v>brown cup B</x:v>
      </x:c>
      <x:c r="G8" s="9" t="str">
        <x:v>didn't even grab anything. just was reaching around where there wasn't a cup</x:v>
      </x:c>
      <x:c r="H8" s="9" t="str">
        <x:v>In-distribution concept baseline</x:v>
      </x:c>
      <x:c r="I8" s="9" t="str">
        <x:v>SR-ID07</x:v>
      </x:c>
      <x:c r="J8" s="9" t="str">
        <x:v>Exact training-supported state-object baseline</x:v>
      </x:c>
      <x:c r="K8" s="9"/>
      <x:c r="L8" s="9" t="str">
        <x:v>134</x:v>
      </x:c>
      <x:c r="M8" s="9" t="str">
        <x:v>Exact manifest episode: trained state-object cell, prompt, same-category candidate structure, and object membership match; physical layout is manually recreated.</x:v>
      </x:c>
      <x:c r="N8" s="9" t="n">
        <x:v>1</x:v>
      </x:c>
      <x:c r="O8" s="9" t="str">
        <x:v>Recreate the listed manifest scene with the bowl empty.</x:v>
      </x:c>
      <x:c r="P8" s="9" t="str">
        <x:v>The queried state-object combination and same-category discrimination structure are explicitly represented in training. The same-category candidates share the orthogonal C/O state (C).</x:v>
      </x:c>
      <x:c r="Q8" s="9"/>
      <x:c r="R8" s="10" t="n">
        <x:v>2</x:v>
      </x:c>
      <x:c r="S8" s="10" t="n">
        <x:v>1</x:v>
      </x:c>
      <x:c r="T8" s="9" t="str">
        <x:v>Empty</x:v>
      </x:c>
      <x:c r="U8" s="9" t="str">
        <x:v>RU</x:v>
      </x:c>
      <x:c r="V8" s="9" t="str">
        <x:v>brown cup</x:v>
      </x:c>
      <x:c r="W8" s="9"/>
      <x:c r="X8" s="10"/>
      <x:c r="Y8" s="10"/>
      <x:c r="Z8" s="9"/>
      <x:c r="AA8" s="9"/>
      <x:c r="AB8" s="9"/>
      <x:c r="AC8" s="9"/>
      <x:c r="AD8" s="9"/>
      <x:c r="AE8" s="9"/>
      <x:c r="AF8" s="9"/>
      <x:c r="AG8" s="9"/>
      <x:c r="AH8" s="9"/>
      <x:c r="AI8" s="11"/>
      <x:c r="AJ8" s="9"/>
      <x:c r="AK8" s="9" t="str">
        <x:v>Eval_State_Recognition.xlsm</x:v>
      </x:c>
      <x:c r="AL8" s="9" t="str">
        <x:v>GR00T action only 1 epoch Resul</x:v>
      </x:c>
      <x:c r="AM8" s="9" t="n">
        <x:v>8</x:v>
      </x:c>
      <x:c r="AN8" s="9" t="n">
        <x:v>8</x:v>
      </x:c>
    </x:row>
    <x:row r="9">
      <x:c r="A9" s="9" t="str">
        <x:v>Success</x:v>
      </x:c>
      <x:c r="B9" s="9" t="str">
        <x:v>State Recognition</x:v>
      </x:c>
      <x:c r="C9" s="10" t="n">
        <x:v>7</x:v>
      </x:c>
      <x:c r="D9" s="9" t="str">
        <x:v>Place the closed glass spice container in the bowl.</x:v>
      </x:c>
      <x:c r="E9" s="9" t="str">
        <x:v>glass spice container A (C, RU); glass spice container B (O, RU); yellow-white striped cup A (C, RU)</x:v>
      </x:c>
      <x:c r="F9" s="9" t="str">
        <x:v>glass spice container A</x:v>
      </x:c>
      <x:c r="G9" s="9"/>
      <x:c r="H9" s="9" t="str">
        <x:v>In-distribution concept baseline</x:v>
      </x:c>
      <x:c r="I9" s="9" t="str">
        <x:v>SR-ID08</x:v>
      </x:c>
      <x:c r="J9" s="9" t="str">
        <x:v>Exact training-supported state-object baseline</x:v>
      </x:c>
      <x:c r="K9" s="9"/>
      <x:c r="L9" s="9" t="str">
        <x:v>151</x:v>
      </x:c>
      <x:c r="M9" s="9" t="str">
        <x:v>Exact manifest episode: trained state-object cell, prompt, same-category candidate structure, and object membership match; physical layout is manually recreated. All objects are upright, matching the context of every explicit open/closed training demonstration.</x:v>
      </x:c>
      <x:c r="N9" s="9" t="n">
        <x:v>1</x:v>
      </x:c>
      <x:c r="O9" s="9" t="str">
        <x:v>Recreate the listed manifest scene with the bowl empty.</x:v>
      </x:c>
      <x:c r="P9" s="9" t="str">
        <x:v>The queried state-object combination and same-category discrimination structure are explicitly represented in training. The orthogonal orientation axis is fixed: every object is RU.</x:v>
      </x:c>
      <x:c r="Q9" s="9"/>
      <x:c r="R9" s="10" t="n">
        <x:v>3</x:v>
      </x:c>
      <x:c r="S9" s="10" t="n">
        <x:v>1</x:v>
      </x:c>
      <x:c r="T9" s="9" t="str">
        <x:v>Empty</x:v>
      </x:c>
      <x:c r="U9" s="9" t="str">
        <x:v>C</x:v>
      </x:c>
      <x:c r="V9" s="9" t="str">
        <x:v>glass spice container</x:v>
      </x:c>
      <x:c r="W9" s="9"/>
      <x:c r="X9" s="10"/>
      <x:c r="Y9" s="10"/>
      <x:c r="Z9" s="9"/>
      <x:c r="AA9" s="9"/>
      <x:c r="AB9" s="9"/>
      <x:c r="AC9" s="9"/>
      <x:c r="AD9" s="9"/>
      <x:c r="AE9" s="9"/>
      <x:c r="AF9" s="9"/>
      <x:c r="AG9" s="9"/>
      <x:c r="AH9" s="9"/>
      <x:c r="AI9" s="11"/>
      <x:c r="AJ9" s="9"/>
      <x:c r="AK9" s="9" t="str">
        <x:v>Eval_State_Recognition.xlsm</x:v>
      </x:c>
      <x:c r="AL9" s="9" t="str">
        <x:v>GR00T action only 1 epoch Resul</x:v>
      </x:c>
      <x:c r="AM9" s="9" t="n">
        <x:v>9</x:v>
      </x:c>
      <x:c r="AN9" s="9" t="n">
        <x:v>9</x:v>
      </x:c>
    </x:row>
    <x:row r="10">
      <x:c r="A10" s="9" t="str">
        <x:v>Success</x:v>
      </x:c>
      <x:c r="B10" s="9" t="str">
        <x:v>State Recognition</x:v>
      </x:c>
      <x:c r="C10" s="10" t="n">
        <x:v>8</x:v>
      </x:c>
      <x:c r="D10" s="9" t="str">
        <x:v>Move the open glass spice container into the bowl.</x:v>
      </x:c>
      <x:c r="E10" s="9" t="str">
        <x:v>glass spice container B (O, RU); glass spice container A (C, RU); white cup B (O, RU)</x:v>
      </x:c>
      <x:c r="F10" s="9" t="str">
        <x:v>glass spice container B</x:v>
      </x:c>
      <x:c r="G10" s="9"/>
      <x:c r="H10" s="9" t="str">
        <x:v>In-distribution concept baseline</x:v>
      </x:c>
      <x:c r="I10" s="9" t="str">
        <x:v>SR-ID09</x:v>
      </x:c>
      <x:c r="J10" s="9" t="str">
        <x:v>Exact training-supported state-object baseline</x:v>
      </x:c>
      <x:c r="K10" s="9"/>
      <x:c r="L10" s="9" t="str">
        <x:v>156</x:v>
      </x:c>
      <x:c r="M10" s="9" t="str">
        <x:v>Exact manifest episode: trained state-object cell, prompt, same-category candidate structure, and object membership match; physical layout is manually recreated. All objects are upright, matching the context of every explicit open/closed training demonstration.</x:v>
      </x:c>
      <x:c r="N10" s="9" t="n">
        <x:v>1</x:v>
      </x:c>
      <x:c r="O10" s="9" t="str">
        <x:v>Recreate the listed manifest scene with the bowl empty.</x:v>
      </x:c>
      <x:c r="P10" s="9" t="str">
        <x:v>The queried state-object combination and same-category discrimination structure are explicitly represented in training. The orthogonal orientation axis is fixed: every object is RU.</x:v>
      </x:c>
      <x:c r="Q10" s="9"/>
      <x:c r="R10" s="10" t="n">
        <x:v>3</x:v>
      </x:c>
      <x:c r="S10" s="10" t="n">
        <x:v>1</x:v>
      </x:c>
      <x:c r="T10" s="9" t="str">
        <x:v>Empty</x:v>
      </x:c>
      <x:c r="U10" s="9" t="str">
        <x:v>O</x:v>
      </x:c>
      <x:c r="V10" s="9" t="str">
        <x:v>glass spice container</x:v>
      </x:c>
      <x:c r="W10" s="9"/>
      <x:c r="X10" s="10"/>
      <x:c r="Y10" s="10"/>
      <x:c r="Z10" s="9"/>
      <x:c r="AA10" s="9"/>
      <x:c r="AB10" s="9"/>
      <x:c r="AC10" s="9"/>
      <x:c r="AD10" s="9"/>
      <x:c r="AE10" s="9"/>
      <x:c r="AF10" s="9"/>
      <x:c r="AG10" s="9"/>
      <x:c r="AH10" s="9"/>
      <x:c r="AI10" s="11"/>
      <x:c r="AJ10" s="9"/>
      <x:c r="AK10" s="9" t="str">
        <x:v>Eval_State_Recognition.xlsm</x:v>
      </x:c>
      <x:c r="AL10" s="9" t="str">
        <x:v>GR00T action only 1 epoch Resul</x:v>
      </x:c>
      <x:c r="AM10" s="9" t="n">
        <x:v>10</x:v>
      </x:c>
      <x:c r="AN10" s="9" t="n">
        <x:v>10</x:v>
      </x:c>
    </x:row>
    <x:row r="11">
      <x:c r="A11" s="9" t="str">
        <x:v>Success</x:v>
      </x:c>
      <x:c r="B11" s="9" t="str">
        <x:v>State Recognition</x:v>
      </x:c>
      <x:c r="C11" s="10" t="n">
        <x:v>9</x:v>
      </x:c>
      <x:c r="D11" s="9" t="str">
        <x:v>Put the upside-down glass spice container in the bowl.</x:v>
      </x:c>
      <x:c r="E11" s="9" t="str">
        <x:v>glass spice container B (C, UD); glass spice container A (C, RU)</x:v>
      </x:c>
      <x:c r="F11" s="9" t="str">
        <x:v>glass spice container B</x:v>
      </x:c>
      <x:c r="G11" s="9"/>
      <x:c r="H11" s="9" t="str">
        <x:v>In-distribution concept baseline</x:v>
      </x:c>
      <x:c r="I11" s="9" t="str">
        <x:v>SR-ID10</x:v>
      </x:c>
      <x:c r="J11" s="9" t="str">
        <x:v>Exact training-supported state-object baseline</x:v>
      </x:c>
      <x:c r="K11" s="9"/>
      <x:c r="L11" s="9" t="str">
        <x:v>176</x:v>
      </x:c>
      <x:c r="M11" s="9" t="str">
        <x:v>Exact manifest episode: trained state-object cell, prompt, same-category candidate structure, and object membership match; physical layout is manually recreated.</x:v>
      </x:c>
      <x:c r="N11" s="9" t="n">
        <x:v>1</x:v>
      </x:c>
      <x:c r="O11" s="9" t="str">
        <x:v>Recreate the listed manifest scene with the bowl empty.</x:v>
      </x:c>
      <x:c r="P11" s="9" t="str">
        <x:v>The queried state-object combination and same-category discrimination structure are explicitly represented in training. The same-category candidates share the orthogonal C/O state (C).</x:v>
      </x:c>
      <x:c r="Q11" s="9"/>
      <x:c r="R11" s="10" t="n">
        <x:v>2</x:v>
      </x:c>
      <x:c r="S11" s="10" t="n">
        <x:v>1</x:v>
      </x:c>
      <x:c r="T11" s="9" t="str">
        <x:v>Empty</x:v>
      </x:c>
      <x:c r="U11" s="9" t="str">
        <x:v>UD</x:v>
      </x:c>
      <x:c r="V11" s="9" t="str">
        <x:v>glass spice container</x:v>
      </x:c>
      <x:c r="W11" s="9"/>
      <x:c r="X11" s="10"/>
      <x:c r="Y11" s="10"/>
      <x:c r="Z11" s="9"/>
      <x:c r="AA11" s="9"/>
      <x:c r="AB11" s="9"/>
      <x:c r="AC11" s="9"/>
      <x:c r="AD11" s="9"/>
      <x:c r="AE11" s="9"/>
      <x:c r="AF11" s="9"/>
      <x:c r="AG11" s="9"/>
      <x:c r="AH11" s="9"/>
      <x:c r="AI11" s="11"/>
      <x:c r="AJ11" s="9"/>
      <x:c r="AK11" s="9" t="str">
        <x:v>Eval_State_Recognition.xlsm</x:v>
      </x:c>
      <x:c r="AL11" s="9" t="str">
        <x:v>GR00T action only 1 epoch Resul</x:v>
      </x:c>
      <x:c r="AM11" s="9" t="n">
        <x:v>11</x:v>
      </x:c>
      <x:c r="AN11" s="9" t="n">
        <x:v>11</x:v>
      </x:c>
    </x:row>
    <x:row r="12">
      <x:c r="A12" s="9" t="str">
        <x:v>Failure</x:v>
      </x:c>
      <x:c r="B12" s="9" t="str">
        <x:v>State Recognition</x:v>
      </x:c>
      <x:c r="C12" s="10" t="n">
        <x:v>10</x:v>
      </x:c>
      <x:c r="D12" s="9" t="str">
        <x:v>Move the closed white cup into the bowl.</x:v>
      </x:c>
      <x:c r="E12" s="9" t="str">
        <x:v>white cup B (C, RU); white cup A (O, RU); yellow-white striped cup A (C, RU); brown cup B (C, RU)</x:v>
      </x:c>
      <x:c r="F12" s="9" t="str">
        <x:v>white cup B</x:v>
      </x:c>
      <x:c r="G12" s="9" t="str">
        <x:v>picked the open white cup</x:v>
      </x:c>
      <x:c r="H12" s="9" t="str">
        <x:v>In-distribution concept baseline</x:v>
      </x:c>
      <x:c r="I12" s="9" t="str">
        <x:v>SR-ID11</x:v>
      </x:c>
      <x:c r="J12" s="9" t="str">
        <x:v>Exact training-supported state-object baseline</x:v>
      </x:c>
      <x:c r="K12" s="9"/>
      <x:c r="L12" s="9" t="str">
        <x:v>0</x:v>
      </x:c>
      <x:c r="M12" s="9" t="str">
        <x:v>Exact manifest episode: trained state-object cell, prompt, same-category candidate structure, and object membership match; physical layout is manually recreated. All objects are upright, matching the context of every explicit open/closed training demonstration.</x:v>
      </x:c>
      <x:c r="N12" s="9" t="n">
        <x:v>1</x:v>
      </x:c>
      <x:c r="O12" s="9" t="str">
        <x:v>Recreate the listed manifest scene with the bowl empty.</x:v>
      </x:c>
      <x:c r="P12" s="9" t="str">
        <x:v>The queried state-object combination and same-category discrimination structure are explicitly represented in training. The orthogonal orientation axis is fixed: every object is RU.</x:v>
      </x:c>
      <x:c r="Q12" s="9"/>
      <x:c r="R12" s="10" t="n">
        <x:v>4</x:v>
      </x:c>
      <x:c r="S12" s="10" t="n">
        <x:v>1</x:v>
      </x:c>
      <x:c r="T12" s="9" t="str">
        <x:v>Empty</x:v>
      </x:c>
      <x:c r="U12" s="9" t="str">
        <x:v>C</x:v>
      </x:c>
      <x:c r="V12" s="9" t="str">
        <x:v>white cup</x:v>
      </x:c>
      <x:c r="W12" s="9"/>
      <x:c r="X12" s="10"/>
      <x:c r="Y12" s="10"/>
      <x:c r="Z12" s="9"/>
      <x:c r="AA12" s="9"/>
      <x:c r="AB12" s="9"/>
      <x:c r="AC12" s="9"/>
      <x:c r="AD12" s="9"/>
      <x:c r="AE12" s="9"/>
      <x:c r="AF12" s="9"/>
      <x:c r="AG12" s="9"/>
      <x:c r="AH12" s="9"/>
      <x:c r="AI12" s="11"/>
      <x:c r="AJ12" s="9"/>
      <x:c r="AK12" s="9" t="str">
        <x:v>Eval_State_Recognition.xlsm</x:v>
      </x:c>
      <x:c r="AL12" s="9" t="str">
        <x:v>GR00T action only 1 epoch Resul</x:v>
      </x:c>
      <x:c r="AM12" s="9" t="n">
        <x:v>12</x:v>
      </x:c>
      <x:c r="AN12" s="9" t="n">
        <x:v>12</x:v>
      </x:c>
    </x:row>
    <x:row r="13">
      <x:c r="A13" s="9" t="str">
        <x:v>Failure</x:v>
      </x:c>
      <x:c r="B13" s="9" t="str">
        <x:v>State Recognition</x:v>
      </x:c>
      <x:c r="C13" s="10" t="n">
        <x:v>11</x:v>
      </x:c>
      <x:c r="D13" s="9" t="str">
        <x:v>Place the closed white cup in the bowl.</x:v>
      </x:c>
      <x:c r="E13" s="9" t="str">
        <x:v>white cup A (C, RU); white cup B (O, RU); brown cup B (O, RU)</x:v>
      </x:c>
      <x:c r="F13" s="9" t="str">
        <x:v>white cup A</x:v>
      </x:c>
      <x:c r="G13" s="9" t="str">
        <x:v>picked open brown cup</x:v>
      </x:c>
      <x:c r="H13" s="9" t="str">
        <x:v>In-distribution concept baseline</x:v>
      </x:c>
      <x:c r="I13" s="9" t="str">
        <x:v>SR-ID12</x:v>
      </x:c>
      <x:c r="J13" s="9" t="str">
        <x:v>Exact training-supported state-object baseline</x:v>
      </x:c>
      <x:c r="K13" s="9"/>
      <x:c r="L13" s="9" t="str">
        <x:v>7</x:v>
      </x:c>
      <x:c r="M13" s="9" t="str">
        <x:v>Exact manifest episode: trained state-object cell, prompt, same-category candidate structure, and object membership match; physical layout is manually recreated. All objects are upright, matching the context of every explicit open/closed training demonstration.</x:v>
      </x:c>
      <x:c r="N13" s="9" t="n">
        <x:v>1</x:v>
      </x:c>
      <x:c r="O13" s="9" t="str">
        <x:v>Recreate the listed manifest scene with the bowl empty.</x:v>
      </x:c>
      <x:c r="P13" s="9" t="str">
        <x:v>The queried state-object combination and same-category discrimination structure are explicitly represented in training. The orthogonal orientation axis is fixed: every object is RU.</x:v>
      </x:c>
      <x:c r="Q13" s="9"/>
      <x:c r="R13" s="10" t="n">
        <x:v>3</x:v>
      </x:c>
      <x:c r="S13" s="10" t="n">
        <x:v>1</x:v>
      </x:c>
      <x:c r="T13" s="9" t="str">
        <x:v>Empty</x:v>
      </x:c>
      <x:c r="U13" s="9" t="str">
        <x:v>C</x:v>
      </x:c>
      <x:c r="V13" s="9" t="str">
        <x:v>white cup</x:v>
      </x:c>
      <x:c r="W13" s="9"/>
      <x:c r="X13" s="10"/>
      <x:c r="Y13" s="10"/>
      <x:c r="Z13" s="9"/>
      <x:c r="AA13" s="9"/>
      <x:c r="AB13" s="9"/>
      <x:c r="AC13" s="9"/>
      <x:c r="AD13" s="9"/>
      <x:c r="AE13" s="9"/>
      <x:c r="AF13" s="9"/>
      <x:c r="AG13" s="9"/>
      <x:c r="AH13" s="9"/>
      <x:c r="AI13" s="11"/>
      <x:c r="AJ13" s="9"/>
      <x:c r="AK13" s="9" t="str">
        <x:v>Eval_State_Recognition.xlsm</x:v>
      </x:c>
      <x:c r="AL13" s="9" t="str">
        <x:v>GR00T action only 1 epoch Resul</x:v>
      </x:c>
      <x:c r="AM13" s="9" t="n">
        <x:v>13</x:v>
      </x:c>
      <x:c r="AN13" s="9" t="n">
        <x:v>13</x:v>
      </x:c>
    </x:row>
    <x:row r="14">
      <x:c r="A14" s="9" t="str">
        <x:v>Failure</x:v>
      </x:c>
      <x:c r="B14" s="9" t="str">
        <x:v>State Recognition</x:v>
      </x:c>
      <x:c r="C14" s="10" t="n">
        <x:v>12</x:v>
      </x:c>
      <x:c r="D14" s="9" t="str">
        <x:v>Put the open white cup in the bowl.</x:v>
      </x:c>
      <x:c r="E14" s="9" t="str">
        <x:v>white cup B (O, RU); white cup A (C, RU); glass spice container B (O, RU)</x:v>
      </x:c>
      <x:c r="F14" s="9" t="str">
        <x:v>white cup B</x:v>
      </x:c>
      <x:c r="G14" s="9" t="str">
        <x:v>picked the glass spice jar, but dropped it on the table and not the bowl. couldn't recover</x:v>
      </x:c>
      <x:c r="H14" s="9" t="str">
        <x:v>In-distribution concept baseline</x:v>
      </x:c>
      <x:c r="I14" s="9" t="str">
        <x:v>SR-ID13</x:v>
      </x:c>
      <x:c r="J14" s="9" t="str">
        <x:v>Exact training-supported state-object baseline</x:v>
      </x:c>
      <x:c r="K14" s="9"/>
      <x:c r="L14" s="9" t="str">
        <x:v>17</x:v>
      </x:c>
      <x:c r="M14" s="9" t="str">
        <x:v>Exact manifest episode: trained state-object cell, prompt, same-category candidate structure, and object membership match; physical layout is manually recreated. All objects are upright, matching the context of every explicit open/closed training demonstration.</x:v>
      </x:c>
      <x:c r="N14" s="9" t="n">
        <x:v>1</x:v>
      </x:c>
      <x:c r="O14" s="9" t="str">
        <x:v>Recreate the listed manifest scene with the bowl empty.</x:v>
      </x:c>
      <x:c r="P14" s="9" t="str">
        <x:v>The queried state-object combination and same-category discrimination structure are explicitly represented in training. The orthogonal orientation axis is fixed: every object is RU.</x:v>
      </x:c>
      <x:c r="Q14" s="9"/>
      <x:c r="R14" s="10" t="n">
        <x:v>3</x:v>
      </x:c>
      <x:c r="S14" s="10" t="n">
        <x:v>1</x:v>
      </x:c>
      <x:c r="T14" s="9" t="str">
        <x:v>Empty</x:v>
      </x:c>
      <x:c r="U14" s="9" t="str">
        <x:v>O</x:v>
      </x:c>
      <x:c r="V14" s="9" t="str">
        <x:v>white cup</x:v>
      </x:c>
      <x:c r="W14" s="9"/>
      <x:c r="X14" s="10"/>
      <x:c r="Y14" s="10"/>
      <x:c r="Z14" s="9"/>
      <x:c r="AA14" s="9"/>
      <x:c r="AB14" s="9"/>
      <x:c r="AC14" s="9"/>
      <x:c r="AD14" s="9"/>
      <x:c r="AE14" s="9"/>
      <x:c r="AF14" s="9"/>
      <x:c r="AG14" s="9"/>
      <x:c r="AH14" s="9"/>
      <x:c r="AI14" s="11"/>
      <x:c r="AJ14" s="9"/>
      <x:c r="AK14" s="9" t="str">
        <x:v>Eval_State_Recognition.xlsm</x:v>
      </x:c>
      <x:c r="AL14" s="9" t="str">
        <x:v>GR00T action only 1 epoch Resul</x:v>
      </x:c>
      <x:c r="AM14" s="9" t="n">
        <x:v>14</x:v>
      </x:c>
      <x:c r="AN14" s="9" t="n">
        <x:v>14</x:v>
      </x:c>
    </x:row>
    <x:row r="15">
      <x:c r="A15" s="9" t="str">
        <x:v>Success</x:v>
      </x:c>
      <x:c r="B15" s="9" t="str">
        <x:v>State Recognition</x:v>
      </x:c>
      <x:c r="C15" s="10" t="n">
        <x:v>13</x:v>
      </x:c>
      <x:c r="D15" s="9" t="str">
        <x:v>Place the upside-down yellow-white striped cup in the bowl.</x:v>
      </x:c>
      <x:c r="E15" s="9" t="str">
        <x:v>yellow-white striped cup A (O, UD); yellow-white striped cup B (O, RU)</x:v>
      </x:c>
      <x:c r="F15" s="9" t="str">
        <x:v>yellow-white striped cup A</x:v>
      </x:c>
      <x:c r="G15" s="9"/>
      <x:c r="H15" s="9" t="str">
        <x:v>In-distribution concept baseline</x:v>
      </x:c>
      <x:c r="I15" s="9" t="str">
        <x:v>SR-ID14</x:v>
      </x:c>
      <x:c r="J15" s="9" t="str">
        <x:v>Exact training-supported state-object baseline</x:v>
      </x:c>
      <x:c r="K15" s="9"/>
      <x:c r="L15" s="9" t="str">
        <x:v>88</x:v>
      </x:c>
      <x:c r="M15" s="9" t="str">
        <x:v>Exact manifest episode: trained state-object cell, prompt, same-category candidate structure, and object membership match; physical layout is manually recreated.</x:v>
      </x:c>
      <x:c r="N15" s="9" t="n">
        <x:v>1</x:v>
      </x:c>
      <x:c r="O15" s="9" t="str">
        <x:v>Recreate the listed manifest scene with the bowl empty.</x:v>
      </x:c>
      <x:c r="P15" s="9" t="str">
        <x:v>The queried state-object combination and same-category discrimination structure are explicitly represented in training. The same-category candidates share the orthogonal C/O state (O).</x:v>
      </x:c>
      <x:c r="Q15" s="9"/>
      <x:c r="R15" s="10" t="n">
        <x:v>2</x:v>
      </x:c>
      <x:c r="S15" s="10" t="n">
        <x:v>1</x:v>
      </x:c>
      <x:c r="T15" s="9" t="str">
        <x:v>Empty</x:v>
      </x:c>
      <x:c r="U15" s="9" t="str">
        <x:v>UD</x:v>
      </x:c>
      <x:c r="V15" s="9" t="str">
        <x:v>yellow-white striped cup</x:v>
      </x:c>
      <x:c r="W15" s="9"/>
      <x:c r="X15" s="10"/>
      <x:c r="Y15" s="10"/>
      <x:c r="Z15" s="9"/>
      <x:c r="AA15" s="9"/>
      <x:c r="AB15" s="9"/>
      <x:c r="AC15" s="9"/>
      <x:c r="AD15" s="9"/>
      <x:c r="AE15" s="9"/>
      <x:c r="AF15" s="9"/>
      <x:c r="AG15" s="9"/>
      <x:c r="AH15" s="9"/>
      <x:c r="AI15" s="11"/>
      <x:c r="AJ15" s="9"/>
      <x:c r="AK15" s="9" t="str">
        <x:v>Eval_State_Recognition.xlsm</x:v>
      </x:c>
      <x:c r="AL15" s="9" t="str">
        <x:v>GR00T action only 1 epoch Resul</x:v>
      </x:c>
      <x:c r="AM15" s="9" t="n">
        <x:v>15</x:v>
      </x:c>
      <x:c r="AN15" s="9" t="n">
        <x:v>15</x:v>
      </x:c>
    </x:row>
    <x:row r="16">
      <x:c r="A16" s="9" t="str">
        <x:v>Failure</x:v>
      </x:c>
      <x:c r="B16" s="9" t="str">
        <x:v>State Recognition</x:v>
      </x:c>
      <x:c r="C16" s="10" t="n">
        <x:v>14</x:v>
      </x:c>
      <x:c r="D16" s="9" t="str">
        <x:v>Move the upright yellow-white striped cup into the bowl.</x:v>
      </x:c>
      <x:c r="E16" s="9" t="str">
        <x:v>yellow-white striped cup A (O, RU); yellow-white striped cup B (O, UD); glass spice container A (O, RU); white cup B (C, UD)</x:v>
      </x:c>
      <x:c r="F16" s="9" t="str">
        <x:v>yellow-white striped cup A</x:v>
      </x:c>
      <x:c r="G16" s="9" t="str">
        <x:v>picked the open glass container</x:v>
      </x:c>
      <x:c r="H16" s="9" t="str">
        <x:v>In-distribution concept baseline</x:v>
      </x:c>
      <x:c r="I16" s="9" t="str">
        <x:v>SR-ID15</x:v>
      </x:c>
      <x:c r="J16" s="9" t="str">
        <x:v>Exact training-supported state-object baseline</x:v>
      </x:c>
      <x:c r="K16" s="9"/>
      <x:c r="L16" s="9" t="str">
        <x:v>75</x:v>
      </x:c>
      <x:c r="M16" s="9" t="str">
        <x:v>Exact manifest episode: trained state-object cell, prompt, same-category candidate structure, and object membership match; physical layout is manually recreated.</x:v>
      </x:c>
      <x:c r="N16" s="9" t="n">
        <x:v>1</x:v>
      </x:c>
      <x:c r="O16" s="9" t="str">
        <x:v>Recreate the listed manifest scene with the bowl empty.</x:v>
      </x:c>
      <x:c r="P16" s="9" t="str">
        <x:v>The queried state-object combination and same-category discrimination structure are explicitly represented in training. The same-category candidates share the orthogonal C/O state (O).</x:v>
      </x:c>
      <x:c r="Q16" s="9"/>
      <x:c r="R16" s="10" t="n">
        <x:v>4</x:v>
      </x:c>
      <x:c r="S16" s="10" t="n">
        <x:v>1</x:v>
      </x:c>
      <x:c r="T16" s="9" t="str">
        <x:v>Empty</x:v>
      </x:c>
      <x:c r="U16" s="9" t="str">
        <x:v>RU</x:v>
      </x:c>
      <x:c r="V16" s="9" t="str">
        <x:v>yellow-white striped cup</x:v>
      </x:c>
      <x:c r="W16" s="9"/>
      <x:c r="X16" s="10"/>
      <x:c r="Y16" s="10"/>
      <x:c r="Z16" s="9"/>
      <x:c r="AA16" s="9"/>
      <x:c r="AB16" s="9"/>
      <x:c r="AC16" s="9"/>
      <x:c r="AD16" s="9"/>
      <x:c r="AE16" s="9"/>
      <x:c r="AF16" s="9"/>
      <x:c r="AG16" s="9"/>
      <x:c r="AH16" s="9"/>
      <x:c r="AI16" s="11"/>
      <x:c r="AJ16" s="9"/>
      <x:c r="AK16" s="9" t="str">
        <x:v>Eval_State_Recognition.xlsm</x:v>
      </x:c>
      <x:c r="AL16" s="9" t="str">
        <x:v>GR00T action only 1 epoch Resul</x:v>
      </x:c>
      <x:c r="AM16" s="9" t="n">
        <x:v>16</x:v>
      </x:c>
      <x:c r="AN16" s="9" t="n">
        <x:v>16</x:v>
      </x:c>
    </x:row>
    <x:row r="17">
      <x:c r="A17" s="9" t="str">
        <x:v>Failure</x:v>
      </x:c>
      <x:c r="B17" s="9" t="str">
        <x:v>State Recognition</x:v>
      </x:c>
      <x:c r="C17" s="10" t="n">
        <x:v>15</x:v>
      </x:c>
      <x:c r="D17" s="9" t="str">
        <x:v>Put the upright yellow-white striped cup in the bowl.</x:v>
      </x:c>
      <x:c r="E17" s="9" t="str">
        <x:v>yellow-white striped cup B (C, RU); yellow-white striped cup A (C, UD)</x:v>
      </x:c>
      <x:c r="F17" s="9" t="str">
        <x:v>yellow-white striped cup B</x:v>
      </x:c>
      <x:c r="G17" s="9" t="str">
        <x:v>picked the upside down cup</x:v>
      </x:c>
      <x:c r="H17" s="9" t="str">
        <x:v>In-distribution concept baseline</x:v>
      </x:c>
      <x:c r="I17" s="9" t="str">
        <x:v>SR-ID16</x:v>
      </x:c>
      <x:c r="J17" s="9" t="str">
        <x:v>Exact training-supported state-object baseline</x:v>
      </x:c>
      <x:c r="K17" s="9"/>
      <x:c r="L17" s="9" t="str">
        <x:v>80</x:v>
      </x:c>
      <x:c r="M17" s="9" t="str">
        <x:v>Exact manifest episode: trained state-object cell, prompt, same-category candidate structure, and object membership match; physical layout is manually recreated.</x:v>
      </x:c>
      <x:c r="N17" s="9" t="n">
        <x:v>1</x:v>
      </x:c>
      <x:c r="O17" s="9" t="str">
        <x:v>Recreate the listed manifest scene with the bowl empty.</x:v>
      </x:c>
      <x:c r="P17" s="9" t="str">
        <x:v>The queried state-object combination and same-category discrimination structure are explicitly represented in training. The same-category candidates share the orthogonal C/O state (C).</x:v>
      </x:c>
      <x:c r="Q17" s="9"/>
      <x:c r="R17" s="10" t="n">
        <x:v>2</x:v>
      </x:c>
      <x:c r="S17" s="10" t="n">
        <x:v>1</x:v>
      </x:c>
      <x:c r="T17" s="9" t="str">
        <x:v>Empty</x:v>
      </x:c>
      <x:c r="U17" s="9" t="str">
        <x:v>RU</x:v>
      </x:c>
      <x:c r="V17" s="9" t="str">
        <x:v>yellow-white striped cup</x:v>
      </x:c>
      <x:c r="W17" s="9"/>
      <x:c r="X17" s="10"/>
      <x:c r="Y17" s="10"/>
      <x:c r="Z17" s="9"/>
      <x:c r="AA17" s="9"/>
      <x:c r="AB17" s="9"/>
      <x:c r="AC17" s="9"/>
      <x:c r="AD17" s="9"/>
      <x:c r="AE17" s="9"/>
      <x:c r="AF17" s="9"/>
      <x:c r="AG17" s="9"/>
      <x:c r="AH17" s="9"/>
      <x:c r="AI17" s="11"/>
      <x:c r="AJ17" s="9"/>
      <x:c r="AK17" s="9" t="str">
        <x:v>Eval_State_Recognition.xlsm</x:v>
      </x:c>
      <x:c r="AL17" s="9" t="str">
        <x:v>GR00T action only 1 epoch Resul</x:v>
      </x:c>
      <x:c r="AM17" s="9" t="n">
        <x:v>17</x:v>
      </x:c>
      <x:c r="AN17" s="9" t="n">
        <x:v>17</x:v>
      </x:c>
    </x:row>
    <x:row r="18">
      <x:c r="A18" s="9" t="str">
        <x:v>Success</x:v>
      </x:c>
      <x:c r="B18" s="9" t="str">
        <x:v>State Recognition</x:v>
      </x:c>
      <x:c r="C18" s="10" t="n">
        <x:v>16</x:v>
      </x:c>
      <x:c r="D18" s="9" t="str">
        <x:v>Move the upside-down brown cup into the bowl.</x:v>
      </x:c>
      <x:c r="E18" s="9" t="str">
        <x:v>brown cup A (C, UD); brown cup B (C, RU); yellow-white striped cup B (C, UD); glass spice container A (O, RU)</x:v>
      </x:c>
      <x:c r="F18" s="9" t="str">
        <x:v>brown cup A</x:v>
      </x:c>
      <x:c r="G18" s="9"/>
      <x:c r="H18" s="9" t="str">
        <x:v>In-distribution concept baseline</x:v>
      </x:c>
      <x:c r="I18" s="9" t="str">
        <x:v>SR-ID17</x:v>
      </x:c>
      <x:c r="J18" s="9" t="str">
        <x:v>Exact training-supported state-object baseline</x:v>
      </x:c>
      <x:c r="K18" s="9"/>
      <x:c r="L18" s="9" t="str">
        <x:v>135</x:v>
      </x:c>
      <x:c r="M18" s="9" t="str">
        <x:v>Exact manifest episode: trained state-object cell, prompt, same-category candidate structure, and object membership match; physical layout is manually recreated.</x:v>
      </x:c>
      <x:c r="N18" s="9" t="n">
        <x:v>1</x:v>
      </x:c>
      <x:c r="O18" s="9" t="str">
        <x:v>Recreate the listed manifest scene with the bowl empty.</x:v>
      </x:c>
      <x:c r="P18" s="9" t="str">
        <x:v>The queried state-object combination and same-category discrimination structure are explicitly represented in training. The same-category candidates share the orthogonal C/O state (C).</x:v>
      </x:c>
      <x:c r="Q18" s="9"/>
      <x:c r="R18" s="10" t="n">
        <x:v>4</x:v>
      </x:c>
      <x:c r="S18" s="10" t="n">
        <x:v>1</x:v>
      </x:c>
      <x:c r="T18" s="9" t="str">
        <x:v>Empty</x:v>
      </x:c>
      <x:c r="U18" s="9" t="str">
        <x:v>UD</x:v>
      </x:c>
      <x:c r="V18" s="9" t="str">
        <x:v>brown cup</x:v>
      </x:c>
      <x:c r="W18" s="9"/>
      <x:c r="X18" s="10"/>
      <x:c r="Y18" s="10"/>
      <x:c r="Z18" s="9"/>
      <x:c r="AA18" s="9"/>
      <x:c r="AB18" s="9"/>
      <x:c r="AC18" s="9"/>
      <x:c r="AD18" s="9"/>
      <x:c r="AE18" s="9"/>
      <x:c r="AF18" s="9"/>
      <x:c r="AG18" s="9"/>
      <x:c r="AH18" s="9"/>
      <x:c r="AI18" s="11"/>
      <x:c r="AJ18" s="9"/>
      <x:c r="AK18" s="9" t="str">
        <x:v>Eval_State_Recognition.xlsm</x:v>
      </x:c>
      <x:c r="AL18" s="9" t="str">
        <x:v>GR00T action only 1 epoch Resul</x:v>
      </x:c>
      <x:c r="AM18" s="9" t="n">
        <x:v>18</x:v>
      </x:c>
      <x:c r="AN18" s="9" t="n">
        <x:v>18</x:v>
      </x:c>
    </x:row>
    <x:row r="19">
      <x:c r="A19" s="9" t="str">
        <x:v>Failure</x:v>
      </x:c>
      <x:c r="B19" s="9" t="str">
        <x:v>State Recognition</x:v>
      </x:c>
      <x:c r="C19" s="10" t="n">
        <x:v>17</x:v>
      </x:c>
      <x:c r="D19" s="9" t="str">
        <x:v>Place the upright brown cup in the bowl.</x:v>
      </x:c>
      <x:c r="E19" s="9" t="str">
        <x:v>brown cup A (C, RU); brown cup B (C, UD); glass spice container B (C, UD)</x:v>
      </x:c>
      <x:c r="F19" s="9" t="str">
        <x:v>brown cup A</x:v>
      </x:c>
      <x:c r="G19" s="9" t="str">
        <x:v>picked the upside down brown cup</x:v>
      </x:c>
      <x:c r="H19" s="9" t="str">
        <x:v>In-distribution concept baseline</x:v>
      </x:c>
      <x:c r="I19" s="9" t="str">
        <x:v>SR-ID18</x:v>
      </x:c>
      <x:c r="J19" s="9" t="str">
        <x:v>Exact training-supported state-object baseline</x:v>
      </x:c>
      <x:c r="K19" s="9"/>
      <x:c r="L19" s="9" t="str">
        <x:v>139</x:v>
      </x:c>
      <x:c r="M19" s="9" t="str">
        <x:v>Exact manifest episode: trained state-object cell, prompt, same-category candidate structure, and object membership match; physical layout is manually recreated.</x:v>
      </x:c>
      <x:c r="N19" s="9" t="n">
        <x:v>1</x:v>
      </x:c>
      <x:c r="O19" s="9" t="str">
        <x:v>Recreate the listed manifest scene with the bowl empty.</x:v>
      </x:c>
      <x:c r="P19" s="9" t="str">
        <x:v>The queried state-object combination and same-category discrimination structure are explicitly represented in training. The same-category candidates share the orthogonal C/O state (C).</x:v>
      </x:c>
      <x:c r="Q19" s="9"/>
      <x:c r="R19" s="10" t="n">
        <x:v>3</x:v>
      </x:c>
      <x:c r="S19" s="10" t="n">
        <x:v>1</x:v>
      </x:c>
      <x:c r="T19" s="9" t="str">
        <x:v>Empty</x:v>
      </x:c>
      <x:c r="U19" s="9" t="str">
        <x:v>RU</x:v>
      </x:c>
      <x:c r="V19" s="9" t="str">
        <x:v>brown cup</x:v>
      </x:c>
      <x:c r="W19" s="9"/>
      <x:c r="X19" s="10"/>
      <x:c r="Y19" s="10"/>
      <x:c r="Z19" s="9"/>
      <x:c r="AA19" s="9"/>
      <x:c r="AB19" s="9"/>
      <x:c r="AC19" s="9"/>
      <x:c r="AD19" s="9"/>
      <x:c r="AE19" s="9"/>
      <x:c r="AF19" s="9"/>
      <x:c r="AG19" s="9"/>
      <x:c r="AH19" s="9"/>
      <x:c r="AI19" s="11"/>
      <x:c r="AJ19" s="9"/>
      <x:c r="AK19" s="9" t="str">
        <x:v>Eval_State_Recognition.xlsm</x:v>
      </x:c>
      <x:c r="AL19" s="9" t="str">
        <x:v>GR00T action only 1 epoch Resul</x:v>
      </x:c>
      <x:c r="AM19" s="9" t="n">
        <x:v>19</x:v>
      </x:c>
      <x:c r="AN19" s="9" t="n">
        <x:v>19</x:v>
      </x:c>
    </x:row>
    <x:row r="20">
      <x:c r="A20" s="9" t="str">
        <x:v>Failure</x:v>
      </x:c>
      <x:c r="B20" s="9" t="str">
        <x:v>State Recognition</x:v>
      </x:c>
      <x:c r="C20" s="10" t="n">
        <x:v>18</x:v>
      </x:c>
      <x:c r="D20" s="9" t="str">
        <x:v>Put the closed glass spice container in the bowl.</x:v>
      </x:c>
      <x:c r="E20" s="9" t="str">
        <x:v>glass spice container A (C, RU); glass spice container B (O, RU); brown cup A (C, RU); white cup B (O, RU)</x:v>
      </x:c>
      <x:c r="F20" s="9" t="str">
        <x:v>glass spice container A</x:v>
      </x:c>
      <x:c r="G20" s="9" t="str">
        <x:v>picked the open white cup</x:v>
      </x:c>
      <x:c r="H20" s="9" t="str">
        <x:v>In-distribution concept baseline</x:v>
      </x:c>
      <x:c r="I20" s="9" t="str">
        <x:v>SR-ID19</x:v>
      </x:c>
      <x:c r="J20" s="9" t="str">
        <x:v>Exact training-supported state-object baseline</x:v>
      </x:c>
      <x:c r="K20" s="9"/>
      <x:c r="L20" s="9" t="str">
        <x:v>155</x:v>
      </x:c>
      <x:c r="M20" s="9" t="str">
        <x:v>Exact manifest episode: trained state-object cell, prompt, same-category candidate structure, and object membership match; physical layout is manually recreated. All objects are upright, matching the context of every explicit open/closed training demonstration.</x:v>
      </x:c>
      <x:c r="N20" s="9" t="n">
        <x:v>1</x:v>
      </x:c>
      <x:c r="O20" s="9" t="str">
        <x:v>Recreate the listed manifest scene with the bowl empty.</x:v>
      </x:c>
      <x:c r="P20" s="9" t="str">
        <x:v>The queried state-object combination and same-category discrimination structure are explicitly represented in training. The orthogonal orientation axis is fixed: every object is RU.</x:v>
      </x:c>
      <x:c r="Q20" s="9"/>
      <x:c r="R20" s="10" t="n">
        <x:v>4</x:v>
      </x:c>
      <x:c r="S20" s="10" t="n">
        <x:v>1</x:v>
      </x:c>
      <x:c r="T20" s="9" t="str">
        <x:v>Empty</x:v>
      </x:c>
      <x:c r="U20" s="9" t="str">
        <x:v>C</x:v>
      </x:c>
      <x:c r="V20" s="9" t="str">
        <x:v>glass spice container</x:v>
      </x:c>
      <x:c r="W20" s="9"/>
      <x:c r="X20" s="10"/>
      <x:c r="Y20" s="10"/>
      <x:c r="Z20" s="9"/>
      <x:c r="AA20" s="9"/>
      <x:c r="AB20" s="9"/>
      <x:c r="AC20" s="9"/>
      <x:c r="AD20" s="9"/>
      <x:c r="AE20" s="9"/>
      <x:c r="AF20" s="9"/>
      <x:c r="AG20" s="9"/>
      <x:c r="AH20" s="9"/>
      <x:c r="AI20" s="11"/>
      <x:c r="AJ20" s="9"/>
      <x:c r="AK20" s="9" t="str">
        <x:v>Eval_State_Recognition.xlsm</x:v>
      </x:c>
      <x:c r="AL20" s="9" t="str">
        <x:v>GR00T action only 1 epoch Resul</x:v>
      </x:c>
      <x:c r="AM20" s="9" t="n">
        <x:v>20</x:v>
      </x:c>
      <x:c r="AN20" s="9" t="n">
        <x:v>20</x:v>
      </x:c>
    </x:row>
    <x:row r="21">
      <x:c r="A21" s="9" t="str">
        <x:v>Failure</x:v>
      </x:c>
      <x:c r="B21" s="9" t="str">
        <x:v>State Recognition</x:v>
      </x:c>
      <x:c r="C21" s="10" t="n">
        <x:v>19</x:v>
      </x:c>
      <x:c r="D21" s="9" t="str">
        <x:v>Move the open glass spice container into the bowl.</x:v>
      </x:c>
      <x:c r="E21" s="9" t="str">
        <x:v>glass spice container B (O, RU); glass spice container A (C, RU); white cup B (O, RU); yellow-white striped cup A (O, RU)</x:v>
      </x:c>
      <x:c r="F21" s="9" t="str">
        <x:v>glass spice container B</x:v>
      </x:c>
      <x:c r="G21" s="9" t="str">
        <x:v>didn't move for the start of the episde. when movement happened, it did go for the glass container, but it didn't end up have enough time to grasp it and put it in the bowl.</x:v>
      </x:c>
      <x:c r="H21" s="9" t="str">
        <x:v>In-distribution concept baseline</x:v>
      </x:c>
      <x:c r="I21" s="9" t="str">
        <x:v>SR-ID20</x:v>
      </x:c>
      <x:c r="J21" s="9" t="str">
        <x:v>Exact training-supported state-object baseline</x:v>
      </x:c>
      <x:c r="K21" s="9"/>
      <x:c r="L21" s="9" t="str">
        <x:v>162</x:v>
      </x:c>
      <x:c r="M21" s="9" t="str">
        <x:v>Exact manifest episode: trained state-object cell, prompt, same-category candidate structure, and object membership match; physical layout is manually recreated. All objects are upright, matching the context of every explicit open/closed training demonstration.</x:v>
      </x:c>
      <x:c r="N21" s="9" t="n">
        <x:v>1</x:v>
      </x:c>
      <x:c r="O21" s="9" t="str">
        <x:v>Recreate the listed manifest scene with the bowl empty.</x:v>
      </x:c>
      <x:c r="P21" s="9" t="str">
        <x:v>The queried state-object combination and same-category discrimination structure are explicitly represented in training. The orthogonal orientation axis is fixed: every object is RU.</x:v>
      </x:c>
      <x:c r="Q21" s="9"/>
      <x:c r="R21" s="10" t="n">
        <x:v>4</x:v>
      </x:c>
      <x:c r="S21" s="10" t="n">
        <x:v>1</x:v>
      </x:c>
      <x:c r="T21" s="9" t="str">
        <x:v>Empty</x:v>
      </x:c>
      <x:c r="U21" s="9" t="str">
        <x:v>O</x:v>
      </x:c>
      <x:c r="V21" s="9" t="str">
        <x:v>glass spice container</x:v>
      </x:c>
      <x:c r="W21" s="9"/>
      <x:c r="X21" s="10"/>
      <x:c r="Y21" s="10"/>
      <x:c r="Z21" s="9"/>
      <x:c r="AA21" s="9"/>
      <x:c r="AB21" s="9"/>
      <x:c r="AC21" s="9"/>
      <x:c r="AD21" s="9"/>
      <x:c r="AE21" s="9"/>
      <x:c r="AF21" s="9"/>
      <x:c r="AG21" s="9"/>
      <x:c r="AH21" s="9"/>
      <x:c r="AI21" s="11"/>
      <x:c r="AJ21" s="9"/>
      <x:c r="AK21" s="9" t="str">
        <x:v>Eval_State_Recognition.xlsm</x:v>
      </x:c>
      <x:c r="AL21" s="9" t="str">
        <x:v>GR00T action only 1 epoch Resul</x:v>
      </x:c>
      <x:c r="AM21" s="9" t="n">
        <x:v>21</x:v>
      </x:c>
      <x:c r="AN21" s="9" t="n">
        <x:v>21</x:v>
      </x:c>
    </x:row>
  </x:sheetData>
  <x:conditionalFormatting sqref="A2:A21">
    <x:cfRule type="containsText" dxfId="10" priority="1" operator="containsText" text="Success"/>
    <x:cfRule type="containsText" dxfId="11" priority="2" operator="containsText" text="Failure"/>
  </x:conditionalFormatting>
  <x:dataValidations count="1">
    <x:dataValidation type="list" sqref="A2:A21">
      <x:formula1>"Success,Failure"</x:formula1>
    </x:dataValidation>
  </x:dataValidations>
  <x:pageMargins left="0.7" right="0.7" top="0.75" bottom="0.75" header="0.3" footer="0.3"/>
  <x:tableParts count="1">
    <x:tablePart xmlns:r="http://schemas.openxmlformats.org/officeDocument/2006/relationships" r:id="R41ec6bf34f9f42d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7" hidden="0" customWidth="1"/>
    <x:col min="2" max="2" width="31" hidden="0" customWidth="1"/>
    <x:col min="3" max="3" width="35" hidden="0" customWidth="1"/>
    <x:col min="4" max="4" width="22" hidden="0" customWidth="1"/>
    <x:col min="5" max="5" width="12" hidden="0" customWidth="1"/>
    <x:col min="6" max="6" width="12" hidden="0" customWidth="1"/>
    <x:col min="7" max="7" width="12" hidden="0" customWidth="1"/>
    <x:col min="8" max="8" width="15" hidden="0" customWidth="1"/>
    <x:col min="9" max="9" width="15" hidden="0" customWidth="1"/>
    <x:col min="10" max="10" width="17" hidden="0" customWidth="1"/>
    <x:col min="11" max="11" width="13" hidden="0" customWidth="1"/>
    <x:col min="12" max="12" width="13" hidden="0" customWidth="1"/>
    <x:col min="13" max="13" width="24" hidden="0" customWidth="1"/>
    <x:col min="14" max="14" width="28" hidden="0" customWidth="1"/>
    <x:col min="15" max="15" width="36" hidden="0" customWidth="1"/>
    <x:col min="17" max="17" width="18" hidden="0" customWidth="1"/>
    <x:col min="18" max="18" width="20" hidden="0" customWidth="1"/>
    <x:col min="19" max="19" width="20" hidden="0" customWidth="1"/>
    <x:col min="20" max="20" width="20" hidden="0" customWidth="1"/>
    <x:col min="21" max="21" width="20" hidden="0" customWidth="1"/>
    <x:col min="22" max="22" width="20" hidden="0" customWidth="1"/>
  </x:cols>
  <x:sheetData>
    <x:row r="1">
      <x:c r="A1" s="14" t="str">
        <x:v>Segment</x:v>
      </x:c>
      <x:c r="B1" s="14" t="str">
        <x:v>Task</x:v>
      </x:c>
      <x:c r="C1" s="14" t="str">
        <x:v>Model</x:v>
      </x:c>
      <x:c r="D1" s="14" t="str">
        <x:v>Model Sheet</x:v>
      </x:c>
      <x:c r="E1" s="14" t="str">
        <x:v>Success</x:v>
      </x:c>
      <x:c r="F1" s="14" t="str">
        <x:v>Failure</x:v>
      </x:c>
      <x:c r="G1" s="14" t="str">
        <x:v>Scored</x:v>
      </x:c>
      <x:c r="H1" s="14" t="str">
        <x:v>Success Rate</x:v>
      </x:c>
      <x:c r="I1" s="14" t="str">
        <x:v>Wilson Center</x:v>
      </x:c>
      <x:c r="J1" s="14" t="str">
        <x:v>Wilson Half-width</x:v>
      </x:c>
      <x:c r="K1" s="14" t="str">
        <x:v>CI Lower</x:v>
      </x:c>
      <x:c r="L1" s="14" t="str">
        <x:v>CI Upper</x:v>
      </x:c>
      <x:c r="M1" s="14" t="str">
        <x:v>Wilson 95% CI</x:v>
      </x:c>
      <x:c r="N1" s="14" t="str">
        <x:v>Parameter</x:v>
      </x:c>
      <x:c r="O1" s="14" t="str">
        <x:v>Value</x:v>
      </x:c>
      <x:c r="Q1" s="23" t="str">
        <x:v>Task</x:v>
      </x:c>
      <x:c r="R1" s="23" t="str">
        <x:v>VLA-0</x:v>
      </x:c>
      <x:c r="S1" s="23" t="str">
        <x:v>GR00T-N1.7 Vision</x:v>
      </x:c>
      <x:c r="T1" s="23" t="str">
        <x:v>GR00T-N1.7 Full FT</x:v>
      </x:c>
      <x:c r="U1" s="23" t="str">
        <x:v>MolmoAct2</x:v>
      </x:c>
      <x:c r="V1" s="23" t="str">
        <x:v>Pi0.5</x:v>
      </x:c>
    </x:row>
    <x:row r="2">
      <x:c r="A2" s="18" t="str">
        <x:v>In-distribution</x:v>
      </x:c>
      <x:c r="B2" s="18" t="str">
        <x:v>All tasks</x:v>
      </x:c>
      <x:c r="C2" s="18" t="str">
        <x:v>VLA-0</x:v>
      </x:c>
      <x:c r="D2" s="18" t="str">
        <x:v>VLA-0</x:v>
      </x:c>
      <x:c r="E2" s="19" t="n">
        <x:f>COUNTIFS('VLA-0'!$A$2:$A$73,"Success",'VLA-0'!$H$2:$H$73,$O$2)</x:f>
        <x:v>0</x:v>
      </x:c>
      <x:c r="F2" s="19" t="n">
        <x:f>COUNTIFS('VLA-0'!$A$2:$A$73,"Failure",'VLA-0'!$H$2:$H$73,$O$2)</x:f>
        <x:v>72</x:v>
      </x:c>
      <x:c r="G2" s="19" t="n">
        <x:f>E2+F2</x:f>
        <x:v>72</x:v>
      </x:c>
      <x:c r="H2" s="20" t="n">
        <x:f>IF(G2=0,"",E2/G2)</x:f>
        <x:v>0</x:v>
      </x:c>
      <x:c r="I2" s="20" t="n">
        <x:f>IF(G2=0,"",(H2+$O$4^2/(2*G2))/(1+$O$4^2/G2))</x:f>
        <x:v>0.02532646990569819</x:v>
      </x:c>
      <x:c r="J2" s="20" t="n">
        <x:f>IF(G2=0,"",$O$4*SQRT(H2*(1-H2)/G2+$O$4^2/(4*G2^2))/(1+$O$4^2/G2))</x:f>
        <x:v>0.02532646990569819</x:v>
      </x:c>
      <x:c r="K2" s="20" t="n">
        <x:f>IF(G2=0,"",MAX(0,I2-J2))</x:f>
        <x:v>0</x:v>
      </x:c>
      <x:c r="L2" s="20" t="n">
        <x:f>IF(G2=0,"",MIN(1,I2+J2))</x:f>
        <x:v>0.05065293981139638</x:v>
      </x:c>
      <x:c r="M2" s="18" t="str">
        <x:f>IF(G2=0,"",TEXT(K2,"0.0%")&amp;" – "&amp;TEXT(L2,"0.0%"))</x:f>
        <x:v>0.0% – 5.1%</x:v>
      </x:c>
      <x:c r="N2" s="18" t="str">
        <x:v>In-distribution condition</x:v>
      </x:c>
      <x:c r="O2" s="18" t="str">
        <x:v>In-distribution concept baseline</x:v>
      </x:c>
      <x:c r="Q2" s="21" t="str">
        <x:v>All tasks</x:v>
      </x:c>
      <x:c r="R2" s="24" t="n">
        <x:f>H2</x:f>
        <x:v>0</x:v>
      </x:c>
      <x:c r="S2" s="24" t="n">
        <x:f>H3</x:f>
        <x:v>0.675</x:v>
      </x:c>
      <x:c r="T2" s="24" t="n">
        <x:f>H4</x:f>
        <x:v>0.21008403361344538</x:v>
      </x:c>
      <x:c r="U2" s="24" t="n">
        <x:f>H5</x:f>
        <x:v>0.725</x:v>
      </x:c>
      <x:c r="V2" s="24" t="n">
        <x:f>H6</x:f>
        <x:v>0.6833333333333333</x:v>
      </x:c>
    </x:row>
    <x:row r="3">
      <x:c r="A3" s="18" t="str">
        <x:v>In-distribution</x:v>
      </x:c>
      <x:c r="B3" s="18" t="str">
        <x:v>All tasks</x:v>
      </x:c>
      <x:c r="C3" s="18" t="str">
        <x:v>GR00T-N1.7 (vision only)</x:v>
      </x:c>
      <x:c r="D3" s="18" t="str">
        <x:v>GR00T Vision</x:v>
      </x:c>
      <x:c r="E3" s="19" t="n">
        <x:f>COUNTIFS('GR00T Vision'!$A$2:$A$901,"Success",'GR00T Vision'!$H$2:$H$901,$O$2)</x:f>
        <x:v>81</x:v>
      </x:c>
      <x:c r="F3" s="19" t="n">
        <x:f>COUNTIFS('GR00T Vision'!$A$2:$A$901,"Failure",'GR00T Vision'!$H$2:$H$901,$O$2)</x:f>
        <x:v>39</x:v>
      </x:c>
      <x:c r="G3" s="19" t="n">
        <x:f>E3+F3</x:f>
        <x:v>120</x:v>
      </x:c>
      <x:c r="H3" s="20" t="n">
        <x:f>IF(G3=0,"",E3/G3)</x:f>
        <x:v>0.675</x:v>
      </x:c>
      <x:c r="I3" s="20" t="n">
        <x:f>IF(G3=0,"",(H3+$O$4^2/(2*G3))/(1+$O$4^2/G3))</x:f>
        <x:v>0.6695714525652124</x:v>
      </x:c>
      <x:c r="J3" s="20" t="n">
        <x:f>IF(G3=0,"",$O$4*SQRT(H3*(1-H3)/G3+$O$4^2/(4*G3^2))/(1+$O$4^2/G3))</x:f>
        <x:v>0.0826712833464334</x:v>
      </x:c>
      <x:c r="K3" s="20" t="n">
        <x:f>IF(G3=0,"",MAX(0,I3-J3))</x:f>
        <x:v>0.5869001692187791</x:v>
      </x:c>
      <x:c r="L3" s="20" t="n">
        <x:f>IF(G3=0,"",MIN(1,I3+J3))</x:f>
        <x:v>0.7522427359116458</x:v>
      </x:c>
      <x:c r="M3" s="18" t="str">
        <x:f>IF(G3=0,"",TEXT(K3,"0.0%")&amp;" – "&amp;TEXT(L3,"0.0%"))</x:f>
        <x:v>58.7% – 75.2%</x:v>
      </x:c>
      <x:c r="N3" s="18" t="str">
        <x:v>Concept-transfer condition</x:v>
      </x:c>
      <x:c r="O3" s="18" t="str">
        <x:v>Concept/compositional transfer</x:v>
      </x:c>
    </x:row>
    <x:row r="4">
      <x:c r="A4" s="18" t="str">
        <x:v>In-distribution</x:v>
      </x:c>
      <x:c r="B4" s="18" t="str">
        <x:v>All tasks</x:v>
      </x:c>
      <x:c r="C4" s="18" t="str">
        <x:v>GR00T-N1.7 (full finetune)</x:v>
      </x:c>
      <x:c r="D4" s="18" t="str">
        <x:v>GR00T Full</x:v>
      </x:c>
      <x:c r="E4" s="19" t="n">
        <x:f>COUNTIFS('GR00T Full'!$A$2:$A$120,"Success",'GR00T Full'!$H$2:$H$120,$O$2)</x:f>
        <x:v>25</x:v>
      </x:c>
      <x:c r="F4" s="19" t="n">
        <x:f>COUNTIFS('GR00T Full'!$A$2:$A$120,"Failure",'GR00T Full'!$H$2:$H$120,$O$2)</x:f>
        <x:v>94</x:v>
      </x:c>
      <x:c r="G4" s="19" t="n">
        <x:f>E4+F4</x:f>
        <x:v>119</x:v>
      </x:c>
      <x:c r="H4" s="20" t="n">
        <x:f>IF(G4=0,"",E4/G4)</x:f>
        <x:v>0.21008403361344538</x:v>
      </x:c>
      <x:c r="I4" s="20" t="n">
        <x:f>IF(G4=0,"",(H4+$O$4^2/(2*G4))/(1+$O$4^2/G4))</x:f>
        <x:v>0.2191505157861832</x:v>
      </x:c>
      <x:c r="J4" s="20" t="n">
        <x:f>IF(G4=0,"",$O$4*SQRT(H4*(1-H4)/G4+$O$4^2/(4*G4^2))/(1+$O$4^2/G4))</x:f>
        <x:v>0.07260772378669295</x:v>
      </x:c>
      <x:c r="K4" s="20" t="n">
        <x:f>IF(G4=0,"",MAX(0,I4-J4))</x:f>
        <x:v>0.14654279199949025</x:v>
      </x:c>
      <x:c r="L4" s="20" t="n">
        <x:f>IF(G4=0,"",MIN(1,I4+J4))</x:f>
        <x:v>0.29175823957287617</x:v>
      </x:c>
      <x:c r="M4" s="18" t="str">
        <x:f>IF(G4=0,"",TEXT(K4,"0.0%")&amp;" – "&amp;TEXT(L4,"0.0%"))</x:f>
        <x:v>14.7% – 29.2%</x:v>
      </x:c>
      <x:c r="N4" s="18" t="str">
        <x:v>Wilson z</x:v>
      </x:c>
      <x:c r="O4" s="18" t="n">
        <x:v>1.96</x:v>
      </x:c>
    </x:row>
    <x:row r="5">
      <x:c r="A5" s="18" t="str">
        <x:v>In-distribution</x:v>
      </x:c>
      <x:c r="B5" s="18" t="str">
        <x:v>All tasks</x:v>
      </x:c>
      <x:c r="C5" s="18" t="str">
        <x:v>MolmoAct2</x:v>
      </x:c>
      <x:c r="D5" s="18" t="str">
        <x:v>MolmoAct2</x:v>
      </x:c>
      <x:c r="E5" s="19" t="n">
        <x:f>COUNTIFS('MolmoAct2'!$A$2:$A$901,"Success",'MolmoAct2'!$H$2:$H$901,$O$2)</x:f>
        <x:v>87</x:v>
      </x:c>
      <x:c r="F5" s="19" t="n">
        <x:f>COUNTIFS('MolmoAct2'!$A$2:$A$901,"Failure",'MolmoAct2'!$H$2:$H$901,$O$2)</x:f>
        <x:v>33</x:v>
      </x:c>
      <x:c r="G5" s="19" t="n">
        <x:f>E5+F5</x:f>
        <x:v>120</x:v>
      </x:c>
      <x:c r="H5" s="20" t="n">
        <x:f>IF(G5=0,"",E5/G5)</x:f>
        <x:v>0.725</x:v>
      </x:c>
      <x:c r="I5" s="20" t="n">
        <x:f>IF(G5=0,"",(H5+$O$4^2/(2*G5))/(1+$O$4^2/G5))</x:f>
        <x:v>0.7180204390124159</x:v>
      </x:c>
      <x:c r="J5" s="20" t="n">
        <x:f>IF(G5=0,"",$O$4*SQRT(H5*(1-H5)/G5+$O$4^2/(4*G5^2))/(1+$O$4^2/G5))</x:f>
        <x:v>0.07895176257282262</x:v>
      </x:c>
      <x:c r="K5" s="20" t="n">
        <x:f>IF(G5=0,"",MAX(0,I5-J5))</x:f>
        <x:v>0.6390686764395932</x:v>
      </x:c>
      <x:c r="L5" s="20" t="n">
        <x:f>IF(G5=0,"",MIN(1,I5+J5))</x:f>
        <x:v>0.7969722015852385</x:v>
      </x:c>
      <x:c r="M5" s="18" t="str">
        <x:f>IF(G5=0,"",TEXT(K5,"0.0%")&amp;" – "&amp;TEXT(L5,"0.0%"))</x:f>
        <x:v>63.9% – 79.7%</x:v>
      </x:c>
      <x:c r="N5" s="18"/>
      <x:c r="O5" s="18"/>
      <x:c r="Q5" s="23" t="str">
        <x:v>Task</x:v>
      </x:c>
      <x:c r="R5" s="23" t="str">
        <x:v>GR00T-N1.7 Vision</x:v>
      </x:c>
      <x:c r="S5" s="23" t="str">
        <x:v>MolmoAct2</x:v>
      </x:c>
      <x:c r="T5" s="23" t="str">
        <x:v>Pi0.5</x:v>
      </x:c>
    </x:row>
    <x:row r="6">
      <x:c r="A6" s="18" t="str">
        <x:v>In-distribution</x:v>
      </x:c>
      <x:c r="B6" s="18" t="str">
        <x:v>All tasks</x:v>
      </x:c>
      <x:c r="C6" s="18" t="str">
        <x:v>Pi0.5</x:v>
      </x:c>
      <x:c r="D6" s="18" t="str">
        <x:v>Pi0.5</x:v>
      </x:c>
      <x:c r="E6" s="19" t="n">
        <x:f>COUNTIFS('Pi0.5'!$A$2:$A$901,"Success",'Pi0.5'!$H$2:$H$901,$O$2)</x:f>
        <x:v>82</x:v>
      </x:c>
      <x:c r="F6" s="19" t="n">
        <x:f>COUNTIFS('Pi0.5'!$A$2:$A$901,"Failure",'Pi0.5'!$H$2:$H$901,$O$2)</x:f>
        <x:v>38</x:v>
      </x:c>
      <x:c r="G6" s="19" t="n">
        <x:f>E6+F6</x:f>
        <x:v>120</x:v>
      </x:c>
      <x:c r="H6" s="20" t="n">
        <x:f>IF(G6=0,"",E6/G6)</x:f>
        <x:v>0.6833333333333333</x:v>
      </x:c>
      <x:c r="I6" s="20" t="n">
        <x:f>IF(G6=0,"",(H6+$O$4^2/(2*G6))/(1+$O$4^2/G6))</x:f>
        <x:v>0.6776462836397463</x:v>
      </x:c>
      <x:c r="J6" s="20" t="n">
        <x:f>IF(G6=0,"",$O$4*SQRT(H6*(1-H6)/G6+$O$4^2/(4*G6^2))/(1+$O$4^2/G6))</x:f>
        <x:v>0.08212663709809429</x:v>
      </x:c>
      <x:c r="K6" s="20" t="n">
        <x:f>IF(G6=0,"",MAX(0,I6-J6))</x:f>
        <x:v>0.595519646541652</x:v>
      </x:c>
      <x:c r="L6" s="20" t="n">
        <x:f>IF(G6=0,"",MIN(1,I6+J6))</x:f>
        <x:v>0.7597729207378406</x:v>
      </x:c>
      <x:c r="M6" s="18" t="str">
        <x:f>IF(G6=0,"",TEXT(K6,"0.0%")&amp;" – "&amp;TEXT(L6,"0.0%"))</x:f>
        <x:v>59.6% – 76.0%</x:v>
      </x:c>
      <x:c r="N6" s="18"/>
      <x:c r="O6" s="18"/>
      <x:c r="Q6" s="21" t="str">
        <x:v>All tasks</x:v>
      </x:c>
      <x:c r="R6" s="24" t="n">
        <x:f>H7</x:f>
        <x:v>0.44333333333333336</x:v>
      </x:c>
      <x:c r="S6" s="24" t="n">
        <x:f>H8</x:f>
        <x:v>0.52</x:v>
      </x:c>
      <x:c r="T6" s="24" t="n">
        <x:f>H9</x:f>
        <x:v>0.4066666666666667</x:v>
      </x:c>
    </x:row>
    <x:row r="7">
      <x:c r="A7" s="18" t="str">
        <x:v>Concept transfer</x:v>
      </x:c>
      <x:c r="B7" s="18" t="str">
        <x:v>All tasks</x:v>
      </x:c>
      <x:c r="C7" s="18" t="str">
        <x:v>GR00T-N1.7 (vision only)</x:v>
      </x:c>
      <x:c r="D7" s="18" t="str">
        <x:v>GR00T Vision</x:v>
      </x:c>
      <x:c r="E7" s="19" t="n">
        <x:f>COUNTIFS('GR00T Vision'!$A$2:$A$901,"Success",'GR00T Vision'!$H$2:$H$901,$O$3)</x:f>
        <x:v>133</x:v>
      </x:c>
      <x:c r="F7" s="19" t="n">
        <x:f>COUNTIFS('GR00T Vision'!$A$2:$A$901,"Failure",'GR00T Vision'!$H$2:$H$901,$O$3)</x:f>
        <x:v>167</x:v>
      </x:c>
      <x:c r="G7" s="19" t="n">
        <x:f>E7+F7</x:f>
        <x:v>300</x:v>
      </x:c>
      <x:c r="H7" s="20" t="n">
        <x:f>IF(G7=0,"",E7/G7)</x:f>
        <x:v>0.44333333333333336</x:v>
      </x:c>
      <x:c r="I7" s="20" t="n">
        <x:f>IF(G7=0,"",(H7+$O$4^2/(2*G7))/(1+$O$4^2/G7))</x:f>
        <x:v>0.44404979436653835</x:v>
      </x:c>
      <x:c r="J7" s="20" t="n">
        <x:f>IF(G7=0,"",$O$4*SQRT(H7*(1-H7)/G7+$O$4^2/(4*G7^2))/(1+$O$4^2/G7))</x:f>
        <x:v>0.05586386450378932</x:v>
      </x:c>
      <x:c r="K7" s="20" t="n">
        <x:f>IF(G7=0,"",MAX(0,I7-J7))</x:f>
        <x:v>0.388185929862749</x:v>
      </x:c>
      <x:c r="L7" s="20" t="n">
        <x:f>IF(G7=0,"",MIN(1,I7+J7))</x:f>
        <x:v>0.4999136588703277</x:v>
      </x:c>
      <x:c r="M7" s="18" t="str">
        <x:f>IF(G7=0,"",TEXT(K7,"0.0%")&amp;" – "&amp;TEXT(L7,"0.0%"))</x:f>
        <x:v>38.8% – 50.0%</x:v>
      </x:c>
      <x:c r="N7" s="18"/>
      <x:c r="O7" s="18"/>
    </x:row>
    <x:row r="8">
      <x:c r="A8" s="18" t="str">
        <x:v>Concept transfer</x:v>
      </x:c>
      <x:c r="B8" s="18" t="str">
        <x:v>All tasks</x:v>
      </x:c>
      <x:c r="C8" s="18" t="str">
        <x:v>MolmoAct2</x:v>
      </x:c>
      <x:c r="D8" s="18" t="str">
        <x:v>MolmoAct2</x:v>
      </x:c>
      <x:c r="E8" s="19" t="n">
        <x:f>COUNTIFS('MolmoAct2'!$A$2:$A$901,"Success",'MolmoAct2'!$H$2:$H$901,$O$3)</x:f>
        <x:v>156</x:v>
      </x:c>
      <x:c r="F8" s="19" t="n">
        <x:f>COUNTIFS('MolmoAct2'!$A$2:$A$901,"Failure",'MolmoAct2'!$H$2:$H$901,$O$3)</x:f>
        <x:v>144</x:v>
      </x:c>
      <x:c r="G8" s="19" t="n">
        <x:f>E8+F8</x:f>
        <x:v>300</x:v>
      </x:c>
      <x:c r="H8" s="20" t="n">
        <x:f>IF(G8=0,"",E8/G8)</x:f>
        <x:v>0.52</x:v>
      </x:c>
      <x:c r="I8" s="20" t="n">
        <x:f>IF(G8=0,"",(H8+$O$4^2/(2*G8))/(1+$O$4^2/G8))</x:f>
        <x:v>0.5197471314000454</x:v>
      </x:c>
      <x:c r="J8" s="20" t="n">
        <x:f>IF(G8=0,"",$O$4*SQRT(H8*(1-H8)/G8+$O$4^2/(4*G8^2))/(1+$O$4^2/G8))</x:f>
        <x:v>0.05617707779836598</x:v>
      </x:c>
      <x:c r="K8" s="20" t="n">
        <x:f>IF(G8=0,"",MAX(0,I8-J8))</x:f>
        <x:v>0.46357005360167935</x:v>
      </x:c>
      <x:c r="L8" s="20" t="n">
        <x:f>IF(G8=0,"",MIN(1,I8+J8))</x:f>
        <x:v>0.5759242091984114</x:v>
      </x:c>
      <x:c r="M8" s="18" t="str">
        <x:f>IF(G8=0,"",TEXT(K8,"0.0%")&amp;" – "&amp;TEXT(L8,"0.0%"))</x:f>
        <x:v>46.4% – 57.6%</x:v>
      </x:c>
      <x:c r="N8" s="18"/>
      <x:c r="O8" s="18"/>
    </x:row>
    <x:row r="9">
      <x:c r="A9" s="18" t="str">
        <x:v>Concept transfer</x:v>
      </x:c>
      <x:c r="B9" s="18" t="str">
        <x:v>All tasks</x:v>
      </x:c>
      <x:c r="C9" s="18" t="str">
        <x:v>Pi0.5</x:v>
      </x:c>
      <x:c r="D9" s="18" t="str">
        <x:v>Pi0.5</x:v>
      </x:c>
      <x:c r="E9" s="19" t="n">
        <x:f>COUNTIFS('Pi0.5'!$A$2:$A$901,"Success",'Pi0.5'!$H$2:$H$901,$O$3)</x:f>
        <x:v>122</x:v>
      </x:c>
      <x:c r="F9" s="19" t="n">
        <x:f>COUNTIFS('Pi0.5'!$A$2:$A$901,"Failure",'Pi0.5'!$H$2:$H$901,$O$3)</x:f>
        <x:v>178</x:v>
      </x:c>
      <x:c r="G9" s="19" t="n">
        <x:f>E9+F9</x:f>
        <x:v>300</x:v>
      </x:c>
      <x:c r="H9" s="20" t="n">
        <x:f>IF(G9=0,"",E9/G9)</x:f>
        <x:v>0.4066666666666667</x:v>
      </x:c>
      <x:c r="I9" s="20" t="n">
        <x:f>IF(G9=0,"",(H9+$O$4^2/(2*G9))/(1+$O$4^2/G9))</x:f>
        <x:v>0.407846720133122</x:v>
      </x:c>
      <x:c r="J9" s="20" t="n">
        <x:f>IF(G9=0,"",$O$4*SQRT(H9*(1-H9)/G9+$O$4^2/(4*G9^2))/(1+$O$4^2/G9))</x:f>
        <x:v>0.05524592023020142</x:v>
      </x:c>
      <x:c r="K9" s="20" t="n">
        <x:f>IF(G9=0,"",MAX(0,I9-J9))</x:f>
        <x:v>0.3526007999029206</x:v>
      </x:c>
      <x:c r="L9" s="20" t="n">
        <x:f>IF(G9=0,"",MIN(1,I9+J9))</x:f>
        <x:v>0.4630926403633234</x:v>
      </x:c>
      <x:c r="M9" s="18" t="str">
        <x:f>IF(G9=0,"",TEXT(K9,"0.0%")&amp;" – "&amp;TEXT(L9,"0.0%"))</x:f>
        <x:v>35.3% – 46.3%</x:v>
      </x:c>
      <x:c r="N9" s="18"/>
      <x:c r="O9" s="18"/>
      <x:c r="Q9" s="23" t="str">
        <x:v>Task</x:v>
      </x:c>
      <x:c r="R9" s="23" t="str">
        <x:v>VLA-0</x:v>
      </x:c>
      <x:c r="S9" s="23" t="str">
        <x:v>GR00T-N1.7 Vision</x:v>
      </x:c>
      <x:c r="T9" s="23" t="str">
        <x:v>GR00T-N1.7 Full FT</x:v>
      </x:c>
      <x:c r="U9" s="23" t="str">
        <x:v>MolmoAct2</x:v>
      </x:c>
      <x:c r="V9" s="23" t="str">
        <x:v>Pi0.5</x:v>
      </x:c>
    </x:row>
    <x:row r="10">
      <x:c r="A10" s="18" t="str">
        <x:v>In-distribution</x:v>
      </x:c>
      <x:c r="B10" s="18" t="str">
        <x:v>State Recognition</x:v>
      </x:c>
      <x:c r="C10" s="18" t="str">
        <x:v>VLA-0</x:v>
      </x:c>
      <x:c r="D10" s="18" t="str">
        <x:v>VLA-0</x:v>
      </x:c>
      <x:c r="E10" s="19" t="n">
        <x:f>COUNTIFS('VLA-0'!$A$2:$A$73,"Success",'VLA-0'!$H$2:$H$73,$O$2,'VLA-0'!$B$2:$B$73,$B10)</x:f>
        <x:v>0</x:v>
      </x:c>
      <x:c r="F10" s="19" t="n">
        <x:f>COUNTIFS('VLA-0'!$A$2:$A$73,"Failure",'VLA-0'!$H$2:$H$73,$O$2,'VLA-0'!$B$2:$B$73,$B10)</x:f>
        <x:v>10</x:v>
      </x:c>
      <x:c r="G10" s="19" t="n">
        <x:f>E10+F10</x:f>
        <x:v>10</x:v>
      </x:c>
      <x:c r="H10" s="20" t="n">
        <x:f>IF(G10=0,"",E10/G10)</x:f>
        <x:v>0</x:v>
      </x:c>
      <x:c r="I10" s="20" t="n">
        <x:f>IF(G10=0,"",(H10+$O$4^2/(2*G10))/(1+$O$4^2/G10))</x:f>
        <x:v>0.13877008438330826</x:v>
      </x:c>
      <x:c r="J10" s="20" t="n">
        <x:f>IF(G10=0,"",$O$4*SQRT(H10*(1-H10)/G10+$O$4^2/(4*G10^2))/(1+$O$4^2/G10))</x:f>
        <x:v>0.1387700843833083</x:v>
      </x:c>
      <x:c r="K10" s="20" t="n">
        <x:f>IF(G10=0,"",MAX(0,I10-J10))</x:f>
        <x:v>0</x:v>
      </x:c>
      <x:c r="L10" s="20" t="n">
        <x:f>IF(G10=0,"",MIN(1,I10+J10))</x:f>
        <x:v>0.2775401687666166</x:v>
      </x:c>
      <x:c r="M10" s="18" t="str">
        <x:f>IF(G10=0,"",TEXT(K10,"0.0%")&amp;" – "&amp;TEXT(L10,"0.0%"))</x:f>
        <x:v>0.0% – 27.8%</x:v>
      </x:c>
      <x:c r="N10" s="18"/>
      <x:c r="O10" s="18"/>
      <x:c r="Q10" s="21" t="str">
        <x:v>State</x:v>
      </x:c>
      <x:c r="R10" s="24" t="n">
        <x:f>H10</x:f>
        <x:v>0</x:v>
      </x:c>
      <x:c r="S10" s="24" t="n">
        <x:f>H11</x:f>
        <x:v>0.85</x:v>
      </x:c>
      <x:c r="T10" s="24" t="n">
        <x:f>H12</x:f>
        <x:v>0.2</x:v>
      </x:c>
      <x:c r="U10" s="24" t="n">
        <x:f>H13</x:f>
        <x:v>0.9</x:v>
      </x:c>
      <x:c r="V10" s="24" t="n">
        <x:f>H14</x:f>
        <x:v>0.8</x:v>
      </x:c>
    </x:row>
    <x:row r="11">
      <x:c r="A11" s="18" t="str">
        <x:v>In-distribution</x:v>
      </x:c>
      <x:c r="B11" s="18" t="str">
        <x:v>State Recognition</x:v>
      </x:c>
      <x:c r="C11" s="18" t="str">
        <x:v>GR00T-N1.7 (vision only)</x:v>
      </x:c>
      <x:c r="D11" s="18" t="str">
        <x:v>GR00T Vision</x:v>
      </x:c>
      <x:c r="E11" s="19" t="n">
        <x:f>COUNTIFS('GR00T Vision'!$A$2:$A$901,"Success",'GR00T Vision'!$H$2:$H$901,$O$2,'GR00T Vision'!$B$2:$B$901,$B11)</x:f>
        <x:v>17</x:v>
      </x:c>
      <x:c r="F11" s="19" t="n">
        <x:f>COUNTIFS('GR00T Vision'!$A$2:$A$901,"Failure",'GR00T Vision'!$H$2:$H$901,$O$2,'GR00T Vision'!$B$2:$B$901,$B11)</x:f>
        <x:v>3</x:v>
      </x:c>
      <x:c r="G11" s="19" t="n">
        <x:f>E11+F11</x:f>
        <x:v>20</x:v>
      </x:c>
      <x:c r="H11" s="20" t="n">
        <x:f>IF(G11=0,"",E11/G11)</x:f>
        <x:v>0.85</x:v>
      </x:c>
      <x:c r="I11" s="20" t="n">
        <x:f>IF(G11=0,"",(H11+$O$4^2/(2*G11))/(1+$O$4^2/G11))</x:f>
        <x:v>0.7936044560767733</x:v>
      </x:c>
      <x:c r="J11" s="20" t="n">
        <x:f>IF(G11=0,"",$O$4*SQRT(H11*(1-H11)/G11+$O$4^2/(4*G11^2))/(1+$O$4^2/G11))</x:f>
        <x:v>0.15402775196373078</x:v>
      </x:c>
      <x:c r="K11" s="20" t="n">
        <x:f>IF(G11=0,"",MAX(0,I11-J11))</x:f>
        <x:v>0.6395767041130426</x:v>
      </x:c>
      <x:c r="L11" s="20" t="n">
        <x:f>IF(G11=0,"",MIN(1,I11+J11))</x:f>
        <x:v>0.9476322080405041</x:v>
      </x:c>
      <x:c r="M11" s="18" t="str">
        <x:f>IF(G11=0,"",TEXT(K11,"0.0%")&amp;" – "&amp;TEXT(L11,"0.0%"))</x:f>
        <x:v>64.0% – 94.8%</x:v>
      </x:c>
      <x:c r="N11" s="18"/>
      <x:c r="O11" s="18"/>
      <x:c r="Q11" s="21" t="str">
        <x:v>Counting</x:v>
      </x:c>
      <x:c r="R11" s="24" t="n">
        <x:f>H15</x:f>
        <x:v>0</x:v>
      </x:c>
      <x:c r="S11" s="24" t="n">
        <x:f>H16</x:f>
        <x:v>0.6</x:v>
      </x:c>
      <x:c r="T11" s="24" t="n">
        <x:f>H17</x:f>
        <x:v>0.3684210526315789</x:v>
      </x:c>
      <x:c r="U11" s="24" t="n">
        <x:f>H18</x:f>
        <x:v>0.6</x:v>
      </x:c>
      <x:c r="V11" s="24" t="n">
        <x:f>H19</x:f>
        <x:v>0.55</x:v>
      </x:c>
    </x:row>
    <x:row r="12">
      <x:c r="A12" s="18" t="str">
        <x:v>In-distribution</x:v>
      </x:c>
      <x:c r="B12" s="18" t="str">
        <x:v>State Recognition</x:v>
      </x:c>
      <x:c r="C12" s="18" t="str">
        <x:v>GR00T-N1.7 (full finetune)</x:v>
      </x:c>
      <x:c r="D12" s="18" t="str">
        <x:v>GR00T Full</x:v>
      </x:c>
      <x:c r="E12" s="19" t="n">
        <x:f>COUNTIFS('GR00T Full'!$A$2:$A$120,"Success",'GR00T Full'!$H$2:$H$120,$O$2,'GR00T Full'!$B$2:$B$120,$B12)</x:f>
        <x:v>4</x:v>
      </x:c>
      <x:c r="F12" s="19" t="n">
        <x:f>COUNTIFS('GR00T Full'!$A$2:$A$120,"Failure",'GR00T Full'!$H$2:$H$120,$O$2,'GR00T Full'!$B$2:$B$120,$B12)</x:f>
        <x:v>16</x:v>
      </x:c>
      <x:c r="G12" s="19" t="n">
        <x:f>E12+F12</x:f>
        <x:v>20</x:v>
      </x:c>
      <x:c r="H12" s="20" t="n">
        <x:f>IF(G12=0,"",E12/G12)</x:f>
        <x:v>0.2</x:v>
      </x:c>
      <x:c r="I12" s="20" t="n">
        <x:f>IF(G12=0,"",(H12+$O$4^2/(2*G12))/(1+$O$4^2/G12))</x:f>
        <x:v>0.24833903764847995</x:v>
      </x:c>
      <x:c r="J12" s="20" t="n">
        <x:f>IF(G12=0,"",$O$4*SQRT(H12*(1-H12)/G12+$O$4^2/(4*G12^2))/(1+$O$4^2/G12))</x:f>
        <x:v>0.16768268437727996</x:v>
      </x:c>
      <x:c r="K12" s="20" t="n">
        <x:f>IF(G12=0,"",MAX(0,I12-J12))</x:f>
        <x:v>0.0806563532712</x:v>
      </x:c>
      <x:c r="L12" s="20" t="n">
        <x:f>IF(G12=0,"",MIN(1,I12+J12))</x:f>
        <x:v>0.41602172202575993</x:v>
      </x:c>
      <x:c r="M12" s="18" t="str">
        <x:f>IF(G12=0,"",TEXT(K12,"0.0%")&amp;" – "&amp;TEXT(L12,"0.0%"))</x:f>
        <x:v>8.1% – 41.6%</x:v>
      </x:c>
      <x:c r="N12" s="18"/>
      <x:c r="O12" s="18"/>
      <x:c r="Q12" s="21" t="str">
        <x:v>Ordinal</x:v>
      </x:c>
      <x:c r="R12" s="24" t="n">
        <x:f>H20</x:f>
        <x:v>0</x:v>
      </x:c>
      <x:c r="S12" s="24" t="n">
        <x:f>H21</x:f>
        <x:v>0.45</x:v>
      </x:c>
      <x:c r="T12" s="24" t="n">
        <x:f>H22</x:f>
        <x:v>0.15</x:v>
      </x:c>
      <x:c r="U12" s="24" t="n">
        <x:f>H23</x:f>
        <x:v>0.5</x:v>
      </x:c>
      <x:c r="V12" s="24" t="n">
        <x:f>H24</x:f>
        <x:v>0.35</x:v>
      </x:c>
    </x:row>
    <x:row r="13">
      <x:c r="A13" s="18" t="str">
        <x:v>In-distribution</x:v>
      </x:c>
      <x:c r="B13" s="18" t="str">
        <x:v>State Recognition</x:v>
      </x:c>
      <x:c r="C13" s="18" t="str">
        <x:v>MolmoAct2</x:v>
      </x:c>
      <x:c r="D13" s="18" t="str">
        <x:v>MolmoAct2</x:v>
      </x:c>
      <x:c r="E13" s="19" t="n">
        <x:f>COUNTIFS('MolmoAct2'!$A$2:$A$901,"Success",'MolmoAct2'!$H$2:$H$901,$O$2,'MolmoAct2'!$B$2:$B$901,$B13)</x:f>
        <x:v>18</x:v>
      </x:c>
      <x:c r="F13" s="19" t="n">
        <x:f>COUNTIFS('MolmoAct2'!$A$2:$A$901,"Failure",'MolmoAct2'!$H$2:$H$901,$O$2,'MolmoAct2'!$B$2:$B$901,$B13)</x:f>
        <x:v>2</x:v>
      </x:c>
      <x:c r="G13" s="19" t="n">
        <x:f>E13+F13</x:f>
        <x:v>20</x:v>
      </x:c>
      <x:c r="H13" s="20" t="n">
        <x:f>IF(G13=0,"",E13/G13)</x:f>
        <x:v>0.9</x:v>
      </x:c>
      <x:c r="I13" s="20" t="n">
        <x:f>IF(G13=0,"",(H13+$O$4^2/(2*G13))/(1+$O$4^2/G13))</x:f>
        <x:v>0.8355479498020267</x:v>
      </x:c>
      <x:c r="J13" s="20" t="n">
        <x:f>IF(G13=0,"",$O$4*SQRT(H13*(1-H13)/G13+$O$4^2/(4*G13^2))/(1+$O$4^2/G13))</x:f>
        <x:v>0.13658615621382006</x:v>
      </x:c>
      <x:c r="K13" s="20" t="n">
        <x:f>IF(G13=0,"",MAX(0,I13-J13))</x:f>
        <x:v>0.6989617935882066</x:v>
      </x:c>
      <x:c r="L13" s="20" t="n">
        <x:f>IF(G13=0,"",MIN(1,I13+J13))</x:f>
        <x:v>0.9721341060158468</x:v>
      </x:c>
      <x:c r="M13" s="18" t="str">
        <x:f>IF(G13=0,"",TEXT(K13,"0.0%")&amp;" – "&amp;TEXT(L13,"0.0%"))</x:f>
        <x:v>69.9% – 97.2%</x:v>
      </x:c>
      <x:c r="N13" s="18"/>
      <x:c r="O13" s="18"/>
      <x:c r="Q13" s="21" t="str">
        <x:v>Relational</x:v>
      </x:c>
      <x:c r="R13" s="24" t="n">
        <x:f>H25</x:f>
        <x:v>0</x:v>
      </x:c>
      <x:c r="S13" s="24" t="n">
        <x:f>H26</x:f>
        <x:v>0.7</x:v>
      </x:c>
      <x:c r="T13" s="24" t="n">
        <x:f>H27</x:f>
        <x:v>0</x:v>
      </x:c>
      <x:c r="U13" s="24" t="n">
        <x:f>H28</x:f>
        <x:v>0.8</x:v>
      </x:c>
      <x:c r="V13" s="24" t="n">
        <x:f>H29</x:f>
        <x:v>0.65</x:v>
      </x:c>
    </x:row>
    <x:row r="14">
      <x:c r="A14" s="18" t="str">
        <x:v>In-distribution</x:v>
      </x:c>
      <x:c r="B14" s="18" t="str">
        <x:v>State Recognition</x:v>
      </x:c>
      <x:c r="C14" s="18" t="str">
        <x:v>Pi0.5</x:v>
      </x:c>
      <x:c r="D14" s="18" t="str">
        <x:v>Pi0.5</x:v>
      </x:c>
      <x:c r="E14" s="19" t="n">
        <x:f>COUNTIFS('Pi0.5'!$A$2:$A$901,"Success",'Pi0.5'!$H$2:$H$901,$O$2,'Pi0.5'!$B$2:$B$901,$B14)</x:f>
        <x:v>16</x:v>
      </x:c>
      <x:c r="F14" s="19" t="n">
        <x:f>COUNTIFS('Pi0.5'!$A$2:$A$901,"Failure",'Pi0.5'!$H$2:$H$901,$O$2,'Pi0.5'!$B$2:$B$901,$B14)</x:f>
        <x:v>4</x:v>
      </x:c>
      <x:c r="G14" s="19" t="n">
        <x:f>E14+F14</x:f>
        <x:v>20</x:v>
      </x:c>
      <x:c r="H14" s="20" t="n">
        <x:f>IF(G14=0,"",E14/G14)</x:f>
        <x:v>0.8</x:v>
      </x:c>
      <x:c r="I14" s="20" t="n">
        <x:f>IF(G14=0,"",(H14+$O$4^2/(2*G14))/(1+$O$4^2/G14))</x:f>
        <x:v>0.75166096235152</x:v>
      </x:c>
      <x:c r="J14" s="20" t="n">
        <x:f>IF(G14=0,"",$O$4*SQRT(H14*(1-H14)/G14+$O$4^2/(4*G14^2))/(1+$O$4^2/G14))</x:f>
        <x:v>0.16768268437727993</x:v>
      </x:c>
      <x:c r="K14" s="20" t="n">
        <x:f>IF(G14=0,"",MAX(0,I14-J14))</x:f>
        <x:v>0.5839782779742401</x:v>
      </x:c>
      <x:c r="L14" s="20" t="n">
        <x:f>IF(G14=0,"",MIN(1,I14+J14))</x:f>
        <x:v>0.9193436467288</x:v>
      </x:c>
      <x:c r="M14" s="18" t="str">
        <x:f>IF(G14=0,"",TEXT(K14,"0.0%")&amp;" – "&amp;TEXT(L14,"0.0%"))</x:f>
        <x:v>58.4% – 91.9%</x:v>
      </x:c>
      <x:c r="N14" s="18"/>
      <x:c r="O14" s="18"/>
      <x:c r="Q14" s="21" t="str">
        <x:v>Referential</x:v>
      </x:c>
      <x:c r="R14" s="24" t="n">
        <x:f>H30</x:f>
        <x:v>0</x:v>
      </x:c>
      <x:c r="S14" s="24" t="n">
        <x:f>H31</x:f>
        <x:v>0.6</x:v>
      </x:c>
      <x:c r="T14" s="24" t="n">
        <x:f>H32</x:f>
        <x:v>0.2</x:v>
      </x:c>
      <x:c r="U14" s="24" t="n">
        <x:f>H33</x:f>
        <x:v>0.75</x:v>
      </x:c>
      <x:c r="V14" s="24" t="n">
        <x:f>H34</x:f>
        <x:v>0.8</x:v>
      </x:c>
    </x:row>
    <x:row r="15">
      <x:c r="A15" s="18" t="str">
        <x:v>In-distribution</x:v>
      </x:c>
      <x:c r="B15" s="18" t="str">
        <x:v>Counting</x:v>
      </x:c>
      <x:c r="C15" s="18" t="str">
        <x:v>VLA-0</x:v>
      </x:c>
      <x:c r="D15" s="18" t="str">
        <x:v>VLA-0</x:v>
      </x:c>
      <x:c r="E15" s="19" t="n">
        <x:f>COUNTIFS('VLA-0'!$A$2:$A$73,"Success",'VLA-0'!$H$2:$H$73,$O$2,'VLA-0'!$B$2:$B$73,$B15)</x:f>
        <x:v>0</x:v>
      </x:c>
      <x:c r="F15" s="19" t="n">
        <x:f>COUNTIFS('VLA-0'!$A$2:$A$73,"Failure",'VLA-0'!$H$2:$H$73,$O$2,'VLA-0'!$B$2:$B$73,$B15)</x:f>
        <x:v>10</x:v>
      </x:c>
      <x:c r="G15" s="19" t="n">
        <x:f>E15+F15</x:f>
        <x:v>10</x:v>
      </x:c>
      <x:c r="H15" s="20" t="n">
        <x:f>IF(G15=0,"",E15/G15)</x:f>
        <x:v>0</x:v>
      </x:c>
      <x:c r="I15" s="20" t="n">
        <x:f>IF(G15=0,"",(H15+$O$4^2/(2*G15))/(1+$O$4^2/G15))</x:f>
        <x:v>0.13877008438330826</x:v>
      </x:c>
      <x:c r="J15" s="20" t="n">
        <x:f>IF(G15=0,"",$O$4*SQRT(H15*(1-H15)/G15+$O$4^2/(4*G15^2))/(1+$O$4^2/G15))</x:f>
        <x:v>0.1387700843833083</x:v>
      </x:c>
      <x:c r="K15" s="20" t="n">
        <x:f>IF(G15=0,"",MAX(0,I15-J15))</x:f>
        <x:v>0</x:v>
      </x:c>
      <x:c r="L15" s="20" t="n">
        <x:f>IF(G15=0,"",MIN(1,I15+J15))</x:f>
        <x:v>0.2775401687666166</x:v>
      </x:c>
      <x:c r="M15" s="18" t="str">
        <x:f>IF(G15=0,"",TEXT(K15,"0.0%")&amp;" – "&amp;TEXT(L15,"0.0%"))</x:f>
        <x:v>0.0% – 27.8%</x:v>
      </x:c>
      <x:c r="N15" s="18"/>
      <x:c r="O15" s="18"/>
      <x:c r="Q15" s="21" t="str">
        <x:v>Size</x:v>
      </x:c>
      <x:c r="R15" s="24" t="n">
        <x:f>H35</x:f>
        <x:v>0</x:v>
      </x:c>
      <x:c r="S15" s="24" t="n">
        <x:f>H36</x:f>
        <x:v>0.85</x:v>
      </x:c>
      <x:c r="T15" s="24" t="n">
        <x:f>H37</x:f>
        <x:v>0.35</x:v>
      </x:c>
      <x:c r="U15" s="24" t="n">
        <x:f>H38</x:f>
        <x:v>0.8</x:v>
      </x:c>
      <x:c r="V15" s="24" t="n">
        <x:f>H39</x:f>
        <x:v>0.95</x:v>
      </x:c>
    </x:row>
    <x:row r="16">
      <x:c r="A16" s="18" t="str">
        <x:v>In-distribution</x:v>
      </x:c>
      <x:c r="B16" s="18" t="str">
        <x:v>Counting</x:v>
      </x:c>
      <x:c r="C16" s="18" t="str">
        <x:v>GR00T-N1.7 (vision only)</x:v>
      </x:c>
      <x:c r="D16" s="18" t="str">
        <x:v>GR00T Vision</x:v>
      </x:c>
      <x:c r="E16" s="19" t="n">
        <x:f>COUNTIFS('GR00T Vision'!$A$2:$A$901,"Success",'GR00T Vision'!$H$2:$H$901,$O$2,'GR00T Vision'!$B$2:$B$901,$B16)</x:f>
        <x:v>12</x:v>
      </x:c>
      <x:c r="F16" s="19" t="n">
        <x:f>COUNTIFS('GR00T Vision'!$A$2:$A$901,"Failure",'GR00T Vision'!$H$2:$H$901,$O$2,'GR00T Vision'!$B$2:$B$901,$B16)</x:f>
        <x:v>8</x:v>
      </x:c>
      <x:c r="G16" s="19" t="n">
        <x:f>E16+F16</x:f>
        <x:v>20</x:v>
      </x:c>
      <x:c r="H16" s="20" t="n">
        <x:f>IF(G16=0,"",E16/G16)</x:f>
        <x:v>0.6</x:v>
      </x:c>
      <x:c r="I16" s="20" t="n">
        <x:f>IF(G16=0,"",(H16+$O$4^2/(2*G16))/(1+$O$4^2/G16))</x:f>
        <x:v>0.5838869874505067</x:v>
      </x:c>
      <x:c r="J16" s="20" t="n">
        <x:f>IF(G16=0,"",$O$4*SQRT(H16*(1-H16)/G16+$O$4^2/(4*G16^2))/(1+$O$4^2/G16))</x:f>
        <x:v>0.19730904513530062</x:v>
      </x:c>
      <x:c r="K16" s="20" t="n">
        <x:f>IF(G16=0,"",MAX(0,I16-J16))</x:f>
        <x:v>0.3865779423152061</x:v>
      </x:c>
      <x:c r="L16" s="20" t="n">
        <x:f>IF(G16=0,"",MIN(1,I16+J16))</x:f>
        <x:v>0.7811960325858074</x:v>
      </x:c>
      <x:c r="M16" s="18" t="str">
        <x:f>IF(G16=0,"",TEXT(K16,"0.0%")&amp;" – "&amp;TEXT(L16,"0.0%"))</x:f>
        <x:v>38.7% – 78.1%</x:v>
      </x:c>
      <x:c r="N16" s="18"/>
      <x:c r="O16" s="18"/>
    </x:row>
    <x:row r="17">
      <x:c r="A17" s="18" t="str">
        <x:v>In-distribution</x:v>
      </x:c>
      <x:c r="B17" s="18" t="str">
        <x:v>Counting</x:v>
      </x:c>
      <x:c r="C17" s="18" t="str">
        <x:v>GR00T-N1.7 (full finetune)</x:v>
      </x:c>
      <x:c r="D17" s="18" t="str">
        <x:v>GR00T Full</x:v>
      </x:c>
      <x:c r="E17" s="19" t="n">
        <x:f>COUNTIFS('GR00T Full'!$A$2:$A$120,"Success",'GR00T Full'!$H$2:$H$120,$O$2,'GR00T Full'!$B$2:$B$120,$B17)</x:f>
        <x:v>7</x:v>
      </x:c>
      <x:c r="F17" s="19" t="n">
        <x:f>COUNTIFS('GR00T Full'!$A$2:$A$120,"Failure",'GR00T Full'!$H$2:$H$120,$O$2,'GR00T Full'!$B$2:$B$120,$B17)</x:f>
        <x:v>12</x:v>
      </x:c>
      <x:c r="G17" s="19" t="n">
        <x:f>E17+F17</x:f>
        <x:v>19</x:v>
      </x:c>
      <x:c r="H17" s="20" t="n">
        <x:f>IF(G17=0,"",E17/G17)</x:f>
        <x:v>0.3684210526315789</x:v>
      </x:c>
      <x:c r="I17" s="20" t="n">
        <x:f>IF(G17=0,"",(H17+$O$4^2/(2*G17))/(1+$O$4^2/G17))</x:f>
        <x:v>0.3905505743905856</x:v>
      </x:c>
      <x:c r="J17" s="20" t="n">
        <x:f>IF(G17=0,"",$O$4*SQRT(H17*(1-H17)/G17+$O$4^2/(4*G17^2))/(1+$O$4^2/G17))</x:f>
        <x:v>0.19905785062784717</x:v>
      </x:c>
      <x:c r="K17" s="20" t="n">
        <x:f>IF(G17=0,"",MAX(0,I17-J17))</x:f>
        <x:v>0.19149272376273843</x:v>
      </x:c>
      <x:c r="L17" s="20" t="n">
        <x:f>IF(G17=0,"",MIN(1,I17+J17))</x:f>
        <x:v>0.5896084250184328</x:v>
      </x:c>
      <x:c r="M17" s="18" t="str">
        <x:f>IF(G17=0,"",TEXT(K17,"0.0%")&amp;" – "&amp;TEXT(L17,"0.0%"))</x:f>
        <x:v>19.1% – 59.0%</x:v>
      </x:c>
      <x:c r="N17" s="18"/>
      <x:c r="O17" s="18"/>
    </x:row>
    <x:row r="18">
      <x:c r="A18" s="18" t="str">
        <x:v>In-distribution</x:v>
      </x:c>
      <x:c r="B18" s="18" t="str">
        <x:v>Counting</x:v>
      </x:c>
      <x:c r="C18" s="18" t="str">
        <x:v>MolmoAct2</x:v>
      </x:c>
      <x:c r="D18" s="18" t="str">
        <x:v>MolmoAct2</x:v>
      </x:c>
      <x:c r="E18" s="19" t="n">
        <x:f>COUNTIFS('MolmoAct2'!$A$2:$A$901,"Success",'MolmoAct2'!$H$2:$H$901,$O$2,'MolmoAct2'!$B$2:$B$901,$B18)</x:f>
        <x:v>12</x:v>
      </x:c>
      <x:c r="F18" s="19" t="n">
        <x:f>COUNTIFS('MolmoAct2'!$A$2:$A$901,"Failure",'MolmoAct2'!$H$2:$H$901,$O$2,'MolmoAct2'!$B$2:$B$901,$B18)</x:f>
        <x:v>8</x:v>
      </x:c>
      <x:c r="G18" s="19" t="n">
        <x:f>E18+F18</x:f>
        <x:v>20</x:v>
      </x:c>
      <x:c r="H18" s="20" t="n">
        <x:f>IF(G18=0,"",E18/G18)</x:f>
        <x:v>0.6</x:v>
      </x:c>
      <x:c r="I18" s="20" t="n">
        <x:f>IF(G18=0,"",(H18+$O$4^2/(2*G18))/(1+$O$4^2/G18))</x:f>
        <x:v>0.5838869874505067</x:v>
      </x:c>
      <x:c r="J18" s="20" t="n">
        <x:f>IF(G18=0,"",$O$4*SQRT(H18*(1-H18)/G18+$O$4^2/(4*G18^2))/(1+$O$4^2/G18))</x:f>
        <x:v>0.19730904513530062</x:v>
      </x:c>
      <x:c r="K18" s="20" t="n">
        <x:f>IF(G18=0,"",MAX(0,I18-J18))</x:f>
        <x:v>0.3865779423152061</x:v>
      </x:c>
      <x:c r="L18" s="20" t="n">
        <x:f>IF(G18=0,"",MIN(1,I18+J18))</x:f>
        <x:v>0.7811960325858074</x:v>
      </x:c>
      <x:c r="M18" s="18" t="str">
        <x:f>IF(G18=0,"",TEXT(K18,"0.0%")&amp;" – "&amp;TEXT(L18,"0.0%"))</x:f>
        <x:v>38.7% – 78.1%</x:v>
      </x:c>
      <x:c r="N18" s="18"/>
      <x:c r="O18" s="18"/>
      <x:c r="Q18" s="23" t="str">
        <x:v>Task</x:v>
      </x:c>
      <x:c r="R18" s="23" t="str">
        <x:v>GR00T-N1.7 Vision</x:v>
      </x:c>
      <x:c r="S18" s="23" t="str">
        <x:v>MolmoAct2</x:v>
      </x:c>
      <x:c r="T18" s="23" t="str">
        <x:v>Pi0.5</x:v>
      </x:c>
    </x:row>
    <x:row r="19">
      <x:c r="A19" s="18" t="str">
        <x:v>In-distribution</x:v>
      </x:c>
      <x:c r="B19" s="18" t="str">
        <x:v>Counting</x:v>
      </x:c>
      <x:c r="C19" s="18" t="str">
        <x:v>Pi0.5</x:v>
      </x:c>
      <x:c r="D19" s="18" t="str">
        <x:v>Pi0.5</x:v>
      </x:c>
      <x:c r="E19" s="19" t="n">
        <x:f>COUNTIFS('Pi0.5'!$A$2:$A$901,"Success",'Pi0.5'!$H$2:$H$901,$O$2,'Pi0.5'!$B$2:$B$901,$B19)</x:f>
        <x:v>11</x:v>
      </x:c>
      <x:c r="F19" s="19" t="n">
        <x:f>COUNTIFS('Pi0.5'!$A$2:$A$901,"Failure",'Pi0.5'!$H$2:$H$901,$O$2,'Pi0.5'!$B$2:$B$901,$B19)</x:f>
        <x:v>9</x:v>
      </x:c>
      <x:c r="G19" s="19" t="n">
        <x:f>E19+F19</x:f>
        <x:v>20</x:v>
      </x:c>
      <x:c r="H19" s="20" t="n">
        <x:f>IF(G19=0,"",E19/G19)</x:f>
        <x:v>0.55</x:v>
      </x:c>
      <x:c r="I19" s="20" t="n">
        <x:f>IF(G19=0,"",(H19+$O$4^2/(2*G19))/(1+$O$4^2/G19))</x:f>
        <x:v>0.5419434937252534</x:v>
      </x:c>
      <x:c r="J19" s="20" t="n">
        <x:f>IF(G19=0,"",$O$4*SQRT(H19*(1-H19)/G19+$O$4^2/(4*G19^2))/(1+$O$4^2/G19))</x:f>
        <x:v>0.1998614854176537</x:v>
      </x:c>
      <x:c r="K19" s="20" t="n">
        <x:f>IF(G19=0,"",MAX(0,I19-J19))</x:f>
        <x:v>0.3420820083075997</x:v>
      </x:c>
      <x:c r="L19" s="20" t="n">
        <x:f>IF(G19=0,"",MIN(1,I19+J19))</x:f>
        <x:v>0.7418049791429071</x:v>
      </x:c>
      <x:c r="M19" s="18" t="str">
        <x:f>IF(G19=0,"",TEXT(K19,"0.0%")&amp;" – "&amp;TEXT(L19,"0.0%"))</x:f>
        <x:v>34.2% – 74.2%</x:v>
      </x:c>
      <x:c r="N19" s="18"/>
      <x:c r="O19" s="18"/>
      <x:c r="Q19" s="21" t="str">
        <x:v>State</x:v>
      </x:c>
      <x:c r="R19" s="24" t="n">
        <x:f>H40</x:f>
        <x:v>0.34</x:v>
      </x:c>
      <x:c r="S19" s="24" t="n">
        <x:f>H41</x:f>
        <x:v>0.76</x:v>
      </x:c>
      <x:c r="T19" s="24" t="n">
        <x:f>H42</x:f>
        <x:v>0.36</x:v>
      </x:c>
    </x:row>
    <x:row r="20">
      <x:c r="A20" s="18" t="str">
        <x:v>In-distribution</x:v>
      </x:c>
      <x:c r="B20" s="18" t="str">
        <x:v>Ordinal Reference Ordering</x:v>
      </x:c>
      <x:c r="C20" s="18" t="str">
        <x:v>VLA-0</x:v>
      </x:c>
      <x:c r="D20" s="18" t="str">
        <x:v>VLA-0</x:v>
      </x:c>
      <x:c r="E20" s="19" t="n">
        <x:f>COUNTIFS('VLA-0'!$A$2:$A$73,"Success",'VLA-0'!$H$2:$H$73,$O$2,'VLA-0'!$B$2:$B$73,$B20)</x:f>
        <x:v>0</x:v>
      </x:c>
      <x:c r="F20" s="19" t="n">
        <x:f>COUNTIFS('VLA-0'!$A$2:$A$73,"Failure",'VLA-0'!$H$2:$H$73,$O$2,'VLA-0'!$B$2:$B$73,$B20)</x:f>
        <x:v>10</x:v>
      </x:c>
      <x:c r="G20" s="19" t="n">
        <x:f>E20+F20</x:f>
        <x:v>10</x:v>
      </x:c>
      <x:c r="H20" s="20" t="n">
        <x:f>IF(G20=0,"",E20/G20)</x:f>
        <x:v>0</x:v>
      </x:c>
      <x:c r="I20" s="20" t="n">
        <x:f>IF(G20=0,"",(H20+$O$4^2/(2*G20))/(1+$O$4^2/G20))</x:f>
        <x:v>0.13877008438330826</x:v>
      </x:c>
      <x:c r="J20" s="20" t="n">
        <x:f>IF(G20=0,"",$O$4*SQRT(H20*(1-H20)/G20+$O$4^2/(4*G20^2))/(1+$O$4^2/G20))</x:f>
        <x:v>0.1387700843833083</x:v>
      </x:c>
      <x:c r="K20" s="20" t="n">
        <x:f>IF(G20=0,"",MAX(0,I20-J20))</x:f>
        <x:v>0</x:v>
      </x:c>
      <x:c r="L20" s="20" t="n">
        <x:f>IF(G20=0,"",MIN(1,I20+J20))</x:f>
        <x:v>0.2775401687666166</x:v>
      </x:c>
      <x:c r="M20" s="18" t="str">
        <x:f>IF(G20=0,"",TEXT(K20,"0.0%")&amp;" – "&amp;TEXT(L20,"0.0%"))</x:f>
        <x:v>0.0% – 27.8%</x:v>
      </x:c>
      <x:c r="N20" s="18"/>
      <x:c r="O20" s="18"/>
      <x:c r="Q20" s="21" t="str">
        <x:v>Counting</x:v>
      </x:c>
      <x:c r="R20" s="24" t="n">
        <x:f>H43</x:f>
        <x:v>0</x:v>
      </x:c>
      <x:c r="S20" s="24" t="n">
        <x:f>H44</x:f>
        <x:v>0</x:v>
      </x:c>
      <x:c r="T20" s="24" t="n">
        <x:f>H45</x:f>
        <x:v>0</x:v>
      </x:c>
    </x:row>
    <x:row r="21">
      <x:c r="A21" s="18" t="str">
        <x:v>In-distribution</x:v>
      </x:c>
      <x:c r="B21" s="18" t="str">
        <x:v>Ordinal Reference Ordering</x:v>
      </x:c>
      <x:c r="C21" s="18" t="str">
        <x:v>GR00T-N1.7 (vision only)</x:v>
      </x:c>
      <x:c r="D21" s="18" t="str">
        <x:v>GR00T Vision</x:v>
      </x:c>
      <x:c r="E21" s="19" t="n">
        <x:f>COUNTIFS('GR00T Vision'!$A$2:$A$901,"Success",'GR00T Vision'!$H$2:$H$901,$O$2,'GR00T Vision'!$B$2:$B$901,$B21)</x:f>
        <x:v>9</x:v>
      </x:c>
      <x:c r="F21" s="19" t="n">
        <x:f>COUNTIFS('GR00T Vision'!$A$2:$A$901,"Failure",'GR00T Vision'!$H$2:$H$901,$O$2,'GR00T Vision'!$B$2:$B$901,$B21)</x:f>
        <x:v>11</x:v>
      </x:c>
      <x:c r="G21" s="19" t="n">
        <x:f>E21+F21</x:f>
        <x:v>20</x:v>
      </x:c>
      <x:c r="H21" s="20" t="n">
        <x:f>IF(G21=0,"",E21/G21)</x:f>
        <x:v>0.45</x:v>
      </x:c>
      <x:c r="I21" s="20" t="n">
        <x:f>IF(G21=0,"",(H21+$O$4^2/(2*G21))/(1+$O$4^2/G21))</x:f>
        <x:v>0.45805650627474664</x:v>
      </x:c>
      <x:c r="J21" s="20" t="n">
        <x:f>IF(G21=0,"",$O$4*SQRT(H21*(1-H21)/G21+$O$4^2/(4*G21^2))/(1+$O$4^2/G21))</x:f>
        <x:v>0.1998614854176537</x:v>
      </x:c>
      <x:c r="K21" s="20" t="n">
        <x:f>IF(G21=0,"",MAX(0,I21-J21))</x:f>
        <x:v>0.25819502085709295</x:v>
      </x:c>
      <x:c r="L21" s="20" t="n">
        <x:f>IF(G21=0,"",MIN(1,I21+J21))</x:f>
        <x:v>0.6579179916924003</x:v>
      </x:c>
      <x:c r="M21" s="18" t="str">
        <x:f>IF(G21=0,"",TEXT(K21,"0.0%")&amp;" – "&amp;TEXT(L21,"0.0%"))</x:f>
        <x:v>25.8% – 65.8%</x:v>
      </x:c>
      <x:c r="N21" s="18"/>
      <x:c r="O21" s="18"/>
      <x:c r="Q21" s="21" t="str">
        <x:v>Ordinal</x:v>
      </x:c>
      <x:c r="R21" s="24" t="n">
        <x:f>H46</x:f>
        <x:v>0.42</x:v>
      </x:c>
      <x:c r="S21" s="24" t="n">
        <x:f>H47</x:f>
        <x:v>0.54</x:v>
      </x:c>
      <x:c r="T21" s="24" t="n">
        <x:f>H48</x:f>
        <x:v>0.46</x:v>
      </x:c>
    </x:row>
    <x:row r="22">
      <x:c r="A22" s="18" t="str">
        <x:v>In-distribution</x:v>
      </x:c>
      <x:c r="B22" s="18" t="str">
        <x:v>Ordinal Reference Ordering</x:v>
      </x:c>
      <x:c r="C22" s="18" t="str">
        <x:v>GR00T-N1.7 (full finetune)</x:v>
      </x:c>
      <x:c r="D22" s="18" t="str">
        <x:v>GR00T Full</x:v>
      </x:c>
      <x:c r="E22" s="19" t="n">
        <x:f>COUNTIFS('GR00T Full'!$A$2:$A$120,"Success",'GR00T Full'!$H$2:$H$120,$O$2,'GR00T Full'!$B$2:$B$120,$B22)</x:f>
        <x:v>3</x:v>
      </x:c>
      <x:c r="F22" s="19" t="n">
        <x:f>COUNTIFS('GR00T Full'!$A$2:$A$120,"Failure",'GR00T Full'!$H$2:$H$120,$O$2,'GR00T Full'!$B$2:$B$120,$B22)</x:f>
        <x:v>17</x:v>
      </x:c>
      <x:c r="G22" s="19" t="n">
        <x:f>E22+F22</x:f>
        <x:v>20</x:v>
      </x:c>
      <x:c r="H22" s="20" t="n">
        <x:f>IF(G22=0,"",E22/G22)</x:f>
        <x:v>0.15</x:v>
      </x:c>
      <x:c r="I22" s="20" t="n">
        <x:f>IF(G22=0,"",(H22+$O$4^2/(2*G22))/(1+$O$4^2/G22))</x:f>
        <x:v>0.20639554392322662</x:v>
      </x:c>
      <x:c r="J22" s="20" t="n">
        <x:f>IF(G22=0,"",$O$4*SQRT(H22*(1-H22)/G22+$O$4^2/(4*G22^2))/(1+$O$4^2/G22))</x:f>
        <x:v>0.15402775196373078</x:v>
      </x:c>
      <x:c r="K22" s="20" t="n">
        <x:f>IF(G22=0,"",MAX(0,I22-J22))</x:f>
        <x:v>0.05236779195949584</x:v>
      </x:c>
      <x:c r="L22" s="20" t="n">
        <x:f>IF(G22=0,"",MIN(1,I22+J22))</x:f>
        <x:v>0.36042329588695743</x:v>
      </x:c>
      <x:c r="M22" s="18" t="str">
        <x:f>IF(G22=0,"",TEXT(K22,"0.0%")&amp;" – "&amp;TEXT(L22,"0.0%"))</x:f>
        <x:v>5.2% – 36.0%</x:v>
      </x:c>
      <x:c r="N22" s="18"/>
      <x:c r="O22" s="18"/>
      <x:c r="Q22" s="21" t="str">
        <x:v>Relational</x:v>
      </x:c>
      <x:c r="R22" s="24" t="n">
        <x:f>H49</x:f>
        <x:v>0.78</x:v>
      </x:c>
      <x:c r="S22" s="24" t="n">
        <x:f>H50</x:f>
        <x:v>0.5</x:v>
      </x:c>
      <x:c r="T22" s="24" t="n">
        <x:f>H51</x:f>
        <x:v>0.72</x:v>
      </x:c>
    </x:row>
    <x:row r="23">
      <x:c r="A23" s="18" t="str">
        <x:v>In-distribution</x:v>
      </x:c>
      <x:c r="B23" s="18" t="str">
        <x:v>Ordinal Reference Ordering</x:v>
      </x:c>
      <x:c r="C23" s="18" t="str">
        <x:v>MolmoAct2</x:v>
      </x:c>
      <x:c r="D23" s="18" t="str">
        <x:v>MolmoAct2</x:v>
      </x:c>
      <x:c r="E23" s="19" t="n">
        <x:f>COUNTIFS('MolmoAct2'!$A$2:$A$901,"Success",'MolmoAct2'!$H$2:$H$901,$O$2,'MolmoAct2'!$B$2:$B$901,$B23)</x:f>
        <x:v>10</x:v>
      </x:c>
      <x:c r="F23" s="19" t="n">
        <x:f>COUNTIFS('MolmoAct2'!$A$2:$A$901,"Failure",'MolmoAct2'!$H$2:$H$901,$O$2,'MolmoAct2'!$B$2:$B$901,$B23)</x:f>
        <x:v>10</x:v>
      </x:c>
      <x:c r="G23" s="19" t="n">
        <x:f>E23+F23</x:f>
        <x:v>20</x:v>
      </x:c>
      <x:c r="H23" s="20" t="n">
        <x:f>IF(G23=0,"",E23/G23)</x:f>
        <x:v>0.5</x:v>
      </x:c>
      <x:c r="I23" s="20" t="n">
        <x:f>IF(G23=0,"",(H23+$O$4^2/(2*G23))/(1+$O$4^2/G23))</x:f>
        <x:v>0.5</x:v>
      </x:c>
      <x:c r="J23" s="20" t="n">
        <x:f>IF(G23=0,"",$O$4*SQRT(H23*(1-H23)/G23+$O$4^2/(4*G23^2))/(1+$O$4^2/G23))</x:f>
        <x:v>0.20070508557018005</x:v>
      </x:c>
      <x:c r="K23" s="20" t="n">
        <x:f>IF(G23=0,"",MAX(0,I23-J23))</x:f>
        <x:v>0.2992949144298199</x:v>
      </x:c>
      <x:c r="L23" s="20" t="n">
        <x:f>IF(G23=0,"",MIN(1,I23+J23))</x:f>
        <x:v>0.7007050855701801</x:v>
      </x:c>
      <x:c r="M23" s="18" t="str">
        <x:f>IF(G23=0,"",TEXT(K23,"0.0%")&amp;" – "&amp;TEXT(L23,"0.0%"))</x:f>
        <x:v>29.9% – 70.1%</x:v>
      </x:c>
      <x:c r="N23" s="18"/>
      <x:c r="O23" s="18"/>
      <x:c r="Q23" s="21" t="str">
        <x:v>Referential</x:v>
      </x:c>
      <x:c r="R23" s="24" t="n">
        <x:f>H52</x:f>
        <x:v>0.54</x:v>
      </x:c>
      <x:c r="S23" s="24" t="n">
        <x:f>H53</x:f>
        <x:v>0.68</x:v>
      </x:c>
      <x:c r="T23" s="24" t="n">
        <x:f>H54</x:f>
        <x:v>0.36</x:v>
      </x:c>
    </x:row>
    <x:row r="24">
      <x:c r="A24" s="18" t="str">
        <x:v>In-distribution</x:v>
      </x:c>
      <x:c r="B24" s="18" t="str">
        <x:v>Ordinal Reference Ordering</x:v>
      </x:c>
      <x:c r="C24" s="18" t="str">
        <x:v>Pi0.5</x:v>
      </x:c>
      <x:c r="D24" s="18" t="str">
        <x:v>Pi0.5</x:v>
      </x:c>
      <x:c r="E24" s="19" t="n">
        <x:f>COUNTIFS('Pi0.5'!$A$2:$A$901,"Success",'Pi0.5'!$H$2:$H$901,$O$2,'Pi0.5'!$B$2:$B$901,$B24)</x:f>
        <x:v>7</x:v>
      </x:c>
      <x:c r="F24" s="19" t="n">
        <x:f>COUNTIFS('Pi0.5'!$A$2:$A$901,"Failure",'Pi0.5'!$H$2:$H$901,$O$2,'Pi0.5'!$B$2:$B$901,$B24)</x:f>
        <x:v>13</x:v>
      </x:c>
      <x:c r="G24" s="19" t="n">
        <x:f>E24+F24</x:f>
        <x:v>20</x:v>
      </x:c>
      <x:c r="H24" s="20" t="n">
        <x:f>IF(G24=0,"",E24/G24)</x:f>
        <x:v>0.35</x:v>
      </x:c>
      <x:c r="I24" s="20" t="n">
        <x:f>IF(G24=0,"",(H24+$O$4^2/(2*G24))/(1+$O$4^2/G24))</x:f>
        <x:v>0.37416951882424</x:v>
      </x:c>
      <x:c r="J24" s="20" t="n">
        <x:f>IF(G24=0,"",$O$4*SQRT(H24*(1-H24)/G24+$O$4^2/(4*G24^2))/(1+$O$4^2/G24))</x:f>
        <x:v>0.19297997095629535</x:v>
      </x:c>
      <x:c r="K24" s="20" t="n">
        <x:f>IF(G24=0,"",MAX(0,I24-J24))</x:f>
        <x:v>0.18118954786794464</x:v>
      </x:c>
      <x:c r="L24" s="20" t="n">
        <x:f>IF(G24=0,"",MIN(1,I24+J24))</x:f>
        <x:v>0.5671494897805354</x:v>
      </x:c>
      <x:c r="M24" s="18" t="str">
        <x:f>IF(G24=0,"",TEXT(K24,"0.0%")&amp;" – "&amp;TEXT(L24,"0.0%"))</x:f>
        <x:v>18.1% – 56.7%</x:v>
      </x:c>
      <x:c r="N24" s="18"/>
      <x:c r="O24" s="18"/>
      <x:c r="Q24" s="21" t="str">
        <x:v>Size</x:v>
      </x:c>
      <x:c r="R24" s="24" t="n">
        <x:f>H55</x:f>
        <x:v>0.58</x:v>
      </x:c>
      <x:c r="S24" s="24" t="n">
        <x:f>H56</x:f>
        <x:v>0.64</x:v>
      </x:c>
      <x:c r="T24" s="24" t="n">
        <x:f>H57</x:f>
        <x:v>0.54</x:v>
      </x:c>
    </x:row>
    <x:row r="25">
      <x:c r="A25" s="18" t="str">
        <x:v>In-distribution</x:v>
      </x:c>
      <x:c r="B25" s="18" t="str">
        <x:v>Relational Placement</x:v>
      </x:c>
      <x:c r="C25" s="18" t="str">
        <x:v>VLA-0</x:v>
      </x:c>
      <x:c r="D25" s="18" t="str">
        <x:v>VLA-0</x:v>
      </x:c>
      <x:c r="E25" s="19" t="n">
        <x:f>COUNTIFS('VLA-0'!$A$2:$A$73,"Success",'VLA-0'!$H$2:$H$73,$O$2,'VLA-0'!$B$2:$B$73,$B25)</x:f>
        <x:v>0</x:v>
      </x:c>
      <x:c r="F25" s="19" t="n">
        <x:f>COUNTIFS('VLA-0'!$A$2:$A$73,"Failure",'VLA-0'!$H$2:$H$73,$O$2,'VLA-0'!$B$2:$B$73,$B25)</x:f>
        <x:v>12</x:v>
      </x:c>
      <x:c r="G25" s="19" t="n">
        <x:f>E25+F25</x:f>
        <x:v>12</x:v>
      </x:c>
      <x:c r="H25" s="20" t="n">
        <x:f>IF(G25=0,"",E25/G25)</x:f>
        <x:v>0</x:v>
      </x:c>
      <x:c r="I25" s="20" t="n">
        <x:f>IF(G25=0,"",(H25+$O$4^2/(2*G25))/(1+$O$4^2/G25))</x:f>
        <x:v>0.12125037874962125</x:v>
      </x:c>
      <x:c r="J25" s="20" t="n">
        <x:f>IF(G25=0,"",$O$4*SQRT(H25*(1-H25)/G25+$O$4^2/(4*G25^2))/(1+$O$4^2/G25))</x:f>
        <x:v>0.12125037874962125</x:v>
      </x:c>
      <x:c r="K25" s="20" t="n">
        <x:f>IF(G25=0,"",MAX(0,I25-J25))</x:f>
        <x:v>0</x:v>
      </x:c>
      <x:c r="L25" s="20" t="n">
        <x:f>IF(G25=0,"",MIN(1,I25+J25))</x:f>
        <x:v>0.2425007574992425</x:v>
      </x:c>
      <x:c r="M25" s="18" t="str">
        <x:f>IF(G25=0,"",TEXT(K25,"0.0%")&amp;" – "&amp;TEXT(L25,"0.0%"))</x:f>
        <x:v>0.0% – 24.3%</x:v>
      </x:c>
      <x:c r="N25" s="18"/>
      <x:c r="O25" s="18"/>
    </x:row>
    <x:row r="26">
      <x:c r="A26" s="18" t="str">
        <x:v>In-distribution</x:v>
      </x:c>
      <x:c r="B26" s="18" t="str">
        <x:v>Relational Placement</x:v>
      </x:c>
      <x:c r="C26" s="18" t="str">
        <x:v>GR00T-N1.7 (vision only)</x:v>
      </x:c>
      <x:c r="D26" s="18" t="str">
        <x:v>GR00T Vision</x:v>
      </x:c>
      <x:c r="E26" s="19" t="n">
        <x:f>COUNTIFS('GR00T Vision'!$A$2:$A$901,"Success",'GR00T Vision'!$H$2:$H$901,$O$2,'GR00T Vision'!$B$2:$B$901,$B26)</x:f>
        <x:v>14</x:v>
      </x:c>
      <x:c r="F26" s="19" t="n">
        <x:f>COUNTIFS('GR00T Vision'!$A$2:$A$901,"Failure",'GR00T Vision'!$H$2:$H$901,$O$2,'GR00T Vision'!$B$2:$B$901,$B26)</x:f>
        <x:v>6</x:v>
      </x:c>
      <x:c r="G26" s="19" t="n">
        <x:f>E26+F26</x:f>
        <x:v>20</x:v>
      </x:c>
      <x:c r="H26" s="20" t="n">
        <x:f>IF(G26=0,"",E26/G26)</x:f>
        <x:v>0.7</x:v>
      </x:c>
      <x:c r="I26" s="20" t="n">
        <x:f>IF(G26=0,"",(H26+$O$4^2/(2*G26))/(1+$O$4^2/G26))</x:f>
        <x:v>0.6677739749010133</x:v>
      </x:c>
      <x:c r="J26" s="20" t="n">
        <x:f>IF(G26=0,"",$O$4*SQRT(H26*(1-H26)/G26+$O$4^2/(4*G26^2))/(1+$O$4^2/G26))</x:f>
        <x:v>0.18675075112999276</x:v>
      </x:c>
      <x:c r="K26" s="20" t="n">
        <x:f>IF(G26=0,"",MAX(0,I26-J26))</x:f>
        <x:v>0.4810232237710206</x:v>
      </x:c>
      <x:c r="L26" s="20" t="n">
        <x:f>IF(G26=0,"",MIN(1,I26+J26))</x:f>
        <x:v>0.854524726031006</x:v>
      </x:c>
      <x:c r="M26" s="18" t="str">
        <x:f>IF(G26=0,"",TEXT(K26,"0.0%")&amp;" – "&amp;TEXT(L26,"0.0%"))</x:f>
        <x:v>48.1% – 85.5%</x:v>
      </x:c>
      <x:c r="N26" s="18"/>
      <x:c r="O26" s="18"/>
    </x:row>
    <x:row r="27">
      <x:c r="A27" s="18" t="str">
        <x:v>In-distribution</x:v>
      </x:c>
      <x:c r="B27" s="18" t="str">
        <x:v>Relational Placement</x:v>
      </x:c>
      <x:c r="C27" s="18" t="str">
        <x:v>GR00T-N1.7 (full finetune)</x:v>
      </x:c>
      <x:c r="D27" s="18" t="str">
        <x:v>GR00T Full</x:v>
      </x:c>
      <x:c r="E27" s="19" t="n">
        <x:f>COUNTIFS('GR00T Full'!$A$2:$A$120,"Success",'GR00T Full'!$H$2:$H$120,$O$2,'GR00T Full'!$B$2:$B$120,$B27)</x:f>
        <x:v>0</x:v>
      </x:c>
      <x:c r="F27" s="19" t="n">
        <x:f>COUNTIFS('GR00T Full'!$A$2:$A$120,"Failure",'GR00T Full'!$H$2:$H$120,$O$2,'GR00T Full'!$B$2:$B$120,$B27)</x:f>
        <x:v>20</x:v>
      </x:c>
      <x:c r="G27" s="19" t="n">
        <x:f>E27+F27</x:f>
        <x:v>20</x:v>
      </x:c>
      <x:c r="H27" s="20" t="n">
        <x:f>IF(G27=0,"",E27/G27)</x:f>
        <x:v>0</x:v>
      </x:c>
      <x:c r="I27" s="20" t="n">
        <x:f>IF(G27=0,"",(H27+$O$4^2/(2*G27))/(1+$O$4^2/G27))</x:f>
        <x:v>0.0805650627474666</x:v>
      </x:c>
      <x:c r="J27" s="20" t="n">
        <x:f>IF(G27=0,"",$O$4*SQRT(H27*(1-H27)/G27+$O$4^2/(4*G27^2))/(1+$O$4^2/G27))</x:f>
        <x:v>0.08056506274746661</x:v>
      </x:c>
      <x:c r="K27" s="20" t="n">
        <x:f>IF(G27=0,"",MAX(0,I27-J27))</x:f>
        <x:v>0</x:v>
      </x:c>
      <x:c r="L27" s="20" t="n">
        <x:f>IF(G27=0,"",MIN(1,I27+J27))</x:f>
        <x:v>0.16113012549493322</x:v>
      </x:c>
      <x:c r="M27" s="18" t="str">
        <x:f>IF(G27=0,"",TEXT(K27,"0.0%")&amp;" – "&amp;TEXT(L27,"0.0%"))</x:f>
        <x:v>0.0% – 16.1%</x:v>
      </x:c>
      <x:c r="N27" s="18"/>
      <x:c r="O27" s="18"/>
    </x:row>
    <x:row r="28">
      <x:c r="A28" s="18" t="str">
        <x:v>In-distribution</x:v>
      </x:c>
      <x:c r="B28" s="18" t="str">
        <x:v>Relational Placement</x:v>
      </x:c>
      <x:c r="C28" s="18" t="str">
        <x:v>MolmoAct2</x:v>
      </x:c>
      <x:c r="D28" s="18" t="str">
        <x:v>MolmoAct2</x:v>
      </x:c>
      <x:c r="E28" s="19" t="n">
        <x:f>COUNTIFS('MolmoAct2'!$A$2:$A$901,"Success",'MolmoAct2'!$H$2:$H$901,$O$2,'MolmoAct2'!$B$2:$B$901,$B28)</x:f>
        <x:v>16</x:v>
      </x:c>
      <x:c r="F28" s="19" t="n">
        <x:f>COUNTIFS('MolmoAct2'!$A$2:$A$901,"Failure",'MolmoAct2'!$H$2:$H$901,$O$2,'MolmoAct2'!$B$2:$B$901,$B28)</x:f>
        <x:v>4</x:v>
      </x:c>
      <x:c r="G28" s="19" t="n">
        <x:f>E28+F28</x:f>
        <x:v>20</x:v>
      </x:c>
      <x:c r="H28" s="20" t="n">
        <x:f>IF(G28=0,"",E28/G28)</x:f>
        <x:v>0.8</x:v>
      </x:c>
      <x:c r="I28" s="20" t="n">
        <x:f>IF(G28=0,"",(H28+$O$4^2/(2*G28))/(1+$O$4^2/G28))</x:f>
        <x:v>0.75166096235152</x:v>
      </x:c>
      <x:c r="J28" s="20" t="n">
        <x:f>IF(G28=0,"",$O$4*SQRT(H28*(1-H28)/G28+$O$4^2/(4*G28^2))/(1+$O$4^2/G28))</x:f>
        <x:v>0.16768268437727993</x:v>
      </x:c>
      <x:c r="K28" s="20" t="n">
        <x:f>IF(G28=0,"",MAX(0,I28-J28))</x:f>
        <x:v>0.5839782779742401</x:v>
      </x:c>
      <x:c r="L28" s="20" t="n">
        <x:f>IF(G28=0,"",MIN(1,I28+J28))</x:f>
        <x:v>0.9193436467288</x:v>
      </x:c>
      <x:c r="M28" s="18" t="str">
        <x:f>IF(G28=0,"",TEXT(K28,"0.0%")&amp;" – "&amp;TEXT(L28,"0.0%"))</x:f>
        <x:v>58.4% – 91.9%</x:v>
      </x:c>
      <x:c r="N28" s="18"/>
      <x:c r="O28" s="18"/>
    </x:row>
    <x:row r="29">
      <x:c r="A29" s="18" t="str">
        <x:v>In-distribution</x:v>
      </x:c>
      <x:c r="B29" s="18" t="str">
        <x:v>Relational Placement</x:v>
      </x:c>
      <x:c r="C29" s="18" t="str">
        <x:v>Pi0.5</x:v>
      </x:c>
      <x:c r="D29" s="18" t="str">
        <x:v>Pi0.5</x:v>
      </x:c>
      <x:c r="E29" s="19" t="n">
        <x:f>COUNTIFS('Pi0.5'!$A$2:$A$901,"Success",'Pi0.5'!$H$2:$H$901,$O$2,'Pi0.5'!$B$2:$B$901,$B29)</x:f>
        <x:v>13</x:v>
      </x:c>
      <x:c r="F29" s="19" t="n">
        <x:f>COUNTIFS('Pi0.5'!$A$2:$A$901,"Failure",'Pi0.5'!$H$2:$H$901,$O$2,'Pi0.5'!$B$2:$B$901,$B29)</x:f>
        <x:v>7</x:v>
      </x:c>
      <x:c r="G29" s="19" t="n">
        <x:f>E29+F29</x:f>
        <x:v>20</x:v>
      </x:c>
      <x:c r="H29" s="20" t="n">
        <x:f>IF(G29=0,"",E29/G29)</x:f>
        <x:v>0.65</x:v>
      </x:c>
      <x:c r="I29" s="20" t="n">
        <x:f>IF(G29=0,"",(H29+$O$4^2/(2*G29))/(1+$O$4^2/G29))</x:f>
        <x:v>0.62583048117576</x:v>
      </x:c>
      <x:c r="J29" s="20" t="n">
        <x:f>IF(G29=0,"",$O$4*SQRT(H29*(1-H29)/G29+$O$4^2/(4*G29^2))/(1+$O$4^2/G29))</x:f>
        <x:v>0.19297997095629535</x:v>
      </x:c>
      <x:c r="K29" s="20" t="n">
        <x:f>IF(G29=0,"",MAX(0,I29-J29))</x:f>
        <x:v>0.43285051021946463</x:v>
      </x:c>
      <x:c r="L29" s="20" t="n">
        <x:f>IF(G29=0,"",MIN(1,I29+J29))</x:f>
        <x:v>0.8188104521320554</x:v>
      </x:c>
      <x:c r="M29" s="18" t="str">
        <x:f>IF(G29=0,"",TEXT(K29,"0.0%")&amp;" – "&amp;TEXT(L29,"0.0%"))</x:f>
        <x:v>43.3% – 81.9%</x:v>
      </x:c>
      <x:c r="N29" s="18"/>
      <x:c r="O29" s="18"/>
    </x:row>
    <x:row r="30">
      <x:c r="A30" s="18" t="str">
        <x:v>In-distribution</x:v>
      </x:c>
      <x:c r="B30" s="18" t="str">
        <x:v>Referential Disambiguation</x:v>
      </x:c>
      <x:c r="C30" s="18" t="str">
        <x:v>VLA-0</x:v>
      </x:c>
      <x:c r="D30" s="18" t="str">
        <x:v>VLA-0</x:v>
      </x:c>
      <x:c r="E30" s="19" t="n">
        <x:f>COUNTIFS('VLA-0'!$A$2:$A$73,"Success",'VLA-0'!$H$2:$H$73,$O$2,'VLA-0'!$B$2:$B$73,$B30)</x:f>
        <x:v>0</x:v>
      </x:c>
      <x:c r="F30" s="19" t="n">
        <x:f>COUNTIFS('VLA-0'!$A$2:$A$73,"Failure",'VLA-0'!$H$2:$H$73,$O$2,'VLA-0'!$B$2:$B$73,$B30)</x:f>
        <x:v>10</x:v>
      </x:c>
      <x:c r="G30" s="19" t="n">
        <x:f>E30+F30</x:f>
        <x:v>10</x:v>
      </x:c>
      <x:c r="H30" s="20" t="n">
        <x:f>IF(G30=0,"",E30/G30)</x:f>
        <x:v>0</x:v>
      </x:c>
      <x:c r="I30" s="20" t="n">
        <x:f>IF(G30=0,"",(H30+$O$4^2/(2*G30))/(1+$O$4^2/G30))</x:f>
        <x:v>0.13877008438330826</x:v>
      </x:c>
      <x:c r="J30" s="20" t="n">
        <x:f>IF(G30=0,"",$O$4*SQRT(H30*(1-H30)/G30+$O$4^2/(4*G30^2))/(1+$O$4^2/G30))</x:f>
        <x:v>0.1387700843833083</x:v>
      </x:c>
      <x:c r="K30" s="20" t="n">
        <x:f>IF(G30=0,"",MAX(0,I30-J30))</x:f>
        <x:v>0</x:v>
      </x:c>
      <x:c r="L30" s="20" t="n">
        <x:f>IF(G30=0,"",MIN(1,I30+J30))</x:f>
        <x:v>0.2775401687666166</x:v>
      </x:c>
      <x:c r="M30" s="18" t="str">
        <x:f>IF(G30=0,"",TEXT(K30,"0.0%")&amp;" – "&amp;TEXT(L30,"0.0%"))</x:f>
        <x:v>0.0% – 27.8%</x:v>
      </x:c>
      <x:c r="N30" s="18"/>
      <x:c r="O30" s="18"/>
    </x:row>
    <x:row r="31">
      <x:c r="A31" s="18" t="str">
        <x:v>In-distribution</x:v>
      </x:c>
      <x:c r="B31" s="18" t="str">
        <x:v>Referential Disambiguation</x:v>
      </x:c>
      <x:c r="C31" s="18" t="str">
        <x:v>GR00T-N1.7 (vision only)</x:v>
      </x:c>
      <x:c r="D31" s="18" t="str">
        <x:v>GR00T Vision</x:v>
      </x:c>
      <x:c r="E31" s="19" t="n">
        <x:f>COUNTIFS('GR00T Vision'!$A$2:$A$901,"Success",'GR00T Vision'!$H$2:$H$901,$O$2,'GR00T Vision'!$B$2:$B$901,$B31)</x:f>
        <x:v>12</x:v>
      </x:c>
      <x:c r="F31" s="19" t="n">
        <x:f>COUNTIFS('GR00T Vision'!$A$2:$A$901,"Failure",'GR00T Vision'!$H$2:$H$901,$O$2,'GR00T Vision'!$B$2:$B$901,$B31)</x:f>
        <x:v>8</x:v>
      </x:c>
      <x:c r="G31" s="19" t="n">
        <x:f>E31+F31</x:f>
        <x:v>20</x:v>
      </x:c>
      <x:c r="H31" s="20" t="n">
        <x:f>IF(G31=0,"",E31/G31)</x:f>
        <x:v>0.6</x:v>
      </x:c>
      <x:c r="I31" s="20" t="n">
        <x:f>IF(G31=0,"",(H31+$O$4^2/(2*G31))/(1+$O$4^2/G31))</x:f>
        <x:v>0.5838869874505067</x:v>
      </x:c>
      <x:c r="J31" s="20" t="n">
        <x:f>IF(G31=0,"",$O$4*SQRT(H31*(1-H31)/G31+$O$4^2/(4*G31^2))/(1+$O$4^2/G31))</x:f>
        <x:v>0.19730904513530062</x:v>
      </x:c>
      <x:c r="K31" s="20" t="n">
        <x:f>IF(G31=0,"",MAX(0,I31-J31))</x:f>
        <x:v>0.3865779423152061</x:v>
      </x:c>
      <x:c r="L31" s="20" t="n">
        <x:f>IF(G31=0,"",MIN(1,I31+J31))</x:f>
        <x:v>0.7811960325858074</x:v>
      </x:c>
      <x:c r="M31" s="18" t="str">
        <x:f>IF(G31=0,"",TEXT(K31,"0.0%")&amp;" – "&amp;TEXT(L31,"0.0%"))</x:f>
        <x:v>38.7% – 78.1%</x:v>
      </x:c>
      <x:c r="N31" s="18"/>
      <x:c r="O31" s="18"/>
    </x:row>
    <x:row r="32">
      <x:c r="A32" s="18" t="str">
        <x:v>In-distribution</x:v>
      </x:c>
      <x:c r="B32" s="18" t="str">
        <x:v>Referential Disambiguation</x:v>
      </x:c>
      <x:c r="C32" s="18" t="str">
        <x:v>GR00T-N1.7 (full finetune)</x:v>
      </x:c>
      <x:c r="D32" s="18" t="str">
        <x:v>GR00T Full</x:v>
      </x:c>
      <x:c r="E32" s="19" t="n">
        <x:f>COUNTIFS('GR00T Full'!$A$2:$A$120,"Success",'GR00T Full'!$H$2:$H$120,$O$2,'GR00T Full'!$B$2:$B$120,$B32)</x:f>
        <x:v>4</x:v>
      </x:c>
      <x:c r="F32" s="19" t="n">
        <x:f>COUNTIFS('GR00T Full'!$A$2:$A$120,"Failure",'GR00T Full'!$H$2:$H$120,$O$2,'GR00T Full'!$B$2:$B$120,$B32)</x:f>
        <x:v>16</x:v>
      </x:c>
      <x:c r="G32" s="19" t="n">
        <x:f>E32+F32</x:f>
        <x:v>20</x:v>
      </x:c>
      <x:c r="H32" s="20" t="n">
        <x:f>IF(G32=0,"",E32/G32)</x:f>
        <x:v>0.2</x:v>
      </x:c>
      <x:c r="I32" s="20" t="n">
        <x:f>IF(G32=0,"",(H32+$O$4^2/(2*G32))/(1+$O$4^2/G32))</x:f>
        <x:v>0.24833903764847995</x:v>
      </x:c>
      <x:c r="J32" s="20" t="n">
        <x:f>IF(G32=0,"",$O$4*SQRT(H32*(1-H32)/G32+$O$4^2/(4*G32^2))/(1+$O$4^2/G32))</x:f>
        <x:v>0.16768268437727996</x:v>
      </x:c>
      <x:c r="K32" s="20" t="n">
        <x:f>IF(G32=0,"",MAX(0,I32-J32))</x:f>
        <x:v>0.0806563532712</x:v>
      </x:c>
      <x:c r="L32" s="20" t="n">
        <x:f>IF(G32=0,"",MIN(1,I32+J32))</x:f>
        <x:v>0.41602172202575993</x:v>
      </x:c>
      <x:c r="M32" s="18" t="str">
        <x:f>IF(G32=0,"",TEXT(K32,"0.0%")&amp;" – "&amp;TEXT(L32,"0.0%"))</x:f>
        <x:v>8.1% – 41.6%</x:v>
      </x:c>
      <x:c r="N32" s="18"/>
      <x:c r="O32" s="18"/>
    </x:row>
    <x:row r="33">
      <x:c r="A33" s="18" t="str">
        <x:v>In-distribution</x:v>
      </x:c>
      <x:c r="B33" s="18" t="str">
        <x:v>Referential Disambiguation</x:v>
      </x:c>
      <x:c r="C33" s="18" t="str">
        <x:v>MolmoAct2</x:v>
      </x:c>
      <x:c r="D33" s="18" t="str">
        <x:v>MolmoAct2</x:v>
      </x:c>
      <x:c r="E33" s="19" t="n">
        <x:f>COUNTIFS('MolmoAct2'!$A$2:$A$901,"Success",'MolmoAct2'!$H$2:$H$901,$O$2,'MolmoAct2'!$B$2:$B$901,$B33)</x:f>
        <x:v>15</x:v>
      </x:c>
      <x:c r="F33" s="19" t="n">
        <x:f>COUNTIFS('MolmoAct2'!$A$2:$A$901,"Failure",'MolmoAct2'!$H$2:$H$901,$O$2,'MolmoAct2'!$B$2:$B$901,$B33)</x:f>
        <x:v>5</x:v>
      </x:c>
      <x:c r="G33" s="19" t="n">
        <x:f>E33+F33</x:f>
        <x:v>20</x:v>
      </x:c>
      <x:c r="H33" s="20" t="n">
        <x:f>IF(G33=0,"",E33/G33)</x:f>
        <x:v>0.75</x:v>
      </x:c>
      <x:c r="I33" s="20" t="n">
        <x:f>IF(G33=0,"",(H33+$O$4^2/(2*G33))/(1+$O$4^2/G33))</x:f>
        <x:v>0.7097174686262667</x:v>
      </x:c>
      <x:c r="J33" s="20" t="n">
        <x:f>IF(G33=0,"",$O$4*SQRT(H33*(1-H33)/G33+$O$4^2/(4*G33^2))/(1+$O$4^2/G33))</x:f>
        <x:v>0.17842247858433025</x:v>
      </x:c>
      <x:c r="K33" s="20" t="n">
        <x:f>IF(G33=0,"",MAX(0,I33-J33))</x:f>
        <x:v>0.5312949900419365</x:v>
      </x:c>
      <x:c r="L33" s="20" t="n">
        <x:f>IF(G33=0,"",MIN(1,I33+J33))</x:f>
        <x:v>0.888139947210597</x:v>
      </x:c>
      <x:c r="M33" s="18" t="str">
        <x:f>IF(G33=0,"",TEXT(K33,"0.0%")&amp;" – "&amp;TEXT(L33,"0.0%"))</x:f>
        <x:v>53.1% – 88.8%</x:v>
      </x:c>
      <x:c r="N33" s="18"/>
      <x:c r="O33" s="18"/>
    </x:row>
    <x:row r="34">
      <x:c r="A34" s="18" t="str">
        <x:v>In-distribution</x:v>
      </x:c>
      <x:c r="B34" s="18" t="str">
        <x:v>Referential Disambiguation</x:v>
      </x:c>
      <x:c r="C34" s="18" t="str">
        <x:v>Pi0.5</x:v>
      </x:c>
      <x:c r="D34" s="18" t="str">
        <x:v>Pi0.5</x:v>
      </x:c>
      <x:c r="E34" s="19" t="n">
        <x:f>COUNTIFS('Pi0.5'!$A$2:$A$901,"Success",'Pi0.5'!$H$2:$H$901,$O$2,'Pi0.5'!$B$2:$B$901,$B34)</x:f>
        <x:v>16</x:v>
      </x:c>
      <x:c r="F34" s="19" t="n">
        <x:f>COUNTIFS('Pi0.5'!$A$2:$A$901,"Failure",'Pi0.5'!$H$2:$H$901,$O$2,'Pi0.5'!$B$2:$B$901,$B34)</x:f>
        <x:v>4</x:v>
      </x:c>
      <x:c r="G34" s="19" t="n">
        <x:f>E34+F34</x:f>
        <x:v>20</x:v>
      </x:c>
      <x:c r="H34" s="20" t="n">
        <x:f>IF(G34=0,"",E34/G34)</x:f>
        <x:v>0.8</x:v>
      </x:c>
      <x:c r="I34" s="20" t="n">
        <x:f>IF(G34=0,"",(H34+$O$4^2/(2*G34))/(1+$O$4^2/G34))</x:f>
        <x:v>0.75166096235152</x:v>
      </x:c>
      <x:c r="J34" s="20" t="n">
        <x:f>IF(G34=0,"",$O$4*SQRT(H34*(1-H34)/G34+$O$4^2/(4*G34^2))/(1+$O$4^2/G34))</x:f>
        <x:v>0.16768268437727993</x:v>
      </x:c>
      <x:c r="K34" s="20" t="n">
        <x:f>IF(G34=0,"",MAX(0,I34-J34))</x:f>
        <x:v>0.5839782779742401</x:v>
      </x:c>
      <x:c r="L34" s="20" t="n">
        <x:f>IF(G34=0,"",MIN(1,I34+J34))</x:f>
        <x:v>0.9193436467288</x:v>
      </x:c>
      <x:c r="M34" s="18" t="str">
        <x:f>IF(G34=0,"",TEXT(K34,"0.0%")&amp;" – "&amp;TEXT(L34,"0.0%"))</x:f>
        <x:v>58.4% – 91.9%</x:v>
      </x:c>
      <x:c r="N34" s="18"/>
      <x:c r="O34" s="18"/>
    </x:row>
    <x:row r="35">
      <x:c r="A35" s="18" t="str">
        <x:v>In-distribution</x:v>
      </x:c>
      <x:c r="B35" s="18" t="str">
        <x:v>Size Recognition</x:v>
      </x:c>
      <x:c r="C35" s="18" t="str">
        <x:v>VLA-0</x:v>
      </x:c>
      <x:c r="D35" s="18" t="str">
        <x:v>VLA-0</x:v>
      </x:c>
      <x:c r="E35" s="19" t="n">
        <x:f>COUNTIFS('VLA-0'!$A$2:$A$73,"Success",'VLA-0'!$H$2:$H$73,$O$2,'VLA-0'!$B$2:$B$73,$B35)</x:f>
        <x:v>0</x:v>
      </x:c>
      <x:c r="F35" s="19" t="n">
        <x:f>COUNTIFS('VLA-0'!$A$2:$A$73,"Failure",'VLA-0'!$H$2:$H$73,$O$2,'VLA-0'!$B$2:$B$73,$B35)</x:f>
        <x:v>20</x:v>
      </x:c>
      <x:c r="G35" s="19" t="n">
        <x:f>E35+F35</x:f>
        <x:v>20</x:v>
      </x:c>
      <x:c r="H35" s="20" t="n">
        <x:f>IF(G35=0,"",E35/G35)</x:f>
        <x:v>0</x:v>
      </x:c>
      <x:c r="I35" s="20" t="n">
        <x:f>IF(G35=0,"",(H35+$O$4^2/(2*G35))/(1+$O$4^2/G35))</x:f>
        <x:v>0.0805650627474666</x:v>
      </x:c>
      <x:c r="J35" s="20" t="n">
        <x:f>IF(G35=0,"",$O$4*SQRT(H35*(1-H35)/G35+$O$4^2/(4*G35^2))/(1+$O$4^2/G35))</x:f>
        <x:v>0.08056506274746661</x:v>
      </x:c>
      <x:c r="K35" s="20" t="n">
        <x:f>IF(G35=0,"",MAX(0,I35-J35))</x:f>
        <x:v>0</x:v>
      </x:c>
      <x:c r="L35" s="20" t="n">
        <x:f>IF(G35=0,"",MIN(1,I35+J35))</x:f>
        <x:v>0.16113012549493322</x:v>
      </x:c>
      <x:c r="M35" s="18" t="str">
        <x:f>IF(G35=0,"",TEXT(K35,"0.0%")&amp;" – "&amp;TEXT(L35,"0.0%"))</x:f>
        <x:v>0.0% – 16.1%</x:v>
      </x:c>
      <x:c r="N35" s="18"/>
      <x:c r="O35" s="18"/>
    </x:row>
    <x:row r="36">
      <x:c r="A36" s="18" t="str">
        <x:v>In-distribution</x:v>
      </x:c>
      <x:c r="B36" s="18" t="str">
        <x:v>Size Recognition</x:v>
      </x:c>
      <x:c r="C36" s="18" t="str">
        <x:v>GR00T-N1.7 (vision only)</x:v>
      </x:c>
      <x:c r="D36" s="18" t="str">
        <x:v>GR00T Vision</x:v>
      </x:c>
      <x:c r="E36" s="19" t="n">
        <x:f>COUNTIFS('GR00T Vision'!$A$2:$A$901,"Success",'GR00T Vision'!$H$2:$H$901,$O$2,'GR00T Vision'!$B$2:$B$901,$B36)</x:f>
        <x:v>17</x:v>
      </x:c>
      <x:c r="F36" s="19" t="n">
        <x:f>COUNTIFS('GR00T Vision'!$A$2:$A$901,"Failure",'GR00T Vision'!$H$2:$H$901,$O$2,'GR00T Vision'!$B$2:$B$901,$B36)</x:f>
        <x:v>3</x:v>
      </x:c>
      <x:c r="G36" s="19" t="n">
        <x:f>E36+F36</x:f>
        <x:v>20</x:v>
      </x:c>
      <x:c r="H36" s="20" t="n">
        <x:f>IF(G36=0,"",E36/G36)</x:f>
        <x:v>0.85</x:v>
      </x:c>
      <x:c r="I36" s="20" t="n">
        <x:f>IF(G36=0,"",(H36+$O$4^2/(2*G36))/(1+$O$4^2/G36))</x:f>
        <x:v>0.7936044560767733</x:v>
      </x:c>
      <x:c r="J36" s="20" t="n">
        <x:f>IF(G36=0,"",$O$4*SQRT(H36*(1-H36)/G36+$O$4^2/(4*G36^2))/(1+$O$4^2/G36))</x:f>
        <x:v>0.15402775196373078</x:v>
      </x:c>
      <x:c r="K36" s="20" t="n">
        <x:f>IF(G36=0,"",MAX(0,I36-J36))</x:f>
        <x:v>0.6395767041130426</x:v>
      </x:c>
      <x:c r="L36" s="20" t="n">
        <x:f>IF(G36=0,"",MIN(1,I36+J36))</x:f>
        <x:v>0.9476322080405041</x:v>
      </x:c>
      <x:c r="M36" s="18" t="str">
        <x:f>IF(G36=0,"",TEXT(K36,"0.0%")&amp;" – "&amp;TEXT(L36,"0.0%"))</x:f>
        <x:v>64.0% – 94.8%</x:v>
      </x:c>
      <x:c r="N36" s="18"/>
      <x:c r="O36" s="18"/>
    </x:row>
    <x:row r="37">
      <x:c r="A37" s="18" t="str">
        <x:v>In-distribution</x:v>
      </x:c>
      <x:c r="B37" s="18" t="str">
        <x:v>Size Recognition</x:v>
      </x:c>
      <x:c r="C37" s="18" t="str">
        <x:v>GR00T-N1.7 (full finetune)</x:v>
      </x:c>
      <x:c r="D37" s="18" t="str">
        <x:v>GR00T Full</x:v>
      </x:c>
      <x:c r="E37" s="19" t="n">
        <x:f>COUNTIFS('GR00T Full'!$A$2:$A$120,"Success",'GR00T Full'!$H$2:$H$120,$O$2,'GR00T Full'!$B$2:$B$120,$B37)</x:f>
        <x:v>7</x:v>
      </x:c>
      <x:c r="F37" s="19" t="n">
        <x:f>COUNTIFS('GR00T Full'!$A$2:$A$120,"Failure",'GR00T Full'!$H$2:$H$120,$O$2,'GR00T Full'!$B$2:$B$120,$B37)</x:f>
        <x:v>13</x:v>
      </x:c>
      <x:c r="G37" s="19" t="n">
        <x:f>E37+F37</x:f>
        <x:v>20</x:v>
      </x:c>
      <x:c r="H37" s="20" t="n">
        <x:f>IF(G37=0,"",E37/G37)</x:f>
        <x:v>0.35</x:v>
      </x:c>
      <x:c r="I37" s="20" t="n">
        <x:f>IF(G37=0,"",(H37+$O$4^2/(2*G37))/(1+$O$4^2/G37))</x:f>
        <x:v>0.37416951882424</x:v>
      </x:c>
      <x:c r="J37" s="20" t="n">
        <x:f>IF(G37=0,"",$O$4*SQRT(H37*(1-H37)/G37+$O$4^2/(4*G37^2))/(1+$O$4^2/G37))</x:f>
        <x:v>0.19297997095629535</x:v>
      </x:c>
      <x:c r="K37" s="20" t="n">
        <x:f>IF(G37=0,"",MAX(0,I37-J37))</x:f>
        <x:v>0.18118954786794464</x:v>
      </x:c>
      <x:c r="L37" s="20" t="n">
        <x:f>IF(G37=0,"",MIN(1,I37+J37))</x:f>
        <x:v>0.5671494897805354</x:v>
      </x:c>
      <x:c r="M37" s="18" t="str">
        <x:f>IF(G37=0,"",TEXT(K37,"0.0%")&amp;" – "&amp;TEXT(L37,"0.0%"))</x:f>
        <x:v>18.1% – 56.7%</x:v>
      </x:c>
      <x:c r="N37" s="18"/>
      <x:c r="O37" s="18"/>
    </x:row>
    <x:row r="38">
      <x:c r="A38" s="18" t="str">
        <x:v>In-distribution</x:v>
      </x:c>
      <x:c r="B38" s="18" t="str">
        <x:v>Size Recognition</x:v>
      </x:c>
      <x:c r="C38" s="18" t="str">
        <x:v>MolmoAct2</x:v>
      </x:c>
      <x:c r="D38" s="18" t="str">
        <x:v>MolmoAct2</x:v>
      </x:c>
      <x:c r="E38" s="19" t="n">
        <x:f>COUNTIFS('MolmoAct2'!$A$2:$A$901,"Success",'MolmoAct2'!$H$2:$H$901,$O$2,'MolmoAct2'!$B$2:$B$901,$B38)</x:f>
        <x:v>16</x:v>
      </x:c>
      <x:c r="F38" s="19" t="n">
        <x:f>COUNTIFS('MolmoAct2'!$A$2:$A$901,"Failure",'MolmoAct2'!$H$2:$H$901,$O$2,'MolmoAct2'!$B$2:$B$901,$B38)</x:f>
        <x:v>4</x:v>
      </x:c>
      <x:c r="G38" s="19" t="n">
        <x:f>E38+F38</x:f>
        <x:v>20</x:v>
      </x:c>
      <x:c r="H38" s="20" t="n">
        <x:f>IF(G38=0,"",E38/G38)</x:f>
        <x:v>0.8</x:v>
      </x:c>
      <x:c r="I38" s="20" t="n">
        <x:f>IF(G38=0,"",(H38+$O$4^2/(2*G38))/(1+$O$4^2/G38))</x:f>
        <x:v>0.75166096235152</x:v>
      </x:c>
      <x:c r="J38" s="20" t="n">
        <x:f>IF(G38=0,"",$O$4*SQRT(H38*(1-H38)/G38+$O$4^2/(4*G38^2))/(1+$O$4^2/G38))</x:f>
        <x:v>0.16768268437727993</x:v>
      </x:c>
      <x:c r="K38" s="20" t="n">
        <x:f>IF(G38=0,"",MAX(0,I38-J38))</x:f>
        <x:v>0.5839782779742401</x:v>
      </x:c>
      <x:c r="L38" s="20" t="n">
        <x:f>IF(G38=0,"",MIN(1,I38+J38))</x:f>
        <x:v>0.9193436467288</x:v>
      </x:c>
      <x:c r="M38" s="18" t="str">
        <x:f>IF(G38=0,"",TEXT(K38,"0.0%")&amp;" – "&amp;TEXT(L38,"0.0%"))</x:f>
        <x:v>58.4% – 91.9%</x:v>
      </x:c>
      <x:c r="N38" s="18"/>
      <x:c r="O38" s="18"/>
    </x:row>
    <x:row r="39">
      <x:c r="A39" s="18" t="str">
        <x:v>In-distribution</x:v>
      </x:c>
      <x:c r="B39" s="18" t="str">
        <x:v>Size Recognition</x:v>
      </x:c>
      <x:c r="C39" s="18" t="str">
        <x:v>Pi0.5</x:v>
      </x:c>
      <x:c r="D39" s="18" t="str">
        <x:v>Pi0.5</x:v>
      </x:c>
      <x:c r="E39" s="19" t="n">
        <x:f>COUNTIFS('Pi0.5'!$A$2:$A$901,"Success",'Pi0.5'!$H$2:$H$901,$O$2,'Pi0.5'!$B$2:$B$901,$B39)</x:f>
        <x:v>19</x:v>
      </x:c>
      <x:c r="F39" s="19" t="n">
        <x:f>COUNTIFS('Pi0.5'!$A$2:$A$901,"Failure",'Pi0.5'!$H$2:$H$901,$O$2,'Pi0.5'!$B$2:$B$901,$B39)</x:f>
        <x:v>1</x:v>
      </x:c>
      <x:c r="G39" s="19" t="n">
        <x:f>E39+F39</x:f>
        <x:v>20</x:v>
      </x:c>
      <x:c r="H39" s="20" t="n">
        <x:f>IF(G39=0,"",E39/G39)</x:f>
        <x:v>0.95</x:v>
      </x:c>
      <x:c r="I39" s="20" t="n">
        <x:f>IF(G39=0,"",(H39+$O$4^2/(2*G39))/(1+$O$4^2/G39))</x:f>
        <x:v>0.8774914435272799</x:v>
      </x:c>
      <x:c r="J39" s="20" t="n">
        <x:f>IF(G39=0,"",$O$4*SQRT(H39*(1-H39)/G39+$O$4^2/(4*G39^2))/(1+$O$4^2/G39))</x:f>
        <x:v>0.11362733703984686</x:v>
      </x:c>
      <x:c r="K39" s="20" t="n">
        <x:f>IF(G39=0,"",MAX(0,I39-J39))</x:f>
        <x:v>0.7638641064874331</x:v>
      </x:c>
      <x:c r="L39" s="20" t="n">
        <x:f>IF(G39=0,"",MIN(1,I39+J39))</x:f>
        <x:v>0.9911187805671268</x:v>
      </x:c>
      <x:c r="M39" s="18" t="str">
        <x:f>IF(G39=0,"",TEXT(K39,"0.0%")&amp;" – "&amp;TEXT(L39,"0.0%"))</x:f>
        <x:v>76.4% – 99.1%</x:v>
      </x:c>
      <x:c r="N39" s="18"/>
      <x:c r="O39" s="18"/>
    </x:row>
    <x:row r="40">
      <x:c r="A40" s="18" t="str">
        <x:v>Concept transfer</x:v>
      </x:c>
      <x:c r="B40" s="18" t="str">
        <x:v>State Recognition</x:v>
      </x:c>
      <x:c r="C40" s="18" t="str">
        <x:v>GR00T-N1.7 (vision only)</x:v>
      </x:c>
      <x:c r="D40" s="18" t="str">
        <x:v>GR00T Vision</x:v>
      </x:c>
      <x:c r="E40" s="19" t="n">
        <x:f>COUNTIFS('GR00T Vision'!$A$2:$A$901,"Success",'GR00T Vision'!$H$2:$H$901,$O$3,'GR00T Vision'!$B$2:$B$901,$B40)</x:f>
        <x:v>17</x:v>
      </x:c>
      <x:c r="F40" s="19" t="n">
        <x:f>COUNTIFS('GR00T Vision'!$A$2:$A$901,"Failure",'GR00T Vision'!$H$2:$H$901,$O$3,'GR00T Vision'!$B$2:$B$901,$B40)</x:f>
        <x:v>33</x:v>
      </x:c>
      <x:c r="G40" s="19" t="n">
        <x:f>E40+F40</x:f>
        <x:v>50</x:v>
      </x:c>
      <x:c r="H40" s="20" t="n">
        <x:f>IF(G40=0,"",E40/G40)</x:f>
        <x:v>0.34</x:v>
      </x:c>
      <x:c r="I40" s="20" t="n">
        <x:f>IF(G40=0,"",(H40+$O$4^2/(2*G40))/(1+$O$4^2/G40))</x:f>
        <x:v>0.35141600546789103</x:v>
      </x:c>
      <x:c r="J40" s="20" t="n">
        <x:f>IF(G40=0,"",$O$4*SQRT(H40*(1-H40)/G40+$O$4^2/(4*G40^2))/(1+$O$4^2/G40))</x:f>
        <x:v>0.12704830911728043</x:v>
      </x:c>
      <x:c r="K40" s="20" t="n">
        <x:f>IF(G40=0,"",MAX(0,I40-J40))</x:f>
        <x:v>0.2243676963506106</x:v>
      </x:c>
      <x:c r="L40" s="20" t="n">
        <x:f>IF(G40=0,"",MIN(1,I40+J40))</x:f>
        <x:v>0.47846431458517147</x:v>
      </x:c>
      <x:c r="M40" s="18" t="str">
        <x:f>IF(G40=0,"",TEXT(K40,"0.0%")&amp;" – "&amp;TEXT(L40,"0.0%"))</x:f>
        <x:v>22.4% – 47.8%</x:v>
      </x:c>
      <x:c r="N40" s="18"/>
      <x:c r="O40" s="18"/>
    </x:row>
    <x:row r="41">
      <x:c r="A41" s="18" t="str">
        <x:v>Concept transfer</x:v>
      </x:c>
      <x:c r="B41" s="18" t="str">
        <x:v>State Recognition</x:v>
      </x:c>
      <x:c r="C41" s="18" t="str">
        <x:v>MolmoAct2</x:v>
      </x:c>
      <x:c r="D41" s="18" t="str">
        <x:v>MolmoAct2</x:v>
      </x:c>
      <x:c r="E41" s="19" t="n">
        <x:f>COUNTIFS('MolmoAct2'!$A$2:$A$901,"Success",'MolmoAct2'!$H$2:$H$901,$O$3,'MolmoAct2'!$B$2:$B$901,$B41)</x:f>
        <x:v>38</x:v>
      </x:c>
      <x:c r="F41" s="19" t="n">
        <x:f>COUNTIFS('MolmoAct2'!$A$2:$A$901,"Failure",'MolmoAct2'!$H$2:$H$901,$O$3,'MolmoAct2'!$B$2:$B$901,$B41)</x:f>
        <x:v>12</x:v>
      </x:c>
      <x:c r="G41" s="19" t="n">
        <x:f>E41+F41</x:f>
        <x:v>50</x:v>
      </x:c>
      <x:c r="H41" s="20" t="n">
        <x:f>IF(G41=0,"",E41/G41)</x:f>
        <x:v>0.76</x:v>
      </x:c>
      <x:c r="I41" s="20" t="n">
        <x:f>IF(G41=0,"",(H41+$O$4^2/(2*G41))/(1+$O$4^2/G41))</x:f>
        <x:v>0.7414489911146771</x:v>
      </x:c>
      <x:c r="J41" s="20" t="n">
        <x:f>IF(G41=0,"",$O$4*SQRT(H41*(1-H41)/G41+$O$4^2/(4*G41^2))/(1+$O$4^2/G41))</x:f>
        <x:v>0.11557848486660079</x:v>
      </x:c>
      <x:c r="K41" s="20" t="n">
        <x:f>IF(G41=0,"",MAX(0,I41-J41))</x:f>
        <x:v>0.6258705062480763</x:v>
      </x:c>
      <x:c r="L41" s="20" t="n">
        <x:f>IF(G41=0,"",MIN(1,I41+J41))</x:f>
        <x:v>0.8570274759812779</x:v>
      </x:c>
      <x:c r="M41" s="18" t="str">
        <x:f>IF(G41=0,"",TEXT(K41,"0.0%")&amp;" – "&amp;TEXT(L41,"0.0%"))</x:f>
        <x:v>62.6% – 85.7%</x:v>
      </x:c>
      <x:c r="N41" s="18"/>
      <x:c r="O41" s="18"/>
    </x:row>
    <x:row r="42">
      <x:c r="A42" s="18" t="str">
        <x:v>Concept transfer</x:v>
      </x:c>
      <x:c r="B42" s="18" t="str">
        <x:v>State Recognition</x:v>
      </x:c>
      <x:c r="C42" s="18" t="str">
        <x:v>Pi0.5</x:v>
      </x:c>
      <x:c r="D42" s="18" t="str">
        <x:v>Pi0.5</x:v>
      </x:c>
      <x:c r="E42" s="19" t="n">
        <x:f>COUNTIFS('Pi0.5'!$A$2:$A$901,"Success",'Pi0.5'!$H$2:$H$901,$O$3,'Pi0.5'!$B$2:$B$901,$B42)</x:f>
        <x:v>18</x:v>
      </x:c>
      <x:c r="F42" s="19" t="n">
        <x:f>COUNTIFS('Pi0.5'!$A$2:$A$901,"Failure",'Pi0.5'!$H$2:$H$901,$O$3,'Pi0.5'!$B$2:$B$901,$B42)</x:f>
        <x:v>32</x:v>
      </x:c>
      <x:c r="G42" s="19" t="n">
        <x:f>E42+F42</x:f>
        <x:v>50</x:v>
      </x:c>
      <x:c r="H42" s="20" t="n">
        <x:f>IF(G42=0,"",E42/G42)</x:f>
        <x:v>0.36</x:v>
      </x:c>
      <x:c r="I42" s="20" t="n">
        <x:f>IF(G42=0,"",(H42+$O$4^2/(2*G42))/(1+$O$4^2/G42))</x:f>
        <x:v>0.3699890047844046</x:v>
      </x:c>
      <x:c r="J42" s="20" t="n">
        <x:f>IF(G42=0,"",$O$4*SQRT(H42*(1-H42)/G42+$O$4^2/(4*G42^2))/(1+$O$4^2/G42))</x:f>
        <x:v>0.12860337511257586</x:v>
      </x:c>
      <x:c r="K42" s="20" t="n">
        <x:f>IF(G42=0,"",MAX(0,I42-J42))</x:f>
        <x:v>0.24138562967182875</x:v>
      </x:c>
      <x:c r="L42" s="20" t="n">
        <x:f>IF(G42=0,"",MIN(1,I42+J42))</x:f>
        <x:v>0.49859237989698046</x:v>
      </x:c>
      <x:c r="M42" s="18" t="str">
        <x:f>IF(G42=0,"",TEXT(K42,"0.0%")&amp;" – "&amp;TEXT(L42,"0.0%"))</x:f>
        <x:v>24.1% – 49.9%</x:v>
      </x:c>
      <x:c r="N42" s="18"/>
      <x:c r="O42" s="18"/>
    </x:row>
    <x:row r="43">
      <x:c r="A43" s="18" t="str">
        <x:v>Concept transfer</x:v>
      </x:c>
      <x:c r="B43" s="18" t="str">
        <x:v>Counting</x:v>
      </x:c>
      <x:c r="C43" s="18" t="str">
        <x:v>GR00T-N1.7 (vision only)</x:v>
      </x:c>
      <x:c r="D43" s="18" t="str">
        <x:v>GR00T Vision</x:v>
      </x:c>
      <x:c r="E43" s="19" t="n">
        <x:f>COUNTIFS('GR00T Vision'!$A$2:$A$901,"Success",'GR00T Vision'!$H$2:$H$901,$O$3,'GR00T Vision'!$B$2:$B$901,$B43)</x:f>
        <x:v>0</x:v>
      </x:c>
      <x:c r="F43" s="19" t="n">
        <x:f>COUNTIFS('GR00T Vision'!$A$2:$A$901,"Failure",'GR00T Vision'!$H$2:$H$901,$O$3,'GR00T Vision'!$B$2:$B$901,$B43)</x:f>
        <x:v>50</x:v>
      </x:c>
      <x:c r="G43" s="19" t="n">
        <x:f>E43+F43</x:f>
        <x:v>50</x:v>
      </x:c>
      <x:c r="H43" s="20" t="n">
        <x:f>IF(G43=0,"",E43/G43)</x:f>
        <x:v>0</x:v>
      </x:c>
      <x:c r="I43" s="20" t="n">
        <x:f>IF(G43=0,"",(H43+$O$4^2/(2*G43))/(1+$O$4^2/G43))</x:f>
        <x:v>0.035675017087159366</x:v>
      </x:c>
      <x:c r="J43" s="20" t="n">
        <x:f>IF(G43=0,"",$O$4*SQRT(H43*(1-H43)/G43+$O$4^2/(4*G43^2))/(1+$O$4^2/G43))</x:f>
        <x:v>0.035675017087159366</x:v>
      </x:c>
      <x:c r="K43" s="20" t="n">
        <x:f>IF(G43=0,"",MAX(0,I43-J43))</x:f>
        <x:v>0</x:v>
      </x:c>
      <x:c r="L43" s="20" t="n">
        <x:f>IF(G43=0,"",MIN(1,I43+J43))</x:f>
        <x:v>0.07135003417431873</x:v>
      </x:c>
      <x:c r="M43" s="18" t="str">
        <x:f>IF(G43=0,"",TEXT(K43,"0.0%")&amp;" – "&amp;TEXT(L43,"0.0%"))</x:f>
        <x:v>0.0% – 7.1%</x:v>
      </x:c>
      <x:c r="N43" s="18"/>
      <x:c r="O43" s="18"/>
    </x:row>
    <x:row r="44">
      <x:c r="A44" s="18" t="str">
        <x:v>Concept transfer</x:v>
      </x:c>
      <x:c r="B44" s="18" t="str">
        <x:v>Counting</x:v>
      </x:c>
      <x:c r="C44" s="18" t="str">
        <x:v>MolmoAct2</x:v>
      </x:c>
      <x:c r="D44" s="18" t="str">
        <x:v>MolmoAct2</x:v>
      </x:c>
      <x:c r="E44" s="19" t="n">
        <x:f>COUNTIFS('MolmoAct2'!$A$2:$A$901,"Success",'MolmoAct2'!$H$2:$H$901,$O$3,'MolmoAct2'!$B$2:$B$901,$B44)</x:f>
        <x:v>0</x:v>
      </x:c>
      <x:c r="F44" s="19" t="n">
        <x:f>COUNTIFS('MolmoAct2'!$A$2:$A$901,"Failure",'MolmoAct2'!$H$2:$H$901,$O$3,'MolmoAct2'!$B$2:$B$901,$B44)</x:f>
        <x:v>50</x:v>
      </x:c>
      <x:c r="G44" s="19" t="n">
        <x:f>E44+F44</x:f>
        <x:v>50</x:v>
      </x:c>
      <x:c r="H44" s="20" t="n">
        <x:f>IF(G44=0,"",E44/G44)</x:f>
        <x:v>0</x:v>
      </x:c>
      <x:c r="I44" s="20" t="n">
        <x:f>IF(G44=0,"",(H44+$O$4^2/(2*G44))/(1+$O$4^2/G44))</x:f>
        <x:v>0.035675017087159366</x:v>
      </x:c>
      <x:c r="J44" s="20" t="n">
        <x:f>IF(G44=0,"",$O$4*SQRT(H44*(1-H44)/G44+$O$4^2/(4*G44^2))/(1+$O$4^2/G44))</x:f>
        <x:v>0.035675017087159366</x:v>
      </x:c>
      <x:c r="K44" s="20" t="n">
        <x:f>IF(G44=0,"",MAX(0,I44-J44))</x:f>
        <x:v>0</x:v>
      </x:c>
      <x:c r="L44" s="20" t="n">
        <x:f>IF(G44=0,"",MIN(1,I44+J44))</x:f>
        <x:v>0.07135003417431873</x:v>
      </x:c>
      <x:c r="M44" s="18" t="str">
        <x:f>IF(G44=0,"",TEXT(K44,"0.0%")&amp;" – "&amp;TEXT(L44,"0.0%"))</x:f>
        <x:v>0.0% – 7.1%</x:v>
      </x:c>
      <x:c r="N44" s="18"/>
      <x:c r="O44" s="18"/>
    </x:row>
    <x:row r="45">
      <x:c r="A45" s="18" t="str">
        <x:v>Concept transfer</x:v>
      </x:c>
      <x:c r="B45" s="18" t="str">
        <x:v>Counting</x:v>
      </x:c>
      <x:c r="C45" s="18" t="str">
        <x:v>Pi0.5</x:v>
      </x:c>
      <x:c r="D45" s="18" t="str">
        <x:v>Pi0.5</x:v>
      </x:c>
      <x:c r="E45" s="19" t="n">
        <x:f>COUNTIFS('Pi0.5'!$A$2:$A$901,"Success",'Pi0.5'!$H$2:$H$901,$O$3,'Pi0.5'!$B$2:$B$901,$B45)</x:f>
        <x:v>0</x:v>
      </x:c>
      <x:c r="F45" s="19" t="n">
        <x:f>COUNTIFS('Pi0.5'!$A$2:$A$901,"Failure",'Pi0.5'!$H$2:$H$901,$O$3,'Pi0.5'!$B$2:$B$901,$B45)</x:f>
        <x:v>50</x:v>
      </x:c>
      <x:c r="G45" s="19" t="n">
        <x:f>E45+F45</x:f>
        <x:v>50</x:v>
      </x:c>
      <x:c r="H45" s="20" t="n">
        <x:f>IF(G45=0,"",E45/G45)</x:f>
        <x:v>0</x:v>
      </x:c>
      <x:c r="I45" s="20" t="n">
        <x:f>IF(G45=0,"",(H45+$O$4^2/(2*G45))/(1+$O$4^2/G45))</x:f>
        <x:v>0.035675017087159366</x:v>
      </x:c>
      <x:c r="J45" s="20" t="n">
        <x:f>IF(G45=0,"",$O$4*SQRT(H45*(1-H45)/G45+$O$4^2/(4*G45^2))/(1+$O$4^2/G45))</x:f>
        <x:v>0.035675017087159366</x:v>
      </x:c>
      <x:c r="K45" s="20" t="n">
        <x:f>IF(G45=0,"",MAX(0,I45-J45))</x:f>
        <x:v>0</x:v>
      </x:c>
      <x:c r="L45" s="20" t="n">
        <x:f>IF(G45=0,"",MIN(1,I45+J45))</x:f>
        <x:v>0.07135003417431873</x:v>
      </x:c>
      <x:c r="M45" s="18" t="str">
        <x:f>IF(G45=0,"",TEXT(K45,"0.0%")&amp;" – "&amp;TEXT(L45,"0.0%"))</x:f>
        <x:v>0.0% – 7.1%</x:v>
      </x:c>
      <x:c r="N45" s="18"/>
      <x:c r="O45" s="18"/>
    </x:row>
    <x:row r="46">
      <x:c r="A46" s="18" t="str">
        <x:v>Concept transfer</x:v>
      </x:c>
      <x:c r="B46" s="18" t="str">
        <x:v>Ordinal Reference Ordering</x:v>
      </x:c>
      <x:c r="C46" s="18" t="str">
        <x:v>GR00T-N1.7 (vision only)</x:v>
      </x:c>
      <x:c r="D46" s="18" t="str">
        <x:v>GR00T Vision</x:v>
      </x:c>
      <x:c r="E46" s="19" t="n">
        <x:f>COUNTIFS('GR00T Vision'!$A$2:$A$901,"Success",'GR00T Vision'!$H$2:$H$901,$O$3,'GR00T Vision'!$B$2:$B$901,$B46)</x:f>
        <x:v>21</x:v>
      </x:c>
      <x:c r="F46" s="19" t="n">
        <x:f>COUNTIFS('GR00T Vision'!$A$2:$A$901,"Failure",'GR00T Vision'!$H$2:$H$901,$O$3,'GR00T Vision'!$B$2:$B$901,$B46)</x:f>
        <x:v>29</x:v>
      </x:c>
      <x:c r="G46" s="19" t="n">
        <x:f>E46+F46</x:f>
        <x:v>50</x:v>
      </x:c>
      <x:c r="H46" s="20" t="n">
        <x:f>IF(G46=0,"",E46/G46)</x:f>
        <x:v>0.42</x:v>
      </x:c>
      <x:c r="I46" s="20" t="n">
        <x:f>IF(G46=0,"",(H46+$O$4^2/(2*G46))/(1+$O$4^2/G46))</x:f>
        <x:v>0.4257080027339455</x:v>
      </x:c>
      <x:c r="J46" s="20" t="n">
        <x:f>IF(G46=0,"",$O$4*SQRT(H46*(1-H46)/G46+$O$4^2/(4*G46^2))/(1+$O$4^2/G46))</x:f>
        <x:v>0.13196003038827617</x:v>
      </x:c>
      <x:c r="K46" s="20" t="n">
        <x:f>IF(G46=0,"",MAX(0,I46-J46))</x:f>
        <x:v>0.2937479723456693</x:v>
      </x:c>
      <x:c r="L46" s="20" t="n">
        <x:f>IF(G46=0,"",MIN(1,I46+J46))</x:f>
        <x:v>0.5576680331222217</x:v>
      </x:c>
      <x:c r="M46" s="18" t="str">
        <x:f>IF(G46=0,"",TEXT(K46,"0.0%")&amp;" – "&amp;TEXT(L46,"0.0%"))</x:f>
        <x:v>29.4% – 55.8%</x:v>
      </x:c>
      <x:c r="N46" s="18"/>
      <x:c r="O46" s="18"/>
    </x:row>
    <x:row r="47">
      <x:c r="A47" s="18" t="str">
        <x:v>Concept transfer</x:v>
      </x:c>
      <x:c r="B47" s="18" t="str">
        <x:v>Ordinal Reference Ordering</x:v>
      </x:c>
      <x:c r="C47" s="18" t="str">
        <x:v>MolmoAct2</x:v>
      </x:c>
      <x:c r="D47" s="18" t="str">
        <x:v>MolmoAct2</x:v>
      </x:c>
      <x:c r="E47" s="19" t="n">
        <x:f>COUNTIFS('MolmoAct2'!$A$2:$A$901,"Success",'MolmoAct2'!$H$2:$H$901,$O$3,'MolmoAct2'!$B$2:$B$901,$B47)</x:f>
        <x:v>27</x:v>
      </x:c>
      <x:c r="F47" s="19" t="n">
        <x:f>COUNTIFS('MolmoAct2'!$A$2:$A$901,"Failure",'MolmoAct2'!$H$2:$H$901,$O$3,'MolmoAct2'!$B$2:$B$901,$B47)</x:f>
        <x:v>23</x:v>
      </x:c>
      <x:c r="G47" s="19" t="n">
        <x:f>E47+F47</x:f>
        <x:v>50</x:v>
      </x:c>
      <x:c r="H47" s="20" t="n">
        <x:f>IF(G47=0,"",E47/G47)</x:f>
        <x:v>0.54</x:v>
      </x:c>
      <x:c r="I47" s="20" t="n">
        <x:f>IF(G47=0,"",(H47+$O$4^2/(2*G47))/(1+$O$4^2/G47))</x:f>
        <x:v>0.5371459986330273</x:v>
      </x:c>
      <x:c r="J47" s="20" t="n">
        <x:f>IF(G47=0,"",$O$4*SQRT(H47*(1-H47)/G47+$O$4^2/(4*G47^2))/(1+$O$4^2/G47))</x:f>
        <x:v>0.13315965534914642</x:v>
      </x:c>
      <x:c r="K47" s="20" t="n">
        <x:f>IF(G47=0,"",MAX(0,I47-J47))</x:f>
        <x:v>0.40398634328388083</x:v>
      </x:c>
      <x:c r="L47" s="20" t="n">
        <x:f>IF(G47=0,"",MIN(1,I47+J47))</x:f>
        <x:v>0.6703056539821737</x:v>
      </x:c>
      <x:c r="M47" s="18" t="str">
        <x:f>IF(G47=0,"",TEXT(K47,"0.0%")&amp;" – "&amp;TEXT(L47,"0.0%"))</x:f>
        <x:v>40.4% – 67.0%</x:v>
      </x:c>
      <x:c r="N47" s="18"/>
      <x:c r="O47" s="18"/>
    </x:row>
    <x:row r="48">
      <x:c r="A48" s="18" t="str">
        <x:v>Concept transfer</x:v>
      </x:c>
      <x:c r="B48" s="18" t="str">
        <x:v>Ordinal Reference Ordering</x:v>
      </x:c>
      <x:c r="C48" s="18" t="str">
        <x:v>Pi0.5</x:v>
      </x:c>
      <x:c r="D48" s="18" t="str">
        <x:v>Pi0.5</x:v>
      </x:c>
      <x:c r="E48" s="19" t="n">
        <x:f>COUNTIFS('Pi0.5'!$A$2:$A$901,"Success",'Pi0.5'!$H$2:$H$901,$O$3,'Pi0.5'!$B$2:$B$901,$B48)</x:f>
        <x:v>23</x:v>
      </x:c>
      <x:c r="F48" s="19" t="n">
        <x:f>COUNTIFS('Pi0.5'!$A$2:$A$901,"Failure",'Pi0.5'!$H$2:$H$901,$O$3,'Pi0.5'!$B$2:$B$901,$B48)</x:f>
        <x:v>27</x:v>
      </x:c>
      <x:c r="G48" s="19" t="n">
        <x:f>E48+F48</x:f>
        <x:v>50</x:v>
      </x:c>
      <x:c r="H48" s="20" t="n">
        <x:f>IF(G48=0,"",E48/G48)</x:f>
        <x:v>0.46</x:v>
      </x:c>
      <x:c r="I48" s="20" t="n">
        <x:f>IF(G48=0,"",(H48+$O$4^2/(2*G48))/(1+$O$4^2/G48))</x:f>
        <x:v>0.46285400136697274</x:v>
      </x:c>
      <x:c r="J48" s="20" t="n">
        <x:f>IF(G48=0,"",$O$4*SQRT(H48*(1-H48)/G48+$O$4^2/(4*G48^2))/(1+$O$4^2/G48))</x:f>
        <x:v>0.13315965534914642</x:v>
      </x:c>
      <x:c r="K48" s="20" t="n">
        <x:f>IF(G48=0,"",MAX(0,I48-J48))</x:f>
        <x:v>0.3296943460178263</x:v>
      </x:c>
      <x:c r="L48" s="20" t="n">
        <x:f>IF(G48=0,"",MIN(1,I48+J48))</x:f>
        <x:v>0.5960136567161192</x:v>
      </x:c>
      <x:c r="M48" s="18" t="str">
        <x:f>IF(G48=0,"",TEXT(K48,"0.0%")&amp;" – "&amp;TEXT(L48,"0.0%"))</x:f>
        <x:v>33.0% – 59.6%</x:v>
      </x:c>
      <x:c r="N48" s="18"/>
      <x:c r="O48" s="18"/>
    </x:row>
    <x:row r="49">
      <x:c r="A49" s="18" t="str">
        <x:v>Concept transfer</x:v>
      </x:c>
      <x:c r="B49" s="18" t="str">
        <x:v>Relational Placement</x:v>
      </x:c>
      <x:c r="C49" s="18" t="str">
        <x:v>GR00T-N1.7 (vision only)</x:v>
      </x:c>
      <x:c r="D49" s="18" t="str">
        <x:v>GR00T Vision</x:v>
      </x:c>
      <x:c r="E49" s="19" t="n">
        <x:f>COUNTIFS('GR00T Vision'!$A$2:$A$901,"Success",'GR00T Vision'!$H$2:$H$901,$O$3,'GR00T Vision'!$B$2:$B$901,$B49)</x:f>
        <x:v>39</x:v>
      </x:c>
      <x:c r="F49" s="19" t="n">
        <x:f>COUNTIFS('GR00T Vision'!$A$2:$A$901,"Failure",'GR00T Vision'!$H$2:$H$901,$O$3,'GR00T Vision'!$B$2:$B$901,$B49)</x:f>
        <x:v>11</x:v>
      </x:c>
      <x:c r="G49" s="19" t="n">
        <x:f>E49+F49</x:f>
        <x:v>50</x:v>
      </x:c>
      <x:c r="H49" s="20" t="n">
        <x:f>IF(G49=0,"",E49/G49)</x:f>
        <x:v>0.78</x:v>
      </x:c>
      <x:c r="I49" s="20" t="n">
        <x:f>IF(G49=0,"",(H49+$O$4^2/(2*G49))/(1+$O$4^2/G49))</x:f>
        <x:v>0.7600219904311908</x:v>
      </x:c>
      <x:c r="J49" s="20" t="n">
        <x:f>IF(G49=0,"",$O$4*SQRT(H49*(1-H49)/G49+$O$4^2/(4*G49^2))/(1+$O$4^2/G49))</x:f>
        <x:v>0.1124401473257863</x:v>
      </x:c>
      <x:c r="K49" s="20" t="n">
        <x:f>IF(G49=0,"",MAX(0,I49-J49))</x:f>
        <x:v>0.6475818431054045</x:v>
      </x:c>
      <x:c r="L49" s="20" t="n">
        <x:f>IF(G49=0,"",MIN(1,I49+J49))</x:f>
        <x:v>0.8724621377569771</x:v>
      </x:c>
      <x:c r="M49" s="18" t="str">
        <x:f>IF(G49=0,"",TEXT(K49,"0.0%")&amp;" – "&amp;TEXT(L49,"0.0%"))</x:f>
        <x:v>64.8% – 87.2%</x:v>
      </x:c>
      <x:c r="N49" s="18"/>
      <x:c r="O49" s="18"/>
    </x:row>
    <x:row r="50">
      <x:c r="A50" s="18" t="str">
        <x:v>Concept transfer</x:v>
      </x:c>
      <x:c r="B50" s="18" t="str">
        <x:v>Relational Placement</x:v>
      </x:c>
      <x:c r="C50" s="18" t="str">
        <x:v>MolmoAct2</x:v>
      </x:c>
      <x:c r="D50" s="18" t="str">
        <x:v>MolmoAct2</x:v>
      </x:c>
      <x:c r="E50" s="19" t="n">
        <x:f>COUNTIFS('MolmoAct2'!$A$2:$A$901,"Success",'MolmoAct2'!$H$2:$H$901,$O$3,'MolmoAct2'!$B$2:$B$901,$B50)</x:f>
        <x:v>25</x:v>
      </x:c>
      <x:c r="F50" s="19" t="n">
        <x:f>COUNTIFS('MolmoAct2'!$A$2:$A$901,"Failure",'MolmoAct2'!$H$2:$H$901,$O$3,'MolmoAct2'!$B$2:$B$901,$B50)</x:f>
        <x:v>25</x:v>
      </x:c>
      <x:c r="G50" s="19" t="n">
        <x:f>E50+F50</x:f>
        <x:v>50</x:v>
      </x:c>
      <x:c r="H50" s="20" t="n">
        <x:f>IF(G50=0,"",E50/G50)</x:f>
        <x:v>0.5</x:v>
      </x:c>
      <x:c r="I50" s="20" t="n">
        <x:f>IF(G50=0,"",(H50+$O$4^2/(2*G50))/(1+$O$4^2/G50))</x:f>
        <x:v>0.5</x:v>
      </x:c>
      <x:c r="J50" s="20" t="n">
        <x:f>IF(G50=0,"",$O$4*SQRT(H50*(1-H50)/G50+$O$4^2/(4*G50^2))/(1+$O$4^2/G50))</x:f>
        <x:v>0.13355713587667145</x:v>
      </x:c>
      <x:c r="K50" s="20" t="n">
        <x:f>IF(G50=0,"",MAX(0,I50-J50))</x:f>
        <x:v>0.36644286412332855</x:v>
      </x:c>
      <x:c r="L50" s="20" t="n">
        <x:f>IF(G50=0,"",MIN(1,I50+J50))</x:f>
        <x:v>0.6335571358766714</x:v>
      </x:c>
      <x:c r="M50" s="18" t="str">
        <x:f>IF(G50=0,"",TEXT(K50,"0.0%")&amp;" – "&amp;TEXT(L50,"0.0%"))</x:f>
        <x:v>36.6% – 63.4%</x:v>
      </x:c>
      <x:c r="N50" s="18"/>
      <x:c r="O50" s="18"/>
    </x:row>
    <x:row r="51">
      <x:c r="A51" s="18" t="str">
        <x:v>Concept transfer</x:v>
      </x:c>
      <x:c r="B51" s="18" t="str">
        <x:v>Relational Placement</x:v>
      </x:c>
      <x:c r="C51" s="18" t="str">
        <x:v>Pi0.5</x:v>
      </x:c>
      <x:c r="D51" s="18" t="str">
        <x:v>Pi0.5</x:v>
      </x:c>
      <x:c r="E51" s="19" t="n">
        <x:f>COUNTIFS('Pi0.5'!$A$2:$A$901,"Success",'Pi0.5'!$H$2:$H$901,$O$3,'Pi0.5'!$B$2:$B$901,$B51)</x:f>
        <x:v>36</x:v>
      </x:c>
      <x:c r="F51" s="19" t="n">
        <x:f>COUNTIFS('Pi0.5'!$A$2:$A$901,"Failure",'Pi0.5'!$H$2:$H$901,$O$3,'Pi0.5'!$B$2:$B$901,$B51)</x:f>
        <x:v>14</x:v>
      </x:c>
      <x:c r="G51" s="19" t="n">
        <x:f>E51+F51</x:f>
        <x:v>50</x:v>
      </x:c>
      <x:c r="H51" s="20" t="n">
        <x:f>IF(G51=0,"",E51/G51)</x:f>
        <x:v>0.72</x:v>
      </x:c>
      <x:c r="I51" s="20" t="n">
        <x:f>IF(G51=0,"",(H51+$O$4^2/(2*G51))/(1+$O$4^2/G51))</x:f>
        <x:v>0.7043029924816498</x:v>
      </x:c>
      <x:c r="J51" s="20" t="n">
        <x:f>IF(G51=0,"",$O$4*SQRT(H51*(1-H51)/G51+$O$4^2/(4*G51^2))/(1+$O$4^2/G51))</x:f>
        <x:v>0.12095686394154652</x:v>
      </x:c>
      <x:c r="K51" s="20" t="n">
        <x:f>IF(G51=0,"",MAX(0,I51-J51))</x:f>
        <x:v>0.5833461285401034</x:v>
      </x:c>
      <x:c r="L51" s="20" t="n">
        <x:f>IF(G51=0,"",MIN(1,I51+J51))</x:f>
        <x:v>0.8252598564231963</x:v>
      </x:c>
      <x:c r="M51" s="18" t="str">
        <x:f>IF(G51=0,"",TEXT(K51,"0.0%")&amp;" – "&amp;TEXT(L51,"0.0%"))</x:f>
        <x:v>58.3% – 82.5%</x:v>
      </x:c>
      <x:c r="N51" s="18"/>
      <x:c r="O51" s="18"/>
    </x:row>
    <x:row r="52">
      <x:c r="A52" s="18" t="str">
        <x:v>Concept transfer</x:v>
      </x:c>
      <x:c r="B52" s="18" t="str">
        <x:v>Referential Disambiguation</x:v>
      </x:c>
      <x:c r="C52" s="18" t="str">
        <x:v>GR00T-N1.7 (vision only)</x:v>
      </x:c>
      <x:c r="D52" s="18" t="str">
        <x:v>GR00T Vision</x:v>
      </x:c>
      <x:c r="E52" s="19" t="n">
        <x:f>COUNTIFS('GR00T Vision'!$A$2:$A$901,"Success",'GR00T Vision'!$H$2:$H$901,$O$3,'GR00T Vision'!$B$2:$B$901,$B52)</x:f>
        <x:v>27</x:v>
      </x:c>
      <x:c r="F52" s="19" t="n">
        <x:f>COUNTIFS('GR00T Vision'!$A$2:$A$901,"Failure",'GR00T Vision'!$H$2:$H$901,$O$3,'GR00T Vision'!$B$2:$B$901,$B52)</x:f>
        <x:v>23</x:v>
      </x:c>
      <x:c r="G52" s="19" t="n">
        <x:f>E52+F52</x:f>
        <x:v>50</x:v>
      </x:c>
      <x:c r="H52" s="20" t="n">
        <x:f>IF(G52=0,"",E52/G52)</x:f>
        <x:v>0.54</x:v>
      </x:c>
      <x:c r="I52" s="20" t="n">
        <x:f>IF(G52=0,"",(H52+$O$4^2/(2*G52))/(1+$O$4^2/G52))</x:f>
        <x:v>0.5371459986330273</x:v>
      </x:c>
      <x:c r="J52" s="20" t="n">
        <x:f>IF(G52=0,"",$O$4*SQRT(H52*(1-H52)/G52+$O$4^2/(4*G52^2))/(1+$O$4^2/G52))</x:f>
        <x:v>0.13315965534914642</x:v>
      </x:c>
      <x:c r="K52" s="20" t="n">
        <x:f>IF(G52=0,"",MAX(0,I52-J52))</x:f>
        <x:v>0.40398634328388083</x:v>
      </x:c>
      <x:c r="L52" s="20" t="n">
        <x:f>IF(G52=0,"",MIN(1,I52+J52))</x:f>
        <x:v>0.6703056539821737</x:v>
      </x:c>
      <x:c r="M52" s="18" t="str">
        <x:f>IF(G52=0,"",TEXT(K52,"0.0%")&amp;" – "&amp;TEXT(L52,"0.0%"))</x:f>
        <x:v>40.4% – 67.0%</x:v>
      </x:c>
      <x:c r="N52" s="18"/>
      <x:c r="O52" s="18"/>
    </x:row>
    <x:row r="53">
      <x:c r="A53" s="18" t="str">
        <x:v>Concept transfer</x:v>
      </x:c>
      <x:c r="B53" s="18" t="str">
        <x:v>Referential Disambiguation</x:v>
      </x:c>
      <x:c r="C53" s="18" t="str">
        <x:v>MolmoAct2</x:v>
      </x:c>
      <x:c r="D53" s="18" t="str">
        <x:v>MolmoAct2</x:v>
      </x:c>
      <x:c r="E53" s="19" t="n">
        <x:f>COUNTIFS('MolmoAct2'!$A$2:$A$901,"Success",'MolmoAct2'!$H$2:$H$901,$O$3,'MolmoAct2'!$B$2:$B$901,$B53)</x:f>
        <x:v>34</x:v>
      </x:c>
      <x:c r="F53" s="19" t="n">
        <x:f>COUNTIFS('MolmoAct2'!$A$2:$A$901,"Failure",'MolmoAct2'!$H$2:$H$901,$O$3,'MolmoAct2'!$B$2:$B$901,$B53)</x:f>
        <x:v>16</x:v>
      </x:c>
      <x:c r="G53" s="19" t="n">
        <x:f>E53+F53</x:f>
        <x:v>50</x:v>
      </x:c>
      <x:c r="H53" s="20" t="n">
        <x:f>IF(G53=0,"",E53/G53)</x:f>
        <x:v>0.68</x:v>
      </x:c>
      <x:c r="I53" s="20" t="n">
        <x:f>IF(G53=0,"",(H53+$O$4^2/(2*G53))/(1+$O$4^2/G53))</x:f>
        <x:v>0.6671569938486227</x:v>
      </x:c>
      <x:c r="J53" s="20" t="n">
        <x:f>IF(G53=0,"",$O$4*SQRT(H53*(1-H53)/G53+$O$4^2/(4*G53^2))/(1+$O$4^2/G53))</x:f>
        <x:v>0.12526256521138338</x:v>
      </x:c>
      <x:c r="K53" s="20" t="n">
        <x:f>IF(G53=0,"",MAX(0,I53-J53))</x:f>
        <x:v>0.5418944286372394</x:v>
      </x:c>
      <x:c r="L53" s="20" t="n">
        <x:f>IF(G53=0,"",MIN(1,I53+J53))</x:f>
        <x:v>0.792419559060006</x:v>
      </x:c>
      <x:c r="M53" s="18" t="str">
        <x:f>IF(G53=0,"",TEXT(K53,"0.0%")&amp;" – "&amp;TEXT(L53,"0.0%"))</x:f>
        <x:v>54.2% – 79.2%</x:v>
      </x:c>
      <x:c r="N53" s="18"/>
      <x:c r="O53" s="18"/>
    </x:row>
    <x:row r="54">
      <x:c r="A54" s="18" t="str">
        <x:v>Concept transfer</x:v>
      </x:c>
      <x:c r="B54" s="18" t="str">
        <x:v>Referential Disambiguation</x:v>
      </x:c>
      <x:c r="C54" s="18" t="str">
        <x:v>Pi0.5</x:v>
      </x:c>
      <x:c r="D54" s="18" t="str">
        <x:v>Pi0.5</x:v>
      </x:c>
      <x:c r="E54" s="19" t="n">
        <x:f>COUNTIFS('Pi0.5'!$A$2:$A$901,"Success",'Pi0.5'!$H$2:$H$901,$O$3,'Pi0.5'!$B$2:$B$901,$B54)</x:f>
        <x:v>18</x:v>
      </x:c>
      <x:c r="F54" s="19" t="n">
        <x:f>COUNTIFS('Pi0.5'!$A$2:$A$901,"Failure",'Pi0.5'!$H$2:$H$901,$O$3,'Pi0.5'!$B$2:$B$901,$B54)</x:f>
        <x:v>32</x:v>
      </x:c>
      <x:c r="G54" s="19" t="n">
        <x:f>E54+F54</x:f>
        <x:v>50</x:v>
      </x:c>
      <x:c r="H54" s="20" t="n">
        <x:f>IF(G54=0,"",E54/G54)</x:f>
        <x:v>0.36</x:v>
      </x:c>
      <x:c r="I54" s="20" t="n">
        <x:f>IF(G54=0,"",(H54+$O$4^2/(2*G54))/(1+$O$4^2/G54))</x:f>
        <x:v>0.3699890047844046</x:v>
      </x:c>
      <x:c r="J54" s="20" t="n">
        <x:f>IF(G54=0,"",$O$4*SQRT(H54*(1-H54)/G54+$O$4^2/(4*G54^2))/(1+$O$4^2/G54))</x:f>
        <x:v>0.12860337511257586</x:v>
      </x:c>
      <x:c r="K54" s="20" t="n">
        <x:f>IF(G54=0,"",MAX(0,I54-J54))</x:f>
        <x:v>0.24138562967182875</x:v>
      </x:c>
      <x:c r="L54" s="20" t="n">
        <x:f>IF(G54=0,"",MIN(1,I54+J54))</x:f>
        <x:v>0.49859237989698046</x:v>
      </x:c>
      <x:c r="M54" s="18" t="str">
        <x:f>IF(G54=0,"",TEXT(K54,"0.0%")&amp;" – "&amp;TEXT(L54,"0.0%"))</x:f>
        <x:v>24.1% – 49.9%</x:v>
      </x:c>
      <x:c r="N54" s="18"/>
      <x:c r="O54" s="18"/>
    </x:row>
    <x:row r="55">
      <x:c r="A55" s="18" t="str">
        <x:v>Concept transfer</x:v>
      </x:c>
      <x:c r="B55" s="18" t="str">
        <x:v>Size Recognition</x:v>
      </x:c>
      <x:c r="C55" s="18" t="str">
        <x:v>GR00T-N1.7 (vision only)</x:v>
      </x:c>
      <x:c r="D55" s="18" t="str">
        <x:v>GR00T Vision</x:v>
      </x:c>
      <x:c r="E55" s="19" t="n">
        <x:f>COUNTIFS('GR00T Vision'!$A$2:$A$901,"Success",'GR00T Vision'!$H$2:$H$901,$O$3,'GR00T Vision'!$B$2:$B$901,$B55)</x:f>
        <x:v>29</x:v>
      </x:c>
      <x:c r="F55" s="19" t="n">
        <x:f>COUNTIFS('GR00T Vision'!$A$2:$A$901,"Failure",'GR00T Vision'!$H$2:$H$901,$O$3,'GR00T Vision'!$B$2:$B$901,$B55)</x:f>
        <x:v>21</x:v>
      </x:c>
      <x:c r="G55" s="19" t="n">
        <x:f>E55+F55</x:f>
        <x:v>50</x:v>
      </x:c>
      <x:c r="H55" s="20" t="n">
        <x:f>IF(G55=0,"",E55/G55)</x:f>
        <x:v>0.58</x:v>
      </x:c>
      <x:c r="I55" s="20" t="n">
        <x:f>IF(G55=0,"",(H55+$O$4^2/(2*G55))/(1+$O$4^2/G55))</x:f>
        <x:v>0.5742919972660545</x:v>
      </x:c>
      <x:c r="J55" s="20" t="n">
        <x:f>IF(G55=0,"",$O$4*SQRT(H55*(1-H55)/G55+$O$4^2/(4*G55^2))/(1+$O$4^2/G55))</x:f>
        <x:v>0.13196003038827617</x:v>
      </x:c>
      <x:c r="K55" s="20" t="n">
        <x:f>IF(G55=0,"",MAX(0,I55-J55))</x:f>
        <x:v>0.4423319668777783</x:v>
      </x:c>
      <x:c r="L55" s="20" t="n">
        <x:f>IF(G55=0,"",MIN(1,I55+J55))</x:f>
        <x:v>0.7062520276543307</x:v>
      </x:c>
      <x:c r="M55" s="18" t="str">
        <x:f>IF(G55=0,"",TEXT(K55,"0.0%")&amp;" – "&amp;TEXT(L55,"0.0%"))</x:f>
        <x:v>44.2% – 70.6%</x:v>
      </x:c>
      <x:c r="N55" s="18"/>
      <x:c r="O55" s="18"/>
    </x:row>
    <x:row r="56">
      <x:c r="A56" s="18" t="str">
        <x:v>Concept transfer</x:v>
      </x:c>
      <x:c r="B56" s="18" t="str">
        <x:v>Size Recognition</x:v>
      </x:c>
      <x:c r="C56" s="18" t="str">
        <x:v>MolmoAct2</x:v>
      </x:c>
      <x:c r="D56" s="18" t="str">
        <x:v>MolmoAct2</x:v>
      </x:c>
      <x:c r="E56" s="19" t="n">
        <x:f>COUNTIFS('MolmoAct2'!$A$2:$A$901,"Success",'MolmoAct2'!$H$2:$H$901,$O$3,'MolmoAct2'!$B$2:$B$901,$B56)</x:f>
        <x:v>32</x:v>
      </x:c>
      <x:c r="F56" s="19" t="n">
        <x:f>COUNTIFS('MolmoAct2'!$A$2:$A$901,"Failure",'MolmoAct2'!$H$2:$H$901,$O$3,'MolmoAct2'!$B$2:$B$901,$B56)</x:f>
        <x:v>18</x:v>
      </x:c>
      <x:c r="G56" s="19" t="n">
        <x:f>E56+F56</x:f>
        <x:v>50</x:v>
      </x:c>
      <x:c r="H56" s="20" t="n">
        <x:f>IF(G56=0,"",E56/G56)</x:f>
        <x:v>0.64</x:v>
      </x:c>
      <x:c r="I56" s="20" t="n">
        <x:f>IF(G56=0,"",(H56+$O$4^2/(2*G56))/(1+$O$4^2/G56))</x:f>
        <x:v>0.6300109952155953</x:v>
      </x:c>
      <x:c r="J56" s="20" t="n">
        <x:f>IF(G56=0,"",$O$4*SQRT(H56*(1-H56)/G56+$O$4^2/(4*G56^2))/(1+$O$4^2/G56))</x:f>
        <x:v>0.12860337511257586</x:v>
      </x:c>
      <x:c r="K56" s="20" t="n">
        <x:f>IF(G56=0,"",MAX(0,I56-J56))</x:f>
        <x:v>0.5014076201030195</x:v>
      </x:c>
      <x:c r="L56" s="20" t="n">
        <x:f>IF(G56=0,"",MIN(1,I56+J56))</x:f>
        <x:v>0.7586143703281711</x:v>
      </x:c>
      <x:c r="M56" s="18" t="str">
        <x:f>IF(G56=0,"",TEXT(K56,"0.0%")&amp;" – "&amp;TEXT(L56,"0.0%"))</x:f>
        <x:v>50.1% – 75.9%</x:v>
      </x:c>
      <x:c r="N56" s="18"/>
      <x:c r="O56" s="18"/>
    </x:row>
    <x:row r="57">
      <x:c r="A57" s="18" t="str">
        <x:v>Concept transfer</x:v>
      </x:c>
      <x:c r="B57" s="18" t="str">
        <x:v>Size Recognition</x:v>
      </x:c>
      <x:c r="C57" s="18" t="str">
        <x:v>Pi0.5</x:v>
      </x:c>
      <x:c r="D57" s="18" t="str">
        <x:v>Pi0.5</x:v>
      </x:c>
      <x:c r="E57" s="19" t="n">
        <x:f>COUNTIFS('Pi0.5'!$A$2:$A$901,"Success",'Pi0.5'!$H$2:$H$901,$O$3,'Pi0.5'!$B$2:$B$901,$B57)</x:f>
        <x:v>27</x:v>
      </x:c>
      <x:c r="F57" s="19" t="n">
        <x:f>COUNTIFS('Pi0.5'!$A$2:$A$901,"Failure",'Pi0.5'!$H$2:$H$901,$O$3,'Pi0.5'!$B$2:$B$901,$B57)</x:f>
        <x:v>23</x:v>
      </x:c>
      <x:c r="G57" s="19" t="n">
        <x:f>E57+F57</x:f>
        <x:v>50</x:v>
      </x:c>
      <x:c r="H57" s="20" t="n">
        <x:f>IF(G57=0,"",E57/G57)</x:f>
        <x:v>0.54</x:v>
      </x:c>
      <x:c r="I57" s="20" t="n">
        <x:f>IF(G57=0,"",(H57+$O$4^2/(2*G57))/(1+$O$4^2/G57))</x:f>
        <x:v>0.5371459986330273</x:v>
      </x:c>
      <x:c r="J57" s="20" t="n">
        <x:f>IF(G57=0,"",$O$4*SQRT(H57*(1-H57)/G57+$O$4^2/(4*G57^2))/(1+$O$4^2/G57))</x:f>
        <x:v>0.13315965534914642</x:v>
      </x:c>
      <x:c r="K57" s="20" t="n">
        <x:f>IF(G57=0,"",MAX(0,I57-J57))</x:f>
        <x:v>0.40398634328388083</x:v>
      </x:c>
      <x:c r="L57" s="20" t="n">
        <x:f>IF(G57=0,"",MIN(1,I57+J57))</x:f>
        <x:v>0.6703056539821737</x:v>
      </x:c>
      <x:c r="M57" s="18" t="str">
        <x:f>IF(G57=0,"",TEXT(K57,"0.0%")&amp;" – "&amp;TEXT(L57,"0.0%"))</x:f>
        <x:v>40.4% – 67.0%</x:v>
      </x:c>
      <x:c r="N57" s="18"/>
      <x:c r="O57" s="18"/>
    </x:row>
  </x:sheetData>
  <x:pageMargins left="0.7" right="0.7" top="0.75" bottom="0.75" header="0.3" footer="0.3"/>
  <x:tableParts count="1">
    <x:tablePart xmlns:r="http://schemas.openxmlformats.org/officeDocument/2006/relationships" r:id="R60a878ba002046bb"/>
  </x:tableParts>
</x:worksheet>
</file>